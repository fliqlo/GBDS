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10D5047D-C105-4882-B960-4A9D19E3D332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190" i="2" l="1"/>
  <c r="P1190" i="2"/>
  <c r="S1190" i="2" s="1"/>
  <c r="P1189" i="2"/>
  <c r="S1189" i="2" s="1"/>
  <c r="W1189" i="2" s="1"/>
  <c r="P1188" i="2"/>
  <c r="P1187" i="2"/>
  <c r="S1187" i="2" s="1"/>
  <c r="W1187" i="2" s="1"/>
  <c r="P1186" i="2"/>
  <c r="P1185" i="2"/>
  <c r="P1184" i="2"/>
  <c r="S1184" i="2" s="1"/>
  <c r="W1184" i="2" s="1"/>
  <c r="P1183" i="2"/>
  <c r="P1182" i="2"/>
  <c r="P1181" i="2"/>
  <c r="S1181" i="2" s="1"/>
  <c r="W1181" i="2" s="1"/>
  <c r="P1180" i="2"/>
  <c r="P1179" i="2"/>
  <c r="S1179" i="2" s="1"/>
  <c r="W1179" i="2" s="1"/>
  <c r="P1178" i="2"/>
  <c r="S1178" i="2" s="1"/>
  <c r="W1178" i="2" s="1"/>
  <c r="P1177" i="2"/>
  <c r="P1176" i="2"/>
  <c r="S1176" i="2" s="1"/>
  <c r="W1176" i="2" s="1"/>
  <c r="P1175" i="2"/>
  <c r="S1175" i="2" s="1"/>
  <c r="W1175" i="2" s="1"/>
  <c r="P1174" i="2"/>
  <c r="S1174" i="2" s="1"/>
  <c r="W1174" i="2" s="1"/>
  <c r="P1173" i="2"/>
  <c r="S1173" i="2" s="1"/>
  <c r="W1173" i="2" s="1"/>
  <c r="P1172" i="2"/>
  <c r="S1172" i="2"/>
  <c r="W1172" i="2" s="1"/>
  <c r="P1171" i="2"/>
  <c r="S1171" i="2" s="1"/>
  <c r="W1171" i="2" s="1"/>
  <c r="P1170" i="2"/>
  <c r="P1169" i="2"/>
  <c r="P1168" i="2"/>
  <c r="S1168" i="2" s="1"/>
  <c r="W1168" i="2" s="1"/>
  <c r="P1167" i="2"/>
  <c r="S1167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68" i="2"/>
  <c r="S1169" i="2"/>
  <c r="W1169" i="2" s="1"/>
  <c r="S1170" i="2"/>
  <c r="W1170" i="2" s="1"/>
  <c r="S1177" i="2"/>
  <c r="W1177" i="2" s="1"/>
  <c r="S1180" i="2"/>
  <c r="W1180" i="2"/>
  <c r="S1182" i="2"/>
  <c r="W1182" i="2" s="1"/>
  <c r="S1183" i="2"/>
  <c r="W1183" i="2"/>
  <c r="S1185" i="2"/>
  <c r="W1185" i="2" s="1"/>
  <c r="S1186" i="2"/>
  <c r="W1186" i="2"/>
  <c r="S1188" i="2"/>
  <c r="W1188" i="2" s="1"/>
  <c r="S1191" i="2"/>
  <c r="W1191" i="2" s="1"/>
  <c r="S1192" i="2"/>
  <c r="W1192" i="2"/>
  <c r="S1193" i="2"/>
  <c r="W1193" i="2" s="1"/>
  <c r="S1194" i="2"/>
  <c r="W1194" i="2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 s="1"/>
  <c r="S1202" i="2"/>
  <c r="W1202" i="2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W1190" i="2" l="1"/>
  <c r="W1167" i="2"/>
  <c r="W1210" i="2" s="1"/>
  <c r="S1210" i="2"/>
  <c r="P1210" i="2"/>
  <c r="AB1171" i="2"/>
  <c r="AB1170" i="2"/>
  <c r="AB1169" i="2"/>
  <c r="AE1169" i="2" s="1"/>
  <c r="AI1169" i="2" s="1"/>
  <c r="AH1168" i="2"/>
  <c r="AH1210" i="2" s="1"/>
  <c r="AB1168" i="2"/>
  <c r="AB1167" i="2"/>
  <c r="AE1167" i="2" s="1"/>
  <c r="AA1168" i="2"/>
  <c r="AA1169" i="2" s="1"/>
  <c r="AA1170" i="2" s="1"/>
  <c r="AA1171" i="2" s="1"/>
  <c r="AE1168" i="2"/>
  <c r="AE1170" i="2"/>
  <c r="AI1170" i="2" s="1"/>
  <c r="AE1171" i="2"/>
  <c r="AI1171" i="2" s="1"/>
  <c r="AE1172" i="2"/>
  <c r="AI1172" i="2"/>
  <c r="AE1173" i="2"/>
  <c r="AI1173" i="2"/>
  <c r="AE1174" i="2"/>
  <c r="AI1174" i="2"/>
  <c r="AE1175" i="2"/>
  <c r="AI1175" i="2"/>
  <c r="AE1176" i="2"/>
  <c r="AI1176" i="2" s="1"/>
  <c r="AE1177" i="2"/>
  <c r="AI1177" i="2"/>
  <c r="AE1178" i="2"/>
  <c r="AI1178" i="2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G1210" i="2"/>
  <c r="D1171" i="2"/>
  <c r="G1171" i="2" s="1"/>
  <c r="K1171" i="2" s="1"/>
  <c r="I1170" i="2"/>
  <c r="I1210" i="2" s="1"/>
  <c r="D1170" i="2"/>
  <c r="G1170" i="2" s="1"/>
  <c r="K1170" i="2" s="1"/>
  <c r="D1169" i="2"/>
  <c r="D1168" i="2"/>
  <c r="J1167" i="2"/>
  <c r="J1210" i="2"/>
  <c r="D1167" i="2"/>
  <c r="G1167" i="2"/>
  <c r="C1168" i="2"/>
  <c r="C1169" i="2" s="1"/>
  <c r="C1170" i="2" s="1"/>
  <c r="C1171" i="2" s="1"/>
  <c r="G1168" i="2"/>
  <c r="K1168" i="2" s="1"/>
  <c r="G1169" i="2"/>
  <c r="G1172" i="2"/>
  <c r="K1172" i="2"/>
  <c r="G1173" i="2"/>
  <c r="K1173" i="2" s="1"/>
  <c r="G1174" i="2"/>
  <c r="K1174" i="2" s="1"/>
  <c r="G1175" i="2"/>
  <c r="K1175" i="2" s="1"/>
  <c r="G1176" i="2"/>
  <c r="K1176" i="2" s="1"/>
  <c r="G1177" i="2"/>
  <c r="K1177" i="2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/>
  <c r="G1200" i="2"/>
  <c r="K1200" i="2"/>
  <c r="G1207" i="2"/>
  <c r="K1207" i="2"/>
  <c r="E1210" i="2"/>
  <c r="F1210" i="2"/>
  <c r="AI1168" i="2" l="1"/>
  <c r="AE1210" i="2"/>
  <c r="AI1167" i="2"/>
  <c r="AB1210" i="2"/>
  <c r="D1210" i="2"/>
  <c r="K1167" i="2"/>
  <c r="G1210" i="2"/>
  <c r="K1169" i="2"/>
  <c r="K1210" i="2" s="1"/>
  <c r="AB1117" i="2"/>
  <c r="AE1117" i="2" s="1"/>
  <c r="AI1117" i="2" s="1"/>
  <c r="AB1116" i="2"/>
  <c r="AB1115" i="2"/>
  <c r="AB1114" i="2"/>
  <c r="AB1113" i="2"/>
  <c r="AB1112" i="2"/>
  <c r="AB1155" i="2" s="1"/>
  <c r="AE1112" i="2"/>
  <c r="AI1112" i="2" s="1"/>
  <c r="AA1113" i="2"/>
  <c r="AE1113" i="2"/>
  <c r="AI1113" i="2" s="1"/>
  <c r="AA1114" i="2"/>
  <c r="AA1115" i="2" s="1"/>
  <c r="AA1116" i="2" s="1"/>
  <c r="AA1117" i="2" s="1"/>
  <c r="AE1114" i="2"/>
  <c r="AI1114" i="2" s="1"/>
  <c r="AE1115" i="2"/>
  <c r="AE1116" i="2"/>
  <c r="AI1116" i="2" s="1"/>
  <c r="AE1118" i="2"/>
  <c r="AI1118" i="2"/>
  <c r="AE1119" i="2"/>
  <c r="AI1119" i="2" s="1"/>
  <c r="AE1120" i="2"/>
  <c r="AI1120" i="2"/>
  <c r="AE1121" i="2"/>
  <c r="AI1121" i="2" s="1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 s="1"/>
  <c r="AE1128" i="2"/>
  <c r="AI1128" i="2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 s="1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 s="1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G1155" i="2"/>
  <c r="AH1155" i="2"/>
  <c r="P1112" i="2"/>
  <c r="S1112" i="2"/>
  <c r="W1112" i="2" s="1"/>
  <c r="P1155" i="2"/>
  <c r="S1113" i="2"/>
  <c r="W1113" i="2"/>
  <c r="S1114" i="2"/>
  <c r="W1114" i="2"/>
  <c r="S1115" i="2"/>
  <c r="W1115" i="2"/>
  <c r="S1116" i="2"/>
  <c r="W1116" i="2"/>
  <c r="S1117" i="2"/>
  <c r="W1117" i="2" s="1"/>
  <c r="S1118" i="2"/>
  <c r="W1118" i="2"/>
  <c r="S1119" i="2"/>
  <c r="W1119" i="2" s="1"/>
  <c r="S1120" i="2"/>
  <c r="W1120" i="2" s="1"/>
  <c r="S1121" i="2"/>
  <c r="W1121" i="2"/>
  <c r="S1122" i="2"/>
  <c r="W1122" i="2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U1155" i="2"/>
  <c r="V1155" i="2"/>
  <c r="I1114" i="2"/>
  <c r="J1114" i="2"/>
  <c r="I1155" i="2"/>
  <c r="J1155" i="2"/>
  <c r="D1114" i="2"/>
  <c r="G1114" i="2" s="1"/>
  <c r="D1113" i="2"/>
  <c r="D1155" i="2" s="1"/>
  <c r="D1112" i="2"/>
  <c r="G1112" i="2"/>
  <c r="K1112" i="2" s="1"/>
  <c r="C1113" i="2"/>
  <c r="C1114" i="2" s="1"/>
  <c r="G1115" i="2"/>
  <c r="K1115" i="2" s="1"/>
  <c r="G1116" i="2"/>
  <c r="K1116" i="2" s="1"/>
  <c r="G1117" i="2"/>
  <c r="K1117" i="2" s="1"/>
  <c r="G1118" i="2"/>
  <c r="K1118" i="2" s="1"/>
  <c r="G1119" i="2"/>
  <c r="K1119" i="2"/>
  <c r="G1120" i="2"/>
  <c r="K1120" i="2" s="1"/>
  <c r="G1121" i="2"/>
  <c r="K1121" i="2" s="1"/>
  <c r="G1122" i="2"/>
  <c r="K1122" i="2" s="1"/>
  <c r="G1123" i="2"/>
  <c r="K1123" i="2" s="1"/>
  <c r="G1124" i="2"/>
  <c r="K1124" i="2" s="1"/>
  <c r="G1125" i="2"/>
  <c r="K1125" i="2" s="1"/>
  <c r="G1126" i="2"/>
  <c r="K1126" i="2" s="1"/>
  <c r="G1127" i="2"/>
  <c r="K1127" i="2"/>
  <c r="G1128" i="2"/>
  <c r="K1128" i="2"/>
  <c r="G1129" i="2"/>
  <c r="K1129" i="2" s="1"/>
  <c r="G1130" i="2"/>
  <c r="K1130" i="2" s="1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 s="1"/>
  <c r="G1138" i="2"/>
  <c r="K1138" i="2" s="1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 s="1"/>
  <c r="G1152" i="2"/>
  <c r="K1152" i="2" s="1"/>
  <c r="E1155" i="2"/>
  <c r="F1155" i="2"/>
  <c r="AI1210" i="2" l="1"/>
  <c r="AE1155" i="2"/>
  <c r="AI1115" i="2"/>
  <c r="AI1155" i="2"/>
  <c r="S1155" i="2"/>
  <c r="W1155" i="2"/>
  <c r="K1114" i="2"/>
  <c r="G1113" i="2"/>
  <c r="K1113" i="2" s="1"/>
  <c r="AB1060" i="2"/>
  <c r="AB1059" i="2"/>
  <c r="AB1100" i="2" s="1"/>
  <c r="AB1058" i="2"/>
  <c r="AB1057" i="2"/>
  <c r="AE1057" i="2"/>
  <c r="AA1058" i="2"/>
  <c r="AE1058" i="2"/>
  <c r="AI1058" i="2" s="1"/>
  <c r="AA1059" i="2"/>
  <c r="AA1060" i="2" s="1"/>
  <c r="AE1059" i="2"/>
  <c r="AI1059" i="2" s="1"/>
  <c r="AE1060" i="2"/>
  <c r="AI1060" i="2" s="1"/>
  <c r="AE1061" i="2"/>
  <c r="AI1061" i="2"/>
  <c r="AE1062" i="2"/>
  <c r="AI1062" i="2" s="1"/>
  <c r="AE1063" i="2"/>
  <c r="AI1063" i="2"/>
  <c r="AE1064" i="2"/>
  <c r="AI1064" i="2"/>
  <c r="AE1065" i="2"/>
  <c r="AI1065" i="2" s="1"/>
  <c r="AE1066" i="2"/>
  <c r="AI1066" i="2"/>
  <c r="AE1067" i="2"/>
  <c r="AI1067" i="2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 s="1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P1064" i="2"/>
  <c r="S1064" i="2" s="1"/>
  <c r="W1064" i="2" s="1"/>
  <c r="U1063" i="2"/>
  <c r="U1100" i="2" s="1"/>
  <c r="P1063" i="2"/>
  <c r="S1063" i="2" s="1"/>
  <c r="P1062" i="2"/>
  <c r="S1062" i="2" s="1"/>
  <c r="W1062" i="2" s="1"/>
  <c r="P1061" i="2"/>
  <c r="S1061" i="2" s="1"/>
  <c r="W1061" i="2" s="1"/>
  <c r="P1060" i="2"/>
  <c r="P1059" i="2"/>
  <c r="P1058" i="2"/>
  <c r="P1057" i="2"/>
  <c r="S1057" i="2" s="1"/>
  <c r="W1057" i="2" s="1"/>
  <c r="O1058" i="2"/>
  <c r="O1059" i="2"/>
  <c r="O1060" i="2" s="1"/>
  <c r="O1061" i="2" s="1"/>
  <c r="O1062" i="2" s="1"/>
  <c r="O1063" i="2" s="1"/>
  <c r="O1064" i="2" s="1"/>
  <c r="S1059" i="2"/>
  <c r="W1059" i="2" s="1"/>
  <c r="S1060" i="2"/>
  <c r="W1060" i="2"/>
  <c r="S1065" i="2"/>
  <c r="W1065" i="2"/>
  <c r="S1066" i="2"/>
  <c r="W1066" i="2" s="1"/>
  <c r="S1067" i="2"/>
  <c r="W1067" i="2"/>
  <c r="S1068" i="2"/>
  <c r="W1068" i="2"/>
  <c r="S1069" i="2"/>
  <c r="W1069" i="2" s="1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/>
  <c r="W1098" i="2"/>
  <c r="Q1100" i="2"/>
  <c r="R1100" i="2"/>
  <c r="V1100" i="2"/>
  <c r="D1071" i="2"/>
  <c r="G1071" i="2" s="1"/>
  <c r="K1071" i="2" s="1"/>
  <c r="D1070" i="2"/>
  <c r="G1070" i="2" s="1"/>
  <c r="K1070" i="2" s="1"/>
  <c r="D1069" i="2"/>
  <c r="G1069" i="2" s="1"/>
  <c r="K1069" i="2" s="1"/>
  <c r="D1068" i="2"/>
  <c r="D1067" i="2"/>
  <c r="G1067" i="2" s="1"/>
  <c r="K1067" i="2" s="1"/>
  <c r="D1066" i="2"/>
  <c r="G1066" i="2" s="1"/>
  <c r="K1066" i="2" s="1"/>
  <c r="D1065" i="2"/>
  <c r="D1064" i="2"/>
  <c r="D1063" i="2"/>
  <c r="D1062" i="2"/>
  <c r="G1062" i="2" s="1"/>
  <c r="K1062" i="2" s="1"/>
  <c r="D1061" i="2"/>
  <c r="D1060" i="2"/>
  <c r="D1059" i="2"/>
  <c r="G1059" i="2"/>
  <c r="K1059" i="2" s="1"/>
  <c r="D1058" i="2"/>
  <c r="G1058" i="2" s="1"/>
  <c r="K1058" i="2" s="1"/>
  <c r="D1057" i="2"/>
  <c r="G1057" i="2"/>
  <c r="K1057" i="2" s="1"/>
  <c r="C1058" i="2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G1060" i="2"/>
  <c r="K1060" i="2"/>
  <c r="G1061" i="2"/>
  <c r="K1061" i="2" s="1"/>
  <c r="G1063" i="2"/>
  <c r="K1063" i="2" s="1"/>
  <c r="G1064" i="2"/>
  <c r="K1064" i="2"/>
  <c r="G1065" i="2"/>
  <c r="K1065" i="2" s="1"/>
  <c r="G1068" i="2"/>
  <c r="I1100" i="2"/>
  <c r="K1068" i="2"/>
  <c r="G1072" i="2"/>
  <c r="K1072" i="2" s="1"/>
  <c r="G1073" i="2"/>
  <c r="K1073" i="2"/>
  <c r="G1074" i="2"/>
  <c r="K1074" i="2" s="1"/>
  <c r="G1075" i="2"/>
  <c r="K1075" i="2" s="1"/>
  <c r="G1076" i="2"/>
  <c r="K1076" i="2"/>
  <c r="G1077" i="2"/>
  <c r="K1077" i="2"/>
  <c r="G1078" i="2"/>
  <c r="K1078" i="2" s="1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/>
  <c r="G1086" i="2"/>
  <c r="K1086" i="2" s="1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J1100" i="2"/>
  <c r="K1155" i="2" l="1"/>
  <c r="G1155" i="2"/>
  <c r="AE1100" i="2"/>
  <c r="AI1057" i="2"/>
  <c r="AI1100" i="2" s="1"/>
  <c r="W1063" i="2"/>
  <c r="P1100" i="2"/>
  <c r="S1058" i="2"/>
  <c r="W1058" i="2" s="1"/>
  <c r="W1100" i="2" s="1"/>
  <c r="S1100" i="2"/>
  <c r="D1100" i="2"/>
  <c r="K1100" i="2"/>
  <c r="G1100" i="2"/>
  <c r="AB1007" i="2"/>
  <c r="AE1007" i="2" s="1"/>
  <c r="AI1007" i="2" s="1"/>
  <c r="AH1006" i="2"/>
  <c r="AB1006" i="2"/>
  <c r="AB1005" i="2"/>
  <c r="AE1005" i="2" s="1"/>
  <c r="AI1005" i="2" s="1"/>
  <c r="AB1004" i="2"/>
  <c r="AE1004" i="2" s="1"/>
  <c r="AI1004" i="2" s="1"/>
  <c r="AB1003" i="2"/>
  <c r="AH1002" i="2"/>
  <c r="AG1002" i="2"/>
  <c r="AB1002" i="2"/>
  <c r="AE1002" i="2"/>
  <c r="AI1002" i="2" s="1"/>
  <c r="AA1003" i="2"/>
  <c r="AA1004" i="2" s="1"/>
  <c r="AA1005" i="2" s="1"/>
  <c r="AA1006" i="2" s="1"/>
  <c r="AA1007" i="2" s="1"/>
  <c r="AE1003" i="2"/>
  <c r="AG1045" i="2"/>
  <c r="AH1045" i="2"/>
  <c r="AE1006" i="2"/>
  <c r="AI1006" i="2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/>
  <c r="AE1039" i="2"/>
  <c r="AI1039" i="2"/>
  <c r="AE1040" i="2"/>
  <c r="AI1040" i="2"/>
  <c r="AI1041" i="2"/>
  <c r="AE1042" i="2"/>
  <c r="AI1042" i="2"/>
  <c r="AI1043" i="2"/>
  <c r="AC1045" i="2"/>
  <c r="AD1045" i="2"/>
  <c r="P1011" i="2"/>
  <c r="P1010" i="2"/>
  <c r="S1010" i="2" s="1"/>
  <c r="W1010" i="2" s="1"/>
  <c r="P1009" i="2"/>
  <c r="S1009" i="2" s="1"/>
  <c r="W1009" i="2" s="1"/>
  <c r="P1008" i="2"/>
  <c r="U1007" i="2"/>
  <c r="U1045" i="2" s="1"/>
  <c r="P1007" i="2"/>
  <c r="S1007" i="2" s="1"/>
  <c r="W1007" i="2" s="1"/>
  <c r="P1006" i="2"/>
  <c r="P1005" i="2"/>
  <c r="S1005" i="2" s="1"/>
  <c r="W1005" i="2" s="1"/>
  <c r="P1004" i="2"/>
  <c r="P1003" i="2"/>
  <c r="U1002" i="2"/>
  <c r="P1002" i="2"/>
  <c r="S1002" i="2" s="1"/>
  <c r="W1002" i="2" s="1"/>
  <c r="O1003" i="2"/>
  <c r="S1003" i="2"/>
  <c r="W1003" i="2" s="1"/>
  <c r="O1004" i="2"/>
  <c r="O1005" i="2" s="1"/>
  <c r="O1006" i="2" s="1"/>
  <c r="O1007" i="2" s="1"/>
  <c r="O1008" i="2" s="1"/>
  <c r="O1009" i="2" s="1"/>
  <c r="O1010" i="2" s="1"/>
  <c r="O1011" i="2" s="1"/>
  <c r="S1004" i="2"/>
  <c r="W1004" i="2" s="1"/>
  <c r="S1006" i="2"/>
  <c r="W1006" i="2"/>
  <c r="S1008" i="2"/>
  <c r="W1008" i="2" s="1"/>
  <c r="S1011" i="2"/>
  <c r="W1011" i="2" s="1"/>
  <c r="S1012" i="2"/>
  <c r="W1012" i="2" s="1"/>
  <c r="S1013" i="2"/>
  <c r="W1013" i="2"/>
  <c r="S1014" i="2"/>
  <c r="W1014" i="2" s="1"/>
  <c r="S1015" i="2"/>
  <c r="W1015" i="2"/>
  <c r="S1016" i="2"/>
  <c r="W1016" i="2"/>
  <c r="S1017" i="2"/>
  <c r="W1017" i="2"/>
  <c r="S1018" i="2"/>
  <c r="W1018" i="2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/>
  <c r="S1026" i="2"/>
  <c r="W1026" i="2"/>
  <c r="S1027" i="2"/>
  <c r="W1027" i="2" s="1"/>
  <c r="S1028" i="2"/>
  <c r="W1028" i="2" s="1"/>
  <c r="S1029" i="2"/>
  <c r="W1029" i="2"/>
  <c r="S1030" i="2"/>
  <c r="W1030" i="2" s="1"/>
  <c r="S1031" i="2"/>
  <c r="W1031" i="2"/>
  <c r="S1032" i="2"/>
  <c r="W1032" i="2"/>
  <c r="S1033" i="2"/>
  <c r="W1033" i="2"/>
  <c r="S1034" i="2"/>
  <c r="W1034" i="2"/>
  <c r="S1035" i="2"/>
  <c r="W1035" i="2" s="1"/>
  <c r="S1036" i="2"/>
  <c r="W1036" i="2" s="1"/>
  <c r="S1037" i="2"/>
  <c r="W1037" i="2"/>
  <c r="S1038" i="2"/>
  <c r="W1038" i="2" s="1"/>
  <c r="S1039" i="2"/>
  <c r="W1039" i="2"/>
  <c r="S1040" i="2"/>
  <c r="W1040" i="2"/>
  <c r="W1041" i="2"/>
  <c r="S1042" i="2"/>
  <c r="W1042" i="2"/>
  <c r="W1043" i="2"/>
  <c r="Q1045" i="2"/>
  <c r="R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G1013" i="2" s="1"/>
  <c r="K1013" i="2" s="1"/>
  <c r="D1012" i="2"/>
  <c r="D1011" i="2"/>
  <c r="D1010" i="2"/>
  <c r="D1009" i="2"/>
  <c r="G1009" i="2" s="1"/>
  <c r="K1009" i="2" s="1"/>
  <c r="D1008" i="2"/>
  <c r="D1007" i="2"/>
  <c r="D1006" i="2"/>
  <c r="D1005" i="2"/>
  <c r="D1004" i="2"/>
  <c r="G1004" i="2" s="1"/>
  <c r="K1004" i="2" s="1"/>
  <c r="D1003" i="2"/>
  <c r="D1002" i="2"/>
  <c r="G1002" i="2" s="1"/>
  <c r="C1015" i="2"/>
  <c r="C1003" i="2"/>
  <c r="G1003" i="2"/>
  <c r="K1003" i="2" s="1"/>
  <c r="C1004" i="2"/>
  <c r="C1005" i="2" s="1"/>
  <c r="C1006" i="2" s="1"/>
  <c r="C1007" i="2" s="1"/>
  <c r="C1008" i="2" s="1"/>
  <c r="C1009" i="2" s="1"/>
  <c r="C1010" i="2" s="1"/>
  <c r="C1011" i="2" s="1"/>
  <c r="C1012" i="2" s="1"/>
  <c r="C1013" i="2" s="1"/>
  <c r="C1014" i="2" s="1"/>
  <c r="G1005" i="2"/>
  <c r="K1005" i="2" s="1"/>
  <c r="G1006" i="2"/>
  <c r="K1006" i="2" s="1"/>
  <c r="G1007" i="2"/>
  <c r="K1007" i="2"/>
  <c r="G1008" i="2"/>
  <c r="K1008" i="2" s="1"/>
  <c r="G1010" i="2"/>
  <c r="K1010" i="2" s="1"/>
  <c r="G1011" i="2"/>
  <c r="K1011" i="2" s="1"/>
  <c r="G1012" i="2"/>
  <c r="K1012" i="2" s="1"/>
  <c r="G1016" i="2"/>
  <c r="K1016" i="2" s="1"/>
  <c r="G1017" i="2"/>
  <c r="K1017" i="2"/>
  <c r="G1018" i="2"/>
  <c r="K1018" i="2" s="1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/>
  <c r="G1033" i="2"/>
  <c r="K1033" i="2"/>
  <c r="G1034" i="2"/>
  <c r="K1034" i="2"/>
  <c r="G1035" i="2"/>
  <c r="K1035" i="2"/>
  <c r="G1042" i="2"/>
  <c r="K1042" i="2"/>
  <c r="E1045" i="2"/>
  <c r="F1045" i="2"/>
  <c r="J1045" i="2"/>
  <c r="AB1045" i="2" l="1"/>
  <c r="AE1045" i="2"/>
  <c r="AI1003" i="2"/>
  <c r="AI1045" i="2" s="1"/>
  <c r="P1045" i="2"/>
  <c r="W1045" i="2"/>
  <c r="S1045" i="2"/>
  <c r="D1045" i="2"/>
  <c r="K1002" i="2"/>
  <c r="K1045" i="2" s="1"/>
  <c r="G1045" i="2"/>
  <c r="AB950" i="2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10" i="1"/>
  <c r="D16" i="1" l="1"/>
  <c r="D17" i="1"/>
  <c r="J19" i="1"/>
  <c r="D19" i="1" s="1"/>
  <c r="J31" i="1"/>
  <c r="D31" i="1" s="1"/>
  <c r="J38" i="1"/>
  <c r="J33" i="1" l="1"/>
  <c r="D33" i="1" s="1"/>
  <c r="J34" i="1"/>
  <c r="D34" i="1" s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C1002" authorId="0" shapeId="0" xr:uid="{B661741F-60AC-4DCC-B41A-61F264673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002" authorId="0" shapeId="0" xr:uid="{0D64BAD7-57BB-4C07-A17A-4B98FD43F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2" authorId="0" shapeId="0" xr:uid="{F0428A60-A887-4E61-9492-7C9F9B5600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3" authorId="0" shapeId="0" xr:uid="{7A025F78-8BBB-452F-BB9E-0914C0A4C6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03" authorId="0" shapeId="0" xr:uid="{36058DF7-A465-4738-B06C-0E7D2E03F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1003" authorId="0" shapeId="0" xr:uid="{139EB32F-CA70-4D0F-8ECD-2B065FA2B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4" authorId="0" shapeId="0" xr:uid="{5C159D6B-8DE4-4F49-82CF-F96CA097F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O1004" authorId="0" shapeId="0" xr:uid="{86EB73D4-6977-4031-86B3-4E3F5FF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004" authorId="0" shapeId="0" xr:uid="{A596930F-C98E-430A-9B62-66B556F866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5" authorId="0" shapeId="0" xr:uid="{BBB813D7-FB05-4270-8435-6016B1940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1005" authorId="0" shapeId="0" xr:uid="{F67C4E5D-AF9B-4E8D-8B1B-B19384896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005" authorId="0" shapeId="0" xr:uid="{7FB95D21-DA24-4A2D-9674-AD68B28AC6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6" authorId="0" shapeId="0" xr:uid="{60AA7CEC-EC7F-44A5-A654-7B8E9CDA7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06" authorId="0" shapeId="0" xr:uid="{2863AED7-2CC8-4FCB-B204-272467442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006" authorId="0" shapeId="0" xr:uid="{D1FCDA2B-91D1-4D22-9006-8E1DE7CCD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7" authorId="0" shapeId="0" xr:uid="{74BF730C-EA24-4DAB-AF54-2482104F7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07" authorId="0" shapeId="0" xr:uid="{04E25D2E-7A37-4E18-A711-5E18FB8DB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DAILYN STORE
TALINGA, BACUNGAN</t>
        </r>
      </text>
    </comment>
    <comment ref="AA1007" authorId="0" shapeId="0" xr:uid="{4AD47A88-556A-4F53-A37E-064912A4DF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08" authorId="0" shapeId="0" xr:uid="{FFB80E4A-58F0-4070-8A05-679062C54A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008" authorId="0" shapeId="0" xr:uid="{ADF9E3D2-1729-45CC-9EDA-7F3BFA9892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C1009" authorId="0" shapeId="0" xr:uid="{C8CC4DB8-6FE9-4A69-A1C0-D7A0A86DB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9" authorId="0" shapeId="0" xr:uid="{7EEF7744-0011-4825-BBD4-87FCBAA4C9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C1010" authorId="0" shapeId="0" xr:uid="{AA66A8B4-B3FA-446B-B31A-34FA482E07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1010" authorId="0" shapeId="0" xr:uid="{6813EAAB-D5C8-42EC-916C-B99A67B847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ENRIQUEZ
MARAS, SINDANGAN</t>
        </r>
      </text>
    </comment>
    <comment ref="C1011" authorId="0" shapeId="0" xr:uid="{7C109781-4ACC-4892-9BE3-62D35B90A3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11" authorId="0" shapeId="0" xr:uid="{7008C82E-398D-4748-A1D1-BDA9A052F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 STORE
GOLEO, SINDANGAN</t>
        </r>
      </text>
    </comment>
    <comment ref="C1012" authorId="0" shapeId="0" xr:uid="{4BA1F12E-CBFA-4C0D-B8C8-54F029342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1013" authorId="0" shapeId="0" xr:uid="{16396587-9979-49F9-969D-142667753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1014" authorId="0" shapeId="0" xr:uid="{7EFF90A4-C304-4EA1-A723-FE63EE294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1015" authorId="0" shapeId="0" xr:uid="{065BCFBF-10AE-493E-9264-87C1BB318A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 STORE
DICOYONG, SINDANGAN</t>
        </r>
      </text>
    </comment>
    <comment ref="C1057" authorId="0" shapeId="0" xr:uid="{3BF6B084-68B1-4526-A858-EC453A02B5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057" authorId="0" shapeId="0" xr:uid="{0031DA81-9CB9-491B-8D7A-5355F8931A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057" authorId="0" shapeId="0" xr:uid="{1AFDDF9D-66F2-419C-A71C-487FF0E29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POB, SALUG</t>
        </r>
      </text>
    </comment>
    <comment ref="C1058" authorId="0" shapeId="0" xr:uid="{210AD74C-CDB9-4BA4-9C95-66826CD86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058" authorId="0" shapeId="0" xr:uid="{4B41D51E-9992-493E-A17A-1764A69C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1058" authorId="0" shapeId="0" xr:uid="{C02C24C3-2FAF-4BDA-B804-4E6AD1EF0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1059" authorId="0" shapeId="0" xr:uid="{1BFAA20C-DF66-4447-999C-82C4472F0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059" authorId="0" shapeId="0" xr:uid="{0CC6A3CE-5BF6-429F-8BE6-E194A78427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1059" authorId="0" shapeId="0" xr:uid="{D3464EF0-6B24-41D2-BC50-0EF31D33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60" authorId="0" shapeId="0" xr:uid="{0DAAA2E6-EBB2-4FF7-AAF9-BD85AA5BC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STORE/ ASOCENA BERDADERO
DAGAO, SIAYAN</t>
        </r>
      </text>
    </comment>
    <comment ref="O1060" authorId="0" shapeId="0" xr:uid="{F61AC9B3-FE10-4D56-941A-288AC93CCC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1060" authorId="0" shapeId="0" xr:uid="{EACC88EA-F869-4D7C-A124-0F34B5B92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1" authorId="0" shapeId="0" xr:uid="{E97A1E05-5502-442F-9CD9-11B68F7117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061" authorId="0" shapeId="0" xr:uid="{C76327D7-0B0D-4E9C-8E30-AC2192183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1062" authorId="0" shapeId="0" xr:uid="{B4EB926B-63B7-43A4-AE5C-C9B530E2A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062" authorId="0" shapeId="0" xr:uid="{73EEEC07-00D3-419E-992D-7162A82E5A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1063" authorId="0" shapeId="0" xr:uid="{632CF10B-43ED-4553-A9B1-37AECF138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1063" authorId="0" shapeId="0" xr:uid="{71F54E12-5EF7-46A4-9259-8474BF8DB6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1064" authorId="0" shapeId="0" xr:uid="{EF439D7E-7E8A-41ED-8527-8803ABB2C4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1064" authorId="0" shapeId="0" xr:uid="{30DFEAD4-C711-4BDB-8370-21DF13DE5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INFINITY CALUAN RESORT
CALUAN, SINDANGAN</t>
        </r>
      </text>
    </comment>
    <comment ref="C1065" authorId="0" shapeId="0" xr:uid="{FFD74A24-2D93-4224-9981-F04652ACE9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1066" authorId="0" shapeId="0" xr:uid="{27054A69-3FFD-4D3E-8E45-C9D4015981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1067" authorId="0" shapeId="0" xr:uid="{79F9AFE7-44F3-46A3-AF12-B60944126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1068" authorId="0" shapeId="0" xr:uid="{8D0438B9-3A73-4C1E-A731-C545BD6EDC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CAMELEOR GUILLERMA
POLAYO, SIAYAN</t>
        </r>
      </text>
    </comment>
    <comment ref="C1069" authorId="0" shapeId="0" xr:uid="{BCD676CF-DDFA-407C-8B0A-8203FB521C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ENOSINCIA
POLAYO, SIAYAN</t>
        </r>
      </text>
    </comment>
    <comment ref="C1070" authorId="0" shapeId="0" xr:uid="{DCF28B06-D390-4A20-AE3D-068F0A00DF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C1071" authorId="0" shapeId="0" xr:uid="{FD91538E-82F4-44D5-BB9B-5DE32C2F0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1112" authorId="0" shapeId="0" xr:uid="{6471219C-A258-4F29-B9AB-BC9555D0CF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POB, SINDANGAN</t>
        </r>
      </text>
    </comment>
    <comment ref="O1112" authorId="0" shapeId="0" xr:uid="{C9F69907-4A50-4AFF-8C8B-801AEE3A48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112" authorId="0" shapeId="0" xr:uid="{5D4A94E0-21D6-4444-9C6C-E4ECEF354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SALUG, BACONG</t>
        </r>
      </text>
    </comment>
    <comment ref="C1113" authorId="0" shapeId="0" xr:uid="{683AA04D-90AA-4049-ACB3-53E262E06B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POB, SINDANGAN</t>
        </r>
      </text>
    </comment>
    <comment ref="AA1113" authorId="0" shapeId="0" xr:uid="{6DB7DA31-D607-4E20-809C-C1EAC30020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JAMIRI ADIMAR
POB, SALUG</t>
        </r>
      </text>
    </comment>
    <comment ref="C1114" authorId="0" shapeId="0" xr:uid="{0828447F-CEE2-465B-A1E1-F72A3765E9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POB, SINDANGAN</t>
        </r>
      </text>
    </comment>
    <comment ref="AA1114" authorId="0" shapeId="0" xr:uid="{A99B5150-3586-4B93-8B1A-06E7AD0D56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AA1115" authorId="0" shapeId="0" xr:uid="{89CD013D-50AC-418C-A45D-51B5966A6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A1116" authorId="0" shapeId="0" xr:uid="{6507A4E9-E2E0-41E1-9CE1-C6C6D2A6E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</t>
        </r>
      </text>
    </comment>
    <comment ref="AA1117" authorId="0" shapeId="0" xr:uid="{0B984783-8757-4372-85F0-73A9FA665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 EATERY
POB, SALUG</t>
        </r>
      </text>
    </comment>
    <comment ref="C1167" authorId="0" shapeId="0" xr:uid="{5839E03B-DB2F-490C-BFB9-C4803417FF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167" authorId="0" shapeId="0" xr:uid="{39F43530-056D-43DD-90C9-A508EE390C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INUMAN, SINDANGAN</t>
        </r>
      </text>
    </comment>
    <comment ref="AA1167" authorId="0" shapeId="0" xr:uid="{E4875D3D-886F-4FB6-971E-F220031792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ZAMORA
DISUD, SINDANGAN</t>
        </r>
      </text>
    </comment>
    <comment ref="C1168" authorId="0" shapeId="0" xr:uid="{7971814A-01E8-4F04-B1D8-92FE85F76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EDORAH MADULA/ MADULA STORE
CALACAS, SIAYAN</t>
        </r>
      </text>
    </comment>
    <comment ref="O1168" authorId="0" shapeId="0" xr:uid="{27A858C8-6D7A-4A9C-A905-D8E9102CC3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ELENA REBOLONA
INUMAN, SINDANGAN</t>
        </r>
      </text>
    </comment>
    <comment ref="AA1168" authorId="0" shapeId="0" xr:uid="{E6BA2F32-B38C-419A-875D-CF69581358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169" authorId="0" shapeId="0" xr:uid="{55DB8A72-07DD-4FE0-9A0F-FDF43A3DC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1169" authorId="0" shapeId="0" xr:uid="{43104ACC-C061-4533-BFAD-E8D29FF120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 SATORE
INUMAN, SINDANGAN</t>
        </r>
      </text>
    </comment>
    <comment ref="AA1169" authorId="0" shapeId="0" xr:uid="{D2B2BFA3-B429-4DBE-9EBC-610B2C35A8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70" authorId="0" shapeId="0" xr:uid="{C0DF2CDB-FC50-46A7-84A0-BADF7ED8FC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1170" authorId="0" shapeId="0" xr:uid="{AF93B4B7-F38F-4847-B3B2-BF02853179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1170" authorId="0" shapeId="0" xr:uid="{338C2E41-6050-4A0D-ABEC-BBDEDA796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ARVIN SOLO
SALUG, BACONG</t>
        </r>
      </text>
    </comment>
    <comment ref="C1171" authorId="0" shapeId="0" xr:uid="{064E2865-AC9B-4A60-A2FD-3FA69A1A0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O1171" authorId="0" shapeId="0" xr:uid="{43947D1C-C948-4108-8898-2B8E3B6939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SAMBANG STORE
POB, BACUNGAN</t>
        </r>
      </text>
    </comment>
    <comment ref="AA1171" authorId="0" shapeId="0" xr:uid="{68406DEF-4C87-4085-8DBC-773E4F755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BACONG / RAZIEL NUGAS
BACONG, SALUG</t>
        </r>
      </text>
    </comment>
    <comment ref="O1172" authorId="0" shapeId="0" xr:uid="{C7673BE4-F84B-4972-8D4D-913FA43ED1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1173" authorId="0" shapeId="0" xr:uid="{0A81EA21-EF5F-470D-916C-B54DC16E9D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BACUNGAN</t>
        </r>
      </text>
    </comment>
    <comment ref="O1174" authorId="0" shapeId="0" xr:uid="{70708ECB-5C21-4FBB-AA31-DE647FA73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175" authorId="0" shapeId="0" xr:uid="{EB08FA72-49E3-4BF0-A27C-50B18676F1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1176" authorId="0" shapeId="0" xr:uid="{250FE74C-BF52-4376-9743-CF2A3A2333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1177" authorId="0" shapeId="0" xr:uid="{10FB8690-FA78-4EB6-AB00-B6272FB08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8" authorId="0" shapeId="0" xr:uid="{759AC8AF-69D5-4E5A-B98F-C7A6D2343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9" authorId="0" shapeId="0" xr:uid="{B6C661C2-BB21-4B4A-8FCA-86F0E99550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MARAS, SINDANGAN</t>
        </r>
      </text>
    </comment>
    <comment ref="O1180" authorId="0" shapeId="0" xr:uid="{F59B7CF1-65C1-41C4-ABDF-D5872E0760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181" authorId="0" shapeId="0" xr:uid="{63F0DB80-165B-4BEE-83EF-416CA7D65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O1182" authorId="0" shapeId="0" xr:uid="{FF0461E4-A724-45CD-A88C-05F884BBEC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O1183" authorId="0" shapeId="0" xr:uid="{C2D0A799-58D1-4C21-9C50-BFB038ACF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ARACEILIE ALESNA
MANDIH, SINDANGAN</t>
        </r>
      </text>
    </comment>
    <comment ref="O1184" authorId="0" shapeId="0" xr:uid="{5CB012DE-A0BE-45DD-ABD7-82B773DEC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PARILLA
MANDIH, SINDANGAN</t>
        </r>
      </text>
    </comment>
    <comment ref="O1185" authorId="0" shapeId="0" xr:uid="{3A64FCDA-53CD-4061-AAC3-A2711F846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O1186" authorId="0" shapeId="0" xr:uid="{65500E92-B551-494B-85B2-B848697743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187" authorId="0" shapeId="0" xr:uid="{81EB3AA0-3040-4AC2-9902-6E0DBDFA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MARIVIC ESCORIAL
GOLEO, SINDANGAN</t>
        </r>
      </text>
    </comment>
    <comment ref="O1188" authorId="0" shapeId="0" xr:uid="{5A2282C0-755C-420F-84D9-212F481F21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
GOLEO, SINDANGAN</t>
        </r>
      </text>
    </comment>
    <comment ref="O1189" authorId="0" shapeId="0" xr:uid="{3735495A-6FC3-432D-AF5E-25CB80F5B1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1190" authorId="0" shapeId="0" xr:uid="{366311BF-45DB-4D4C-8F70-93AC41DC77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</commentList>
</comments>
</file>

<file path=xl/sharedStrings.xml><?xml version="1.0" encoding="utf-8"?>
<sst xmlns="http://schemas.openxmlformats.org/spreadsheetml/2006/main" count="1672" uniqueCount="104">
  <si>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</si>
  <si>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</si>
  <si>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</si>
  <si>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</si>
  <si>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</si>
  <si>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</si>
  <si>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</si>
  <si>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</si>
  <si>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</si>
  <si>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</si>
  <si>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</si>
  <si>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</si>
  <si>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</si>
  <si>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</si>
  <si>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</si>
  <si>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</si>
  <si>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</si>
  <si>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</si>
  <si>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</si>
  <si>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</si>
  <si>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</si>
  <si>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</si>
  <si>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</si>
  <si>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</si>
  <si>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</si>
  <si>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</si>
  <si>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</si>
  <si>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</si>
  <si>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</si>
  <si>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</si>
  <si>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</si>
  <si>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</si>
  <si>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</si>
  <si>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</si>
  <si>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</si>
  <si>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</si>
  <si>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</si>
  <si>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</si>
  <si>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</si>
  <si>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</si>
  <si>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</si>
  <si>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</si>
  <si>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</si>
  <si>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</si>
  <si>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</si>
  <si>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</si>
  <si>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</si>
  <si>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</si>
  <si>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</si>
  <si>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</si>
  <si>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</si>
  <si>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</si>
  <si>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</si>
  <si>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</si>
  <si>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</si>
  <si>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</si>
  <si>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</si>
  <si>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</si>
  <si>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</si>
  <si>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</si>
  <si>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</si>
  <si>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</si>
  <si>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</si>
  <si>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</si>
  <si>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</si>
  <si>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</si>
  <si>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</si>
  <si>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</si>
  <si>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</si>
  <si>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</si>
  <si>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</si>
  <si>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</si>
  <si>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</si>
  <si>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</si>
  <si>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</si>
  <si>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</si>
  <si>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</si>
  <si>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</si>
  <si>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</si>
  <si>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</si>
  <si>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</si>
  <si>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</si>
  <si>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</si>
  <si>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</si>
  <si>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</si>
  <si>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</si>
  <si>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</si>
  <si>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</si>
  <si>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</si>
  <si>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</si>
  <si>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</si>
  <si>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</si>
  <si>
    <t>NOVEMBER 24, 2025</t>
  </si>
  <si>
    <t>11/24/2025</t>
  </si>
  <si>
    <t>7372-7385/7408-7417/7321-7326</t>
  </si>
  <si>
    <t>NOVEMBER 25, 2025</t>
  </si>
  <si>
    <t>11/25/2025</t>
  </si>
  <si>
    <t>7386-7400/7418-7425/7327-7330</t>
  </si>
  <si>
    <t>NOVEMBER 26, 2025</t>
  </si>
  <si>
    <t>11/26/2025</t>
  </si>
  <si>
    <t>7501-7503/7426/7331-7336</t>
  </si>
  <si>
    <t>NOVEMBER 27, 2025</t>
  </si>
  <si>
    <t>11/27/2025</t>
  </si>
  <si>
    <t>7504-7508/7427-7450/7337-7341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</si>
</sst>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3" zoomScaleNormal="100" workbookViewId="0">
      <selection activeCell="H36" sqref="H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8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 t="s">
        <v>94</v>
      </c>
      <c r="D33" s="16">
        <f t="shared" ref="D33:D38" si="5">J33</f>
        <v>804866.5</v>
      </c>
      <c r="E33" s="15"/>
      <c r="F33" s="15">
        <v>162168.5</v>
      </c>
      <c r="G33" s="14">
        <v>133522</v>
      </c>
      <c r="H33" s="14">
        <v>509176</v>
      </c>
      <c r="I33" s="14"/>
      <c r="J33" s="17">
        <f t="shared" si="1"/>
        <v>804866.5</v>
      </c>
    </row>
    <row r="34" spans="1:10" x14ac:dyDescent="0.25">
      <c r="A34" s="10">
        <f>A33+1</f>
        <v>25</v>
      </c>
      <c r="B34" s="43" t="s">
        <v>8</v>
      </c>
      <c r="C34" s="12" t="s">
        <v>97</v>
      </c>
      <c r="D34" s="16">
        <f t="shared" si="5"/>
        <v>476256</v>
      </c>
      <c r="E34" s="14"/>
      <c r="F34" s="15">
        <v>100282</v>
      </c>
      <c r="G34" s="14">
        <v>145176</v>
      </c>
      <c r="H34" s="14">
        <v>230798</v>
      </c>
      <c r="I34" s="14"/>
      <c r="J34" s="17">
        <f t="shared" si="1"/>
        <v>476256</v>
      </c>
    </row>
    <row r="35" spans="1:10" x14ac:dyDescent="0.25">
      <c r="A35" s="10">
        <f t="shared" si="2"/>
        <v>26</v>
      </c>
      <c r="B35" s="56" t="s">
        <v>9</v>
      </c>
      <c r="C35" s="12" t="s">
        <v>100</v>
      </c>
      <c r="D35" s="16">
        <f t="shared" si="5"/>
        <v>1001298</v>
      </c>
      <c r="E35" s="14"/>
      <c r="F35" s="14">
        <v>547623</v>
      </c>
      <c r="G35" s="14">
        <v>201280</v>
      </c>
      <c r="H35" s="14">
        <v>252395</v>
      </c>
      <c r="I35" s="14"/>
      <c r="J35" s="17">
        <f t="shared" si="1"/>
        <v>1001298</v>
      </c>
    </row>
    <row r="36" spans="1:10" x14ac:dyDescent="0.25">
      <c r="A36" s="10">
        <f t="shared" si="2"/>
        <v>27</v>
      </c>
      <c r="B36" s="11" t="s">
        <v>30</v>
      </c>
      <c r="C36" s="12" t="s">
        <v>103</v>
      </c>
      <c r="D36" s="16">
        <f t="shared" si="5"/>
        <v>602998.5</v>
      </c>
      <c r="E36" s="14"/>
      <c r="F36" s="14">
        <v>249889</v>
      </c>
      <c r="G36" s="14">
        <v>132687.5</v>
      </c>
      <c r="H36" s="14">
        <v>220422</v>
      </c>
      <c r="I36" s="14"/>
      <c r="J36" s="17">
        <f t="shared" si="1"/>
        <v>602998.5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SUM(D2:D39)</f>
        <v>13119645.5</v>
      </c>
      <c r="J42" s="49">
        <f>SUM(J10:J41)</f>
        <v>13119645.5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180" zoomScaleNormal="100" workbookViewId="0">
      <selection activeCell="AE1210" sqref="AE12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17</v>
      </c>
      <c r="E10" s="124"/>
      <c r="F10" s="77"/>
      <c r="G10" s="27"/>
      <c r="I10" s="122" t="s">
        <v>18</v>
      </c>
      <c r="J10" s="123"/>
      <c r="K10" s="120" t="s">
        <v>19</v>
      </c>
      <c r="N10" s="25"/>
      <c r="O10" s="26"/>
      <c r="P10" s="124" t="s">
        <v>17</v>
      </c>
      <c r="Q10" s="124"/>
      <c r="R10" s="77"/>
      <c r="S10" s="27"/>
      <c r="U10" s="122" t="s">
        <v>18</v>
      </c>
      <c r="V10" s="123"/>
      <c r="W10" s="120" t="s">
        <v>19</v>
      </c>
      <c r="Z10" s="25"/>
      <c r="AA10" s="26"/>
      <c r="AB10" s="124" t="s">
        <v>17</v>
      </c>
      <c r="AC10" s="124"/>
      <c r="AD10" s="77"/>
      <c r="AE10" s="27"/>
      <c r="AG10" s="122" t="s">
        <v>18</v>
      </c>
      <c r="AH10" s="123"/>
      <c r="AI10" s="12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45727</v>
      </c>
      <c r="C12" s="90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0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0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0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0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0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0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0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0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0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0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0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0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0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0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0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0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0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0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4" t="s">
        <v>17</v>
      </c>
      <c r="E65" s="124"/>
      <c r="F65" s="91"/>
      <c r="G65" s="27"/>
      <c r="I65" s="122" t="s">
        <v>18</v>
      </c>
      <c r="J65" s="123"/>
      <c r="K65" s="120" t="s">
        <v>19</v>
      </c>
      <c r="N65" s="25"/>
      <c r="O65" s="26"/>
      <c r="P65" s="124" t="s">
        <v>17</v>
      </c>
      <c r="Q65" s="124"/>
      <c r="R65" s="91"/>
      <c r="S65" s="27"/>
      <c r="U65" s="122" t="s">
        <v>18</v>
      </c>
      <c r="V65" s="123"/>
      <c r="W65" s="120" t="s">
        <v>19</v>
      </c>
      <c r="Z65" s="25"/>
      <c r="AA65" s="26"/>
      <c r="AB65" s="124" t="s">
        <v>17</v>
      </c>
      <c r="AC65" s="124"/>
      <c r="AD65" s="91"/>
      <c r="AE65" s="27"/>
      <c r="AG65" s="122" t="s">
        <v>18</v>
      </c>
      <c r="AH65" s="123"/>
      <c r="AI65" s="12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0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19"/>
      <c r="AO67" s="119"/>
      <c r="AP67" s="87"/>
      <c r="AQ67" s="62"/>
      <c r="AR67" s="119"/>
      <c r="AS67" s="119"/>
      <c r="AT67" s="11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0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0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0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0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0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0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0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0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0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0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0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0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0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0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0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17</v>
      </c>
      <c r="E120" s="124"/>
      <c r="F120" s="92"/>
      <c r="G120" s="27"/>
      <c r="I120" s="122" t="s">
        <v>18</v>
      </c>
      <c r="J120" s="123"/>
      <c r="K120" s="120" t="s">
        <v>19</v>
      </c>
      <c r="N120" s="25"/>
      <c r="O120" s="26"/>
      <c r="P120" s="124" t="s">
        <v>17</v>
      </c>
      <c r="Q120" s="124"/>
      <c r="R120" s="92"/>
      <c r="S120" s="27"/>
      <c r="U120" s="122" t="s">
        <v>18</v>
      </c>
      <c r="V120" s="123"/>
      <c r="W120" s="120" t="s">
        <v>19</v>
      </c>
      <c r="Z120" s="25"/>
      <c r="AA120" s="26"/>
      <c r="AB120" s="124" t="s">
        <v>17</v>
      </c>
      <c r="AC120" s="124"/>
      <c r="AD120" s="92"/>
      <c r="AE120" s="27"/>
      <c r="AG120" s="122" t="s">
        <v>18</v>
      </c>
      <c r="AH120" s="123"/>
      <c r="AI120" s="12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0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0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0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0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0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0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0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0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0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0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0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0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0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0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0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0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0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0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0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0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0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0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0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0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0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0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0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0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0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0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0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0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0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4" t="s">
        <v>17</v>
      </c>
      <c r="E175" s="124"/>
      <c r="F175" s="93"/>
      <c r="G175" s="27"/>
      <c r="I175" s="122" t="s">
        <v>18</v>
      </c>
      <c r="J175" s="123"/>
      <c r="K175" s="120" t="s">
        <v>19</v>
      </c>
      <c r="N175" s="25"/>
      <c r="O175" s="26"/>
      <c r="P175" s="124" t="s">
        <v>17</v>
      </c>
      <c r="Q175" s="124"/>
      <c r="R175" s="93"/>
      <c r="S175" s="27"/>
      <c r="U175" s="122" t="s">
        <v>18</v>
      </c>
      <c r="V175" s="123"/>
      <c r="W175" s="120" t="s">
        <v>19</v>
      </c>
      <c r="Z175" s="25"/>
      <c r="AA175" s="26"/>
      <c r="AB175" s="124" t="s">
        <v>17</v>
      </c>
      <c r="AC175" s="124"/>
      <c r="AD175" s="93"/>
      <c r="AE175" s="27"/>
      <c r="AG175" s="122" t="s">
        <v>18</v>
      </c>
      <c r="AH175" s="123"/>
      <c r="AI175" s="12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1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0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0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0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0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0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19"/>
      <c r="AO181" s="119"/>
      <c r="AP181" s="87"/>
      <c r="AQ181" s="62"/>
      <c r="AR181" s="119"/>
      <c r="AS181" s="119"/>
      <c r="AT181" s="11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0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0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0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0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0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0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0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0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0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0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0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0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0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0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0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0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0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0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0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0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0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0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0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0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0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0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0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4" t="s">
        <v>17</v>
      </c>
      <c r="E230" s="124"/>
      <c r="F230" s="94"/>
      <c r="G230" s="27"/>
      <c r="I230" s="122" t="s">
        <v>18</v>
      </c>
      <c r="J230" s="123"/>
      <c r="K230" s="120" t="s">
        <v>19</v>
      </c>
      <c r="M230" s="62"/>
      <c r="N230" s="65"/>
      <c r="O230" s="89"/>
      <c r="P230" s="119"/>
      <c r="Q230" s="119"/>
      <c r="R230" s="89"/>
      <c r="S230" s="89"/>
      <c r="T230" s="62"/>
      <c r="U230" s="119"/>
      <c r="V230" s="119"/>
      <c r="W230" s="118"/>
      <c r="Z230" s="25"/>
      <c r="AA230" s="26"/>
      <c r="AB230" s="124" t="s">
        <v>17</v>
      </c>
      <c r="AC230" s="124"/>
      <c r="AD230" s="94"/>
      <c r="AE230" s="27"/>
      <c r="AG230" s="122" t="s">
        <v>18</v>
      </c>
      <c r="AH230" s="123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1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1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0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0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0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0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0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0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0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0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0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0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0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0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0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0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0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0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0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0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0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0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0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0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0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0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0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0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0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0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0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0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0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4" t="s">
        <v>17</v>
      </c>
      <c r="E285" s="124"/>
      <c r="F285" s="95"/>
      <c r="G285" s="27"/>
      <c r="I285" s="122" t="s">
        <v>18</v>
      </c>
      <c r="J285" s="123"/>
      <c r="K285" s="120" t="s">
        <v>19</v>
      </c>
      <c r="N285" s="25"/>
      <c r="O285" s="26"/>
      <c r="P285" s="124" t="s">
        <v>17</v>
      </c>
      <c r="Q285" s="124"/>
      <c r="R285" s="95"/>
      <c r="S285" s="27"/>
      <c r="U285" s="122" t="s">
        <v>18</v>
      </c>
      <c r="V285" s="123"/>
      <c r="W285" s="120" t="s">
        <v>19</v>
      </c>
      <c r="Z285" s="25"/>
      <c r="AA285" s="26"/>
      <c r="AB285" s="124" t="s">
        <v>17</v>
      </c>
      <c r="AC285" s="124"/>
      <c r="AD285" s="95"/>
      <c r="AE285" s="27"/>
      <c r="AG285" s="122" t="s">
        <v>18</v>
      </c>
      <c r="AH285" s="123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0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0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0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0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0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0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0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0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0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0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0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0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0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0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0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0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0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0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0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0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0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0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0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0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0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0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0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0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0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0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4" t="s">
        <v>17</v>
      </c>
      <c r="E340" s="124"/>
      <c r="F340" s="96"/>
      <c r="G340" s="27"/>
      <c r="I340" s="122" t="s">
        <v>18</v>
      </c>
      <c r="J340" s="123"/>
      <c r="K340" s="120" t="s">
        <v>19</v>
      </c>
      <c r="N340" s="25"/>
      <c r="O340" s="26"/>
      <c r="P340" s="124" t="s">
        <v>17</v>
      </c>
      <c r="Q340" s="124"/>
      <c r="R340" s="96"/>
      <c r="S340" s="27"/>
      <c r="U340" s="122" t="s">
        <v>18</v>
      </c>
      <c r="V340" s="123"/>
      <c r="W340" s="120" t="s">
        <v>19</v>
      </c>
      <c r="Z340" s="25"/>
      <c r="AA340" s="26"/>
      <c r="AB340" s="124" t="s">
        <v>17</v>
      </c>
      <c r="AC340" s="124"/>
      <c r="AD340" s="96"/>
      <c r="AE340" s="27"/>
      <c r="AG340" s="122" t="s">
        <v>18</v>
      </c>
      <c r="AH340" s="123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0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0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0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0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0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0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0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0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0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0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0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0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0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0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0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0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0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0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0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0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0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0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0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0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0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0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0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0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0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0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0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4" t="s">
        <v>17</v>
      </c>
      <c r="E395" s="124"/>
      <c r="F395" s="97"/>
      <c r="G395" s="27"/>
      <c r="I395" s="122" t="s">
        <v>18</v>
      </c>
      <c r="J395" s="123"/>
      <c r="K395" s="120" t="s">
        <v>19</v>
      </c>
      <c r="N395" s="25"/>
      <c r="O395" s="26"/>
      <c r="P395" s="124" t="s">
        <v>17</v>
      </c>
      <c r="Q395" s="124"/>
      <c r="R395" s="97"/>
      <c r="S395" s="27"/>
      <c r="U395" s="122" t="s">
        <v>18</v>
      </c>
      <c r="V395" s="123"/>
      <c r="W395" s="120" t="s">
        <v>19</v>
      </c>
      <c r="Z395" s="25"/>
      <c r="AA395" s="26"/>
      <c r="AB395" s="124" t="s">
        <v>17</v>
      </c>
      <c r="AC395" s="124"/>
      <c r="AD395" s="97"/>
      <c r="AE395" s="27"/>
      <c r="AG395" s="122" t="s">
        <v>18</v>
      </c>
      <c r="AH395" s="123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1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1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0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0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0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0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0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0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0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0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0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0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0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0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0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0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0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0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0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0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0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0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0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0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0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0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0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0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0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0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0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0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0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0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4" t="s">
        <v>17</v>
      </c>
      <c r="E450" s="124"/>
      <c r="F450" s="98"/>
      <c r="G450" s="27"/>
      <c r="I450" s="122" t="s">
        <v>18</v>
      </c>
      <c r="J450" s="123"/>
      <c r="K450" s="120" t="s">
        <v>19</v>
      </c>
      <c r="N450" s="25"/>
      <c r="O450" s="26"/>
      <c r="P450" s="124" t="s">
        <v>17</v>
      </c>
      <c r="Q450" s="124"/>
      <c r="R450" s="98"/>
      <c r="S450" s="27"/>
      <c r="U450" s="122" t="s">
        <v>18</v>
      </c>
      <c r="V450" s="123"/>
      <c r="W450" s="120" t="s">
        <v>19</v>
      </c>
      <c r="Z450" s="25"/>
      <c r="AA450" s="26"/>
      <c r="AB450" s="124" t="s">
        <v>17</v>
      </c>
      <c r="AC450" s="124"/>
      <c r="AD450" s="98"/>
      <c r="AE450" s="27"/>
      <c r="AG450" s="122" t="s">
        <v>18</v>
      </c>
      <c r="AH450" s="123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1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0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0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0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0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0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0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0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0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0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0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0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0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0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0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0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0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0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0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0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0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0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0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0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0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0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0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0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0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0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0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0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19"/>
      <c r="E505" s="119"/>
      <c r="F505" s="89"/>
      <c r="G505" s="89"/>
      <c r="H505" s="62"/>
      <c r="I505" s="119"/>
      <c r="J505" s="119"/>
      <c r="K505" s="118"/>
      <c r="N505" s="25"/>
      <c r="O505" s="26"/>
      <c r="P505" s="124" t="s">
        <v>17</v>
      </c>
      <c r="Q505" s="124"/>
      <c r="R505" s="99"/>
      <c r="S505" s="27"/>
      <c r="U505" s="122" t="s">
        <v>18</v>
      </c>
      <c r="V505" s="123"/>
      <c r="W505" s="120" t="s">
        <v>19</v>
      </c>
      <c r="Z505" s="25"/>
      <c r="AA505" s="26"/>
      <c r="AB505" s="124" t="s">
        <v>17</v>
      </c>
      <c r="AC505" s="124"/>
      <c r="AD505" s="99"/>
      <c r="AE505" s="27"/>
      <c r="AG505" s="122" t="s">
        <v>18</v>
      </c>
      <c r="AH505" s="123"/>
      <c r="AI505" s="12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1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1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4" t="s">
        <v>17</v>
      </c>
      <c r="E560" s="124"/>
      <c r="F560" s="100"/>
      <c r="G560" s="27"/>
      <c r="I560" s="122" t="s">
        <v>18</v>
      </c>
      <c r="J560" s="123"/>
      <c r="K560" s="120" t="s">
        <v>19</v>
      </c>
      <c r="N560" s="25"/>
      <c r="O560" s="26"/>
      <c r="P560" s="124" t="s">
        <v>17</v>
      </c>
      <c r="Q560" s="124"/>
      <c r="R560" s="100"/>
      <c r="S560" s="27"/>
      <c r="U560" s="122" t="s">
        <v>18</v>
      </c>
      <c r="V560" s="123"/>
      <c r="W560" s="120" t="s">
        <v>19</v>
      </c>
      <c r="Z560" s="25"/>
      <c r="AA560" s="26"/>
      <c r="AB560" s="124" t="s">
        <v>17</v>
      </c>
      <c r="AC560" s="124"/>
      <c r="AD560" s="100"/>
      <c r="AE560" s="27"/>
      <c r="AG560" s="122" t="s">
        <v>18</v>
      </c>
      <c r="AH560" s="123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1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0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0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0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0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0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0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0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0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0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0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0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0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0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0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0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0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0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0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0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0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0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0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0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0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0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0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0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0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0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4" t="s">
        <v>17</v>
      </c>
      <c r="E615" s="124"/>
      <c r="F615" s="101"/>
      <c r="G615" s="27"/>
      <c r="I615" s="122" t="s">
        <v>18</v>
      </c>
      <c r="J615" s="123"/>
      <c r="K615" s="120" t="s">
        <v>19</v>
      </c>
      <c r="M615" s="62"/>
      <c r="N615" s="65"/>
      <c r="O615" s="89"/>
      <c r="P615" s="119"/>
      <c r="Q615" s="119"/>
      <c r="R615" s="89"/>
      <c r="S615" s="89"/>
      <c r="T615" s="62"/>
      <c r="U615" s="119"/>
      <c r="V615" s="119"/>
      <c r="W615" s="118"/>
      <c r="Z615" s="25"/>
      <c r="AA615" s="26"/>
      <c r="AB615" s="124" t="s">
        <v>17</v>
      </c>
      <c r="AC615" s="124"/>
      <c r="AD615" s="101"/>
      <c r="AE615" s="27"/>
      <c r="AG615" s="122" t="s">
        <v>18</v>
      </c>
      <c r="AH615" s="123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1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18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0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0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0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0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0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0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0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0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0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0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0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0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0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0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0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0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0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0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0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0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0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0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0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0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0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0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0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0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0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0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0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0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4" t="s">
        <v>17</v>
      </c>
      <c r="E670" s="124"/>
      <c r="F670" s="102"/>
      <c r="G670" s="27"/>
      <c r="I670" s="122" t="s">
        <v>18</v>
      </c>
      <c r="J670" s="123"/>
      <c r="K670" s="120" t="s">
        <v>19</v>
      </c>
      <c r="N670" s="25"/>
      <c r="O670" s="26"/>
      <c r="P670" s="124" t="s">
        <v>17</v>
      </c>
      <c r="Q670" s="124"/>
      <c r="R670" s="102"/>
      <c r="S670" s="27"/>
      <c r="U670" s="122" t="s">
        <v>18</v>
      </c>
      <c r="V670" s="123"/>
      <c r="W670" s="120" t="s">
        <v>19</v>
      </c>
      <c r="Z670" s="25"/>
      <c r="AA670" s="26"/>
      <c r="AB670" s="124" t="s">
        <v>17</v>
      </c>
      <c r="AC670" s="124"/>
      <c r="AD670" s="102"/>
      <c r="AE670" s="27"/>
      <c r="AG670" s="122" t="s">
        <v>18</v>
      </c>
      <c r="AH670" s="123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0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0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0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0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0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0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0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0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0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0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0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0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0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0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0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0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0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0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0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0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0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0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0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0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0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0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0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0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0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0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0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4" t="s">
        <v>17</v>
      </c>
      <c r="E725" s="124"/>
      <c r="F725" s="103"/>
      <c r="G725" s="27"/>
      <c r="I725" s="122" t="s">
        <v>18</v>
      </c>
      <c r="J725" s="123"/>
      <c r="K725" s="120" t="s">
        <v>19</v>
      </c>
      <c r="N725" s="25"/>
      <c r="O725" s="26"/>
      <c r="P725" s="124" t="s">
        <v>17</v>
      </c>
      <c r="Q725" s="124"/>
      <c r="R725" s="103"/>
      <c r="S725" s="27"/>
      <c r="U725" s="122" t="s">
        <v>18</v>
      </c>
      <c r="V725" s="123"/>
      <c r="W725" s="120" t="s">
        <v>19</v>
      </c>
      <c r="Z725" s="25"/>
      <c r="AA725" s="26"/>
      <c r="AB725" s="124" t="s">
        <v>17</v>
      </c>
      <c r="AC725" s="124"/>
      <c r="AD725" s="103"/>
      <c r="AE725" s="27"/>
      <c r="AG725" s="122" t="s">
        <v>18</v>
      </c>
      <c r="AH725" s="123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0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0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0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0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0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0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0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0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0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0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0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0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0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0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0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0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0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0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0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0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0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0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0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0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0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0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0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0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0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0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0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0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4" t="s">
        <v>17</v>
      </c>
      <c r="E780" s="124"/>
      <c r="F780" s="104"/>
      <c r="G780" s="27"/>
      <c r="I780" s="122" t="s">
        <v>18</v>
      </c>
      <c r="J780" s="123"/>
      <c r="K780" s="120" t="s">
        <v>19</v>
      </c>
      <c r="N780" s="25"/>
      <c r="O780" s="26"/>
      <c r="P780" s="124" t="s">
        <v>17</v>
      </c>
      <c r="Q780" s="124"/>
      <c r="R780" s="104"/>
      <c r="S780" s="27"/>
      <c r="U780" s="122" t="s">
        <v>18</v>
      </c>
      <c r="V780" s="123"/>
      <c r="W780" s="120" t="s">
        <v>19</v>
      </c>
      <c r="Z780" s="25"/>
      <c r="AA780" s="26"/>
      <c r="AB780" s="124" t="s">
        <v>17</v>
      </c>
      <c r="AC780" s="124"/>
      <c r="AD780" s="104"/>
      <c r="AE780" s="27"/>
      <c r="AG780" s="122" t="s">
        <v>18</v>
      </c>
      <c r="AH780" s="123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1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0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0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0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0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0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0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0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0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0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0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0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0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0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0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0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0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0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0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0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0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0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0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0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0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0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0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0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0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0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0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0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4" t="s">
        <v>17</v>
      </c>
      <c r="E835" s="124"/>
      <c r="F835" s="105"/>
      <c r="G835" s="27"/>
      <c r="I835" s="122" t="s">
        <v>18</v>
      </c>
      <c r="J835" s="123"/>
      <c r="K835" s="120" t="s">
        <v>19</v>
      </c>
      <c r="M835" s="62"/>
      <c r="N835" s="65"/>
      <c r="O835" s="89"/>
      <c r="P835" s="119"/>
      <c r="Q835" s="119"/>
      <c r="R835" s="89"/>
      <c r="S835" s="89"/>
      <c r="T835" s="62"/>
      <c r="U835" s="119"/>
      <c r="V835" s="119"/>
      <c r="W835" s="118"/>
      <c r="Z835" s="25"/>
      <c r="AA835" s="26"/>
      <c r="AB835" s="124" t="s">
        <v>17</v>
      </c>
      <c r="AC835" s="124"/>
      <c r="AD835" s="105"/>
      <c r="AE835" s="27"/>
      <c r="AG835" s="122" t="s">
        <v>18</v>
      </c>
      <c r="AH835" s="123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1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18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0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0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0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0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0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0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0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0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0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0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0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0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0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0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0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0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0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0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0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0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0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0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0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0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0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0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0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0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0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0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86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4" t="s">
        <v>17</v>
      </c>
      <c r="E890" s="124"/>
      <c r="F890" s="106"/>
      <c r="G890" s="27"/>
      <c r="I890" s="122" t="s">
        <v>18</v>
      </c>
      <c r="J890" s="123"/>
      <c r="K890" s="120" t="s">
        <v>19</v>
      </c>
      <c r="N890" s="25"/>
      <c r="O890" s="26"/>
      <c r="P890" s="124" t="s">
        <v>17</v>
      </c>
      <c r="Q890" s="124"/>
      <c r="R890" s="106"/>
      <c r="S890" s="27"/>
      <c r="U890" s="122" t="s">
        <v>18</v>
      </c>
      <c r="V890" s="123"/>
      <c r="W890" s="120" t="s">
        <v>19</v>
      </c>
      <c r="Z890" s="25"/>
      <c r="AA890" s="26"/>
      <c r="AB890" s="124" t="s">
        <v>17</v>
      </c>
      <c r="AC890" s="124"/>
      <c r="AD890" s="106"/>
      <c r="AE890" s="27"/>
      <c r="AG890" s="122" t="s">
        <v>18</v>
      </c>
      <c r="AH890" s="123"/>
      <c r="AI890" s="120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1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1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1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90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90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90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90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90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87</v>
      </c>
      <c r="C897" s="90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87</v>
      </c>
      <c r="C898" s="90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87</v>
      </c>
      <c r="C899" s="90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87</v>
      </c>
      <c r="C900" s="90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87</v>
      </c>
      <c r="C901" s="90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87</v>
      </c>
      <c r="C902" s="90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0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0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0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90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0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90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0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0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0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90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90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90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90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90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90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0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90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0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0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34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4" t="s">
        <v>17</v>
      </c>
      <c r="E945" s="124"/>
      <c r="F945" s="107"/>
      <c r="G945" s="27"/>
      <c r="I945" s="122" t="s">
        <v>18</v>
      </c>
      <c r="J945" s="123"/>
      <c r="K945" s="120" t="s">
        <v>19</v>
      </c>
      <c r="N945" s="25"/>
      <c r="O945" s="26"/>
      <c r="P945" s="124" t="s">
        <v>17</v>
      </c>
      <c r="Q945" s="124"/>
      <c r="R945" s="107"/>
      <c r="S945" s="27"/>
      <c r="U945" s="122" t="s">
        <v>18</v>
      </c>
      <c r="V945" s="123"/>
      <c r="W945" s="120" t="s">
        <v>19</v>
      </c>
      <c r="Z945" s="25"/>
      <c r="AA945" s="26"/>
      <c r="AB945" s="124" t="s">
        <v>17</v>
      </c>
      <c r="AC945" s="124"/>
      <c r="AD945" s="107"/>
      <c r="AE945" s="27"/>
      <c r="AG945" s="122" t="s">
        <v>18</v>
      </c>
      <c r="AH945" s="123"/>
      <c r="AI945" s="120" t="s">
        <v>19</v>
      </c>
      <c r="AK945" s="62"/>
      <c r="AL945" s="65"/>
      <c r="AM945" s="87"/>
      <c r="AN945" s="119"/>
      <c r="AO945" s="119"/>
      <c r="AP945" s="87"/>
      <c r="AQ945" s="84"/>
      <c r="AR945" s="62"/>
      <c r="AS945" s="119"/>
      <c r="AT945" s="119"/>
      <c r="AU945" s="118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1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1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1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8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90">
        <v>7359</v>
      </c>
      <c r="D947" s="32">
        <f>1788+28.5</f>
        <v>1816.5</v>
      </c>
      <c r="E947" s="32"/>
      <c r="F947" s="32"/>
      <c r="G947" s="32">
        <f t="shared" ref="G947:G980" si="255">SUM(D947:E947)</f>
        <v>1816.5</v>
      </c>
      <c r="H947" s="12"/>
      <c r="I947" s="12"/>
      <c r="J947" s="12"/>
      <c r="K947" s="12">
        <f t="shared" ref="K947:K980" si="256">SUM(G947:J947)</f>
        <v>1816.5</v>
      </c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90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79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88" si="258">SUM(S948:V948)</f>
        <v>117800</v>
      </c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85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88" si="260">SUM(AE948:AH948)</f>
        <v>101667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90">
        <f t="shared" ref="C949:C959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M949" s="10">
        <v>3</v>
      </c>
      <c r="N949" s="30" t="s">
        <v>90</v>
      </c>
      <c r="O949" s="31">
        <f t="shared" ref="O949:O952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Y949" s="10">
        <v>3</v>
      </c>
      <c r="Z949" s="30" t="s">
        <v>90</v>
      </c>
      <c r="AA949" s="31">
        <f t="shared" ref="AA949:AA950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90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90</v>
      </c>
      <c r="C951" s="90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90</v>
      </c>
      <c r="C952" s="90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90</v>
      </c>
      <c r="C953" s="90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90</v>
      </c>
      <c r="C954" s="90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90</v>
      </c>
      <c r="C955" s="90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90</v>
      </c>
      <c r="C956" s="90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90</v>
      </c>
      <c r="C957" s="90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 t="s">
        <v>90</v>
      </c>
      <c r="C958" s="90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 t="s">
        <v>90</v>
      </c>
      <c r="C959" s="90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0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0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0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0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0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0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90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90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90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90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90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90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0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90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0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0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P980" s="47"/>
      <c r="Q980" s="31"/>
      <c r="R980" s="31"/>
      <c r="S980" s="32">
        <f t="shared" ref="S980:S985" si="264">SUM(P980:Q980)</f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182814.5</v>
      </c>
      <c r="E990" s="38">
        <f t="shared" ref="E990:F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35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35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35</v>
      </c>
      <c r="Z997" s="57"/>
      <c r="AA997" s="57"/>
      <c r="AB997" s="57"/>
      <c r="AC997" s="57"/>
      <c r="AD997" s="57"/>
      <c r="AE997" s="57"/>
      <c r="AG997" s="57" t="s">
        <v>15</v>
      </c>
      <c r="AH997" s="19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42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4" t="s">
        <v>17</v>
      </c>
      <c r="E1000" s="124"/>
      <c r="F1000" s="109"/>
      <c r="G1000" s="27"/>
      <c r="I1000" s="122" t="s">
        <v>18</v>
      </c>
      <c r="J1000" s="123"/>
      <c r="K1000" s="120" t="s">
        <v>19</v>
      </c>
      <c r="N1000" s="25"/>
      <c r="O1000" s="26"/>
      <c r="P1000" s="124" t="s">
        <v>17</v>
      </c>
      <c r="Q1000" s="124"/>
      <c r="R1000" s="109"/>
      <c r="S1000" s="27"/>
      <c r="U1000" s="122" t="s">
        <v>18</v>
      </c>
      <c r="V1000" s="123"/>
      <c r="W1000" s="120" t="s">
        <v>19</v>
      </c>
      <c r="Z1000" s="25"/>
      <c r="AA1000" s="26"/>
      <c r="AB1000" s="124" t="s">
        <v>17</v>
      </c>
      <c r="AC1000" s="124"/>
      <c r="AD1000" s="109"/>
      <c r="AE1000" s="27"/>
      <c r="AG1000" s="122" t="s">
        <v>18</v>
      </c>
      <c r="AH1000" s="123"/>
      <c r="AI1000" s="120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1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1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1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90">
        <v>7372</v>
      </c>
      <c r="D1002" s="32">
        <f>25040+1228+2980</f>
        <v>29248</v>
      </c>
      <c r="E1002" s="32"/>
      <c r="F1002" s="32"/>
      <c r="G1002" s="32">
        <f t="shared" ref="G1002:G1035" si="270">SUM(D1002:E1002)</f>
        <v>29248</v>
      </c>
      <c r="H1002" s="12"/>
      <c r="I1002" s="12">
        <v>135</v>
      </c>
      <c r="J1002" s="12"/>
      <c r="K1002" s="12">
        <f t="shared" ref="K1002:K1035" si="271">SUM(G1002:J1002)</f>
        <v>29383</v>
      </c>
      <c r="M1002" s="10">
        <v>1</v>
      </c>
      <c r="N1002" s="30" t="s">
        <v>93</v>
      </c>
      <c r="O1002" s="31">
        <v>7408</v>
      </c>
      <c r="P1002" s="32">
        <f>6260+614+2384+832+133</f>
        <v>10223</v>
      </c>
      <c r="Q1002" s="32"/>
      <c r="R1002" s="32"/>
      <c r="S1002" s="32">
        <f>SUM(P1002:Q1002)</f>
        <v>10223</v>
      </c>
      <c r="T1002" s="12"/>
      <c r="U1002" s="12">
        <f>6.75+36</f>
        <v>42.75</v>
      </c>
      <c r="V1002" s="12"/>
      <c r="W1002" s="12">
        <f>SUM(S1002:V1002)</f>
        <v>10265.75</v>
      </c>
      <c r="Y1002" s="10">
        <v>1</v>
      </c>
      <c r="Z1002" s="30" t="s">
        <v>93</v>
      </c>
      <c r="AA1002" s="31">
        <v>7321</v>
      </c>
      <c r="AB1002" s="32">
        <f>187800+21490+27390+59600+6740+30150+41600+5000+1000</f>
        <v>380770</v>
      </c>
      <c r="AC1002" s="32"/>
      <c r="AD1002" s="32"/>
      <c r="AE1002" s="32">
        <f>SUM(AB1002:AC1002)</f>
        <v>380770</v>
      </c>
      <c r="AF1002" s="12"/>
      <c r="AG1002" s="12">
        <f>120*137+445*111</f>
        <v>65835</v>
      </c>
      <c r="AH1002" s="12">
        <f>-84*194</f>
        <v>-16296</v>
      </c>
      <c r="AI1002" s="12">
        <f>SUM(AE1002:AH1002)</f>
        <v>430309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90">
        <f>C1002+1</f>
        <v>7373</v>
      </c>
      <c r="D1003" s="32">
        <f>5008+1228+913+596+674+85.5</f>
        <v>8504.5</v>
      </c>
      <c r="E1003" s="32"/>
      <c r="F1003" s="32"/>
      <c r="G1003" s="32">
        <f t="shared" si="270"/>
        <v>8504.5</v>
      </c>
      <c r="H1003" s="12"/>
      <c r="I1003" s="12">
        <v>81</v>
      </c>
      <c r="J1003" s="12"/>
      <c r="K1003" s="12">
        <f t="shared" si="271"/>
        <v>8585.5</v>
      </c>
      <c r="M1003" s="10">
        <v>2</v>
      </c>
      <c r="N1003" s="30" t="s">
        <v>93</v>
      </c>
      <c r="O1003" s="31">
        <f>O1002+1</f>
        <v>7409</v>
      </c>
      <c r="P1003" s="32">
        <f>5008+76</f>
        <v>5084</v>
      </c>
      <c r="Q1003" s="32"/>
      <c r="R1003" s="32"/>
      <c r="S1003" s="32">
        <f t="shared" ref="S1003:S1034" si="272">SUM(P1003:Q1003)</f>
        <v>5084</v>
      </c>
      <c r="T1003" s="12"/>
      <c r="U1003" s="12"/>
      <c r="V1003" s="12"/>
      <c r="W1003" s="12">
        <f t="shared" ref="W1003:W1043" si="273">SUM(S1003:V1003)</f>
        <v>5084</v>
      </c>
      <c r="Y1003" s="10">
        <v>2</v>
      </c>
      <c r="Z1003" s="30" t="s">
        <v>93</v>
      </c>
      <c r="AA1003" s="31">
        <f>AA1002+1</f>
        <v>7322</v>
      </c>
      <c r="AB1003" s="32">
        <f>1447+1447+1664+8320</f>
        <v>12878</v>
      </c>
      <c r="AC1003" s="32"/>
      <c r="AD1003" s="32"/>
      <c r="AE1003" s="32">
        <f t="shared" ref="AE1003:AE1040" si="274">SUM(AB1003:AC1003)</f>
        <v>12878</v>
      </c>
      <c r="AF1003" s="12"/>
      <c r="AG1003" s="12"/>
      <c r="AH1003" s="12">
        <v>-5883</v>
      </c>
      <c r="AI1003" s="12">
        <f t="shared" ref="AI1003:AI1043" si="275">SUM(AE1003:AH1003)</f>
        <v>6995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90">
        <f t="shared" ref="C1004:C1015" si="276">C1003+1</f>
        <v>7374</v>
      </c>
      <c r="D1004" s="33">
        <f>1603</f>
        <v>1603</v>
      </c>
      <c r="E1004" s="33"/>
      <c r="F1004" s="33"/>
      <c r="G1004" s="33">
        <f t="shared" si="270"/>
        <v>1603</v>
      </c>
      <c r="H1004" s="34"/>
      <c r="I1004" s="34"/>
      <c r="J1004" s="34"/>
      <c r="K1004" s="34">
        <f t="shared" si="271"/>
        <v>1603</v>
      </c>
      <c r="M1004" s="10">
        <v>3</v>
      </c>
      <c r="N1004" s="30" t="s">
        <v>93</v>
      </c>
      <c r="O1004" s="31">
        <f t="shared" ref="O1004:O1011" si="277">O1003+1</f>
        <v>7410</v>
      </c>
      <c r="P1004" s="32">
        <f>25040+2980</f>
        <v>28020</v>
      </c>
      <c r="Q1004" s="32"/>
      <c r="R1004" s="32"/>
      <c r="S1004" s="32">
        <f t="shared" si="272"/>
        <v>28020</v>
      </c>
      <c r="T1004" s="12"/>
      <c r="U1004" s="12"/>
      <c r="V1004" s="12"/>
      <c r="W1004" s="12">
        <f t="shared" si="273"/>
        <v>28020</v>
      </c>
      <c r="Y1004" s="10">
        <v>3</v>
      </c>
      <c r="Z1004" s="30" t="s">
        <v>93</v>
      </c>
      <c r="AA1004" s="31">
        <f t="shared" ref="AA1004:AA1007" si="278">AA1003+1</f>
        <v>7323</v>
      </c>
      <c r="AB1004" s="33">
        <f>6500+1582+1770+5875+5875+2350+5510+13000+6500</f>
        <v>48962</v>
      </c>
      <c r="AC1004" s="33"/>
      <c r="AD1004" s="32"/>
      <c r="AE1004" s="32">
        <f t="shared" si="274"/>
        <v>48962</v>
      </c>
      <c r="AF1004" s="12"/>
      <c r="AG1004" s="12"/>
      <c r="AH1004" s="12"/>
      <c r="AI1004" s="12">
        <f t="shared" si="275"/>
        <v>48962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90">
        <f t="shared" si="276"/>
        <v>7375</v>
      </c>
      <c r="D1005" s="32">
        <f>1252+596+28.5</f>
        <v>1876.5</v>
      </c>
      <c r="E1005" s="32"/>
      <c r="F1005" s="32"/>
      <c r="G1005" s="32">
        <f t="shared" si="270"/>
        <v>1876.5</v>
      </c>
      <c r="H1005" s="12"/>
      <c r="I1005" s="12"/>
      <c r="J1005" s="12"/>
      <c r="K1005" s="12">
        <f t="shared" si="271"/>
        <v>1876.5</v>
      </c>
      <c r="M1005" s="10">
        <v>4</v>
      </c>
      <c r="N1005" s="30" t="s">
        <v>93</v>
      </c>
      <c r="O1005" s="31">
        <f t="shared" si="277"/>
        <v>7411</v>
      </c>
      <c r="P1005" s="32">
        <f>58844+687</f>
        <v>59531</v>
      </c>
      <c r="Q1005" s="32">
        <v>-776</v>
      </c>
      <c r="R1005" s="32"/>
      <c r="S1005" s="32">
        <f t="shared" si="272"/>
        <v>58755</v>
      </c>
      <c r="T1005" s="12"/>
      <c r="U1005" s="12"/>
      <c r="V1005" s="12"/>
      <c r="W1005" s="12">
        <f t="shared" si="273"/>
        <v>58755</v>
      </c>
      <c r="Y1005" s="10">
        <v>4</v>
      </c>
      <c r="Z1005" s="30" t="s">
        <v>93</v>
      </c>
      <c r="AA1005" s="31">
        <f t="shared" si="278"/>
        <v>7324</v>
      </c>
      <c r="AB1005" s="32">
        <f>3334+1582+1582+1142+1582+2204+5510</f>
        <v>16936</v>
      </c>
      <c r="AC1005" s="32"/>
      <c r="AD1005" s="32"/>
      <c r="AE1005" s="32">
        <f t="shared" si="274"/>
        <v>16936</v>
      </c>
      <c r="AF1005" s="12"/>
      <c r="AH1005" s="12"/>
      <c r="AI1005" s="12">
        <f t="shared" si="275"/>
        <v>16936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93</v>
      </c>
      <c r="C1006" s="90">
        <f t="shared" si="276"/>
        <v>7376</v>
      </c>
      <c r="D1006" s="32">
        <f>2504+596</f>
        <v>3100</v>
      </c>
      <c r="E1006" s="32"/>
      <c r="F1006" s="32"/>
      <c r="G1006" s="32">
        <f t="shared" si="270"/>
        <v>3100</v>
      </c>
      <c r="H1006" s="12"/>
      <c r="I1006" s="12"/>
      <c r="J1006" s="12"/>
      <c r="K1006" s="12">
        <f t="shared" si="271"/>
        <v>3100</v>
      </c>
      <c r="M1006" s="10">
        <v>5</v>
      </c>
      <c r="N1006" s="30" t="s">
        <v>93</v>
      </c>
      <c r="O1006" s="31">
        <f t="shared" si="277"/>
        <v>7412</v>
      </c>
      <c r="P1006" s="32">
        <f>20658+674</f>
        <v>21332</v>
      </c>
      <c r="Q1006" s="32"/>
      <c r="R1006" s="32"/>
      <c r="S1006" s="32">
        <f t="shared" si="272"/>
        <v>21332</v>
      </c>
      <c r="T1006" s="12"/>
      <c r="U1006" s="12">
        <v>99</v>
      </c>
      <c r="V1006" s="12"/>
      <c r="W1006" s="12">
        <f t="shared" si="273"/>
        <v>21431</v>
      </c>
      <c r="Y1006" s="10">
        <v>5</v>
      </c>
      <c r="Z1006" s="30" t="s">
        <v>93</v>
      </c>
      <c r="AA1006" s="31">
        <f t="shared" si="278"/>
        <v>7325</v>
      </c>
      <c r="AB1006" s="32">
        <f>28170+2980</f>
        <v>31150</v>
      </c>
      <c r="AC1006" s="32">
        <v>-300</v>
      </c>
      <c r="AD1006" s="32"/>
      <c r="AE1006" s="32">
        <f t="shared" si="274"/>
        <v>30850</v>
      </c>
      <c r="AF1006" s="12"/>
      <c r="AG1006" s="12"/>
      <c r="AH1006" s="12">
        <f>-555+-16212</f>
        <v>-16767</v>
      </c>
      <c r="AI1006" s="12">
        <f t="shared" si="275"/>
        <v>14083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93</v>
      </c>
      <c r="C1007" s="90">
        <f t="shared" si="276"/>
        <v>7377</v>
      </c>
      <c r="D1007" s="32">
        <f>3130+57</f>
        <v>3187</v>
      </c>
      <c r="E1007" s="32"/>
      <c r="F1007" s="32"/>
      <c r="G1007" s="32">
        <f t="shared" si="270"/>
        <v>3187</v>
      </c>
      <c r="H1007" s="12"/>
      <c r="I1007" s="12"/>
      <c r="J1007" s="12"/>
      <c r="K1007" s="12">
        <f t="shared" si="271"/>
        <v>3187</v>
      </c>
      <c r="M1007" s="10">
        <v>6</v>
      </c>
      <c r="N1007" s="30" t="s">
        <v>93</v>
      </c>
      <c r="O1007" s="31">
        <f t="shared" si="277"/>
        <v>7413</v>
      </c>
      <c r="P1007" s="32">
        <f>1252+19</f>
        <v>1271</v>
      </c>
      <c r="Q1007" s="32"/>
      <c r="R1007" s="32"/>
      <c r="S1007" s="32">
        <f t="shared" si="272"/>
        <v>1271</v>
      </c>
      <c r="T1007" s="12"/>
      <c r="U1007" s="12">
        <f>1.5*2</f>
        <v>3</v>
      </c>
      <c r="V1007" s="10"/>
      <c r="W1007" s="12">
        <f t="shared" si="273"/>
        <v>1274</v>
      </c>
      <c r="Y1007" s="10">
        <v>6</v>
      </c>
      <c r="Z1007" s="30" t="s">
        <v>93</v>
      </c>
      <c r="AA1007" s="31">
        <f t="shared" si="278"/>
        <v>7326</v>
      </c>
      <c r="AB1007" s="32">
        <f>18780</f>
        <v>18780</v>
      </c>
      <c r="AC1007" s="32"/>
      <c r="AD1007" s="32"/>
      <c r="AE1007" s="32">
        <f t="shared" si="274"/>
        <v>18780</v>
      </c>
      <c r="AF1007" s="12"/>
      <c r="AG1007" s="12"/>
      <c r="AH1007" s="10"/>
      <c r="AI1007" s="12">
        <f t="shared" si="275"/>
        <v>18780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93</v>
      </c>
      <c r="C1008" s="90">
        <f t="shared" si="276"/>
        <v>7378</v>
      </c>
      <c r="D1008" s="32">
        <f>3130+614+47.5</f>
        <v>3791.5</v>
      </c>
      <c r="E1008" s="32"/>
      <c r="F1008" s="32"/>
      <c r="G1008" s="32">
        <f t="shared" si="270"/>
        <v>3791.5</v>
      </c>
      <c r="H1008" s="12"/>
      <c r="I1008" s="12"/>
      <c r="J1008" s="12"/>
      <c r="K1008" s="12">
        <f t="shared" si="271"/>
        <v>3791.5</v>
      </c>
      <c r="M1008" s="10">
        <v>7</v>
      </c>
      <c r="N1008" s="30" t="s">
        <v>93</v>
      </c>
      <c r="O1008" s="31">
        <f t="shared" si="277"/>
        <v>7414</v>
      </c>
      <c r="P1008" s="32">
        <f>1878+1192+47.5</f>
        <v>3117.5</v>
      </c>
      <c r="Q1008" s="32"/>
      <c r="R1008" s="32"/>
      <c r="S1008" s="32">
        <f t="shared" si="272"/>
        <v>3117.5</v>
      </c>
      <c r="T1008" s="12"/>
      <c r="U1008" s="12">
        <v>7.5</v>
      </c>
      <c r="V1008" s="12"/>
      <c r="W1008" s="12">
        <f t="shared" si="273"/>
        <v>3125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4"/>
        <v>0</v>
      </c>
      <c r="AF1008" s="12"/>
      <c r="AG1008" s="58"/>
      <c r="AH1008" s="12"/>
      <c r="AI1008" s="12">
        <f t="shared" si="275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93</v>
      </c>
      <c r="C1009" s="90">
        <f t="shared" si="276"/>
        <v>7379</v>
      </c>
      <c r="D1009" s="32">
        <f>2504+614+596+47.5</f>
        <v>3761.5</v>
      </c>
      <c r="E1009" s="32"/>
      <c r="F1009" s="32"/>
      <c r="G1009" s="32">
        <f t="shared" si="270"/>
        <v>3761.5</v>
      </c>
      <c r="H1009" s="12"/>
      <c r="I1009" s="12"/>
      <c r="J1009" s="12"/>
      <c r="K1009" s="12">
        <f t="shared" si="271"/>
        <v>3761.5</v>
      </c>
      <c r="M1009" s="10">
        <v>8</v>
      </c>
      <c r="N1009" s="30" t="s">
        <v>93</v>
      </c>
      <c r="O1009" s="31">
        <f t="shared" si="277"/>
        <v>7415</v>
      </c>
      <c r="P1009" s="32">
        <f>2504+38</f>
        <v>2542</v>
      </c>
      <c r="Q1009" s="32"/>
      <c r="R1009" s="32"/>
      <c r="S1009" s="32">
        <f t="shared" si="272"/>
        <v>2542</v>
      </c>
      <c r="T1009" s="12"/>
      <c r="U1009" s="12"/>
      <c r="V1009" s="12">
        <v>-333</v>
      </c>
      <c r="W1009" s="12">
        <f t="shared" si="273"/>
        <v>2209</v>
      </c>
      <c r="Y1009" s="10">
        <v>8</v>
      </c>
      <c r="Z1009" s="30"/>
      <c r="AA1009" s="31"/>
      <c r="AB1009" s="32"/>
      <c r="AC1009" s="32"/>
      <c r="AE1009" s="32">
        <f t="shared" si="274"/>
        <v>0</v>
      </c>
      <c r="AF1009" s="12"/>
      <c r="AG1009" s="12"/>
      <c r="AH1009" s="12"/>
      <c r="AI1009" s="12">
        <f t="shared" si="275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93</v>
      </c>
      <c r="C1010" s="90">
        <f t="shared" si="276"/>
        <v>7380</v>
      </c>
      <c r="D1010" s="32">
        <f>626+614+9.5</f>
        <v>1249.5</v>
      </c>
      <c r="E1010" s="32"/>
      <c r="F1010" s="32"/>
      <c r="G1010" s="32">
        <f t="shared" si="270"/>
        <v>1249.5</v>
      </c>
      <c r="H1010" s="12"/>
      <c r="I1010" s="12"/>
      <c r="J1010" s="12"/>
      <c r="K1010" s="12">
        <f t="shared" si="271"/>
        <v>1249.5</v>
      </c>
      <c r="M1010" s="10">
        <v>9</v>
      </c>
      <c r="N1010" s="30" t="s">
        <v>93</v>
      </c>
      <c r="O1010" s="31">
        <f t="shared" si="277"/>
        <v>7416</v>
      </c>
      <c r="P1010" s="32">
        <f>626+9.5</f>
        <v>635.5</v>
      </c>
      <c r="Q1010" s="32"/>
      <c r="R1010" s="32"/>
      <c r="S1010" s="32">
        <f t="shared" si="272"/>
        <v>635.5</v>
      </c>
      <c r="T1010" s="12"/>
      <c r="U1010" s="12"/>
      <c r="V1010" s="12"/>
      <c r="W1010" s="12">
        <f t="shared" si="273"/>
        <v>635.5</v>
      </c>
      <c r="Y1010" s="10">
        <v>9</v>
      </c>
      <c r="Z1010" s="30"/>
      <c r="AA1010" s="31"/>
      <c r="AB1010" s="32"/>
      <c r="AC1010" s="32"/>
      <c r="AD1010" s="32"/>
      <c r="AE1010" s="32">
        <f t="shared" si="274"/>
        <v>0</v>
      </c>
      <c r="AF1010" s="12"/>
      <c r="AG1010" s="58"/>
      <c r="AH1010" s="12"/>
      <c r="AI1010" s="12">
        <f t="shared" si="275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93</v>
      </c>
      <c r="C1011" s="90">
        <f t="shared" si="276"/>
        <v>7381</v>
      </c>
      <c r="D1011" s="32">
        <f>1878+614+28.5</f>
        <v>2520.5</v>
      </c>
      <c r="E1011" s="32"/>
      <c r="F1011" s="32"/>
      <c r="G1011" s="32">
        <f t="shared" si="270"/>
        <v>2520.5</v>
      </c>
      <c r="H1011" s="12"/>
      <c r="I1011" s="12"/>
      <c r="J1011" s="12"/>
      <c r="K1011" s="12">
        <f t="shared" si="271"/>
        <v>2520.5</v>
      </c>
      <c r="M1011" s="10">
        <v>10</v>
      </c>
      <c r="N1011" s="30" t="s">
        <v>93</v>
      </c>
      <c r="O1011" s="31">
        <f t="shared" si="277"/>
        <v>7417</v>
      </c>
      <c r="P1011" s="32">
        <f>2504+38</f>
        <v>2542</v>
      </c>
      <c r="Q1011" s="32"/>
      <c r="R1011" s="32"/>
      <c r="S1011" s="32">
        <f t="shared" si="272"/>
        <v>2542</v>
      </c>
      <c r="T1011" s="12"/>
      <c r="U1011" s="12"/>
      <c r="V1011" s="12"/>
      <c r="W1011" s="12">
        <f t="shared" si="273"/>
        <v>2542</v>
      </c>
      <c r="Y1011" s="10">
        <v>10</v>
      </c>
      <c r="Z1011" s="30"/>
      <c r="AA1011" s="31"/>
      <c r="AB1011" s="32"/>
      <c r="AC1011" s="32"/>
      <c r="AD1011" s="32"/>
      <c r="AE1011" s="32">
        <f t="shared" si="274"/>
        <v>0</v>
      </c>
      <c r="AF1011" s="12"/>
      <c r="AG1011" s="12"/>
      <c r="AH1011" s="12"/>
      <c r="AI1011" s="12">
        <f t="shared" si="275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93</v>
      </c>
      <c r="C1012" s="90">
        <f t="shared" si="276"/>
        <v>7382</v>
      </c>
      <c r="D1012" s="32">
        <f>6260+1175+1175+95+650</f>
        <v>9355</v>
      </c>
      <c r="E1012" s="32"/>
      <c r="F1012" s="32"/>
      <c r="G1012" s="32">
        <f t="shared" si="270"/>
        <v>9355</v>
      </c>
      <c r="H1012" s="12"/>
      <c r="I1012" s="12">
        <v>15</v>
      </c>
      <c r="J1012" s="12"/>
      <c r="K1012" s="12">
        <f t="shared" si="271"/>
        <v>9370</v>
      </c>
      <c r="M1012" s="10">
        <v>11</v>
      </c>
      <c r="N1012" s="30"/>
      <c r="O1012" s="11" t="s">
        <v>27</v>
      </c>
      <c r="P1012" s="32"/>
      <c r="Q1012" s="32"/>
      <c r="R1012" s="32"/>
      <c r="S1012" s="32">
        <f t="shared" si="272"/>
        <v>0</v>
      </c>
      <c r="T1012" s="12"/>
      <c r="U1012" s="12"/>
      <c r="V1012" s="12"/>
      <c r="W1012" s="12">
        <f t="shared" si="273"/>
        <v>0</v>
      </c>
      <c r="Y1012" s="10">
        <v>11</v>
      </c>
      <c r="Z1012" s="30"/>
      <c r="AB1012" s="32"/>
      <c r="AC1012" s="32"/>
      <c r="AD1012" s="32"/>
      <c r="AE1012" s="32">
        <f t="shared" si="274"/>
        <v>0</v>
      </c>
      <c r="AF1012" s="12"/>
      <c r="AG1012" s="12"/>
      <c r="AH1012" s="12"/>
      <c r="AI1012" s="12">
        <f t="shared" si="275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93</v>
      </c>
      <c r="C1013" s="90">
        <f t="shared" si="276"/>
        <v>7383</v>
      </c>
      <c r="D1013" s="32">
        <f>65730+3070+1826+5960+852+6740+832+916+500+650</f>
        <v>87076</v>
      </c>
      <c r="E1013" s="32"/>
      <c r="F1013" s="32"/>
      <c r="G1013" s="32">
        <f t="shared" si="270"/>
        <v>87076</v>
      </c>
      <c r="H1013" s="12"/>
      <c r="I1013" s="12">
        <f>312+22</f>
        <v>334</v>
      </c>
      <c r="J1013" s="10"/>
      <c r="K1013" s="12">
        <f t="shared" si="271"/>
        <v>87410</v>
      </c>
      <c r="M1013" s="10">
        <v>12</v>
      </c>
      <c r="N1013" s="30"/>
      <c r="O1013" s="31"/>
      <c r="P1013" s="32"/>
      <c r="Q1013" s="32"/>
      <c r="R1013" s="32"/>
      <c r="S1013" s="32">
        <f t="shared" si="272"/>
        <v>0</v>
      </c>
      <c r="T1013" s="12"/>
      <c r="U1013" s="12"/>
      <c r="V1013" s="12"/>
      <c r="W1013" s="12">
        <f t="shared" si="273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4"/>
        <v>0</v>
      </c>
      <c r="AF1013" s="12"/>
      <c r="AG1013" s="12"/>
      <c r="AH1013" s="12"/>
      <c r="AI1013" s="12">
        <f t="shared" si="275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93</v>
      </c>
      <c r="C1014" s="90">
        <f t="shared" si="276"/>
        <v>7384</v>
      </c>
      <c r="D1014" s="32">
        <f>626+9.5</f>
        <v>635.5</v>
      </c>
      <c r="E1014" s="32"/>
      <c r="F1014" s="32"/>
      <c r="G1014" s="32">
        <f t="shared" si="270"/>
        <v>635.5</v>
      </c>
      <c r="H1014" s="12"/>
      <c r="I1014" s="12"/>
      <c r="J1014" s="12"/>
      <c r="K1014" s="12">
        <f t="shared" si="271"/>
        <v>635.5</v>
      </c>
      <c r="M1014" s="10">
        <v>13</v>
      </c>
      <c r="N1014" s="30"/>
      <c r="O1014" s="31"/>
      <c r="P1014" s="32"/>
      <c r="Q1014" s="32"/>
      <c r="R1014" s="32"/>
      <c r="S1014" s="32">
        <f t="shared" si="272"/>
        <v>0</v>
      </c>
      <c r="T1014" s="12"/>
      <c r="U1014" s="12"/>
      <c r="V1014" s="12"/>
      <c r="W1014" s="12">
        <f t="shared" si="273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74"/>
        <v>0</v>
      </c>
      <c r="AF1014" s="12"/>
      <c r="AG1014" s="12"/>
      <c r="AH1014" s="12"/>
      <c r="AI1014" s="12">
        <f t="shared" si="275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93</v>
      </c>
      <c r="C1015" s="90">
        <f t="shared" si="276"/>
        <v>7385</v>
      </c>
      <c r="D1015" s="32">
        <f>6260</f>
        <v>6260</v>
      </c>
      <c r="E1015" s="32"/>
      <c r="F1015" s="32"/>
      <c r="G1015" s="32">
        <f t="shared" si="270"/>
        <v>6260</v>
      </c>
      <c r="H1015" s="12"/>
      <c r="I1015" s="12"/>
      <c r="J1015" s="12"/>
      <c r="K1015" s="12">
        <f t="shared" si="271"/>
        <v>6260</v>
      </c>
      <c r="M1015" s="10">
        <v>14</v>
      </c>
      <c r="N1015" s="30"/>
      <c r="O1015" s="31"/>
      <c r="P1015" s="32"/>
      <c r="Q1015" s="32"/>
      <c r="R1015" s="32"/>
      <c r="S1015" s="32">
        <f t="shared" si="272"/>
        <v>0</v>
      </c>
      <c r="T1015" s="12"/>
      <c r="U1015" s="12"/>
      <c r="V1015" s="12"/>
      <c r="W1015" s="12">
        <f t="shared" si="273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4"/>
        <v>0</v>
      </c>
      <c r="AF1015" s="12"/>
      <c r="AG1015" s="12"/>
      <c r="AH1015" s="12"/>
      <c r="AI1015" s="12">
        <f t="shared" si="275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70"/>
        <v>0</v>
      </c>
      <c r="H1016" s="12"/>
      <c r="I1016" s="12"/>
      <c r="J1016" s="12"/>
      <c r="K1016" s="12">
        <f t="shared" si="271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72"/>
        <v>0</v>
      </c>
      <c r="T1016" s="12"/>
      <c r="U1016" s="12"/>
      <c r="V1016" s="12"/>
      <c r="W1016" s="12">
        <f t="shared" si="273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4"/>
        <v>0</v>
      </c>
      <c r="AF1016" s="12"/>
      <c r="AG1016" s="12"/>
      <c r="AH1016" s="12"/>
      <c r="AI1016" s="12">
        <f t="shared" si="275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0"/>
      <c r="D1017" s="32"/>
      <c r="E1017" s="32"/>
      <c r="F1017" s="32"/>
      <c r="G1017" s="32">
        <f t="shared" si="270"/>
        <v>0</v>
      </c>
      <c r="H1017" s="12"/>
      <c r="I1017" s="12"/>
      <c r="J1017" s="12"/>
      <c r="K1017" s="12">
        <f t="shared" si="271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72"/>
        <v>0</v>
      </c>
      <c r="T1017" s="12"/>
      <c r="U1017" s="12"/>
      <c r="V1017" s="12"/>
      <c r="W1017" s="12">
        <f t="shared" si="273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74"/>
        <v>0</v>
      </c>
      <c r="AF1017" s="12"/>
      <c r="AG1017" s="12"/>
      <c r="AH1017" s="12"/>
      <c r="AI1017" s="12">
        <f t="shared" si="275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0"/>
      <c r="D1018" s="32"/>
      <c r="E1018" s="32"/>
      <c r="F1018" s="32"/>
      <c r="G1018" s="32">
        <f t="shared" si="270"/>
        <v>0</v>
      </c>
      <c r="H1018" s="12"/>
      <c r="I1018" s="12"/>
      <c r="J1018" s="12"/>
      <c r="K1018" s="12">
        <f t="shared" si="271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72"/>
        <v>0</v>
      </c>
      <c r="T1018" s="12"/>
      <c r="U1018" s="12"/>
      <c r="V1018" s="12"/>
      <c r="W1018" s="12">
        <f t="shared" si="273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4"/>
        <v>0</v>
      </c>
      <c r="AF1018" s="12"/>
      <c r="AG1018" s="12"/>
      <c r="AH1018" s="12"/>
      <c r="AI1018" s="12">
        <f t="shared" si="275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0"/>
      <c r="D1019" s="32"/>
      <c r="E1019" s="32"/>
      <c r="F1019" s="32"/>
      <c r="G1019" s="32">
        <f t="shared" si="270"/>
        <v>0</v>
      </c>
      <c r="H1019" s="12"/>
      <c r="I1019" s="12"/>
      <c r="J1019" s="12"/>
      <c r="K1019" s="12">
        <f t="shared" si="271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72"/>
        <v>0</v>
      </c>
      <c r="T1019" s="12"/>
      <c r="U1019" s="12"/>
      <c r="V1019" s="12"/>
      <c r="W1019" s="12">
        <f t="shared" si="273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74"/>
        <v>0</v>
      </c>
      <c r="AF1019" s="12"/>
      <c r="AG1019" s="12"/>
      <c r="AH1019" s="12"/>
      <c r="AI1019" s="12">
        <f t="shared" si="275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0"/>
      <c r="D1020" s="32"/>
      <c r="E1020" s="32"/>
      <c r="F1020" s="32"/>
      <c r="G1020" s="32">
        <f t="shared" si="270"/>
        <v>0</v>
      </c>
      <c r="H1020" s="12"/>
      <c r="I1020" s="12"/>
      <c r="J1020" s="12"/>
      <c r="K1020" s="12">
        <f t="shared" si="271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72"/>
        <v>0</v>
      </c>
      <c r="T1020" s="12"/>
      <c r="U1020" s="12"/>
      <c r="V1020" s="12"/>
      <c r="W1020" s="12">
        <f t="shared" si="273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4"/>
        <v>0</v>
      </c>
      <c r="AF1020" s="12"/>
      <c r="AG1020" s="12"/>
      <c r="AH1020" s="12"/>
      <c r="AI1020" s="12">
        <f t="shared" si="275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0"/>
      <c r="D1021" s="32"/>
      <c r="E1021" s="32"/>
      <c r="F1021" s="32"/>
      <c r="G1021" s="32">
        <f t="shared" si="270"/>
        <v>0</v>
      </c>
      <c r="H1021" s="12"/>
      <c r="I1021" s="12"/>
      <c r="J1021" s="12"/>
      <c r="K1021" s="12">
        <f t="shared" si="271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72"/>
        <v>0</v>
      </c>
      <c r="T1021" s="12"/>
      <c r="U1021" s="12"/>
      <c r="V1021" s="12"/>
      <c r="W1021" s="12">
        <f t="shared" si="273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4"/>
        <v>0</v>
      </c>
      <c r="AF1021" s="12"/>
      <c r="AG1021" s="12"/>
      <c r="AH1021" s="12"/>
      <c r="AI1021" s="12">
        <f t="shared" si="275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D1022" s="32"/>
      <c r="E1022" s="32"/>
      <c r="F1022" s="32"/>
      <c r="G1022" s="32">
        <f t="shared" si="270"/>
        <v>0</v>
      </c>
      <c r="H1022" s="10"/>
      <c r="I1022" s="10"/>
      <c r="J1022" s="10"/>
      <c r="K1022" s="12">
        <f t="shared" si="271"/>
        <v>0</v>
      </c>
      <c r="M1022" s="10">
        <v>21</v>
      </c>
      <c r="N1022" s="30"/>
      <c r="P1022" s="46"/>
      <c r="Q1022" s="31"/>
      <c r="R1022" s="31"/>
      <c r="S1022" s="32">
        <f t="shared" si="272"/>
        <v>0</v>
      </c>
      <c r="T1022" s="10"/>
      <c r="U1022" s="10"/>
      <c r="V1022" s="10"/>
      <c r="W1022" s="12">
        <f t="shared" si="273"/>
        <v>0</v>
      </c>
      <c r="Y1022" s="10">
        <v>21</v>
      </c>
      <c r="Z1022" s="30"/>
      <c r="AB1022" s="46"/>
      <c r="AC1022" s="31"/>
      <c r="AD1022" s="31"/>
      <c r="AE1022" s="32">
        <f t="shared" si="274"/>
        <v>0</v>
      </c>
      <c r="AF1022" s="10"/>
      <c r="AG1022" s="10"/>
      <c r="AH1022" s="10"/>
      <c r="AI1022" s="12">
        <f t="shared" si="275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0"/>
      <c r="D1023" s="32"/>
      <c r="E1023" s="32"/>
      <c r="F1023" s="32"/>
      <c r="G1023" s="32">
        <f t="shared" si="270"/>
        <v>0</v>
      </c>
      <c r="H1023" s="10"/>
      <c r="I1023" s="10"/>
      <c r="J1023" s="10"/>
      <c r="K1023" s="12">
        <f t="shared" si="271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72"/>
        <v>0</v>
      </c>
      <c r="T1023" s="10"/>
      <c r="U1023" s="10"/>
      <c r="V1023" s="10"/>
      <c r="W1023" s="12">
        <f t="shared" si="273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4"/>
        <v>0</v>
      </c>
      <c r="AF1023" s="10"/>
      <c r="AG1023" s="10"/>
      <c r="AH1023" s="10"/>
      <c r="AI1023" s="12">
        <f t="shared" si="275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70"/>
        <v>0</v>
      </c>
      <c r="H1024" s="10"/>
      <c r="I1024" s="10"/>
      <c r="J1024" s="12"/>
      <c r="K1024" s="12">
        <f t="shared" si="271"/>
        <v>0</v>
      </c>
      <c r="M1024" s="10">
        <v>23</v>
      </c>
      <c r="N1024" s="30"/>
      <c r="O1024" s="31"/>
      <c r="P1024" s="47"/>
      <c r="Q1024" s="31"/>
      <c r="S1024" s="32">
        <f t="shared" si="272"/>
        <v>0</v>
      </c>
      <c r="T1024" s="10"/>
      <c r="U1024" s="10"/>
      <c r="V1024" s="10"/>
      <c r="W1024" s="12">
        <f t="shared" si="273"/>
        <v>0</v>
      </c>
      <c r="Y1024" s="10">
        <v>23</v>
      </c>
      <c r="Z1024" s="30"/>
      <c r="AA1024" s="31"/>
      <c r="AB1024" s="47"/>
      <c r="AC1024" s="31"/>
      <c r="AE1024" s="32">
        <f t="shared" si="274"/>
        <v>0</v>
      </c>
      <c r="AF1024" s="10"/>
      <c r="AG1024" s="10"/>
      <c r="AH1024" s="10"/>
      <c r="AI1024" s="12">
        <f t="shared" si="275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90"/>
      <c r="D1025" s="32"/>
      <c r="E1025" s="32"/>
      <c r="F1025" s="32"/>
      <c r="G1025" s="32">
        <f t="shared" si="270"/>
        <v>0</v>
      </c>
      <c r="H1025" s="10"/>
      <c r="I1025" s="10"/>
      <c r="J1025" s="10"/>
      <c r="K1025" s="12">
        <f t="shared" si="271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72"/>
        <v>0</v>
      </c>
      <c r="T1025" s="10"/>
      <c r="U1025" s="10"/>
      <c r="V1025" s="10"/>
      <c r="W1025" s="12">
        <f t="shared" si="273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4"/>
        <v>0</v>
      </c>
      <c r="AF1025" s="10"/>
      <c r="AG1025" s="10"/>
      <c r="AH1025" s="10"/>
      <c r="AI1025" s="12">
        <f t="shared" si="275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90"/>
      <c r="D1026" s="32"/>
      <c r="E1026" s="32"/>
      <c r="F1026" s="32"/>
      <c r="G1026" s="32">
        <f t="shared" si="270"/>
        <v>0</v>
      </c>
      <c r="H1026" s="10"/>
      <c r="I1026" s="10"/>
      <c r="J1026" s="10"/>
      <c r="K1026" s="12">
        <f t="shared" si="271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72"/>
        <v>0</v>
      </c>
      <c r="T1026" s="10"/>
      <c r="U1026" s="10"/>
      <c r="V1026" s="10"/>
      <c r="W1026" s="12">
        <f t="shared" si="273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4"/>
        <v>0</v>
      </c>
      <c r="AF1026" s="10"/>
      <c r="AG1026" s="10"/>
      <c r="AH1026" s="10"/>
      <c r="AI1026" s="12">
        <f t="shared" si="275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90"/>
      <c r="D1027" s="32"/>
      <c r="E1027" s="32"/>
      <c r="F1027" s="32"/>
      <c r="G1027" s="32">
        <f t="shared" si="270"/>
        <v>0</v>
      </c>
      <c r="H1027" s="10"/>
      <c r="I1027" s="10"/>
      <c r="J1027" s="10"/>
      <c r="K1027" s="12">
        <f t="shared" si="271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72"/>
        <v>0</v>
      </c>
      <c r="T1027" s="10"/>
      <c r="U1027" s="10"/>
      <c r="V1027" s="10"/>
      <c r="W1027" s="12">
        <f t="shared" si="273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4"/>
        <v>0</v>
      </c>
      <c r="AF1027" s="10"/>
      <c r="AG1027" s="10"/>
      <c r="AH1027" s="10"/>
      <c r="AI1027" s="12">
        <f t="shared" si="275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90"/>
      <c r="D1028" s="32"/>
      <c r="E1028" s="32"/>
      <c r="F1028" s="32"/>
      <c r="G1028" s="32">
        <f t="shared" si="270"/>
        <v>0</v>
      </c>
      <c r="H1028" s="10"/>
      <c r="I1028" s="10"/>
      <c r="J1028" s="10"/>
      <c r="K1028" s="12">
        <f t="shared" si="271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72"/>
        <v>0</v>
      </c>
      <c r="T1028" s="10"/>
      <c r="U1028" s="10"/>
      <c r="V1028" s="10"/>
      <c r="W1028" s="12">
        <f t="shared" si="273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4"/>
        <v>0</v>
      </c>
      <c r="AF1028" s="10"/>
      <c r="AG1028" s="10"/>
      <c r="AH1028" s="10"/>
      <c r="AI1028" s="12">
        <f t="shared" si="275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90"/>
      <c r="D1029" s="32"/>
      <c r="E1029" s="32"/>
      <c r="F1029" s="32"/>
      <c r="G1029" s="32">
        <f t="shared" si="270"/>
        <v>0</v>
      </c>
      <c r="H1029" s="10"/>
      <c r="I1029" s="10"/>
      <c r="J1029" s="10"/>
      <c r="K1029" s="12">
        <f t="shared" si="271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72"/>
        <v>0</v>
      </c>
      <c r="T1029" s="10"/>
      <c r="U1029" s="10"/>
      <c r="V1029" s="10"/>
      <c r="W1029" s="12">
        <f t="shared" si="273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4"/>
        <v>0</v>
      </c>
      <c r="AF1029" s="10"/>
      <c r="AG1029" s="10"/>
      <c r="AH1029" s="10"/>
      <c r="AI1029" s="12">
        <f t="shared" si="275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90"/>
      <c r="D1030" s="32"/>
      <c r="E1030" s="32"/>
      <c r="F1030" s="32"/>
      <c r="G1030" s="32">
        <f t="shared" si="270"/>
        <v>0</v>
      </c>
      <c r="H1030" s="10"/>
      <c r="I1030" s="10"/>
      <c r="J1030" s="10"/>
      <c r="K1030" s="12">
        <f t="shared" si="271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72"/>
        <v>0</v>
      </c>
      <c r="T1030" s="10"/>
      <c r="U1030" s="10"/>
      <c r="V1030" s="10"/>
      <c r="W1030" s="12">
        <f t="shared" si="273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4"/>
        <v>0</v>
      </c>
      <c r="AF1030" s="10"/>
      <c r="AG1030" s="10"/>
      <c r="AH1030" s="10"/>
      <c r="AI1030" s="12">
        <f t="shared" si="275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70"/>
        <v>0</v>
      </c>
      <c r="H1031" s="10"/>
      <c r="I1031" s="10"/>
      <c r="J1031" s="10"/>
      <c r="K1031" s="12">
        <f t="shared" si="271"/>
        <v>0</v>
      </c>
      <c r="M1031" s="10">
        <v>30</v>
      </c>
      <c r="N1031" s="30"/>
      <c r="P1031" s="47"/>
      <c r="Q1031" s="31"/>
      <c r="R1031" s="31"/>
      <c r="S1031" s="32">
        <f t="shared" si="272"/>
        <v>0</v>
      </c>
      <c r="T1031" s="10"/>
      <c r="U1031" s="10"/>
      <c r="V1031" s="10"/>
      <c r="W1031" s="12">
        <f t="shared" si="273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74"/>
        <v>0</v>
      </c>
      <c r="AF1031" s="10"/>
      <c r="AG1031" s="10"/>
      <c r="AH1031" s="10"/>
      <c r="AI1031" s="12">
        <f t="shared" si="275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0"/>
      <c r="D1032" s="32"/>
      <c r="E1032" s="32"/>
      <c r="F1032" s="32"/>
      <c r="G1032" s="32">
        <f t="shared" si="270"/>
        <v>0</v>
      </c>
      <c r="H1032" s="10"/>
      <c r="I1032" s="10"/>
      <c r="J1032" s="10"/>
      <c r="K1032" s="12">
        <f t="shared" si="271"/>
        <v>0</v>
      </c>
      <c r="M1032" s="10">
        <v>31</v>
      </c>
      <c r="N1032" s="30"/>
      <c r="P1032" s="47"/>
      <c r="Q1032" s="31"/>
      <c r="R1032" s="31"/>
      <c r="S1032" s="32">
        <f t="shared" si="272"/>
        <v>0</v>
      </c>
      <c r="T1032" s="10"/>
      <c r="U1032" s="10"/>
      <c r="V1032" s="10"/>
      <c r="W1032" s="12">
        <f t="shared" si="273"/>
        <v>0</v>
      </c>
      <c r="Y1032" s="10">
        <v>31</v>
      </c>
      <c r="Z1032" s="30"/>
      <c r="AB1032" s="47"/>
      <c r="AC1032" s="31"/>
      <c r="AD1032" s="31"/>
      <c r="AE1032" s="32">
        <f t="shared" si="274"/>
        <v>0</v>
      </c>
      <c r="AF1032" s="10"/>
      <c r="AG1032" s="10"/>
      <c r="AH1032" s="10"/>
      <c r="AI1032" s="12">
        <f t="shared" si="275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90"/>
      <c r="D1033" s="32"/>
      <c r="E1033" s="32"/>
      <c r="F1033" s="32"/>
      <c r="G1033" s="32">
        <f t="shared" si="270"/>
        <v>0</v>
      </c>
      <c r="H1033" s="10"/>
      <c r="I1033" s="10"/>
      <c r="J1033" s="10"/>
      <c r="K1033" s="12">
        <f t="shared" si="271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72"/>
        <v>0</v>
      </c>
      <c r="T1033" s="10"/>
      <c r="U1033" s="10"/>
      <c r="V1033" s="10"/>
      <c r="W1033" s="12">
        <f t="shared" si="273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4"/>
        <v>0</v>
      </c>
      <c r="AF1033" s="10"/>
      <c r="AG1033" s="10"/>
      <c r="AH1033" s="10"/>
      <c r="AI1033" s="12">
        <f t="shared" si="275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0"/>
      <c r="D1034" s="32"/>
      <c r="E1034" s="32"/>
      <c r="F1034" s="32"/>
      <c r="G1034" s="32">
        <f t="shared" si="270"/>
        <v>0</v>
      </c>
      <c r="H1034" s="10"/>
      <c r="I1034" s="10"/>
      <c r="J1034" s="10"/>
      <c r="K1034" s="12">
        <f t="shared" si="271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72"/>
        <v>0</v>
      </c>
      <c r="T1034" s="10"/>
      <c r="U1034" s="10"/>
      <c r="V1034" s="10"/>
      <c r="W1034" s="12">
        <f t="shared" si="273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4"/>
        <v>0</v>
      </c>
      <c r="AF1034" s="10"/>
      <c r="AG1034" s="10"/>
      <c r="AH1034" s="10"/>
      <c r="AI1034" s="12">
        <f t="shared" si="275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0"/>
      <c r="D1035" s="32"/>
      <c r="E1035" s="32"/>
      <c r="F1035" s="32"/>
      <c r="G1035" s="32">
        <f t="shared" si="270"/>
        <v>0</v>
      </c>
      <c r="H1035" s="10"/>
      <c r="I1035" s="10"/>
      <c r="J1035" s="10"/>
      <c r="K1035" s="12">
        <f t="shared" si="271"/>
        <v>0</v>
      </c>
      <c r="M1035" s="10">
        <v>34</v>
      </c>
      <c r="N1035" s="30"/>
      <c r="P1035" s="47"/>
      <c r="Q1035" s="31"/>
      <c r="R1035" s="31"/>
      <c r="S1035" s="32">
        <f t="shared" ref="S1035:S1040" si="279">SUM(P1035:Q1035)</f>
        <v>0</v>
      </c>
      <c r="T1035" s="10"/>
      <c r="U1035" s="10"/>
      <c r="V1035" s="10"/>
      <c r="W1035" s="12">
        <f t="shared" si="273"/>
        <v>0</v>
      </c>
      <c r="Y1035" s="10">
        <v>34</v>
      </c>
      <c r="Z1035" s="30"/>
      <c r="AB1035" s="47"/>
      <c r="AC1035" s="31"/>
      <c r="AD1035" s="31"/>
      <c r="AE1035" s="32">
        <f t="shared" si="274"/>
        <v>0</v>
      </c>
      <c r="AF1035" s="10"/>
      <c r="AG1035" s="10"/>
      <c r="AH1035" s="10"/>
      <c r="AI1035" s="12">
        <f t="shared" si="275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79"/>
        <v>0</v>
      </c>
      <c r="T1036" s="10"/>
      <c r="U1036" s="10"/>
      <c r="V1036" s="10"/>
      <c r="W1036" s="12">
        <f t="shared" si="273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4"/>
        <v>0</v>
      </c>
      <c r="AF1036" s="10"/>
      <c r="AG1036" s="10"/>
      <c r="AH1036" s="10"/>
      <c r="AI1036" s="12">
        <f t="shared" si="275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79"/>
        <v>0</v>
      </c>
      <c r="T1037" s="10"/>
      <c r="U1037" s="10"/>
      <c r="V1037" s="10"/>
      <c r="W1037" s="12">
        <f t="shared" si="273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4"/>
        <v>0</v>
      </c>
      <c r="AF1037" s="10"/>
      <c r="AG1037" s="10"/>
      <c r="AH1037" s="10"/>
      <c r="AI1037" s="12">
        <f t="shared" si="275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79"/>
        <v>0</v>
      </c>
      <c r="T1038" s="10"/>
      <c r="U1038" s="10"/>
      <c r="V1038" s="10"/>
      <c r="W1038" s="12">
        <f t="shared" si="273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4"/>
        <v>0</v>
      </c>
      <c r="AF1038" s="10"/>
      <c r="AG1038" s="10"/>
      <c r="AH1038" s="10"/>
      <c r="AI1038" s="12">
        <f t="shared" si="275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79"/>
        <v>0</v>
      </c>
      <c r="T1039" s="10"/>
      <c r="U1039" s="10"/>
      <c r="V1039" s="10"/>
      <c r="W1039" s="12">
        <f t="shared" si="273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4"/>
        <v>0</v>
      </c>
      <c r="AF1039" s="10"/>
      <c r="AG1039" s="10"/>
      <c r="AH1039" s="10"/>
      <c r="AI1039" s="12">
        <f t="shared" si="275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79"/>
        <v>0</v>
      </c>
      <c r="T1040" s="10"/>
      <c r="U1040" s="10"/>
      <c r="V1040" s="10"/>
      <c r="W1040" s="12">
        <f t="shared" si="273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4"/>
        <v>0</v>
      </c>
      <c r="AF1040" s="10"/>
      <c r="AG1040" s="10"/>
      <c r="AH1040" s="10"/>
      <c r="AI1040" s="12">
        <f t="shared" si="275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3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5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80">SUM(D1042:E1042)</f>
        <v>0</v>
      </c>
      <c r="H1042" s="10"/>
      <c r="I1042" s="10"/>
      <c r="J1042" s="10"/>
      <c r="K1042" s="12">
        <f t="shared" ref="K1042" si="281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82">SUM(P1042:Q1042)</f>
        <v>0</v>
      </c>
      <c r="T1042" s="10"/>
      <c r="U1042" s="10"/>
      <c r="V1042" s="10"/>
      <c r="W1042" s="12">
        <f t="shared" si="273"/>
        <v>0</v>
      </c>
      <c r="Y1042" s="10"/>
      <c r="Z1042" s="30"/>
      <c r="AA1042" s="31"/>
      <c r="AB1042" s="47"/>
      <c r="AC1042" s="31"/>
      <c r="AD1042" s="31"/>
      <c r="AE1042" s="32">
        <f t="shared" ref="AE1042" si="283">SUM(AB1042:AC1042)</f>
        <v>0</v>
      </c>
      <c r="AF1042" s="10"/>
      <c r="AG1042" s="10"/>
      <c r="AH1042" s="10"/>
      <c r="AI1042" s="12">
        <f t="shared" si="275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3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5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162168.5</v>
      </c>
      <c r="E1045" s="38">
        <f t="shared" ref="E1045:F1045" si="284">SUM(E1002:E1042)</f>
        <v>0</v>
      </c>
      <c r="F1045" s="38">
        <f t="shared" si="284"/>
        <v>0</v>
      </c>
      <c r="G1045" s="38">
        <f>SUM(G1002:G1044)</f>
        <v>162168.5</v>
      </c>
      <c r="H1045" s="4"/>
      <c r="I1045" s="39">
        <f>SUM(I1002:I1044)</f>
        <v>565</v>
      </c>
      <c r="J1045" s="39">
        <f>SUM(J1002:J1044)</f>
        <v>0</v>
      </c>
      <c r="K1045" s="40">
        <f>SUM(K1002:K1044)</f>
        <v>162733.5</v>
      </c>
      <c r="N1045" s="57"/>
      <c r="O1045" s="57"/>
      <c r="P1045" s="38">
        <f>SUM(P1002:P1044)</f>
        <v>134298</v>
      </c>
      <c r="Q1045" s="38">
        <f>SUM(Q1002:Q1026)</f>
        <v>-776</v>
      </c>
      <c r="R1045" s="38">
        <f>SUM(R1002:R1026)</f>
        <v>0</v>
      </c>
      <c r="S1045" s="38">
        <f>SUM(S1002:S1044)</f>
        <v>133522</v>
      </c>
      <c r="T1045" s="4"/>
      <c r="U1045" s="41">
        <f>SUM(U1002:U1044)</f>
        <v>152.25</v>
      </c>
      <c r="V1045" s="41">
        <f>SUM(V1002:V1026)</f>
        <v>-333</v>
      </c>
      <c r="W1045" s="42">
        <f>SUM(W1002:W1044)</f>
        <v>133341.25</v>
      </c>
      <c r="Z1045" s="57"/>
      <c r="AA1045" s="57"/>
      <c r="AB1045" s="38">
        <f>SUM(AB1002:AB1044)</f>
        <v>509476</v>
      </c>
      <c r="AC1045" s="38">
        <f>SUM(AC1002:AC1026)</f>
        <v>-300</v>
      </c>
      <c r="AD1045" s="38">
        <f>SUM(AD1002:AD1026)</f>
        <v>0</v>
      </c>
      <c r="AE1045" s="38">
        <f>SUM(AE1002:AE1044)</f>
        <v>509176</v>
      </c>
      <c r="AF1045" s="4"/>
      <c r="AG1045" s="41">
        <f>SUM(AG1002:AG1044)</f>
        <v>65835</v>
      </c>
      <c r="AH1045" s="41">
        <f>SUM(AH1002:AH1026)</f>
        <v>-38946</v>
      </c>
      <c r="AI1045" s="42">
        <f>SUM(AI1002:AI1044)</f>
        <v>536065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40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40</v>
      </c>
      <c r="Z1052" s="57"/>
      <c r="AA1052" s="57"/>
      <c r="AB1052" s="57"/>
      <c r="AC1052" s="57"/>
      <c r="AD1052" s="57"/>
      <c r="AE1052" s="57"/>
      <c r="AG1052" s="57" t="s">
        <v>15</v>
      </c>
      <c r="AH1052" s="19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42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4" t="s">
        <v>17</v>
      </c>
      <c r="E1055" s="124"/>
      <c r="F1055" s="110"/>
      <c r="G1055" s="27"/>
      <c r="I1055" s="122" t="s">
        <v>18</v>
      </c>
      <c r="J1055" s="123"/>
      <c r="K1055" s="120" t="s">
        <v>19</v>
      </c>
      <c r="N1055" s="25"/>
      <c r="O1055" s="26"/>
      <c r="P1055" s="124" t="s">
        <v>17</v>
      </c>
      <c r="Q1055" s="124"/>
      <c r="R1055" s="110"/>
      <c r="S1055" s="27"/>
      <c r="U1055" s="122" t="s">
        <v>18</v>
      </c>
      <c r="V1055" s="123"/>
      <c r="W1055" s="120" t="s">
        <v>19</v>
      </c>
      <c r="Z1055" s="25"/>
      <c r="AA1055" s="26"/>
      <c r="AB1055" s="124" t="s">
        <v>17</v>
      </c>
      <c r="AC1055" s="124"/>
      <c r="AD1055" s="110"/>
      <c r="AE1055" s="27"/>
      <c r="AG1055" s="122" t="s">
        <v>18</v>
      </c>
      <c r="AH1055" s="123"/>
      <c r="AI1055" s="120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1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1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1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90">
        <v>7386</v>
      </c>
      <c r="D1057" s="32">
        <f>3756+596+66.5</f>
        <v>4418.5</v>
      </c>
      <c r="E1057" s="32"/>
      <c r="F1057" s="32"/>
      <c r="G1057" s="32">
        <f t="shared" ref="G1057:G1090" si="285">SUM(D1057:E1057)</f>
        <v>4418.5</v>
      </c>
      <c r="H1057" s="12"/>
      <c r="I1057" s="12"/>
      <c r="J1057" s="12"/>
      <c r="K1057" s="12">
        <f t="shared" ref="K1057:K1090" si="286">SUM(G1057:J1057)</f>
        <v>4418.5</v>
      </c>
      <c r="M1057" s="10">
        <v>1</v>
      </c>
      <c r="N1057" s="30" t="s">
        <v>96</v>
      </c>
      <c r="O1057" s="31">
        <v>7418</v>
      </c>
      <c r="P1057" s="32">
        <f>626+9.5</f>
        <v>635.5</v>
      </c>
      <c r="Q1057" s="32"/>
      <c r="R1057" s="32"/>
      <c r="S1057" s="32">
        <f>SUM(P1057:Q1057)</f>
        <v>635.5</v>
      </c>
      <c r="T1057" s="12"/>
      <c r="U1057" s="12"/>
      <c r="V1057" s="12"/>
      <c r="W1057" s="12">
        <f>SUM(S1057:V1057)</f>
        <v>635.5</v>
      </c>
      <c r="Y1057" s="10">
        <v>1</v>
      </c>
      <c r="Z1057" s="30" t="s">
        <v>96</v>
      </c>
      <c r="AA1057" s="31">
        <v>7327</v>
      </c>
      <c r="AB1057" s="32">
        <f>62600</f>
        <v>62600</v>
      </c>
      <c r="AC1057" s="32">
        <v>-600</v>
      </c>
      <c r="AD1057" s="32"/>
      <c r="AE1057" s="32">
        <f>SUM(AB1057:AC1057)</f>
        <v>62000</v>
      </c>
      <c r="AF1057" s="12"/>
      <c r="AG1057" s="12"/>
      <c r="AH1057" s="12"/>
      <c r="AI1057" s="12">
        <f>SUM(AE1057:AH1057)</f>
        <v>62000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90">
        <f>C1057+1</f>
        <v>7387</v>
      </c>
      <c r="D1058" s="32">
        <f>4382+614</f>
        <v>4996</v>
      </c>
      <c r="E1058" s="32"/>
      <c r="F1058" s="32"/>
      <c r="G1058" s="32">
        <f t="shared" si="285"/>
        <v>4996</v>
      </c>
      <c r="H1058" s="12"/>
      <c r="I1058" s="12"/>
      <c r="J1058" s="12"/>
      <c r="K1058" s="12">
        <f t="shared" si="286"/>
        <v>4996</v>
      </c>
      <c r="M1058" s="10">
        <v>2</v>
      </c>
      <c r="N1058" s="30" t="s">
        <v>96</v>
      </c>
      <c r="O1058" s="31">
        <f>O1057+1</f>
        <v>7419</v>
      </c>
      <c r="P1058" s="32">
        <f>3756+9.5*6</f>
        <v>3813</v>
      </c>
      <c r="Q1058" s="32"/>
      <c r="R1058" s="32"/>
      <c r="S1058" s="32">
        <f t="shared" ref="S1058:S1089" si="287">SUM(P1058:Q1058)</f>
        <v>3813</v>
      </c>
      <c r="T1058" s="12"/>
      <c r="U1058" s="12">
        <v>4.5</v>
      </c>
      <c r="V1058" s="12"/>
      <c r="W1058" s="12">
        <f t="shared" ref="W1058:W1098" si="288">SUM(S1058:V1058)</f>
        <v>3817.5</v>
      </c>
      <c r="Y1058" s="10">
        <v>2</v>
      </c>
      <c r="Z1058" s="30" t="s">
        <v>96</v>
      </c>
      <c r="AA1058" s="31">
        <f>AA1057+1</f>
        <v>7328</v>
      </c>
      <c r="AB1058" s="32">
        <f>626*55+596*5</f>
        <v>37410</v>
      </c>
      <c r="AC1058" s="32"/>
      <c r="AD1058" s="32"/>
      <c r="AE1058" s="32">
        <f t="shared" ref="AE1058:AE1095" si="289">SUM(AB1058:AC1058)</f>
        <v>37410</v>
      </c>
      <c r="AF1058" s="12"/>
      <c r="AG1058" s="12"/>
      <c r="AH1058" s="12">
        <v>-1776</v>
      </c>
      <c r="AI1058" s="12">
        <f t="shared" ref="AI1058:AI1098" si="290">SUM(AE1058:AH1058)</f>
        <v>35634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90">
        <f t="shared" ref="C1059:C1071" si="291">C1058+1</f>
        <v>7388</v>
      </c>
      <c r="D1059" s="33">
        <f>4382+614*2+596+76</f>
        <v>6282</v>
      </c>
      <c r="E1059" s="33"/>
      <c r="F1059" s="33"/>
      <c r="G1059" s="33">
        <f t="shared" si="285"/>
        <v>6282</v>
      </c>
      <c r="H1059" s="34"/>
      <c r="I1059" s="34"/>
      <c r="J1059" s="34"/>
      <c r="K1059" s="34">
        <f t="shared" si="286"/>
        <v>6282</v>
      </c>
      <c r="M1059" s="10">
        <v>3</v>
      </c>
      <c r="N1059" s="30" t="s">
        <v>96</v>
      </c>
      <c r="O1059" s="31">
        <f t="shared" ref="O1059:O1064" si="292">O1058+1</f>
        <v>7420</v>
      </c>
      <c r="P1059" s="32">
        <f>2504+38</f>
        <v>2542</v>
      </c>
      <c r="Q1059" s="32"/>
      <c r="R1059" s="32"/>
      <c r="S1059" s="32">
        <f t="shared" si="287"/>
        <v>2542</v>
      </c>
      <c r="T1059" s="12"/>
      <c r="U1059" s="12"/>
      <c r="V1059" s="12"/>
      <c r="W1059" s="12">
        <f t="shared" si="288"/>
        <v>2542</v>
      </c>
      <c r="Y1059" s="10">
        <v>3</v>
      </c>
      <c r="Z1059" s="30" t="s">
        <v>96</v>
      </c>
      <c r="AA1059" s="31">
        <f t="shared" ref="AA1059:AA1060" si="293">AA1058+1</f>
        <v>7329</v>
      </c>
      <c r="AB1059" s="33">
        <f>93900+916</f>
        <v>94816</v>
      </c>
      <c r="AC1059" s="33">
        <v>-924</v>
      </c>
      <c r="AD1059" s="32"/>
      <c r="AE1059" s="32">
        <f t="shared" si="289"/>
        <v>93892</v>
      </c>
      <c r="AF1059" s="12"/>
      <c r="AG1059" s="12"/>
      <c r="AH1059" s="12"/>
      <c r="AI1059" s="12">
        <f t="shared" si="290"/>
        <v>93892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90">
        <f t="shared" si="291"/>
        <v>7389</v>
      </c>
      <c r="D1060" s="32">
        <f>6886+104.5</f>
        <v>6990.5</v>
      </c>
      <c r="E1060" s="32"/>
      <c r="F1060" s="32"/>
      <c r="G1060" s="32">
        <f t="shared" si="285"/>
        <v>6990.5</v>
      </c>
      <c r="H1060" s="12"/>
      <c r="I1060" s="12"/>
      <c r="J1060" s="12"/>
      <c r="K1060" s="12">
        <f t="shared" si="286"/>
        <v>6990.5</v>
      </c>
      <c r="M1060" s="10">
        <v>4</v>
      </c>
      <c r="N1060" s="30" t="s">
        <v>96</v>
      </c>
      <c r="O1060" s="31">
        <f t="shared" si="292"/>
        <v>7421</v>
      </c>
      <c r="P1060" s="32">
        <f>1878+229</f>
        <v>2107</v>
      </c>
      <c r="Q1060" s="32"/>
      <c r="R1060" s="32"/>
      <c r="S1060" s="32">
        <f t="shared" si="287"/>
        <v>2107</v>
      </c>
      <c r="T1060" s="12"/>
      <c r="U1060" s="12">
        <v>78</v>
      </c>
      <c r="V1060" s="12"/>
      <c r="W1060" s="12">
        <f t="shared" si="288"/>
        <v>2185</v>
      </c>
      <c r="Y1060" s="10">
        <v>4</v>
      </c>
      <c r="Z1060" s="30" t="s">
        <v>96</v>
      </c>
      <c r="AA1060" s="31">
        <f t="shared" si="293"/>
        <v>7330</v>
      </c>
      <c r="AB1060" s="32">
        <f>34430+2980+458</f>
        <v>37868</v>
      </c>
      <c r="AC1060" s="32">
        <v>-372</v>
      </c>
      <c r="AD1060" s="32"/>
      <c r="AE1060" s="32">
        <f t="shared" si="289"/>
        <v>37496</v>
      </c>
      <c r="AF1060" s="12"/>
      <c r="AH1060" s="12"/>
      <c r="AI1060" s="12">
        <f t="shared" si="290"/>
        <v>37496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90">
        <f t="shared" si="291"/>
        <v>7390</v>
      </c>
      <c r="D1061" s="32">
        <f>9390+142.5</f>
        <v>9532.5</v>
      </c>
      <c r="E1061" s="32"/>
      <c r="F1061" s="32"/>
      <c r="G1061" s="32">
        <f t="shared" si="285"/>
        <v>9532.5</v>
      </c>
      <c r="H1061" s="12"/>
      <c r="I1061" s="12">
        <v>18</v>
      </c>
      <c r="J1061" s="12"/>
      <c r="K1061" s="12">
        <f t="shared" si="286"/>
        <v>9550.5</v>
      </c>
      <c r="M1061" s="10">
        <v>5</v>
      </c>
      <c r="N1061" s="30" t="s">
        <v>96</v>
      </c>
      <c r="O1061" s="31">
        <f t="shared" si="292"/>
        <v>7422</v>
      </c>
      <c r="P1061" s="32">
        <f>614+596+9.5</f>
        <v>1219.5</v>
      </c>
      <c r="Q1061" s="32"/>
      <c r="R1061" s="32"/>
      <c r="S1061" s="32">
        <f t="shared" si="287"/>
        <v>1219.5</v>
      </c>
      <c r="T1061" s="12"/>
      <c r="U1061" s="12"/>
      <c r="V1061" s="12"/>
      <c r="W1061" s="12">
        <f t="shared" si="288"/>
        <v>1219.5</v>
      </c>
      <c r="Y1061" s="10">
        <v>5</v>
      </c>
      <c r="Z1061" s="30"/>
      <c r="AA1061" s="11" t="s">
        <v>27</v>
      </c>
      <c r="AB1061" s="32"/>
      <c r="AC1061" s="32"/>
      <c r="AD1061" s="32"/>
      <c r="AE1061" s="32">
        <f t="shared" si="289"/>
        <v>0</v>
      </c>
      <c r="AF1061" s="12"/>
      <c r="AG1061" s="12"/>
      <c r="AH1061" s="12"/>
      <c r="AI1061" s="12">
        <f t="shared" si="290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90">
        <f t="shared" si="291"/>
        <v>7391</v>
      </c>
      <c r="D1062" s="32">
        <f>6260+674</f>
        <v>6934</v>
      </c>
      <c r="E1062" s="32"/>
      <c r="F1062" s="32"/>
      <c r="G1062" s="32">
        <f t="shared" si="285"/>
        <v>6934</v>
      </c>
      <c r="H1062" s="12"/>
      <c r="I1062" s="12"/>
      <c r="J1062" s="12"/>
      <c r="K1062" s="12">
        <f t="shared" si="286"/>
        <v>6934</v>
      </c>
      <c r="M1062" s="10">
        <v>6</v>
      </c>
      <c r="N1062" s="30" t="s">
        <v>96</v>
      </c>
      <c r="O1062" s="31">
        <f t="shared" si="292"/>
        <v>7423</v>
      </c>
      <c r="P1062" s="32">
        <f>1252+614+19</f>
        <v>1885</v>
      </c>
      <c r="Q1062" s="32"/>
      <c r="R1062" s="32"/>
      <c r="S1062" s="32">
        <f t="shared" si="287"/>
        <v>1885</v>
      </c>
      <c r="T1062" s="12"/>
      <c r="U1062" s="12"/>
      <c r="V1062" s="10"/>
      <c r="W1062" s="12">
        <f t="shared" si="288"/>
        <v>1885</v>
      </c>
      <c r="Y1062" s="10">
        <v>6</v>
      </c>
      <c r="Z1062" s="30"/>
      <c r="AA1062" s="31"/>
      <c r="AB1062" s="32"/>
      <c r="AC1062" s="32"/>
      <c r="AD1062" s="32"/>
      <c r="AE1062" s="32">
        <f t="shared" si="289"/>
        <v>0</v>
      </c>
      <c r="AF1062" s="12"/>
      <c r="AG1062" s="12"/>
      <c r="AH1062" s="10"/>
      <c r="AI1062" s="12">
        <f t="shared" si="290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96</v>
      </c>
      <c r="C1063" s="90">
        <f t="shared" si="291"/>
        <v>7392</v>
      </c>
      <c r="D1063" s="32">
        <f>11268+5960+832+229</f>
        <v>18289</v>
      </c>
      <c r="E1063" s="32"/>
      <c r="F1063" s="32"/>
      <c r="G1063" s="32">
        <f t="shared" si="285"/>
        <v>18289</v>
      </c>
      <c r="H1063" s="12"/>
      <c r="I1063" s="12"/>
      <c r="J1063" s="12"/>
      <c r="K1063" s="12">
        <f t="shared" si="286"/>
        <v>18289</v>
      </c>
      <c r="M1063" s="10">
        <v>7</v>
      </c>
      <c r="N1063" s="30" t="s">
        <v>96</v>
      </c>
      <c r="O1063" s="31">
        <f t="shared" si="292"/>
        <v>7424</v>
      </c>
      <c r="P1063" s="32">
        <f>117688+5960+1832+1300</f>
        <v>126780</v>
      </c>
      <c r="Q1063" s="32">
        <v>-1854</v>
      </c>
      <c r="R1063" s="32"/>
      <c r="S1063" s="32">
        <f t="shared" si="287"/>
        <v>124926</v>
      </c>
      <c r="T1063" s="12"/>
      <c r="U1063" s="12">
        <f>1443+624</f>
        <v>2067</v>
      </c>
      <c r="V1063" s="12">
        <v>-252</v>
      </c>
      <c r="W1063" s="12">
        <f t="shared" si="288"/>
        <v>126741</v>
      </c>
      <c r="Y1063" s="10">
        <v>7</v>
      </c>
      <c r="Z1063" s="30"/>
      <c r="AB1063" s="32"/>
      <c r="AC1063" s="32"/>
      <c r="AD1063" s="32"/>
      <c r="AE1063" s="32">
        <f t="shared" si="289"/>
        <v>0</v>
      </c>
      <c r="AF1063" s="12"/>
      <c r="AG1063" s="58"/>
      <c r="AH1063" s="12"/>
      <c r="AI1063" s="12">
        <f t="shared" si="290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96</v>
      </c>
      <c r="C1064" s="90">
        <f t="shared" si="291"/>
        <v>7393</v>
      </c>
      <c r="D1064" s="32">
        <f>5008+1192+95+500</f>
        <v>6795</v>
      </c>
      <c r="E1064" s="32"/>
      <c r="F1064" s="32"/>
      <c r="G1064" s="32">
        <f t="shared" si="285"/>
        <v>6795</v>
      </c>
      <c r="H1064" s="12"/>
      <c r="I1064" s="12"/>
      <c r="J1064" s="12"/>
      <c r="K1064" s="12">
        <f t="shared" si="286"/>
        <v>6795</v>
      </c>
      <c r="M1064" s="10">
        <v>8</v>
      </c>
      <c r="N1064" s="30" t="s">
        <v>96</v>
      </c>
      <c r="O1064" s="31">
        <f t="shared" si="292"/>
        <v>7425</v>
      </c>
      <c r="P1064" s="32">
        <f>6260+1788</f>
        <v>8048</v>
      </c>
      <c r="Q1064" s="32"/>
      <c r="R1064" s="32"/>
      <c r="S1064" s="32">
        <f t="shared" si="287"/>
        <v>8048</v>
      </c>
      <c r="T1064" s="12"/>
      <c r="U1064" s="12">
        <v>-1110</v>
      </c>
      <c r="V1064" s="12"/>
      <c r="W1064" s="12">
        <f t="shared" si="288"/>
        <v>6938</v>
      </c>
      <c r="Y1064" s="10">
        <v>8</v>
      </c>
      <c r="Z1064" s="30"/>
      <c r="AA1064" s="31"/>
      <c r="AB1064" s="32"/>
      <c r="AC1064" s="32"/>
      <c r="AE1064" s="32">
        <f t="shared" si="289"/>
        <v>0</v>
      </c>
      <c r="AF1064" s="12"/>
      <c r="AG1064" s="12"/>
      <c r="AH1064" s="12"/>
      <c r="AI1064" s="12">
        <f t="shared" si="290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96</v>
      </c>
      <c r="C1065" s="90">
        <f t="shared" si="291"/>
        <v>7394</v>
      </c>
      <c r="D1065" s="32">
        <f>6886+1192</f>
        <v>8078</v>
      </c>
      <c r="E1065" s="32"/>
      <c r="F1065" s="32"/>
      <c r="G1065" s="32">
        <f t="shared" si="285"/>
        <v>8078</v>
      </c>
      <c r="H1065" s="12"/>
      <c r="I1065" s="12"/>
      <c r="J1065" s="12"/>
      <c r="K1065" s="12">
        <f t="shared" si="286"/>
        <v>8078</v>
      </c>
      <c r="M1065" s="10">
        <v>9</v>
      </c>
      <c r="N1065" s="30"/>
      <c r="O1065" s="11" t="s">
        <v>27</v>
      </c>
      <c r="P1065" s="32"/>
      <c r="Q1065" s="32"/>
      <c r="R1065" s="32"/>
      <c r="S1065" s="32">
        <f t="shared" si="287"/>
        <v>0</v>
      </c>
      <c r="T1065" s="12"/>
      <c r="U1065" s="12"/>
      <c r="V1065" s="12"/>
      <c r="W1065" s="12">
        <f t="shared" si="288"/>
        <v>0</v>
      </c>
      <c r="Y1065" s="10">
        <v>9</v>
      </c>
      <c r="Z1065" s="30"/>
      <c r="AA1065" s="31"/>
      <c r="AB1065" s="32"/>
      <c r="AC1065" s="32"/>
      <c r="AD1065" s="32"/>
      <c r="AE1065" s="32">
        <f t="shared" si="289"/>
        <v>0</v>
      </c>
      <c r="AF1065" s="12"/>
      <c r="AG1065" s="58"/>
      <c r="AH1065" s="12"/>
      <c r="AI1065" s="12">
        <f t="shared" si="290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96</v>
      </c>
      <c r="C1066" s="90">
        <f t="shared" si="291"/>
        <v>7395</v>
      </c>
      <c r="D1066" s="32">
        <f>5008+1788</f>
        <v>6796</v>
      </c>
      <c r="E1066" s="32"/>
      <c r="F1066" s="32"/>
      <c r="G1066" s="32">
        <f t="shared" si="285"/>
        <v>6796</v>
      </c>
      <c r="H1066" s="12"/>
      <c r="I1066" s="12"/>
      <c r="J1066" s="12"/>
      <c r="K1066" s="12">
        <f t="shared" si="286"/>
        <v>6796</v>
      </c>
      <c r="M1066" s="10">
        <v>10</v>
      </c>
      <c r="N1066" s="30"/>
      <c r="O1066" s="31"/>
      <c r="P1066" s="32"/>
      <c r="Q1066" s="32"/>
      <c r="R1066" s="32"/>
      <c r="S1066" s="32">
        <f t="shared" si="287"/>
        <v>0</v>
      </c>
      <c r="T1066" s="12"/>
      <c r="U1066" s="12"/>
      <c r="V1066" s="12"/>
      <c r="W1066" s="12">
        <f t="shared" si="288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289"/>
        <v>0</v>
      </c>
      <c r="AF1066" s="12"/>
      <c r="AG1066" s="12"/>
      <c r="AH1066" s="12"/>
      <c r="AI1066" s="12">
        <f t="shared" si="290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96</v>
      </c>
      <c r="C1067" s="90">
        <f t="shared" si="291"/>
        <v>7396</v>
      </c>
      <c r="D1067" s="32">
        <f>4382</f>
        <v>4382</v>
      </c>
      <c r="E1067" s="32"/>
      <c r="F1067" s="32"/>
      <c r="G1067" s="32">
        <f t="shared" si="285"/>
        <v>4382</v>
      </c>
      <c r="H1067" s="12"/>
      <c r="I1067" s="12"/>
      <c r="J1067" s="12"/>
      <c r="K1067" s="12">
        <f t="shared" si="286"/>
        <v>4382</v>
      </c>
      <c r="M1067" s="10">
        <v>11</v>
      </c>
      <c r="N1067" s="30"/>
      <c r="O1067" s="31"/>
      <c r="P1067" s="32"/>
      <c r="Q1067" s="32"/>
      <c r="R1067" s="32"/>
      <c r="S1067" s="32">
        <f t="shared" si="287"/>
        <v>0</v>
      </c>
      <c r="T1067" s="12"/>
      <c r="U1067" s="12"/>
      <c r="V1067" s="12"/>
      <c r="W1067" s="12">
        <f t="shared" si="288"/>
        <v>0</v>
      </c>
      <c r="Y1067" s="10">
        <v>11</v>
      </c>
      <c r="Z1067" s="30"/>
      <c r="AB1067" s="32"/>
      <c r="AC1067" s="32"/>
      <c r="AD1067" s="32"/>
      <c r="AE1067" s="32">
        <f t="shared" si="289"/>
        <v>0</v>
      </c>
      <c r="AF1067" s="12"/>
      <c r="AG1067" s="12"/>
      <c r="AH1067" s="12"/>
      <c r="AI1067" s="12">
        <f t="shared" si="290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96</v>
      </c>
      <c r="C1068" s="90">
        <f t="shared" si="291"/>
        <v>7397</v>
      </c>
      <c r="D1068" s="32">
        <f>1878+596+38</f>
        <v>2512</v>
      </c>
      <c r="E1068" s="32"/>
      <c r="F1068" s="32"/>
      <c r="G1068" s="32">
        <f t="shared" si="285"/>
        <v>2512</v>
      </c>
      <c r="H1068" s="12"/>
      <c r="I1068" s="12"/>
      <c r="J1068" s="10"/>
      <c r="K1068" s="12">
        <f t="shared" si="286"/>
        <v>2512</v>
      </c>
      <c r="M1068" s="10">
        <v>12</v>
      </c>
      <c r="N1068" s="30"/>
      <c r="O1068" s="31"/>
      <c r="P1068" s="32"/>
      <c r="Q1068" s="32"/>
      <c r="R1068" s="32"/>
      <c r="S1068" s="32">
        <f t="shared" si="287"/>
        <v>0</v>
      </c>
      <c r="T1068" s="12"/>
      <c r="U1068" s="12"/>
      <c r="V1068" s="12"/>
      <c r="W1068" s="12">
        <f t="shared" si="288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289"/>
        <v>0</v>
      </c>
      <c r="AF1068" s="12"/>
      <c r="AG1068" s="12"/>
      <c r="AH1068" s="12"/>
      <c r="AI1068" s="12">
        <f t="shared" si="290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96</v>
      </c>
      <c r="C1069" s="90">
        <f t="shared" si="291"/>
        <v>7398</v>
      </c>
      <c r="D1069" s="32">
        <f>1878+28.5</f>
        <v>1906.5</v>
      </c>
      <c r="E1069" s="32"/>
      <c r="F1069" s="32"/>
      <c r="G1069" s="32">
        <f t="shared" si="285"/>
        <v>1906.5</v>
      </c>
      <c r="H1069" s="12"/>
      <c r="I1069" s="12"/>
      <c r="J1069" s="12"/>
      <c r="K1069" s="12">
        <f t="shared" si="286"/>
        <v>1906.5</v>
      </c>
      <c r="M1069" s="10">
        <v>13</v>
      </c>
      <c r="N1069" s="30"/>
      <c r="O1069" s="31"/>
      <c r="P1069" s="32"/>
      <c r="Q1069" s="32"/>
      <c r="R1069" s="32"/>
      <c r="S1069" s="32">
        <f t="shared" si="287"/>
        <v>0</v>
      </c>
      <c r="T1069" s="12"/>
      <c r="U1069" s="12"/>
      <c r="V1069" s="12"/>
      <c r="W1069" s="12">
        <f t="shared" si="288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289"/>
        <v>0</v>
      </c>
      <c r="AF1069" s="12"/>
      <c r="AG1069" s="12"/>
      <c r="AH1069" s="12"/>
      <c r="AI1069" s="12">
        <f t="shared" si="290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96</v>
      </c>
      <c r="C1070" s="90">
        <f t="shared" si="291"/>
        <v>7399</v>
      </c>
      <c r="D1070" s="32">
        <f>6260</f>
        <v>6260</v>
      </c>
      <c r="E1070" s="32"/>
      <c r="F1070" s="32"/>
      <c r="G1070" s="32">
        <f t="shared" si="285"/>
        <v>6260</v>
      </c>
      <c r="H1070" s="12"/>
      <c r="I1070" s="12"/>
      <c r="J1070" s="12"/>
      <c r="K1070" s="12">
        <f t="shared" si="286"/>
        <v>6260</v>
      </c>
      <c r="M1070" s="10">
        <v>14</v>
      </c>
      <c r="N1070" s="30"/>
      <c r="O1070" s="31"/>
      <c r="P1070" s="32"/>
      <c r="Q1070" s="32"/>
      <c r="R1070" s="32"/>
      <c r="S1070" s="32">
        <f t="shared" si="287"/>
        <v>0</v>
      </c>
      <c r="T1070" s="12"/>
      <c r="U1070" s="12"/>
      <c r="V1070" s="12"/>
      <c r="W1070" s="12">
        <f t="shared" si="288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289"/>
        <v>0</v>
      </c>
      <c r="AF1070" s="12"/>
      <c r="AG1070" s="12"/>
      <c r="AH1070" s="12"/>
      <c r="AI1070" s="12">
        <f t="shared" si="290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96</v>
      </c>
      <c r="C1071" s="90">
        <f t="shared" si="291"/>
        <v>7400</v>
      </c>
      <c r="D1071" s="32">
        <f>3130+2980</f>
        <v>6110</v>
      </c>
      <c r="E1071" s="32"/>
      <c r="F1071" s="32"/>
      <c r="G1071" s="32">
        <f t="shared" si="285"/>
        <v>6110</v>
      </c>
      <c r="H1071" s="12"/>
      <c r="I1071" s="12">
        <v>18</v>
      </c>
      <c r="J1071" s="12"/>
      <c r="K1071" s="12">
        <f t="shared" si="286"/>
        <v>6128</v>
      </c>
      <c r="M1071" s="10">
        <v>15</v>
      </c>
      <c r="N1071" s="30"/>
      <c r="O1071" s="31"/>
      <c r="P1071" s="32"/>
      <c r="Q1071" s="32"/>
      <c r="R1071" s="32"/>
      <c r="S1071" s="32">
        <f t="shared" si="287"/>
        <v>0</v>
      </c>
      <c r="T1071" s="12"/>
      <c r="U1071" s="12"/>
      <c r="V1071" s="12"/>
      <c r="W1071" s="12">
        <f t="shared" si="288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289"/>
        <v>0</v>
      </c>
      <c r="AF1071" s="12"/>
      <c r="AG1071" s="12"/>
      <c r="AH1071" s="12"/>
      <c r="AI1071" s="12">
        <f t="shared" si="290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 t="s">
        <v>27</v>
      </c>
      <c r="D1072" s="32"/>
      <c r="E1072" s="32"/>
      <c r="F1072" s="32"/>
      <c r="G1072" s="32">
        <f t="shared" si="285"/>
        <v>0</v>
      </c>
      <c r="H1072" s="12"/>
      <c r="I1072" s="12"/>
      <c r="J1072" s="12"/>
      <c r="K1072" s="12">
        <f t="shared" si="286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287"/>
        <v>0</v>
      </c>
      <c r="T1072" s="12"/>
      <c r="U1072" s="12"/>
      <c r="V1072" s="12"/>
      <c r="W1072" s="12">
        <f t="shared" si="288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289"/>
        <v>0</v>
      </c>
      <c r="AF1072" s="12"/>
      <c r="AG1072" s="12"/>
      <c r="AH1072" s="12"/>
      <c r="AI1072" s="12">
        <f t="shared" si="290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90"/>
      <c r="D1073" s="32"/>
      <c r="E1073" s="32"/>
      <c r="F1073" s="32"/>
      <c r="G1073" s="32">
        <f t="shared" si="285"/>
        <v>0</v>
      </c>
      <c r="H1073" s="12"/>
      <c r="I1073" s="12"/>
      <c r="J1073" s="12"/>
      <c r="K1073" s="12">
        <f t="shared" si="286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287"/>
        <v>0</v>
      </c>
      <c r="T1073" s="12"/>
      <c r="U1073" s="12"/>
      <c r="V1073" s="12"/>
      <c r="W1073" s="12">
        <f t="shared" si="288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289"/>
        <v>0</v>
      </c>
      <c r="AF1073" s="12"/>
      <c r="AG1073" s="12"/>
      <c r="AH1073" s="12"/>
      <c r="AI1073" s="12">
        <f t="shared" si="290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90"/>
      <c r="D1074" s="32"/>
      <c r="E1074" s="32"/>
      <c r="F1074" s="32"/>
      <c r="G1074" s="32">
        <f t="shared" si="285"/>
        <v>0</v>
      </c>
      <c r="H1074" s="12"/>
      <c r="I1074" s="12"/>
      <c r="J1074" s="12"/>
      <c r="K1074" s="12">
        <f t="shared" si="286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287"/>
        <v>0</v>
      </c>
      <c r="T1074" s="12"/>
      <c r="U1074" s="12"/>
      <c r="V1074" s="12"/>
      <c r="W1074" s="12">
        <f t="shared" si="288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89"/>
        <v>0</v>
      </c>
      <c r="AF1074" s="12"/>
      <c r="AG1074" s="12"/>
      <c r="AH1074" s="12"/>
      <c r="AI1074" s="12">
        <f t="shared" si="290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90"/>
      <c r="D1075" s="32"/>
      <c r="E1075" s="32"/>
      <c r="F1075" s="32"/>
      <c r="G1075" s="32">
        <f t="shared" si="285"/>
        <v>0</v>
      </c>
      <c r="H1075" s="12"/>
      <c r="I1075" s="12"/>
      <c r="J1075" s="12"/>
      <c r="K1075" s="12">
        <f t="shared" si="286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87"/>
        <v>0</v>
      </c>
      <c r="T1075" s="12"/>
      <c r="U1075" s="12"/>
      <c r="V1075" s="12"/>
      <c r="W1075" s="12">
        <f t="shared" si="288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89"/>
        <v>0</v>
      </c>
      <c r="AF1075" s="12"/>
      <c r="AG1075" s="12"/>
      <c r="AH1075" s="12"/>
      <c r="AI1075" s="12">
        <f t="shared" si="290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90"/>
      <c r="D1076" s="32"/>
      <c r="E1076" s="32"/>
      <c r="F1076" s="32"/>
      <c r="G1076" s="32">
        <f t="shared" si="285"/>
        <v>0</v>
      </c>
      <c r="H1076" s="12"/>
      <c r="I1076" s="12"/>
      <c r="J1076" s="12"/>
      <c r="K1076" s="12">
        <f t="shared" si="286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87"/>
        <v>0</v>
      </c>
      <c r="T1076" s="12"/>
      <c r="U1076" s="12"/>
      <c r="V1076" s="12"/>
      <c r="W1076" s="12">
        <f t="shared" si="288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89"/>
        <v>0</v>
      </c>
      <c r="AF1076" s="12"/>
      <c r="AG1076" s="12"/>
      <c r="AH1076" s="12"/>
      <c r="AI1076" s="12">
        <f t="shared" si="290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285"/>
        <v>0</v>
      </c>
      <c r="H1077" s="10"/>
      <c r="I1077" s="10"/>
      <c r="J1077" s="10"/>
      <c r="K1077" s="12">
        <f t="shared" si="286"/>
        <v>0</v>
      </c>
      <c r="M1077" s="10">
        <v>21</v>
      </c>
      <c r="N1077" s="30"/>
      <c r="P1077" s="46"/>
      <c r="Q1077" s="31"/>
      <c r="R1077" s="31"/>
      <c r="S1077" s="32">
        <f t="shared" si="287"/>
        <v>0</v>
      </c>
      <c r="T1077" s="10"/>
      <c r="U1077" s="10"/>
      <c r="V1077" s="10"/>
      <c r="W1077" s="12">
        <f t="shared" si="288"/>
        <v>0</v>
      </c>
      <c r="Y1077" s="10">
        <v>21</v>
      </c>
      <c r="Z1077" s="30"/>
      <c r="AB1077" s="46"/>
      <c r="AC1077" s="31"/>
      <c r="AD1077" s="31"/>
      <c r="AE1077" s="32">
        <f t="shared" si="289"/>
        <v>0</v>
      </c>
      <c r="AF1077" s="10"/>
      <c r="AG1077" s="10"/>
      <c r="AH1077" s="10"/>
      <c r="AI1077" s="12">
        <f t="shared" si="290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90"/>
      <c r="D1078" s="32"/>
      <c r="E1078" s="32"/>
      <c r="F1078" s="32"/>
      <c r="G1078" s="32">
        <f t="shared" si="285"/>
        <v>0</v>
      </c>
      <c r="H1078" s="10"/>
      <c r="I1078" s="10"/>
      <c r="J1078" s="10"/>
      <c r="K1078" s="12">
        <f t="shared" si="286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87"/>
        <v>0</v>
      </c>
      <c r="T1078" s="10"/>
      <c r="U1078" s="10"/>
      <c r="V1078" s="10"/>
      <c r="W1078" s="12">
        <f t="shared" si="288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89"/>
        <v>0</v>
      </c>
      <c r="AF1078" s="10"/>
      <c r="AG1078" s="10"/>
      <c r="AH1078" s="10"/>
      <c r="AI1078" s="12">
        <f t="shared" si="290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285"/>
        <v>0</v>
      </c>
      <c r="H1079" s="10"/>
      <c r="I1079" s="10"/>
      <c r="J1079" s="12"/>
      <c r="K1079" s="12">
        <f t="shared" si="286"/>
        <v>0</v>
      </c>
      <c r="M1079" s="10">
        <v>23</v>
      </c>
      <c r="N1079" s="30"/>
      <c r="O1079" s="31"/>
      <c r="P1079" s="47"/>
      <c r="Q1079" s="31"/>
      <c r="S1079" s="32">
        <f t="shared" si="287"/>
        <v>0</v>
      </c>
      <c r="T1079" s="10"/>
      <c r="U1079" s="10"/>
      <c r="V1079" s="10"/>
      <c r="W1079" s="12">
        <f t="shared" si="288"/>
        <v>0</v>
      </c>
      <c r="Y1079" s="10">
        <v>23</v>
      </c>
      <c r="Z1079" s="30"/>
      <c r="AA1079" s="31"/>
      <c r="AB1079" s="47"/>
      <c r="AC1079" s="31"/>
      <c r="AE1079" s="32">
        <f t="shared" si="289"/>
        <v>0</v>
      </c>
      <c r="AF1079" s="10"/>
      <c r="AG1079" s="10"/>
      <c r="AH1079" s="10"/>
      <c r="AI1079" s="12">
        <f t="shared" si="290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90"/>
      <c r="D1080" s="32"/>
      <c r="E1080" s="32"/>
      <c r="F1080" s="32"/>
      <c r="G1080" s="32">
        <f t="shared" si="285"/>
        <v>0</v>
      </c>
      <c r="H1080" s="10"/>
      <c r="I1080" s="10"/>
      <c r="J1080" s="10"/>
      <c r="K1080" s="12">
        <f t="shared" si="286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87"/>
        <v>0</v>
      </c>
      <c r="T1080" s="10"/>
      <c r="U1080" s="10"/>
      <c r="V1080" s="10"/>
      <c r="W1080" s="12">
        <f t="shared" si="288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89"/>
        <v>0</v>
      </c>
      <c r="AF1080" s="10"/>
      <c r="AG1080" s="10"/>
      <c r="AH1080" s="10"/>
      <c r="AI1080" s="12">
        <f t="shared" si="290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90"/>
      <c r="D1081" s="32"/>
      <c r="E1081" s="32"/>
      <c r="F1081" s="32"/>
      <c r="G1081" s="32">
        <f t="shared" si="285"/>
        <v>0</v>
      </c>
      <c r="H1081" s="10"/>
      <c r="I1081" s="10"/>
      <c r="J1081" s="10"/>
      <c r="K1081" s="12">
        <f t="shared" si="286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87"/>
        <v>0</v>
      </c>
      <c r="T1081" s="10"/>
      <c r="U1081" s="10"/>
      <c r="V1081" s="10"/>
      <c r="W1081" s="12">
        <f t="shared" si="288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89"/>
        <v>0</v>
      </c>
      <c r="AF1081" s="10"/>
      <c r="AG1081" s="10"/>
      <c r="AH1081" s="10"/>
      <c r="AI1081" s="12">
        <f t="shared" si="290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90"/>
      <c r="D1082" s="32"/>
      <c r="E1082" s="32"/>
      <c r="F1082" s="32"/>
      <c r="G1082" s="32">
        <f t="shared" si="285"/>
        <v>0</v>
      </c>
      <c r="H1082" s="10"/>
      <c r="I1082" s="10"/>
      <c r="J1082" s="10"/>
      <c r="K1082" s="12">
        <f t="shared" si="286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87"/>
        <v>0</v>
      </c>
      <c r="T1082" s="10"/>
      <c r="U1082" s="10"/>
      <c r="V1082" s="10"/>
      <c r="W1082" s="12">
        <f t="shared" si="288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89"/>
        <v>0</v>
      </c>
      <c r="AF1082" s="10"/>
      <c r="AG1082" s="10"/>
      <c r="AH1082" s="10"/>
      <c r="AI1082" s="12">
        <f t="shared" si="290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90"/>
      <c r="D1083" s="32"/>
      <c r="E1083" s="32"/>
      <c r="F1083" s="32"/>
      <c r="G1083" s="32">
        <f t="shared" si="285"/>
        <v>0</v>
      </c>
      <c r="H1083" s="10"/>
      <c r="I1083" s="10"/>
      <c r="J1083" s="10"/>
      <c r="K1083" s="12">
        <f t="shared" si="286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87"/>
        <v>0</v>
      </c>
      <c r="T1083" s="10"/>
      <c r="U1083" s="10"/>
      <c r="V1083" s="10"/>
      <c r="W1083" s="12">
        <f t="shared" si="288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89"/>
        <v>0</v>
      </c>
      <c r="AF1083" s="10"/>
      <c r="AG1083" s="10"/>
      <c r="AH1083" s="10"/>
      <c r="AI1083" s="12">
        <f t="shared" si="290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90"/>
      <c r="D1084" s="32"/>
      <c r="E1084" s="32"/>
      <c r="F1084" s="32"/>
      <c r="G1084" s="32">
        <f t="shared" si="285"/>
        <v>0</v>
      </c>
      <c r="H1084" s="10"/>
      <c r="I1084" s="10"/>
      <c r="J1084" s="10"/>
      <c r="K1084" s="12">
        <f t="shared" si="286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87"/>
        <v>0</v>
      </c>
      <c r="T1084" s="10"/>
      <c r="U1084" s="10"/>
      <c r="V1084" s="10"/>
      <c r="W1084" s="12">
        <f t="shared" si="288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89"/>
        <v>0</v>
      </c>
      <c r="AF1084" s="10"/>
      <c r="AG1084" s="10"/>
      <c r="AH1084" s="10"/>
      <c r="AI1084" s="12">
        <f t="shared" si="290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90"/>
      <c r="D1085" s="32"/>
      <c r="E1085" s="32"/>
      <c r="F1085" s="32"/>
      <c r="G1085" s="32">
        <f t="shared" si="285"/>
        <v>0</v>
      </c>
      <c r="H1085" s="10"/>
      <c r="I1085" s="10"/>
      <c r="J1085" s="10"/>
      <c r="K1085" s="12">
        <f t="shared" si="286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87"/>
        <v>0</v>
      </c>
      <c r="T1085" s="10"/>
      <c r="U1085" s="10"/>
      <c r="V1085" s="10"/>
      <c r="W1085" s="12">
        <f t="shared" si="288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89"/>
        <v>0</v>
      </c>
      <c r="AF1085" s="10"/>
      <c r="AG1085" s="10"/>
      <c r="AH1085" s="10"/>
      <c r="AI1085" s="12">
        <f t="shared" si="290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85"/>
        <v>0</v>
      </c>
      <c r="H1086" s="10"/>
      <c r="I1086" s="10"/>
      <c r="J1086" s="10"/>
      <c r="K1086" s="12">
        <f t="shared" si="286"/>
        <v>0</v>
      </c>
      <c r="M1086" s="10">
        <v>30</v>
      </c>
      <c r="N1086" s="30"/>
      <c r="P1086" s="47"/>
      <c r="Q1086" s="31"/>
      <c r="R1086" s="31"/>
      <c r="S1086" s="32">
        <f t="shared" si="287"/>
        <v>0</v>
      </c>
      <c r="T1086" s="10"/>
      <c r="U1086" s="10"/>
      <c r="V1086" s="10"/>
      <c r="W1086" s="12">
        <f t="shared" si="288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89"/>
        <v>0</v>
      </c>
      <c r="AF1086" s="10"/>
      <c r="AG1086" s="10"/>
      <c r="AH1086" s="10"/>
      <c r="AI1086" s="12">
        <f t="shared" si="290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90"/>
      <c r="D1087" s="32"/>
      <c r="E1087" s="32"/>
      <c r="F1087" s="32"/>
      <c r="G1087" s="32">
        <f t="shared" si="285"/>
        <v>0</v>
      </c>
      <c r="H1087" s="10"/>
      <c r="I1087" s="10"/>
      <c r="J1087" s="10"/>
      <c r="K1087" s="12">
        <f t="shared" si="286"/>
        <v>0</v>
      </c>
      <c r="M1087" s="10">
        <v>31</v>
      </c>
      <c r="N1087" s="30"/>
      <c r="P1087" s="47"/>
      <c r="Q1087" s="31"/>
      <c r="R1087" s="31"/>
      <c r="S1087" s="32">
        <f t="shared" si="287"/>
        <v>0</v>
      </c>
      <c r="T1087" s="10"/>
      <c r="U1087" s="10"/>
      <c r="V1087" s="10"/>
      <c r="W1087" s="12">
        <f t="shared" si="288"/>
        <v>0</v>
      </c>
      <c r="Y1087" s="10">
        <v>31</v>
      </c>
      <c r="Z1087" s="30"/>
      <c r="AB1087" s="47"/>
      <c r="AC1087" s="31"/>
      <c r="AD1087" s="31"/>
      <c r="AE1087" s="32">
        <f t="shared" si="289"/>
        <v>0</v>
      </c>
      <c r="AF1087" s="10"/>
      <c r="AG1087" s="10"/>
      <c r="AH1087" s="10"/>
      <c r="AI1087" s="12">
        <f t="shared" si="290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90"/>
      <c r="D1088" s="32"/>
      <c r="E1088" s="32"/>
      <c r="F1088" s="32"/>
      <c r="G1088" s="32">
        <f t="shared" si="285"/>
        <v>0</v>
      </c>
      <c r="H1088" s="10"/>
      <c r="I1088" s="10"/>
      <c r="J1088" s="10"/>
      <c r="K1088" s="12">
        <f t="shared" si="286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87"/>
        <v>0</v>
      </c>
      <c r="T1088" s="10"/>
      <c r="U1088" s="10"/>
      <c r="V1088" s="10"/>
      <c r="W1088" s="12">
        <f t="shared" si="288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89"/>
        <v>0</v>
      </c>
      <c r="AF1088" s="10"/>
      <c r="AG1088" s="10"/>
      <c r="AH1088" s="10"/>
      <c r="AI1088" s="12">
        <f t="shared" si="290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90"/>
      <c r="D1089" s="32"/>
      <c r="E1089" s="32"/>
      <c r="F1089" s="32"/>
      <c r="G1089" s="32">
        <f t="shared" si="285"/>
        <v>0</v>
      </c>
      <c r="H1089" s="10"/>
      <c r="I1089" s="10"/>
      <c r="J1089" s="10"/>
      <c r="K1089" s="12">
        <f t="shared" si="286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87"/>
        <v>0</v>
      </c>
      <c r="T1089" s="10"/>
      <c r="U1089" s="10"/>
      <c r="V1089" s="10"/>
      <c r="W1089" s="12">
        <f t="shared" si="288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89"/>
        <v>0</v>
      </c>
      <c r="AF1089" s="10"/>
      <c r="AG1089" s="10"/>
      <c r="AH1089" s="10"/>
      <c r="AI1089" s="12">
        <f t="shared" si="290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90"/>
      <c r="D1090" s="32"/>
      <c r="E1090" s="32"/>
      <c r="F1090" s="32"/>
      <c r="G1090" s="32">
        <f t="shared" si="285"/>
        <v>0</v>
      </c>
      <c r="H1090" s="10"/>
      <c r="I1090" s="10"/>
      <c r="J1090" s="10"/>
      <c r="K1090" s="12">
        <f t="shared" si="286"/>
        <v>0</v>
      </c>
      <c r="M1090" s="10">
        <v>34</v>
      </c>
      <c r="N1090" s="30"/>
      <c r="P1090" s="47"/>
      <c r="Q1090" s="31"/>
      <c r="R1090" s="31"/>
      <c r="S1090" s="32">
        <f t="shared" ref="S1090:S1095" si="294">SUM(P1090:Q1090)</f>
        <v>0</v>
      </c>
      <c r="T1090" s="10"/>
      <c r="U1090" s="10"/>
      <c r="V1090" s="10"/>
      <c r="W1090" s="12">
        <f t="shared" si="288"/>
        <v>0</v>
      </c>
      <c r="Y1090" s="10">
        <v>34</v>
      </c>
      <c r="Z1090" s="30"/>
      <c r="AB1090" s="47"/>
      <c r="AC1090" s="31"/>
      <c r="AD1090" s="31"/>
      <c r="AE1090" s="32">
        <f t="shared" si="289"/>
        <v>0</v>
      </c>
      <c r="AF1090" s="10"/>
      <c r="AG1090" s="10"/>
      <c r="AH1090" s="10"/>
      <c r="AI1090" s="12">
        <f t="shared" si="290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4"/>
        <v>0</v>
      </c>
      <c r="T1091" s="10"/>
      <c r="U1091" s="10"/>
      <c r="V1091" s="10"/>
      <c r="W1091" s="12">
        <f t="shared" si="288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89"/>
        <v>0</v>
      </c>
      <c r="AF1091" s="10"/>
      <c r="AG1091" s="10"/>
      <c r="AH1091" s="10"/>
      <c r="AI1091" s="12">
        <f t="shared" si="290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4"/>
        <v>0</v>
      </c>
      <c r="T1092" s="10"/>
      <c r="U1092" s="10"/>
      <c r="V1092" s="10"/>
      <c r="W1092" s="12">
        <f t="shared" si="288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89"/>
        <v>0</v>
      </c>
      <c r="AF1092" s="10"/>
      <c r="AG1092" s="10"/>
      <c r="AH1092" s="10"/>
      <c r="AI1092" s="12">
        <f t="shared" si="290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4"/>
        <v>0</v>
      </c>
      <c r="T1093" s="10"/>
      <c r="U1093" s="10"/>
      <c r="V1093" s="10"/>
      <c r="W1093" s="12">
        <f t="shared" si="288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89"/>
        <v>0</v>
      </c>
      <c r="AF1093" s="10"/>
      <c r="AG1093" s="10"/>
      <c r="AH1093" s="10"/>
      <c r="AI1093" s="12">
        <f t="shared" si="290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4"/>
        <v>0</v>
      </c>
      <c r="T1094" s="10"/>
      <c r="U1094" s="10"/>
      <c r="V1094" s="10"/>
      <c r="W1094" s="12">
        <f t="shared" si="288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89"/>
        <v>0</v>
      </c>
      <c r="AF1094" s="10"/>
      <c r="AG1094" s="10"/>
      <c r="AH1094" s="10"/>
      <c r="AI1094" s="12">
        <f t="shared" si="290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4"/>
        <v>0</v>
      </c>
      <c r="T1095" s="10"/>
      <c r="U1095" s="10"/>
      <c r="V1095" s="10"/>
      <c r="W1095" s="12">
        <f t="shared" si="288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89"/>
        <v>0</v>
      </c>
      <c r="AF1095" s="10"/>
      <c r="AG1095" s="10"/>
      <c r="AH1095" s="10"/>
      <c r="AI1095" s="12">
        <f t="shared" si="290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8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90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95">SUM(D1097:E1097)</f>
        <v>0</v>
      </c>
      <c r="H1097" s="10"/>
      <c r="I1097" s="10"/>
      <c r="J1097" s="10"/>
      <c r="K1097" s="12">
        <f t="shared" ref="K1097" si="296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97">SUM(P1097:Q1097)</f>
        <v>0</v>
      </c>
      <c r="T1097" s="10"/>
      <c r="U1097" s="10"/>
      <c r="V1097" s="10"/>
      <c r="W1097" s="12">
        <f t="shared" si="288"/>
        <v>0</v>
      </c>
      <c r="Y1097" s="10"/>
      <c r="Z1097" s="30"/>
      <c r="AA1097" s="31"/>
      <c r="AB1097" s="47"/>
      <c r="AC1097" s="31"/>
      <c r="AD1097" s="31"/>
      <c r="AE1097" s="32">
        <f t="shared" ref="AE1097" si="298">SUM(AB1097:AC1097)</f>
        <v>0</v>
      </c>
      <c r="AF1097" s="10"/>
      <c r="AG1097" s="10"/>
      <c r="AH1097" s="10"/>
      <c r="AI1097" s="12">
        <f t="shared" si="290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8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90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100282</v>
      </c>
      <c r="E1100" s="38">
        <f t="shared" ref="E1100:F1100" si="299">SUM(E1057:E1097)</f>
        <v>0</v>
      </c>
      <c r="F1100" s="38">
        <f t="shared" si="299"/>
        <v>0</v>
      </c>
      <c r="G1100" s="38">
        <f>SUM(G1057:G1099)</f>
        <v>100282</v>
      </c>
      <c r="H1100" s="4"/>
      <c r="I1100" s="39">
        <f>SUM(I1057:I1099)</f>
        <v>36</v>
      </c>
      <c r="J1100" s="39">
        <f>SUM(J1057:J1099)</f>
        <v>0</v>
      </c>
      <c r="K1100" s="40">
        <f>SUM(K1057:K1099)</f>
        <v>100318</v>
      </c>
      <c r="N1100" s="57"/>
      <c r="O1100" s="57"/>
      <c r="P1100" s="38">
        <f>SUM(P1057:P1099)</f>
        <v>147030</v>
      </c>
      <c r="Q1100" s="38">
        <f>SUM(Q1057:Q1081)</f>
        <v>-1854</v>
      </c>
      <c r="R1100" s="38">
        <f>SUM(R1057:R1081)</f>
        <v>0</v>
      </c>
      <c r="S1100" s="38">
        <f>SUM(S1057:S1099)</f>
        <v>145176</v>
      </c>
      <c r="T1100" s="4"/>
      <c r="U1100" s="41">
        <f>SUM(U1057:U1099)</f>
        <v>1039.5</v>
      </c>
      <c r="V1100" s="41">
        <f>SUM(V1057:V1081)</f>
        <v>-252</v>
      </c>
      <c r="W1100" s="42">
        <f>SUM(W1057:W1099)</f>
        <v>145963.5</v>
      </c>
      <c r="Z1100" s="57"/>
      <c r="AA1100" s="57"/>
      <c r="AB1100" s="38">
        <f>SUM(AB1057:AB1099)</f>
        <v>232694</v>
      </c>
      <c r="AC1100" s="38">
        <f>SUM(AC1057:AC1081)</f>
        <v>-1896</v>
      </c>
      <c r="AD1100" s="38">
        <f>SUM(AD1057:AD1081)</f>
        <v>0</v>
      </c>
      <c r="AE1100" s="38">
        <f>SUM(AE1057:AE1099)</f>
        <v>230798</v>
      </c>
      <c r="AF1100" s="4"/>
      <c r="AG1100" s="41">
        <f>SUM(AG1057:AG1099)</f>
        <v>0</v>
      </c>
      <c r="AH1100" s="41">
        <f>SUM(AH1057:AH1081)</f>
        <v>-1776</v>
      </c>
      <c r="AI1100" s="42">
        <f>SUM(AI1057:AI1099)</f>
        <v>229022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47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47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47</v>
      </c>
      <c r="Z1107" s="57"/>
      <c r="AA1107" s="57"/>
      <c r="AB1107" s="57"/>
      <c r="AC1107" s="57"/>
      <c r="AD1107" s="57"/>
      <c r="AE1107" s="57"/>
      <c r="AG1107" s="57" t="s">
        <v>15</v>
      </c>
      <c r="AH1107" s="19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98</v>
      </c>
      <c r="B1108" s="20"/>
      <c r="C1108" s="57"/>
      <c r="D1108" s="57"/>
      <c r="E1108" s="57"/>
      <c r="G1108" s="57"/>
      <c r="I1108" s="22" t="s">
        <v>16</v>
      </c>
      <c r="J1108" s="23" t="s">
        <v>33</v>
      </c>
      <c r="K1108" s="24"/>
      <c r="M1108" s="21" t="s">
        <v>98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42</v>
      </c>
      <c r="W1108" s="24"/>
      <c r="Y1108" s="21" t="s">
        <v>98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4" t="s">
        <v>17</v>
      </c>
      <c r="E1110" s="124"/>
      <c r="F1110" s="111"/>
      <c r="G1110" s="27"/>
      <c r="I1110" s="122" t="s">
        <v>18</v>
      </c>
      <c r="J1110" s="123"/>
      <c r="K1110" s="120" t="s">
        <v>19</v>
      </c>
      <c r="N1110" s="25"/>
      <c r="O1110" s="26"/>
      <c r="P1110" s="124" t="s">
        <v>17</v>
      </c>
      <c r="Q1110" s="124"/>
      <c r="R1110" s="111"/>
      <c r="S1110" s="27"/>
      <c r="U1110" s="122" t="s">
        <v>18</v>
      </c>
      <c r="V1110" s="123"/>
      <c r="W1110" s="120" t="s">
        <v>19</v>
      </c>
      <c r="Z1110" s="25"/>
      <c r="AA1110" s="26"/>
      <c r="AB1110" s="124" t="s">
        <v>17</v>
      </c>
      <c r="AC1110" s="124"/>
      <c r="AD1110" s="111"/>
      <c r="AE1110" s="27"/>
      <c r="AG1110" s="122" t="s">
        <v>18</v>
      </c>
      <c r="AH1110" s="123"/>
      <c r="AI1110" s="120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1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1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1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99</v>
      </c>
      <c r="C1112" s="90">
        <v>7501</v>
      </c>
      <c r="D1112" s="32">
        <f>375600+12280+4565+59600+17040+8320+24960+2500+2500+1447</f>
        <v>508812</v>
      </c>
      <c r="E1112" s="32"/>
      <c r="F1112" s="32"/>
      <c r="G1112" s="32">
        <f t="shared" ref="G1112:G1145" si="300">SUM(D1112:E1112)</f>
        <v>508812</v>
      </c>
      <c r="H1112" s="12"/>
      <c r="I1112" s="12"/>
      <c r="J1112" s="12"/>
      <c r="K1112" s="12">
        <f t="shared" ref="K1112:K1145" si="301">SUM(G1112:J1112)</f>
        <v>508812</v>
      </c>
      <c r="M1112" s="10">
        <v>1</v>
      </c>
      <c r="N1112" s="30" t="s">
        <v>99</v>
      </c>
      <c r="O1112" s="31">
        <v>7426</v>
      </c>
      <c r="P1112" s="32">
        <f>135216+64368+1102+2977+650</f>
        <v>204313</v>
      </c>
      <c r="Q1112" s="32">
        <v>-3033</v>
      </c>
      <c r="R1112" s="32"/>
      <c r="S1112" s="32">
        <f>SUM(P1112:Q1112)</f>
        <v>201280</v>
      </c>
      <c r="T1112" s="12"/>
      <c r="U1112" s="12">
        <v>780</v>
      </c>
      <c r="V1112" s="12">
        <v>-252</v>
      </c>
      <c r="W1112" s="12">
        <f>SUM(S1112:V1112)</f>
        <v>201808</v>
      </c>
      <c r="Y1112" s="10">
        <v>1</v>
      </c>
      <c r="Z1112" s="30" t="s">
        <v>99</v>
      </c>
      <c r="AA1112" s="31">
        <v>7331</v>
      </c>
      <c r="AB1112" s="32">
        <f>67608+11920+1145+1950</f>
        <v>82623</v>
      </c>
      <c r="AC1112" s="32"/>
      <c r="AD1112" s="32"/>
      <c r="AE1112" s="32">
        <f>SUM(AB1112:AC1112)</f>
        <v>82623</v>
      </c>
      <c r="AF1112" s="12"/>
      <c r="AG1112" s="12">
        <v>3219</v>
      </c>
      <c r="AH1112" s="12"/>
      <c r="AI1112" s="12">
        <f>SUM(AE1112:AH1112)</f>
        <v>85842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99</v>
      </c>
      <c r="C1113" s="90">
        <f>C1112+1</f>
        <v>7502</v>
      </c>
      <c r="D1113" s="32">
        <f>1447+832+11750+1667*2+1582+2204+1102+5510+3250+1300</f>
        <v>32311</v>
      </c>
      <c r="E1113" s="32"/>
      <c r="F1113" s="32"/>
      <c r="G1113" s="32">
        <f t="shared" si="300"/>
        <v>32311</v>
      </c>
      <c r="H1113" s="12"/>
      <c r="I1113" s="12"/>
      <c r="J1113" s="12"/>
      <c r="K1113" s="12">
        <f t="shared" si="301"/>
        <v>32311</v>
      </c>
      <c r="M1113" s="10">
        <v>2</v>
      </c>
      <c r="N1113" s="30"/>
      <c r="O1113" s="11" t="s">
        <v>27</v>
      </c>
      <c r="P1113" s="32"/>
      <c r="Q1113" s="32"/>
      <c r="R1113" s="32"/>
      <c r="S1113" s="32">
        <f t="shared" ref="S1113:S1150" si="302">SUM(P1113:Q1113)</f>
        <v>0</v>
      </c>
      <c r="T1113" s="12"/>
      <c r="U1113" s="12"/>
      <c r="V1113" s="12"/>
      <c r="W1113" s="12">
        <f t="shared" ref="W1113:W1153" si="303">SUM(S1113:V1113)</f>
        <v>0</v>
      </c>
      <c r="Y1113" s="10">
        <v>2</v>
      </c>
      <c r="Z1113" s="30" t="s">
        <v>99</v>
      </c>
      <c r="AA1113" s="31">
        <f>AA1112+1</f>
        <v>7332</v>
      </c>
      <c r="AB1113" s="32">
        <f>35682+1788+458</f>
        <v>37928</v>
      </c>
      <c r="AC1113" s="32"/>
      <c r="AD1113" s="32"/>
      <c r="AE1113" s="32">
        <f t="shared" ref="AE1113:AE1150" si="304">SUM(AB1113:AC1113)</f>
        <v>37928</v>
      </c>
      <c r="AF1113" s="12"/>
      <c r="AG1113" s="12">
        <v>72</v>
      </c>
      <c r="AH1113" s="12"/>
      <c r="AI1113" s="12">
        <f t="shared" ref="AI1113:AI1153" si="305">SUM(AE1113:AH1113)</f>
        <v>38000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99</v>
      </c>
      <c r="C1114" s="90">
        <f t="shared" ref="C1114" si="306">C1113+1</f>
        <v>7503</v>
      </c>
      <c r="D1114" s="33">
        <f>6500</f>
        <v>6500</v>
      </c>
      <c r="E1114" s="33"/>
      <c r="F1114" s="33"/>
      <c r="G1114" s="33">
        <f t="shared" si="300"/>
        <v>6500</v>
      </c>
      <c r="H1114" s="34"/>
      <c r="I1114" s="34">
        <f>77700+2220+9360+541123</f>
        <v>630403</v>
      </c>
      <c r="J1114" s="34">
        <f>-240+-3663+-6552+-19992+-1428</f>
        <v>-31875</v>
      </c>
      <c r="K1114" s="34">
        <f t="shared" si="301"/>
        <v>605028</v>
      </c>
      <c r="M1114" s="10">
        <v>3</v>
      </c>
      <c r="N1114" s="30"/>
      <c r="O1114" s="31"/>
      <c r="P1114" s="32"/>
      <c r="Q1114" s="32"/>
      <c r="R1114" s="32"/>
      <c r="S1114" s="32">
        <f t="shared" si="302"/>
        <v>0</v>
      </c>
      <c r="T1114" s="12"/>
      <c r="U1114" s="12"/>
      <c r="V1114" s="12"/>
      <c r="W1114" s="12">
        <f t="shared" si="303"/>
        <v>0</v>
      </c>
      <c r="Y1114" s="10">
        <v>3</v>
      </c>
      <c r="Z1114" s="30" t="s">
        <v>99</v>
      </c>
      <c r="AA1114" s="31">
        <f t="shared" ref="AA1114:AA1117" si="307">AA1113+1</f>
        <v>7333</v>
      </c>
      <c r="AB1114" s="33">
        <f>18780+832+229</f>
        <v>19841</v>
      </c>
      <c r="AC1114" s="33"/>
      <c r="AD1114" s="32"/>
      <c r="AE1114" s="32">
        <f t="shared" si="304"/>
        <v>19841</v>
      </c>
      <c r="AF1114" s="12"/>
      <c r="AG1114" s="12">
        <v>94.5</v>
      </c>
      <c r="AH1114" s="12"/>
      <c r="AI1114" s="12">
        <f t="shared" si="305"/>
        <v>19935.5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/>
      <c r="C1115" s="11" t="s">
        <v>27</v>
      </c>
      <c r="D1115" s="32"/>
      <c r="E1115" s="32"/>
      <c r="F1115" s="32"/>
      <c r="G1115" s="32">
        <f t="shared" si="300"/>
        <v>0</v>
      </c>
      <c r="H1115" s="12"/>
      <c r="I1115" s="12"/>
      <c r="J1115" s="12"/>
      <c r="K1115" s="12">
        <f t="shared" si="301"/>
        <v>0</v>
      </c>
      <c r="M1115" s="10">
        <v>4</v>
      </c>
      <c r="N1115" s="30"/>
      <c r="O1115" s="31"/>
      <c r="P1115" s="32"/>
      <c r="Q1115" s="32"/>
      <c r="R1115" s="32"/>
      <c r="S1115" s="32">
        <f t="shared" si="302"/>
        <v>0</v>
      </c>
      <c r="T1115" s="12"/>
      <c r="U1115" s="12"/>
      <c r="V1115" s="12"/>
      <c r="W1115" s="12">
        <f t="shared" si="303"/>
        <v>0</v>
      </c>
      <c r="Y1115" s="10">
        <v>4</v>
      </c>
      <c r="Z1115" s="30" t="s">
        <v>99</v>
      </c>
      <c r="AA1115" s="31">
        <f t="shared" si="307"/>
        <v>7334</v>
      </c>
      <c r="AB1115" s="32">
        <f>62600+3070+23840+1374</f>
        <v>90884</v>
      </c>
      <c r="AC1115" s="32">
        <v>-906</v>
      </c>
      <c r="AD1115" s="32"/>
      <c r="AE1115" s="32">
        <f t="shared" si="304"/>
        <v>89978</v>
      </c>
      <c r="AF1115" s="12"/>
      <c r="AH1115" s="12"/>
      <c r="AI1115" s="12">
        <f t="shared" si="305"/>
        <v>89978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/>
      <c r="C1116" s="90"/>
      <c r="D1116" s="32"/>
      <c r="E1116" s="32"/>
      <c r="F1116" s="32"/>
      <c r="G1116" s="32">
        <f t="shared" si="300"/>
        <v>0</v>
      </c>
      <c r="H1116" s="12"/>
      <c r="I1116" s="12"/>
      <c r="J1116" s="12"/>
      <c r="K1116" s="12">
        <f t="shared" si="301"/>
        <v>0</v>
      </c>
      <c r="M1116" s="10">
        <v>5</v>
      </c>
      <c r="N1116" s="30"/>
      <c r="O1116" s="31"/>
      <c r="P1116" s="32"/>
      <c r="Q1116" s="32"/>
      <c r="R1116" s="32"/>
      <c r="S1116" s="32">
        <f t="shared" si="302"/>
        <v>0</v>
      </c>
      <c r="T1116" s="12"/>
      <c r="U1116" s="12"/>
      <c r="V1116" s="12"/>
      <c r="W1116" s="12">
        <f t="shared" si="303"/>
        <v>0</v>
      </c>
      <c r="Y1116" s="10">
        <v>5</v>
      </c>
      <c r="Z1116" s="30" t="s">
        <v>99</v>
      </c>
      <c r="AA1116" s="31">
        <f t="shared" si="307"/>
        <v>7335</v>
      </c>
      <c r="AB1116" s="32">
        <f>16276+1228+1788+229</f>
        <v>19521</v>
      </c>
      <c r="AC1116" s="32"/>
      <c r="AD1116" s="32"/>
      <c r="AE1116" s="32">
        <f t="shared" si="304"/>
        <v>19521</v>
      </c>
      <c r="AF1116" s="12"/>
      <c r="AG1116" s="12"/>
      <c r="AH1116" s="12"/>
      <c r="AI1116" s="12">
        <f t="shared" si="305"/>
        <v>19521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90"/>
      <c r="D1117" s="32"/>
      <c r="E1117" s="32"/>
      <c r="F1117" s="32"/>
      <c r="G1117" s="32">
        <f t="shared" si="300"/>
        <v>0</v>
      </c>
      <c r="H1117" s="12"/>
      <c r="I1117" s="12"/>
      <c r="J1117" s="12"/>
      <c r="K1117" s="12">
        <f t="shared" si="301"/>
        <v>0</v>
      </c>
      <c r="M1117" s="10">
        <v>6</v>
      </c>
      <c r="N1117" s="30"/>
      <c r="O1117" s="31"/>
      <c r="P1117" s="32"/>
      <c r="Q1117" s="32"/>
      <c r="R1117" s="32"/>
      <c r="S1117" s="32">
        <f t="shared" si="302"/>
        <v>0</v>
      </c>
      <c r="T1117" s="12"/>
      <c r="U1117" s="12"/>
      <c r="V1117" s="10"/>
      <c r="W1117" s="12">
        <f t="shared" si="303"/>
        <v>0</v>
      </c>
      <c r="Y1117" s="10">
        <v>6</v>
      </c>
      <c r="Z1117" s="30" t="s">
        <v>99</v>
      </c>
      <c r="AA1117" s="31">
        <f t="shared" si="307"/>
        <v>7336</v>
      </c>
      <c r="AB1117" s="32">
        <f>2504</f>
        <v>2504</v>
      </c>
      <c r="AC1117" s="32"/>
      <c r="AD1117" s="32"/>
      <c r="AE1117" s="32">
        <f t="shared" si="304"/>
        <v>2504</v>
      </c>
      <c r="AF1117" s="12"/>
      <c r="AG1117" s="12"/>
      <c r="AH1117" s="10">
        <v>-1110</v>
      </c>
      <c r="AI1117" s="12">
        <f t="shared" si="305"/>
        <v>1394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90"/>
      <c r="D1118" s="32"/>
      <c r="E1118" s="32"/>
      <c r="F1118" s="32"/>
      <c r="G1118" s="32">
        <f t="shared" si="300"/>
        <v>0</v>
      </c>
      <c r="H1118" s="12"/>
      <c r="I1118" s="12"/>
      <c r="J1118" s="12"/>
      <c r="K1118" s="12">
        <f t="shared" si="301"/>
        <v>0</v>
      </c>
      <c r="M1118" s="10">
        <v>7</v>
      </c>
      <c r="N1118" s="30"/>
      <c r="O1118" s="31"/>
      <c r="P1118" s="32"/>
      <c r="Q1118" s="32"/>
      <c r="R1118" s="32"/>
      <c r="S1118" s="32">
        <f t="shared" si="302"/>
        <v>0</v>
      </c>
      <c r="T1118" s="12"/>
      <c r="U1118" s="12"/>
      <c r="V1118" s="12"/>
      <c r="W1118" s="12">
        <f t="shared" si="303"/>
        <v>0</v>
      </c>
      <c r="Y1118" s="10">
        <v>7</v>
      </c>
      <c r="Z1118" s="30"/>
      <c r="AA1118" s="11" t="s">
        <v>27</v>
      </c>
      <c r="AB1118" s="32"/>
      <c r="AC1118" s="32"/>
      <c r="AD1118" s="32"/>
      <c r="AE1118" s="32">
        <f t="shared" si="304"/>
        <v>0</v>
      </c>
      <c r="AF1118" s="12"/>
      <c r="AG1118" s="58"/>
      <c r="AH1118" s="12"/>
      <c r="AI1118" s="12">
        <f t="shared" si="30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90"/>
      <c r="D1119" s="32"/>
      <c r="E1119" s="32"/>
      <c r="F1119" s="32"/>
      <c r="G1119" s="32">
        <f t="shared" si="300"/>
        <v>0</v>
      </c>
      <c r="H1119" s="12"/>
      <c r="I1119" s="12"/>
      <c r="J1119" s="12"/>
      <c r="K1119" s="12">
        <f t="shared" si="301"/>
        <v>0</v>
      </c>
      <c r="M1119" s="10">
        <v>8</v>
      </c>
      <c r="N1119" s="30"/>
      <c r="O1119" s="31"/>
      <c r="P1119" s="32"/>
      <c r="Q1119" s="32"/>
      <c r="R1119" s="32"/>
      <c r="S1119" s="32">
        <f t="shared" si="302"/>
        <v>0</v>
      </c>
      <c r="T1119" s="12"/>
      <c r="U1119" s="12"/>
      <c r="V1119" s="12"/>
      <c r="W1119" s="12">
        <f t="shared" si="303"/>
        <v>0</v>
      </c>
      <c r="Y1119" s="10">
        <v>8</v>
      </c>
      <c r="Z1119" s="30"/>
      <c r="AA1119" s="31"/>
      <c r="AB1119" s="32"/>
      <c r="AC1119" s="32"/>
      <c r="AE1119" s="32">
        <f t="shared" si="304"/>
        <v>0</v>
      </c>
      <c r="AF1119" s="12"/>
      <c r="AG1119" s="12"/>
      <c r="AH1119" s="12"/>
      <c r="AI1119" s="12">
        <f t="shared" si="30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90"/>
      <c r="D1120" s="32"/>
      <c r="E1120" s="32"/>
      <c r="F1120" s="32"/>
      <c r="G1120" s="32">
        <f t="shared" si="300"/>
        <v>0</v>
      </c>
      <c r="H1120" s="12"/>
      <c r="I1120" s="12"/>
      <c r="J1120" s="12"/>
      <c r="K1120" s="12">
        <f t="shared" si="301"/>
        <v>0</v>
      </c>
      <c r="M1120" s="10">
        <v>9</v>
      </c>
      <c r="N1120" s="30"/>
      <c r="O1120" s="31"/>
      <c r="P1120" s="32"/>
      <c r="Q1120" s="32"/>
      <c r="R1120" s="32"/>
      <c r="S1120" s="32">
        <f t="shared" si="302"/>
        <v>0</v>
      </c>
      <c r="T1120" s="12"/>
      <c r="U1120" s="12"/>
      <c r="V1120" s="12"/>
      <c r="W1120" s="12">
        <f t="shared" si="303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04"/>
        <v>0</v>
      </c>
      <c r="AF1120" s="12"/>
      <c r="AG1120" s="58"/>
      <c r="AH1120" s="12"/>
      <c r="AI1120" s="12">
        <f t="shared" si="30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90"/>
      <c r="D1121" s="32"/>
      <c r="E1121" s="32"/>
      <c r="F1121" s="32"/>
      <c r="G1121" s="32">
        <f t="shared" si="300"/>
        <v>0</v>
      </c>
      <c r="H1121" s="12"/>
      <c r="I1121" s="12"/>
      <c r="J1121" s="12"/>
      <c r="K1121" s="12">
        <f t="shared" si="301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02"/>
        <v>0</v>
      </c>
      <c r="T1121" s="12"/>
      <c r="U1121" s="12"/>
      <c r="V1121" s="12"/>
      <c r="W1121" s="12">
        <f t="shared" si="303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04"/>
        <v>0</v>
      </c>
      <c r="AF1121" s="12"/>
      <c r="AG1121" s="12"/>
      <c r="AH1121" s="12"/>
      <c r="AI1121" s="12">
        <f t="shared" si="30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90"/>
      <c r="D1122" s="32"/>
      <c r="E1122" s="32"/>
      <c r="F1122" s="32"/>
      <c r="G1122" s="32">
        <f t="shared" si="300"/>
        <v>0</v>
      </c>
      <c r="H1122" s="12"/>
      <c r="I1122" s="12"/>
      <c r="J1122" s="12"/>
      <c r="K1122" s="12">
        <f t="shared" si="301"/>
        <v>0</v>
      </c>
      <c r="M1122" s="10">
        <v>11</v>
      </c>
      <c r="N1122" s="30"/>
      <c r="P1122" s="32"/>
      <c r="Q1122" s="32"/>
      <c r="R1122" s="32"/>
      <c r="S1122" s="32">
        <f t="shared" si="302"/>
        <v>0</v>
      </c>
      <c r="T1122" s="12"/>
      <c r="U1122" s="12"/>
      <c r="V1122" s="12"/>
      <c r="W1122" s="12">
        <f t="shared" si="303"/>
        <v>0</v>
      </c>
      <c r="Y1122" s="10">
        <v>11</v>
      </c>
      <c r="Z1122" s="30"/>
      <c r="AB1122" s="32"/>
      <c r="AC1122" s="32"/>
      <c r="AD1122" s="32"/>
      <c r="AE1122" s="32">
        <f t="shared" si="304"/>
        <v>0</v>
      </c>
      <c r="AF1122" s="12"/>
      <c r="AG1122" s="12"/>
      <c r="AH1122" s="12"/>
      <c r="AI1122" s="12">
        <f t="shared" si="30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90"/>
      <c r="D1123" s="32"/>
      <c r="E1123" s="32"/>
      <c r="F1123" s="32"/>
      <c r="G1123" s="32">
        <f t="shared" si="300"/>
        <v>0</v>
      </c>
      <c r="H1123" s="12"/>
      <c r="I1123" s="12"/>
      <c r="J1123" s="10"/>
      <c r="K1123" s="12">
        <f t="shared" si="301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02"/>
        <v>0</v>
      </c>
      <c r="T1123" s="12"/>
      <c r="U1123" s="12"/>
      <c r="V1123" s="12"/>
      <c r="W1123" s="12">
        <f t="shared" si="303"/>
        <v>0</v>
      </c>
      <c r="Y1123" s="10">
        <v>12</v>
      </c>
      <c r="Z1123" s="30"/>
      <c r="AA1123" s="31"/>
      <c r="AB1123" s="32"/>
      <c r="AC1123" s="32"/>
      <c r="AD1123" s="32"/>
      <c r="AE1123" s="32">
        <f t="shared" si="304"/>
        <v>0</v>
      </c>
      <c r="AF1123" s="12"/>
      <c r="AG1123" s="12"/>
      <c r="AH1123" s="12"/>
      <c r="AI1123" s="12">
        <f t="shared" si="30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90"/>
      <c r="D1124" s="32"/>
      <c r="E1124" s="32"/>
      <c r="F1124" s="32"/>
      <c r="G1124" s="32">
        <f t="shared" si="300"/>
        <v>0</v>
      </c>
      <c r="H1124" s="12"/>
      <c r="I1124" s="12"/>
      <c r="J1124" s="12"/>
      <c r="K1124" s="12">
        <f t="shared" si="301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02"/>
        <v>0</v>
      </c>
      <c r="T1124" s="12"/>
      <c r="U1124" s="12"/>
      <c r="V1124" s="12"/>
      <c r="W1124" s="12">
        <f t="shared" si="303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04"/>
        <v>0</v>
      </c>
      <c r="AF1124" s="12"/>
      <c r="AG1124" s="12"/>
      <c r="AH1124" s="12"/>
      <c r="AI1124" s="12">
        <f t="shared" si="30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90"/>
      <c r="D1125" s="32"/>
      <c r="E1125" s="32"/>
      <c r="F1125" s="32"/>
      <c r="G1125" s="32">
        <f t="shared" si="300"/>
        <v>0</v>
      </c>
      <c r="H1125" s="12"/>
      <c r="I1125" s="12"/>
      <c r="J1125" s="12"/>
      <c r="K1125" s="12">
        <f t="shared" si="301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2"/>
        <v>0</v>
      </c>
      <c r="T1125" s="12"/>
      <c r="U1125" s="12"/>
      <c r="V1125" s="12"/>
      <c r="W1125" s="12">
        <f t="shared" si="303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04"/>
        <v>0</v>
      </c>
      <c r="AF1125" s="12"/>
      <c r="AG1125" s="12"/>
      <c r="AH1125" s="12"/>
      <c r="AI1125" s="12">
        <f t="shared" si="30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90"/>
      <c r="D1126" s="32"/>
      <c r="E1126" s="32"/>
      <c r="F1126" s="32"/>
      <c r="G1126" s="32">
        <f t="shared" si="300"/>
        <v>0</v>
      </c>
      <c r="H1126" s="12"/>
      <c r="I1126" s="12"/>
      <c r="J1126" s="12"/>
      <c r="K1126" s="12">
        <f t="shared" si="301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2"/>
        <v>0</v>
      </c>
      <c r="T1126" s="12"/>
      <c r="U1126" s="12"/>
      <c r="V1126" s="12"/>
      <c r="W1126" s="12">
        <f t="shared" si="303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04"/>
        <v>0</v>
      </c>
      <c r="AF1126" s="12"/>
      <c r="AG1126" s="12"/>
      <c r="AH1126" s="12"/>
      <c r="AI1126" s="12">
        <f t="shared" si="30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D1127" s="32"/>
      <c r="E1127" s="32"/>
      <c r="F1127" s="32"/>
      <c r="G1127" s="32">
        <f t="shared" si="300"/>
        <v>0</v>
      </c>
      <c r="H1127" s="12"/>
      <c r="I1127" s="12"/>
      <c r="J1127" s="12"/>
      <c r="K1127" s="12">
        <f t="shared" si="301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02"/>
        <v>0</v>
      </c>
      <c r="T1127" s="12"/>
      <c r="U1127" s="12"/>
      <c r="V1127" s="12"/>
      <c r="W1127" s="12">
        <f t="shared" si="303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04"/>
        <v>0</v>
      </c>
      <c r="AF1127" s="12"/>
      <c r="AG1127" s="12"/>
      <c r="AH1127" s="12"/>
      <c r="AI1127" s="12">
        <f t="shared" si="30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90"/>
      <c r="D1128" s="32"/>
      <c r="E1128" s="32"/>
      <c r="F1128" s="32"/>
      <c r="G1128" s="32">
        <f t="shared" si="300"/>
        <v>0</v>
      </c>
      <c r="H1128" s="12"/>
      <c r="I1128" s="12"/>
      <c r="J1128" s="12"/>
      <c r="K1128" s="12">
        <f t="shared" si="301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2"/>
        <v>0</v>
      </c>
      <c r="T1128" s="12"/>
      <c r="U1128" s="12"/>
      <c r="V1128" s="12"/>
      <c r="W1128" s="12">
        <f t="shared" si="303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04"/>
        <v>0</v>
      </c>
      <c r="AF1128" s="12"/>
      <c r="AG1128" s="12"/>
      <c r="AH1128" s="12"/>
      <c r="AI1128" s="12">
        <f t="shared" si="30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90"/>
      <c r="D1129" s="32"/>
      <c r="E1129" s="32"/>
      <c r="F1129" s="32"/>
      <c r="G1129" s="32">
        <f t="shared" si="300"/>
        <v>0</v>
      </c>
      <c r="H1129" s="12"/>
      <c r="I1129" s="12"/>
      <c r="J1129" s="12"/>
      <c r="K1129" s="12">
        <f t="shared" si="301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2"/>
        <v>0</v>
      </c>
      <c r="T1129" s="12"/>
      <c r="U1129" s="12"/>
      <c r="V1129" s="12"/>
      <c r="W1129" s="12">
        <f t="shared" si="303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04"/>
        <v>0</v>
      </c>
      <c r="AF1129" s="12"/>
      <c r="AG1129" s="12"/>
      <c r="AH1129" s="12"/>
      <c r="AI1129" s="12">
        <f t="shared" si="30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90"/>
      <c r="D1130" s="32"/>
      <c r="E1130" s="32"/>
      <c r="F1130" s="32"/>
      <c r="G1130" s="32">
        <f t="shared" si="300"/>
        <v>0</v>
      </c>
      <c r="H1130" s="12"/>
      <c r="I1130" s="12"/>
      <c r="J1130" s="12"/>
      <c r="K1130" s="12">
        <f t="shared" si="301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2"/>
        <v>0</v>
      </c>
      <c r="T1130" s="12"/>
      <c r="U1130" s="12"/>
      <c r="V1130" s="12"/>
      <c r="W1130" s="12">
        <f t="shared" si="303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04"/>
        <v>0</v>
      </c>
      <c r="AF1130" s="12"/>
      <c r="AG1130" s="12"/>
      <c r="AH1130" s="12"/>
      <c r="AI1130" s="12">
        <f t="shared" si="30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90"/>
      <c r="D1131" s="32"/>
      <c r="E1131" s="32"/>
      <c r="F1131" s="32"/>
      <c r="G1131" s="32">
        <f t="shared" si="300"/>
        <v>0</v>
      </c>
      <c r="H1131" s="12"/>
      <c r="I1131" s="12"/>
      <c r="J1131" s="12"/>
      <c r="K1131" s="12">
        <f t="shared" si="301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2"/>
        <v>0</v>
      </c>
      <c r="T1131" s="12"/>
      <c r="U1131" s="12"/>
      <c r="V1131" s="12"/>
      <c r="W1131" s="12">
        <f t="shared" si="303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04"/>
        <v>0</v>
      </c>
      <c r="AF1131" s="12"/>
      <c r="AG1131" s="12"/>
      <c r="AH1131" s="12"/>
      <c r="AI1131" s="12">
        <f t="shared" si="30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57"/>
      <c r="D1132" s="32"/>
      <c r="E1132" s="32"/>
      <c r="F1132" s="32"/>
      <c r="G1132" s="32">
        <f t="shared" si="300"/>
        <v>0</v>
      </c>
      <c r="H1132" s="10"/>
      <c r="I1132" s="10"/>
      <c r="J1132" s="10"/>
      <c r="K1132" s="12">
        <f t="shared" si="301"/>
        <v>0</v>
      </c>
      <c r="M1132" s="10">
        <v>21</v>
      </c>
      <c r="N1132" s="30"/>
      <c r="P1132" s="46"/>
      <c r="Q1132" s="31"/>
      <c r="R1132" s="31"/>
      <c r="S1132" s="32">
        <f t="shared" si="302"/>
        <v>0</v>
      </c>
      <c r="T1132" s="10"/>
      <c r="U1132" s="10"/>
      <c r="V1132" s="10"/>
      <c r="W1132" s="12">
        <f t="shared" si="303"/>
        <v>0</v>
      </c>
      <c r="Y1132" s="10">
        <v>21</v>
      </c>
      <c r="Z1132" s="30"/>
      <c r="AB1132" s="46"/>
      <c r="AC1132" s="31"/>
      <c r="AD1132" s="31"/>
      <c r="AE1132" s="32">
        <f t="shared" si="304"/>
        <v>0</v>
      </c>
      <c r="AF1132" s="10"/>
      <c r="AG1132" s="10"/>
      <c r="AH1132" s="10"/>
      <c r="AI1132" s="12">
        <f t="shared" si="30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90"/>
      <c r="D1133" s="32"/>
      <c r="E1133" s="32"/>
      <c r="F1133" s="32"/>
      <c r="G1133" s="32">
        <f t="shared" si="300"/>
        <v>0</v>
      </c>
      <c r="H1133" s="10"/>
      <c r="I1133" s="10"/>
      <c r="J1133" s="10"/>
      <c r="K1133" s="12">
        <f t="shared" si="301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02"/>
        <v>0</v>
      </c>
      <c r="T1133" s="10"/>
      <c r="U1133" s="10"/>
      <c r="V1133" s="10"/>
      <c r="W1133" s="12">
        <f t="shared" si="303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04"/>
        <v>0</v>
      </c>
      <c r="AF1133" s="10"/>
      <c r="AG1133" s="10"/>
      <c r="AH1133" s="10"/>
      <c r="AI1133" s="12">
        <f t="shared" si="30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00"/>
        <v>0</v>
      </c>
      <c r="H1134" s="10"/>
      <c r="I1134" s="10"/>
      <c r="J1134" s="12"/>
      <c r="K1134" s="12">
        <f t="shared" si="301"/>
        <v>0</v>
      </c>
      <c r="M1134" s="10">
        <v>23</v>
      </c>
      <c r="N1134" s="30"/>
      <c r="O1134" s="31"/>
      <c r="P1134" s="47"/>
      <c r="Q1134" s="31"/>
      <c r="S1134" s="32">
        <f t="shared" si="302"/>
        <v>0</v>
      </c>
      <c r="T1134" s="10"/>
      <c r="U1134" s="10"/>
      <c r="V1134" s="10"/>
      <c r="W1134" s="12">
        <f t="shared" si="303"/>
        <v>0</v>
      </c>
      <c r="Y1134" s="10">
        <v>23</v>
      </c>
      <c r="Z1134" s="30"/>
      <c r="AA1134" s="31"/>
      <c r="AB1134" s="47"/>
      <c r="AC1134" s="31"/>
      <c r="AE1134" s="32">
        <f t="shared" si="304"/>
        <v>0</v>
      </c>
      <c r="AF1134" s="10"/>
      <c r="AG1134" s="10"/>
      <c r="AH1134" s="10"/>
      <c r="AI1134" s="12">
        <f t="shared" si="30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90"/>
      <c r="D1135" s="32"/>
      <c r="E1135" s="32"/>
      <c r="F1135" s="32"/>
      <c r="G1135" s="32">
        <f t="shared" si="300"/>
        <v>0</v>
      </c>
      <c r="H1135" s="10"/>
      <c r="I1135" s="10"/>
      <c r="J1135" s="10"/>
      <c r="K1135" s="12">
        <f t="shared" si="301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02"/>
        <v>0</v>
      </c>
      <c r="T1135" s="10"/>
      <c r="U1135" s="10"/>
      <c r="V1135" s="10"/>
      <c r="W1135" s="12">
        <f t="shared" si="303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04"/>
        <v>0</v>
      </c>
      <c r="AF1135" s="10"/>
      <c r="AG1135" s="10"/>
      <c r="AH1135" s="10"/>
      <c r="AI1135" s="12">
        <f t="shared" si="30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90"/>
      <c r="D1136" s="32"/>
      <c r="E1136" s="32"/>
      <c r="F1136" s="32"/>
      <c r="G1136" s="32">
        <f t="shared" si="300"/>
        <v>0</v>
      </c>
      <c r="H1136" s="10"/>
      <c r="I1136" s="10"/>
      <c r="J1136" s="10"/>
      <c r="K1136" s="12">
        <f t="shared" si="301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2"/>
        <v>0</v>
      </c>
      <c r="T1136" s="10"/>
      <c r="U1136" s="10"/>
      <c r="V1136" s="10"/>
      <c r="W1136" s="12">
        <f t="shared" si="303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04"/>
        <v>0</v>
      </c>
      <c r="AF1136" s="10"/>
      <c r="AG1136" s="10"/>
      <c r="AH1136" s="10"/>
      <c r="AI1136" s="12">
        <f t="shared" si="30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90"/>
      <c r="D1137" s="32"/>
      <c r="E1137" s="32"/>
      <c r="F1137" s="32"/>
      <c r="G1137" s="32">
        <f t="shared" si="300"/>
        <v>0</v>
      </c>
      <c r="H1137" s="10"/>
      <c r="I1137" s="10"/>
      <c r="J1137" s="10"/>
      <c r="K1137" s="12">
        <f t="shared" si="301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2"/>
        <v>0</v>
      </c>
      <c r="T1137" s="10"/>
      <c r="U1137" s="10"/>
      <c r="V1137" s="10"/>
      <c r="W1137" s="12">
        <f t="shared" si="303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04"/>
        <v>0</v>
      </c>
      <c r="AF1137" s="10"/>
      <c r="AG1137" s="10"/>
      <c r="AH1137" s="10"/>
      <c r="AI1137" s="12">
        <f t="shared" si="30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90"/>
      <c r="D1138" s="32"/>
      <c r="E1138" s="32"/>
      <c r="F1138" s="32"/>
      <c r="G1138" s="32">
        <f t="shared" si="300"/>
        <v>0</v>
      </c>
      <c r="H1138" s="10"/>
      <c r="I1138" s="10"/>
      <c r="J1138" s="10"/>
      <c r="K1138" s="12">
        <f t="shared" si="301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2"/>
        <v>0</v>
      </c>
      <c r="T1138" s="10"/>
      <c r="U1138" s="10"/>
      <c r="V1138" s="10"/>
      <c r="W1138" s="12">
        <f t="shared" si="303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04"/>
        <v>0</v>
      </c>
      <c r="AF1138" s="10"/>
      <c r="AG1138" s="10"/>
      <c r="AH1138" s="10"/>
      <c r="AI1138" s="12">
        <f t="shared" si="30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90"/>
      <c r="D1139" s="32"/>
      <c r="E1139" s="32"/>
      <c r="F1139" s="32"/>
      <c r="G1139" s="32">
        <f t="shared" si="300"/>
        <v>0</v>
      </c>
      <c r="H1139" s="10"/>
      <c r="I1139" s="10"/>
      <c r="J1139" s="10"/>
      <c r="K1139" s="12">
        <f t="shared" si="301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2"/>
        <v>0</v>
      </c>
      <c r="T1139" s="10"/>
      <c r="U1139" s="10"/>
      <c r="V1139" s="10"/>
      <c r="W1139" s="12">
        <f t="shared" si="303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04"/>
        <v>0</v>
      </c>
      <c r="AF1139" s="10"/>
      <c r="AG1139" s="10"/>
      <c r="AH1139" s="10"/>
      <c r="AI1139" s="12">
        <f t="shared" si="30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90"/>
      <c r="D1140" s="32"/>
      <c r="E1140" s="32"/>
      <c r="F1140" s="32"/>
      <c r="G1140" s="32">
        <f t="shared" si="300"/>
        <v>0</v>
      </c>
      <c r="H1140" s="10"/>
      <c r="I1140" s="10"/>
      <c r="J1140" s="10"/>
      <c r="K1140" s="12">
        <f t="shared" si="301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2"/>
        <v>0</v>
      </c>
      <c r="T1140" s="10"/>
      <c r="U1140" s="10"/>
      <c r="V1140" s="10"/>
      <c r="W1140" s="12">
        <f t="shared" si="303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04"/>
        <v>0</v>
      </c>
      <c r="AF1140" s="10"/>
      <c r="AG1140" s="10"/>
      <c r="AH1140" s="10"/>
      <c r="AI1140" s="12">
        <f t="shared" si="30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0"/>
        <v>0</v>
      </c>
      <c r="H1141" s="10"/>
      <c r="I1141" s="10"/>
      <c r="J1141" s="10"/>
      <c r="K1141" s="12">
        <f t="shared" si="301"/>
        <v>0</v>
      </c>
      <c r="M1141" s="10">
        <v>30</v>
      </c>
      <c r="N1141" s="30"/>
      <c r="P1141" s="47"/>
      <c r="Q1141" s="31"/>
      <c r="R1141" s="31"/>
      <c r="S1141" s="32">
        <f t="shared" si="302"/>
        <v>0</v>
      </c>
      <c r="T1141" s="10"/>
      <c r="U1141" s="10"/>
      <c r="V1141" s="10"/>
      <c r="W1141" s="12">
        <f t="shared" si="303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04"/>
        <v>0</v>
      </c>
      <c r="AF1141" s="10"/>
      <c r="AG1141" s="10"/>
      <c r="AH1141" s="10"/>
      <c r="AI1141" s="12">
        <f t="shared" si="30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90"/>
      <c r="D1142" s="32"/>
      <c r="E1142" s="32"/>
      <c r="F1142" s="32"/>
      <c r="G1142" s="32">
        <f t="shared" si="300"/>
        <v>0</v>
      </c>
      <c r="H1142" s="10"/>
      <c r="I1142" s="10"/>
      <c r="J1142" s="10"/>
      <c r="K1142" s="12">
        <f t="shared" si="301"/>
        <v>0</v>
      </c>
      <c r="M1142" s="10">
        <v>31</v>
      </c>
      <c r="N1142" s="30"/>
      <c r="P1142" s="47"/>
      <c r="Q1142" s="31"/>
      <c r="R1142" s="31"/>
      <c r="S1142" s="32">
        <f t="shared" si="302"/>
        <v>0</v>
      </c>
      <c r="T1142" s="10"/>
      <c r="U1142" s="10"/>
      <c r="V1142" s="10"/>
      <c r="W1142" s="12">
        <f t="shared" si="303"/>
        <v>0</v>
      </c>
      <c r="Y1142" s="10">
        <v>31</v>
      </c>
      <c r="Z1142" s="30"/>
      <c r="AB1142" s="47"/>
      <c r="AC1142" s="31"/>
      <c r="AD1142" s="31"/>
      <c r="AE1142" s="32">
        <f t="shared" si="304"/>
        <v>0</v>
      </c>
      <c r="AF1142" s="10"/>
      <c r="AG1142" s="10"/>
      <c r="AH1142" s="10"/>
      <c r="AI1142" s="12">
        <f t="shared" si="30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90"/>
      <c r="D1143" s="32"/>
      <c r="E1143" s="32"/>
      <c r="F1143" s="32"/>
      <c r="G1143" s="32">
        <f t="shared" si="300"/>
        <v>0</v>
      </c>
      <c r="H1143" s="10"/>
      <c r="I1143" s="10"/>
      <c r="J1143" s="10"/>
      <c r="K1143" s="12">
        <f t="shared" si="301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2"/>
        <v>0</v>
      </c>
      <c r="T1143" s="10"/>
      <c r="U1143" s="10"/>
      <c r="V1143" s="10"/>
      <c r="W1143" s="12">
        <f t="shared" si="303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04"/>
        <v>0</v>
      </c>
      <c r="AF1143" s="10"/>
      <c r="AG1143" s="10"/>
      <c r="AH1143" s="10"/>
      <c r="AI1143" s="12">
        <f t="shared" si="30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90"/>
      <c r="D1144" s="32"/>
      <c r="E1144" s="32"/>
      <c r="F1144" s="32"/>
      <c r="G1144" s="32">
        <f t="shared" si="300"/>
        <v>0</v>
      </c>
      <c r="H1144" s="10"/>
      <c r="I1144" s="10"/>
      <c r="J1144" s="10"/>
      <c r="K1144" s="12">
        <f t="shared" si="301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2"/>
        <v>0</v>
      </c>
      <c r="T1144" s="10"/>
      <c r="U1144" s="10"/>
      <c r="V1144" s="10"/>
      <c r="W1144" s="12">
        <f t="shared" si="303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04"/>
        <v>0</v>
      </c>
      <c r="AF1144" s="10"/>
      <c r="AG1144" s="10"/>
      <c r="AH1144" s="10"/>
      <c r="AI1144" s="12">
        <f t="shared" si="30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90"/>
      <c r="D1145" s="32"/>
      <c r="E1145" s="32"/>
      <c r="F1145" s="32"/>
      <c r="G1145" s="32">
        <f t="shared" si="300"/>
        <v>0</v>
      </c>
      <c r="H1145" s="10"/>
      <c r="I1145" s="10"/>
      <c r="J1145" s="10"/>
      <c r="K1145" s="12">
        <f t="shared" si="301"/>
        <v>0</v>
      </c>
      <c r="M1145" s="10">
        <v>34</v>
      </c>
      <c r="N1145" s="30"/>
      <c r="P1145" s="47"/>
      <c r="Q1145" s="31"/>
      <c r="R1145" s="31"/>
      <c r="S1145" s="32">
        <f t="shared" si="302"/>
        <v>0</v>
      </c>
      <c r="T1145" s="10"/>
      <c r="U1145" s="10"/>
      <c r="V1145" s="10"/>
      <c r="W1145" s="12">
        <f t="shared" si="303"/>
        <v>0</v>
      </c>
      <c r="Y1145" s="10">
        <v>34</v>
      </c>
      <c r="Z1145" s="30"/>
      <c r="AB1145" s="47"/>
      <c r="AC1145" s="31"/>
      <c r="AD1145" s="31"/>
      <c r="AE1145" s="32">
        <f t="shared" si="304"/>
        <v>0</v>
      </c>
      <c r="AF1145" s="10"/>
      <c r="AG1145" s="10"/>
      <c r="AH1145" s="10"/>
      <c r="AI1145" s="12">
        <f t="shared" si="30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2"/>
        <v>0</v>
      </c>
      <c r="T1146" s="10"/>
      <c r="U1146" s="10"/>
      <c r="V1146" s="10"/>
      <c r="W1146" s="12">
        <f t="shared" si="303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04"/>
        <v>0</v>
      </c>
      <c r="AF1146" s="10"/>
      <c r="AG1146" s="10"/>
      <c r="AH1146" s="10"/>
      <c r="AI1146" s="12">
        <f t="shared" si="30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2"/>
        <v>0</v>
      </c>
      <c r="T1147" s="10"/>
      <c r="U1147" s="10"/>
      <c r="V1147" s="10"/>
      <c r="W1147" s="12">
        <f t="shared" si="303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04"/>
        <v>0</v>
      </c>
      <c r="AF1147" s="10"/>
      <c r="AG1147" s="10"/>
      <c r="AH1147" s="10"/>
      <c r="AI1147" s="12">
        <f t="shared" si="30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2"/>
        <v>0</v>
      </c>
      <c r="T1148" s="10"/>
      <c r="U1148" s="10"/>
      <c r="V1148" s="10"/>
      <c r="W1148" s="12">
        <f t="shared" si="303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04"/>
        <v>0</v>
      </c>
      <c r="AF1148" s="10"/>
      <c r="AG1148" s="10"/>
      <c r="AH1148" s="10"/>
      <c r="AI1148" s="12">
        <f t="shared" si="30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2"/>
        <v>0</v>
      </c>
      <c r="T1149" s="10"/>
      <c r="U1149" s="10"/>
      <c r="V1149" s="10"/>
      <c r="W1149" s="12">
        <f t="shared" si="303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04"/>
        <v>0</v>
      </c>
      <c r="AF1149" s="10"/>
      <c r="AG1149" s="10"/>
      <c r="AH1149" s="10"/>
      <c r="AI1149" s="12">
        <f t="shared" si="30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2"/>
        <v>0</v>
      </c>
      <c r="T1150" s="10"/>
      <c r="U1150" s="10"/>
      <c r="V1150" s="10"/>
      <c r="W1150" s="12">
        <f t="shared" si="303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04"/>
        <v>0</v>
      </c>
      <c r="AF1150" s="10"/>
      <c r="AG1150" s="10"/>
      <c r="AH1150" s="10"/>
      <c r="AI1150" s="12">
        <f t="shared" si="30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3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0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08">SUM(D1152:E1152)</f>
        <v>0</v>
      </c>
      <c r="H1152" s="10"/>
      <c r="I1152" s="10"/>
      <c r="J1152" s="10"/>
      <c r="K1152" s="12">
        <f t="shared" ref="K1152" si="309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0">SUM(P1152:Q1152)</f>
        <v>0</v>
      </c>
      <c r="T1152" s="10"/>
      <c r="U1152" s="10"/>
      <c r="V1152" s="10"/>
      <c r="W1152" s="12">
        <f t="shared" si="303"/>
        <v>0</v>
      </c>
      <c r="Y1152" s="10"/>
      <c r="Z1152" s="30"/>
      <c r="AA1152" s="31"/>
      <c r="AB1152" s="47"/>
      <c r="AC1152" s="31"/>
      <c r="AD1152" s="31"/>
      <c r="AE1152" s="32">
        <f t="shared" ref="AE1152" si="311">SUM(AB1152:AC1152)</f>
        <v>0</v>
      </c>
      <c r="AF1152" s="10"/>
      <c r="AG1152" s="10"/>
      <c r="AH1152" s="10"/>
      <c r="AI1152" s="12">
        <f t="shared" si="30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3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0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547623</v>
      </c>
      <c r="E1155" s="38">
        <f t="shared" ref="E1155:F1155" si="312">SUM(E1112:E1152)</f>
        <v>0</v>
      </c>
      <c r="F1155" s="38">
        <f t="shared" si="312"/>
        <v>0</v>
      </c>
      <c r="G1155" s="38">
        <f>SUM(G1112:G1154)</f>
        <v>547623</v>
      </c>
      <c r="H1155" s="4"/>
      <c r="I1155" s="39">
        <f>SUM(I1112:I1154)</f>
        <v>630403</v>
      </c>
      <c r="J1155" s="39">
        <f>SUM(J1112:J1154)</f>
        <v>-31875</v>
      </c>
      <c r="K1155" s="40">
        <f>SUM(K1112:K1154)</f>
        <v>1146151</v>
      </c>
      <c r="N1155" s="57"/>
      <c r="O1155" s="57"/>
      <c r="P1155" s="38">
        <f>SUM(P1112:P1154)</f>
        <v>204313</v>
      </c>
      <c r="Q1155" s="38">
        <f>SUM(Q1112:Q1136)</f>
        <v>-3033</v>
      </c>
      <c r="R1155" s="38">
        <f>SUM(R1112:R1136)</f>
        <v>0</v>
      </c>
      <c r="S1155" s="38">
        <f>SUM(S1112:S1154)</f>
        <v>201280</v>
      </c>
      <c r="T1155" s="4"/>
      <c r="U1155" s="41">
        <f>SUM(U1112:U1154)</f>
        <v>780</v>
      </c>
      <c r="V1155" s="41">
        <f>SUM(V1112:V1136)</f>
        <v>-252</v>
      </c>
      <c r="W1155" s="42">
        <f>SUM(W1112:W1154)</f>
        <v>201808</v>
      </c>
      <c r="Z1155" s="57"/>
      <c r="AA1155" s="57"/>
      <c r="AB1155" s="38">
        <f>SUM(AB1112:AB1154)</f>
        <v>253301</v>
      </c>
      <c r="AC1155" s="38">
        <f>SUM(AC1112:AC1136)</f>
        <v>-906</v>
      </c>
      <c r="AD1155" s="38">
        <f>SUM(AD1112:AD1136)</f>
        <v>0</v>
      </c>
      <c r="AE1155" s="38">
        <f>SUM(AE1112:AE1154)</f>
        <v>252395</v>
      </c>
      <c r="AF1155" s="4"/>
      <c r="AG1155" s="41">
        <f>SUM(AG1112:AG1154)</f>
        <v>3385.5</v>
      </c>
      <c r="AH1155" s="41">
        <f>SUM(AH1112:AH1136)</f>
        <v>-1110</v>
      </c>
      <c r="AI1155" s="42">
        <f>SUM(AI1112:AI1154)</f>
        <v>254670.5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50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50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50</v>
      </c>
      <c r="Z1162" s="57"/>
      <c r="AA1162" s="57"/>
      <c r="AB1162" s="57"/>
      <c r="AC1162" s="57"/>
      <c r="AD1162" s="57"/>
      <c r="AE1162" s="57"/>
      <c r="AG1162" s="57" t="s">
        <v>15</v>
      </c>
      <c r="AH1162" s="19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101</v>
      </c>
      <c r="B1163" s="20"/>
      <c r="C1163" s="57"/>
      <c r="D1163" s="57"/>
      <c r="E1163" s="57"/>
      <c r="G1163" s="57"/>
      <c r="I1163" s="22" t="s">
        <v>16</v>
      </c>
      <c r="J1163" s="23" t="s">
        <v>33</v>
      </c>
      <c r="K1163" s="24"/>
      <c r="M1163" s="21" t="s">
        <v>101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42</v>
      </c>
      <c r="W1163" s="24"/>
      <c r="Y1163" s="21" t="s">
        <v>101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31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4" t="s">
        <v>17</v>
      </c>
      <c r="E1165" s="124"/>
      <c r="F1165" s="112"/>
      <c r="G1165" s="27"/>
      <c r="I1165" s="122" t="s">
        <v>18</v>
      </c>
      <c r="J1165" s="123"/>
      <c r="K1165" s="120" t="s">
        <v>19</v>
      </c>
      <c r="N1165" s="25"/>
      <c r="O1165" s="26"/>
      <c r="P1165" s="124" t="s">
        <v>17</v>
      </c>
      <c r="Q1165" s="124"/>
      <c r="R1165" s="113"/>
      <c r="S1165" s="27"/>
      <c r="U1165" s="122" t="s">
        <v>18</v>
      </c>
      <c r="V1165" s="123"/>
      <c r="W1165" s="120" t="s">
        <v>19</v>
      </c>
      <c r="Z1165" s="25"/>
      <c r="AA1165" s="26"/>
      <c r="AB1165" s="124" t="s">
        <v>17</v>
      </c>
      <c r="AC1165" s="124"/>
      <c r="AD1165" s="112"/>
      <c r="AE1165" s="27"/>
      <c r="AG1165" s="122" t="s">
        <v>18</v>
      </c>
      <c r="AH1165" s="123"/>
      <c r="AI1165" s="120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1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1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1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102</v>
      </c>
      <c r="C1167" s="90">
        <v>7504</v>
      </c>
      <c r="D1167" s="32">
        <f>202824+2977</f>
        <v>205801</v>
      </c>
      <c r="E1167" s="32">
        <v>-3033</v>
      </c>
      <c r="F1167" s="32"/>
      <c r="G1167" s="32">
        <f t="shared" ref="G1167:G1200" si="313">SUM(D1167:E1167)</f>
        <v>202768</v>
      </c>
      <c r="H1167" s="12"/>
      <c r="I1167" s="12"/>
      <c r="J1167" s="12">
        <f>-35964+-312+-840</f>
        <v>-37116</v>
      </c>
      <c r="K1167" s="12">
        <f t="shared" ref="K1167:K1200" si="314">SUM(G1167:J1167)</f>
        <v>165652</v>
      </c>
      <c r="M1167" s="10">
        <v>1</v>
      </c>
      <c r="N1167" s="30" t="s">
        <v>102</v>
      </c>
      <c r="O1167" s="31">
        <v>7427</v>
      </c>
      <c r="P1167" s="32">
        <f>6260+2384+133</f>
        <v>8777</v>
      </c>
      <c r="Q1167" s="32"/>
      <c r="R1167" s="32"/>
      <c r="S1167" s="32">
        <f>SUM(P1167:Q1167)</f>
        <v>8777</v>
      </c>
      <c r="T1167" s="12"/>
      <c r="U1167" s="12"/>
      <c r="V1167" s="12"/>
      <c r="W1167" s="12">
        <f>SUM(S1167:V1167)</f>
        <v>8777</v>
      </c>
      <c r="Y1167" s="10">
        <v>1</v>
      </c>
      <c r="Z1167" s="30" t="s">
        <v>102</v>
      </c>
      <c r="AA1167" s="31">
        <v>7337</v>
      </c>
      <c r="AB1167" s="32">
        <f>1878</f>
        <v>1878</v>
      </c>
      <c r="AC1167" s="32"/>
      <c r="AD1167" s="32"/>
      <c r="AE1167" s="32">
        <f>SUM(AB1167:AC1167)</f>
        <v>1878</v>
      </c>
      <c r="AF1167" s="12"/>
      <c r="AG1167" s="12"/>
      <c r="AH1167" s="12"/>
      <c r="AI1167" s="12">
        <f>SUM(AE1167:AH1167)</f>
        <v>1878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102</v>
      </c>
      <c r="C1168" s="90">
        <f>C1167+1</f>
        <v>7505</v>
      </c>
      <c r="D1168" s="32">
        <f>9390+142</f>
        <v>9532</v>
      </c>
      <c r="E1168" s="32"/>
      <c r="F1168" s="32"/>
      <c r="G1168" s="32">
        <f t="shared" si="313"/>
        <v>9532</v>
      </c>
      <c r="H1168" s="12"/>
      <c r="I1168" s="12"/>
      <c r="J1168" s="12">
        <v>-777</v>
      </c>
      <c r="K1168" s="12">
        <f t="shared" si="314"/>
        <v>8755</v>
      </c>
      <c r="M1168" s="10">
        <v>2</v>
      </c>
      <c r="N1168" s="30" t="s">
        <v>102</v>
      </c>
      <c r="O1168" s="31">
        <f>O1167+1</f>
        <v>7428</v>
      </c>
      <c r="P1168" s="32">
        <f>1252+19</f>
        <v>1271</v>
      </c>
      <c r="Q1168" s="32"/>
      <c r="R1168" s="32"/>
      <c r="S1168" s="32">
        <f t="shared" ref="S1168:S1211" si="315">SUM(P1168:Q1168)</f>
        <v>1271</v>
      </c>
      <c r="T1168" s="12"/>
      <c r="U1168" s="12"/>
      <c r="V1168" s="12"/>
      <c r="W1168" s="12">
        <f t="shared" ref="W1168:W1211" si="316">SUM(S1168:V1168)</f>
        <v>1271</v>
      </c>
      <c r="Y1168" s="10">
        <v>2</v>
      </c>
      <c r="Z1168" s="30" t="s">
        <v>102</v>
      </c>
      <c r="AA1168" s="31">
        <f>AA1167+1</f>
        <v>7338</v>
      </c>
      <c r="AB1168" s="32">
        <f>62600+1175+916+1300</f>
        <v>65991</v>
      </c>
      <c r="AC1168" s="32">
        <v>-642</v>
      </c>
      <c r="AD1168" s="32"/>
      <c r="AE1168" s="32">
        <f t="shared" ref="AE1168:AE1205" si="317">SUM(AB1168:AC1168)</f>
        <v>65349</v>
      </c>
      <c r="AF1168" s="12"/>
      <c r="AG1168" s="12">
        <v>108</v>
      </c>
      <c r="AH1168" s="12">
        <f>-888+-756</f>
        <v>-1644</v>
      </c>
      <c r="AI1168" s="12">
        <f t="shared" ref="AI1168:AI1208" si="318">SUM(AE1168:AH1168)</f>
        <v>63813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102</v>
      </c>
      <c r="C1169" s="90">
        <f t="shared" ref="C1169:C1171" si="319">C1168+1</f>
        <v>7506</v>
      </c>
      <c r="D1169" s="33">
        <f>4382</f>
        <v>4382</v>
      </c>
      <c r="E1169" s="33"/>
      <c r="F1169" s="33"/>
      <c r="G1169" s="33">
        <f t="shared" si="313"/>
        <v>4382</v>
      </c>
      <c r="H1169" s="34"/>
      <c r="I1169" s="34"/>
      <c r="J1169" s="34">
        <v>-444</v>
      </c>
      <c r="K1169" s="34">
        <f t="shared" si="314"/>
        <v>3938</v>
      </c>
      <c r="M1169" s="10">
        <v>3</v>
      </c>
      <c r="N1169" s="30" t="s">
        <v>102</v>
      </c>
      <c r="O1169" s="31">
        <f t="shared" ref="O1169:O1195" si="320">O1168+1</f>
        <v>7429</v>
      </c>
      <c r="P1169" s="32">
        <f>1878+28.5</f>
        <v>1906.5</v>
      </c>
      <c r="Q1169" s="32"/>
      <c r="R1169" s="32"/>
      <c r="S1169" s="32">
        <f t="shared" si="315"/>
        <v>1906.5</v>
      </c>
      <c r="T1169" s="12"/>
      <c r="U1169" s="12"/>
      <c r="V1169" s="12"/>
      <c r="W1169" s="12">
        <f t="shared" si="316"/>
        <v>1906.5</v>
      </c>
      <c r="Y1169" s="10">
        <v>3</v>
      </c>
      <c r="Z1169" s="30" t="s">
        <v>102</v>
      </c>
      <c r="AA1169" s="31">
        <f t="shared" ref="AA1169:AA1171" si="321">AA1168+1</f>
        <v>7339</v>
      </c>
      <c r="AB1169" s="33">
        <f>112680+1826+1603</f>
        <v>116109</v>
      </c>
      <c r="AC1169" s="33">
        <v>-1134</v>
      </c>
      <c r="AD1169" s="32"/>
      <c r="AE1169" s="32">
        <f t="shared" si="317"/>
        <v>114975</v>
      </c>
      <c r="AF1169" s="12"/>
      <c r="AG1169" s="12"/>
      <c r="AH1169" s="12"/>
      <c r="AI1169" s="12">
        <f t="shared" si="318"/>
        <v>114975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102</v>
      </c>
      <c r="C1170" s="90">
        <f t="shared" si="319"/>
        <v>7507</v>
      </c>
      <c r="D1170" s="32">
        <f>1252</f>
        <v>1252</v>
      </c>
      <c r="E1170" s="32"/>
      <c r="F1170" s="32"/>
      <c r="G1170" s="32">
        <f t="shared" si="313"/>
        <v>1252</v>
      </c>
      <c r="H1170" s="12"/>
      <c r="I1170" s="12">
        <f>111+84</f>
        <v>195</v>
      </c>
      <c r="J1170" s="12"/>
      <c r="K1170" s="12">
        <f t="shared" si="314"/>
        <v>1447</v>
      </c>
      <c r="M1170" s="10">
        <v>4</v>
      </c>
      <c r="N1170" s="30" t="s">
        <v>102</v>
      </c>
      <c r="O1170" s="31">
        <f t="shared" si="320"/>
        <v>7430</v>
      </c>
      <c r="P1170" s="32">
        <f>18780+4172</f>
        <v>22952</v>
      </c>
      <c r="Q1170" s="32"/>
      <c r="R1170" s="32"/>
      <c r="S1170" s="32">
        <f t="shared" si="315"/>
        <v>22952</v>
      </c>
      <c r="T1170" s="12"/>
      <c r="U1170" s="12">
        <v>13.5</v>
      </c>
      <c r="V1170" s="12"/>
      <c r="W1170" s="12">
        <f t="shared" si="316"/>
        <v>22965.5</v>
      </c>
      <c r="Y1170" s="10">
        <v>4</v>
      </c>
      <c r="Z1170" s="30" t="s">
        <v>102</v>
      </c>
      <c r="AA1170" s="31">
        <f t="shared" si="321"/>
        <v>7340</v>
      </c>
      <c r="AB1170" s="32">
        <f>10016+1228+1005+832</f>
        <v>13081</v>
      </c>
      <c r="AC1170" s="32"/>
      <c r="AD1170" s="32"/>
      <c r="AE1170" s="32">
        <f t="shared" si="317"/>
        <v>13081</v>
      </c>
      <c r="AF1170" s="12"/>
      <c r="AH1170" s="12"/>
      <c r="AI1170" s="12">
        <f t="shared" si="318"/>
        <v>13081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102</v>
      </c>
      <c r="C1171" s="90">
        <f t="shared" si="319"/>
        <v>7508</v>
      </c>
      <c r="D1171" s="32">
        <f>913*35</f>
        <v>31955</v>
      </c>
      <c r="E1171" s="32"/>
      <c r="F1171" s="32"/>
      <c r="G1171" s="32">
        <f t="shared" si="313"/>
        <v>31955</v>
      </c>
      <c r="H1171" s="12"/>
      <c r="I1171" s="12"/>
      <c r="J1171" s="12"/>
      <c r="K1171" s="12">
        <f t="shared" si="314"/>
        <v>31955</v>
      </c>
      <c r="M1171" s="10">
        <v>5</v>
      </c>
      <c r="N1171" s="30" t="s">
        <v>102</v>
      </c>
      <c r="O1171" s="31">
        <f t="shared" si="320"/>
        <v>7431</v>
      </c>
      <c r="P1171" s="32">
        <f>1252+596+28.5</f>
        <v>1876.5</v>
      </c>
      <c r="Q1171" s="32"/>
      <c r="R1171" s="32"/>
      <c r="S1171" s="32">
        <f t="shared" si="315"/>
        <v>1876.5</v>
      </c>
      <c r="T1171" s="12"/>
      <c r="U1171" s="12"/>
      <c r="V1171" s="12"/>
      <c r="W1171" s="12">
        <f t="shared" si="316"/>
        <v>1876.5</v>
      </c>
      <c r="Y1171" s="10">
        <v>5</v>
      </c>
      <c r="Z1171" s="30" t="s">
        <v>102</v>
      </c>
      <c r="AA1171" s="31">
        <f t="shared" si="321"/>
        <v>7341</v>
      </c>
      <c r="AB1171" s="32">
        <f>626*26+614*3+596*10+832+229</f>
        <v>25139</v>
      </c>
      <c r="AC1171" s="32"/>
      <c r="AD1171" s="32"/>
      <c r="AE1171" s="32">
        <f t="shared" si="317"/>
        <v>25139</v>
      </c>
      <c r="AF1171" s="12"/>
      <c r="AG1171" s="12"/>
      <c r="AH1171" s="12"/>
      <c r="AI1171" s="12">
        <f t="shared" si="318"/>
        <v>25139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/>
      <c r="C1172" s="11" t="s">
        <v>27</v>
      </c>
      <c r="D1172" s="32"/>
      <c r="E1172" s="32"/>
      <c r="F1172" s="32"/>
      <c r="G1172" s="32">
        <f t="shared" si="313"/>
        <v>0</v>
      </c>
      <c r="H1172" s="12"/>
      <c r="I1172" s="12"/>
      <c r="J1172" s="12"/>
      <c r="K1172" s="12">
        <f t="shared" si="314"/>
        <v>0</v>
      </c>
      <c r="M1172" s="10">
        <v>6</v>
      </c>
      <c r="N1172" s="30" t="s">
        <v>102</v>
      </c>
      <c r="O1172" s="31">
        <f t="shared" si="320"/>
        <v>7432</v>
      </c>
      <c r="P1172" s="32">
        <f>626*11+614</f>
        <v>7500</v>
      </c>
      <c r="Q1172" s="32"/>
      <c r="R1172" s="32"/>
      <c r="S1172" s="32">
        <f t="shared" si="315"/>
        <v>7500</v>
      </c>
      <c r="T1172" s="12"/>
      <c r="U1172" s="12"/>
      <c r="V1172" s="10"/>
      <c r="W1172" s="12">
        <f t="shared" si="316"/>
        <v>7500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17"/>
        <v>0</v>
      </c>
      <c r="AF1172" s="12"/>
      <c r="AG1172" s="12"/>
      <c r="AH1172" s="10"/>
      <c r="AI1172" s="12">
        <f t="shared" si="318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90"/>
      <c r="D1173" s="32"/>
      <c r="E1173" s="32"/>
      <c r="F1173" s="32"/>
      <c r="G1173" s="32">
        <f t="shared" si="313"/>
        <v>0</v>
      </c>
      <c r="H1173" s="12"/>
      <c r="I1173" s="12"/>
      <c r="J1173" s="12"/>
      <c r="K1173" s="12">
        <f t="shared" si="314"/>
        <v>0</v>
      </c>
      <c r="M1173" s="10">
        <v>7</v>
      </c>
      <c r="N1173" s="30" t="s">
        <v>102</v>
      </c>
      <c r="O1173" s="31">
        <f t="shared" si="320"/>
        <v>7433</v>
      </c>
      <c r="P1173" s="32">
        <f>596*3+832+28.5</f>
        <v>2648.5</v>
      </c>
      <c r="Q1173" s="32"/>
      <c r="R1173" s="32"/>
      <c r="S1173" s="32">
        <f t="shared" si="315"/>
        <v>2648.5</v>
      </c>
      <c r="T1173" s="12"/>
      <c r="U1173" s="12"/>
      <c r="V1173" s="12"/>
      <c r="W1173" s="12">
        <f t="shared" si="316"/>
        <v>2648.5</v>
      </c>
      <c r="Y1173" s="10">
        <v>7</v>
      </c>
      <c r="Z1173" s="30"/>
      <c r="AB1173" s="32"/>
      <c r="AC1173" s="32"/>
      <c r="AD1173" s="32"/>
      <c r="AE1173" s="32">
        <f t="shared" si="317"/>
        <v>0</v>
      </c>
      <c r="AF1173" s="12"/>
      <c r="AG1173" s="58"/>
      <c r="AH1173" s="12"/>
      <c r="AI1173" s="12">
        <f t="shared" si="318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90"/>
      <c r="D1174" s="32"/>
      <c r="E1174" s="32"/>
      <c r="F1174" s="32"/>
      <c r="G1174" s="32">
        <f t="shared" si="313"/>
        <v>0</v>
      </c>
      <c r="H1174" s="12"/>
      <c r="I1174" s="12"/>
      <c r="J1174" s="12"/>
      <c r="K1174" s="12">
        <f t="shared" si="314"/>
        <v>0</v>
      </c>
      <c r="M1174" s="10">
        <v>8</v>
      </c>
      <c r="N1174" s="30" t="s">
        <v>102</v>
      </c>
      <c r="O1174" s="31">
        <f t="shared" si="320"/>
        <v>7434</v>
      </c>
      <c r="P1174" s="32">
        <f>3130+47.5</f>
        <v>3177.5</v>
      </c>
      <c r="Q1174" s="32"/>
      <c r="R1174" s="32"/>
      <c r="S1174" s="32">
        <f t="shared" si="315"/>
        <v>3177.5</v>
      </c>
      <c r="T1174" s="12"/>
      <c r="U1174" s="12">
        <v>18</v>
      </c>
      <c r="V1174" s="12"/>
      <c r="W1174" s="12">
        <f t="shared" si="316"/>
        <v>3195.5</v>
      </c>
      <c r="Y1174" s="10">
        <v>8</v>
      </c>
      <c r="Z1174" s="30"/>
      <c r="AA1174" s="31"/>
      <c r="AB1174" s="32"/>
      <c r="AC1174" s="32"/>
      <c r="AE1174" s="32">
        <f t="shared" si="317"/>
        <v>0</v>
      </c>
      <c r="AF1174" s="12"/>
      <c r="AG1174" s="12"/>
      <c r="AH1174" s="12"/>
      <c r="AI1174" s="12">
        <f t="shared" si="318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90"/>
      <c r="D1175" s="32"/>
      <c r="E1175" s="32"/>
      <c r="F1175" s="32"/>
      <c r="G1175" s="32">
        <f t="shared" si="313"/>
        <v>0</v>
      </c>
      <c r="H1175" s="12"/>
      <c r="I1175" s="12"/>
      <c r="J1175" s="12"/>
      <c r="K1175" s="12">
        <f t="shared" si="314"/>
        <v>0</v>
      </c>
      <c r="M1175" s="10">
        <v>9</v>
      </c>
      <c r="N1175" s="30" t="s">
        <v>102</v>
      </c>
      <c r="O1175" s="31">
        <f t="shared" si="320"/>
        <v>7435</v>
      </c>
      <c r="P1175" s="32">
        <f>626+596+19</f>
        <v>1241</v>
      </c>
      <c r="Q1175" s="32"/>
      <c r="R1175" s="32"/>
      <c r="S1175" s="32">
        <f t="shared" si="315"/>
        <v>1241</v>
      </c>
      <c r="T1175" s="12"/>
      <c r="U1175" s="12"/>
      <c r="V1175" s="12"/>
      <c r="W1175" s="12">
        <f t="shared" si="316"/>
        <v>1241</v>
      </c>
      <c r="Y1175" s="10">
        <v>9</v>
      </c>
      <c r="Z1175" s="30"/>
      <c r="AA1175" s="31"/>
      <c r="AB1175" s="32"/>
      <c r="AC1175" s="32"/>
      <c r="AD1175" s="32"/>
      <c r="AE1175" s="32">
        <f t="shared" si="317"/>
        <v>0</v>
      </c>
      <c r="AF1175" s="12"/>
      <c r="AG1175" s="58"/>
      <c r="AH1175" s="12"/>
      <c r="AI1175" s="12">
        <f t="shared" si="318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90"/>
      <c r="D1176" s="32"/>
      <c r="E1176" s="32"/>
      <c r="F1176" s="32"/>
      <c r="G1176" s="32">
        <f t="shared" si="313"/>
        <v>0</v>
      </c>
      <c r="H1176" s="12"/>
      <c r="I1176" s="12"/>
      <c r="J1176" s="12"/>
      <c r="K1176" s="12">
        <f t="shared" si="314"/>
        <v>0</v>
      </c>
      <c r="M1176" s="10">
        <v>10</v>
      </c>
      <c r="N1176" s="30" t="s">
        <v>102</v>
      </c>
      <c r="O1176" s="31">
        <f t="shared" si="320"/>
        <v>7436</v>
      </c>
      <c r="P1176" s="32">
        <f>1252+614+19</f>
        <v>1885</v>
      </c>
      <c r="Q1176" s="32"/>
      <c r="R1176" s="32"/>
      <c r="S1176" s="32">
        <f t="shared" si="315"/>
        <v>1885</v>
      </c>
      <c r="T1176" s="12"/>
      <c r="U1176" s="12"/>
      <c r="V1176" s="12"/>
      <c r="W1176" s="12">
        <f t="shared" si="316"/>
        <v>1885</v>
      </c>
      <c r="Y1176" s="10">
        <v>10</v>
      </c>
      <c r="Z1176" s="30"/>
      <c r="AA1176" s="31"/>
      <c r="AB1176" s="32"/>
      <c r="AC1176" s="32"/>
      <c r="AD1176" s="32"/>
      <c r="AE1176" s="32">
        <f t="shared" si="317"/>
        <v>0</v>
      </c>
      <c r="AF1176" s="12"/>
      <c r="AG1176" s="12"/>
      <c r="AH1176" s="12"/>
      <c r="AI1176" s="12">
        <f t="shared" si="318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D1177" s="32"/>
      <c r="E1177" s="32"/>
      <c r="F1177" s="32"/>
      <c r="G1177" s="32">
        <f t="shared" si="313"/>
        <v>0</v>
      </c>
      <c r="H1177" s="12"/>
      <c r="I1177" s="12"/>
      <c r="J1177" s="12"/>
      <c r="K1177" s="12">
        <f t="shared" si="314"/>
        <v>0</v>
      </c>
      <c r="M1177" s="10">
        <v>11</v>
      </c>
      <c r="N1177" s="30" t="s">
        <v>102</v>
      </c>
      <c r="O1177" s="31">
        <f t="shared" si="320"/>
        <v>7437</v>
      </c>
      <c r="P1177" s="32">
        <f>1252+19</f>
        <v>1271</v>
      </c>
      <c r="Q1177" s="32"/>
      <c r="R1177" s="32"/>
      <c r="S1177" s="32">
        <f t="shared" si="315"/>
        <v>1271</v>
      </c>
      <c r="T1177" s="12"/>
      <c r="U1177" s="12"/>
      <c r="V1177" s="12"/>
      <c r="W1177" s="12">
        <f t="shared" si="316"/>
        <v>1271</v>
      </c>
      <c r="Y1177" s="10">
        <v>11</v>
      </c>
      <c r="Z1177" s="30"/>
      <c r="AB1177" s="32"/>
      <c r="AC1177" s="32"/>
      <c r="AD1177" s="32"/>
      <c r="AE1177" s="32">
        <f t="shared" si="317"/>
        <v>0</v>
      </c>
      <c r="AF1177" s="12"/>
      <c r="AG1177" s="12"/>
      <c r="AH1177" s="12"/>
      <c r="AI1177" s="12">
        <f t="shared" si="318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90"/>
      <c r="D1178" s="32"/>
      <c r="E1178" s="32"/>
      <c r="F1178" s="32"/>
      <c r="G1178" s="32">
        <f t="shared" si="313"/>
        <v>0</v>
      </c>
      <c r="H1178" s="12"/>
      <c r="I1178" s="12"/>
      <c r="J1178" s="10"/>
      <c r="K1178" s="12">
        <f t="shared" si="314"/>
        <v>0</v>
      </c>
      <c r="M1178" s="10">
        <v>12</v>
      </c>
      <c r="N1178" s="30" t="s">
        <v>102</v>
      </c>
      <c r="O1178" s="31">
        <f t="shared" si="320"/>
        <v>7438</v>
      </c>
      <c r="P1178" s="32">
        <f>626+596+19</f>
        <v>1241</v>
      </c>
      <c r="Q1178" s="32"/>
      <c r="R1178" s="32"/>
      <c r="S1178" s="32">
        <f t="shared" si="315"/>
        <v>1241</v>
      </c>
      <c r="T1178" s="12"/>
      <c r="U1178" s="12">
        <v>9</v>
      </c>
      <c r="V1178" s="12"/>
      <c r="W1178" s="12">
        <f t="shared" si="316"/>
        <v>1250</v>
      </c>
      <c r="Y1178" s="10">
        <v>12</v>
      </c>
      <c r="Z1178" s="30"/>
      <c r="AA1178" s="31"/>
      <c r="AB1178" s="32"/>
      <c r="AC1178" s="32"/>
      <c r="AD1178" s="32"/>
      <c r="AE1178" s="32">
        <f t="shared" si="317"/>
        <v>0</v>
      </c>
      <c r="AF1178" s="12"/>
      <c r="AG1178" s="12"/>
      <c r="AH1178" s="12"/>
      <c r="AI1178" s="12">
        <f t="shared" si="31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90"/>
      <c r="D1179" s="32"/>
      <c r="E1179" s="32"/>
      <c r="F1179" s="32"/>
      <c r="G1179" s="32">
        <f t="shared" si="313"/>
        <v>0</v>
      </c>
      <c r="H1179" s="12"/>
      <c r="I1179" s="12"/>
      <c r="J1179" s="12"/>
      <c r="K1179" s="12">
        <f t="shared" si="314"/>
        <v>0</v>
      </c>
      <c r="M1179" s="10">
        <v>13</v>
      </c>
      <c r="N1179" s="30" t="s">
        <v>102</v>
      </c>
      <c r="O1179" s="31">
        <f t="shared" si="320"/>
        <v>7439</v>
      </c>
      <c r="P1179" s="32">
        <f>626*3+614+596+38</f>
        <v>3126</v>
      </c>
      <c r="Q1179" s="32"/>
      <c r="R1179" s="32"/>
      <c r="S1179" s="32">
        <f t="shared" si="315"/>
        <v>3126</v>
      </c>
      <c r="T1179" s="12"/>
      <c r="U1179" s="12"/>
      <c r="V1179" s="12"/>
      <c r="W1179" s="12">
        <f t="shared" si="316"/>
        <v>3126</v>
      </c>
      <c r="Y1179" s="10">
        <v>13</v>
      </c>
      <c r="Z1179" s="30"/>
      <c r="AA1179" s="31"/>
      <c r="AB1179" s="32"/>
      <c r="AC1179" s="32"/>
      <c r="AD1179" s="32"/>
      <c r="AE1179" s="32">
        <f t="shared" si="317"/>
        <v>0</v>
      </c>
      <c r="AF1179" s="12"/>
      <c r="AG1179" s="12"/>
      <c r="AH1179" s="12"/>
      <c r="AI1179" s="12">
        <f t="shared" si="31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90"/>
      <c r="D1180" s="32"/>
      <c r="E1180" s="32"/>
      <c r="F1180" s="32"/>
      <c r="G1180" s="32">
        <f t="shared" si="313"/>
        <v>0</v>
      </c>
      <c r="H1180" s="12"/>
      <c r="I1180" s="12"/>
      <c r="J1180" s="12"/>
      <c r="K1180" s="12">
        <f t="shared" si="314"/>
        <v>0</v>
      </c>
      <c r="M1180" s="10">
        <v>14</v>
      </c>
      <c r="N1180" s="30" t="s">
        <v>102</v>
      </c>
      <c r="O1180" s="31">
        <f t="shared" si="320"/>
        <v>7440</v>
      </c>
      <c r="P1180" s="32">
        <f>2384+38</f>
        <v>2422</v>
      </c>
      <c r="Q1180" s="32"/>
      <c r="R1180" s="32"/>
      <c r="S1180" s="32">
        <f t="shared" si="315"/>
        <v>2422</v>
      </c>
      <c r="T1180" s="12"/>
      <c r="U1180" s="12"/>
      <c r="V1180" s="12"/>
      <c r="W1180" s="12">
        <f t="shared" si="316"/>
        <v>2422</v>
      </c>
      <c r="Y1180" s="10">
        <v>14</v>
      </c>
      <c r="Z1180" s="30"/>
      <c r="AA1180" s="31"/>
      <c r="AB1180" s="32"/>
      <c r="AC1180" s="32"/>
      <c r="AD1180" s="32"/>
      <c r="AE1180" s="32">
        <f t="shared" si="317"/>
        <v>0</v>
      </c>
      <c r="AF1180" s="12"/>
      <c r="AG1180" s="12"/>
      <c r="AH1180" s="12"/>
      <c r="AI1180" s="12">
        <f t="shared" si="31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90"/>
      <c r="D1181" s="32"/>
      <c r="E1181" s="32"/>
      <c r="F1181" s="32"/>
      <c r="G1181" s="32">
        <f t="shared" si="313"/>
        <v>0</v>
      </c>
      <c r="H1181" s="12"/>
      <c r="I1181" s="12"/>
      <c r="J1181" s="12"/>
      <c r="K1181" s="12">
        <f t="shared" si="314"/>
        <v>0</v>
      </c>
      <c r="M1181" s="10">
        <v>15</v>
      </c>
      <c r="N1181" s="30" t="s">
        <v>102</v>
      </c>
      <c r="O1181" s="31">
        <f t="shared" si="320"/>
        <v>7441</v>
      </c>
      <c r="P1181" s="32">
        <f>5008+76</f>
        <v>5084</v>
      </c>
      <c r="Q1181" s="32"/>
      <c r="R1181" s="32"/>
      <c r="S1181" s="32">
        <f t="shared" si="315"/>
        <v>5084</v>
      </c>
      <c r="T1181" s="12"/>
      <c r="U1181" s="12"/>
      <c r="V1181" s="12"/>
      <c r="W1181" s="12">
        <f t="shared" si="316"/>
        <v>5084</v>
      </c>
      <c r="Y1181" s="10">
        <v>15</v>
      </c>
      <c r="Z1181" s="30"/>
      <c r="AA1181" s="31"/>
      <c r="AB1181" s="32"/>
      <c r="AC1181" s="32"/>
      <c r="AD1181" s="32"/>
      <c r="AE1181" s="32">
        <f t="shared" si="317"/>
        <v>0</v>
      </c>
      <c r="AF1181" s="12"/>
      <c r="AG1181" s="12"/>
      <c r="AH1181" s="12"/>
      <c r="AI1181" s="12">
        <f t="shared" si="31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57"/>
      <c r="D1182" s="32"/>
      <c r="E1182" s="32"/>
      <c r="F1182" s="32"/>
      <c r="G1182" s="32">
        <f t="shared" si="313"/>
        <v>0</v>
      </c>
      <c r="H1182" s="12"/>
      <c r="I1182" s="12"/>
      <c r="J1182" s="12"/>
      <c r="K1182" s="12">
        <f t="shared" si="314"/>
        <v>0</v>
      </c>
      <c r="M1182" s="10">
        <v>16</v>
      </c>
      <c r="N1182" s="30" t="s">
        <v>102</v>
      </c>
      <c r="O1182" s="31">
        <f t="shared" si="320"/>
        <v>7442</v>
      </c>
      <c r="P1182" s="32">
        <f>1252+19</f>
        <v>1271</v>
      </c>
      <c r="Q1182" s="32"/>
      <c r="R1182" s="32"/>
      <c r="S1182" s="32">
        <f t="shared" si="315"/>
        <v>1271</v>
      </c>
      <c r="T1182" s="12"/>
      <c r="U1182" s="12"/>
      <c r="V1182" s="12"/>
      <c r="W1182" s="12">
        <f t="shared" si="316"/>
        <v>1271</v>
      </c>
      <c r="Y1182" s="10">
        <v>16</v>
      </c>
      <c r="Z1182" s="30"/>
      <c r="AA1182" s="31"/>
      <c r="AB1182" s="32"/>
      <c r="AC1182" s="32"/>
      <c r="AD1182" s="32"/>
      <c r="AE1182" s="32">
        <f t="shared" si="317"/>
        <v>0</v>
      </c>
      <c r="AF1182" s="12"/>
      <c r="AG1182" s="12"/>
      <c r="AH1182" s="12"/>
      <c r="AI1182" s="12">
        <f t="shared" si="31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90"/>
      <c r="D1183" s="32"/>
      <c r="E1183" s="32"/>
      <c r="F1183" s="32"/>
      <c r="G1183" s="32">
        <f t="shared" si="313"/>
        <v>0</v>
      </c>
      <c r="H1183" s="12"/>
      <c r="I1183" s="12"/>
      <c r="J1183" s="12"/>
      <c r="K1183" s="12">
        <f t="shared" si="314"/>
        <v>0</v>
      </c>
      <c r="M1183" s="10">
        <v>17</v>
      </c>
      <c r="N1183" s="30" t="s">
        <v>102</v>
      </c>
      <c r="O1183" s="31">
        <f t="shared" si="320"/>
        <v>7443</v>
      </c>
      <c r="P1183" s="35">
        <f>34430+3070+229</f>
        <v>37729</v>
      </c>
      <c r="Q1183" s="32"/>
      <c r="R1183" s="32"/>
      <c r="S1183" s="32">
        <f t="shared" si="315"/>
        <v>37729</v>
      </c>
      <c r="T1183" s="12"/>
      <c r="U1183" s="12"/>
      <c r="V1183" s="12"/>
      <c r="W1183" s="12">
        <f t="shared" si="316"/>
        <v>37729</v>
      </c>
      <c r="Y1183" s="10">
        <v>17</v>
      </c>
      <c r="Z1183" s="30"/>
      <c r="AA1183" s="31"/>
      <c r="AB1183" s="35"/>
      <c r="AC1183" s="32"/>
      <c r="AD1183" s="32"/>
      <c r="AE1183" s="32">
        <f t="shared" si="317"/>
        <v>0</v>
      </c>
      <c r="AF1183" s="12"/>
      <c r="AG1183" s="12"/>
      <c r="AH1183" s="12"/>
      <c r="AI1183" s="12">
        <f t="shared" si="31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90"/>
      <c r="D1184" s="32"/>
      <c r="E1184" s="32"/>
      <c r="F1184" s="32"/>
      <c r="G1184" s="32">
        <f t="shared" si="313"/>
        <v>0</v>
      </c>
      <c r="H1184" s="12"/>
      <c r="I1184" s="12"/>
      <c r="J1184" s="12"/>
      <c r="K1184" s="12">
        <f t="shared" si="314"/>
        <v>0</v>
      </c>
      <c r="M1184" s="10">
        <v>18</v>
      </c>
      <c r="N1184" s="30" t="s">
        <v>102</v>
      </c>
      <c r="O1184" s="31">
        <f t="shared" si="320"/>
        <v>7444</v>
      </c>
      <c r="P1184" s="32">
        <f>2504+38</f>
        <v>2542</v>
      </c>
      <c r="Q1184" s="32"/>
      <c r="R1184" s="32"/>
      <c r="S1184" s="32">
        <f t="shared" si="315"/>
        <v>2542</v>
      </c>
      <c r="T1184" s="12"/>
      <c r="U1184" s="12"/>
      <c r="V1184" s="12"/>
      <c r="W1184" s="12">
        <f t="shared" si="316"/>
        <v>2542</v>
      </c>
      <c r="Y1184" s="10">
        <v>18</v>
      </c>
      <c r="Z1184" s="30"/>
      <c r="AA1184" s="31"/>
      <c r="AB1184" s="32"/>
      <c r="AC1184" s="32"/>
      <c r="AD1184" s="32"/>
      <c r="AE1184" s="32">
        <f t="shared" si="317"/>
        <v>0</v>
      </c>
      <c r="AF1184" s="12"/>
      <c r="AG1184" s="12"/>
      <c r="AH1184" s="12"/>
      <c r="AI1184" s="12">
        <f t="shared" si="31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90"/>
      <c r="D1185" s="32"/>
      <c r="E1185" s="32"/>
      <c r="F1185" s="32"/>
      <c r="G1185" s="32">
        <f t="shared" si="313"/>
        <v>0</v>
      </c>
      <c r="H1185" s="12"/>
      <c r="I1185" s="12"/>
      <c r="J1185" s="12"/>
      <c r="K1185" s="12">
        <f t="shared" si="314"/>
        <v>0</v>
      </c>
      <c r="M1185" s="10">
        <v>19</v>
      </c>
      <c r="N1185" s="30" t="s">
        <v>102</v>
      </c>
      <c r="O1185" s="31">
        <f t="shared" si="320"/>
        <v>7445</v>
      </c>
      <c r="P1185" s="32">
        <f>3756+57</f>
        <v>3813</v>
      </c>
      <c r="Q1185" s="32"/>
      <c r="R1185" s="32"/>
      <c r="S1185" s="32">
        <f t="shared" si="315"/>
        <v>3813</v>
      </c>
      <c r="T1185" s="12"/>
      <c r="U1185" s="12"/>
      <c r="V1185" s="12"/>
      <c r="W1185" s="12">
        <f t="shared" si="316"/>
        <v>3813</v>
      </c>
      <c r="Y1185" s="10">
        <v>19</v>
      </c>
      <c r="Z1185" s="30"/>
      <c r="AA1185" s="31"/>
      <c r="AB1185" s="32"/>
      <c r="AC1185" s="32"/>
      <c r="AD1185" s="32"/>
      <c r="AE1185" s="32">
        <f t="shared" si="317"/>
        <v>0</v>
      </c>
      <c r="AF1185" s="12"/>
      <c r="AG1185" s="12"/>
      <c r="AH1185" s="12"/>
      <c r="AI1185" s="12">
        <f t="shared" si="31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90"/>
      <c r="D1186" s="32"/>
      <c r="E1186" s="32"/>
      <c r="F1186" s="32"/>
      <c r="G1186" s="32">
        <f t="shared" si="313"/>
        <v>0</v>
      </c>
      <c r="H1186" s="12"/>
      <c r="I1186" s="12"/>
      <c r="J1186" s="12"/>
      <c r="K1186" s="12">
        <f t="shared" si="314"/>
        <v>0</v>
      </c>
      <c r="M1186" s="10">
        <v>20</v>
      </c>
      <c r="N1186" s="30" t="s">
        <v>102</v>
      </c>
      <c r="O1186" s="31">
        <f t="shared" si="320"/>
        <v>7446</v>
      </c>
      <c r="P1186" s="32">
        <f>8138+1228+1192+142.5</f>
        <v>10700.5</v>
      </c>
      <c r="Q1186" s="32"/>
      <c r="R1186" s="32"/>
      <c r="S1186" s="32">
        <f t="shared" si="315"/>
        <v>10700.5</v>
      </c>
      <c r="T1186" s="12"/>
      <c r="U1186" s="12"/>
      <c r="V1186" s="12"/>
      <c r="W1186" s="12">
        <f t="shared" si="316"/>
        <v>10700.5</v>
      </c>
      <c r="Y1186" s="10">
        <v>20</v>
      </c>
      <c r="Z1186" s="30"/>
      <c r="AA1186" s="31"/>
      <c r="AB1186" s="32"/>
      <c r="AC1186" s="32"/>
      <c r="AD1186" s="32"/>
      <c r="AE1186" s="32">
        <f t="shared" si="317"/>
        <v>0</v>
      </c>
      <c r="AF1186" s="12"/>
      <c r="AG1186" s="12"/>
      <c r="AH1186" s="12"/>
      <c r="AI1186" s="12">
        <f t="shared" si="31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13"/>
        <v>0</v>
      </c>
      <c r="H1187" s="10"/>
      <c r="I1187" s="10"/>
      <c r="J1187" s="10"/>
      <c r="K1187" s="12">
        <f t="shared" si="314"/>
        <v>0</v>
      </c>
      <c r="M1187" s="10">
        <v>21</v>
      </c>
      <c r="N1187" s="30" t="s">
        <v>102</v>
      </c>
      <c r="O1187" s="31">
        <f t="shared" si="320"/>
        <v>7447</v>
      </c>
      <c r="P1187" s="46">
        <f>626+9.5</f>
        <v>635.5</v>
      </c>
      <c r="Q1187" s="31"/>
      <c r="R1187" s="31"/>
      <c r="S1187" s="32">
        <f t="shared" si="315"/>
        <v>635.5</v>
      </c>
      <c r="T1187" s="10"/>
      <c r="U1187" s="10"/>
      <c r="V1187" s="10"/>
      <c r="W1187" s="12">
        <f t="shared" si="316"/>
        <v>635.5</v>
      </c>
      <c r="Y1187" s="10">
        <v>21</v>
      </c>
      <c r="Z1187" s="30"/>
      <c r="AB1187" s="46"/>
      <c r="AC1187" s="31"/>
      <c r="AD1187" s="31"/>
      <c r="AE1187" s="32">
        <f t="shared" si="317"/>
        <v>0</v>
      </c>
      <c r="AF1187" s="10"/>
      <c r="AG1187" s="10"/>
      <c r="AH1187" s="10"/>
      <c r="AI1187" s="12">
        <f t="shared" si="31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90"/>
      <c r="D1188" s="32"/>
      <c r="E1188" s="32"/>
      <c r="F1188" s="32"/>
      <c r="G1188" s="32">
        <f t="shared" si="313"/>
        <v>0</v>
      </c>
      <c r="H1188" s="10"/>
      <c r="I1188" s="10"/>
      <c r="J1188" s="10"/>
      <c r="K1188" s="12">
        <f t="shared" si="314"/>
        <v>0</v>
      </c>
      <c r="M1188" s="10">
        <v>22</v>
      </c>
      <c r="N1188" s="30" t="s">
        <v>102</v>
      </c>
      <c r="O1188" s="31">
        <f t="shared" si="320"/>
        <v>7448</v>
      </c>
      <c r="P1188" s="45">
        <f>626+9.5</f>
        <v>635.5</v>
      </c>
      <c r="Q1188" s="31"/>
      <c r="R1188" s="31"/>
      <c r="S1188" s="32">
        <f t="shared" si="315"/>
        <v>635.5</v>
      </c>
      <c r="T1188" s="10"/>
      <c r="U1188" s="10"/>
      <c r="V1188" s="10"/>
      <c r="W1188" s="12">
        <f t="shared" si="316"/>
        <v>635.5</v>
      </c>
      <c r="Y1188" s="10">
        <v>22</v>
      </c>
      <c r="Z1188" s="30"/>
      <c r="AA1188" s="31"/>
      <c r="AB1188" s="45"/>
      <c r="AC1188" s="31"/>
      <c r="AD1188" s="31"/>
      <c r="AE1188" s="32">
        <f t="shared" si="317"/>
        <v>0</v>
      </c>
      <c r="AF1188" s="10"/>
      <c r="AG1188" s="10"/>
      <c r="AH1188" s="10"/>
      <c r="AI1188" s="12">
        <f t="shared" si="31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13"/>
        <v>0</v>
      </c>
      <c r="H1189" s="10"/>
      <c r="I1189" s="10"/>
      <c r="J1189" s="12"/>
      <c r="K1189" s="12">
        <f t="shared" si="314"/>
        <v>0</v>
      </c>
      <c r="M1189" s="10">
        <v>23</v>
      </c>
      <c r="N1189" s="30" t="s">
        <v>102</v>
      </c>
      <c r="O1189" s="31">
        <f t="shared" si="320"/>
        <v>7449</v>
      </c>
      <c r="P1189" s="47">
        <f>2504+596+832+47.5</f>
        <v>3979.5</v>
      </c>
      <c r="Q1189" s="31"/>
      <c r="S1189" s="32">
        <f t="shared" si="315"/>
        <v>3979.5</v>
      </c>
      <c r="T1189" s="10"/>
      <c r="U1189" s="10"/>
      <c r="V1189" s="10"/>
      <c r="W1189" s="12">
        <f t="shared" si="316"/>
        <v>3979.5</v>
      </c>
      <c r="Y1189" s="10">
        <v>23</v>
      </c>
      <c r="Z1189" s="30"/>
      <c r="AA1189" s="31"/>
      <c r="AB1189" s="47"/>
      <c r="AC1189" s="31"/>
      <c r="AE1189" s="32">
        <f t="shared" si="317"/>
        <v>0</v>
      </c>
      <c r="AF1189" s="10"/>
      <c r="AG1189" s="10"/>
      <c r="AH1189" s="10"/>
      <c r="AI1189" s="12">
        <f t="shared" si="31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90"/>
      <c r="D1190" s="32"/>
      <c r="E1190" s="32"/>
      <c r="F1190" s="32"/>
      <c r="G1190" s="32">
        <f t="shared" si="313"/>
        <v>0</v>
      </c>
      <c r="H1190" s="10"/>
      <c r="I1190" s="10"/>
      <c r="J1190" s="10"/>
      <c r="K1190" s="12">
        <f t="shared" si="314"/>
        <v>0</v>
      </c>
      <c r="M1190" s="10">
        <v>24</v>
      </c>
      <c r="N1190" s="30" t="s">
        <v>102</v>
      </c>
      <c r="O1190" s="31">
        <f t="shared" si="320"/>
        <v>7450</v>
      </c>
      <c r="P1190" s="47">
        <f>3130+614+1192+66.5</f>
        <v>5002.5</v>
      </c>
      <c r="Q1190" s="31"/>
      <c r="R1190" s="31"/>
      <c r="S1190" s="32">
        <f t="shared" si="315"/>
        <v>5002.5</v>
      </c>
      <c r="T1190" s="10"/>
      <c r="U1190" s="10">
        <f>40.5</f>
        <v>40.5</v>
      </c>
      <c r="V1190" s="10"/>
      <c r="W1190" s="12">
        <f t="shared" si="316"/>
        <v>5043</v>
      </c>
      <c r="Y1190" s="10">
        <v>24</v>
      </c>
      <c r="Z1190" s="30"/>
      <c r="AA1190" s="31"/>
      <c r="AB1190" s="47"/>
      <c r="AC1190" s="31"/>
      <c r="AD1190" s="31"/>
      <c r="AE1190" s="32">
        <f t="shared" si="317"/>
        <v>0</v>
      </c>
      <c r="AF1190" s="10"/>
      <c r="AG1190" s="10"/>
      <c r="AH1190" s="10"/>
      <c r="AI1190" s="12">
        <f t="shared" si="31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90"/>
      <c r="D1191" s="32"/>
      <c r="E1191" s="32"/>
      <c r="F1191" s="32"/>
      <c r="G1191" s="32">
        <f t="shared" si="313"/>
        <v>0</v>
      </c>
      <c r="H1191" s="10"/>
      <c r="I1191" s="10"/>
      <c r="J1191" s="10"/>
      <c r="K1191" s="12">
        <f t="shared" si="314"/>
        <v>0</v>
      </c>
      <c r="M1191" s="10">
        <v>25</v>
      </c>
      <c r="N1191" s="30"/>
      <c r="O1191" s="11" t="s">
        <v>27</v>
      </c>
      <c r="P1191" s="47"/>
      <c r="Q1191" s="31"/>
      <c r="R1191" s="31"/>
      <c r="S1191" s="32">
        <f t="shared" si="315"/>
        <v>0</v>
      </c>
      <c r="T1191" s="10"/>
      <c r="U1191" s="10"/>
      <c r="V1191" s="10"/>
      <c r="W1191" s="12">
        <f t="shared" si="316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17"/>
        <v>0</v>
      </c>
      <c r="AF1191" s="10"/>
      <c r="AG1191" s="10"/>
      <c r="AH1191" s="10"/>
      <c r="AI1191" s="12">
        <f t="shared" si="31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90"/>
      <c r="D1192" s="32"/>
      <c r="E1192" s="32"/>
      <c r="F1192" s="32"/>
      <c r="G1192" s="32">
        <f t="shared" si="313"/>
        <v>0</v>
      </c>
      <c r="H1192" s="10"/>
      <c r="I1192" s="10"/>
      <c r="J1192" s="10"/>
      <c r="K1192" s="12">
        <f t="shared" si="314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15"/>
        <v>0</v>
      </c>
      <c r="T1192" s="10"/>
      <c r="U1192" s="10"/>
      <c r="V1192" s="10"/>
      <c r="W1192" s="12">
        <f t="shared" si="316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17"/>
        <v>0</v>
      </c>
      <c r="AF1192" s="10"/>
      <c r="AG1192" s="10"/>
      <c r="AH1192" s="10"/>
      <c r="AI1192" s="12">
        <f t="shared" si="31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90"/>
      <c r="D1193" s="32"/>
      <c r="E1193" s="32"/>
      <c r="F1193" s="32"/>
      <c r="G1193" s="32">
        <f t="shared" si="313"/>
        <v>0</v>
      </c>
      <c r="H1193" s="10"/>
      <c r="I1193" s="10"/>
      <c r="J1193" s="10"/>
      <c r="K1193" s="12">
        <f t="shared" si="314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15"/>
        <v>0</v>
      </c>
      <c r="T1193" s="10"/>
      <c r="U1193" s="10"/>
      <c r="V1193" s="10"/>
      <c r="W1193" s="12">
        <f t="shared" si="316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17"/>
        <v>0</v>
      </c>
      <c r="AF1193" s="10"/>
      <c r="AG1193" s="10"/>
      <c r="AH1193" s="10"/>
      <c r="AI1193" s="12">
        <f t="shared" si="31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90"/>
      <c r="D1194" s="32"/>
      <c r="E1194" s="32"/>
      <c r="F1194" s="32"/>
      <c r="G1194" s="32">
        <f t="shared" si="313"/>
        <v>0</v>
      </c>
      <c r="H1194" s="10"/>
      <c r="I1194" s="10"/>
      <c r="J1194" s="10"/>
      <c r="K1194" s="12">
        <f t="shared" si="314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15"/>
        <v>0</v>
      </c>
      <c r="T1194" s="10"/>
      <c r="U1194" s="10"/>
      <c r="V1194" s="10"/>
      <c r="W1194" s="12">
        <f t="shared" si="316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17"/>
        <v>0</v>
      </c>
      <c r="AF1194" s="10"/>
      <c r="AG1194" s="10"/>
      <c r="AH1194" s="10"/>
      <c r="AI1194" s="12">
        <f t="shared" si="31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90"/>
      <c r="D1195" s="32"/>
      <c r="E1195" s="32"/>
      <c r="F1195" s="32"/>
      <c r="G1195" s="32">
        <f t="shared" si="313"/>
        <v>0</v>
      </c>
      <c r="H1195" s="10"/>
      <c r="I1195" s="10"/>
      <c r="J1195" s="10"/>
      <c r="K1195" s="12">
        <f t="shared" si="314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15"/>
        <v>0</v>
      </c>
      <c r="T1195" s="10"/>
      <c r="U1195" s="10"/>
      <c r="V1195" s="10"/>
      <c r="W1195" s="12">
        <f t="shared" si="316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17"/>
        <v>0</v>
      </c>
      <c r="AF1195" s="10"/>
      <c r="AG1195" s="10"/>
      <c r="AH1195" s="10"/>
      <c r="AI1195" s="12">
        <f t="shared" si="31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13"/>
        <v>0</v>
      </c>
      <c r="H1196" s="10"/>
      <c r="I1196" s="10"/>
      <c r="J1196" s="10"/>
      <c r="K1196" s="12">
        <f t="shared" si="314"/>
        <v>0</v>
      </c>
      <c r="M1196" s="10">
        <v>30</v>
      </c>
      <c r="N1196" s="30"/>
      <c r="P1196" s="47"/>
      <c r="Q1196" s="31"/>
      <c r="R1196" s="31"/>
      <c r="S1196" s="32">
        <f t="shared" si="315"/>
        <v>0</v>
      </c>
      <c r="T1196" s="10"/>
      <c r="U1196" s="10"/>
      <c r="V1196" s="10"/>
      <c r="W1196" s="12">
        <f t="shared" si="316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17"/>
        <v>0</v>
      </c>
      <c r="AF1196" s="10"/>
      <c r="AG1196" s="10"/>
      <c r="AH1196" s="10"/>
      <c r="AI1196" s="12">
        <f t="shared" si="31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90"/>
      <c r="D1197" s="32"/>
      <c r="E1197" s="32"/>
      <c r="F1197" s="32"/>
      <c r="G1197" s="32">
        <f t="shared" si="313"/>
        <v>0</v>
      </c>
      <c r="H1197" s="10"/>
      <c r="I1197" s="10"/>
      <c r="J1197" s="10"/>
      <c r="K1197" s="12">
        <f t="shared" si="314"/>
        <v>0</v>
      </c>
      <c r="M1197" s="10">
        <v>31</v>
      </c>
      <c r="N1197" s="30"/>
      <c r="P1197" s="47"/>
      <c r="Q1197" s="31"/>
      <c r="R1197" s="31"/>
      <c r="S1197" s="32">
        <f t="shared" si="315"/>
        <v>0</v>
      </c>
      <c r="T1197" s="10"/>
      <c r="U1197" s="10"/>
      <c r="V1197" s="10"/>
      <c r="W1197" s="12">
        <f t="shared" si="316"/>
        <v>0</v>
      </c>
      <c r="Y1197" s="10">
        <v>31</v>
      </c>
      <c r="Z1197" s="30"/>
      <c r="AB1197" s="47"/>
      <c r="AC1197" s="31"/>
      <c r="AD1197" s="31"/>
      <c r="AE1197" s="32">
        <f t="shared" si="317"/>
        <v>0</v>
      </c>
      <c r="AF1197" s="10"/>
      <c r="AG1197" s="10"/>
      <c r="AH1197" s="10"/>
      <c r="AI1197" s="12">
        <f t="shared" si="31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90"/>
      <c r="D1198" s="32"/>
      <c r="E1198" s="32"/>
      <c r="F1198" s="32"/>
      <c r="G1198" s="32">
        <f t="shared" si="313"/>
        <v>0</v>
      </c>
      <c r="H1198" s="10"/>
      <c r="I1198" s="10"/>
      <c r="J1198" s="10"/>
      <c r="K1198" s="12">
        <f t="shared" si="314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15"/>
        <v>0</v>
      </c>
      <c r="T1198" s="10"/>
      <c r="U1198" s="10"/>
      <c r="V1198" s="10"/>
      <c r="W1198" s="12">
        <f t="shared" si="316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17"/>
        <v>0</v>
      </c>
      <c r="AF1198" s="10"/>
      <c r="AG1198" s="10"/>
      <c r="AH1198" s="10"/>
      <c r="AI1198" s="12">
        <f t="shared" si="31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90"/>
      <c r="D1199" s="32"/>
      <c r="E1199" s="32"/>
      <c r="F1199" s="32"/>
      <c r="G1199" s="32">
        <f t="shared" si="313"/>
        <v>0</v>
      </c>
      <c r="H1199" s="10"/>
      <c r="I1199" s="10"/>
      <c r="J1199" s="10"/>
      <c r="K1199" s="12">
        <f t="shared" si="314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15"/>
        <v>0</v>
      </c>
      <c r="T1199" s="10"/>
      <c r="U1199" s="10"/>
      <c r="V1199" s="10"/>
      <c r="W1199" s="12">
        <f t="shared" si="316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17"/>
        <v>0</v>
      </c>
      <c r="AF1199" s="10"/>
      <c r="AG1199" s="10"/>
      <c r="AH1199" s="10"/>
      <c r="AI1199" s="12">
        <f t="shared" si="31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90"/>
      <c r="D1200" s="32"/>
      <c r="E1200" s="32"/>
      <c r="F1200" s="32"/>
      <c r="G1200" s="32">
        <f t="shared" si="313"/>
        <v>0</v>
      </c>
      <c r="H1200" s="10"/>
      <c r="I1200" s="10"/>
      <c r="J1200" s="10"/>
      <c r="K1200" s="12">
        <f t="shared" si="314"/>
        <v>0</v>
      </c>
      <c r="M1200" s="10">
        <v>34</v>
      </c>
      <c r="N1200" s="30"/>
      <c r="P1200" s="47"/>
      <c r="Q1200" s="31"/>
      <c r="R1200" s="31"/>
      <c r="S1200" s="32">
        <f t="shared" si="315"/>
        <v>0</v>
      </c>
      <c r="T1200" s="10"/>
      <c r="U1200" s="10"/>
      <c r="V1200" s="10"/>
      <c r="W1200" s="12">
        <f t="shared" si="316"/>
        <v>0</v>
      </c>
      <c r="Y1200" s="10">
        <v>34</v>
      </c>
      <c r="Z1200" s="30"/>
      <c r="AB1200" s="47"/>
      <c r="AC1200" s="31"/>
      <c r="AD1200" s="31"/>
      <c r="AE1200" s="32">
        <f t="shared" si="317"/>
        <v>0</v>
      </c>
      <c r="AF1200" s="10"/>
      <c r="AG1200" s="10"/>
      <c r="AH1200" s="10"/>
      <c r="AI1200" s="12">
        <f t="shared" si="31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3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15"/>
        <v>0</v>
      </c>
      <c r="T1201" s="10"/>
      <c r="U1201" s="10"/>
      <c r="V1201" s="10"/>
      <c r="W1201" s="12">
        <f t="shared" si="316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17"/>
        <v>0</v>
      </c>
      <c r="AF1201" s="10"/>
      <c r="AG1201" s="10"/>
      <c r="AH1201" s="10"/>
      <c r="AI1201" s="12">
        <f t="shared" si="31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3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15"/>
        <v>0</v>
      </c>
      <c r="T1202" s="10"/>
      <c r="U1202" s="10"/>
      <c r="V1202" s="10"/>
      <c r="W1202" s="12">
        <f t="shared" si="316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17"/>
        <v>0</v>
      </c>
      <c r="AF1202" s="10"/>
      <c r="AG1202" s="10"/>
      <c r="AH1202" s="10"/>
      <c r="AI1202" s="12">
        <f t="shared" si="31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15"/>
        <v>0</v>
      </c>
      <c r="T1203" s="10"/>
      <c r="U1203" s="10"/>
      <c r="V1203" s="10"/>
      <c r="W1203" s="12">
        <f t="shared" si="316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17"/>
        <v>0</v>
      </c>
      <c r="AF1203" s="10"/>
      <c r="AG1203" s="10"/>
      <c r="AH1203" s="10"/>
      <c r="AI1203" s="12">
        <f t="shared" si="31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15"/>
        <v>0</v>
      </c>
      <c r="T1204" s="10"/>
      <c r="U1204" s="10"/>
      <c r="V1204" s="10"/>
      <c r="W1204" s="12">
        <f t="shared" si="316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17"/>
        <v>0</v>
      </c>
      <c r="AF1204" s="10"/>
      <c r="AG1204" s="10"/>
      <c r="AH1204" s="10"/>
      <c r="AI1204" s="12">
        <f t="shared" si="31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15"/>
        <v>0</v>
      </c>
      <c r="T1205" s="10"/>
      <c r="U1205" s="10"/>
      <c r="V1205" s="10"/>
      <c r="W1205" s="12">
        <f t="shared" si="316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17"/>
        <v>0</v>
      </c>
      <c r="AF1205" s="10"/>
      <c r="AG1205" s="10"/>
      <c r="AH1205" s="10"/>
      <c r="AI1205" s="12">
        <f t="shared" si="31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16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1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22">SUM(D1207:E1207)</f>
        <v>0</v>
      </c>
      <c r="H1207" s="10"/>
      <c r="I1207" s="10"/>
      <c r="J1207" s="10"/>
      <c r="K1207" s="12">
        <f t="shared" ref="K1207" si="323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24">SUM(P1207:Q1207)</f>
        <v>0</v>
      </c>
      <c r="T1207" s="10"/>
      <c r="U1207" s="10"/>
      <c r="V1207" s="10"/>
      <c r="W1207" s="12">
        <f t="shared" si="316"/>
        <v>0</v>
      </c>
      <c r="Y1207" s="10"/>
      <c r="Z1207" s="30"/>
      <c r="AA1207" s="31"/>
      <c r="AB1207" s="47"/>
      <c r="AC1207" s="31"/>
      <c r="AD1207" s="31"/>
      <c r="AE1207" s="32">
        <f t="shared" ref="AE1207" si="325">SUM(AB1207:AC1207)</f>
        <v>0</v>
      </c>
      <c r="AF1207" s="10"/>
      <c r="AG1207" s="10"/>
      <c r="AH1207" s="10"/>
      <c r="AI1207" s="12">
        <f t="shared" si="31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16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1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252922</v>
      </c>
      <c r="E1210" s="38">
        <f t="shared" ref="E1210:F1210" si="326">SUM(E1167:E1207)</f>
        <v>-3033</v>
      </c>
      <c r="F1210" s="38">
        <f t="shared" si="326"/>
        <v>0</v>
      </c>
      <c r="G1210" s="38">
        <f>SUM(G1167:G1209)</f>
        <v>249889</v>
      </c>
      <c r="H1210" s="4"/>
      <c r="I1210" s="39">
        <f>SUM(I1167:I1209)</f>
        <v>195</v>
      </c>
      <c r="J1210" s="39">
        <f>SUM(J1167:J1209)</f>
        <v>-38337</v>
      </c>
      <c r="K1210" s="40">
        <f>SUM(K1167:K1209)</f>
        <v>211747</v>
      </c>
      <c r="N1210" s="57"/>
      <c r="O1210" s="57"/>
      <c r="P1210" s="38">
        <f>SUM(P1167:P1209)</f>
        <v>132687.5</v>
      </c>
      <c r="Q1210" s="38">
        <f>SUM(Q1167:Q1191)</f>
        <v>0</v>
      </c>
      <c r="R1210" s="38">
        <f>SUM(R1167:R1191)</f>
        <v>0</v>
      </c>
      <c r="S1210" s="38">
        <f>SUM(S1167:S1209)</f>
        <v>132687.5</v>
      </c>
      <c r="T1210" s="4"/>
      <c r="U1210" s="41">
        <f>SUM(U1167:U1209)</f>
        <v>81</v>
      </c>
      <c r="V1210" s="41">
        <f>SUM(V1167:V1191)</f>
        <v>0</v>
      </c>
      <c r="W1210" s="42">
        <f>SUM(W1167:W1209)</f>
        <v>132768.5</v>
      </c>
      <c r="Z1210" s="57"/>
      <c r="AA1210" s="57"/>
      <c r="AB1210" s="38">
        <f>SUM(AB1167:AB1209)</f>
        <v>222198</v>
      </c>
      <c r="AC1210" s="38">
        <f>SUM(AC1167:AC1191)</f>
        <v>-1776</v>
      </c>
      <c r="AD1210" s="38">
        <f>SUM(AD1167:AD1191)</f>
        <v>0</v>
      </c>
      <c r="AE1210" s="38">
        <f>SUM(AE1167:AE1209)</f>
        <v>220422</v>
      </c>
      <c r="AF1210" s="4"/>
      <c r="AG1210" s="41">
        <f>SUM(AG1167:AG1209)</f>
        <v>108</v>
      </c>
      <c r="AH1210" s="41">
        <f>SUM(AH1167:AH1191)</f>
        <v>-1644</v>
      </c>
      <c r="AI1210" s="42">
        <f>SUM(AI1167:AI1209)</f>
        <v>218886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9"/>
      <c r="E1221" s="119"/>
      <c r="F1221" s="87"/>
      <c r="G1221" s="87"/>
      <c r="H1221" s="62"/>
      <c r="I1221" s="119"/>
      <c r="J1221" s="119"/>
      <c r="K1221" s="118"/>
      <c r="L1221" s="62"/>
      <c r="M1221" s="62"/>
      <c r="N1221" s="65"/>
      <c r="O1221" s="87"/>
      <c r="P1221" s="119"/>
      <c r="Q1221" s="119"/>
      <c r="R1221" s="87"/>
      <c r="S1221" s="87"/>
      <c r="T1221" s="62"/>
      <c r="U1221" s="119"/>
      <c r="V1221" s="119"/>
      <c r="W1221" s="118"/>
      <c r="X1221" s="62"/>
      <c r="Y1221" s="62"/>
      <c r="Z1221" s="65"/>
      <c r="AA1221" s="87"/>
      <c r="AB1221" s="119"/>
      <c r="AC1221" s="119"/>
      <c r="AD1221" s="87"/>
      <c r="AE1221" s="87"/>
      <c r="AF1221" s="62"/>
      <c r="AG1221" s="119"/>
      <c r="AH1221" s="119"/>
      <c r="AI1221" s="11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9"/>
      <c r="E1283" s="119"/>
      <c r="F1283" s="84"/>
      <c r="G1283" s="84"/>
      <c r="H1283" s="62"/>
      <c r="I1283" s="119"/>
      <c r="J1283" s="119"/>
      <c r="K1283" s="118"/>
      <c r="L1283" s="62"/>
      <c r="M1283" s="62"/>
      <c r="N1283" s="65"/>
      <c r="O1283" s="84"/>
      <c r="P1283" s="119"/>
      <c r="Q1283" s="119"/>
      <c r="R1283" s="84"/>
      <c r="S1283" s="84"/>
      <c r="T1283" s="62"/>
      <c r="U1283" s="119"/>
      <c r="V1283" s="119"/>
      <c r="W1283" s="118"/>
      <c r="X1283" s="62"/>
      <c r="Y1283" s="62"/>
      <c r="Z1283" s="65"/>
      <c r="AA1283" s="84"/>
      <c r="AB1283" s="119"/>
      <c r="AC1283" s="119"/>
      <c r="AD1283" s="84"/>
      <c r="AE1283" s="84"/>
      <c r="AF1283" s="62"/>
      <c r="AG1283" s="119"/>
      <c r="AH1283" s="119"/>
      <c r="AI1283" s="11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2025-11-28T01:00:05Z</dcterms:modified>
</cp:coreProperties>
</file>