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7F5E59A8-4CEB-4554-8FB3-4AC0ED5F5EB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26" i="2" l="1"/>
  <c r="AB1225" i="2"/>
  <c r="AG1224" i="2"/>
  <c r="AB1224" i="2"/>
  <c r="AB1223" i="2"/>
  <c r="AB1265" i="2" s="1"/>
  <c r="AB1222" i="2"/>
  <c r="AE1222" i="2" s="1"/>
  <c r="AI1222" i="2" s="1"/>
  <c r="AA1223" i="2"/>
  <c r="AA1224" i="2" s="1"/>
  <c r="AA1225" i="2" s="1"/>
  <c r="AA1226" i="2" s="1"/>
  <c r="AE1224" i="2"/>
  <c r="AI1224" i="2" s="1"/>
  <c r="AE1225" i="2"/>
  <c r="AI1225" i="2"/>
  <c r="AE1226" i="2"/>
  <c r="AI1226" i="2" s="1"/>
  <c r="AE1227" i="2"/>
  <c r="AI1227" i="2" s="1"/>
  <c r="AE1228" i="2"/>
  <c r="AI1228" i="2" s="1"/>
  <c r="AE1229" i="2"/>
  <c r="AI1229" i="2"/>
  <c r="AE1230" i="2"/>
  <c r="AI1230" i="2"/>
  <c r="AE1231" i="2"/>
  <c r="AI1231" i="2" s="1"/>
  <c r="AE1232" i="2"/>
  <c r="AI1232" i="2"/>
  <c r="AE1233" i="2"/>
  <c r="AI1233" i="2"/>
  <c r="AE1234" i="2"/>
  <c r="AI1234" i="2"/>
  <c r="AE1235" i="2"/>
  <c r="AI1235" i="2" s="1"/>
  <c r="AE1236" i="2"/>
  <c r="AI1236" i="2"/>
  <c r="AE1237" i="2"/>
  <c r="AI1237" i="2"/>
  <c r="AE1238" i="2"/>
  <c r="AI1238" i="2"/>
  <c r="AE1239" i="2"/>
  <c r="AI1239" i="2"/>
  <c r="AE1240" i="2"/>
  <c r="AI1240" i="2"/>
  <c r="AE1241" i="2"/>
  <c r="AI1241" i="2"/>
  <c r="AE1242" i="2"/>
  <c r="AI1242" i="2"/>
  <c r="AE1243" i="2"/>
  <c r="AI1243" i="2" s="1"/>
  <c r="AE1244" i="2"/>
  <c r="AI1244" i="2"/>
  <c r="AE1245" i="2"/>
  <c r="AI1245" i="2"/>
  <c r="AE1246" i="2"/>
  <c r="AI1246" i="2"/>
  <c r="AE1247" i="2"/>
  <c r="AI1247" i="2"/>
  <c r="AE1248" i="2"/>
  <c r="AI1248" i="2"/>
  <c r="AE1249" i="2"/>
  <c r="AI1249" i="2"/>
  <c r="AE1250" i="2"/>
  <c r="AI1250" i="2"/>
  <c r="AE1251" i="2"/>
  <c r="AI1251" i="2" s="1"/>
  <c r="AE1252" i="2"/>
  <c r="AI1252" i="2"/>
  <c r="AE1253" i="2"/>
  <c r="AI1253" i="2"/>
  <c r="AE1254" i="2"/>
  <c r="AI1254" i="2"/>
  <c r="AE1255" i="2"/>
  <c r="AI1255" i="2"/>
  <c r="AE1256" i="2"/>
  <c r="AI1256" i="2"/>
  <c r="AE1257" i="2"/>
  <c r="AI1257" i="2"/>
  <c r="AE1258" i="2"/>
  <c r="AI1258" i="2"/>
  <c r="AE1259" i="2"/>
  <c r="AI1259" i="2" s="1"/>
  <c r="AE1260" i="2"/>
  <c r="AI1260" i="2"/>
  <c r="AI1261" i="2"/>
  <c r="AE1262" i="2"/>
  <c r="AI1262" i="2"/>
  <c r="AI1263" i="2"/>
  <c r="AC1265" i="2"/>
  <c r="AD1265" i="2"/>
  <c r="AG1265" i="2"/>
  <c r="AH1265" i="2"/>
  <c r="P1248" i="2"/>
  <c r="S1248" i="2" s="1"/>
  <c r="W1248" i="2" s="1"/>
  <c r="P1247" i="2"/>
  <c r="S1247" i="2" s="1"/>
  <c r="W1247" i="2" s="1"/>
  <c r="P1246" i="2"/>
  <c r="S1246" i="2" s="1"/>
  <c r="W1246" i="2" s="1"/>
  <c r="P1245" i="2"/>
  <c r="S1245" i="2" s="1"/>
  <c r="W1245" i="2" s="1"/>
  <c r="P1244" i="2"/>
  <c r="S1244" i="2" s="1"/>
  <c r="W1244" i="2" s="1"/>
  <c r="P1243" i="2"/>
  <c r="P1242" i="2"/>
  <c r="P1241" i="2"/>
  <c r="P1240" i="2"/>
  <c r="P1239" i="2"/>
  <c r="S1239" i="2" s="1"/>
  <c r="W1239" i="2" s="1"/>
  <c r="P1238" i="2"/>
  <c r="S1238" i="2" s="1"/>
  <c r="W1238" i="2" s="1"/>
  <c r="P1237" i="2"/>
  <c r="S1237" i="2" s="1"/>
  <c r="W1237" i="2" s="1"/>
  <c r="P1236" i="2"/>
  <c r="S1236" i="2" s="1"/>
  <c r="W1236" i="2" s="1"/>
  <c r="P1235" i="2"/>
  <c r="P1234" i="2"/>
  <c r="P1233" i="2"/>
  <c r="P1232" i="2"/>
  <c r="P1231" i="2"/>
  <c r="P1230" i="2"/>
  <c r="P1229" i="2"/>
  <c r="P1228" i="2"/>
  <c r="S1228" i="2" s="1"/>
  <c r="W1228" i="2" s="1"/>
  <c r="P1227" i="2"/>
  <c r="S1227" i="2" s="1"/>
  <c r="W1227" i="2" s="1"/>
  <c r="P1226" i="2"/>
  <c r="S1226" i="2" s="1"/>
  <c r="W1226" i="2" s="1"/>
  <c r="P1225" i="2"/>
  <c r="P1224" i="2"/>
  <c r="P1223" i="2"/>
  <c r="P1222" i="2"/>
  <c r="S1222" i="2"/>
  <c r="W1222" i="2" s="1"/>
  <c r="O1223" i="2"/>
  <c r="S1223" i="2"/>
  <c r="W1223" i="2" s="1"/>
  <c r="O1224" i="2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S1224" i="2"/>
  <c r="S1225" i="2"/>
  <c r="W1225" i="2" s="1"/>
  <c r="S1229" i="2"/>
  <c r="W1229" i="2" s="1"/>
  <c r="S1230" i="2"/>
  <c r="W1230" i="2" s="1"/>
  <c r="S1231" i="2"/>
  <c r="W1231" i="2" s="1"/>
  <c r="S1232" i="2"/>
  <c r="W1232" i="2" s="1"/>
  <c r="S1233" i="2"/>
  <c r="W1233" i="2" s="1"/>
  <c r="S1234" i="2"/>
  <c r="W1234" i="2" s="1"/>
  <c r="S1235" i="2"/>
  <c r="W1235" i="2" s="1"/>
  <c r="S1240" i="2"/>
  <c r="W1240" i="2" s="1"/>
  <c r="S1241" i="2"/>
  <c r="W1241" i="2" s="1"/>
  <c r="S1242" i="2"/>
  <c r="W1242" i="2" s="1"/>
  <c r="S1243" i="2"/>
  <c r="W1243" i="2" s="1"/>
  <c r="U1265" i="2"/>
  <c r="S1249" i="2"/>
  <c r="W1249" i="2" s="1"/>
  <c r="S1250" i="2"/>
  <c r="W1250" i="2" s="1"/>
  <c r="S1251" i="2"/>
  <c r="W1251" i="2" s="1"/>
  <c r="S1252" i="2"/>
  <c r="W1252" i="2"/>
  <c r="S1253" i="2"/>
  <c r="W1253" i="2"/>
  <c r="S1254" i="2"/>
  <c r="W1254" i="2"/>
  <c r="S1255" i="2"/>
  <c r="W1255" i="2" s="1"/>
  <c r="S1256" i="2"/>
  <c r="W1256" i="2"/>
  <c r="S1257" i="2"/>
  <c r="W1257" i="2" s="1"/>
  <c r="S1258" i="2"/>
  <c r="W1258" i="2" s="1"/>
  <c r="S1259" i="2"/>
  <c r="W1259" i="2"/>
  <c r="S1260" i="2"/>
  <c r="W1260" i="2"/>
  <c r="W1261" i="2"/>
  <c r="S1262" i="2"/>
  <c r="W1262" i="2" s="1"/>
  <c r="W1263" i="2"/>
  <c r="Q1265" i="2"/>
  <c r="R1265" i="2"/>
  <c r="V1265" i="2"/>
  <c r="D1223" i="2"/>
  <c r="J1222" i="2"/>
  <c r="J1265" i="2"/>
  <c r="D1222" i="2"/>
  <c r="D1265" i="2" s="1"/>
  <c r="G1222" i="2"/>
  <c r="C1223" i="2"/>
  <c r="G1223" i="2"/>
  <c r="K1223" i="2"/>
  <c r="G1224" i="2"/>
  <c r="K1224" i="2" s="1"/>
  <c r="G1225" i="2"/>
  <c r="K1225" i="2" s="1"/>
  <c r="I1265" i="2"/>
  <c r="G1226" i="2"/>
  <c r="K1226" i="2" s="1"/>
  <c r="G1227" i="2"/>
  <c r="K1227" i="2"/>
  <c r="G1228" i="2"/>
  <c r="K1228" i="2"/>
  <c r="G1229" i="2"/>
  <c r="K1229" i="2"/>
  <c r="G1230" i="2"/>
  <c r="K1230" i="2"/>
  <c r="G1231" i="2"/>
  <c r="K1231" i="2"/>
  <c r="G1232" i="2"/>
  <c r="K1232" i="2"/>
  <c r="G1233" i="2"/>
  <c r="K1233" i="2" s="1"/>
  <c r="G1234" i="2"/>
  <c r="K1234" i="2" s="1"/>
  <c r="G1235" i="2"/>
  <c r="K1235" i="2"/>
  <c r="G1236" i="2"/>
  <c r="K1236" i="2"/>
  <c r="G1237" i="2"/>
  <c r="K1237" i="2"/>
  <c r="G1238" i="2"/>
  <c r="K1238" i="2"/>
  <c r="G1239" i="2"/>
  <c r="K1239" i="2"/>
  <c r="G1240" i="2"/>
  <c r="K1240" i="2"/>
  <c r="G1241" i="2"/>
  <c r="K1241" i="2" s="1"/>
  <c r="G1242" i="2"/>
  <c r="K1242" i="2" s="1"/>
  <c r="G1243" i="2"/>
  <c r="K1243" i="2"/>
  <c r="G1244" i="2"/>
  <c r="K1244" i="2"/>
  <c r="G1245" i="2"/>
  <c r="K1245" i="2"/>
  <c r="G1246" i="2"/>
  <c r="K1246" i="2"/>
  <c r="G1247" i="2"/>
  <c r="K1247" i="2"/>
  <c r="G1248" i="2"/>
  <c r="K1248" i="2"/>
  <c r="G1249" i="2"/>
  <c r="K1249" i="2" s="1"/>
  <c r="G1250" i="2"/>
  <c r="K1250" i="2" s="1"/>
  <c r="G1251" i="2"/>
  <c r="K1251" i="2"/>
  <c r="G1252" i="2"/>
  <c r="K1252" i="2"/>
  <c r="G1253" i="2"/>
  <c r="K1253" i="2"/>
  <c r="G1254" i="2"/>
  <c r="K1254" i="2"/>
  <c r="G1255" i="2"/>
  <c r="K1255" i="2"/>
  <c r="G1262" i="2"/>
  <c r="K1262" i="2"/>
  <c r="E1265" i="2"/>
  <c r="F1265" i="2"/>
  <c r="AE1223" i="2" l="1"/>
  <c r="AE1265" i="2" s="1"/>
  <c r="AI1223" i="2"/>
  <c r="AI1265" i="2" s="1"/>
  <c r="P1265" i="2"/>
  <c r="S1265" i="2"/>
  <c r="W1224" i="2"/>
  <c r="W1265" i="2"/>
  <c r="K1222" i="2"/>
  <c r="K1265" i="2"/>
  <c r="G1265" i="2"/>
  <c r="U1190" i="2"/>
  <c r="P1190" i="2"/>
  <c r="S1190" i="2" s="1"/>
  <c r="P1189" i="2"/>
  <c r="S1189" i="2" s="1"/>
  <c r="W1189" i="2" s="1"/>
  <c r="P1188" i="2"/>
  <c r="P1187" i="2"/>
  <c r="S1187" i="2" s="1"/>
  <c r="W1187" i="2" s="1"/>
  <c r="P1186" i="2"/>
  <c r="P1185" i="2"/>
  <c r="P1184" i="2"/>
  <c r="S1184" i="2" s="1"/>
  <c r="W1184" i="2" s="1"/>
  <c r="P1183" i="2"/>
  <c r="P1182" i="2"/>
  <c r="P1181" i="2"/>
  <c r="S1181" i="2" s="1"/>
  <c r="W1181" i="2" s="1"/>
  <c r="P1180" i="2"/>
  <c r="P1179" i="2"/>
  <c r="S1179" i="2" s="1"/>
  <c r="W1179" i="2" s="1"/>
  <c r="P1178" i="2"/>
  <c r="S1178" i="2" s="1"/>
  <c r="W1178" i="2" s="1"/>
  <c r="P1177" i="2"/>
  <c r="P1176" i="2"/>
  <c r="S1176" i="2" s="1"/>
  <c r="W1176" i="2" s="1"/>
  <c r="P1175" i="2"/>
  <c r="S1175" i="2" s="1"/>
  <c r="W1175" i="2" s="1"/>
  <c r="P1174" i="2"/>
  <c r="S1174" i="2" s="1"/>
  <c r="W1174" i="2" s="1"/>
  <c r="P1173" i="2"/>
  <c r="S1173" i="2" s="1"/>
  <c r="W1173" i="2" s="1"/>
  <c r="P1172" i="2"/>
  <c r="S1172" i="2"/>
  <c r="W1172" i="2" s="1"/>
  <c r="P1171" i="2"/>
  <c r="S1171" i="2" s="1"/>
  <c r="W1171" i="2" s="1"/>
  <c r="P1170" i="2"/>
  <c r="P1169" i="2"/>
  <c r="P1168" i="2"/>
  <c r="S1168" i="2" s="1"/>
  <c r="W1168" i="2" s="1"/>
  <c r="P1167" i="2"/>
  <c r="S1167" i="2" s="1"/>
  <c r="O1169" i="2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68" i="2"/>
  <c r="S1169" i="2"/>
  <c r="W1169" i="2" s="1"/>
  <c r="S1170" i="2"/>
  <c r="W1170" i="2" s="1"/>
  <c r="S1177" i="2"/>
  <c r="W1177" i="2" s="1"/>
  <c r="S1180" i="2"/>
  <c r="W1180" i="2"/>
  <c r="S1182" i="2"/>
  <c r="W1182" i="2" s="1"/>
  <c r="S1183" i="2"/>
  <c r="W1183" i="2"/>
  <c r="S1185" i="2"/>
  <c r="W1185" i="2" s="1"/>
  <c r="S1186" i="2"/>
  <c r="W1186" i="2"/>
  <c r="S1188" i="2"/>
  <c r="W1188" i="2" s="1"/>
  <c r="S1191" i="2"/>
  <c r="W1191" i="2" s="1"/>
  <c r="S1192" i="2"/>
  <c r="W1192" i="2"/>
  <c r="S1193" i="2"/>
  <c r="W1193" i="2" s="1"/>
  <c r="S1194" i="2"/>
  <c r="W1194" i="2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 s="1"/>
  <c r="S1202" i="2"/>
  <c r="W1202" i="2"/>
  <c r="S1203" i="2"/>
  <c r="W1203" i="2"/>
  <c r="S1204" i="2"/>
  <c r="W1204" i="2"/>
  <c r="S1205" i="2"/>
  <c r="W1205" i="2"/>
  <c r="W1206" i="2"/>
  <c r="S1207" i="2"/>
  <c r="W1207" i="2" s="1"/>
  <c r="W1208" i="2"/>
  <c r="Q1210" i="2"/>
  <c r="R1210" i="2"/>
  <c r="U1210" i="2"/>
  <c r="V1210" i="2"/>
  <c r="W1190" i="2" l="1"/>
  <c r="W1167" i="2"/>
  <c r="W1210" i="2" s="1"/>
  <c r="S1210" i="2"/>
  <c r="P1210" i="2"/>
  <c r="AB1171" i="2"/>
  <c r="AB1170" i="2"/>
  <c r="AB1169" i="2"/>
  <c r="AE1169" i="2" s="1"/>
  <c r="AI1169" i="2" s="1"/>
  <c r="AH1168" i="2"/>
  <c r="AH1210" i="2" s="1"/>
  <c r="AB1168" i="2"/>
  <c r="AB1167" i="2"/>
  <c r="AE1167" i="2" s="1"/>
  <c r="AA1168" i="2"/>
  <c r="AA1169" i="2" s="1"/>
  <c r="AA1170" i="2" s="1"/>
  <c r="AA1171" i="2" s="1"/>
  <c r="AE1168" i="2"/>
  <c r="AE1170" i="2"/>
  <c r="AI1170" i="2" s="1"/>
  <c r="AE1171" i="2"/>
  <c r="AI1171" i="2" s="1"/>
  <c r="AE1172" i="2"/>
  <c r="AI1172" i="2"/>
  <c r="AE1173" i="2"/>
  <c r="AI1173" i="2"/>
  <c r="AE1174" i="2"/>
  <c r="AI1174" i="2"/>
  <c r="AE1175" i="2"/>
  <c r="AI1175" i="2"/>
  <c r="AE1176" i="2"/>
  <c r="AI1176" i="2" s="1"/>
  <c r="AE1177" i="2"/>
  <c r="AI1177" i="2"/>
  <c r="AE1178" i="2"/>
  <c r="AI1178" i="2"/>
  <c r="AE1179" i="2"/>
  <c r="AI1179" i="2"/>
  <c r="AE1180" i="2"/>
  <c r="AI1180" i="2"/>
  <c r="AE1181" i="2"/>
  <c r="AI1181" i="2"/>
  <c r="AE1182" i="2"/>
  <c r="AI1182" i="2"/>
  <c r="AE1183" i="2"/>
  <c r="AI1183" i="2"/>
  <c r="AE1184" i="2"/>
  <c r="AI1184" i="2" s="1"/>
  <c r="AE1185" i="2"/>
  <c r="AI1185" i="2"/>
  <c r="AE1186" i="2"/>
  <c r="AI1186" i="2"/>
  <c r="AE1187" i="2"/>
  <c r="AI1187" i="2"/>
  <c r="AE1188" i="2"/>
  <c r="AI1188" i="2"/>
  <c r="AE1189" i="2"/>
  <c r="AI1189" i="2"/>
  <c r="AE1190" i="2"/>
  <c r="AI1190" i="2"/>
  <c r="AE1191" i="2"/>
  <c r="AI1191" i="2"/>
  <c r="AE1192" i="2"/>
  <c r="AI1192" i="2" s="1"/>
  <c r="AE1193" i="2"/>
  <c r="AI1193" i="2"/>
  <c r="AE1194" i="2"/>
  <c r="AI1194" i="2"/>
  <c r="AE1195" i="2"/>
  <c r="AI1195" i="2"/>
  <c r="AE1196" i="2"/>
  <c r="AI1196" i="2"/>
  <c r="AE1197" i="2"/>
  <c r="AI1197" i="2"/>
  <c r="AE1198" i="2"/>
  <c r="AI1198" i="2"/>
  <c r="AE1199" i="2"/>
  <c r="AI1199" i="2"/>
  <c r="AE1200" i="2"/>
  <c r="AI1200" i="2" s="1"/>
  <c r="AE1201" i="2"/>
  <c r="AI1201" i="2"/>
  <c r="AE1202" i="2"/>
  <c r="AI1202" i="2"/>
  <c r="AE1203" i="2"/>
  <c r="AI1203" i="2"/>
  <c r="AE1204" i="2"/>
  <c r="AI1204" i="2"/>
  <c r="AE1205" i="2"/>
  <c r="AI1205" i="2"/>
  <c r="AI1206" i="2"/>
  <c r="AE1207" i="2"/>
  <c r="AI1207" i="2" s="1"/>
  <c r="AI1208" i="2"/>
  <c r="AC1210" i="2"/>
  <c r="AD1210" i="2"/>
  <c r="AG1210" i="2"/>
  <c r="D1171" i="2"/>
  <c r="G1171" i="2" s="1"/>
  <c r="K1171" i="2" s="1"/>
  <c r="I1170" i="2"/>
  <c r="I1210" i="2" s="1"/>
  <c r="D1170" i="2"/>
  <c r="G1170" i="2" s="1"/>
  <c r="K1170" i="2" s="1"/>
  <c r="D1169" i="2"/>
  <c r="D1168" i="2"/>
  <c r="J1167" i="2"/>
  <c r="J1210" i="2"/>
  <c r="D1167" i="2"/>
  <c r="G1167" i="2"/>
  <c r="C1168" i="2"/>
  <c r="C1169" i="2" s="1"/>
  <c r="C1170" i="2" s="1"/>
  <c r="C1171" i="2" s="1"/>
  <c r="G1168" i="2"/>
  <c r="K1168" i="2" s="1"/>
  <c r="G1169" i="2"/>
  <c r="G1172" i="2"/>
  <c r="K1172" i="2"/>
  <c r="G1173" i="2"/>
  <c r="K1173" i="2" s="1"/>
  <c r="G1174" i="2"/>
  <c r="K1174" i="2" s="1"/>
  <c r="G1175" i="2"/>
  <c r="K1175" i="2" s="1"/>
  <c r="G1176" i="2"/>
  <c r="K1176" i="2" s="1"/>
  <c r="G1177" i="2"/>
  <c r="K1177" i="2"/>
  <c r="G1178" i="2"/>
  <c r="K1178" i="2"/>
  <c r="G1179" i="2"/>
  <c r="K1179" i="2" s="1"/>
  <c r="G1180" i="2"/>
  <c r="K1180" i="2"/>
  <c r="G1181" i="2"/>
  <c r="K1181" i="2"/>
  <c r="G1182" i="2"/>
  <c r="K1182" i="2" s="1"/>
  <c r="G1183" i="2"/>
  <c r="K1183" i="2" s="1"/>
  <c r="G1184" i="2"/>
  <c r="K1184" i="2"/>
  <c r="G1185" i="2"/>
  <c r="K1185" i="2"/>
  <c r="G1186" i="2"/>
  <c r="K1186" i="2"/>
  <c r="G1187" i="2"/>
  <c r="K1187" i="2" s="1"/>
  <c r="G1188" i="2"/>
  <c r="K1188" i="2"/>
  <c r="G1189" i="2"/>
  <c r="K1189" i="2"/>
  <c r="G1190" i="2"/>
  <c r="K1190" i="2" s="1"/>
  <c r="G1191" i="2"/>
  <c r="K1191" i="2" s="1"/>
  <c r="G1192" i="2"/>
  <c r="K1192" i="2"/>
  <c r="G1193" i="2"/>
  <c r="K1193" i="2"/>
  <c r="G1194" i="2"/>
  <c r="K1194" i="2"/>
  <c r="G1195" i="2"/>
  <c r="K1195" i="2" s="1"/>
  <c r="G1196" i="2"/>
  <c r="K1196" i="2"/>
  <c r="G1197" i="2"/>
  <c r="K1197" i="2"/>
  <c r="G1198" i="2"/>
  <c r="K1198" i="2" s="1"/>
  <c r="G1199" i="2"/>
  <c r="K1199" i="2"/>
  <c r="G1200" i="2"/>
  <c r="K1200" i="2"/>
  <c r="G1207" i="2"/>
  <c r="K1207" i="2"/>
  <c r="E1210" i="2"/>
  <c r="F1210" i="2"/>
  <c r="AI1168" i="2" l="1"/>
  <c r="AE1210" i="2"/>
  <c r="AI1167" i="2"/>
  <c r="AB1210" i="2"/>
  <c r="D1210" i="2"/>
  <c r="K1167" i="2"/>
  <c r="G1210" i="2"/>
  <c r="K1169" i="2"/>
  <c r="K1210" i="2" s="1"/>
  <c r="AB1117" i="2"/>
  <c r="AE1117" i="2" s="1"/>
  <c r="AI1117" i="2" s="1"/>
  <c r="AB1116" i="2"/>
  <c r="AB1115" i="2"/>
  <c r="AB1114" i="2"/>
  <c r="AB1113" i="2"/>
  <c r="AB1112" i="2"/>
  <c r="AB1155" i="2" s="1"/>
  <c r="AE1112" i="2"/>
  <c r="AI1112" i="2" s="1"/>
  <c r="AA1113" i="2"/>
  <c r="AE1113" i="2"/>
  <c r="AI1113" i="2" s="1"/>
  <c r="AA1114" i="2"/>
  <c r="AA1115" i="2" s="1"/>
  <c r="AA1116" i="2" s="1"/>
  <c r="AA1117" i="2" s="1"/>
  <c r="AE1114" i="2"/>
  <c r="AI1114" i="2" s="1"/>
  <c r="AE1115" i="2"/>
  <c r="AE1116" i="2"/>
  <c r="AI1116" i="2" s="1"/>
  <c r="AE1118" i="2"/>
  <c r="AI1118" i="2"/>
  <c r="AE1119" i="2"/>
  <c r="AI1119" i="2" s="1"/>
  <c r="AE1120" i="2"/>
  <c r="AI1120" i="2"/>
  <c r="AE1121" i="2"/>
  <c r="AI1121" i="2" s="1"/>
  <c r="AE1122" i="2"/>
  <c r="AI1122" i="2"/>
  <c r="AE1123" i="2"/>
  <c r="AI1123" i="2"/>
  <c r="AE1124" i="2"/>
  <c r="AI1124" i="2" s="1"/>
  <c r="AE1125" i="2"/>
  <c r="AI1125" i="2"/>
  <c r="AE1126" i="2"/>
  <c r="AI1126" i="2"/>
  <c r="AE1127" i="2"/>
  <c r="AI1127" i="2" s="1"/>
  <c r="AE1128" i="2"/>
  <c r="AI1128" i="2"/>
  <c r="AE1129" i="2"/>
  <c r="AI1129" i="2"/>
  <c r="AE1130" i="2"/>
  <c r="AI1130" i="2"/>
  <c r="AE1131" i="2"/>
  <c r="AI1131" i="2"/>
  <c r="AE1132" i="2"/>
  <c r="AI1132" i="2" s="1"/>
  <c r="AE1133" i="2"/>
  <c r="AI1133" i="2"/>
  <c r="AE1134" i="2"/>
  <c r="AI1134" i="2"/>
  <c r="AE1135" i="2"/>
  <c r="AI1135" i="2" s="1"/>
  <c r="AE1136" i="2"/>
  <c r="AI1136" i="2"/>
  <c r="AE1137" i="2"/>
  <c r="AI1137" i="2"/>
  <c r="AE1138" i="2"/>
  <c r="AI1138" i="2"/>
  <c r="AE1139" i="2"/>
  <c r="AI1139" i="2"/>
  <c r="AE1140" i="2"/>
  <c r="AI1140" i="2" s="1"/>
  <c r="AE1141" i="2"/>
  <c r="AI1141" i="2"/>
  <c r="AE1142" i="2"/>
  <c r="AI1142" i="2"/>
  <c r="AE1143" i="2"/>
  <c r="AI1143" i="2" s="1"/>
  <c r="AE1144" i="2"/>
  <c r="AI1144" i="2"/>
  <c r="AE1145" i="2"/>
  <c r="AI1145" i="2"/>
  <c r="AE1146" i="2"/>
  <c r="AI1146" i="2"/>
  <c r="AE1147" i="2"/>
  <c r="AI1147" i="2"/>
  <c r="AE1148" i="2"/>
  <c r="AI1148" i="2" s="1"/>
  <c r="AE1149" i="2"/>
  <c r="AI1149" i="2"/>
  <c r="AE1150" i="2"/>
  <c r="AI1150" i="2"/>
  <c r="AI1151" i="2"/>
  <c r="AE1152" i="2"/>
  <c r="AI1152" i="2"/>
  <c r="AI1153" i="2"/>
  <c r="AC1155" i="2"/>
  <c r="AD1155" i="2"/>
  <c r="AG1155" i="2"/>
  <c r="AH1155" i="2"/>
  <c r="P1112" i="2"/>
  <c r="S1112" i="2"/>
  <c r="W1112" i="2" s="1"/>
  <c r="P1155" i="2"/>
  <c r="S1113" i="2"/>
  <c r="W1113" i="2"/>
  <c r="S1114" i="2"/>
  <c r="W1114" i="2"/>
  <c r="S1115" i="2"/>
  <c r="W1115" i="2"/>
  <c r="S1116" i="2"/>
  <c r="W1116" i="2"/>
  <c r="S1117" i="2"/>
  <c r="W1117" i="2" s="1"/>
  <c r="S1118" i="2"/>
  <c r="W1118" i="2"/>
  <c r="S1119" i="2"/>
  <c r="W1119" i="2" s="1"/>
  <c r="S1120" i="2"/>
  <c r="W1120" i="2" s="1"/>
  <c r="S1121" i="2"/>
  <c r="W1121" i="2"/>
  <c r="S1122" i="2"/>
  <c r="W1122" i="2"/>
  <c r="S1123" i="2"/>
  <c r="W1123" i="2" s="1"/>
  <c r="S1124" i="2"/>
  <c r="W1124" i="2"/>
  <c r="S1125" i="2"/>
  <c r="W1125" i="2"/>
  <c r="S1126" i="2"/>
  <c r="W1126" i="2"/>
  <c r="S1127" i="2"/>
  <c r="W1127" i="2"/>
  <c r="S1128" i="2"/>
  <c r="W1128" i="2"/>
  <c r="S1129" i="2"/>
  <c r="W1129" i="2"/>
  <c r="S1130" i="2"/>
  <c r="W1130" i="2"/>
  <c r="S1131" i="2"/>
  <c r="W1131" i="2" s="1"/>
  <c r="S1132" i="2"/>
  <c r="W1132" i="2"/>
  <c r="S1133" i="2"/>
  <c r="W1133" i="2"/>
  <c r="S1134" i="2"/>
  <c r="W1134" i="2"/>
  <c r="S1135" i="2"/>
  <c r="W1135" i="2"/>
  <c r="S1136" i="2"/>
  <c r="W1136" i="2" s="1"/>
  <c r="S1137" i="2"/>
  <c r="W1137" i="2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 s="1"/>
  <c r="W1153" i="2"/>
  <c r="Q1155" i="2"/>
  <c r="R1155" i="2"/>
  <c r="U1155" i="2"/>
  <c r="V1155" i="2"/>
  <c r="I1114" i="2"/>
  <c r="J1114" i="2"/>
  <c r="I1155" i="2"/>
  <c r="J1155" i="2"/>
  <c r="D1114" i="2"/>
  <c r="G1114" i="2" s="1"/>
  <c r="D1113" i="2"/>
  <c r="D1155" i="2" s="1"/>
  <c r="D1112" i="2"/>
  <c r="G1112" i="2"/>
  <c r="K1112" i="2" s="1"/>
  <c r="C1113" i="2"/>
  <c r="C1114" i="2" s="1"/>
  <c r="G1115" i="2"/>
  <c r="K1115" i="2" s="1"/>
  <c r="G1116" i="2"/>
  <c r="K1116" i="2" s="1"/>
  <c r="G1117" i="2"/>
  <c r="K1117" i="2" s="1"/>
  <c r="G1118" i="2"/>
  <c r="K1118" i="2" s="1"/>
  <c r="G1119" i="2"/>
  <c r="K1119" i="2"/>
  <c r="G1120" i="2"/>
  <c r="K1120" i="2" s="1"/>
  <c r="G1121" i="2"/>
  <c r="K1121" i="2" s="1"/>
  <c r="G1122" i="2"/>
  <c r="K1122" i="2" s="1"/>
  <c r="G1123" i="2"/>
  <c r="K1123" i="2" s="1"/>
  <c r="G1124" i="2"/>
  <c r="K1124" i="2" s="1"/>
  <c r="G1125" i="2"/>
  <c r="K1125" i="2" s="1"/>
  <c r="G1126" i="2"/>
  <c r="K1126" i="2" s="1"/>
  <c r="G1127" i="2"/>
  <c r="K1127" i="2"/>
  <c r="G1128" i="2"/>
  <c r="K1128" i="2"/>
  <c r="G1129" i="2"/>
  <c r="K1129" i="2" s="1"/>
  <c r="G1130" i="2"/>
  <c r="K1130" i="2" s="1"/>
  <c r="G1131" i="2"/>
  <c r="K1131" i="2"/>
  <c r="G1132" i="2"/>
  <c r="K1132" i="2" s="1"/>
  <c r="G1133" i="2"/>
  <c r="K1133" i="2"/>
  <c r="G1134" i="2"/>
  <c r="K1134" i="2"/>
  <c r="G1135" i="2"/>
  <c r="K1135" i="2"/>
  <c r="G1136" i="2"/>
  <c r="K1136" i="2"/>
  <c r="G1137" i="2"/>
  <c r="K1137" i="2" s="1"/>
  <c r="G1138" i="2"/>
  <c r="K1138" i="2" s="1"/>
  <c r="G1139" i="2"/>
  <c r="K1139" i="2"/>
  <c r="G1140" i="2"/>
  <c r="K1140" i="2" s="1"/>
  <c r="G1141" i="2"/>
  <c r="K1141" i="2"/>
  <c r="G1142" i="2"/>
  <c r="K1142" i="2"/>
  <c r="G1143" i="2"/>
  <c r="K1143" i="2"/>
  <c r="G1144" i="2"/>
  <c r="K1144" i="2"/>
  <c r="G1145" i="2"/>
  <c r="K1145" i="2" s="1"/>
  <c r="G1152" i="2"/>
  <c r="K1152" i="2" s="1"/>
  <c r="E1155" i="2"/>
  <c r="F1155" i="2"/>
  <c r="AI1210" i="2" l="1"/>
  <c r="AE1155" i="2"/>
  <c r="AI1115" i="2"/>
  <c r="AI1155" i="2"/>
  <c r="S1155" i="2"/>
  <c r="W1155" i="2"/>
  <c r="K1114" i="2"/>
  <c r="G1113" i="2"/>
  <c r="K1113" i="2" s="1"/>
  <c r="AB1060" i="2"/>
  <c r="AB1059" i="2"/>
  <c r="AB1100" i="2" s="1"/>
  <c r="AB1058" i="2"/>
  <c r="AB1057" i="2"/>
  <c r="AE1057" i="2"/>
  <c r="AA1058" i="2"/>
  <c r="AE1058" i="2"/>
  <c r="AI1058" i="2" s="1"/>
  <c r="AA1059" i="2"/>
  <c r="AA1060" i="2" s="1"/>
  <c r="AE1059" i="2"/>
  <c r="AI1059" i="2" s="1"/>
  <c r="AE1060" i="2"/>
  <c r="AI1060" i="2" s="1"/>
  <c r="AE1061" i="2"/>
  <c r="AI1061" i="2"/>
  <c r="AE1062" i="2"/>
  <c r="AI1062" i="2" s="1"/>
  <c r="AE1063" i="2"/>
  <c r="AI1063" i="2"/>
  <c r="AE1064" i="2"/>
  <c r="AI1064" i="2"/>
  <c r="AE1065" i="2"/>
  <c r="AI1065" i="2" s="1"/>
  <c r="AE1066" i="2"/>
  <c r="AI1066" i="2"/>
  <c r="AE1067" i="2"/>
  <c r="AI1067" i="2"/>
  <c r="AE1068" i="2"/>
  <c r="AI1068" i="2"/>
  <c r="AE1069" i="2"/>
  <c r="AI1069" i="2"/>
  <c r="AE1070" i="2"/>
  <c r="AI1070" i="2"/>
  <c r="AE1071" i="2"/>
  <c r="AI1071" i="2"/>
  <c r="AE1072" i="2"/>
  <c r="AI1072" i="2"/>
  <c r="AE1073" i="2"/>
  <c r="AI1073" i="2" s="1"/>
  <c r="AE1074" i="2"/>
  <c r="AI1074" i="2"/>
  <c r="AE1075" i="2"/>
  <c r="AI1075" i="2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/>
  <c r="AE1092" i="2"/>
  <c r="AI1092" i="2"/>
  <c r="AE1093" i="2"/>
  <c r="AI1093" i="2"/>
  <c r="AE1094" i="2"/>
  <c r="AI1094" i="2"/>
  <c r="AE1095" i="2"/>
  <c r="AI1095" i="2"/>
  <c r="AI1096" i="2"/>
  <c r="AE1097" i="2"/>
  <c r="AI1097" i="2"/>
  <c r="AI1098" i="2"/>
  <c r="AC1100" i="2"/>
  <c r="AD1100" i="2"/>
  <c r="AG1100" i="2"/>
  <c r="AH1100" i="2"/>
  <c r="P1064" i="2"/>
  <c r="S1064" i="2" s="1"/>
  <c r="W1064" i="2" s="1"/>
  <c r="U1063" i="2"/>
  <c r="U1100" i="2" s="1"/>
  <c r="P1063" i="2"/>
  <c r="S1063" i="2" s="1"/>
  <c r="P1062" i="2"/>
  <c r="S1062" i="2" s="1"/>
  <c r="W1062" i="2" s="1"/>
  <c r="P1061" i="2"/>
  <c r="S1061" i="2" s="1"/>
  <c r="W1061" i="2" s="1"/>
  <c r="P1060" i="2"/>
  <c r="P1059" i="2"/>
  <c r="P1058" i="2"/>
  <c r="P1057" i="2"/>
  <c r="S1057" i="2" s="1"/>
  <c r="W1057" i="2" s="1"/>
  <c r="O1058" i="2"/>
  <c r="O1059" i="2"/>
  <c r="O1060" i="2" s="1"/>
  <c r="O1061" i="2" s="1"/>
  <c r="O1062" i="2" s="1"/>
  <c r="O1063" i="2" s="1"/>
  <c r="O1064" i="2" s="1"/>
  <c r="S1059" i="2"/>
  <c r="W1059" i="2" s="1"/>
  <c r="S1060" i="2"/>
  <c r="W1060" i="2"/>
  <c r="S1065" i="2"/>
  <c r="W1065" i="2"/>
  <c r="S1066" i="2"/>
  <c r="W1066" i="2" s="1"/>
  <c r="S1067" i="2"/>
  <c r="W1067" i="2"/>
  <c r="S1068" i="2"/>
  <c r="W1068" i="2"/>
  <c r="S1069" i="2"/>
  <c r="W1069" i="2" s="1"/>
  <c r="S1070" i="2"/>
  <c r="W1070" i="2" s="1"/>
  <c r="S1071" i="2"/>
  <c r="W1071" i="2"/>
  <c r="S1072" i="2"/>
  <c r="W1072" i="2"/>
  <c r="S1073" i="2"/>
  <c r="W1073" i="2"/>
  <c r="S1074" i="2"/>
  <c r="W1074" i="2"/>
  <c r="S1075" i="2"/>
  <c r="W1075" i="2"/>
  <c r="S1076" i="2"/>
  <c r="W1076" i="2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/>
  <c r="S1085" i="2"/>
  <c r="W1085" i="2"/>
  <c r="S1086" i="2"/>
  <c r="W1086" i="2" s="1"/>
  <c r="S1087" i="2"/>
  <c r="W1087" i="2"/>
  <c r="S1088" i="2"/>
  <c r="W1088" i="2"/>
  <c r="S1089" i="2"/>
  <c r="W1089" i="2"/>
  <c r="S1090" i="2"/>
  <c r="W1090" i="2"/>
  <c r="S1091" i="2"/>
  <c r="W1091" i="2"/>
  <c r="S1092" i="2"/>
  <c r="W1092" i="2"/>
  <c r="S1093" i="2"/>
  <c r="W1093" i="2"/>
  <c r="S1094" i="2"/>
  <c r="W1094" i="2" s="1"/>
  <c r="S1095" i="2"/>
  <c r="W1095" i="2"/>
  <c r="W1096" i="2"/>
  <c r="S1097" i="2"/>
  <c r="W1097" i="2"/>
  <c r="W1098" i="2"/>
  <c r="Q1100" i="2"/>
  <c r="R1100" i="2"/>
  <c r="V1100" i="2"/>
  <c r="D1071" i="2"/>
  <c r="G1071" i="2" s="1"/>
  <c r="K1071" i="2" s="1"/>
  <c r="D1070" i="2"/>
  <c r="G1070" i="2" s="1"/>
  <c r="K1070" i="2" s="1"/>
  <c r="D1069" i="2"/>
  <c r="G1069" i="2" s="1"/>
  <c r="K1069" i="2" s="1"/>
  <c r="D1068" i="2"/>
  <c r="D1067" i="2"/>
  <c r="G1067" i="2" s="1"/>
  <c r="K1067" i="2" s="1"/>
  <c r="D1066" i="2"/>
  <c r="G1066" i="2" s="1"/>
  <c r="K1066" i="2" s="1"/>
  <c r="D1065" i="2"/>
  <c r="D1064" i="2"/>
  <c r="D1063" i="2"/>
  <c r="D1062" i="2"/>
  <c r="G1062" i="2" s="1"/>
  <c r="K1062" i="2" s="1"/>
  <c r="D1061" i="2"/>
  <c r="D1060" i="2"/>
  <c r="D1059" i="2"/>
  <c r="G1059" i="2"/>
  <c r="K1059" i="2" s="1"/>
  <c r="D1058" i="2"/>
  <c r="G1058" i="2" s="1"/>
  <c r="K1058" i="2" s="1"/>
  <c r="D1057" i="2"/>
  <c r="G1057" i="2"/>
  <c r="K1057" i="2" s="1"/>
  <c r="C1058" i="2"/>
  <c r="C1059" i="2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G1060" i="2"/>
  <c r="K1060" i="2"/>
  <c r="G1061" i="2"/>
  <c r="K1061" i="2" s="1"/>
  <c r="G1063" i="2"/>
  <c r="K1063" i="2" s="1"/>
  <c r="G1064" i="2"/>
  <c r="K1064" i="2"/>
  <c r="G1065" i="2"/>
  <c r="K1065" i="2" s="1"/>
  <c r="G1068" i="2"/>
  <c r="I1100" i="2"/>
  <c r="K1068" i="2"/>
  <c r="G1072" i="2"/>
  <c r="K1072" i="2" s="1"/>
  <c r="G1073" i="2"/>
  <c r="K1073" i="2"/>
  <c r="G1074" i="2"/>
  <c r="K1074" i="2" s="1"/>
  <c r="G1075" i="2"/>
  <c r="K1075" i="2" s="1"/>
  <c r="G1076" i="2"/>
  <c r="K1076" i="2"/>
  <c r="G1077" i="2"/>
  <c r="K1077" i="2"/>
  <c r="G1078" i="2"/>
  <c r="K1078" i="2" s="1"/>
  <c r="G1079" i="2"/>
  <c r="K1079" i="2"/>
  <c r="G1080" i="2"/>
  <c r="K1080" i="2"/>
  <c r="G1081" i="2"/>
  <c r="K1081" i="2"/>
  <c r="G1082" i="2"/>
  <c r="K1082" i="2"/>
  <c r="G1083" i="2"/>
  <c r="K1083" i="2"/>
  <c r="G1084" i="2"/>
  <c r="K1084" i="2"/>
  <c r="G1085" i="2"/>
  <c r="K1085" i="2"/>
  <c r="G1086" i="2"/>
  <c r="K1086" i="2" s="1"/>
  <c r="G1087" i="2"/>
  <c r="K1087" i="2"/>
  <c r="G1088" i="2"/>
  <c r="K1088" i="2"/>
  <c r="G1089" i="2"/>
  <c r="K1089" i="2"/>
  <c r="G1090" i="2"/>
  <c r="K1090" i="2"/>
  <c r="G1097" i="2"/>
  <c r="K1097" i="2"/>
  <c r="E1100" i="2"/>
  <c r="F1100" i="2"/>
  <c r="J1100" i="2"/>
  <c r="K1155" i="2" l="1"/>
  <c r="G1155" i="2"/>
  <c r="AE1100" i="2"/>
  <c r="AI1057" i="2"/>
  <c r="AI1100" i="2" s="1"/>
  <c r="W1063" i="2"/>
  <c r="P1100" i="2"/>
  <c r="S1058" i="2"/>
  <c r="W1058" i="2" s="1"/>
  <c r="W1100" i="2" s="1"/>
  <c r="S1100" i="2"/>
  <c r="D1100" i="2"/>
  <c r="K1100" i="2"/>
  <c r="G1100" i="2"/>
  <c r="AB1007" i="2"/>
  <c r="AE1007" i="2" s="1"/>
  <c r="AI1007" i="2" s="1"/>
  <c r="AH1006" i="2"/>
  <c r="AB1006" i="2"/>
  <c r="AB1005" i="2"/>
  <c r="AE1005" i="2" s="1"/>
  <c r="AI1005" i="2" s="1"/>
  <c r="AB1004" i="2"/>
  <c r="AE1004" i="2" s="1"/>
  <c r="AI1004" i="2" s="1"/>
  <c r="AB1003" i="2"/>
  <c r="AH1002" i="2"/>
  <c r="AG1002" i="2"/>
  <c r="AB1002" i="2"/>
  <c r="AE1002" i="2"/>
  <c r="AI1002" i="2" s="1"/>
  <c r="AA1003" i="2"/>
  <c r="AA1004" i="2" s="1"/>
  <c r="AA1005" i="2" s="1"/>
  <c r="AA1006" i="2" s="1"/>
  <c r="AA1007" i="2" s="1"/>
  <c r="AE1003" i="2"/>
  <c r="AG1045" i="2"/>
  <c r="AH1045" i="2"/>
  <c r="AE1006" i="2"/>
  <c r="AI1006" i="2"/>
  <c r="AE1008" i="2"/>
  <c r="AI1008" i="2" s="1"/>
  <c r="AE1009" i="2"/>
  <c r="AI1009" i="2"/>
  <c r="AE1010" i="2"/>
  <c r="AI1010" i="2"/>
  <c r="AE1011" i="2"/>
  <c r="AI1011" i="2"/>
  <c r="AE1012" i="2"/>
  <c r="AI1012" i="2" s="1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/>
  <c r="AE1019" i="2"/>
  <c r="AI1019" i="2"/>
  <c r="AE1020" i="2"/>
  <c r="AI1020" i="2" s="1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/>
  <c r="AE1027" i="2"/>
  <c r="AI1027" i="2"/>
  <c r="AE1028" i="2"/>
  <c r="AI1028" i="2" s="1"/>
  <c r="AE1029" i="2"/>
  <c r="AI1029" i="2"/>
  <c r="AE1030" i="2"/>
  <c r="AI1030" i="2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 s="1"/>
  <c r="AE1037" i="2"/>
  <c r="AI1037" i="2"/>
  <c r="AE1038" i="2"/>
  <c r="AI1038" i="2"/>
  <c r="AE1039" i="2"/>
  <c r="AI1039" i="2"/>
  <c r="AE1040" i="2"/>
  <c r="AI1040" i="2"/>
  <c r="AI1041" i="2"/>
  <c r="AE1042" i="2"/>
  <c r="AI1042" i="2"/>
  <c r="AI1043" i="2"/>
  <c r="AC1045" i="2"/>
  <c r="AD1045" i="2"/>
  <c r="P1011" i="2"/>
  <c r="P1010" i="2"/>
  <c r="S1010" i="2" s="1"/>
  <c r="W1010" i="2" s="1"/>
  <c r="P1009" i="2"/>
  <c r="S1009" i="2" s="1"/>
  <c r="W1009" i="2" s="1"/>
  <c r="P1008" i="2"/>
  <c r="U1007" i="2"/>
  <c r="U1045" i="2" s="1"/>
  <c r="P1007" i="2"/>
  <c r="S1007" i="2" s="1"/>
  <c r="W1007" i="2" s="1"/>
  <c r="P1006" i="2"/>
  <c r="P1005" i="2"/>
  <c r="S1005" i="2" s="1"/>
  <c r="W1005" i="2" s="1"/>
  <c r="P1004" i="2"/>
  <c r="P1003" i="2"/>
  <c r="U1002" i="2"/>
  <c r="P1002" i="2"/>
  <c r="S1002" i="2" s="1"/>
  <c r="W1002" i="2" s="1"/>
  <c r="O1003" i="2"/>
  <c r="S1003" i="2"/>
  <c r="W1003" i="2" s="1"/>
  <c r="O1004" i="2"/>
  <c r="O1005" i="2" s="1"/>
  <c r="O1006" i="2" s="1"/>
  <c r="O1007" i="2" s="1"/>
  <c r="O1008" i="2" s="1"/>
  <c r="O1009" i="2" s="1"/>
  <c r="O1010" i="2" s="1"/>
  <c r="O1011" i="2" s="1"/>
  <c r="S1004" i="2"/>
  <c r="W1004" i="2" s="1"/>
  <c r="S1006" i="2"/>
  <c r="W1006" i="2"/>
  <c r="S1008" i="2"/>
  <c r="W1008" i="2" s="1"/>
  <c r="S1011" i="2"/>
  <c r="W1011" i="2" s="1"/>
  <c r="S1012" i="2"/>
  <c r="W1012" i="2" s="1"/>
  <c r="S1013" i="2"/>
  <c r="W1013" i="2"/>
  <c r="S1014" i="2"/>
  <c r="W1014" i="2" s="1"/>
  <c r="S1015" i="2"/>
  <c r="W1015" i="2"/>
  <c r="S1016" i="2"/>
  <c r="W1016" i="2"/>
  <c r="S1017" i="2"/>
  <c r="W1017" i="2"/>
  <c r="S1018" i="2"/>
  <c r="W1018" i="2"/>
  <c r="S1019" i="2"/>
  <c r="W1019" i="2" s="1"/>
  <c r="S1020" i="2"/>
  <c r="W1020" i="2" s="1"/>
  <c r="S1021" i="2"/>
  <c r="W1021" i="2"/>
  <c r="S1022" i="2"/>
  <c r="W1022" i="2" s="1"/>
  <c r="S1023" i="2"/>
  <c r="W1023" i="2"/>
  <c r="S1024" i="2"/>
  <c r="W1024" i="2"/>
  <c r="S1025" i="2"/>
  <c r="W1025" i="2"/>
  <c r="S1026" i="2"/>
  <c r="W1026" i="2"/>
  <c r="S1027" i="2"/>
  <c r="W1027" i="2" s="1"/>
  <c r="S1028" i="2"/>
  <c r="W1028" i="2" s="1"/>
  <c r="S1029" i="2"/>
  <c r="W1029" i="2"/>
  <c r="S1030" i="2"/>
  <c r="W1030" i="2" s="1"/>
  <c r="S1031" i="2"/>
  <c r="W1031" i="2"/>
  <c r="S1032" i="2"/>
  <c r="W1032" i="2"/>
  <c r="S1033" i="2"/>
  <c r="W1033" i="2"/>
  <c r="S1034" i="2"/>
  <c r="W1034" i="2"/>
  <c r="S1035" i="2"/>
  <c r="W1035" i="2" s="1"/>
  <c r="S1036" i="2"/>
  <c r="W1036" i="2" s="1"/>
  <c r="S1037" i="2"/>
  <c r="W1037" i="2"/>
  <c r="S1038" i="2"/>
  <c r="W1038" i="2" s="1"/>
  <c r="S1039" i="2"/>
  <c r="W1039" i="2"/>
  <c r="S1040" i="2"/>
  <c r="W1040" i="2"/>
  <c r="W1041" i="2"/>
  <c r="S1042" i="2"/>
  <c r="W1042" i="2"/>
  <c r="W1043" i="2"/>
  <c r="Q1045" i="2"/>
  <c r="R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G1013" i="2" s="1"/>
  <c r="K1013" i="2" s="1"/>
  <c r="D1012" i="2"/>
  <c r="D1011" i="2"/>
  <c r="D1010" i="2"/>
  <c r="D1009" i="2"/>
  <c r="G1009" i="2" s="1"/>
  <c r="K1009" i="2" s="1"/>
  <c r="D1008" i="2"/>
  <c r="D1007" i="2"/>
  <c r="D1006" i="2"/>
  <c r="D1005" i="2"/>
  <c r="D1004" i="2"/>
  <c r="G1004" i="2" s="1"/>
  <c r="K1004" i="2" s="1"/>
  <c r="D1003" i="2"/>
  <c r="D1002" i="2"/>
  <c r="G1002" i="2" s="1"/>
  <c r="C1015" i="2"/>
  <c r="C1003" i="2"/>
  <c r="G1003" i="2"/>
  <c r="K1003" i="2" s="1"/>
  <c r="C1004" i="2"/>
  <c r="C1005" i="2" s="1"/>
  <c r="C1006" i="2" s="1"/>
  <c r="C1007" i="2" s="1"/>
  <c r="C1008" i="2" s="1"/>
  <c r="C1009" i="2" s="1"/>
  <c r="C1010" i="2" s="1"/>
  <c r="C1011" i="2" s="1"/>
  <c r="C1012" i="2" s="1"/>
  <c r="C1013" i="2" s="1"/>
  <c r="C1014" i="2" s="1"/>
  <c r="G1005" i="2"/>
  <c r="K1005" i="2" s="1"/>
  <c r="G1006" i="2"/>
  <c r="K1006" i="2" s="1"/>
  <c r="G1007" i="2"/>
  <c r="K1007" i="2"/>
  <c r="G1008" i="2"/>
  <c r="K1008" i="2" s="1"/>
  <c r="G1010" i="2"/>
  <c r="K1010" i="2" s="1"/>
  <c r="G1011" i="2"/>
  <c r="K1011" i="2" s="1"/>
  <c r="G1012" i="2"/>
  <c r="K1012" i="2" s="1"/>
  <c r="G1016" i="2"/>
  <c r="K1016" i="2" s="1"/>
  <c r="G1017" i="2"/>
  <c r="K1017" i="2"/>
  <c r="G1018" i="2"/>
  <c r="K1018" i="2" s="1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/>
  <c r="G1033" i="2"/>
  <c r="K1033" i="2"/>
  <c r="G1034" i="2"/>
  <c r="K1034" i="2"/>
  <c r="G1035" i="2"/>
  <c r="K1035" i="2"/>
  <c r="G1042" i="2"/>
  <c r="K1042" i="2"/>
  <c r="E1045" i="2"/>
  <c r="F1045" i="2"/>
  <c r="J1045" i="2"/>
  <c r="AB1045" i="2" l="1"/>
  <c r="AE1045" i="2"/>
  <c r="AI1003" i="2"/>
  <c r="AI1045" i="2" s="1"/>
  <c r="P1045" i="2"/>
  <c r="W1045" i="2"/>
  <c r="S1045" i="2"/>
  <c r="D1045" i="2"/>
  <c r="K1002" i="2"/>
  <c r="K1045" i="2" s="1"/>
  <c r="G1045" i="2"/>
  <c r="AB950" i="2"/>
  <c r="AG949" i="2"/>
  <c r="AB949" i="2"/>
  <c r="AC948" i="2" l="1"/>
  <c r="AB948" i="2"/>
  <c r="AH948" i="2"/>
  <c r="AG948" i="2"/>
  <c r="AG990" i="2"/>
  <c r="AB947" i="2"/>
  <c r="AE947" i="2"/>
  <c r="AH990" i="2"/>
  <c r="AA948" i="2"/>
  <c r="AA949" i="2" s="1"/>
  <c r="AA950" i="2" s="1"/>
  <c r="AE948" i="2"/>
  <c r="AE949" i="2"/>
  <c r="AI949" i="2" s="1"/>
  <c r="AE950" i="2"/>
  <c r="AI950" i="2" s="1"/>
  <c r="AE951" i="2"/>
  <c r="AI951" i="2" s="1"/>
  <c r="AE952" i="2"/>
  <c r="AI952" i="2" s="1"/>
  <c r="AE953" i="2"/>
  <c r="AI953" i="2"/>
  <c r="AE954" i="2"/>
  <c r="AI954" i="2" s="1"/>
  <c r="AE955" i="2"/>
  <c r="AI955" i="2"/>
  <c r="AE956" i="2"/>
  <c r="AI956" i="2"/>
  <c r="AE957" i="2"/>
  <c r="AI957" i="2" s="1"/>
  <c r="AE958" i="2"/>
  <c r="AI958" i="2" s="1"/>
  <c r="AE959" i="2"/>
  <c r="AI959" i="2" s="1"/>
  <c r="AE960" i="2"/>
  <c r="AI960" i="2"/>
  <c r="AE961" i="2"/>
  <c r="AI961" i="2"/>
  <c r="AE962" i="2"/>
  <c r="AI962" i="2" s="1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P952" i="2"/>
  <c r="P951" i="2"/>
  <c r="S951" i="2" s="1"/>
  <c r="W951" i="2" s="1"/>
  <c r="P950" i="2"/>
  <c r="S950" i="2" s="1"/>
  <c r="W950" i="2" s="1"/>
  <c r="P949" i="2"/>
  <c r="V948" i="2"/>
  <c r="V990" i="2" s="1"/>
  <c r="U948" i="2"/>
  <c r="P948" i="2"/>
  <c r="P947" i="2"/>
  <c r="S947" i="2" s="1"/>
  <c r="S959" i="2"/>
  <c r="W959" i="2" s="1"/>
  <c r="S958" i="2"/>
  <c r="W958" i="2" s="1"/>
  <c r="S957" i="2"/>
  <c r="W957" i="2" s="1"/>
  <c r="S955" i="2"/>
  <c r="W955" i="2" s="1"/>
  <c r="S954" i="2"/>
  <c r="W954" i="2" s="1"/>
  <c r="S953" i="2"/>
  <c r="W953" i="2" s="1"/>
  <c r="S949" i="2"/>
  <c r="W949" i="2" s="1"/>
  <c r="O948" i="2"/>
  <c r="O949" i="2" s="1"/>
  <c r="O950" i="2" s="1"/>
  <c r="O951" i="2" s="1"/>
  <c r="O952" i="2" s="1"/>
  <c r="S948" i="2"/>
  <c r="S952" i="2"/>
  <c r="W952" i="2" s="1"/>
  <c r="S956" i="2"/>
  <c r="W956" i="2" s="1"/>
  <c r="S960" i="2"/>
  <c r="W960" i="2" s="1"/>
  <c r="S961" i="2"/>
  <c r="W961" i="2"/>
  <c r="S962" i="2"/>
  <c r="W962" i="2"/>
  <c r="S963" i="2"/>
  <c r="W963" i="2"/>
  <c r="S964" i="2"/>
  <c r="W964" i="2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 s="1"/>
  <c r="S974" i="2"/>
  <c r="W974" i="2"/>
  <c r="S975" i="2"/>
  <c r="W975" i="2" s="1"/>
  <c r="S976" i="2"/>
  <c r="W976" i="2" s="1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 s="1"/>
  <c r="S984" i="2"/>
  <c r="W984" i="2" s="1"/>
  <c r="S985" i="2"/>
  <c r="W985" i="2"/>
  <c r="W986" i="2"/>
  <c r="S987" i="2"/>
  <c r="W987" i="2"/>
  <c r="W988" i="2"/>
  <c r="Q990" i="2"/>
  <c r="R990" i="2"/>
  <c r="U990" i="2"/>
  <c r="D959" i="2"/>
  <c r="G959" i="2" s="1"/>
  <c r="K959" i="2" s="1"/>
  <c r="D958" i="2"/>
  <c r="D957" i="2"/>
  <c r="G957" i="2" s="1"/>
  <c r="K957" i="2" s="1"/>
  <c r="D956" i="2"/>
  <c r="G956" i="2" s="1"/>
  <c r="K956" i="2" s="1"/>
  <c r="D955" i="2"/>
  <c r="I954" i="2"/>
  <c r="D954" i="2"/>
  <c r="G954" i="2" s="1"/>
  <c r="K954" i="2" s="1"/>
  <c r="D953" i="2"/>
  <c r="G953" i="2" s="1"/>
  <c r="K953" i="2" s="1"/>
  <c r="D952" i="2"/>
  <c r="D951" i="2"/>
  <c r="G951" i="2" s="1"/>
  <c r="D950" i="2"/>
  <c r="D949" i="2"/>
  <c r="G949" i="2" s="1"/>
  <c r="K949" i="2" s="1"/>
  <c r="D948" i="2"/>
  <c r="D947" i="2"/>
  <c r="G947" i="2" s="1"/>
  <c r="K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G948" i="2"/>
  <c r="K948" i="2" s="1"/>
  <c r="G950" i="2"/>
  <c r="K950" i="2" s="1"/>
  <c r="G952" i="2"/>
  <c r="K952" i="2" s="1"/>
  <c r="G955" i="2"/>
  <c r="K955" i="2" s="1"/>
  <c r="G958" i="2"/>
  <c r="K958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I990" i="2"/>
  <c r="J990" i="2"/>
  <c r="AI948" i="2" l="1"/>
  <c r="AE990" i="2"/>
  <c r="AI947" i="2"/>
  <c r="AI990" i="2" s="1"/>
  <c r="AB990" i="2"/>
  <c r="W948" i="2"/>
  <c r="W947" i="2"/>
  <c r="S990" i="2"/>
  <c r="P990" i="2"/>
  <c r="K951" i="2"/>
  <c r="G990" i="2"/>
  <c r="K990" i="2"/>
  <c r="D990" i="2"/>
  <c r="AB897" i="2"/>
  <c r="AB935" i="2" s="1"/>
  <c r="AB896" i="2"/>
  <c r="AB895" i="2"/>
  <c r="AB894" i="2"/>
  <c r="AB893" i="2"/>
  <c r="AH892" i="2"/>
  <c r="AB892" i="2"/>
  <c r="AE892" i="2"/>
  <c r="AI892" i="2" s="1"/>
  <c r="AA893" i="2"/>
  <c r="AE893" i="2"/>
  <c r="AA894" i="2"/>
  <c r="AA895" i="2" s="1"/>
  <c r="AA896" i="2" s="1"/>
  <c r="AA897" i="2" s="1"/>
  <c r="AE895" i="2"/>
  <c r="AI895" i="2" s="1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/>
  <c r="AE905" i="2"/>
  <c r="AI905" i="2"/>
  <c r="AE906" i="2"/>
  <c r="AI906" i="2"/>
  <c r="AE907" i="2"/>
  <c r="AI907" i="2" s="1"/>
  <c r="AE908" i="2"/>
  <c r="AI908" i="2" s="1"/>
  <c r="AE909" i="2"/>
  <c r="AI909" i="2"/>
  <c r="AE910" i="2"/>
  <c r="AI910" i="2" s="1"/>
  <c r="AE911" i="2"/>
  <c r="AI911" i="2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/>
  <c r="AE918" i="2"/>
  <c r="AI918" i="2" s="1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 s="1"/>
  <c r="AI933" i="2"/>
  <c r="AC935" i="2"/>
  <c r="AD935" i="2"/>
  <c r="AG935" i="2"/>
  <c r="AH935" i="2"/>
  <c r="P920" i="2"/>
  <c r="S920" i="2" s="1"/>
  <c r="W920" i="2" s="1"/>
  <c r="P919" i="2"/>
  <c r="P918" i="2"/>
  <c r="P917" i="2"/>
  <c r="P916" i="2"/>
  <c r="P915" i="2"/>
  <c r="P914" i="2"/>
  <c r="S914" i="2" s="1"/>
  <c r="W914" i="2" s="1"/>
  <c r="P913" i="2"/>
  <c r="S913" i="2" s="1"/>
  <c r="W913" i="2" s="1"/>
  <c r="P912" i="2"/>
  <c r="P911" i="2"/>
  <c r="P910" i="2"/>
  <c r="P909" i="2"/>
  <c r="P908" i="2"/>
  <c r="P907" i="2"/>
  <c r="P906" i="2"/>
  <c r="P905" i="2"/>
  <c r="P904" i="2"/>
  <c r="S904" i="2" s="1"/>
  <c r="W904" i="2" s="1"/>
  <c r="P903" i="2"/>
  <c r="S903" i="2" s="1"/>
  <c r="W903" i="2" s="1"/>
  <c r="P902" i="2"/>
  <c r="P901" i="2"/>
  <c r="S901" i="2" s="1"/>
  <c r="W901" i="2" s="1"/>
  <c r="V900" i="2"/>
  <c r="V935" i="2" s="1"/>
  <c r="P900" i="2"/>
  <c r="S900" i="2" s="1"/>
  <c r="W900" i="2" s="1"/>
  <c r="P899" i="2"/>
  <c r="P898" i="2"/>
  <c r="P897" i="2"/>
  <c r="P896" i="2"/>
  <c r="P895" i="2"/>
  <c r="P894" i="2"/>
  <c r="P893" i="2"/>
  <c r="S893" i="2" s="1"/>
  <c r="W893" i="2" s="1"/>
  <c r="P892" i="2"/>
  <c r="S892" i="2" s="1"/>
  <c r="U935" i="2"/>
  <c r="R935" i="2"/>
  <c r="Q935" i="2"/>
  <c r="W933" i="2"/>
  <c r="S932" i="2"/>
  <c r="W932" i="2" s="1"/>
  <c r="W931" i="2"/>
  <c r="S930" i="2"/>
  <c r="W930" i="2" s="1"/>
  <c r="S929" i="2"/>
  <c r="W929" i="2" s="1"/>
  <c r="W928" i="2"/>
  <c r="S928" i="2"/>
  <c r="S927" i="2"/>
  <c r="W927" i="2" s="1"/>
  <c r="W926" i="2"/>
  <c r="S926" i="2"/>
  <c r="S925" i="2"/>
  <c r="W925" i="2" s="1"/>
  <c r="S924" i="2"/>
  <c r="W924" i="2" s="1"/>
  <c r="S923" i="2"/>
  <c r="W923" i="2" s="1"/>
  <c r="S922" i="2"/>
  <c r="W922" i="2" s="1"/>
  <c r="S921" i="2"/>
  <c r="W921" i="2" s="1"/>
  <c r="S919" i="2"/>
  <c r="W919" i="2" s="1"/>
  <c r="W918" i="2"/>
  <c r="S918" i="2"/>
  <c r="S917" i="2"/>
  <c r="W917" i="2" s="1"/>
  <c r="S916" i="2"/>
  <c r="W916" i="2" s="1"/>
  <c r="S915" i="2"/>
  <c r="W915" i="2" s="1"/>
  <c r="S912" i="2"/>
  <c r="W912" i="2" s="1"/>
  <c r="S911" i="2"/>
  <c r="W911" i="2" s="1"/>
  <c r="S910" i="2"/>
  <c r="W910" i="2" s="1"/>
  <c r="S909" i="2"/>
  <c r="W909" i="2" s="1"/>
  <c r="S908" i="2"/>
  <c r="W908" i="2" s="1"/>
  <c r="S907" i="2"/>
  <c r="W907" i="2" s="1"/>
  <c r="S906" i="2"/>
  <c r="W906" i="2" s="1"/>
  <c r="S905" i="2"/>
  <c r="W905" i="2" s="1"/>
  <c r="S902" i="2"/>
  <c r="W902" i="2" s="1"/>
  <c r="S899" i="2"/>
  <c r="W899" i="2" s="1"/>
  <c r="S898" i="2"/>
  <c r="W898" i="2" s="1"/>
  <c r="S897" i="2"/>
  <c r="W897" i="2" s="1"/>
  <c r="S896" i="2"/>
  <c r="W896" i="2" s="1"/>
  <c r="S895" i="2"/>
  <c r="W895" i="2" s="1"/>
  <c r="S894" i="2"/>
  <c r="W894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D902" i="2"/>
  <c r="G902" i="2" s="1"/>
  <c r="K902" i="2" s="1"/>
  <c r="D901" i="2"/>
  <c r="D900" i="2"/>
  <c r="D899" i="2"/>
  <c r="G899" i="2" s="1"/>
  <c r="K899" i="2" s="1"/>
  <c r="D898" i="2"/>
  <c r="G898" i="2" s="1"/>
  <c r="K898" i="2" s="1"/>
  <c r="D897" i="2"/>
  <c r="G897" i="2" s="1"/>
  <c r="K897" i="2" s="1"/>
  <c r="I896" i="2"/>
  <c r="I935" i="2" s="1"/>
  <c r="D896" i="2"/>
  <c r="G896" i="2" s="1"/>
  <c r="D895" i="2"/>
  <c r="G895" i="2" s="1"/>
  <c r="K895" i="2" s="1"/>
  <c r="D894" i="2"/>
  <c r="D893" i="2"/>
  <c r="G893" i="2" s="1"/>
  <c r="K893" i="2" s="1"/>
  <c r="D892" i="2"/>
  <c r="C896" i="2"/>
  <c r="C897" i="2" s="1"/>
  <c r="C898" i="2" s="1"/>
  <c r="C899" i="2" s="1"/>
  <c r="C900" i="2" s="1"/>
  <c r="C901" i="2" s="1"/>
  <c r="C902" i="2" s="1"/>
  <c r="G892" i="2"/>
  <c r="K892" i="2" s="1"/>
  <c r="C894" i="2"/>
  <c r="G894" i="2"/>
  <c r="K894" i="2"/>
  <c r="G900" i="2"/>
  <c r="K900" i="2"/>
  <c r="G901" i="2"/>
  <c r="K901" i="2"/>
  <c r="G903" i="2"/>
  <c r="K903" i="2"/>
  <c r="G904" i="2"/>
  <c r="K904" i="2"/>
  <c r="G905" i="2"/>
  <c r="K905" i="2" s="1"/>
  <c r="G906" i="2"/>
  <c r="K906" i="2" s="1"/>
  <c r="G907" i="2"/>
  <c r="K907" i="2"/>
  <c r="G908" i="2"/>
  <c r="K908" i="2" s="1"/>
  <c r="G909" i="2"/>
  <c r="K909" i="2" s="1"/>
  <c r="G910" i="2"/>
  <c r="K910" i="2" s="1"/>
  <c r="G911" i="2"/>
  <c r="K911" i="2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J935" i="2"/>
  <c r="W990" i="2" l="1"/>
  <c r="AI893" i="2"/>
  <c r="AE894" i="2"/>
  <c r="AI894" i="2" s="1"/>
  <c r="S935" i="2"/>
  <c r="W892" i="2"/>
  <c r="W935" i="2" s="1"/>
  <c r="P935" i="2"/>
  <c r="K896" i="2"/>
  <c r="D935" i="2"/>
  <c r="K935" i="2"/>
  <c r="G935" i="2"/>
  <c r="AH846" i="2"/>
  <c r="AB846" i="2"/>
  <c r="AE846" i="2" s="1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B839" i="2"/>
  <c r="AB838" i="2"/>
  <c r="AE838" i="2" s="1"/>
  <c r="AI838" i="2" s="1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9" i="2"/>
  <c r="AI839" i="2"/>
  <c r="AE840" i="2"/>
  <c r="AI840" i="2"/>
  <c r="AE843" i="2"/>
  <c r="AI843" i="2" s="1"/>
  <c r="AE847" i="2"/>
  <c r="AI847" i="2" s="1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/>
  <c r="AE862" i="2"/>
  <c r="AI862" i="2" s="1"/>
  <c r="AE863" i="2"/>
  <c r="AI863" i="2" s="1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/>
  <c r="AE870" i="2"/>
  <c r="AI870" i="2" s="1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D839" i="2"/>
  <c r="D838" i="2"/>
  <c r="D837" i="2"/>
  <c r="G837" i="2" s="1"/>
  <c r="K837" i="2" s="1"/>
  <c r="J880" i="2"/>
  <c r="C838" i="2"/>
  <c r="C839" i="2" s="1"/>
  <c r="G838" i="2"/>
  <c r="G839" i="2"/>
  <c r="K839" i="2" s="1"/>
  <c r="G841" i="2"/>
  <c r="K841" i="2" s="1"/>
  <c r="G842" i="2"/>
  <c r="K842" i="2" s="1"/>
  <c r="G843" i="2"/>
  <c r="K843" i="2" s="1"/>
  <c r="G844" i="2"/>
  <c r="K844" i="2" s="1"/>
  <c r="G845" i="2"/>
  <c r="K845" i="2"/>
  <c r="G846" i="2"/>
  <c r="K846" i="2"/>
  <c r="G847" i="2"/>
  <c r="K847" i="2" s="1"/>
  <c r="G848" i="2"/>
  <c r="K848" i="2"/>
  <c r="G849" i="2"/>
  <c r="K849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 s="1"/>
  <c r="G856" i="2"/>
  <c r="K856" i="2"/>
  <c r="G857" i="2"/>
  <c r="K857" i="2" s="1"/>
  <c r="G858" i="2"/>
  <c r="K858" i="2" s="1"/>
  <c r="G859" i="2"/>
  <c r="K859" i="2" s="1"/>
  <c r="G860" i="2"/>
  <c r="K860" i="2" s="1"/>
  <c r="G861" i="2"/>
  <c r="K861" i="2"/>
  <c r="G862" i="2"/>
  <c r="K862" i="2"/>
  <c r="G863" i="2"/>
  <c r="K863" i="2" s="1"/>
  <c r="G864" i="2"/>
  <c r="K864" i="2"/>
  <c r="G865" i="2"/>
  <c r="K865" i="2" s="1"/>
  <c r="G866" i="2"/>
  <c r="K866" i="2" s="1"/>
  <c r="G867" i="2"/>
  <c r="K867" i="2" s="1"/>
  <c r="G868" i="2"/>
  <c r="K868" i="2" s="1"/>
  <c r="G869" i="2"/>
  <c r="K869" i="2"/>
  <c r="G870" i="2"/>
  <c r="K870" i="2"/>
  <c r="G877" i="2"/>
  <c r="K877" i="2" s="1"/>
  <c r="E880" i="2"/>
  <c r="F880" i="2"/>
  <c r="I880" i="2"/>
  <c r="AI935" i="2" l="1"/>
  <c r="AE935" i="2"/>
  <c r="AI846" i="2"/>
  <c r="AB880" i="2"/>
  <c r="AE880" i="2"/>
  <c r="AI880" i="2"/>
  <c r="D880" i="2"/>
  <c r="K838" i="2"/>
  <c r="G840" i="2"/>
  <c r="K840" i="2" s="1"/>
  <c r="K880" i="2" s="1"/>
  <c r="AB791" i="2"/>
  <c r="AB790" i="2"/>
  <c r="AB789" i="2"/>
  <c r="AB788" i="2"/>
  <c r="AE788" i="2" s="1"/>
  <c r="AI788" i="2" s="1"/>
  <c r="AB787" i="2"/>
  <c r="AB786" i="2"/>
  <c r="AE786" i="2" s="1"/>
  <c r="AI786" i="2" s="1"/>
  <c r="AB785" i="2"/>
  <c r="AB784" i="2"/>
  <c r="AE784" i="2" s="1"/>
  <c r="AI784" i="2" s="1"/>
  <c r="AB783" i="2"/>
  <c r="AE783" i="2" s="1"/>
  <c r="AI783" i="2" s="1"/>
  <c r="AB782" i="2"/>
  <c r="AA786" i="2"/>
  <c r="AA787" i="2"/>
  <c r="AA788" i="2"/>
  <c r="AA789" i="2"/>
  <c r="AA790" i="2"/>
  <c r="AA791" i="2"/>
  <c r="AE782" i="2"/>
  <c r="AI782" i="2" s="1"/>
  <c r="AH825" i="2"/>
  <c r="AA783" i="2"/>
  <c r="AG825" i="2"/>
  <c r="AA784" i="2"/>
  <c r="AA785" i="2"/>
  <c r="AE785" i="2"/>
  <c r="AE787" i="2"/>
  <c r="AI787" i="2" s="1"/>
  <c r="AE789" i="2"/>
  <c r="AI789" i="2" s="1"/>
  <c r="AE790" i="2"/>
  <c r="AI790" i="2" s="1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 s="1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D786" i="2"/>
  <c r="G786" i="2" s="1"/>
  <c r="K786" i="2" s="1"/>
  <c r="D785" i="2"/>
  <c r="D784" i="2"/>
  <c r="D783" i="2"/>
  <c r="D825" i="2" s="1"/>
  <c r="J782" i="2"/>
  <c r="J825" i="2" s="1"/>
  <c r="D782" i="2"/>
  <c r="G782" i="2"/>
  <c r="C783" i="2"/>
  <c r="C784" i="2"/>
  <c r="C785" i="2" s="1"/>
  <c r="C786" i="2" s="1"/>
  <c r="C787" i="2" s="1"/>
  <c r="G784" i="2"/>
  <c r="K784" i="2" s="1"/>
  <c r="G785" i="2"/>
  <c r="K785" i="2" s="1"/>
  <c r="G787" i="2"/>
  <c r="K787" i="2" s="1"/>
  <c r="G788" i="2"/>
  <c r="K788" i="2"/>
  <c r="G789" i="2"/>
  <c r="K789" i="2" s="1"/>
  <c r="G790" i="2"/>
  <c r="K790" i="2" s="1"/>
  <c r="G791" i="2"/>
  <c r="K791" i="2" s="1"/>
  <c r="G792" i="2"/>
  <c r="K792" i="2"/>
  <c r="G793" i="2"/>
  <c r="K793" i="2" s="1"/>
  <c r="G794" i="2"/>
  <c r="K794" i="2"/>
  <c r="G795" i="2"/>
  <c r="K795" i="2"/>
  <c r="G796" i="2"/>
  <c r="K796" i="2"/>
  <c r="G797" i="2"/>
  <c r="K797" i="2" s="1"/>
  <c r="G798" i="2"/>
  <c r="K798" i="2"/>
  <c r="G799" i="2"/>
  <c r="K799" i="2"/>
  <c r="G800" i="2"/>
  <c r="K800" i="2" s="1"/>
  <c r="G801" i="2"/>
  <c r="K801" i="2"/>
  <c r="G802" i="2"/>
  <c r="K802" i="2" s="1"/>
  <c r="G803" i="2"/>
  <c r="K803" i="2"/>
  <c r="G804" i="2"/>
  <c r="K804" i="2" s="1"/>
  <c r="G805" i="2"/>
  <c r="K805" i="2"/>
  <c r="G806" i="2"/>
  <c r="K806" i="2" s="1"/>
  <c r="G807" i="2"/>
  <c r="K807" i="2"/>
  <c r="G808" i="2"/>
  <c r="K808" i="2" s="1"/>
  <c r="G809" i="2"/>
  <c r="K809" i="2" s="1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 s="1"/>
  <c r="E825" i="2"/>
  <c r="F825" i="2"/>
  <c r="I825" i="2"/>
  <c r="P784" i="2"/>
  <c r="S784" i="2" s="1"/>
  <c r="W784" i="2" s="1"/>
  <c r="P783" i="2"/>
  <c r="V782" i="2"/>
  <c r="P782" i="2"/>
  <c r="S782" i="2"/>
  <c r="U825" i="2"/>
  <c r="O783" i="2"/>
  <c r="O784" i="2" s="1"/>
  <c r="S783" i="2"/>
  <c r="W783" i="2" s="1"/>
  <c r="S785" i="2"/>
  <c r="W785" i="2" s="1"/>
  <c r="S786" i="2"/>
  <c r="W786" i="2" s="1"/>
  <c r="S787" i="2"/>
  <c r="W787" i="2"/>
  <c r="S788" i="2"/>
  <c r="W788" i="2" s="1"/>
  <c r="S789" i="2"/>
  <c r="W789" i="2"/>
  <c r="S790" i="2"/>
  <c r="W790" i="2" s="1"/>
  <c r="S791" i="2"/>
  <c r="W791" i="2"/>
  <c r="S792" i="2"/>
  <c r="W792" i="2"/>
  <c r="S793" i="2"/>
  <c r="W793" i="2" s="1"/>
  <c r="S794" i="2"/>
  <c r="W794" i="2"/>
  <c r="S795" i="2"/>
  <c r="W795" i="2"/>
  <c r="S796" i="2"/>
  <c r="W796" i="2"/>
  <c r="S797" i="2"/>
  <c r="W797" i="2" s="1"/>
  <c r="S798" i="2"/>
  <c r="W798" i="2" s="1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V825" i="2"/>
  <c r="G880" i="2" l="1"/>
  <c r="AI785" i="2"/>
  <c r="AE825" i="2"/>
  <c r="AI825" i="2"/>
  <c r="AB825" i="2"/>
  <c r="G783" i="2"/>
  <c r="K782" i="2"/>
  <c r="G825" i="2"/>
  <c r="K783" i="2"/>
  <c r="K825" i="2" s="1"/>
  <c r="P825" i="2"/>
  <c r="S825" i="2"/>
  <c r="W782" i="2"/>
  <c r="W825" i="2" s="1"/>
  <c r="AB730" i="2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D37" i="1" s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10" i="1"/>
  <c r="D16" i="1" l="1"/>
  <c r="D17" i="1"/>
  <c r="J19" i="1"/>
  <c r="D19" i="1" s="1"/>
  <c r="J31" i="1"/>
  <c r="D31" i="1" s="1"/>
  <c r="J38" i="1"/>
  <c r="J33" i="1" l="1"/>
  <c r="D33" i="1" s="1"/>
  <c r="J34" i="1"/>
  <c r="D34" i="1" s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family val="2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family val="2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JOVENZ PASMO TA ANI
PIAO, SINDANGAN</t>
        </r>
      </text>
    </comment>
    <comment ref="C782" authorId="0" shapeId="0" xr:uid="{42D807A8-5598-41FD-B63F-370F4BDCB2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782" authorId="0" shapeId="0" xr:uid="{7990E9BE-1ACC-4A85-B25A-6F9D45DB8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 STORE
POB, BACUNGAN</t>
        </r>
      </text>
    </comment>
    <comment ref="AA782" authorId="0" shapeId="0" xr:uid="{18EF61E8-E40F-4028-8C38-DA603F1597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783" authorId="0" shapeId="0" xr:uid="{4AA09BA4-9746-4145-9536-648DA5A49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783" authorId="0" shapeId="0" xr:uid="{03052F22-6099-44EA-A65E-ACF858D88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3JM STORE
POB, BACUNGAN</t>
        </r>
      </text>
    </comment>
    <comment ref="AA783" authorId="0" shapeId="0" xr:uid="{68B608F4-365E-46C0-9B26-71BE4B21E1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BOBBY TUANDA
POB, GODOD</t>
        </r>
      </text>
    </comment>
    <comment ref="C784" authorId="0" shapeId="0" xr:uid="{9BA7E10A-6F4D-4775-B56B-9D010F7197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JOSEFEL AMOD
LABAKID, SINDANGAN</t>
        </r>
      </text>
    </comment>
    <comment ref="O784" authorId="0" shapeId="0" xr:uid="{3360E811-B753-4B6A-B377-3EDB3BA87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RUTEDELS VILLA
TALINGA, SINDANGAN</t>
        </r>
      </text>
    </comment>
    <comment ref="AA784" authorId="0" shapeId="0" xr:uid="{941DF968-F2BF-49C7-B06D-4F18E6BCC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KILAT
POB, GODOD</t>
        </r>
      </text>
    </comment>
    <comment ref="C785" authorId="0" shapeId="0" xr:uid="{5DF0C334-DF6C-4F96-AA1C-6E94691DC7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 / IVY OMOS
LABAKID, SINDANGAN</t>
        </r>
      </text>
    </comment>
    <comment ref="AA785" authorId="0" shapeId="0" xr:uid="{0F06A8EE-A2D7-44CD-BD1A-B7AE268FA1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EMBOL STORE
POB, GODOD</t>
        </r>
      </text>
    </comment>
    <comment ref="C786" authorId="0" shapeId="0" xr:uid="{F872A7EE-A5BD-4F76-B610-D4B577C4DA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86" authorId="0" shapeId="0" xr:uid="{C984143B-04E8-44A2-8254-8416E7509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EMELINDA GALLEPOSO
POB, GODOD</t>
        </r>
      </text>
    </comment>
    <comment ref="C787" authorId="0" shapeId="0" xr:uid="{3ACC405D-BB60-4E9A-A4C9-35598FB440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AA787" authorId="0" shapeId="0" xr:uid="{57CE643A-D2A9-4087-8DFC-01BB4CA2EF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SAGUIN FLORIFE
POB, GODOD</t>
        </r>
      </text>
    </comment>
    <comment ref="AA788" authorId="0" shapeId="0" xr:uid="{5B3FB131-A468-4734-B069-1E5A2DBAEE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RENELYN ALBIOT
POB, GODOD</t>
        </r>
      </text>
    </comment>
    <comment ref="AA789" authorId="0" shapeId="0" xr:uid="{F433B776-787D-4E05-9A02-962FBB5E74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PARTOSA, EMILY
POB, GODOD</t>
        </r>
      </text>
    </comment>
    <comment ref="AA790" authorId="0" shapeId="0" xr:uid="{8DBE4E61-A1F9-41A5-8FBC-B1076B5F84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SALAGOSTE
MAUSWAGON, GODOD</t>
        </r>
      </text>
    </comment>
    <comment ref="AA791" authorId="0" shapeId="0" xr:uid="{D4ED7F15-0959-49D7-8A6E-D772381009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TUMARONG STORE
BINONI, SALUG</t>
        </r>
      </text>
    </comment>
    <comment ref="C837" authorId="0" shapeId="0" xr:uid="{8A1E22E2-73F2-4C04-A228-6D052FD69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ELUMBRE STORE
POB, SIAYAN</t>
        </r>
      </text>
    </comment>
    <comment ref="AA837" authorId="0" shapeId="0" xr:uid="{F1DB9359-4424-4638-9DD2-6D96E22D33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SHELLA GUIBANG-GUIBANG
KAYOK, LILOY
</t>
        </r>
      </text>
    </comment>
    <comment ref="C838" authorId="0" shapeId="0" xr:uid="{87C02571-087C-4EBF-9564-78A3981E77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AA838" authorId="0" shapeId="0" xr:uid="{80EC5A56-0AC0-48FB-91B9-75E21C214C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839" authorId="0" shapeId="0" xr:uid="{41ABAD0B-0F8D-48EA-8BD7-546FD0BDD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AA839" authorId="0" shapeId="0" xr:uid="{223BBEDF-3178-43C3-B234-4F1514F0C5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 / LILOY COCKPIT
VILLA SUDIACAL LILOY</t>
        </r>
      </text>
    </comment>
    <comment ref="AA840" authorId="0" shapeId="0" xr:uid="{6FDEAAE1-633F-4C5E-8EBF-B26AEB65D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VIVAN GAMALE / LILOY COCKPIT
VILLA SUCIDAL, LILOY</t>
        </r>
      </text>
    </comment>
    <comment ref="AA841" authorId="0" shapeId="0" xr:uid="{BC318A6E-A680-4609-B5A4-5B3D6DD87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AA842" authorId="0" shapeId="0" xr:uid="{3948B855-4F9E-4A20-8A25-2A28505B02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HAJAN, ANALIZA
BAYBAY, LILOY</t>
        </r>
      </text>
    </comment>
    <comment ref="AA843" authorId="0" shapeId="0" xr:uid="{3AEF4C0F-1135-4DC0-B933-1BDAA9ED4D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ANTONIO BALASUELA / RESAN VIP
BAYBAY, LILOY</t>
        </r>
      </text>
    </comment>
    <comment ref="AA844" authorId="0" shapeId="0" xr:uid="{FF2EA9CD-1E25-45D0-B329-495C24886A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AA845" authorId="0" shapeId="0" xr:uid="{0D5DA44E-A7F7-455F-8838-7D00192201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A846" authorId="0" shapeId="0" xr:uid="{B372F0C0-AC8E-4596-9792-830201CDCC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892" authorId="0" shapeId="0" xr:uid="{3A1EA89A-7778-4D20-B86D-940B3EBCC0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892" authorId="0" shapeId="0" xr:uid="{1AFB1315-4257-44AE-89B4-DEAD04F7F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AA892" authorId="0" shapeId="0" xr:uid="{F9CA9C9A-3476-471E-9183-56046FE96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893" authorId="0" shapeId="0" xr:uid="{0537328E-971F-4770-BE14-A0C65FFC61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E3337DE1-6175-41E4-A79B-BF31375D63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893" authorId="0" shapeId="0" xr:uid="{5B3E0110-E202-427D-AE6D-5CDFA2DB1D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894" authorId="0" shapeId="0" xr:uid="{8B02624C-B8E6-4FE7-B88D-01A2E12842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894" authorId="0" shapeId="0" xr:uid="{223E9BC0-0F57-41E2-B51A-B877DA0D7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BOGABONGAN, BACUNGAN</t>
        </r>
      </text>
    </comment>
    <comment ref="AA894" authorId="0" shapeId="0" xr:uid="{395FBFAB-37D4-4D53-BDA8-FD7B61A91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895" authorId="0" shapeId="0" xr:uid="{2D21E8A3-D19F-4A8F-AD33-96579B6636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NELIA
DAPAON, SINDANGAN</t>
        </r>
      </text>
    </comment>
    <comment ref="O895" authorId="0" shapeId="0" xr:uid="{CFDE481C-9AB8-48B2-BB27-5872EE6571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VELASCO
BOGABONGAN, BACUNGAN</t>
        </r>
      </text>
    </comment>
    <comment ref="AA895" authorId="0" shapeId="0" xr:uid="{2E124C41-9EA0-48A0-A19B-2497C586AC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896" authorId="0" shapeId="0" xr:uid="{EBC178C2-E39E-4B51-8225-8626EF214C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KIM ESQUADRO
RM, SINDANGAN</t>
        </r>
      </text>
    </comment>
    <comment ref="O896" authorId="0" shapeId="0" xr:uid="{E3D925AC-2FD2-4FBA-A772-E19787CDD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896" authorId="0" shapeId="0" xr:uid="{4F588020-5AC6-4AFD-83F5-B520AFF26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HAIDEN STORE
MUCAS, SALUG</t>
        </r>
      </text>
    </comment>
    <comment ref="C897" authorId="0" shapeId="0" xr:uid="{E7BCD0BA-7258-46F5-8639-1788577C63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897" authorId="0" shapeId="0" xr:uid="{C2248125-2A91-49FC-8678-E519AC1D03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</t>
        </r>
      </text>
    </comment>
    <comment ref="AA897" authorId="0" shapeId="0" xr:uid="{8D51D51A-1BCD-4043-BE11-576F369FA7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SALEH SABDANI
MUCAS, SALUG</t>
        </r>
      </text>
    </comment>
    <comment ref="C898" authorId="0" shapeId="0" xr:uid="{F4E1B468-18BF-4B0D-BC23-54BB5F8F5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</t>
        </r>
      </text>
    </comment>
    <comment ref="O898" authorId="0" shapeId="0" xr:uid="{EDF0EBB7-FD0D-4FE5-834B-CEBE83874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STORE
BOGABONGAN, BACUNGAN</t>
        </r>
      </text>
    </comment>
    <comment ref="C899" authorId="0" shapeId="0" xr:uid="{756DCAEA-23E3-47BC-BE50-FD946D515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899" authorId="0" shapeId="0" xr:uid="{47533BF6-1390-4C24-8DBB-32BBE152A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DURAN
BOGABONGAN, BACUNGAN</t>
        </r>
      </text>
    </comment>
    <comment ref="C900" authorId="0" shapeId="0" xr:uid="{CE6A31A7-6538-4CFD-9375-97D063CF5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900" authorId="0" shapeId="0" xr:uid="{0E4DF935-E278-462C-B60B-8B6DE0A25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DIVINA
PALANDOK, BACUNGAN</t>
        </r>
      </text>
    </comment>
    <comment ref="C901" authorId="0" shapeId="0" xr:uid="{8778D896-4058-4588-A81F-36A99B72F2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901" authorId="0" shapeId="0" xr:uid="{638AAF22-C9EA-4FFD-AE8E-809295B513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C902" authorId="0" shapeId="0" xr:uid="{77D5E91C-019E-4A6F-9B23-21A15A9A21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902" authorId="0" shapeId="0" xr:uid="{B37F0120-92B2-4BF0-AEC3-D2D6B72CD1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O903" authorId="0" shapeId="0" xr:uid="{50716A1C-180D-4F5B-9E99-0CF98B5F5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904" authorId="0" shapeId="0" xr:uid="{737FF0F9-6B52-4CEB-91E4-4EE1EBB90F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
RM, SALUG</t>
        </r>
      </text>
    </comment>
    <comment ref="O905" authorId="0" shapeId="0" xr:uid="{B9E4CE23-5BAD-4A64-80E1-2A369C4653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6" authorId="0" shapeId="0" xr:uid="{E8D637EC-796E-4802-A409-B97CC9A0F3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7" authorId="0" shapeId="0" xr:uid="{FEEDEDAE-EC95-4B00-840D-6E9D12774A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BACUNGAN</t>
        </r>
      </text>
    </comment>
    <comment ref="O908" authorId="0" shapeId="0" xr:uid="{62825329-B9E3-4B53-9C3A-B29BED0A44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PALANDOK, BACUNGAN</t>
        </r>
      </text>
    </comment>
    <comment ref="O909" authorId="0" shapeId="0" xr:uid="{4C371322-A1BD-440C-9E91-22A014337A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910" authorId="0" shapeId="0" xr:uid="{98A310B5-64AD-4D39-AF3D-7048C7C96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911" authorId="0" shapeId="0" xr:uid="{D3769454-19D9-4BCD-A418-666AB42C6A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ANGAN STORE
POB, BACUNGAN</t>
        </r>
      </text>
    </comment>
    <comment ref="O912" authorId="0" shapeId="0" xr:uid="{ACEB2E0C-3064-4574-961D-62FE0F2E26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LIMBANG STORE
TALINGA, BACUNGAN</t>
        </r>
      </text>
    </comment>
    <comment ref="O913" authorId="0" shapeId="0" xr:uid="{78EEE9EC-B722-45CA-AA02-AB12BF783F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
TALINGA, BACUNGAN</t>
        </r>
      </text>
    </comment>
    <comment ref="O914" authorId="0" shapeId="0" xr:uid="{2B4FED4D-70A8-4E2D-B684-A45A9744B5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LIRAH SAPAL
TALINGA, BACUNGAN</t>
        </r>
      </text>
    </comment>
    <comment ref="O915" authorId="0" shapeId="0" xr:uid="{07225B13-2F27-48BF-A06F-9DDF38B8E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916" authorId="0" shapeId="0" xr:uid="{0B65E804-7DEF-46A3-915E-75DCAEC741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917" authorId="0" shapeId="0" xr:uid="{26779C3D-00AD-48E4-B22A-BF47F36703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918" authorId="0" shapeId="0" xr:uid="{B9AB0EEE-0564-4602-BEED-2709E54DCF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919" authorId="0" shapeId="0" xr:uid="{077CEF9E-34B8-4AA1-88E8-DE781592E0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ARACELIE
MANDIH, SINDANGAN</t>
        </r>
      </text>
    </comment>
    <comment ref="O920" authorId="0" shapeId="0" xr:uid="{0ECB285E-270A-4156-BE68-8A10F7D4E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C947" authorId="0" shapeId="0" xr:uid="{C3ABC373-D5DD-4DEA-B13C-EA7A37072F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947" authorId="0" shapeId="0" xr:uid="{C44AE1B8-2143-46B0-9ED6-D9B2E5098E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947" authorId="0" shapeId="0" xr:uid="{D9CF2F14-1C7F-43B4-9B90-BCBB2ED6E9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948" authorId="0" shapeId="0" xr:uid="{C103A6B6-53A0-409E-9DA2-77EB7E02E6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948" authorId="0" shapeId="0" xr:uid="{3AC3BB6E-34A8-49C0-958D-D69A1C521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/ ALDRIN TOBIAS
MANDIH, SINDANGAN</t>
        </r>
      </text>
    </comment>
    <comment ref="AA948" authorId="0" shapeId="0" xr:uid="{342062A7-F4C9-4772-AB52-B33BBCF3B4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949" authorId="0" shapeId="0" xr:uid="{BF08BC25-B22E-43B1-BB99-B62CFD9E3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O949" authorId="0" shapeId="0" xr:uid="{D974C3F1-2127-4DE6-A221-39AF34A766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CRIS
INUMAN, SINDANGAN</t>
        </r>
      </text>
    </comment>
    <comment ref="AA949" authorId="0" shapeId="0" xr:uid="{454F95E8-9D25-48FF-BB6A-81BEF62DB6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950" authorId="0" shapeId="0" xr:uid="{AAE8BC4D-77F0-4DC7-9B74-0BE98FCFE2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STORE
DENOYAN, SIAYAN</t>
        </r>
      </text>
    </comment>
    <comment ref="O950" authorId="0" shapeId="0" xr:uid="{A69061BD-D836-4B77-A72C-23775B2CC5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950" authorId="0" shapeId="0" xr:uid="{231CD839-3EC7-4275-A2CA-ADF6F1778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951" authorId="0" shapeId="0" xr:uid="{2F485CE2-625D-4AAE-90A7-3208F2E748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951" authorId="0" shapeId="0" xr:uid="{56EFE504-FA9D-43C5-9CFE-9F14F6F312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C952" authorId="0" shapeId="0" xr:uid="{48313BB8-E761-4602-A3D2-632C822C93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952" authorId="0" shapeId="0" xr:uid="{166DC38E-D92F-4BCF-9520-2209DC792A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953" authorId="0" shapeId="0" xr:uid="{2134C7E7-E10B-486F-917A-7861CBE63A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954" authorId="0" shapeId="0" xr:uid="{C4EDAF40-2CFC-4AE6-9FCB-5779BD7319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C955" authorId="0" shapeId="0" xr:uid="{2CFEAD60-DBF5-4915-98AA-10703E41BC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956" authorId="0" shapeId="0" xr:uid="{4B0BE7A1-7FA2-488D-9334-B66667C362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957" authorId="0" shapeId="0" xr:uid="{D4D8E217-6EDC-4454-B4CF-5259A7F1F7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DENOYAN, SIAYAN</t>
        </r>
      </text>
    </comment>
    <comment ref="C958" authorId="0" shapeId="0" xr:uid="{5FA039C8-179B-4950-9D37-02C4F706F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ANSAGON STORE
DENOYAN, SIAYAN</t>
        </r>
      </text>
    </comment>
    <comment ref="C959" authorId="0" shapeId="0" xr:uid="{625FC644-06B2-441F-9C59-1AAB93A71B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C1002" authorId="0" shapeId="0" xr:uid="{B661741F-60AC-4DCC-B41A-61F2646730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002" authorId="0" shapeId="0" xr:uid="{0D64BAD7-57BB-4C07-A17A-4B98FD43F8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002" authorId="0" shapeId="0" xr:uid="{F0428A60-A887-4E61-9492-7C9F9B5600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3" authorId="0" shapeId="0" xr:uid="{7A025F78-8BBB-452F-BB9E-0914C0A4C6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003" authorId="0" shapeId="0" xr:uid="{36058DF7-A465-4738-B06C-0E7D2E03F2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1003" authorId="0" shapeId="0" xr:uid="{139EB32F-CA70-4D0F-8ECD-2B065FA2B7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4" authorId="0" shapeId="0" xr:uid="{5C159D6B-8DE4-4F49-82CF-F96CA097F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O1004" authorId="0" shapeId="0" xr:uid="{86EB73D4-6977-4031-86B3-4E3F5FF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004" authorId="0" shapeId="0" xr:uid="{A596930F-C98E-430A-9B62-66B556F866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5" authorId="0" shapeId="0" xr:uid="{BBB813D7-FB05-4270-8435-6016B1940E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1005" authorId="0" shapeId="0" xr:uid="{F67C4E5D-AF9B-4E8D-8B1B-B19384896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005" authorId="0" shapeId="0" xr:uid="{7FB95D21-DA24-4A2D-9674-AD68B28AC6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6" authorId="0" shapeId="0" xr:uid="{60AA7CEC-EC7F-44A5-A654-7B8E9CDA7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006" authorId="0" shapeId="0" xr:uid="{2863AED7-2CC8-4FCB-B204-272467442A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006" authorId="0" shapeId="0" xr:uid="{D1FCDA2B-91D1-4D22-9006-8E1DE7CCD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007" authorId="0" shapeId="0" xr:uid="{74BF730C-EA24-4DAB-AF54-2482104F70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1007" authorId="0" shapeId="0" xr:uid="{04E25D2E-7A37-4E18-A711-5E18FB8DBF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DAILYN STORE
TALINGA, BACUNGAN</t>
        </r>
      </text>
    </comment>
    <comment ref="AA1007" authorId="0" shapeId="0" xr:uid="{4AD47A88-556A-4F53-A37E-064912A4DF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008" authorId="0" shapeId="0" xr:uid="{FFB80E4A-58F0-4070-8A05-679062C54A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1008" authorId="0" shapeId="0" xr:uid="{ADF9E3D2-1729-45CC-9EDA-7F3BFA9892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1009" authorId="0" shapeId="0" xr:uid="{C8CC4DB8-6FE9-4A69-A1C0-D7A0A86DB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1009" authorId="0" shapeId="0" xr:uid="{7EEF7744-0011-4825-BBD4-87FCBAA4C9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PALALON
MARAS, SINDANGAN</t>
        </r>
      </text>
    </comment>
    <comment ref="C1010" authorId="0" shapeId="0" xr:uid="{AA66A8B4-B3FA-446B-B31A-34FA482E07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1010" authorId="0" shapeId="0" xr:uid="{6813EAAB-D5C8-42EC-916C-B99A67B847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ENRIQUEZ
MARAS, SINDANGAN</t>
        </r>
      </text>
    </comment>
    <comment ref="C1011" authorId="0" shapeId="0" xr:uid="{7C109781-4ACC-4892-9BE3-62D35B90A3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011" authorId="0" shapeId="0" xr:uid="{7008C82E-398D-4748-A1D1-BDA9A052F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ALBOFERA STORE
GOLEO, SINDANGAN</t>
        </r>
      </text>
    </comment>
    <comment ref="C1012" authorId="0" shapeId="0" xr:uid="{4BA1F12E-CBFA-4C0D-B8C8-54F0293427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1013" authorId="0" shapeId="0" xr:uid="{16396587-9979-49F9-969D-1426677533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1014" authorId="0" shapeId="0" xr:uid="{7EFF90A4-C304-4EA1-A723-FE63EE294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1015" authorId="0" shapeId="0" xr:uid="{065BCFBF-10AE-493E-9264-87C1BB318A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SUMINGGIT STORE
DICOYONG, SINDANGAN</t>
        </r>
      </text>
    </comment>
    <comment ref="C1057" authorId="0" shapeId="0" xr:uid="{3BF6B084-68B1-4526-A858-EC453A02B5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057" authorId="0" shapeId="0" xr:uid="{0031DA81-9CB9-491B-8D7A-5355F8931A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057" authorId="0" shapeId="0" xr:uid="{1AFDDF9D-66F2-419C-A71C-487FF0E29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STORE
POB, SALUG</t>
        </r>
      </text>
    </comment>
    <comment ref="C1058" authorId="0" shapeId="0" xr:uid="{210AD74C-CDB9-4BA4-9C95-66826CD86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058" authorId="0" shapeId="0" xr:uid="{4B41D51E-9992-493E-A17A-1764A69C7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1058" authorId="0" shapeId="0" xr:uid="{C02C24C3-2FAF-4BDA-B804-4E6AD1EF0F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1059" authorId="0" shapeId="0" xr:uid="{1BFAA20C-DF66-4447-999C-82C4472F06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059" authorId="0" shapeId="0" xr:uid="{0CC6A3CE-5BF6-429F-8BE6-E194A78427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AA1059" authorId="0" shapeId="0" xr:uid="{D3464EF0-6B24-41D2-BC50-0EF31D33A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060" authorId="0" shapeId="0" xr:uid="{0DAAA2E6-EBB2-4FF7-AAF9-BD85AA5BC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STORE/ ASOCENA BERDADERO
DAGAO, SIAYAN</t>
        </r>
      </text>
    </comment>
    <comment ref="O1060" authorId="0" shapeId="0" xr:uid="{F61AC9B3-FE10-4D56-941A-288AC93CCC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AA1060" authorId="0" shapeId="0" xr:uid="{EACC88EA-F869-4D7C-A124-0F34B5B92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061" authorId="0" shapeId="0" xr:uid="{E97A1E05-5502-442F-9CD9-11B68F7117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061" authorId="0" shapeId="0" xr:uid="{C76327D7-0B0D-4E9C-8E30-AC2192183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1062" authorId="0" shapeId="0" xr:uid="{B4EB926B-63B7-43A4-AE5C-C9B530E2A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1062" authorId="0" shapeId="0" xr:uid="{73EEEC07-00D3-419E-992D-7162A82E5A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063" authorId="0" shapeId="0" xr:uid="{632CF10B-43ED-4553-A9B1-37AECF138B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1063" authorId="0" shapeId="0" xr:uid="{71F54E12-5EF7-46A4-9259-8474BF8DB6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1064" authorId="0" shapeId="0" xr:uid="{EF439D7E-7E8A-41ED-8527-8803ABB2C4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O1064" authorId="0" shapeId="0" xr:uid="{30DFEAD4-C711-4BDB-8370-21DF13DE5B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INFINITY CALUAN RESORT
CALUAN, SINDANGAN</t>
        </r>
      </text>
    </comment>
    <comment ref="C1065" authorId="0" shapeId="0" xr:uid="{FFD74A24-2D93-4224-9981-F04652ACE9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1066" authorId="0" shapeId="0" xr:uid="{27054A69-3FFD-4D3E-8E45-C9D4015981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1067" authorId="0" shapeId="0" xr:uid="{79F9AFE7-44F3-46A3-AF12-B60944126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C1068" authorId="0" shapeId="0" xr:uid="{8D0438B9-3A73-4C1E-A731-C545BD6EDC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CAMELEOR GUILLERMA
POLAYO, SIAYAN</t>
        </r>
      </text>
    </comment>
    <comment ref="C1069" authorId="0" shapeId="0" xr:uid="{BCD676CF-DDFA-407C-8B0A-8203FB521C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ENOSINCIA
POLAYO, SIAYAN</t>
        </r>
      </text>
    </comment>
    <comment ref="C1070" authorId="0" shapeId="0" xr:uid="{DCF28B06-D390-4A20-AE3D-068F0A00DF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C1071" authorId="0" shapeId="0" xr:uid="{FD91538E-82F4-44D5-BB9B-5DE32C2F0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1112" authorId="0" shapeId="0" xr:uid="{6471219C-A258-4F29-B9AB-BC9555D0C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112" authorId="0" shapeId="0" xr:uid="{C9F69907-4A50-4AFF-8C8B-801AEE3A48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112" authorId="0" shapeId="0" xr:uid="{5D4A94E0-21D6-4444-9C6C-E4ECEF3547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SALUG, BACONG</t>
        </r>
      </text>
    </comment>
    <comment ref="C1113" authorId="0" shapeId="0" xr:uid="{683AA04D-90AA-4049-ACB3-53E262E06B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AA1113" authorId="0" shapeId="0" xr:uid="{6DB7DA31-D607-4E20-809C-C1EAC30020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JAMIRI ADIMAR
POB, SALUG</t>
        </r>
      </text>
    </comment>
    <comment ref="C1114" authorId="0" shapeId="0" xr:uid="{0828447F-CEE2-465B-A1E1-F72A3765E9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AA1114" authorId="0" shapeId="0" xr:uid="{A99B5150-3586-4B93-8B1A-06E7AD0D56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AA1115" authorId="0" shapeId="0" xr:uid="{89CD013D-50AC-418C-A45D-51B5966A63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A1116" authorId="0" shapeId="0" xr:uid="{6507A4E9-E2E0-41E1-9CE1-C6C6D2A6E1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</t>
        </r>
      </text>
    </comment>
    <comment ref="AA1117" authorId="0" shapeId="0" xr:uid="{0B984783-8757-4372-85F0-73A9FA6654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 EATERY
POB, SALUG</t>
        </r>
      </text>
    </comment>
    <comment ref="C1167" authorId="0" shapeId="0" xr:uid="{5839E03B-DB2F-490C-BFB9-C4803417F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1167" authorId="0" shapeId="0" xr:uid="{39F43530-056D-43DD-90C9-A508EE390C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INUMAN, SINDANGAN</t>
        </r>
      </text>
    </comment>
    <comment ref="AA1167" authorId="0" shapeId="0" xr:uid="{E4875D3D-886F-4FB6-971E-F220031792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ZAMORA
DISUD, SINDANGAN</t>
        </r>
      </text>
    </comment>
    <comment ref="C1168" authorId="0" shapeId="0" xr:uid="{7971814A-01E8-4F04-B1D8-92FE85F765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EDORAH MADULA/ MADULA STORE
CALACAS, SIAYAN</t>
        </r>
      </text>
    </comment>
    <comment ref="O1168" authorId="0" shapeId="0" xr:uid="{27A858C8-6D7A-4A9C-A905-D8E9102CC3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ELENA REBOLONA
INUMAN, SINDANGAN</t>
        </r>
      </text>
    </comment>
    <comment ref="AA1168" authorId="0" shapeId="0" xr:uid="{E6BA2F32-B38C-419A-875D-CF69581358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1169" authorId="0" shapeId="0" xr:uid="{55DB8A72-07DD-4FE0-9A0F-FDF43A3DC6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169" authorId="0" shapeId="0" xr:uid="{43104ACC-C061-4533-BFAD-E8D29FF120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 SATORE
INUMAN, SINDANGAN</t>
        </r>
      </text>
    </comment>
    <comment ref="AA1169" authorId="0" shapeId="0" xr:uid="{D2B2BFA3-B429-4DBE-9EBC-610B2C35A8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170" authorId="0" shapeId="0" xr:uid="{C0DF2CDB-FC50-46A7-84A0-BADF7ED8F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1170" authorId="0" shapeId="0" xr:uid="{AF93B4B7-F38F-4847-B3B2-BF02853179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1170" authorId="0" shapeId="0" xr:uid="{338C2E41-6050-4A0D-ABEC-BBDEDA796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ARVIN SOLO
SALUG, BACONG</t>
        </r>
      </text>
    </comment>
    <comment ref="C1171" authorId="0" shapeId="0" xr:uid="{064E2865-AC9B-4A60-A2FD-3FA69A1A0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SOUNDCHECK
POB, SINDANGAN</t>
        </r>
      </text>
    </comment>
    <comment ref="O1171" authorId="0" shapeId="0" xr:uid="{43947D1C-C948-4108-8898-2B8E3B6939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SAMBANG STORE
POB, BACUNGAN</t>
        </r>
      </text>
    </comment>
    <comment ref="AA1171" authorId="0" shapeId="0" xr:uid="{68406DEF-4C87-4085-8DBC-773E4F7552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BACONG / RAZIEL NUGAS
BACONG, SALUG</t>
        </r>
      </text>
    </comment>
    <comment ref="O1172" authorId="0" shapeId="0" xr:uid="{C7673BE4-F84B-4972-8D4D-913FA43ED1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1173" authorId="0" shapeId="0" xr:uid="{0A81EA21-EF5F-470D-916C-B54DC16E9D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BACUNGAN</t>
        </r>
      </text>
    </comment>
    <comment ref="O1174" authorId="0" shapeId="0" xr:uid="{70708ECB-5C21-4FBB-AA31-DE647FA73D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175" authorId="0" shapeId="0" xr:uid="{EB08FA72-49E3-4BF0-A27C-50B18676F1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1176" authorId="0" shapeId="0" xr:uid="{250FE74C-BF52-4376-9743-CF2A3A2333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1177" authorId="0" shapeId="0" xr:uid="{10FB8690-FA78-4EB6-AB00-B6272FB08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TALINGA, SINDANGAN</t>
        </r>
      </text>
    </comment>
    <comment ref="O1178" authorId="0" shapeId="0" xr:uid="{759AC8AF-69D5-4E5A-B98F-C7A6D23430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TALINGA, SINDANGAN</t>
        </r>
      </text>
    </comment>
    <comment ref="O1179" authorId="0" shapeId="0" xr:uid="{B6C661C2-BB21-4B4A-8FCA-86F0E99550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STORE
MARAS, SINDANGAN</t>
        </r>
      </text>
    </comment>
    <comment ref="O1180" authorId="0" shapeId="0" xr:uid="{F59B7CF1-65C1-41C4-ABDF-D5872E0760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181" authorId="0" shapeId="0" xr:uid="{63F0DB80-165B-4BEE-83EF-416CA7D65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O1182" authorId="0" shapeId="0" xr:uid="{FF0461E4-A724-45CD-A88C-05F884BBEC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O1183" authorId="0" shapeId="0" xr:uid="{C2D0A799-58D1-4C21-9C50-BFB038ACF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ARACEILIE ALESNA
MANDIH, SINDANGAN</t>
        </r>
      </text>
    </comment>
    <comment ref="O1184" authorId="0" shapeId="0" xr:uid="{5CB012DE-A0BE-45DD-ABD7-82B773DEC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PARILLA
MANDIH, SINDANGAN</t>
        </r>
      </text>
    </comment>
    <comment ref="O1185" authorId="0" shapeId="0" xr:uid="{3A64FCDA-53CD-4061-AAC3-A2711F846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O1186" authorId="0" shapeId="0" xr:uid="{65500E92-B551-494B-85B2-B848697743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187" authorId="0" shapeId="0" xr:uid="{81EB3AA0-3040-4AC2-9902-6E0DBDFA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MARIVIC ESCORIAL
GOLEO, SINDANGAN</t>
        </r>
      </text>
    </comment>
    <comment ref="O1188" authorId="0" shapeId="0" xr:uid="{5A2282C0-755C-420F-84D9-212F481F21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
GOLEO, SINDANGAN</t>
        </r>
      </text>
    </comment>
    <comment ref="O1189" authorId="0" shapeId="0" xr:uid="{3735495A-6FC3-432D-AF5E-25CB80F5B1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1190" authorId="0" shapeId="0" xr:uid="{366311BF-45DB-4D4C-8F70-93AC41DC77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1222" authorId="0" shapeId="0" xr:uid="{46E64E56-3919-4659-92EF-93CE7B3E9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 / C TAMPUS
POB, SINDANGAN</t>
        </r>
      </text>
    </comment>
    <comment ref="O1222" authorId="0" shapeId="0" xr:uid="{DEB2B3F8-493E-4FD7-8C89-C41744A13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JEAN STORE
GOLEO, SINDANGAN</t>
        </r>
      </text>
    </comment>
    <comment ref="AA1222" authorId="0" shapeId="0" xr:uid="{B7684792-EFD3-4103-8060-FF447FA05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SALUG, BACONG
</t>
        </r>
      </text>
    </comment>
    <comment ref="C1223" authorId="0" shapeId="0" xr:uid="{7E88A4ED-8F30-49D3-A468-410B50E232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223" authorId="0" shapeId="0" xr:uid="{759A268F-F034-4000-A580-EB2A8CA72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1223" authorId="0" shapeId="0" xr:uid="{158255FC-F7A4-423B-AD1B-69BC5EFEB8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24" authorId="0" shapeId="0" xr:uid="{CA6B7C1F-86CE-44C7-A9A2-F0D43FC54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PREJOLES STORE
MANIL, BACUNGAN</t>
        </r>
      </text>
    </comment>
    <comment ref="AA1224" authorId="0" shapeId="0" xr:uid="{60265EBB-1AD8-4381-A2FD-72D3BD2F70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25" authorId="0" shapeId="0" xr:uid="{C15D211F-DEDD-4257-A310-28B496A941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JONALYN LANGAN
MANIL, BACUNGAN</t>
        </r>
      </text>
    </comment>
    <comment ref="AA1225" authorId="0" shapeId="0" xr:uid="{9530DAB0-2BEA-46CF-8713-CB3215E2A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O1226" authorId="0" shapeId="0" xr:uid="{A193289E-AD52-4881-9C3C-E85F7B45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AA1226" authorId="0" shapeId="0" xr:uid="{B769F0C5-7BCC-4166-840A-FDCFBBA19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1227" authorId="0" shapeId="0" xr:uid="{F407B266-89F7-45A2-A375-08B9E0CB3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JEKLON
BOGABONGAN, BACUNGAN</t>
        </r>
      </text>
    </comment>
    <comment ref="O1228" authorId="0" shapeId="0" xr:uid="{C51DDACD-E1D3-4E10-87E5-DA6324879B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1229" authorId="0" shapeId="0" xr:uid="{7DD7A3BC-17A6-45F0-9D08-E03E78169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1230" authorId="0" shapeId="0" xr:uid="{42562E04-F70F-4E21-B705-5365A91ED1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1231" authorId="0" shapeId="0" xr:uid="{B032B9E6-5504-458B-9921-7192FFC611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1232" authorId="0" shapeId="0" xr:uid="{B2358573-1952-4F3E-B2C8-1B74C48559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NUGAS
RM, SALUG</t>
        </r>
      </text>
    </comment>
    <comment ref="O1233" authorId="0" shapeId="0" xr:uid="{565DB64F-4520-4F25-B47D-113E2A579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O1234" authorId="0" shapeId="0" xr:uid="{371D32BE-C421-42B6-81A3-37C7F23358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O1235" authorId="0" shapeId="0" xr:uid="{6F37DB04-A1A9-455D-BA30-1DC9F9E96F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
PALANDOK, BACUNGAN</t>
        </r>
      </text>
    </comment>
    <comment ref="O1236" authorId="0" shapeId="0" xr:uid="{7B416760-E9EB-4F06-BEDD-9E16FF5FE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ASOCEDO
MANGOP, BACUNGAN</t>
        </r>
      </text>
    </comment>
    <comment ref="O1237" authorId="0" shapeId="0" xr:uid="{D657D019-5C15-49B1-9BAB-63C913FF16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 SULTAN
MANGOP, BACUNGAN</t>
        </r>
      </text>
    </comment>
    <comment ref="O1238" authorId="0" shapeId="0" xr:uid="{22641986-F1D0-4CCD-A8F7-2E9F35BED1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O1239" authorId="0" shapeId="0" xr:uid="{2A58FA68-F8AD-4448-9873-D1F838BC8A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TEVES
MANGOP, BACUNGAN</t>
        </r>
      </text>
    </comment>
    <comment ref="O1240" authorId="0" shapeId="0" xr:uid="{ED961918-F9F0-4125-9037-A897EB686D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CALAGO
MANGOP, BACUNGAN</t>
        </r>
      </text>
    </comment>
    <comment ref="O1241" authorId="0" shapeId="0" xr:uid="{14A77775-2755-4A03-A546-19C1BEB0FB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KADA STORE
MANGOP, BACUNGAN</t>
        </r>
      </text>
    </comment>
    <comment ref="O1242" authorId="0" shapeId="0" xr:uid="{51D06669-50B0-4119-BA96-6E38BFCC5A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ETON STORE
TAMIL, BOGABONGAN, BACUNGAN</t>
        </r>
      </text>
    </comment>
    <comment ref="O1243" authorId="0" shapeId="0" xr:uid="{B4FCA83B-3E47-461A-8B51-A84138712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TAMIL, BOGABONGAN, BACUNGAN</t>
        </r>
      </text>
    </comment>
    <comment ref="O1244" authorId="0" shapeId="0" xr:uid="{020A75DB-8F5F-4300-B20F-1F3A20C900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MILYN ESTRADA
BOGABONGAN, BACUNGAN</t>
        </r>
      </text>
    </comment>
    <comment ref="O1245" authorId="0" shapeId="0" xr:uid="{074171A9-5C69-4549-B51A-8DB9F82C34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O1246" authorId="0" shapeId="0" xr:uid="{BB01D7BD-38DC-4F4D-80AC-0D6F8354D2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RAPELS STORE
BOGABONGAN, BACUNGAN</t>
        </r>
      </text>
    </comment>
    <comment ref="O1247" authorId="0" shapeId="0" xr:uid="{2073DEC0-13BB-402D-AE0F-12366028B7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1248" authorId="0" shapeId="0" xr:uid="{AD5D3053-2F63-43E1-8B3C-50C9C73F60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 ATS FAMILY BEACH RESORT
TALINGA, BACUNGAN</t>
        </r>
      </text>
    </comment>
  </commentList>
</comments>
</file>

<file path=xl/sharedStrings.xml><?xml version="1.0" encoding="utf-8"?>
<sst xmlns="http://schemas.openxmlformats.org/spreadsheetml/2006/main" count="1767" uniqueCount="107">
  <si>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</si>
  <si>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</si>
  <si>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</si>
  <si>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</si>
  <si>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</si>
  <si>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</si>
  <si>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</si>
  <si>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</si>
  <si>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</si>
  <si>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</si>
  <si>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</si>
  <si>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</si>
  <si>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</si>
  <si>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</si>
  <si>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</si>
  <si>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</si>
  <si>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</si>
  <si>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</si>
  <si>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</si>
  <si>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</si>
  <si>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</si>
  <si>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</si>
  <si>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</si>
  <si>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</si>
  <si>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</si>
  <si>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</si>
  <si>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</si>
  <si>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</si>
  <si>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</si>
  <si>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</si>
  <si>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</si>
  <si>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</si>
  <si>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</si>
  <si>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</si>
  <si>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</si>
  <si>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</si>
  <si>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</si>
  <si>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</si>
  <si>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</si>
  <si>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</si>
  <si>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</si>
  <si>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</si>
  <si>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</si>
  <si>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</si>
  <si>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</si>
  <si>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</si>
  <si>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</si>
  <si>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</si>
  <si>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</si>
  <si>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</si>
  <si>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</si>
  <si>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</si>
  <si>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</si>
  <si>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</si>
  <si>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</si>
  <si>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</si>
  <si>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</si>
  <si>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</si>
  <si>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</si>
  <si>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</si>
  <si>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</si>
  <si>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</si>
  <si>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</si>
  <si>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</si>
  <si>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</si>
  <si>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</si>
  <si>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</si>
  <si>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</si>
  <si>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</si>
  <si>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</si>
  <si>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</si>
  <si>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</si>
  <si>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</si>
  <si>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</si>
  <si>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</si>
  <si>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</si>
  <si>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</si>
  <si>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</si>
  <si>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</si>
  <si>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</si>
  <si>
    <t>NOVEMBER 19, 2025</t>
  </si>
  <si>
    <t>11/19/2025</t>
  </si>
  <si>
    <t>7290-7295/7220-7222/7141-7150</t>
  </si>
  <si>
    <t>NOVEMBER 20, 2025</t>
  </si>
  <si>
    <t>11/20/2025</t>
  </si>
  <si>
    <t>7296-7298//7301-7310</t>
  </si>
  <si>
    <t>NOVEMBER 21, 2025</t>
  </si>
  <si>
    <t>11/21/2025</t>
  </si>
  <si>
    <t>7267,7299-7300,7351-7358/7223-7250,7401/7311-7316</t>
  </si>
  <si>
    <t>NOVEMBER 22, 2025</t>
  </si>
  <si>
    <t>11/22/2025</t>
  </si>
  <si>
    <t>7359-7371/7402-7407/7317-7320</t>
  </si>
  <si>
    <t>NOVEMBER 24, 2025</t>
  </si>
  <si>
    <t>11/24/2025</t>
  </si>
  <si>
    <t>7372-7385/7408-7417/7321-7326</t>
  </si>
  <si>
    <t>NOVEMBER 25, 2025</t>
  </si>
  <si>
    <t>11/25/2025</t>
  </si>
  <si>
    <t>7386-7400/7418-7425/7327-7330</t>
  </si>
  <si>
    <t>NOVEMBER 26, 2025</t>
  </si>
  <si>
    <t>11/26/2025</t>
  </si>
  <si>
    <t>7501-7503/7426/7331-7336</t>
  </si>
  <si>
    <t>NOVEMBER 27, 2025</t>
  </si>
  <si>
    <t>11/27/2025</t>
  </si>
  <si>
    <t>7504-7508/7427-7450/7337-7341</t>
  </si>
  <si>
    <t>NOVEMBER 28, 2025</t>
  </si>
  <si>
    <t>11/28/2025</t>
  </si>
  <si>
    <t>7510-7511/7551-7577/7342-7346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</si>
</sst>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4" fontId="0" fillId="0" borderId="1" xfId="1" applyNumberFormat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3" zoomScaleNormal="100" workbookViewId="0">
      <selection activeCell="F38" sqref="F3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36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 t="s">
        <v>82</v>
      </c>
      <c r="D28" s="16">
        <f t="shared" si="4"/>
        <v>542273.5</v>
      </c>
      <c r="F28" s="14">
        <v>221629.5</v>
      </c>
      <c r="G28" s="14">
        <v>176974</v>
      </c>
      <c r="H28" s="14">
        <v>143670</v>
      </c>
      <c r="I28" s="14"/>
      <c r="J28" s="17">
        <f t="shared" si="1"/>
        <v>542273.5</v>
      </c>
    </row>
    <row r="29" spans="1:10" x14ac:dyDescent="0.25">
      <c r="A29" s="10">
        <f t="shared" si="2"/>
        <v>20</v>
      </c>
      <c r="B29" s="11" t="s">
        <v>30</v>
      </c>
      <c r="C29" s="12" t="s">
        <v>85</v>
      </c>
      <c r="D29" s="16">
        <f t="shared" si="4"/>
        <v>387136.5</v>
      </c>
      <c r="F29" s="14">
        <v>130797.5</v>
      </c>
      <c r="G29" s="14"/>
      <c r="H29" s="14">
        <v>256339</v>
      </c>
      <c r="I29" s="14"/>
      <c r="J29" s="17">
        <f t="shared" si="1"/>
        <v>387136.5</v>
      </c>
    </row>
    <row r="30" spans="1:10" x14ac:dyDescent="0.25">
      <c r="A30" s="10">
        <f t="shared" si="2"/>
        <v>21</v>
      </c>
      <c r="B30" s="43" t="s">
        <v>4</v>
      </c>
      <c r="C30" s="108" t="s">
        <v>88</v>
      </c>
      <c r="D30" s="16">
        <f t="shared" si="4"/>
        <v>381712.5</v>
      </c>
      <c r="F30" s="14">
        <v>73574.5</v>
      </c>
      <c r="G30" s="14">
        <v>143034.5</v>
      </c>
      <c r="H30" s="14">
        <v>165103.5</v>
      </c>
      <c r="I30" s="14"/>
      <c r="J30" s="17">
        <f t="shared" si="1"/>
        <v>381712.5</v>
      </c>
    </row>
    <row r="31" spans="1:10" x14ac:dyDescent="0.25">
      <c r="A31" s="10">
        <f t="shared" si="2"/>
        <v>22</v>
      </c>
      <c r="B31" s="56" t="s">
        <v>5</v>
      </c>
      <c r="C31" s="12" t="s">
        <v>91</v>
      </c>
      <c r="D31" s="16">
        <f t="shared" si="4"/>
        <v>649968.5</v>
      </c>
      <c r="E31" s="14"/>
      <c r="F31" s="14">
        <v>182814.5</v>
      </c>
      <c r="G31" s="14">
        <v>151365</v>
      </c>
      <c r="H31" s="14">
        <v>315789</v>
      </c>
      <c r="I31" s="14"/>
      <c r="J31" s="17">
        <f t="shared" si="1"/>
        <v>649968.5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 t="s">
        <v>94</v>
      </c>
      <c r="D33" s="16">
        <f t="shared" ref="D33:D38" si="5">J33</f>
        <v>804866.5</v>
      </c>
      <c r="E33" s="15"/>
      <c r="F33" s="15">
        <v>162168.5</v>
      </c>
      <c r="G33" s="14">
        <v>133522</v>
      </c>
      <c r="H33" s="14">
        <v>509176</v>
      </c>
      <c r="I33" s="14"/>
      <c r="J33" s="17">
        <f t="shared" si="1"/>
        <v>804866.5</v>
      </c>
    </row>
    <row r="34" spans="1:10" x14ac:dyDescent="0.25">
      <c r="A34" s="10">
        <f>A33+1</f>
        <v>25</v>
      </c>
      <c r="B34" s="43" t="s">
        <v>8</v>
      </c>
      <c r="C34" s="12" t="s">
        <v>97</v>
      </c>
      <c r="D34" s="16">
        <f t="shared" si="5"/>
        <v>476256</v>
      </c>
      <c r="E34" s="14"/>
      <c r="F34" s="15">
        <v>100282</v>
      </c>
      <c r="G34" s="14">
        <v>145176</v>
      </c>
      <c r="H34" s="14">
        <v>230798</v>
      </c>
      <c r="I34" s="14"/>
      <c r="J34" s="17">
        <f t="shared" si="1"/>
        <v>476256</v>
      </c>
    </row>
    <row r="35" spans="1:10" x14ac:dyDescent="0.25">
      <c r="A35" s="10">
        <f t="shared" si="2"/>
        <v>26</v>
      </c>
      <c r="B35" s="56" t="s">
        <v>9</v>
      </c>
      <c r="C35" s="12" t="s">
        <v>100</v>
      </c>
      <c r="D35" s="16">
        <f t="shared" si="5"/>
        <v>1001298</v>
      </c>
      <c r="E35" s="14"/>
      <c r="F35" s="14">
        <v>547623</v>
      </c>
      <c r="G35" s="14">
        <v>201280</v>
      </c>
      <c r="H35" s="14">
        <v>252395</v>
      </c>
      <c r="I35" s="14"/>
      <c r="J35" s="17">
        <f t="shared" si="1"/>
        <v>1001298</v>
      </c>
    </row>
    <row r="36" spans="1:10" x14ac:dyDescent="0.25">
      <c r="A36" s="10">
        <f t="shared" si="2"/>
        <v>27</v>
      </c>
      <c r="B36" s="11" t="s">
        <v>30</v>
      </c>
      <c r="C36" s="12" t="s">
        <v>103</v>
      </c>
      <c r="D36" s="16">
        <f t="shared" si="5"/>
        <v>602998.5</v>
      </c>
      <c r="E36" s="14"/>
      <c r="F36" s="14">
        <v>249889</v>
      </c>
      <c r="G36" s="14">
        <v>132687.5</v>
      </c>
      <c r="H36" s="14">
        <v>220422</v>
      </c>
      <c r="I36" s="14"/>
      <c r="J36" s="17">
        <f t="shared" si="1"/>
        <v>602998.5</v>
      </c>
    </row>
    <row r="37" spans="1:10" x14ac:dyDescent="0.25">
      <c r="A37" s="10">
        <f t="shared" si="2"/>
        <v>28</v>
      </c>
      <c r="B37" s="43" t="s">
        <v>4</v>
      </c>
      <c r="C37" s="12" t="s">
        <v>106</v>
      </c>
      <c r="D37" s="16">
        <f t="shared" si="5"/>
        <v>508918.5</v>
      </c>
      <c r="E37" s="14"/>
      <c r="F37" s="14">
        <v>130857</v>
      </c>
      <c r="G37" s="14">
        <v>124174.5</v>
      </c>
      <c r="H37" s="14">
        <v>253887</v>
      </c>
      <c r="I37" s="14"/>
      <c r="J37" s="17">
        <f t="shared" si="1"/>
        <v>508918.5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6" t="s">
        <v>10</v>
      </c>
      <c r="B42" s="117"/>
      <c r="C42" s="118"/>
      <c r="D42" s="48">
        <f>SUM(D2:D39)</f>
        <v>13628564</v>
      </c>
      <c r="J42" s="49">
        <f>SUM(J10:J41)</f>
        <v>13628564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1210" zoomScaleNormal="100" workbookViewId="0">
      <selection activeCell="AE1265" sqref="AE126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3" t="s">
        <v>17</v>
      </c>
      <c r="E10" s="123"/>
      <c r="F10" s="77"/>
      <c r="G10" s="27"/>
      <c r="I10" s="121" t="s">
        <v>18</v>
      </c>
      <c r="J10" s="122"/>
      <c r="K10" s="119" t="s">
        <v>19</v>
      </c>
      <c r="N10" s="25"/>
      <c r="O10" s="26"/>
      <c r="P10" s="123" t="s">
        <v>17</v>
      </c>
      <c r="Q10" s="123"/>
      <c r="R10" s="77"/>
      <c r="S10" s="27"/>
      <c r="U10" s="121" t="s">
        <v>18</v>
      </c>
      <c r="V10" s="122"/>
      <c r="W10" s="119" t="s">
        <v>19</v>
      </c>
      <c r="Z10" s="25"/>
      <c r="AA10" s="26"/>
      <c r="AB10" s="123" t="s">
        <v>17</v>
      </c>
      <c r="AC10" s="123"/>
      <c r="AD10" s="77"/>
      <c r="AE10" s="27"/>
      <c r="AG10" s="121" t="s">
        <v>18</v>
      </c>
      <c r="AH10" s="122"/>
      <c r="AI10" s="119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0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0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0"/>
    </row>
    <row r="12" spans="1:35" x14ac:dyDescent="0.25">
      <c r="A12" s="10">
        <v>1</v>
      </c>
      <c r="B12" s="30">
        <v>45727</v>
      </c>
      <c r="C12" s="90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0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0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0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0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0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0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0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0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0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0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0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0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0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0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0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0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0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0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3" t="s">
        <v>17</v>
      </c>
      <c r="E65" s="123"/>
      <c r="F65" s="91"/>
      <c r="G65" s="27"/>
      <c r="I65" s="121" t="s">
        <v>18</v>
      </c>
      <c r="J65" s="122"/>
      <c r="K65" s="119" t="s">
        <v>19</v>
      </c>
      <c r="N65" s="25"/>
      <c r="O65" s="26"/>
      <c r="P65" s="123" t="s">
        <v>17</v>
      </c>
      <c r="Q65" s="123"/>
      <c r="R65" s="91"/>
      <c r="S65" s="27"/>
      <c r="U65" s="121" t="s">
        <v>18</v>
      </c>
      <c r="V65" s="122"/>
      <c r="W65" s="119" t="s">
        <v>19</v>
      </c>
      <c r="Z65" s="25"/>
      <c r="AA65" s="26"/>
      <c r="AB65" s="123" t="s">
        <v>17</v>
      </c>
      <c r="AC65" s="123"/>
      <c r="AD65" s="91"/>
      <c r="AE65" s="27"/>
      <c r="AG65" s="121" t="s">
        <v>18</v>
      </c>
      <c r="AH65" s="122"/>
      <c r="AI65" s="119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0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20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0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0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25"/>
      <c r="AO67" s="125"/>
      <c r="AP67" s="87"/>
      <c r="AQ67" s="62"/>
      <c r="AR67" s="125"/>
      <c r="AS67" s="125"/>
      <c r="AT67" s="12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0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0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0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0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0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0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0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0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0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0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0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0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0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0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0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3" t="s">
        <v>17</v>
      </c>
      <c r="E120" s="123"/>
      <c r="F120" s="92"/>
      <c r="G120" s="27"/>
      <c r="I120" s="121" t="s">
        <v>18</v>
      </c>
      <c r="J120" s="122"/>
      <c r="K120" s="119" t="s">
        <v>19</v>
      </c>
      <c r="N120" s="25"/>
      <c r="O120" s="26"/>
      <c r="P120" s="123" t="s">
        <v>17</v>
      </c>
      <c r="Q120" s="123"/>
      <c r="R120" s="92"/>
      <c r="S120" s="27"/>
      <c r="U120" s="121" t="s">
        <v>18</v>
      </c>
      <c r="V120" s="122"/>
      <c r="W120" s="119" t="s">
        <v>19</v>
      </c>
      <c r="Z120" s="25"/>
      <c r="AA120" s="26"/>
      <c r="AB120" s="123" t="s">
        <v>17</v>
      </c>
      <c r="AC120" s="123"/>
      <c r="AD120" s="92"/>
      <c r="AE120" s="27"/>
      <c r="AG120" s="121" t="s">
        <v>18</v>
      </c>
      <c r="AH120" s="122"/>
      <c r="AI120" s="11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0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0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0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0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0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0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0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0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0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0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0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0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0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0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0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0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0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0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0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0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0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0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0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0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0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0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0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0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0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0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0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0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0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0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0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3" t="s">
        <v>17</v>
      </c>
      <c r="E175" s="123"/>
      <c r="F175" s="93"/>
      <c r="G175" s="27"/>
      <c r="I175" s="121" t="s">
        <v>18</v>
      </c>
      <c r="J175" s="122"/>
      <c r="K175" s="119" t="s">
        <v>19</v>
      </c>
      <c r="N175" s="25"/>
      <c r="O175" s="26"/>
      <c r="P175" s="123" t="s">
        <v>17</v>
      </c>
      <c r="Q175" s="123"/>
      <c r="R175" s="93"/>
      <c r="S175" s="27"/>
      <c r="U175" s="121" t="s">
        <v>18</v>
      </c>
      <c r="V175" s="122"/>
      <c r="W175" s="119" t="s">
        <v>19</v>
      </c>
      <c r="Z175" s="25"/>
      <c r="AA175" s="26"/>
      <c r="AB175" s="123" t="s">
        <v>17</v>
      </c>
      <c r="AC175" s="123"/>
      <c r="AD175" s="93"/>
      <c r="AE175" s="27"/>
      <c r="AG175" s="121" t="s">
        <v>18</v>
      </c>
      <c r="AH175" s="122"/>
      <c r="AI175" s="119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0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0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0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0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0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0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0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0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25"/>
      <c r="AO181" s="125"/>
      <c r="AP181" s="87"/>
      <c r="AQ181" s="62"/>
      <c r="AR181" s="125"/>
      <c r="AS181" s="125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0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0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0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0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0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0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0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0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0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0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0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0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0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0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0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0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0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0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0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0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0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0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0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0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0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0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0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3" t="s">
        <v>17</v>
      </c>
      <c r="E230" s="123"/>
      <c r="F230" s="94"/>
      <c r="G230" s="27"/>
      <c r="I230" s="121" t="s">
        <v>18</v>
      </c>
      <c r="J230" s="122"/>
      <c r="K230" s="119" t="s">
        <v>19</v>
      </c>
      <c r="M230" s="62"/>
      <c r="N230" s="65"/>
      <c r="O230" s="89"/>
      <c r="P230" s="125"/>
      <c r="Q230" s="125"/>
      <c r="R230" s="89"/>
      <c r="S230" s="89"/>
      <c r="T230" s="62"/>
      <c r="U230" s="125"/>
      <c r="V230" s="125"/>
      <c r="W230" s="124"/>
      <c r="Z230" s="25"/>
      <c r="AA230" s="26"/>
      <c r="AB230" s="123" t="s">
        <v>17</v>
      </c>
      <c r="AC230" s="123"/>
      <c r="AD230" s="94"/>
      <c r="AE230" s="27"/>
      <c r="AG230" s="121" t="s">
        <v>18</v>
      </c>
      <c r="AH230" s="122"/>
      <c r="AI230" s="11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0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24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0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0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0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0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0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0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0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0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0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0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0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0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0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0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0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0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0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0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0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0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0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0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0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0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0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0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0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0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0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0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0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3" t="s">
        <v>17</v>
      </c>
      <c r="E285" s="123"/>
      <c r="F285" s="95"/>
      <c r="G285" s="27"/>
      <c r="I285" s="121" t="s">
        <v>18</v>
      </c>
      <c r="J285" s="122"/>
      <c r="K285" s="119" t="s">
        <v>19</v>
      </c>
      <c r="N285" s="25"/>
      <c r="O285" s="26"/>
      <c r="P285" s="123" t="s">
        <v>17</v>
      </c>
      <c r="Q285" s="123"/>
      <c r="R285" s="95"/>
      <c r="S285" s="27"/>
      <c r="U285" s="121" t="s">
        <v>18</v>
      </c>
      <c r="V285" s="122"/>
      <c r="W285" s="119" t="s">
        <v>19</v>
      </c>
      <c r="Z285" s="25"/>
      <c r="AA285" s="26"/>
      <c r="AB285" s="123" t="s">
        <v>17</v>
      </c>
      <c r="AC285" s="123"/>
      <c r="AD285" s="95"/>
      <c r="AE285" s="27"/>
      <c r="AG285" s="121" t="s">
        <v>18</v>
      </c>
      <c r="AH285" s="122"/>
      <c r="AI285" s="11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0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0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0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0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0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0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0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0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0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0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0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0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0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0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0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0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0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0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0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0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0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0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0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0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0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0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0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0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0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0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0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0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3" t="s">
        <v>17</v>
      </c>
      <c r="E340" s="123"/>
      <c r="F340" s="96"/>
      <c r="G340" s="27"/>
      <c r="I340" s="121" t="s">
        <v>18</v>
      </c>
      <c r="J340" s="122"/>
      <c r="K340" s="119" t="s">
        <v>19</v>
      </c>
      <c r="N340" s="25"/>
      <c r="O340" s="26"/>
      <c r="P340" s="123" t="s">
        <v>17</v>
      </c>
      <c r="Q340" s="123"/>
      <c r="R340" s="96"/>
      <c r="S340" s="27"/>
      <c r="U340" s="121" t="s">
        <v>18</v>
      </c>
      <c r="V340" s="122"/>
      <c r="W340" s="119" t="s">
        <v>19</v>
      </c>
      <c r="Z340" s="25"/>
      <c r="AA340" s="26"/>
      <c r="AB340" s="123" t="s">
        <v>17</v>
      </c>
      <c r="AC340" s="123"/>
      <c r="AD340" s="96"/>
      <c r="AE340" s="27"/>
      <c r="AG340" s="121" t="s">
        <v>18</v>
      </c>
      <c r="AH340" s="122"/>
      <c r="AI340" s="11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0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0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0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0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0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0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0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0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0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0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0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0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0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0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0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0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0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0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0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0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0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0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0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0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0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0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0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0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0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0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0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0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0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3" t="s">
        <v>17</v>
      </c>
      <c r="E395" s="123"/>
      <c r="F395" s="97"/>
      <c r="G395" s="27"/>
      <c r="I395" s="121" t="s">
        <v>18</v>
      </c>
      <c r="J395" s="122"/>
      <c r="K395" s="119" t="s">
        <v>19</v>
      </c>
      <c r="N395" s="25"/>
      <c r="O395" s="26"/>
      <c r="P395" s="123" t="s">
        <v>17</v>
      </c>
      <c r="Q395" s="123"/>
      <c r="R395" s="97"/>
      <c r="S395" s="27"/>
      <c r="U395" s="121" t="s">
        <v>18</v>
      </c>
      <c r="V395" s="122"/>
      <c r="W395" s="119" t="s">
        <v>19</v>
      </c>
      <c r="Z395" s="25"/>
      <c r="AA395" s="26"/>
      <c r="AB395" s="123" t="s">
        <v>17</v>
      </c>
      <c r="AC395" s="123"/>
      <c r="AD395" s="97"/>
      <c r="AE395" s="27"/>
      <c r="AG395" s="121" t="s">
        <v>18</v>
      </c>
      <c r="AH395" s="122"/>
      <c r="AI395" s="11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0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0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0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0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0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0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0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0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0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0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0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0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0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0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0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0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0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0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0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0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0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0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0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0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0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0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0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0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0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0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0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0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0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0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3" t="s">
        <v>17</v>
      </c>
      <c r="E450" s="123"/>
      <c r="F450" s="98"/>
      <c r="G450" s="27"/>
      <c r="I450" s="121" t="s">
        <v>18</v>
      </c>
      <c r="J450" s="122"/>
      <c r="K450" s="119" t="s">
        <v>19</v>
      </c>
      <c r="N450" s="25"/>
      <c r="O450" s="26"/>
      <c r="P450" s="123" t="s">
        <v>17</v>
      </c>
      <c r="Q450" s="123"/>
      <c r="R450" s="98"/>
      <c r="S450" s="27"/>
      <c r="U450" s="121" t="s">
        <v>18</v>
      </c>
      <c r="V450" s="122"/>
      <c r="W450" s="119" t="s">
        <v>19</v>
      </c>
      <c r="Z450" s="25"/>
      <c r="AA450" s="26"/>
      <c r="AB450" s="123" t="s">
        <v>17</v>
      </c>
      <c r="AC450" s="123"/>
      <c r="AD450" s="98"/>
      <c r="AE450" s="27"/>
      <c r="AG450" s="121" t="s">
        <v>18</v>
      </c>
      <c r="AH450" s="122"/>
      <c r="AI450" s="11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0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0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0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0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0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0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0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0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0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0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0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0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0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0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0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0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0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0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0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0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0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0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0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0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0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0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0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0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0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0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0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0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0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25"/>
      <c r="E505" s="125"/>
      <c r="F505" s="89"/>
      <c r="G505" s="89"/>
      <c r="H505" s="62"/>
      <c r="I505" s="125"/>
      <c r="J505" s="125"/>
      <c r="K505" s="124"/>
      <c r="N505" s="25"/>
      <c r="O505" s="26"/>
      <c r="P505" s="123" t="s">
        <v>17</v>
      </c>
      <c r="Q505" s="123"/>
      <c r="R505" s="99"/>
      <c r="S505" s="27"/>
      <c r="U505" s="121" t="s">
        <v>18</v>
      </c>
      <c r="V505" s="122"/>
      <c r="W505" s="119" t="s">
        <v>19</v>
      </c>
      <c r="Z505" s="25"/>
      <c r="AA505" s="26"/>
      <c r="AB505" s="123" t="s">
        <v>17</v>
      </c>
      <c r="AC505" s="123"/>
      <c r="AD505" s="99"/>
      <c r="AE505" s="27"/>
      <c r="AG505" s="121" t="s">
        <v>18</v>
      </c>
      <c r="AH505" s="122"/>
      <c r="AI505" s="11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24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0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3" t="s">
        <v>17</v>
      </c>
      <c r="E560" s="123"/>
      <c r="F560" s="100"/>
      <c r="G560" s="27"/>
      <c r="I560" s="121" t="s">
        <v>18</v>
      </c>
      <c r="J560" s="122"/>
      <c r="K560" s="119" t="s">
        <v>19</v>
      </c>
      <c r="N560" s="25"/>
      <c r="O560" s="26"/>
      <c r="P560" s="123" t="s">
        <v>17</v>
      </c>
      <c r="Q560" s="123"/>
      <c r="R560" s="100"/>
      <c r="S560" s="27"/>
      <c r="U560" s="121" t="s">
        <v>18</v>
      </c>
      <c r="V560" s="122"/>
      <c r="W560" s="119" t="s">
        <v>19</v>
      </c>
      <c r="Z560" s="25"/>
      <c r="AA560" s="26"/>
      <c r="AB560" s="123" t="s">
        <v>17</v>
      </c>
      <c r="AC560" s="123"/>
      <c r="AD560" s="100"/>
      <c r="AE560" s="27"/>
      <c r="AG560" s="121" t="s">
        <v>18</v>
      </c>
      <c r="AH560" s="122"/>
      <c r="AI560" s="11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20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0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0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0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0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0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0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0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0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0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0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0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0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0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0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0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0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0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0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0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0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0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0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0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0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0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0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0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0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0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0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3" t="s">
        <v>17</v>
      </c>
      <c r="E615" s="123"/>
      <c r="F615" s="101"/>
      <c r="G615" s="27"/>
      <c r="I615" s="121" t="s">
        <v>18</v>
      </c>
      <c r="J615" s="122"/>
      <c r="K615" s="119" t="s">
        <v>19</v>
      </c>
      <c r="M615" s="62"/>
      <c r="N615" s="65"/>
      <c r="O615" s="89"/>
      <c r="P615" s="125"/>
      <c r="Q615" s="125"/>
      <c r="R615" s="89"/>
      <c r="S615" s="89"/>
      <c r="T615" s="62"/>
      <c r="U615" s="125"/>
      <c r="V615" s="125"/>
      <c r="W615" s="124"/>
      <c r="Z615" s="25"/>
      <c r="AA615" s="26"/>
      <c r="AB615" s="123" t="s">
        <v>17</v>
      </c>
      <c r="AC615" s="123"/>
      <c r="AD615" s="101"/>
      <c r="AE615" s="27"/>
      <c r="AG615" s="121" t="s">
        <v>18</v>
      </c>
      <c r="AH615" s="122"/>
      <c r="AI615" s="11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0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24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0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0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0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0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0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0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0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0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0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0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0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0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0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0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0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0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0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0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0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0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0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0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0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0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0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0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0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0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0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0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0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0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3" t="s">
        <v>17</v>
      </c>
      <c r="E670" s="123"/>
      <c r="F670" s="102"/>
      <c r="G670" s="27"/>
      <c r="I670" s="121" t="s">
        <v>18</v>
      </c>
      <c r="J670" s="122"/>
      <c r="K670" s="119" t="s">
        <v>19</v>
      </c>
      <c r="N670" s="25"/>
      <c r="O670" s="26"/>
      <c r="P670" s="123" t="s">
        <v>17</v>
      </c>
      <c r="Q670" s="123"/>
      <c r="R670" s="102"/>
      <c r="S670" s="27"/>
      <c r="U670" s="121" t="s">
        <v>18</v>
      </c>
      <c r="V670" s="122"/>
      <c r="W670" s="119" t="s">
        <v>19</v>
      </c>
      <c r="Z670" s="25"/>
      <c r="AA670" s="26"/>
      <c r="AB670" s="123" t="s">
        <v>17</v>
      </c>
      <c r="AC670" s="123"/>
      <c r="AD670" s="102"/>
      <c r="AE670" s="27"/>
      <c r="AG670" s="121" t="s">
        <v>18</v>
      </c>
      <c r="AH670" s="122"/>
      <c r="AI670" s="11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0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0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0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90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90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90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90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90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90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90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90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90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90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90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90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90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90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90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0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90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90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0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0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90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90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90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90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90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0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0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90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0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0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40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3" t="s">
        <v>17</v>
      </c>
      <c r="E725" s="123"/>
      <c r="F725" s="103"/>
      <c r="G725" s="27"/>
      <c r="I725" s="121" t="s">
        <v>18</v>
      </c>
      <c r="J725" s="122"/>
      <c r="K725" s="119" t="s">
        <v>19</v>
      </c>
      <c r="N725" s="25"/>
      <c r="O725" s="26"/>
      <c r="P725" s="123" t="s">
        <v>17</v>
      </c>
      <c r="Q725" s="123"/>
      <c r="R725" s="103"/>
      <c r="S725" s="27"/>
      <c r="U725" s="121" t="s">
        <v>18</v>
      </c>
      <c r="V725" s="122"/>
      <c r="W725" s="119" t="s">
        <v>19</v>
      </c>
      <c r="Z725" s="25"/>
      <c r="AA725" s="26"/>
      <c r="AB725" s="123" t="s">
        <v>17</v>
      </c>
      <c r="AC725" s="123"/>
      <c r="AD725" s="103"/>
      <c r="AE725" s="27"/>
      <c r="AG725" s="121" t="s">
        <v>18</v>
      </c>
      <c r="AH725" s="122"/>
      <c r="AI725" s="11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0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0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0">
        <v>7268</v>
      </c>
      <c r="D727" s="32">
        <f>3756+57</f>
        <v>3813</v>
      </c>
      <c r="E727" s="32"/>
      <c r="F727" s="32"/>
      <c r="G727" s="32">
        <f t="shared" ref="G727:G760" si="200">SUM(D727:E727)</f>
        <v>3813</v>
      </c>
      <c r="H727" s="12"/>
      <c r="I727" s="12"/>
      <c r="J727" s="12"/>
      <c r="K727" s="12">
        <f t="shared" ref="K727:K760" si="201">SUM(G727:J727)</f>
        <v>3813</v>
      </c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90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59" si="202">SUM(P728:Q728)</f>
        <v>5719.5</v>
      </c>
      <c r="T728" s="12"/>
      <c r="U728" s="12"/>
      <c r="V728" s="12">
        <v>-666</v>
      </c>
      <c r="W728" s="12">
        <f t="shared" ref="W728:W768" si="203">SUM(S728:V728)</f>
        <v>5053.5</v>
      </c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65" si="204">SUM(AB728:AC728)</f>
        <v>269829</v>
      </c>
      <c r="AF728" s="12"/>
      <c r="AG728" s="12">
        <f>360+546+252</f>
        <v>1158</v>
      </c>
      <c r="AH728" s="12"/>
      <c r="AI728" s="12">
        <f t="shared" ref="AI728:AI768" si="205">SUM(AE728:AH728)</f>
        <v>270987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90">
        <f t="shared" ref="C729:C748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M729" s="10">
        <v>3</v>
      </c>
      <c r="N729" s="30" t="s">
        <v>78</v>
      </c>
      <c r="O729" s="31">
        <f t="shared" ref="O729:O733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Y729" s="10">
        <v>3</v>
      </c>
      <c r="Z729" s="30" t="s">
        <v>78</v>
      </c>
      <c r="AA729" s="31">
        <f t="shared" ref="AA729:AA730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90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90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90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90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90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90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90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90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90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90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90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90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90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90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90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90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90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90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90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90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90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90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90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90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90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0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90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0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0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M760" s="10">
        <v>34</v>
      </c>
      <c r="N760" s="30"/>
      <c r="P760" s="47"/>
      <c r="Q760" s="31"/>
      <c r="R760" s="31"/>
      <c r="S760" s="32">
        <f t="shared" ref="S760:S765" si="209">SUM(P760:Q760)</f>
        <v>0</v>
      </c>
      <c r="T760" s="10"/>
      <c r="U760" s="10"/>
      <c r="V760" s="10"/>
      <c r="W760" s="12">
        <f t="shared" si="203"/>
        <v>0</v>
      </c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180919</v>
      </c>
      <c r="E770" s="38">
        <f t="shared" ref="E770:F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19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42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3" t="s">
        <v>17</v>
      </c>
      <c r="E780" s="123"/>
      <c r="F780" s="104"/>
      <c r="G780" s="27"/>
      <c r="I780" s="121" t="s">
        <v>18</v>
      </c>
      <c r="J780" s="122"/>
      <c r="K780" s="119" t="s">
        <v>19</v>
      </c>
      <c r="N780" s="25"/>
      <c r="O780" s="26"/>
      <c r="P780" s="123" t="s">
        <v>17</v>
      </c>
      <c r="Q780" s="123"/>
      <c r="R780" s="104"/>
      <c r="S780" s="27"/>
      <c r="U780" s="121" t="s">
        <v>18</v>
      </c>
      <c r="V780" s="122"/>
      <c r="W780" s="119" t="s">
        <v>19</v>
      </c>
      <c r="Z780" s="25"/>
      <c r="AA780" s="26"/>
      <c r="AB780" s="123" t="s">
        <v>17</v>
      </c>
      <c r="AC780" s="123"/>
      <c r="AD780" s="104"/>
      <c r="AE780" s="27"/>
      <c r="AG780" s="121" t="s">
        <v>18</v>
      </c>
      <c r="AH780" s="122"/>
      <c r="AI780" s="119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0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0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0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0">
        <v>7290</v>
      </c>
      <c r="D782" s="32">
        <f>67608+2350+1102+2350+25560+10050+24960+916+650</f>
        <v>135546</v>
      </c>
      <c r="E782" s="32">
        <v>-1692</v>
      </c>
      <c r="F782" s="32"/>
      <c r="G782" s="32">
        <f t="shared" ref="G782:G815" si="215">SUM(D782:E782)</f>
        <v>133854</v>
      </c>
      <c r="H782" s="12"/>
      <c r="I782" s="12"/>
      <c r="J782" s="12">
        <f>-83916+-936+-7881</f>
        <v>-92733</v>
      </c>
      <c r="K782" s="12">
        <f t="shared" ref="K782:K815" si="216">SUM(G782:J782)</f>
        <v>41121</v>
      </c>
      <c r="M782" s="10">
        <v>1</v>
      </c>
      <c r="N782" s="30" t="s">
        <v>81</v>
      </c>
      <c r="O782" s="31">
        <v>7220</v>
      </c>
      <c r="P782" s="32">
        <f>135216+6140+29800+2519</f>
        <v>173675</v>
      </c>
      <c r="Q782" s="32">
        <v>-2583</v>
      </c>
      <c r="R782" s="32"/>
      <c r="S782" s="32">
        <f>SUM(P782:Q782)</f>
        <v>171092</v>
      </c>
      <c r="T782" s="12"/>
      <c r="U782" s="12">
        <v>468</v>
      </c>
      <c r="V782" s="12">
        <f>-1554+-338</f>
        <v>-1892</v>
      </c>
      <c r="W782" s="12">
        <f>SUM(S782:V782)</f>
        <v>169668</v>
      </c>
      <c r="Y782" s="10">
        <v>1</v>
      </c>
      <c r="Z782" s="30" t="s">
        <v>81</v>
      </c>
      <c r="AA782" s="31">
        <v>7141</v>
      </c>
      <c r="AB782" s="32">
        <f>62600+29800+1374+1300</f>
        <v>95074</v>
      </c>
      <c r="AC782" s="32">
        <v>-948</v>
      </c>
      <c r="AD782" s="32"/>
      <c r="AE782" s="32">
        <f>SUM(AB782:AC782)</f>
        <v>94126</v>
      </c>
      <c r="AF782" s="12"/>
      <c r="AG782" s="12"/>
      <c r="AH782" s="12"/>
      <c r="AI782" s="12">
        <f>SUM(AE782:AH782)</f>
        <v>94126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90">
        <f>C782+1</f>
        <v>7291</v>
      </c>
      <c r="D783" s="32">
        <f>8764+133</f>
        <v>8897</v>
      </c>
      <c r="E783" s="32"/>
      <c r="F783" s="32"/>
      <c r="G783" s="32">
        <f t="shared" si="215"/>
        <v>8897</v>
      </c>
      <c r="H783" s="12"/>
      <c r="I783" s="12"/>
      <c r="J783" s="12"/>
      <c r="K783" s="12">
        <f t="shared" si="216"/>
        <v>8897</v>
      </c>
      <c r="M783" s="10">
        <v>2</v>
      </c>
      <c r="N783" s="30" t="s">
        <v>81</v>
      </c>
      <c r="O783" s="31">
        <f>O782+1</f>
        <v>7221</v>
      </c>
      <c r="P783" s="32">
        <f>4382+229</f>
        <v>4611</v>
      </c>
      <c r="Q783" s="32"/>
      <c r="R783" s="32"/>
      <c r="S783" s="32">
        <f t="shared" ref="S783:S814" si="217">SUM(P783:Q783)</f>
        <v>4611</v>
      </c>
      <c r="T783" s="12"/>
      <c r="U783" s="12"/>
      <c r="V783" s="12"/>
      <c r="W783" s="12">
        <f t="shared" ref="W783:W823" si="218">SUM(S783:V783)</f>
        <v>4611</v>
      </c>
      <c r="Y783" s="10">
        <v>2</v>
      </c>
      <c r="Z783" s="30" t="s">
        <v>81</v>
      </c>
      <c r="AA783" s="31">
        <f>AA782+1</f>
        <v>7142</v>
      </c>
      <c r="AB783" s="32">
        <f>1252+229</f>
        <v>1481</v>
      </c>
      <c r="AC783" s="32"/>
      <c r="AD783" s="32"/>
      <c r="AE783" s="32">
        <f t="shared" ref="AE783:AE820" si="219">SUM(AB783:AC783)</f>
        <v>1481</v>
      </c>
      <c r="AF783" s="12"/>
      <c r="AG783" s="12"/>
      <c r="AH783" s="12"/>
      <c r="AI783" s="12">
        <f t="shared" ref="AI783:AI823" si="220">SUM(AE783:AH783)</f>
        <v>1481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90">
        <f t="shared" ref="C784:C787" si="221">C783+1</f>
        <v>7292</v>
      </c>
      <c r="D784" s="33">
        <f>6886+104.5</f>
        <v>6990.5</v>
      </c>
      <c r="E784" s="33"/>
      <c r="F784" s="33"/>
      <c r="G784" s="33">
        <f t="shared" si="215"/>
        <v>6990.5</v>
      </c>
      <c r="H784" s="34"/>
      <c r="I784" s="34"/>
      <c r="J784" s="34"/>
      <c r="K784" s="34">
        <f t="shared" si="216"/>
        <v>6990.5</v>
      </c>
      <c r="M784" s="10">
        <v>3</v>
      </c>
      <c r="N784" s="30" t="s">
        <v>81</v>
      </c>
      <c r="O784" s="31">
        <f t="shared" ref="O784" si="222">O783+1</f>
        <v>7222</v>
      </c>
      <c r="P784" s="32">
        <f>1252+19</f>
        <v>1271</v>
      </c>
      <c r="Q784" s="32"/>
      <c r="R784" s="32"/>
      <c r="S784" s="32">
        <f t="shared" si="217"/>
        <v>1271</v>
      </c>
      <c r="T784" s="12"/>
      <c r="U784" s="12">
        <v>111</v>
      </c>
      <c r="V784" s="12"/>
      <c r="W784" s="12">
        <f t="shared" si="218"/>
        <v>1382</v>
      </c>
      <c r="Y784" s="10">
        <v>3</v>
      </c>
      <c r="Z784" s="30" t="s">
        <v>81</v>
      </c>
      <c r="AA784" s="31">
        <f t="shared" ref="AA784:AA791" si="223">AA783+1</f>
        <v>7143</v>
      </c>
      <c r="AB784" s="33">
        <f>7512+614+832+114</f>
        <v>9072</v>
      </c>
      <c r="AC784" s="33"/>
      <c r="AD784" s="32"/>
      <c r="AE784" s="32">
        <f t="shared" si="219"/>
        <v>9072</v>
      </c>
      <c r="AF784" s="12"/>
      <c r="AG784" s="12">
        <v>33</v>
      </c>
      <c r="AH784" s="12"/>
      <c r="AI784" s="12">
        <f t="shared" si="220"/>
        <v>9105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90">
        <f t="shared" si="221"/>
        <v>7293</v>
      </c>
      <c r="D785" s="32">
        <f>6260+650</f>
        <v>6910</v>
      </c>
      <c r="E785" s="32"/>
      <c r="F785" s="32"/>
      <c r="G785" s="32">
        <f t="shared" si="215"/>
        <v>6910</v>
      </c>
      <c r="H785" s="12"/>
      <c r="I785" s="12"/>
      <c r="J785" s="12"/>
      <c r="K785" s="12">
        <f t="shared" si="216"/>
        <v>6910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17"/>
        <v>0</v>
      </c>
      <c r="T785" s="12"/>
      <c r="U785" s="12"/>
      <c r="V785" s="12"/>
      <c r="W785" s="12">
        <f t="shared" si="218"/>
        <v>0</v>
      </c>
      <c r="Y785" s="10">
        <v>4</v>
      </c>
      <c r="Z785" s="30" t="s">
        <v>81</v>
      </c>
      <c r="AA785" s="31">
        <f t="shared" si="223"/>
        <v>7144</v>
      </c>
      <c r="AB785" s="32">
        <f>6260+9.5*10</f>
        <v>6355</v>
      </c>
      <c r="AC785" s="32"/>
      <c r="AD785" s="32"/>
      <c r="AE785" s="32">
        <f t="shared" si="219"/>
        <v>6355</v>
      </c>
      <c r="AF785" s="12"/>
      <c r="AH785" s="12"/>
      <c r="AI785" s="12">
        <f t="shared" si="220"/>
        <v>6355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90">
        <f t="shared" si="221"/>
        <v>7294</v>
      </c>
      <c r="D786" s="32">
        <f>55693+4260+5025</f>
        <v>64978</v>
      </c>
      <c r="E786" s="32"/>
      <c r="F786" s="32"/>
      <c r="G786" s="32">
        <f t="shared" si="215"/>
        <v>64978</v>
      </c>
      <c r="H786" s="12"/>
      <c r="I786" s="12"/>
      <c r="J786" s="12"/>
      <c r="K786" s="12">
        <f t="shared" si="216"/>
        <v>64978</v>
      </c>
      <c r="M786" s="10">
        <v>5</v>
      </c>
      <c r="N786" s="30"/>
      <c r="O786" s="31"/>
      <c r="P786" s="32"/>
      <c r="Q786" s="32"/>
      <c r="R786" s="32"/>
      <c r="S786" s="32">
        <f t="shared" si="217"/>
        <v>0</v>
      </c>
      <c r="T786" s="12"/>
      <c r="U786" s="12"/>
      <c r="V786" s="12"/>
      <c r="W786" s="12">
        <f t="shared" si="218"/>
        <v>0</v>
      </c>
      <c r="Y786" s="10">
        <v>5</v>
      </c>
      <c r="Z786" s="30" t="s">
        <v>81</v>
      </c>
      <c r="AA786" s="31">
        <f t="shared" si="223"/>
        <v>7145</v>
      </c>
      <c r="AB786" s="32">
        <f>3130+596+229</f>
        <v>3955</v>
      </c>
      <c r="AC786" s="32"/>
      <c r="AD786" s="32"/>
      <c r="AE786" s="32">
        <f t="shared" si="219"/>
        <v>3955</v>
      </c>
      <c r="AF786" s="12"/>
      <c r="AG786" s="12"/>
      <c r="AH786" s="12"/>
      <c r="AI786" s="12">
        <f t="shared" si="220"/>
        <v>3955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90">
        <f t="shared" si="221"/>
        <v>7295</v>
      </c>
      <c r="D787" s="32"/>
      <c r="E787" s="32"/>
      <c r="F787" s="32"/>
      <c r="G787" s="32">
        <f t="shared" si="215"/>
        <v>0</v>
      </c>
      <c r="H787" s="12"/>
      <c r="I787" s="12">
        <v>8400</v>
      </c>
      <c r="J787" s="12"/>
      <c r="K787" s="12">
        <f t="shared" si="216"/>
        <v>8400</v>
      </c>
      <c r="M787" s="10">
        <v>6</v>
      </c>
      <c r="N787" s="30"/>
      <c r="O787" s="31"/>
      <c r="P787" s="32"/>
      <c r="Q787" s="32"/>
      <c r="R787" s="32"/>
      <c r="S787" s="32">
        <f t="shared" si="217"/>
        <v>0</v>
      </c>
      <c r="T787" s="12"/>
      <c r="U787" s="12"/>
      <c r="V787" s="10"/>
      <c r="W787" s="12">
        <f t="shared" si="218"/>
        <v>0</v>
      </c>
      <c r="Y787" s="10">
        <v>6</v>
      </c>
      <c r="Z787" s="30" t="s">
        <v>81</v>
      </c>
      <c r="AA787" s="31">
        <f t="shared" si="223"/>
        <v>7146</v>
      </c>
      <c r="AB787" s="32">
        <f>6260+95</f>
        <v>6355</v>
      </c>
      <c r="AC787" s="32"/>
      <c r="AD787" s="32"/>
      <c r="AE787" s="32">
        <f t="shared" si="219"/>
        <v>6355</v>
      </c>
      <c r="AF787" s="12"/>
      <c r="AG787" s="12"/>
      <c r="AH787" s="10"/>
      <c r="AI787" s="12">
        <f t="shared" si="220"/>
        <v>6355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11" t="s">
        <v>27</v>
      </c>
      <c r="D788" s="32"/>
      <c r="E788" s="32"/>
      <c r="F788" s="32"/>
      <c r="G788" s="32">
        <f t="shared" si="215"/>
        <v>0</v>
      </c>
      <c r="H788" s="12"/>
      <c r="I788" s="12"/>
      <c r="J788" s="12"/>
      <c r="K788" s="12">
        <f t="shared" si="216"/>
        <v>0</v>
      </c>
      <c r="M788" s="10">
        <v>7</v>
      </c>
      <c r="N788" s="30"/>
      <c r="O788" s="31"/>
      <c r="P788" s="32"/>
      <c r="Q788" s="32"/>
      <c r="R788" s="32"/>
      <c r="S788" s="32">
        <f t="shared" si="217"/>
        <v>0</v>
      </c>
      <c r="T788" s="12"/>
      <c r="U788" s="12"/>
      <c r="V788" s="12"/>
      <c r="W788" s="12">
        <f t="shared" si="218"/>
        <v>0</v>
      </c>
      <c r="Y788" s="10">
        <v>7</v>
      </c>
      <c r="Z788" s="30" t="s">
        <v>81</v>
      </c>
      <c r="AA788" s="31">
        <f t="shared" si="223"/>
        <v>7147</v>
      </c>
      <c r="AB788" s="32">
        <f>2504+502.5+416+38</f>
        <v>3460.5</v>
      </c>
      <c r="AC788" s="32"/>
      <c r="AD788" s="32"/>
      <c r="AE788" s="32">
        <f t="shared" si="219"/>
        <v>3460.5</v>
      </c>
      <c r="AF788" s="12"/>
      <c r="AG788" s="58"/>
      <c r="AH788" s="12"/>
      <c r="AI788" s="12">
        <f t="shared" si="220"/>
        <v>3460.5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90"/>
      <c r="D789" s="32"/>
      <c r="E789" s="32"/>
      <c r="F789" s="32"/>
      <c r="G789" s="32">
        <f t="shared" si="215"/>
        <v>0</v>
      </c>
      <c r="H789" s="12"/>
      <c r="I789" s="12"/>
      <c r="J789" s="12"/>
      <c r="K789" s="12">
        <f t="shared" si="216"/>
        <v>0</v>
      </c>
      <c r="M789" s="10">
        <v>8</v>
      </c>
      <c r="N789" s="30"/>
      <c r="P789" s="32"/>
      <c r="Q789" s="32"/>
      <c r="R789" s="32"/>
      <c r="S789" s="32">
        <f t="shared" si="217"/>
        <v>0</v>
      </c>
      <c r="T789" s="12"/>
      <c r="U789" s="12"/>
      <c r="V789" s="12"/>
      <c r="W789" s="12">
        <f t="shared" si="218"/>
        <v>0</v>
      </c>
      <c r="Y789" s="10">
        <v>8</v>
      </c>
      <c r="Z789" s="30" t="s">
        <v>81</v>
      </c>
      <c r="AA789" s="31">
        <f t="shared" si="223"/>
        <v>7148</v>
      </c>
      <c r="AB789" s="32">
        <f>1252+19</f>
        <v>1271</v>
      </c>
      <c r="AC789" s="32"/>
      <c r="AE789" s="32">
        <f t="shared" si="219"/>
        <v>1271</v>
      </c>
      <c r="AF789" s="12"/>
      <c r="AG789" s="12"/>
      <c r="AH789" s="12"/>
      <c r="AI789" s="12">
        <f t="shared" si="220"/>
        <v>1271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90"/>
      <c r="D790" s="32"/>
      <c r="E790" s="32"/>
      <c r="F790" s="32"/>
      <c r="G790" s="32">
        <f t="shared" si="215"/>
        <v>0</v>
      </c>
      <c r="H790" s="12"/>
      <c r="I790" s="12"/>
      <c r="J790" s="12"/>
      <c r="K790" s="12">
        <f t="shared" si="216"/>
        <v>0</v>
      </c>
      <c r="M790" s="10">
        <v>9</v>
      </c>
      <c r="N790" s="30"/>
      <c r="O790" s="31"/>
      <c r="P790" s="32"/>
      <c r="Q790" s="32"/>
      <c r="R790" s="32"/>
      <c r="S790" s="32">
        <f t="shared" si="217"/>
        <v>0</v>
      </c>
      <c r="T790" s="12"/>
      <c r="U790" s="12"/>
      <c r="V790" s="12"/>
      <c r="W790" s="12">
        <f t="shared" si="218"/>
        <v>0</v>
      </c>
      <c r="Y790" s="10">
        <v>9</v>
      </c>
      <c r="Z790" s="30" t="s">
        <v>81</v>
      </c>
      <c r="AA790" s="31">
        <f t="shared" si="223"/>
        <v>7149</v>
      </c>
      <c r="AB790" s="32">
        <f>4382+66.5</f>
        <v>4448.5</v>
      </c>
      <c r="AC790" s="32"/>
      <c r="AD790" s="32"/>
      <c r="AE790" s="32">
        <f t="shared" si="219"/>
        <v>4448.5</v>
      </c>
      <c r="AF790" s="12"/>
      <c r="AG790" s="58"/>
      <c r="AH790" s="12"/>
      <c r="AI790" s="12">
        <f t="shared" si="220"/>
        <v>4448.5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0"/>
      <c r="D791" s="32"/>
      <c r="E791" s="32"/>
      <c r="F791" s="32"/>
      <c r="G791" s="32">
        <f t="shared" si="215"/>
        <v>0</v>
      </c>
      <c r="H791" s="12"/>
      <c r="I791" s="12"/>
      <c r="J791" s="12"/>
      <c r="K791" s="12">
        <f t="shared" si="216"/>
        <v>0</v>
      </c>
      <c r="M791" s="10">
        <v>10</v>
      </c>
      <c r="N791" s="30"/>
      <c r="O791" s="31"/>
      <c r="P791" s="32"/>
      <c r="Q791" s="32"/>
      <c r="R791" s="32"/>
      <c r="S791" s="32">
        <f t="shared" si="217"/>
        <v>0</v>
      </c>
      <c r="T791" s="12"/>
      <c r="U791" s="12"/>
      <c r="V791" s="12"/>
      <c r="W791" s="12">
        <f t="shared" si="218"/>
        <v>0</v>
      </c>
      <c r="Y791" s="10">
        <v>10</v>
      </c>
      <c r="Z791" s="30" t="s">
        <v>81</v>
      </c>
      <c r="AA791" s="31">
        <f t="shared" si="223"/>
        <v>7150</v>
      </c>
      <c r="AB791" s="32">
        <f>13146</f>
        <v>13146</v>
      </c>
      <c r="AC791" s="32"/>
      <c r="AD791" s="32"/>
      <c r="AE791" s="32">
        <f t="shared" si="219"/>
        <v>13146</v>
      </c>
      <c r="AF791" s="12"/>
      <c r="AG791" s="12"/>
      <c r="AH791" s="12"/>
      <c r="AI791" s="12">
        <f t="shared" si="220"/>
        <v>13146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0"/>
      <c r="D792" s="32"/>
      <c r="E792" s="32"/>
      <c r="F792" s="32"/>
      <c r="G792" s="32">
        <f t="shared" si="215"/>
        <v>0</v>
      </c>
      <c r="H792" s="12"/>
      <c r="I792" s="12"/>
      <c r="J792" s="12"/>
      <c r="K792" s="12">
        <f t="shared" si="216"/>
        <v>0</v>
      </c>
      <c r="M792" s="10">
        <v>11</v>
      </c>
      <c r="N792" s="30"/>
      <c r="O792" s="31"/>
      <c r="P792" s="32"/>
      <c r="Q792" s="32"/>
      <c r="R792" s="32"/>
      <c r="S792" s="32">
        <f t="shared" si="217"/>
        <v>0</v>
      </c>
      <c r="T792" s="12"/>
      <c r="U792" s="12"/>
      <c r="V792" s="12"/>
      <c r="W792" s="12">
        <f t="shared" si="218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19"/>
        <v>0</v>
      </c>
      <c r="AF792" s="12"/>
      <c r="AG792" s="12"/>
      <c r="AH792" s="12"/>
      <c r="AI792" s="12">
        <f t="shared" si="220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0"/>
      <c r="D793" s="32"/>
      <c r="E793" s="32"/>
      <c r="F793" s="32"/>
      <c r="G793" s="32">
        <f t="shared" si="215"/>
        <v>0</v>
      </c>
      <c r="H793" s="12"/>
      <c r="I793" s="12"/>
      <c r="J793" s="10"/>
      <c r="K793" s="12">
        <f t="shared" si="216"/>
        <v>0</v>
      </c>
      <c r="M793" s="10">
        <v>12</v>
      </c>
      <c r="N793" s="30"/>
      <c r="O793" s="31"/>
      <c r="P793" s="32"/>
      <c r="Q793" s="32"/>
      <c r="R793" s="32"/>
      <c r="S793" s="32">
        <f t="shared" si="217"/>
        <v>0</v>
      </c>
      <c r="T793" s="12"/>
      <c r="U793" s="12"/>
      <c r="V793" s="12"/>
      <c r="W793" s="12">
        <f t="shared" si="218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9"/>
        <v>0</v>
      </c>
      <c r="AF793" s="12"/>
      <c r="AG793" s="12"/>
      <c r="AH793" s="12"/>
      <c r="AI793" s="12">
        <f t="shared" si="220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0"/>
      <c r="D794" s="32"/>
      <c r="E794" s="32"/>
      <c r="F794" s="32"/>
      <c r="G794" s="32">
        <f t="shared" si="215"/>
        <v>0</v>
      </c>
      <c r="H794" s="12"/>
      <c r="I794" s="12"/>
      <c r="J794" s="12"/>
      <c r="K794" s="12">
        <f t="shared" si="216"/>
        <v>0</v>
      </c>
      <c r="M794" s="10">
        <v>13</v>
      </c>
      <c r="N794" s="30"/>
      <c r="O794" s="31"/>
      <c r="P794" s="32"/>
      <c r="Q794" s="32"/>
      <c r="R794" s="32"/>
      <c r="S794" s="32">
        <f t="shared" si="217"/>
        <v>0</v>
      </c>
      <c r="T794" s="12"/>
      <c r="U794" s="12"/>
      <c r="V794" s="12"/>
      <c r="W794" s="12">
        <f t="shared" si="218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9"/>
        <v>0</v>
      </c>
      <c r="AF794" s="12"/>
      <c r="AG794" s="12"/>
      <c r="AH794" s="12"/>
      <c r="AI794" s="12">
        <f t="shared" si="220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0"/>
      <c r="D795" s="32"/>
      <c r="E795" s="32"/>
      <c r="F795" s="32"/>
      <c r="G795" s="32">
        <f t="shared" si="215"/>
        <v>0</v>
      </c>
      <c r="H795" s="12"/>
      <c r="I795" s="12"/>
      <c r="J795" s="12"/>
      <c r="K795" s="12">
        <f t="shared" si="216"/>
        <v>0</v>
      </c>
      <c r="M795" s="10">
        <v>14</v>
      </c>
      <c r="N795" s="30"/>
      <c r="O795" s="31"/>
      <c r="P795" s="32"/>
      <c r="Q795" s="32"/>
      <c r="R795" s="32"/>
      <c r="S795" s="32">
        <f t="shared" si="217"/>
        <v>0</v>
      </c>
      <c r="T795" s="12"/>
      <c r="U795" s="12"/>
      <c r="V795" s="12"/>
      <c r="W795" s="12">
        <f t="shared" si="218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9"/>
        <v>0</v>
      </c>
      <c r="AF795" s="12"/>
      <c r="AG795" s="12"/>
      <c r="AH795" s="12"/>
      <c r="AI795" s="12">
        <f t="shared" si="220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0"/>
      <c r="D796" s="32"/>
      <c r="E796" s="32"/>
      <c r="F796" s="32"/>
      <c r="G796" s="32">
        <f t="shared" si="215"/>
        <v>0</v>
      </c>
      <c r="H796" s="12"/>
      <c r="I796" s="12"/>
      <c r="J796" s="12"/>
      <c r="K796" s="12">
        <f t="shared" si="216"/>
        <v>0</v>
      </c>
      <c r="M796" s="10">
        <v>15</v>
      </c>
      <c r="N796" s="30"/>
      <c r="O796" s="31"/>
      <c r="P796" s="32"/>
      <c r="Q796" s="32"/>
      <c r="R796" s="32"/>
      <c r="S796" s="32">
        <f t="shared" si="217"/>
        <v>0</v>
      </c>
      <c r="T796" s="12"/>
      <c r="U796" s="12"/>
      <c r="V796" s="12"/>
      <c r="W796" s="12">
        <f t="shared" si="218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9"/>
        <v>0</v>
      </c>
      <c r="AF796" s="12"/>
      <c r="AG796" s="12"/>
      <c r="AH796" s="12"/>
      <c r="AI796" s="12">
        <f t="shared" si="220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0"/>
      <c r="D797" s="32"/>
      <c r="E797" s="32"/>
      <c r="F797" s="32"/>
      <c r="G797" s="32">
        <f t="shared" si="215"/>
        <v>0</v>
      </c>
      <c r="H797" s="12"/>
      <c r="I797" s="12"/>
      <c r="J797" s="12"/>
      <c r="K797" s="12">
        <f t="shared" si="216"/>
        <v>0</v>
      </c>
      <c r="M797" s="10">
        <v>16</v>
      </c>
      <c r="N797" s="30"/>
      <c r="O797" s="31"/>
      <c r="P797" s="32"/>
      <c r="Q797" s="32"/>
      <c r="R797" s="32"/>
      <c r="S797" s="32">
        <f t="shared" si="217"/>
        <v>0</v>
      </c>
      <c r="T797" s="12"/>
      <c r="U797" s="12"/>
      <c r="V797" s="12"/>
      <c r="W797" s="12">
        <f t="shared" si="218"/>
        <v>0</v>
      </c>
      <c r="Y797" s="10">
        <v>16</v>
      </c>
      <c r="Z797" s="30"/>
      <c r="AB797" s="32"/>
      <c r="AC797" s="32"/>
      <c r="AD797" s="32"/>
      <c r="AE797" s="32">
        <f t="shared" si="219"/>
        <v>0</v>
      </c>
      <c r="AF797" s="12"/>
      <c r="AG797" s="12"/>
      <c r="AH797" s="12"/>
      <c r="AI797" s="12">
        <f t="shared" si="220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0"/>
      <c r="D798" s="32"/>
      <c r="E798" s="32"/>
      <c r="F798" s="32"/>
      <c r="G798" s="32">
        <f t="shared" si="215"/>
        <v>0</v>
      </c>
      <c r="H798" s="12"/>
      <c r="I798" s="12"/>
      <c r="J798" s="12"/>
      <c r="K798" s="12">
        <f t="shared" si="216"/>
        <v>0</v>
      </c>
      <c r="M798" s="10">
        <v>17</v>
      </c>
      <c r="N798" s="30"/>
      <c r="O798" s="31"/>
      <c r="P798" s="35"/>
      <c r="Q798" s="32"/>
      <c r="R798" s="32"/>
      <c r="S798" s="32">
        <f t="shared" si="217"/>
        <v>0</v>
      </c>
      <c r="T798" s="12"/>
      <c r="U798" s="12"/>
      <c r="V798" s="12"/>
      <c r="W798" s="12">
        <f t="shared" si="218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9"/>
        <v>0</v>
      </c>
      <c r="AF798" s="12"/>
      <c r="AG798" s="12"/>
      <c r="AH798" s="12"/>
      <c r="AI798" s="12">
        <f t="shared" si="220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90"/>
      <c r="D799" s="32"/>
      <c r="E799" s="32"/>
      <c r="F799" s="32"/>
      <c r="G799" s="32">
        <f t="shared" si="215"/>
        <v>0</v>
      </c>
      <c r="H799" s="12"/>
      <c r="I799" s="12"/>
      <c r="J799" s="12"/>
      <c r="K799" s="12">
        <f t="shared" si="216"/>
        <v>0</v>
      </c>
      <c r="M799" s="10">
        <v>18</v>
      </c>
      <c r="N799" s="30"/>
      <c r="O799" s="31"/>
      <c r="P799" s="32"/>
      <c r="Q799" s="32"/>
      <c r="R799" s="32"/>
      <c r="S799" s="32">
        <f t="shared" si="217"/>
        <v>0</v>
      </c>
      <c r="T799" s="12"/>
      <c r="U799" s="12"/>
      <c r="V799" s="12"/>
      <c r="W799" s="12">
        <f t="shared" si="218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19"/>
        <v>0</v>
      </c>
      <c r="AF799" s="12"/>
      <c r="AG799" s="12"/>
      <c r="AH799" s="12"/>
      <c r="AI799" s="12">
        <f t="shared" si="220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0"/>
      <c r="D800" s="32"/>
      <c r="E800" s="32"/>
      <c r="F800" s="32"/>
      <c r="G800" s="32">
        <f t="shared" si="215"/>
        <v>0</v>
      </c>
      <c r="H800" s="12"/>
      <c r="I800" s="12"/>
      <c r="J800" s="12"/>
      <c r="K800" s="12">
        <f t="shared" si="216"/>
        <v>0</v>
      </c>
      <c r="M800" s="10">
        <v>19</v>
      </c>
      <c r="N800" s="30"/>
      <c r="O800" s="31"/>
      <c r="P800" s="32"/>
      <c r="Q800" s="32"/>
      <c r="R800" s="32"/>
      <c r="S800" s="32">
        <f t="shared" si="217"/>
        <v>0</v>
      </c>
      <c r="T800" s="12"/>
      <c r="U800" s="12"/>
      <c r="V800" s="12"/>
      <c r="W800" s="12">
        <f t="shared" si="218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9"/>
        <v>0</v>
      </c>
      <c r="AF800" s="12"/>
      <c r="AG800" s="12"/>
      <c r="AH800" s="12"/>
      <c r="AI800" s="12">
        <f t="shared" si="220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0"/>
      <c r="D801" s="32"/>
      <c r="E801" s="32"/>
      <c r="F801" s="32"/>
      <c r="G801" s="32">
        <f t="shared" si="215"/>
        <v>0</v>
      </c>
      <c r="H801" s="12"/>
      <c r="I801" s="12"/>
      <c r="J801" s="12"/>
      <c r="K801" s="12">
        <f t="shared" si="216"/>
        <v>0</v>
      </c>
      <c r="M801" s="10">
        <v>20</v>
      </c>
      <c r="N801" s="30"/>
      <c r="O801" s="31"/>
      <c r="P801" s="32"/>
      <c r="Q801" s="32"/>
      <c r="R801" s="32"/>
      <c r="S801" s="32">
        <f t="shared" si="217"/>
        <v>0</v>
      </c>
      <c r="T801" s="12"/>
      <c r="U801" s="12"/>
      <c r="V801" s="12"/>
      <c r="W801" s="12">
        <f t="shared" si="218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9"/>
        <v>0</v>
      </c>
      <c r="AF801" s="12"/>
      <c r="AG801" s="12"/>
      <c r="AH801" s="12"/>
      <c r="AI801" s="12">
        <f t="shared" si="220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0"/>
      <c r="D802" s="32"/>
      <c r="E802" s="32"/>
      <c r="F802" s="32"/>
      <c r="G802" s="32">
        <f t="shared" si="215"/>
        <v>0</v>
      </c>
      <c r="H802" s="10"/>
      <c r="I802" s="10"/>
      <c r="J802" s="10"/>
      <c r="K802" s="12">
        <f t="shared" si="216"/>
        <v>0</v>
      </c>
      <c r="M802" s="10">
        <v>21</v>
      </c>
      <c r="N802" s="30"/>
      <c r="O802" s="31"/>
      <c r="P802" s="46"/>
      <c r="Q802" s="31"/>
      <c r="R802" s="31"/>
      <c r="S802" s="32">
        <f t="shared" si="217"/>
        <v>0</v>
      </c>
      <c r="T802" s="10"/>
      <c r="U802" s="10"/>
      <c r="V802" s="10"/>
      <c r="W802" s="12">
        <f t="shared" si="218"/>
        <v>0</v>
      </c>
      <c r="Y802" s="10">
        <v>21</v>
      </c>
      <c r="Z802" s="30"/>
      <c r="AB802" s="46"/>
      <c r="AC802" s="31"/>
      <c r="AD802" s="31"/>
      <c r="AE802" s="32">
        <f t="shared" si="219"/>
        <v>0</v>
      </c>
      <c r="AF802" s="10"/>
      <c r="AG802" s="10"/>
      <c r="AH802" s="10"/>
      <c r="AI802" s="12">
        <f t="shared" si="220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0"/>
      <c r="D803" s="32"/>
      <c r="E803" s="32"/>
      <c r="F803" s="32"/>
      <c r="G803" s="32">
        <f t="shared" si="215"/>
        <v>0</v>
      </c>
      <c r="H803" s="10"/>
      <c r="I803" s="10"/>
      <c r="J803" s="10"/>
      <c r="K803" s="12">
        <f t="shared" si="216"/>
        <v>0</v>
      </c>
      <c r="M803" s="10">
        <v>22</v>
      </c>
      <c r="N803" s="30"/>
      <c r="P803" s="45"/>
      <c r="Q803" s="31"/>
      <c r="R803" s="31"/>
      <c r="S803" s="32">
        <f t="shared" si="217"/>
        <v>0</v>
      </c>
      <c r="T803" s="10"/>
      <c r="U803" s="10"/>
      <c r="V803" s="10"/>
      <c r="W803" s="12">
        <f t="shared" si="218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9"/>
        <v>0</v>
      </c>
      <c r="AF803" s="10"/>
      <c r="AG803" s="10"/>
      <c r="AH803" s="10"/>
      <c r="AI803" s="12">
        <f t="shared" si="220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15"/>
        <v>0</v>
      </c>
      <c r="H804" s="10"/>
      <c r="I804" s="10"/>
      <c r="J804" s="12"/>
      <c r="K804" s="12">
        <f t="shared" si="216"/>
        <v>0</v>
      </c>
      <c r="M804" s="10">
        <v>23</v>
      </c>
      <c r="N804" s="30"/>
      <c r="O804" s="31"/>
      <c r="P804" s="47"/>
      <c r="Q804" s="31"/>
      <c r="S804" s="32">
        <f t="shared" si="217"/>
        <v>0</v>
      </c>
      <c r="T804" s="10"/>
      <c r="U804" s="10"/>
      <c r="V804" s="10"/>
      <c r="W804" s="12">
        <f t="shared" si="218"/>
        <v>0</v>
      </c>
      <c r="Y804" s="10">
        <v>23</v>
      </c>
      <c r="Z804" s="30"/>
      <c r="AA804" s="31"/>
      <c r="AB804" s="47"/>
      <c r="AC804" s="31"/>
      <c r="AE804" s="32">
        <f t="shared" si="219"/>
        <v>0</v>
      </c>
      <c r="AF804" s="10"/>
      <c r="AG804" s="10"/>
      <c r="AH804" s="10"/>
      <c r="AI804" s="12">
        <f t="shared" si="220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90"/>
      <c r="D805" s="32"/>
      <c r="E805" s="32"/>
      <c r="F805" s="32"/>
      <c r="G805" s="32">
        <f t="shared" si="215"/>
        <v>0</v>
      </c>
      <c r="H805" s="10"/>
      <c r="I805" s="10"/>
      <c r="J805" s="10"/>
      <c r="K805" s="12">
        <f t="shared" si="216"/>
        <v>0</v>
      </c>
      <c r="M805" s="10">
        <v>24</v>
      </c>
      <c r="N805" s="30"/>
      <c r="O805" s="31"/>
      <c r="P805" s="47"/>
      <c r="Q805" s="31"/>
      <c r="R805" s="31"/>
      <c r="S805" s="32">
        <f t="shared" si="217"/>
        <v>0</v>
      </c>
      <c r="T805" s="10"/>
      <c r="U805" s="10"/>
      <c r="V805" s="10"/>
      <c r="W805" s="12">
        <f t="shared" si="218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9"/>
        <v>0</v>
      </c>
      <c r="AF805" s="10"/>
      <c r="AG805" s="10"/>
      <c r="AH805" s="10"/>
      <c r="AI805" s="12">
        <f t="shared" si="220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90"/>
      <c r="D806" s="32"/>
      <c r="E806" s="32"/>
      <c r="F806" s="32"/>
      <c r="G806" s="32">
        <f t="shared" si="215"/>
        <v>0</v>
      </c>
      <c r="H806" s="10"/>
      <c r="I806" s="10"/>
      <c r="J806" s="10"/>
      <c r="K806" s="12">
        <f t="shared" si="216"/>
        <v>0</v>
      </c>
      <c r="M806" s="10">
        <v>25</v>
      </c>
      <c r="N806" s="30"/>
      <c r="O806" s="31"/>
      <c r="P806" s="47"/>
      <c r="Q806" s="31"/>
      <c r="R806" s="31"/>
      <c r="S806" s="32">
        <f t="shared" si="217"/>
        <v>0</v>
      </c>
      <c r="T806" s="10"/>
      <c r="U806" s="10"/>
      <c r="V806" s="10"/>
      <c r="W806" s="12">
        <f t="shared" si="218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19"/>
        <v>0</v>
      </c>
      <c r="AF806" s="10"/>
      <c r="AG806" s="10"/>
      <c r="AH806" s="10"/>
      <c r="AI806" s="12">
        <f t="shared" si="220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90"/>
      <c r="D807" s="32"/>
      <c r="E807" s="32"/>
      <c r="F807" s="32"/>
      <c r="G807" s="32">
        <f t="shared" si="215"/>
        <v>0</v>
      </c>
      <c r="H807" s="10"/>
      <c r="I807" s="10"/>
      <c r="J807" s="10"/>
      <c r="K807" s="12">
        <f t="shared" si="216"/>
        <v>0</v>
      </c>
      <c r="M807" s="10">
        <v>26</v>
      </c>
      <c r="N807" s="30"/>
      <c r="O807" s="31"/>
      <c r="P807" s="47"/>
      <c r="Q807" s="31"/>
      <c r="R807" s="31"/>
      <c r="S807" s="32">
        <f t="shared" si="217"/>
        <v>0</v>
      </c>
      <c r="T807" s="10"/>
      <c r="U807" s="10"/>
      <c r="V807" s="10"/>
      <c r="W807" s="12">
        <f t="shared" si="218"/>
        <v>0</v>
      </c>
      <c r="Y807" s="10">
        <v>26</v>
      </c>
      <c r="Z807" s="30"/>
      <c r="AB807" s="47"/>
      <c r="AC807" s="31"/>
      <c r="AD807" s="31"/>
      <c r="AE807" s="32">
        <f t="shared" si="219"/>
        <v>0</v>
      </c>
      <c r="AF807" s="10"/>
      <c r="AG807" s="10"/>
      <c r="AH807" s="10"/>
      <c r="AI807" s="12">
        <f t="shared" si="220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90"/>
      <c r="D808" s="32"/>
      <c r="E808" s="32"/>
      <c r="F808" s="32"/>
      <c r="G808" s="32">
        <f t="shared" si="215"/>
        <v>0</v>
      </c>
      <c r="H808" s="10"/>
      <c r="I808" s="10"/>
      <c r="J808" s="10"/>
      <c r="K808" s="12">
        <f t="shared" si="216"/>
        <v>0</v>
      </c>
      <c r="M808" s="10">
        <v>27</v>
      </c>
      <c r="N808" s="30"/>
      <c r="O808" s="31"/>
      <c r="P808" s="47"/>
      <c r="Q808" s="31"/>
      <c r="R808" s="31"/>
      <c r="S808" s="32">
        <f t="shared" si="217"/>
        <v>0</v>
      </c>
      <c r="T808" s="10"/>
      <c r="U808" s="10"/>
      <c r="V808" s="10"/>
      <c r="W808" s="12">
        <f t="shared" si="218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9"/>
        <v>0</v>
      </c>
      <c r="AF808" s="10"/>
      <c r="AG808" s="10"/>
      <c r="AH808" s="10"/>
      <c r="AI808" s="12">
        <f t="shared" si="220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90"/>
      <c r="D809" s="32"/>
      <c r="E809" s="32"/>
      <c r="F809" s="32"/>
      <c r="G809" s="32">
        <f t="shared" si="215"/>
        <v>0</v>
      </c>
      <c r="H809" s="10"/>
      <c r="I809" s="10"/>
      <c r="J809" s="10"/>
      <c r="K809" s="12">
        <f t="shared" si="216"/>
        <v>0</v>
      </c>
      <c r="M809" s="10">
        <v>28</v>
      </c>
      <c r="N809" s="30"/>
      <c r="O809" s="31"/>
      <c r="P809" s="47"/>
      <c r="Q809" s="31"/>
      <c r="R809" s="31"/>
      <c r="S809" s="32">
        <f t="shared" si="217"/>
        <v>0</v>
      </c>
      <c r="T809" s="10"/>
      <c r="U809" s="10"/>
      <c r="V809" s="10"/>
      <c r="W809" s="12">
        <f t="shared" si="218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9"/>
        <v>0</v>
      </c>
      <c r="AF809" s="10"/>
      <c r="AG809" s="10"/>
      <c r="AH809" s="10"/>
      <c r="AI809" s="12">
        <f t="shared" si="220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90"/>
      <c r="D810" s="32"/>
      <c r="E810" s="32"/>
      <c r="F810" s="32"/>
      <c r="G810" s="32">
        <f t="shared" si="215"/>
        <v>0</v>
      </c>
      <c r="H810" s="10"/>
      <c r="I810" s="10"/>
      <c r="J810" s="10"/>
      <c r="K810" s="12">
        <f t="shared" si="216"/>
        <v>0</v>
      </c>
      <c r="M810" s="10">
        <v>29</v>
      </c>
      <c r="N810" s="30"/>
      <c r="O810" s="31"/>
      <c r="P810" s="47"/>
      <c r="Q810" s="31"/>
      <c r="R810" s="31"/>
      <c r="S810" s="32">
        <f t="shared" si="217"/>
        <v>0</v>
      </c>
      <c r="T810" s="10"/>
      <c r="U810" s="10"/>
      <c r="V810" s="10"/>
      <c r="W810" s="12">
        <f t="shared" si="218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9"/>
        <v>0</v>
      </c>
      <c r="AF810" s="10"/>
      <c r="AG810" s="10"/>
      <c r="AH810" s="10"/>
      <c r="AI810" s="12">
        <f t="shared" si="220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15"/>
        <v>0</v>
      </c>
      <c r="H811" s="10"/>
      <c r="I811" s="10"/>
      <c r="J811" s="10"/>
      <c r="K811" s="12">
        <f t="shared" si="216"/>
        <v>0</v>
      </c>
      <c r="M811" s="10">
        <v>30</v>
      </c>
      <c r="N811" s="30"/>
      <c r="P811" s="47"/>
      <c r="Q811" s="31"/>
      <c r="R811" s="31"/>
      <c r="S811" s="32">
        <f t="shared" si="217"/>
        <v>0</v>
      </c>
      <c r="T811" s="10"/>
      <c r="U811" s="10"/>
      <c r="V811" s="10"/>
      <c r="W811" s="12">
        <f t="shared" si="218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19"/>
        <v>0</v>
      </c>
      <c r="AF811" s="10"/>
      <c r="AG811" s="10"/>
      <c r="AH811" s="10"/>
      <c r="AI811" s="12">
        <f t="shared" si="220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0"/>
      <c r="D812" s="32"/>
      <c r="E812" s="32"/>
      <c r="F812" s="32"/>
      <c r="G812" s="32">
        <f t="shared" si="215"/>
        <v>0</v>
      </c>
      <c r="H812" s="10"/>
      <c r="I812" s="10"/>
      <c r="J812" s="10"/>
      <c r="K812" s="12">
        <f t="shared" si="216"/>
        <v>0</v>
      </c>
      <c r="M812" s="10">
        <v>31</v>
      </c>
      <c r="N812" s="30"/>
      <c r="O812" s="31"/>
      <c r="P812" s="47"/>
      <c r="Q812" s="31"/>
      <c r="R812" s="31"/>
      <c r="S812" s="32">
        <f t="shared" si="217"/>
        <v>0</v>
      </c>
      <c r="T812" s="10"/>
      <c r="U812" s="10"/>
      <c r="V812" s="10"/>
      <c r="W812" s="12">
        <f t="shared" si="218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9"/>
        <v>0</v>
      </c>
      <c r="AF812" s="10"/>
      <c r="AG812" s="10"/>
      <c r="AH812" s="10"/>
      <c r="AI812" s="12">
        <f t="shared" si="220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90"/>
      <c r="D813" s="32"/>
      <c r="E813" s="32"/>
      <c r="F813" s="32"/>
      <c r="G813" s="32">
        <f t="shared" si="215"/>
        <v>0</v>
      </c>
      <c r="H813" s="10"/>
      <c r="I813" s="10"/>
      <c r="J813" s="10"/>
      <c r="K813" s="12">
        <f t="shared" si="216"/>
        <v>0</v>
      </c>
      <c r="M813" s="10">
        <v>32</v>
      </c>
      <c r="N813" s="30"/>
      <c r="O813" s="31"/>
      <c r="P813" s="47"/>
      <c r="Q813" s="31"/>
      <c r="R813" s="31"/>
      <c r="S813" s="32">
        <f t="shared" si="217"/>
        <v>0</v>
      </c>
      <c r="T813" s="10"/>
      <c r="U813" s="10"/>
      <c r="V813" s="10"/>
      <c r="W813" s="12">
        <f t="shared" si="218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9"/>
        <v>0</v>
      </c>
      <c r="AF813" s="10"/>
      <c r="AG813" s="10"/>
      <c r="AH813" s="10"/>
      <c r="AI813" s="12">
        <f t="shared" si="220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0"/>
      <c r="D814" s="32"/>
      <c r="E814" s="32"/>
      <c r="F814" s="32"/>
      <c r="G814" s="32">
        <f t="shared" si="215"/>
        <v>0</v>
      </c>
      <c r="H814" s="10"/>
      <c r="I814" s="10"/>
      <c r="J814" s="10"/>
      <c r="K814" s="12">
        <f t="shared" si="216"/>
        <v>0</v>
      </c>
      <c r="M814" s="10">
        <v>33</v>
      </c>
      <c r="N814" s="30"/>
      <c r="O814" s="31"/>
      <c r="P814" s="47"/>
      <c r="Q814" s="31"/>
      <c r="R814" s="31"/>
      <c r="S814" s="32">
        <f t="shared" si="217"/>
        <v>0</v>
      </c>
      <c r="T814" s="10"/>
      <c r="U814" s="10"/>
      <c r="V814" s="10"/>
      <c r="W814" s="12">
        <f t="shared" si="218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9"/>
        <v>0</v>
      </c>
      <c r="AF814" s="10"/>
      <c r="AG814" s="10"/>
      <c r="AH814" s="10"/>
      <c r="AI814" s="12">
        <f t="shared" si="220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0"/>
      <c r="D815" s="32"/>
      <c r="E815" s="32"/>
      <c r="F815" s="32"/>
      <c r="G815" s="32">
        <f t="shared" si="215"/>
        <v>0</v>
      </c>
      <c r="H815" s="10"/>
      <c r="I815" s="10"/>
      <c r="J815" s="10"/>
      <c r="K815" s="12">
        <f t="shared" si="216"/>
        <v>0</v>
      </c>
      <c r="M815" s="10">
        <v>34</v>
      </c>
      <c r="N815" s="30"/>
      <c r="P815" s="47"/>
      <c r="Q815" s="31"/>
      <c r="R815" s="31"/>
      <c r="S815" s="32">
        <f t="shared" ref="S815:S820" si="224">SUM(P815:Q815)</f>
        <v>0</v>
      </c>
      <c r="T815" s="10"/>
      <c r="U815" s="10"/>
      <c r="V815" s="10"/>
      <c r="W815" s="12">
        <f t="shared" si="218"/>
        <v>0</v>
      </c>
      <c r="Y815" s="10">
        <v>34</v>
      </c>
      <c r="Z815" s="30"/>
      <c r="AB815" s="47"/>
      <c r="AC815" s="31"/>
      <c r="AD815" s="31"/>
      <c r="AE815" s="32">
        <f t="shared" si="219"/>
        <v>0</v>
      </c>
      <c r="AF815" s="10"/>
      <c r="AG815" s="10"/>
      <c r="AH815" s="10"/>
      <c r="AI815" s="12">
        <f t="shared" si="220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24"/>
        <v>0</v>
      </c>
      <c r="T816" s="10"/>
      <c r="U816" s="10"/>
      <c r="V816" s="10"/>
      <c r="W816" s="12">
        <f t="shared" si="218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9"/>
        <v>0</v>
      </c>
      <c r="AF816" s="10"/>
      <c r="AG816" s="10"/>
      <c r="AH816" s="10"/>
      <c r="AI816" s="12">
        <f t="shared" si="22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24"/>
        <v>0</v>
      </c>
      <c r="T817" s="10"/>
      <c r="U817" s="10"/>
      <c r="V817" s="10"/>
      <c r="W817" s="12">
        <f t="shared" si="218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9"/>
        <v>0</v>
      </c>
      <c r="AF817" s="10"/>
      <c r="AG817" s="10"/>
      <c r="AH817" s="10"/>
      <c r="AI817" s="12">
        <f t="shared" si="22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24"/>
        <v>0</v>
      </c>
      <c r="T818" s="10"/>
      <c r="U818" s="10"/>
      <c r="V818" s="10"/>
      <c r="W818" s="12">
        <f t="shared" si="218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9"/>
        <v>0</v>
      </c>
      <c r="AF818" s="10"/>
      <c r="AG818" s="10"/>
      <c r="AH818" s="10"/>
      <c r="AI818" s="12">
        <f t="shared" si="22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24"/>
        <v>0</v>
      </c>
      <c r="T819" s="10"/>
      <c r="U819" s="10"/>
      <c r="V819" s="10"/>
      <c r="W819" s="12">
        <f t="shared" si="218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9"/>
        <v>0</v>
      </c>
      <c r="AF819" s="10"/>
      <c r="AG819" s="10"/>
      <c r="AH819" s="10"/>
      <c r="AI819" s="12">
        <f t="shared" si="22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24"/>
        <v>0</v>
      </c>
      <c r="T820" s="10"/>
      <c r="U820" s="10"/>
      <c r="V820" s="10"/>
      <c r="W820" s="12">
        <f t="shared" si="218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9"/>
        <v>0</v>
      </c>
      <c r="AF820" s="10"/>
      <c r="AG820" s="10"/>
      <c r="AH820" s="10"/>
      <c r="AI820" s="12">
        <f t="shared" si="22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8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2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5">SUM(D822:E822)</f>
        <v>0</v>
      </c>
      <c r="H822" s="10"/>
      <c r="I822" s="10"/>
      <c r="J822" s="10"/>
      <c r="K822" s="12">
        <f t="shared" ref="K822" si="226">SUM(G822:J822)</f>
        <v>0</v>
      </c>
      <c r="M822" s="10"/>
      <c r="N822" s="30"/>
      <c r="O822" s="31"/>
      <c r="P822" s="47"/>
      <c r="Q822" s="31"/>
      <c r="R822" s="31"/>
      <c r="S822" s="32">
        <f t="shared" ref="S822" si="227">SUM(P822:Q822)</f>
        <v>0</v>
      </c>
      <c r="T822" s="10"/>
      <c r="U822" s="10"/>
      <c r="V822" s="10"/>
      <c r="W822" s="12">
        <f t="shared" si="218"/>
        <v>0</v>
      </c>
      <c r="Y822" s="10"/>
      <c r="Z822" s="30"/>
      <c r="AA822" s="31"/>
      <c r="AB822" s="47"/>
      <c r="AC822" s="31"/>
      <c r="AD822" s="31"/>
      <c r="AE822" s="32">
        <f t="shared" ref="AE822" si="228">SUM(AB822:AC822)</f>
        <v>0</v>
      </c>
      <c r="AF822" s="10"/>
      <c r="AG822" s="10"/>
      <c r="AH822" s="10"/>
      <c r="AI822" s="12">
        <f t="shared" si="22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8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2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223321.5</v>
      </c>
      <c r="E825" s="38">
        <f t="shared" ref="E825:F825" si="229">SUM(E782:E822)</f>
        <v>-1692</v>
      </c>
      <c r="F825" s="38">
        <f t="shared" si="229"/>
        <v>0</v>
      </c>
      <c r="G825" s="38">
        <f>SUM(G782:G824)</f>
        <v>221629.5</v>
      </c>
      <c r="H825" s="4"/>
      <c r="I825" s="39">
        <f>SUM(I782:I824)</f>
        <v>8400</v>
      </c>
      <c r="J825" s="39">
        <f>SUM(J782:J824)</f>
        <v>-92733</v>
      </c>
      <c r="K825" s="40">
        <f>SUM(K782:K824)</f>
        <v>137296.5</v>
      </c>
      <c r="N825" s="57"/>
      <c r="O825" s="57"/>
      <c r="P825" s="38">
        <f>SUM(P782:P824)</f>
        <v>179557</v>
      </c>
      <c r="Q825" s="38">
        <f>SUM(Q782:Q806)</f>
        <v>-2583</v>
      </c>
      <c r="R825" s="38">
        <f>SUM(R782:R806)</f>
        <v>0</v>
      </c>
      <c r="S825" s="38">
        <f>SUM(S782:S824)</f>
        <v>176974</v>
      </c>
      <c r="T825" s="4"/>
      <c r="U825" s="41">
        <f>SUM(U782:U824)</f>
        <v>579</v>
      </c>
      <c r="V825" s="41">
        <f>SUM(V782:V806)</f>
        <v>-1892</v>
      </c>
      <c r="W825" s="42">
        <f>SUM(W782:W824)</f>
        <v>175661</v>
      </c>
      <c r="Z825" s="57"/>
      <c r="AA825" s="57"/>
      <c r="AB825" s="38">
        <f>SUM(AB782:AB824)</f>
        <v>144618</v>
      </c>
      <c r="AC825" s="38">
        <f>SUM(AC782:AC806)</f>
        <v>-948</v>
      </c>
      <c r="AD825" s="38">
        <f>SUM(AD782:AD806)</f>
        <v>0</v>
      </c>
      <c r="AE825" s="38">
        <f>SUM(AE782:AE824)</f>
        <v>143670</v>
      </c>
      <c r="AF825" s="4"/>
      <c r="AG825" s="41">
        <f>SUM(AG782:AG824)</f>
        <v>33</v>
      </c>
      <c r="AH825" s="41">
        <f>SUM(AH782:AH806)</f>
        <v>0</v>
      </c>
      <c r="AI825" s="42">
        <f>SUM(AI782:AI824)</f>
        <v>143703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19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83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Y833" s="21" t="s">
        <v>83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3" t="s">
        <v>17</v>
      </c>
      <c r="E835" s="123"/>
      <c r="F835" s="105"/>
      <c r="G835" s="27"/>
      <c r="I835" s="121" t="s">
        <v>18</v>
      </c>
      <c r="J835" s="122"/>
      <c r="K835" s="119" t="s">
        <v>19</v>
      </c>
      <c r="M835" s="62"/>
      <c r="N835" s="65"/>
      <c r="O835" s="89"/>
      <c r="P835" s="125"/>
      <c r="Q835" s="125"/>
      <c r="R835" s="89"/>
      <c r="S835" s="89"/>
      <c r="T835" s="62"/>
      <c r="U835" s="125"/>
      <c r="V835" s="125"/>
      <c r="W835" s="124"/>
      <c r="Z835" s="25"/>
      <c r="AA835" s="26"/>
      <c r="AB835" s="123" t="s">
        <v>17</v>
      </c>
      <c r="AC835" s="123"/>
      <c r="AD835" s="105"/>
      <c r="AE835" s="27"/>
      <c r="AG835" s="121" t="s">
        <v>18</v>
      </c>
      <c r="AH835" s="122"/>
      <c r="AI835" s="119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0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24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0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84</v>
      </c>
      <c r="C837" s="90">
        <v>7296</v>
      </c>
      <c r="D837" s="32">
        <f>1252+19</f>
        <v>1271</v>
      </c>
      <c r="E837" s="32"/>
      <c r="F837" s="32"/>
      <c r="G837" s="32">
        <f t="shared" ref="G837:G870" si="230">SUM(D837:E837)</f>
        <v>1271</v>
      </c>
      <c r="H837" s="12"/>
      <c r="I837" s="12"/>
      <c r="J837" s="12"/>
      <c r="K837" s="12">
        <f t="shared" ref="K837:K870" si="231">SUM(G837:J837)</f>
        <v>1271</v>
      </c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Y837" s="10">
        <v>1</v>
      </c>
      <c r="Z837" s="30" t="s">
        <v>84</v>
      </c>
      <c r="AA837" s="31">
        <v>7301</v>
      </c>
      <c r="AB837" s="32">
        <f>626*10+614+596*10+9.5*20</f>
        <v>13024</v>
      </c>
      <c r="AC837" s="32"/>
      <c r="AD837" s="32"/>
      <c r="AE837" s="32">
        <f>SUM(AB837:AC837)</f>
        <v>13024</v>
      </c>
      <c r="AF837" s="12"/>
      <c r="AG837" s="12"/>
      <c r="AH837" s="12"/>
      <c r="AI837" s="12">
        <f>SUM(AE837:AH837)</f>
        <v>13024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84</v>
      </c>
      <c r="C838" s="90">
        <f>C837+1</f>
        <v>7297</v>
      </c>
      <c r="D838" s="32">
        <f>98908+5960+1145</f>
        <v>106013</v>
      </c>
      <c r="E838" s="32"/>
      <c r="F838" s="32"/>
      <c r="G838" s="32">
        <f t="shared" si="230"/>
        <v>106013</v>
      </c>
      <c r="H838" s="12"/>
      <c r="I838" s="12"/>
      <c r="J838" s="12"/>
      <c r="K838" s="12">
        <f t="shared" si="231"/>
        <v>106013</v>
      </c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Y838" s="10">
        <v>2</v>
      </c>
      <c r="Z838" s="30" t="s">
        <v>84</v>
      </c>
      <c r="AA838" s="31">
        <f>AA837+1</f>
        <v>7302</v>
      </c>
      <c r="AB838" s="32">
        <f>50080+1228+2010+687</f>
        <v>54005</v>
      </c>
      <c r="AC838" s="32">
        <v>-522</v>
      </c>
      <c r="AD838" s="32"/>
      <c r="AE838" s="32">
        <f t="shared" ref="AE838:AE875" si="232">SUM(AB838:AC838)</f>
        <v>53483</v>
      </c>
      <c r="AF838" s="12"/>
      <c r="AG838" s="12"/>
      <c r="AH838" s="12"/>
      <c r="AI838" s="12">
        <f t="shared" ref="AI838:AI878" si="233">SUM(AE838:AH838)</f>
        <v>53483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84</v>
      </c>
      <c r="C839" s="90">
        <f t="shared" ref="C839" si="234">C838+1</f>
        <v>7298</v>
      </c>
      <c r="D839" s="33">
        <f>23162+351.5</f>
        <v>23513.5</v>
      </c>
      <c r="E839" s="33"/>
      <c r="F839" s="33"/>
      <c r="G839" s="33">
        <f t="shared" si="230"/>
        <v>23513.5</v>
      </c>
      <c r="H839" s="34"/>
      <c r="I839" s="34"/>
      <c r="J839" s="34"/>
      <c r="K839" s="34">
        <f t="shared" si="231"/>
        <v>23513.5</v>
      </c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Y839" s="10">
        <v>3</v>
      </c>
      <c r="Z839" s="30" t="s">
        <v>84</v>
      </c>
      <c r="AA839" s="31">
        <f t="shared" ref="AA839:AA846" si="235">AA838+1</f>
        <v>7303</v>
      </c>
      <c r="AB839" s="33">
        <f>21910+4298+8940+852+458</f>
        <v>36458</v>
      </c>
      <c r="AC839" s="33"/>
      <c r="AD839" s="32"/>
      <c r="AE839" s="32">
        <f t="shared" si="232"/>
        <v>36458</v>
      </c>
      <c r="AF839" s="12"/>
      <c r="AG839" s="12"/>
      <c r="AH839" s="12">
        <v>-78</v>
      </c>
      <c r="AI839" s="12">
        <f t="shared" si="233"/>
        <v>36380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30"/>
        <v>0</v>
      </c>
      <c r="H840" s="12"/>
      <c r="I840" s="12"/>
      <c r="J840" s="12"/>
      <c r="K840" s="12">
        <f t="shared" si="231"/>
        <v>0</v>
      </c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Y840" s="10">
        <v>4</v>
      </c>
      <c r="Z840" s="30" t="s">
        <v>84</v>
      </c>
      <c r="AA840" s="31">
        <f t="shared" si="235"/>
        <v>7304</v>
      </c>
      <c r="AB840" s="32">
        <f>6260+5960+190</f>
        <v>12410</v>
      </c>
      <c r="AC840" s="32"/>
      <c r="AD840" s="32"/>
      <c r="AE840" s="32">
        <f t="shared" si="232"/>
        <v>12410</v>
      </c>
      <c r="AF840" s="12"/>
      <c r="AH840" s="12"/>
      <c r="AI840" s="12">
        <f t="shared" si="233"/>
        <v>12410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0"/>
      <c r="D841" s="32"/>
      <c r="E841" s="32"/>
      <c r="F841" s="32"/>
      <c r="G841" s="32">
        <f t="shared" si="230"/>
        <v>0</v>
      </c>
      <c r="H841" s="12"/>
      <c r="I841" s="12"/>
      <c r="J841" s="12"/>
      <c r="K841" s="12">
        <f t="shared" si="231"/>
        <v>0</v>
      </c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Y841" s="10">
        <v>5</v>
      </c>
      <c r="Z841" s="30" t="s">
        <v>84</v>
      </c>
      <c r="AA841" s="31">
        <f t="shared" si="235"/>
        <v>7305</v>
      </c>
      <c r="AB841" s="32">
        <f>31926+4298+229</f>
        <v>36453</v>
      </c>
      <c r="AC841" s="32"/>
      <c r="AD841" s="32"/>
      <c r="AE841" s="32">
        <f t="shared" si="232"/>
        <v>36453</v>
      </c>
      <c r="AF841" s="12"/>
      <c r="AG841" s="12">
        <v>27</v>
      </c>
      <c r="AH841" s="12"/>
      <c r="AI841" s="12">
        <f t="shared" si="233"/>
        <v>36480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0"/>
      <c r="D842" s="32"/>
      <c r="E842" s="32"/>
      <c r="F842" s="32"/>
      <c r="G842" s="32">
        <f t="shared" si="230"/>
        <v>0</v>
      </c>
      <c r="H842" s="12"/>
      <c r="I842" s="12"/>
      <c r="J842" s="12"/>
      <c r="K842" s="12">
        <f t="shared" si="231"/>
        <v>0</v>
      </c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Y842" s="10">
        <v>6</v>
      </c>
      <c r="Z842" s="30" t="s">
        <v>84</v>
      </c>
      <c r="AA842" s="31">
        <f t="shared" si="235"/>
        <v>7306</v>
      </c>
      <c r="AB842" s="32">
        <f>12520+1842+229</f>
        <v>14591</v>
      </c>
      <c r="AC842" s="32"/>
      <c r="AD842" s="32"/>
      <c r="AE842" s="32">
        <f t="shared" si="232"/>
        <v>14591</v>
      </c>
      <c r="AF842" s="12"/>
      <c r="AG842" s="12">
        <v>135</v>
      </c>
      <c r="AH842" s="10"/>
      <c r="AI842" s="12">
        <f t="shared" si="233"/>
        <v>14726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D843" s="32"/>
      <c r="E843" s="32"/>
      <c r="F843" s="32"/>
      <c r="G843" s="32">
        <f t="shared" si="230"/>
        <v>0</v>
      </c>
      <c r="H843" s="12"/>
      <c r="I843" s="12"/>
      <c r="J843" s="12"/>
      <c r="K843" s="12">
        <f t="shared" si="231"/>
        <v>0</v>
      </c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Y843" s="10">
        <v>7</v>
      </c>
      <c r="Z843" s="30" t="s">
        <v>84</v>
      </c>
      <c r="AA843" s="31">
        <f t="shared" si="235"/>
        <v>7307</v>
      </c>
      <c r="AB843" s="32">
        <f>18780+2496+458</f>
        <v>21734</v>
      </c>
      <c r="AC843" s="32"/>
      <c r="AD843" s="32"/>
      <c r="AE843" s="32">
        <f t="shared" si="232"/>
        <v>21734</v>
      </c>
      <c r="AF843" s="12"/>
      <c r="AG843" s="58"/>
      <c r="AH843" s="12"/>
      <c r="AI843" s="12">
        <f t="shared" si="233"/>
        <v>21734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0"/>
      <c r="D844" s="32"/>
      <c r="E844" s="32"/>
      <c r="F844" s="32"/>
      <c r="G844" s="32">
        <f t="shared" si="230"/>
        <v>0</v>
      </c>
      <c r="H844" s="12"/>
      <c r="I844" s="12"/>
      <c r="J844" s="12"/>
      <c r="K844" s="12">
        <f t="shared" si="231"/>
        <v>0</v>
      </c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Y844" s="10">
        <v>8</v>
      </c>
      <c r="Z844" s="30" t="s">
        <v>84</v>
      </c>
      <c r="AA844" s="31">
        <f t="shared" si="235"/>
        <v>7308</v>
      </c>
      <c r="AB844" s="32">
        <f>9390+852+229</f>
        <v>10471</v>
      </c>
      <c r="AC844" s="32">
        <v>-102</v>
      </c>
      <c r="AE844" s="32">
        <f t="shared" si="232"/>
        <v>10369</v>
      </c>
      <c r="AF844" s="12"/>
      <c r="AG844" s="12">
        <v>90</v>
      </c>
      <c r="AH844" s="12"/>
      <c r="AI844" s="12">
        <f t="shared" si="233"/>
        <v>10459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0"/>
      <c r="D845" s="32"/>
      <c r="E845" s="32"/>
      <c r="F845" s="32"/>
      <c r="G845" s="32">
        <f t="shared" si="230"/>
        <v>0</v>
      </c>
      <c r="H845" s="12"/>
      <c r="I845" s="12"/>
      <c r="J845" s="12"/>
      <c r="K845" s="12">
        <f t="shared" si="231"/>
        <v>0</v>
      </c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Y845" s="10">
        <v>9</v>
      </c>
      <c r="Z845" s="30" t="s">
        <v>84</v>
      </c>
      <c r="AA845" s="31">
        <f t="shared" si="235"/>
        <v>7309</v>
      </c>
      <c r="AB845" s="32">
        <f>626*37+596*5+229</f>
        <v>26371</v>
      </c>
      <c r="AC845" s="32"/>
      <c r="AD845" s="32"/>
      <c r="AE845" s="32">
        <f t="shared" si="232"/>
        <v>26371</v>
      </c>
      <c r="AF845" s="12"/>
      <c r="AG845" s="58"/>
      <c r="AH845" s="12"/>
      <c r="AI845" s="12">
        <f t="shared" si="233"/>
        <v>26371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0"/>
      <c r="D846" s="32"/>
      <c r="E846" s="32"/>
      <c r="F846" s="32"/>
      <c r="G846" s="32">
        <f t="shared" si="230"/>
        <v>0</v>
      </c>
      <c r="H846" s="12"/>
      <c r="I846" s="12"/>
      <c r="J846" s="12"/>
      <c r="K846" s="12">
        <f t="shared" si="231"/>
        <v>0</v>
      </c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Y846" s="10">
        <v>10</v>
      </c>
      <c r="Z846" s="30" t="s">
        <v>84</v>
      </c>
      <c r="AA846" s="31">
        <f t="shared" si="235"/>
        <v>7310</v>
      </c>
      <c r="AB846" s="32">
        <f>31300+458</f>
        <v>31758</v>
      </c>
      <c r="AC846" s="32">
        <v>-312</v>
      </c>
      <c r="AD846" s="32"/>
      <c r="AE846" s="32">
        <f t="shared" si="232"/>
        <v>31446</v>
      </c>
      <c r="AF846" s="12"/>
      <c r="AG846" s="12"/>
      <c r="AH846" s="12">
        <f>-16983+-468</f>
        <v>-17451</v>
      </c>
      <c r="AI846" s="12">
        <f t="shared" si="233"/>
        <v>13995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90"/>
      <c r="D847" s="32"/>
      <c r="E847" s="32"/>
      <c r="F847" s="32"/>
      <c r="G847" s="32">
        <f t="shared" si="230"/>
        <v>0</v>
      </c>
      <c r="H847" s="12"/>
      <c r="I847" s="12"/>
      <c r="J847" s="12"/>
      <c r="K847" s="12">
        <f t="shared" si="231"/>
        <v>0</v>
      </c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32"/>
        <v>0</v>
      </c>
      <c r="AF847" s="12"/>
      <c r="AG847" s="12"/>
      <c r="AH847" s="12"/>
      <c r="AI847" s="12">
        <f t="shared" si="233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0"/>
      <c r="D848" s="32"/>
      <c r="E848" s="32"/>
      <c r="F848" s="32"/>
      <c r="G848" s="32">
        <f t="shared" si="230"/>
        <v>0</v>
      </c>
      <c r="H848" s="12"/>
      <c r="I848" s="12"/>
      <c r="J848" s="10"/>
      <c r="K848" s="12">
        <f t="shared" si="231"/>
        <v>0</v>
      </c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Y848" s="10">
        <v>12</v>
      </c>
      <c r="Z848" s="30"/>
      <c r="AA848" s="31"/>
      <c r="AB848" s="32"/>
      <c r="AC848" s="32"/>
      <c r="AD848" s="32"/>
      <c r="AE848" s="32">
        <f t="shared" si="232"/>
        <v>0</v>
      </c>
      <c r="AF848" s="12"/>
      <c r="AG848" s="12"/>
      <c r="AH848" s="12"/>
      <c r="AI848" s="12">
        <f t="shared" si="233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0"/>
      <c r="D849" s="32"/>
      <c r="E849" s="32"/>
      <c r="F849" s="32"/>
      <c r="G849" s="32">
        <f t="shared" si="230"/>
        <v>0</v>
      </c>
      <c r="H849" s="12"/>
      <c r="I849" s="12"/>
      <c r="J849" s="12"/>
      <c r="K849" s="12">
        <f t="shared" si="231"/>
        <v>0</v>
      </c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Y849" s="10">
        <v>13</v>
      </c>
      <c r="Z849" s="30"/>
      <c r="AA849" s="31"/>
      <c r="AB849" s="32"/>
      <c r="AC849" s="32"/>
      <c r="AD849" s="32"/>
      <c r="AE849" s="32">
        <f t="shared" si="232"/>
        <v>0</v>
      </c>
      <c r="AF849" s="12"/>
      <c r="AG849" s="12"/>
      <c r="AH849" s="12"/>
      <c r="AI849" s="12">
        <f t="shared" si="233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0"/>
      <c r="D850" s="32"/>
      <c r="E850" s="32"/>
      <c r="F850" s="32"/>
      <c r="G850" s="32">
        <f t="shared" si="230"/>
        <v>0</v>
      </c>
      <c r="H850" s="12"/>
      <c r="I850" s="12"/>
      <c r="J850" s="12"/>
      <c r="K850" s="12">
        <f t="shared" si="231"/>
        <v>0</v>
      </c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Y850" s="10">
        <v>14</v>
      </c>
      <c r="Z850" s="30"/>
      <c r="AA850" s="31"/>
      <c r="AB850" s="32"/>
      <c r="AC850" s="32"/>
      <c r="AD850" s="32"/>
      <c r="AE850" s="32">
        <f t="shared" si="232"/>
        <v>0</v>
      </c>
      <c r="AF850" s="12"/>
      <c r="AG850" s="12"/>
      <c r="AH850" s="12"/>
      <c r="AI850" s="12">
        <f t="shared" si="233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0"/>
      <c r="D851" s="32"/>
      <c r="E851" s="32"/>
      <c r="F851" s="32"/>
      <c r="G851" s="32">
        <f t="shared" si="230"/>
        <v>0</v>
      </c>
      <c r="H851" s="12"/>
      <c r="I851" s="12"/>
      <c r="J851" s="12"/>
      <c r="K851" s="12">
        <f t="shared" si="231"/>
        <v>0</v>
      </c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Y851" s="10">
        <v>15</v>
      </c>
      <c r="Z851" s="30"/>
      <c r="AA851" s="31"/>
      <c r="AB851" s="32"/>
      <c r="AC851" s="32"/>
      <c r="AD851" s="32"/>
      <c r="AE851" s="32">
        <f t="shared" si="232"/>
        <v>0</v>
      </c>
      <c r="AF851" s="12"/>
      <c r="AG851" s="12"/>
      <c r="AH851" s="12"/>
      <c r="AI851" s="12">
        <f t="shared" si="233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0"/>
      <c r="D852" s="32"/>
      <c r="E852" s="32"/>
      <c r="F852" s="32"/>
      <c r="G852" s="32">
        <f t="shared" si="230"/>
        <v>0</v>
      </c>
      <c r="H852" s="12"/>
      <c r="I852" s="12"/>
      <c r="J852" s="12"/>
      <c r="K852" s="12">
        <f t="shared" si="231"/>
        <v>0</v>
      </c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Y852" s="10">
        <v>16</v>
      </c>
      <c r="Z852" s="30"/>
      <c r="AB852" s="32"/>
      <c r="AC852" s="32"/>
      <c r="AD852" s="32"/>
      <c r="AE852" s="32">
        <f t="shared" si="232"/>
        <v>0</v>
      </c>
      <c r="AF852" s="12"/>
      <c r="AG852" s="12"/>
      <c r="AH852" s="12"/>
      <c r="AI852" s="12">
        <f t="shared" si="233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0"/>
      <c r="D853" s="32"/>
      <c r="E853" s="32"/>
      <c r="F853" s="32"/>
      <c r="G853" s="32">
        <f t="shared" si="230"/>
        <v>0</v>
      </c>
      <c r="H853" s="12"/>
      <c r="I853" s="12"/>
      <c r="J853" s="12"/>
      <c r="K853" s="12">
        <f t="shared" si="231"/>
        <v>0</v>
      </c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Y853" s="10">
        <v>17</v>
      </c>
      <c r="Z853" s="30"/>
      <c r="AA853" s="31"/>
      <c r="AB853" s="35"/>
      <c r="AC853" s="32"/>
      <c r="AD853" s="32"/>
      <c r="AE853" s="32">
        <f t="shared" si="232"/>
        <v>0</v>
      </c>
      <c r="AF853" s="12"/>
      <c r="AG853" s="12"/>
      <c r="AH853" s="12"/>
      <c r="AI853" s="12">
        <f t="shared" si="233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90"/>
      <c r="D854" s="32"/>
      <c r="E854" s="32"/>
      <c r="F854" s="32"/>
      <c r="G854" s="32">
        <f t="shared" si="230"/>
        <v>0</v>
      </c>
      <c r="H854" s="12"/>
      <c r="I854" s="12"/>
      <c r="J854" s="12"/>
      <c r="K854" s="12">
        <f t="shared" si="231"/>
        <v>0</v>
      </c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Y854" s="10">
        <v>18</v>
      </c>
      <c r="Z854" s="30"/>
      <c r="AA854" s="31"/>
      <c r="AB854" s="32"/>
      <c r="AC854" s="32"/>
      <c r="AD854" s="32"/>
      <c r="AE854" s="32">
        <f t="shared" si="232"/>
        <v>0</v>
      </c>
      <c r="AF854" s="12"/>
      <c r="AG854" s="12"/>
      <c r="AH854" s="12"/>
      <c r="AI854" s="12">
        <f t="shared" si="233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0"/>
      <c r="D855" s="32"/>
      <c r="E855" s="32"/>
      <c r="F855" s="32"/>
      <c r="G855" s="32">
        <f t="shared" si="230"/>
        <v>0</v>
      </c>
      <c r="H855" s="12"/>
      <c r="I855" s="12"/>
      <c r="J855" s="12"/>
      <c r="K855" s="12">
        <f t="shared" si="231"/>
        <v>0</v>
      </c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Y855" s="10">
        <v>19</v>
      </c>
      <c r="Z855" s="30"/>
      <c r="AA855" s="31"/>
      <c r="AB855" s="32"/>
      <c r="AC855" s="32"/>
      <c r="AD855" s="32"/>
      <c r="AE855" s="32">
        <f t="shared" si="232"/>
        <v>0</v>
      </c>
      <c r="AF855" s="12"/>
      <c r="AG855" s="12"/>
      <c r="AH855" s="12"/>
      <c r="AI855" s="12">
        <f t="shared" si="233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0"/>
      <c r="D856" s="32"/>
      <c r="E856" s="32"/>
      <c r="F856" s="32"/>
      <c r="G856" s="32">
        <f t="shared" si="230"/>
        <v>0</v>
      </c>
      <c r="H856" s="12"/>
      <c r="I856" s="12"/>
      <c r="J856" s="12"/>
      <c r="K856" s="12">
        <f t="shared" si="231"/>
        <v>0</v>
      </c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Y856" s="10">
        <v>20</v>
      </c>
      <c r="Z856" s="30"/>
      <c r="AA856" s="31"/>
      <c r="AB856" s="32"/>
      <c r="AC856" s="32"/>
      <c r="AD856" s="32"/>
      <c r="AE856" s="32">
        <f t="shared" si="232"/>
        <v>0</v>
      </c>
      <c r="AF856" s="12"/>
      <c r="AG856" s="12"/>
      <c r="AH856" s="12"/>
      <c r="AI856" s="12">
        <f t="shared" si="233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0"/>
      <c r="D857" s="32"/>
      <c r="E857" s="32"/>
      <c r="F857" s="32"/>
      <c r="G857" s="32">
        <f t="shared" si="230"/>
        <v>0</v>
      </c>
      <c r="H857" s="10"/>
      <c r="I857" s="10"/>
      <c r="J857" s="10"/>
      <c r="K857" s="12">
        <f t="shared" si="231"/>
        <v>0</v>
      </c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Y857" s="10">
        <v>21</v>
      </c>
      <c r="Z857" s="30"/>
      <c r="AB857" s="46"/>
      <c r="AC857" s="31"/>
      <c r="AD857" s="31"/>
      <c r="AE857" s="32">
        <f t="shared" si="232"/>
        <v>0</v>
      </c>
      <c r="AF857" s="10"/>
      <c r="AG857" s="10"/>
      <c r="AH857" s="10"/>
      <c r="AI857" s="12">
        <f t="shared" si="233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0"/>
      <c r="D858" s="32"/>
      <c r="E858" s="32"/>
      <c r="F858" s="32"/>
      <c r="G858" s="32">
        <f t="shared" si="230"/>
        <v>0</v>
      </c>
      <c r="H858" s="10"/>
      <c r="I858" s="10"/>
      <c r="J858" s="10"/>
      <c r="K858" s="12">
        <f t="shared" si="231"/>
        <v>0</v>
      </c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Y858" s="10">
        <v>22</v>
      </c>
      <c r="Z858" s="30"/>
      <c r="AA858" s="31"/>
      <c r="AB858" s="45"/>
      <c r="AC858" s="31"/>
      <c r="AD858" s="31"/>
      <c r="AE858" s="32">
        <f t="shared" si="232"/>
        <v>0</v>
      </c>
      <c r="AF858" s="10"/>
      <c r="AG858" s="10"/>
      <c r="AH858" s="10"/>
      <c r="AI858" s="12">
        <f t="shared" si="233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30"/>
        <v>0</v>
      </c>
      <c r="H859" s="10"/>
      <c r="I859" s="10"/>
      <c r="J859" s="12"/>
      <c r="K859" s="12">
        <f t="shared" si="231"/>
        <v>0</v>
      </c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Y859" s="10">
        <v>23</v>
      </c>
      <c r="Z859" s="30"/>
      <c r="AA859" s="31"/>
      <c r="AB859" s="47"/>
      <c r="AC859" s="31"/>
      <c r="AE859" s="32">
        <f t="shared" si="232"/>
        <v>0</v>
      </c>
      <c r="AF859" s="10"/>
      <c r="AG859" s="10"/>
      <c r="AH859" s="10"/>
      <c r="AI859" s="12">
        <f t="shared" si="233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90"/>
      <c r="D860" s="32"/>
      <c r="E860" s="32"/>
      <c r="F860" s="32"/>
      <c r="G860" s="32">
        <f t="shared" si="230"/>
        <v>0</v>
      </c>
      <c r="H860" s="10"/>
      <c r="I860" s="10"/>
      <c r="J860" s="10"/>
      <c r="K860" s="12">
        <f t="shared" si="231"/>
        <v>0</v>
      </c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Y860" s="10">
        <v>24</v>
      </c>
      <c r="Z860" s="30"/>
      <c r="AA860" s="31"/>
      <c r="AB860" s="47"/>
      <c r="AC860" s="31"/>
      <c r="AD860" s="31"/>
      <c r="AE860" s="32">
        <f t="shared" si="232"/>
        <v>0</v>
      </c>
      <c r="AF860" s="10"/>
      <c r="AG860" s="10"/>
      <c r="AH860" s="10"/>
      <c r="AI860" s="12">
        <f t="shared" si="233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90"/>
      <c r="D861" s="32"/>
      <c r="E861" s="32"/>
      <c r="F861" s="32"/>
      <c r="G861" s="32">
        <f t="shared" si="230"/>
        <v>0</v>
      </c>
      <c r="H861" s="10"/>
      <c r="I861" s="10"/>
      <c r="J861" s="10"/>
      <c r="K861" s="12">
        <f t="shared" si="231"/>
        <v>0</v>
      </c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Y861" s="10">
        <v>25</v>
      </c>
      <c r="Z861" s="30"/>
      <c r="AA861" s="11"/>
      <c r="AB861" s="47"/>
      <c r="AC861" s="31"/>
      <c r="AD861" s="31"/>
      <c r="AE861" s="32">
        <f t="shared" si="232"/>
        <v>0</v>
      </c>
      <c r="AF861" s="10"/>
      <c r="AG861" s="10"/>
      <c r="AH861" s="10"/>
      <c r="AI861" s="12">
        <f t="shared" si="233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90"/>
      <c r="D862" s="32"/>
      <c r="E862" s="32"/>
      <c r="F862" s="32"/>
      <c r="G862" s="32">
        <f t="shared" si="230"/>
        <v>0</v>
      </c>
      <c r="H862" s="10"/>
      <c r="I862" s="10"/>
      <c r="J862" s="10"/>
      <c r="K862" s="12">
        <f t="shared" si="231"/>
        <v>0</v>
      </c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Y862" s="10">
        <v>26</v>
      </c>
      <c r="Z862" s="30"/>
      <c r="AB862" s="47"/>
      <c r="AC862" s="31"/>
      <c r="AD862" s="31"/>
      <c r="AE862" s="32">
        <f t="shared" si="232"/>
        <v>0</v>
      </c>
      <c r="AF862" s="10"/>
      <c r="AG862" s="10"/>
      <c r="AH862" s="10"/>
      <c r="AI862" s="12">
        <f t="shared" si="233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90"/>
      <c r="D863" s="32"/>
      <c r="E863" s="32"/>
      <c r="F863" s="32"/>
      <c r="G863" s="32">
        <f t="shared" si="230"/>
        <v>0</v>
      </c>
      <c r="H863" s="10"/>
      <c r="I863" s="10"/>
      <c r="J863" s="10"/>
      <c r="K863" s="12">
        <f t="shared" si="231"/>
        <v>0</v>
      </c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Y863" s="10">
        <v>27</v>
      </c>
      <c r="Z863" s="30"/>
      <c r="AA863" s="31"/>
      <c r="AB863" s="47"/>
      <c r="AC863" s="31"/>
      <c r="AD863" s="31"/>
      <c r="AE863" s="32">
        <f t="shared" si="232"/>
        <v>0</v>
      </c>
      <c r="AF863" s="10"/>
      <c r="AG863" s="10"/>
      <c r="AH863" s="10"/>
      <c r="AI863" s="12">
        <f t="shared" si="233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90"/>
      <c r="D864" s="32"/>
      <c r="E864" s="32"/>
      <c r="F864" s="32"/>
      <c r="G864" s="32">
        <f t="shared" si="230"/>
        <v>0</v>
      </c>
      <c r="H864" s="10"/>
      <c r="I864" s="10"/>
      <c r="J864" s="10"/>
      <c r="K864" s="12">
        <f t="shared" si="231"/>
        <v>0</v>
      </c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Y864" s="10">
        <v>28</v>
      </c>
      <c r="Z864" s="30"/>
      <c r="AA864" s="31"/>
      <c r="AB864" s="47"/>
      <c r="AC864" s="31"/>
      <c r="AD864" s="31"/>
      <c r="AE864" s="32">
        <f t="shared" si="232"/>
        <v>0</v>
      </c>
      <c r="AF864" s="10"/>
      <c r="AG864" s="10"/>
      <c r="AH864" s="10"/>
      <c r="AI864" s="12">
        <f t="shared" si="233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90"/>
      <c r="D865" s="32"/>
      <c r="E865" s="32"/>
      <c r="F865" s="32"/>
      <c r="G865" s="32">
        <f t="shared" si="230"/>
        <v>0</v>
      </c>
      <c r="H865" s="10"/>
      <c r="I865" s="10"/>
      <c r="J865" s="10"/>
      <c r="K865" s="12">
        <f t="shared" si="231"/>
        <v>0</v>
      </c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Y865" s="10">
        <v>29</v>
      </c>
      <c r="Z865" s="30"/>
      <c r="AA865" s="31"/>
      <c r="AB865" s="47"/>
      <c r="AC865" s="31"/>
      <c r="AD865" s="31"/>
      <c r="AE865" s="32">
        <f t="shared" si="232"/>
        <v>0</v>
      </c>
      <c r="AF865" s="10"/>
      <c r="AG865" s="10"/>
      <c r="AH865" s="10"/>
      <c r="AI865" s="12">
        <f t="shared" si="233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30"/>
        <v>0</v>
      </c>
      <c r="H866" s="10"/>
      <c r="I866" s="10"/>
      <c r="J866" s="10"/>
      <c r="K866" s="12">
        <f t="shared" si="231"/>
        <v>0</v>
      </c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Y866" s="10">
        <v>30</v>
      </c>
      <c r="Z866" s="30"/>
      <c r="AA866" s="31"/>
      <c r="AB866" s="47"/>
      <c r="AC866" s="31"/>
      <c r="AD866" s="31"/>
      <c r="AE866" s="32">
        <f t="shared" si="232"/>
        <v>0</v>
      </c>
      <c r="AF866" s="10"/>
      <c r="AG866" s="10"/>
      <c r="AH866" s="10"/>
      <c r="AI866" s="12">
        <f t="shared" si="233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0"/>
      <c r="D867" s="32"/>
      <c r="E867" s="32"/>
      <c r="F867" s="32"/>
      <c r="G867" s="32">
        <f t="shared" si="230"/>
        <v>0</v>
      </c>
      <c r="H867" s="10"/>
      <c r="I867" s="10"/>
      <c r="J867" s="10"/>
      <c r="K867" s="12">
        <f t="shared" si="231"/>
        <v>0</v>
      </c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Y867" s="10">
        <v>31</v>
      </c>
      <c r="Z867" s="30"/>
      <c r="AA867" s="31"/>
      <c r="AB867" s="47"/>
      <c r="AC867" s="31"/>
      <c r="AD867" s="31"/>
      <c r="AE867" s="32">
        <f t="shared" si="232"/>
        <v>0</v>
      </c>
      <c r="AF867" s="10"/>
      <c r="AG867" s="10"/>
      <c r="AH867" s="10"/>
      <c r="AI867" s="12">
        <f t="shared" si="233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90"/>
      <c r="D868" s="32"/>
      <c r="E868" s="32"/>
      <c r="F868" s="32"/>
      <c r="G868" s="32">
        <f t="shared" si="230"/>
        <v>0</v>
      </c>
      <c r="H868" s="10"/>
      <c r="I868" s="10"/>
      <c r="J868" s="10"/>
      <c r="K868" s="12">
        <f t="shared" si="231"/>
        <v>0</v>
      </c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Y868" s="10">
        <v>32</v>
      </c>
      <c r="Z868" s="30"/>
      <c r="AA868" s="31"/>
      <c r="AB868" s="47"/>
      <c r="AC868" s="31"/>
      <c r="AD868" s="31"/>
      <c r="AE868" s="32">
        <f t="shared" si="232"/>
        <v>0</v>
      </c>
      <c r="AF868" s="10"/>
      <c r="AG868" s="10"/>
      <c r="AH868" s="10"/>
      <c r="AI868" s="12">
        <f t="shared" si="233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0"/>
      <c r="D869" s="32"/>
      <c r="E869" s="32"/>
      <c r="F869" s="32"/>
      <c r="G869" s="32">
        <f t="shared" si="230"/>
        <v>0</v>
      </c>
      <c r="H869" s="10"/>
      <c r="I869" s="10"/>
      <c r="J869" s="10"/>
      <c r="K869" s="12">
        <f t="shared" si="231"/>
        <v>0</v>
      </c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Y869" s="10">
        <v>33</v>
      </c>
      <c r="Z869" s="30"/>
      <c r="AA869" s="31"/>
      <c r="AB869" s="47"/>
      <c r="AC869" s="31"/>
      <c r="AD869" s="31"/>
      <c r="AE869" s="32">
        <f t="shared" si="232"/>
        <v>0</v>
      </c>
      <c r="AF869" s="10"/>
      <c r="AG869" s="10"/>
      <c r="AH869" s="10"/>
      <c r="AI869" s="12">
        <f t="shared" si="233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0"/>
      <c r="D870" s="32"/>
      <c r="E870" s="32"/>
      <c r="F870" s="32"/>
      <c r="G870" s="32">
        <f t="shared" si="230"/>
        <v>0</v>
      </c>
      <c r="H870" s="10"/>
      <c r="I870" s="10"/>
      <c r="J870" s="10"/>
      <c r="K870" s="12">
        <f t="shared" si="231"/>
        <v>0</v>
      </c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Y870" s="10">
        <v>34</v>
      </c>
      <c r="Z870" s="30"/>
      <c r="AB870" s="47"/>
      <c r="AC870" s="31"/>
      <c r="AD870" s="31"/>
      <c r="AE870" s="32">
        <f t="shared" si="232"/>
        <v>0</v>
      </c>
      <c r="AF870" s="10"/>
      <c r="AG870" s="10"/>
      <c r="AH870" s="10"/>
      <c r="AI870" s="12">
        <f t="shared" si="233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Y871" s="10">
        <v>35</v>
      </c>
      <c r="Z871" s="30"/>
      <c r="AA871" s="31"/>
      <c r="AB871" s="47"/>
      <c r="AC871" s="31"/>
      <c r="AD871" s="31"/>
      <c r="AE871" s="32">
        <f t="shared" si="232"/>
        <v>0</v>
      </c>
      <c r="AF871" s="10"/>
      <c r="AG871" s="10"/>
      <c r="AH871" s="10"/>
      <c r="AI871" s="12">
        <f t="shared" si="233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Y872" s="10">
        <v>36</v>
      </c>
      <c r="Z872" s="30"/>
      <c r="AA872" s="31"/>
      <c r="AB872" s="47"/>
      <c r="AC872" s="31"/>
      <c r="AD872" s="31"/>
      <c r="AE872" s="32">
        <f t="shared" si="232"/>
        <v>0</v>
      </c>
      <c r="AF872" s="10"/>
      <c r="AG872" s="10"/>
      <c r="AH872" s="10"/>
      <c r="AI872" s="12">
        <f t="shared" si="233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Y873" s="10">
        <v>37</v>
      </c>
      <c r="Z873" s="30"/>
      <c r="AA873" s="31"/>
      <c r="AB873" s="47"/>
      <c r="AC873" s="31"/>
      <c r="AD873" s="31"/>
      <c r="AE873" s="32">
        <f t="shared" si="232"/>
        <v>0</v>
      </c>
      <c r="AF873" s="10"/>
      <c r="AG873" s="10"/>
      <c r="AH873" s="10"/>
      <c r="AI873" s="12">
        <f t="shared" si="233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Y874" s="10">
        <v>38</v>
      </c>
      <c r="Z874" s="30"/>
      <c r="AA874" s="31"/>
      <c r="AB874" s="47"/>
      <c r="AC874" s="31"/>
      <c r="AD874" s="31"/>
      <c r="AE874" s="32">
        <f t="shared" si="232"/>
        <v>0</v>
      </c>
      <c r="AF874" s="10"/>
      <c r="AG874" s="10"/>
      <c r="AH874" s="10"/>
      <c r="AI874" s="12">
        <f t="shared" si="233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Y875" s="10">
        <v>39</v>
      </c>
      <c r="Z875" s="30"/>
      <c r="AA875" s="31"/>
      <c r="AB875" s="47"/>
      <c r="AC875" s="31"/>
      <c r="AD875" s="31"/>
      <c r="AE875" s="32">
        <f t="shared" si="232"/>
        <v>0</v>
      </c>
      <c r="AF875" s="10"/>
      <c r="AG875" s="10"/>
      <c r="AH875" s="10"/>
      <c r="AI875" s="12">
        <f t="shared" si="233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3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Y877" s="10"/>
      <c r="Z877" s="30"/>
      <c r="AA877" s="31"/>
      <c r="AB877" s="47"/>
      <c r="AC877" s="31"/>
      <c r="AD877" s="31"/>
      <c r="AE877" s="32">
        <f t="shared" ref="AE877" si="238">SUM(AB877:AC877)</f>
        <v>0</v>
      </c>
      <c r="AF877" s="10"/>
      <c r="AG877" s="10"/>
      <c r="AH877" s="10"/>
      <c r="AI877" s="12">
        <f t="shared" si="233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3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130797.5</v>
      </c>
      <c r="E880" s="38">
        <f t="shared" ref="E880:F880" si="239">SUM(E837:E877)</f>
        <v>0</v>
      </c>
      <c r="F880" s="38">
        <f t="shared" si="239"/>
        <v>0</v>
      </c>
      <c r="G880" s="38">
        <f>SUM(G837:G879)</f>
        <v>130797.5</v>
      </c>
      <c r="H880" s="4"/>
      <c r="I880" s="39">
        <f>SUM(I837:I879)</f>
        <v>0</v>
      </c>
      <c r="J880" s="39">
        <f>SUM(J837:J879)</f>
        <v>0</v>
      </c>
      <c r="K880" s="40">
        <f>SUM(K837:K879)</f>
        <v>130797.5</v>
      </c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Z880" s="57"/>
      <c r="AA880" s="57"/>
      <c r="AB880" s="38">
        <f>SUM(AB837:AB879)</f>
        <v>257275</v>
      </c>
      <c r="AC880" s="38">
        <f>SUM(AC837:AC861)</f>
        <v>-936</v>
      </c>
      <c r="AD880" s="38">
        <f>SUM(AD837:AD861)</f>
        <v>0</v>
      </c>
      <c r="AE880" s="38">
        <f>SUM(AE837:AE879)</f>
        <v>256339</v>
      </c>
      <c r="AF880" s="4"/>
      <c r="AG880" s="41">
        <f>SUM(AG837:AG879)</f>
        <v>252</v>
      </c>
      <c r="AH880" s="41">
        <f>SUM(AH837:AH861)</f>
        <v>-17529</v>
      </c>
      <c r="AI880" s="42">
        <f>SUM(AI837:AI879)</f>
        <v>239062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19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86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86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42</v>
      </c>
      <c r="W888" s="24"/>
      <c r="Y888" s="21" t="s">
        <v>86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3" t="s">
        <v>17</v>
      </c>
      <c r="E890" s="123"/>
      <c r="F890" s="106"/>
      <c r="G890" s="27"/>
      <c r="I890" s="121" t="s">
        <v>18</v>
      </c>
      <c r="J890" s="122"/>
      <c r="K890" s="119" t="s">
        <v>19</v>
      </c>
      <c r="N890" s="25"/>
      <c r="O890" s="26"/>
      <c r="P890" s="123" t="s">
        <v>17</v>
      </c>
      <c r="Q890" s="123"/>
      <c r="R890" s="106"/>
      <c r="S890" s="27"/>
      <c r="U890" s="121" t="s">
        <v>18</v>
      </c>
      <c r="V890" s="122"/>
      <c r="W890" s="119" t="s">
        <v>19</v>
      </c>
      <c r="Z890" s="25"/>
      <c r="AA890" s="26"/>
      <c r="AB890" s="123" t="s">
        <v>17</v>
      </c>
      <c r="AC890" s="123"/>
      <c r="AD890" s="106"/>
      <c r="AE890" s="27"/>
      <c r="AG890" s="121" t="s">
        <v>18</v>
      </c>
      <c r="AH890" s="122"/>
      <c r="AI890" s="119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0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0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0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90">
        <v>7267</v>
      </c>
      <c r="D892" s="32">
        <f>1878+614+229</f>
        <v>2721</v>
      </c>
      <c r="E892" s="32"/>
      <c r="F892" s="32"/>
      <c r="G892" s="32">
        <f t="shared" ref="G892:G925" si="240">SUM(D892:E892)</f>
        <v>2721</v>
      </c>
      <c r="H892" s="12"/>
      <c r="I892" s="12"/>
      <c r="J892" s="12"/>
      <c r="K892" s="12">
        <f t="shared" ref="K892:K925" si="241">SUM(G892:J892)</f>
        <v>2721</v>
      </c>
      <c r="M892" s="10">
        <v>1</v>
      </c>
      <c r="N892" s="30" t="s">
        <v>87</v>
      </c>
      <c r="O892" s="31">
        <v>7223</v>
      </c>
      <c r="P892" s="32">
        <f>1252+19</f>
        <v>1271</v>
      </c>
      <c r="Q892" s="32"/>
      <c r="R892" s="32"/>
      <c r="S892" s="32">
        <f>SUM(P892:Q892)</f>
        <v>1271</v>
      </c>
      <c r="T892" s="12"/>
      <c r="U892" s="12"/>
      <c r="V892" s="12"/>
      <c r="W892" s="12">
        <f>SUM(S892:V892)</f>
        <v>1271</v>
      </c>
      <c r="Y892" s="10">
        <v>1</v>
      </c>
      <c r="Z892" s="30" t="s">
        <v>87</v>
      </c>
      <c r="AA892" s="31">
        <v>7311</v>
      </c>
      <c r="AB892" s="32">
        <f>67608+64368+4160</f>
        <v>136136</v>
      </c>
      <c r="AC892" s="32">
        <v>-1326</v>
      </c>
      <c r="AD892" s="32"/>
      <c r="AE892" s="32">
        <f>SUM(AB892:AC892)</f>
        <v>134810</v>
      </c>
      <c r="AF892" s="12"/>
      <c r="AG892" s="12"/>
      <c r="AH892" s="12">
        <f>-168+-1848</f>
        <v>-2016</v>
      </c>
      <c r="AI892" s="12">
        <f>SUM(AE892:AH892)</f>
        <v>132794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90">
        <v>7299</v>
      </c>
      <c r="D893" s="32">
        <f>25040+1228+1192</f>
        <v>27460</v>
      </c>
      <c r="E893" s="32"/>
      <c r="F893" s="32"/>
      <c r="G893" s="32">
        <f t="shared" si="240"/>
        <v>27460</v>
      </c>
      <c r="H893" s="12"/>
      <c r="I893" s="12">
        <v>5</v>
      </c>
      <c r="J893" s="12"/>
      <c r="K893" s="12">
        <f t="shared" si="241"/>
        <v>27465</v>
      </c>
      <c r="M893" s="10">
        <v>2</v>
      </c>
      <c r="N893" s="30" t="s">
        <v>87</v>
      </c>
      <c r="O893" s="31">
        <f>O892+1</f>
        <v>7224</v>
      </c>
      <c r="P893" s="32">
        <f>1878+28.5</f>
        <v>1906.5</v>
      </c>
      <c r="Q893" s="32"/>
      <c r="R893" s="32"/>
      <c r="S893" s="32">
        <f t="shared" ref="S893:S924" si="242">SUM(P893:Q893)</f>
        <v>1906.5</v>
      </c>
      <c r="T893" s="12"/>
      <c r="U893" s="12"/>
      <c r="V893" s="12"/>
      <c r="W893" s="12">
        <f t="shared" ref="W893:W933" si="243">SUM(S893:V893)</f>
        <v>1906.5</v>
      </c>
      <c r="Y893" s="10">
        <v>2</v>
      </c>
      <c r="Z893" s="30" t="s">
        <v>87</v>
      </c>
      <c r="AA893" s="31">
        <f>AA892+1</f>
        <v>7312</v>
      </c>
      <c r="AB893" s="32">
        <f>3130+47.5</f>
        <v>3177.5</v>
      </c>
      <c r="AC893" s="32"/>
      <c r="AD893" s="32"/>
      <c r="AE893" s="32">
        <f t="shared" ref="AE893:AE930" si="244">SUM(AB893:AC893)</f>
        <v>3177.5</v>
      </c>
      <c r="AF893" s="12"/>
      <c r="AG893" s="12"/>
      <c r="AH893" s="12"/>
      <c r="AI893" s="12">
        <f t="shared" ref="AI893:AI933" si="245">SUM(AE893:AH893)</f>
        <v>3177.5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90">
        <f t="shared" ref="C894:C902" si="246">C893+1</f>
        <v>7300</v>
      </c>
      <c r="D894" s="33">
        <f>5008+614+674+502.5+416+85.5</f>
        <v>7300</v>
      </c>
      <c r="E894" s="33"/>
      <c r="F894" s="33"/>
      <c r="G894" s="33">
        <f t="shared" si="240"/>
        <v>7300</v>
      </c>
      <c r="H894" s="34"/>
      <c r="I894" s="34">
        <v>6</v>
      </c>
      <c r="J894" s="34"/>
      <c r="K894" s="34">
        <f t="shared" si="241"/>
        <v>7306</v>
      </c>
      <c r="M894" s="10">
        <v>3</v>
      </c>
      <c r="N894" s="30" t="s">
        <v>87</v>
      </c>
      <c r="O894" s="31">
        <f t="shared" ref="O894:O919" si="247">O893+1</f>
        <v>7225</v>
      </c>
      <c r="P894" s="32">
        <f>3130+47.5</f>
        <v>3177.5</v>
      </c>
      <c r="Q894" s="32"/>
      <c r="R894" s="32"/>
      <c r="S894" s="32">
        <f t="shared" si="242"/>
        <v>3177.5</v>
      </c>
      <c r="T894" s="12"/>
      <c r="U894" s="12"/>
      <c r="V894" s="12"/>
      <c r="W894" s="12">
        <f t="shared" si="243"/>
        <v>3177.5</v>
      </c>
      <c r="Y894" s="10">
        <v>3</v>
      </c>
      <c r="Z894" s="30" t="s">
        <v>87</v>
      </c>
      <c r="AA894" s="31">
        <f t="shared" ref="AA894:AA897" si="248">AA893+1</f>
        <v>7313</v>
      </c>
      <c r="AB894" s="33">
        <f>11268+614+1826</f>
        <v>13708</v>
      </c>
      <c r="AC894" s="33"/>
      <c r="AD894" s="32"/>
      <c r="AE894" s="32">
        <f t="shared" si="244"/>
        <v>13708</v>
      </c>
      <c r="AF894" s="12"/>
      <c r="AG894" s="12"/>
      <c r="AH894" s="12"/>
      <c r="AI894" s="12">
        <f t="shared" si="245"/>
        <v>13708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90">
        <v>7351</v>
      </c>
      <c r="D895" s="32">
        <f>1878+1192+47.5</f>
        <v>3117.5</v>
      </c>
      <c r="E895" s="32"/>
      <c r="F895" s="32"/>
      <c r="G895" s="32">
        <f t="shared" si="240"/>
        <v>3117.5</v>
      </c>
      <c r="H895" s="12"/>
      <c r="I895" s="12">
        <v>7</v>
      </c>
      <c r="J895" s="12"/>
      <c r="K895" s="12">
        <f t="shared" si="241"/>
        <v>3124.5</v>
      </c>
      <c r="M895" s="10">
        <v>4</v>
      </c>
      <c r="N895" s="30" t="s">
        <v>87</v>
      </c>
      <c r="O895" s="31">
        <f t="shared" si="247"/>
        <v>7226</v>
      </c>
      <c r="P895" s="32">
        <f>1252+19</f>
        <v>1271</v>
      </c>
      <c r="Q895" s="32"/>
      <c r="R895" s="32"/>
      <c r="S895" s="32">
        <f t="shared" si="242"/>
        <v>1271</v>
      </c>
      <c r="T895" s="12"/>
      <c r="U895" s="12"/>
      <c r="V895" s="12"/>
      <c r="W895" s="12">
        <f t="shared" si="243"/>
        <v>1271</v>
      </c>
      <c r="Y895" s="10">
        <v>4</v>
      </c>
      <c r="Z895" s="30" t="s">
        <v>87</v>
      </c>
      <c r="AA895" s="31">
        <f t="shared" si="248"/>
        <v>7314</v>
      </c>
      <c r="AB895" s="32">
        <f>9390+1228</f>
        <v>10618</v>
      </c>
      <c r="AC895" s="32"/>
      <c r="AD895" s="32"/>
      <c r="AE895" s="32">
        <f t="shared" si="244"/>
        <v>10618</v>
      </c>
      <c r="AF895" s="12"/>
      <c r="AH895" s="12">
        <v>-2109</v>
      </c>
      <c r="AI895" s="12">
        <f t="shared" si="245"/>
        <v>8509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90">
        <f t="shared" si="246"/>
        <v>7352</v>
      </c>
      <c r="D896" s="32">
        <f>7512+614+596+123.5</f>
        <v>8845.5</v>
      </c>
      <c r="E896" s="32"/>
      <c r="F896" s="32"/>
      <c r="G896" s="32">
        <f t="shared" si="240"/>
        <v>8845.5</v>
      </c>
      <c r="H896" s="12"/>
      <c r="I896" s="12">
        <f>12+144</f>
        <v>156</v>
      </c>
      <c r="J896" s="12"/>
      <c r="K896" s="12">
        <f t="shared" si="241"/>
        <v>9001.5</v>
      </c>
      <c r="M896" s="10">
        <v>5</v>
      </c>
      <c r="N896" s="30" t="s">
        <v>87</v>
      </c>
      <c r="O896" s="31">
        <f t="shared" si="247"/>
        <v>7227</v>
      </c>
      <c r="P896" s="32">
        <f>2504+38</f>
        <v>2542</v>
      </c>
      <c r="Q896" s="32"/>
      <c r="R896" s="32"/>
      <c r="S896" s="32">
        <f t="shared" si="242"/>
        <v>2542</v>
      </c>
      <c r="T896" s="12"/>
      <c r="U896" s="12">
        <v>4.5</v>
      </c>
      <c r="V896" s="12"/>
      <c r="W896" s="12">
        <f t="shared" si="243"/>
        <v>2546.5</v>
      </c>
      <c r="Y896" s="10">
        <v>5</v>
      </c>
      <c r="Z896" s="30" t="s">
        <v>87</v>
      </c>
      <c r="AA896" s="31">
        <f t="shared" si="248"/>
        <v>7315</v>
      </c>
      <c r="AB896" s="32">
        <f>1145+500</f>
        <v>1645</v>
      </c>
      <c r="AC896" s="32"/>
      <c r="AD896" s="32"/>
      <c r="AE896" s="32">
        <f t="shared" si="244"/>
        <v>1645</v>
      </c>
      <c r="AF896" s="12"/>
      <c r="AG896" s="12"/>
      <c r="AH896" s="12"/>
      <c r="AI896" s="12">
        <f t="shared" si="245"/>
        <v>1645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87</v>
      </c>
      <c r="C897" s="90">
        <f t="shared" si="246"/>
        <v>7353</v>
      </c>
      <c r="D897" s="32">
        <f>5634+614</f>
        <v>6248</v>
      </c>
      <c r="E897" s="32"/>
      <c r="F897" s="32"/>
      <c r="G897" s="32">
        <f t="shared" si="240"/>
        <v>6248</v>
      </c>
      <c r="H897" s="12"/>
      <c r="I897" s="12"/>
      <c r="J897" s="12"/>
      <c r="K897" s="12">
        <f t="shared" si="241"/>
        <v>6248</v>
      </c>
      <c r="M897" s="10">
        <v>6</v>
      </c>
      <c r="N897" s="30" t="s">
        <v>87</v>
      </c>
      <c r="O897" s="31">
        <f t="shared" si="247"/>
        <v>7228</v>
      </c>
      <c r="P897" s="32">
        <f>1878+28.5</f>
        <v>1906.5</v>
      </c>
      <c r="Q897" s="32"/>
      <c r="R897" s="32"/>
      <c r="S897" s="32">
        <f t="shared" si="242"/>
        <v>1906.5</v>
      </c>
      <c r="T897" s="12"/>
      <c r="U897" s="12"/>
      <c r="V897" s="10"/>
      <c r="W897" s="12">
        <f t="shared" si="243"/>
        <v>1906.5</v>
      </c>
      <c r="Y897" s="10">
        <v>6</v>
      </c>
      <c r="Z897" s="30" t="s">
        <v>87</v>
      </c>
      <c r="AA897" s="31">
        <f t="shared" si="248"/>
        <v>7316</v>
      </c>
      <c r="AB897" s="32">
        <f>1145</f>
        <v>1145</v>
      </c>
      <c r="AC897" s="32"/>
      <c r="AD897" s="32"/>
      <c r="AE897" s="32">
        <f t="shared" si="244"/>
        <v>1145</v>
      </c>
      <c r="AF897" s="12"/>
      <c r="AG897" s="12"/>
      <c r="AH897" s="10"/>
      <c r="AI897" s="12">
        <f t="shared" si="245"/>
        <v>1145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87</v>
      </c>
      <c r="C898" s="90">
        <f t="shared" si="246"/>
        <v>7354</v>
      </c>
      <c r="D898" s="32">
        <f>3756+913+1788+85.5</f>
        <v>6542.5</v>
      </c>
      <c r="E898" s="32"/>
      <c r="F898" s="32"/>
      <c r="G898" s="32">
        <f t="shared" si="240"/>
        <v>6542.5</v>
      </c>
      <c r="H898" s="12"/>
      <c r="I898" s="12"/>
      <c r="J898" s="12"/>
      <c r="K898" s="12">
        <f t="shared" si="241"/>
        <v>6542.5</v>
      </c>
      <c r="M898" s="10">
        <v>7</v>
      </c>
      <c r="N898" s="30" t="s">
        <v>87</v>
      </c>
      <c r="O898" s="31">
        <f t="shared" si="247"/>
        <v>7229</v>
      </c>
      <c r="P898" s="32">
        <f>2504+38</f>
        <v>2542</v>
      </c>
      <c r="Q898" s="32"/>
      <c r="R898" s="32"/>
      <c r="S898" s="32">
        <f t="shared" si="242"/>
        <v>2542</v>
      </c>
      <c r="T898" s="12"/>
      <c r="U898" s="12">
        <v>1.5</v>
      </c>
      <c r="V898" s="12"/>
      <c r="W898" s="12">
        <f t="shared" si="243"/>
        <v>2543.5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4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87</v>
      </c>
      <c r="C899" s="90">
        <f t="shared" si="246"/>
        <v>7355</v>
      </c>
      <c r="D899" s="32">
        <f>1252+19</f>
        <v>1271</v>
      </c>
      <c r="E899" s="32"/>
      <c r="F899" s="32"/>
      <c r="G899" s="32">
        <f t="shared" si="240"/>
        <v>1271</v>
      </c>
      <c r="H899" s="12"/>
      <c r="I899" s="12"/>
      <c r="J899" s="12"/>
      <c r="K899" s="12">
        <f t="shared" si="241"/>
        <v>1271</v>
      </c>
      <c r="M899" s="10">
        <v>8</v>
      </c>
      <c r="N899" s="30" t="s">
        <v>87</v>
      </c>
      <c r="O899" s="31">
        <f t="shared" si="247"/>
        <v>7230</v>
      </c>
      <c r="P899" s="32">
        <f>1252+596+28.5</f>
        <v>1876.5</v>
      </c>
      <c r="Q899" s="32"/>
      <c r="R899" s="32"/>
      <c r="S899" s="32">
        <f t="shared" si="242"/>
        <v>1876.5</v>
      </c>
      <c r="T899" s="12"/>
      <c r="U899" s="12"/>
      <c r="V899" s="12"/>
      <c r="W899" s="12">
        <f t="shared" si="243"/>
        <v>1876.5</v>
      </c>
      <c r="Y899" s="10">
        <v>8</v>
      </c>
      <c r="Z899" s="30"/>
      <c r="AA899" s="31"/>
      <c r="AB899" s="32"/>
      <c r="AC899" s="32"/>
      <c r="AE899" s="32">
        <f t="shared" si="244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87</v>
      </c>
      <c r="C900" s="90">
        <f t="shared" si="246"/>
        <v>7356</v>
      </c>
      <c r="D900" s="32">
        <f>3130+596+57</f>
        <v>3783</v>
      </c>
      <c r="E900" s="32"/>
      <c r="F900" s="32"/>
      <c r="G900" s="32">
        <f t="shared" si="240"/>
        <v>3783</v>
      </c>
      <c r="H900" s="12"/>
      <c r="I900" s="12"/>
      <c r="J900" s="12"/>
      <c r="K900" s="12">
        <f t="shared" si="241"/>
        <v>3783</v>
      </c>
      <c r="M900" s="10">
        <v>9</v>
      </c>
      <c r="N900" s="30" t="s">
        <v>87</v>
      </c>
      <c r="O900" s="31">
        <f t="shared" si="247"/>
        <v>7231</v>
      </c>
      <c r="P900" s="32">
        <f>5634+85.5</f>
        <v>5719.5</v>
      </c>
      <c r="Q900" s="32"/>
      <c r="R900" s="32"/>
      <c r="S900" s="32">
        <f t="shared" si="242"/>
        <v>5719.5</v>
      </c>
      <c r="T900" s="12"/>
      <c r="U900" s="12"/>
      <c r="V900" s="12">
        <f>-333+-252</f>
        <v>-585</v>
      </c>
      <c r="W900" s="12">
        <f t="shared" si="243"/>
        <v>5134.5</v>
      </c>
      <c r="Y900" s="10">
        <v>9</v>
      </c>
      <c r="Z900" s="30"/>
      <c r="AA900" s="31"/>
      <c r="AB900" s="32"/>
      <c r="AC900" s="32"/>
      <c r="AD900" s="32"/>
      <c r="AE900" s="32">
        <f t="shared" si="244"/>
        <v>0</v>
      </c>
      <c r="AF900" s="12"/>
      <c r="AG900" s="58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87</v>
      </c>
      <c r="C901" s="90">
        <f t="shared" si="246"/>
        <v>7357</v>
      </c>
      <c r="D901" s="32">
        <f>2504+38</f>
        <v>2542</v>
      </c>
      <c r="E901" s="32"/>
      <c r="F901" s="32"/>
      <c r="G901" s="32">
        <f t="shared" si="240"/>
        <v>2542</v>
      </c>
      <c r="H901" s="12"/>
      <c r="I901" s="12"/>
      <c r="J901" s="12"/>
      <c r="K901" s="12">
        <f t="shared" si="241"/>
        <v>2542</v>
      </c>
      <c r="M901" s="10">
        <v>10</v>
      </c>
      <c r="N901" s="30" t="s">
        <v>87</v>
      </c>
      <c r="O901" s="31">
        <f t="shared" si="247"/>
        <v>7232</v>
      </c>
      <c r="P901" s="32">
        <f>1252+614+19</f>
        <v>1885</v>
      </c>
      <c r="Q901" s="32"/>
      <c r="R901" s="32"/>
      <c r="S901" s="32">
        <f t="shared" si="242"/>
        <v>1885</v>
      </c>
      <c r="T901" s="12"/>
      <c r="U901" s="12"/>
      <c r="V901" s="12"/>
      <c r="W901" s="12">
        <f t="shared" si="243"/>
        <v>1885</v>
      </c>
      <c r="Y901" s="10">
        <v>10</v>
      </c>
      <c r="Z901" s="30"/>
      <c r="AA901" s="31"/>
      <c r="AB901" s="32"/>
      <c r="AC901" s="32"/>
      <c r="AD901" s="32"/>
      <c r="AE901" s="32">
        <f t="shared" si="244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87</v>
      </c>
      <c r="C902" s="90">
        <f t="shared" si="246"/>
        <v>7358</v>
      </c>
      <c r="D902" s="32">
        <f>3130+614</f>
        <v>3744</v>
      </c>
      <c r="E902" s="32"/>
      <c r="F902" s="32"/>
      <c r="G902" s="32">
        <f t="shared" si="240"/>
        <v>3744</v>
      </c>
      <c r="H902" s="12"/>
      <c r="I902" s="12"/>
      <c r="J902" s="12"/>
      <c r="K902" s="12">
        <f t="shared" si="241"/>
        <v>3744</v>
      </c>
      <c r="M902" s="10">
        <v>11</v>
      </c>
      <c r="N902" s="30" t="s">
        <v>87</v>
      </c>
      <c r="O902" s="31">
        <f t="shared" si="247"/>
        <v>7233</v>
      </c>
      <c r="P902" s="32">
        <f>3130+614+47.5</f>
        <v>3791.5</v>
      </c>
      <c r="Q902" s="32"/>
      <c r="R902" s="32"/>
      <c r="S902" s="32">
        <f t="shared" si="242"/>
        <v>3791.5</v>
      </c>
      <c r="T902" s="12"/>
      <c r="U902" s="12"/>
      <c r="V902" s="12"/>
      <c r="W902" s="12">
        <f t="shared" si="243"/>
        <v>3791.5</v>
      </c>
      <c r="Y902" s="10">
        <v>11</v>
      </c>
      <c r="Z902" s="30"/>
      <c r="AA902" s="31"/>
      <c r="AB902" s="32"/>
      <c r="AC902" s="32"/>
      <c r="AD902" s="32"/>
      <c r="AE902" s="32">
        <f t="shared" si="244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 t="s">
        <v>87</v>
      </c>
      <c r="O903" s="31">
        <f t="shared" si="247"/>
        <v>7234</v>
      </c>
      <c r="P903" s="32">
        <f>1252</f>
        <v>1252</v>
      </c>
      <c r="Q903" s="32"/>
      <c r="R903" s="32"/>
      <c r="S903" s="32">
        <f t="shared" si="242"/>
        <v>1252</v>
      </c>
      <c r="T903" s="12"/>
      <c r="U903" s="12"/>
      <c r="V903" s="12"/>
      <c r="W903" s="12">
        <f t="shared" si="243"/>
        <v>1252</v>
      </c>
      <c r="Y903" s="10">
        <v>12</v>
      </c>
      <c r="Z903" s="30"/>
      <c r="AA903" s="31"/>
      <c r="AB903" s="32"/>
      <c r="AC903" s="32"/>
      <c r="AD903" s="32"/>
      <c r="AE903" s="32">
        <f t="shared" si="244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0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 t="s">
        <v>87</v>
      </c>
      <c r="O904" s="31">
        <f t="shared" si="247"/>
        <v>7235</v>
      </c>
      <c r="P904" s="32">
        <f>2504+614+596+229</f>
        <v>3943</v>
      </c>
      <c r="Q904" s="32"/>
      <c r="R904" s="32"/>
      <c r="S904" s="32">
        <f t="shared" si="242"/>
        <v>3943</v>
      </c>
      <c r="T904" s="12"/>
      <c r="U904" s="12">
        <v>28.5</v>
      </c>
      <c r="V904" s="12"/>
      <c r="W904" s="12">
        <f t="shared" si="243"/>
        <v>3971.5</v>
      </c>
      <c r="Y904" s="10">
        <v>13</v>
      </c>
      <c r="Z904" s="30"/>
      <c r="AA904" s="31"/>
      <c r="AB904" s="32"/>
      <c r="AC904" s="32"/>
      <c r="AD904" s="32"/>
      <c r="AE904" s="32">
        <f t="shared" si="244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0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 t="s">
        <v>87</v>
      </c>
      <c r="O905" s="31">
        <f t="shared" si="247"/>
        <v>7236</v>
      </c>
      <c r="P905" s="32">
        <f>22536+458</f>
        <v>22994</v>
      </c>
      <c r="Q905" s="32"/>
      <c r="R905" s="32"/>
      <c r="S905" s="32">
        <f t="shared" si="242"/>
        <v>22994</v>
      </c>
      <c r="T905" s="12"/>
      <c r="U905" s="12">
        <v>72</v>
      </c>
      <c r="V905" s="12"/>
      <c r="W905" s="12">
        <f t="shared" si="243"/>
        <v>23066</v>
      </c>
      <c r="Y905" s="10">
        <v>14</v>
      </c>
      <c r="Z905" s="30"/>
      <c r="AA905" s="31"/>
      <c r="AB905" s="32"/>
      <c r="AC905" s="32"/>
      <c r="AD905" s="32"/>
      <c r="AE905" s="32">
        <f t="shared" si="244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0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 t="s">
        <v>87</v>
      </c>
      <c r="O906" s="31">
        <f t="shared" si="247"/>
        <v>7237</v>
      </c>
      <c r="P906" s="32">
        <f>1878+596+38</f>
        <v>2512</v>
      </c>
      <c r="Q906" s="32"/>
      <c r="R906" s="32"/>
      <c r="S906" s="32">
        <f t="shared" si="242"/>
        <v>2512</v>
      </c>
      <c r="T906" s="12"/>
      <c r="U906" s="12"/>
      <c r="V906" s="12"/>
      <c r="W906" s="12">
        <f t="shared" si="243"/>
        <v>2512</v>
      </c>
      <c r="Y906" s="10">
        <v>15</v>
      </c>
      <c r="Z906" s="30"/>
      <c r="AA906" s="31"/>
      <c r="AB906" s="32"/>
      <c r="AC906" s="32"/>
      <c r="AD906" s="32"/>
      <c r="AE906" s="32">
        <f t="shared" si="244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90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 t="s">
        <v>87</v>
      </c>
      <c r="O907" s="31">
        <f t="shared" si="247"/>
        <v>7238</v>
      </c>
      <c r="P907" s="32">
        <f>626+596+19</f>
        <v>1241</v>
      </c>
      <c r="Q907" s="32"/>
      <c r="R907" s="32"/>
      <c r="S907" s="32">
        <f t="shared" si="242"/>
        <v>1241</v>
      </c>
      <c r="T907" s="12"/>
      <c r="U907" s="12"/>
      <c r="V907" s="12">
        <v>-333</v>
      </c>
      <c r="W907" s="12">
        <f t="shared" si="243"/>
        <v>908</v>
      </c>
      <c r="Y907" s="10">
        <v>16</v>
      </c>
      <c r="Z907" s="30"/>
      <c r="AA907" s="31"/>
      <c r="AB907" s="32"/>
      <c r="AC907" s="32"/>
      <c r="AD907" s="32"/>
      <c r="AE907" s="32">
        <f t="shared" si="244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0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 t="s">
        <v>87</v>
      </c>
      <c r="O908" s="31">
        <f t="shared" si="247"/>
        <v>7239</v>
      </c>
      <c r="P908" s="35">
        <f>4382+66.5</f>
        <v>4448.5</v>
      </c>
      <c r="Q908" s="32"/>
      <c r="R908" s="32"/>
      <c r="S908" s="32">
        <f t="shared" si="242"/>
        <v>4448.5</v>
      </c>
      <c r="T908" s="12"/>
      <c r="U908" s="12"/>
      <c r="V908" s="12"/>
      <c r="W908" s="12">
        <f t="shared" si="243"/>
        <v>4448.5</v>
      </c>
      <c r="Y908" s="10">
        <v>17</v>
      </c>
      <c r="Z908" s="30"/>
      <c r="AA908" s="31"/>
      <c r="AB908" s="35"/>
      <c r="AC908" s="32"/>
      <c r="AD908" s="32"/>
      <c r="AE908" s="32">
        <f t="shared" si="244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90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 t="s">
        <v>87</v>
      </c>
      <c r="O909" s="31">
        <f t="shared" si="247"/>
        <v>7240</v>
      </c>
      <c r="P909" s="32">
        <f>5634</f>
        <v>5634</v>
      </c>
      <c r="Q909" s="32"/>
      <c r="R909" s="32"/>
      <c r="S909" s="32">
        <f t="shared" si="242"/>
        <v>5634</v>
      </c>
      <c r="T909" s="12"/>
      <c r="U909" s="12"/>
      <c r="V909" s="12"/>
      <c r="W909" s="12">
        <f t="shared" si="243"/>
        <v>5634</v>
      </c>
      <c r="Y909" s="10">
        <v>18</v>
      </c>
      <c r="Z909" s="30"/>
      <c r="AA909" s="31"/>
      <c r="AB909" s="32"/>
      <c r="AC909" s="32"/>
      <c r="AD909" s="32"/>
      <c r="AE909" s="32">
        <f t="shared" si="244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0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 t="s">
        <v>87</v>
      </c>
      <c r="O910" s="31">
        <f t="shared" si="247"/>
        <v>7241</v>
      </c>
      <c r="P910" s="32">
        <f>1252+596+28.5</f>
        <v>1876.5</v>
      </c>
      <c r="Q910" s="32"/>
      <c r="R910" s="32"/>
      <c r="S910" s="32">
        <f t="shared" si="242"/>
        <v>1876.5</v>
      </c>
      <c r="T910" s="12"/>
      <c r="U910" s="12">
        <v>22.5</v>
      </c>
      <c r="V910" s="12"/>
      <c r="W910" s="12">
        <f t="shared" si="243"/>
        <v>1899</v>
      </c>
      <c r="Y910" s="10">
        <v>19</v>
      </c>
      <c r="Z910" s="30"/>
      <c r="AA910" s="31"/>
      <c r="AB910" s="32"/>
      <c r="AC910" s="32"/>
      <c r="AD910" s="32"/>
      <c r="AE910" s="32">
        <f t="shared" si="244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 t="s">
        <v>87</v>
      </c>
      <c r="O911" s="31">
        <f t="shared" si="247"/>
        <v>7242</v>
      </c>
      <c r="P911" s="32">
        <f>9390+142.5</f>
        <v>9532.5</v>
      </c>
      <c r="Q911" s="32"/>
      <c r="R911" s="32"/>
      <c r="S911" s="32">
        <f t="shared" si="242"/>
        <v>9532.5</v>
      </c>
      <c r="T911" s="12"/>
      <c r="U911" s="12"/>
      <c r="V911" s="12"/>
      <c r="W911" s="12">
        <f t="shared" si="243"/>
        <v>9532.5</v>
      </c>
      <c r="Y911" s="10">
        <v>20</v>
      </c>
      <c r="Z911" s="30"/>
      <c r="AA911" s="31"/>
      <c r="AB911" s="32"/>
      <c r="AC911" s="32"/>
      <c r="AD911" s="32"/>
      <c r="AE911" s="32">
        <f t="shared" si="244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0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 t="s">
        <v>87</v>
      </c>
      <c r="O912" s="31">
        <f t="shared" si="247"/>
        <v>7243</v>
      </c>
      <c r="P912" s="46">
        <f>1252+19</f>
        <v>1271</v>
      </c>
      <c r="Q912" s="31"/>
      <c r="R912" s="31"/>
      <c r="S912" s="32">
        <f t="shared" si="242"/>
        <v>1271</v>
      </c>
      <c r="T912" s="10"/>
      <c r="U912" s="10"/>
      <c r="V912" s="10"/>
      <c r="W912" s="12">
        <f t="shared" si="243"/>
        <v>1271</v>
      </c>
      <c r="Y912" s="10">
        <v>21</v>
      </c>
      <c r="Z912" s="30"/>
      <c r="AA912" s="31"/>
      <c r="AB912" s="46"/>
      <c r="AC912" s="31"/>
      <c r="AD912" s="31"/>
      <c r="AE912" s="32">
        <f t="shared" si="244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0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 t="s">
        <v>87</v>
      </c>
      <c r="O913" s="31">
        <f t="shared" si="247"/>
        <v>7244</v>
      </c>
      <c r="P913" s="45">
        <f>5008+76</f>
        <v>5084</v>
      </c>
      <c r="Q913" s="31"/>
      <c r="R913" s="31"/>
      <c r="S913" s="32">
        <f t="shared" si="242"/>
        <v>5084</v>
      </c>
      <c r="T913" s="10"/>
      <c r="U913" s="10"/>
      <c r="V913" s="10"/>
      <c r="W913" s="12">
        <f t="shared" si="243"/>
        <v>5084</v>
      </c>
      <c r="Y913" s="10">
        <v>22</v>
      </c>
      <c r="Z913" s="30"/>
      <c r="AA913" s="31"/>
      <c r="AB913" s="45"/>
      <c r="AC913" s="31"/>
      <c r="AD913" s="31"/>
      <c r="AE913" s="32">
        <f t="shared" si="244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 t="s">
        <v>87</v>
      </c>
      <c r="O914" s="31">
        <f t="shared" si="247"/>
        <v>7245</v>
      </c>
      <c r="P914" s="47">
        <f>1252+19</f>
        <v>1271</v>
      </c>
      <c r="Q914" s="31"/>
      <c r="S914" s="32">
        <f t="shared" si="242"/>
        <v>1271</v>
      </c>
      <c r="T914" s="10"/>
      <c r="U914" s="10"/>
      <c r="V914" s="10"/>
      <c r="W914" s="12">
        <f t="shared" si="243"/>
        <v>1271</v>
      </c>
      <c r="Y914" s="10">
        <v>23</v>
      </c>
      <c r="Z914" s="30"/>
      <c r="AA914" s="31"/>
      <c r="AB914" s="47"/>
      <c r="AC914" s="31"/>
      <c r="AE914" s="32">
        <f t="shared" si="244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90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 t="s">
        <v>87</v>
      </c>
      <c r="O915" s="31">
        <f t="shared" si="247"/>
        <v>7246</v>
      </c>
      <c r="P915" s="47">
        <f>1878+28.5</f>
        <v>1906.5</v>
      </c>
      <c r="Q915" s="31"/>
      <c r="R915" s="31"/>
      <c r="S915" s="32">
        <f t="shared" si="242"/>
        <v>1906.5</v>
      </c>
      <c r="T915" s="10"/>
      <c r="U915" s="10">
        <v>4.5</v>
      </c>
      <c r="V915" s="10"/>
      <c r="W915" s="12">
        <f t="shared" si="243"/>
        <v>1911</v>
      </c>
      <c r="Y915" s="10">
        <v>24</v>
      </c>
      <c r="Z915" s="30"/>
      <c r="AA915" s="31"/>
      <c r="AB915" s="47"/>
      <c r="AC915" s="31"/>
      <c r="AD915" s="31"/>
      <c r="AE915" s="32">
        <f t="shared" si="244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90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 t="s">
        <v>87</v>
      </c>
      <c r="O916" s="31">
        <f t="shared" si="247"/>
        <v>7247</v>
      </c>
      <c r="P916" s="47">
        <f>1878+28.5</f>
        <v>1906.5</v>
      </c>
      <c r="Q916" s="31"/>
      <c r="R916" s="31"/>
      <c r="S916" s="32">
        <f t="shared" si="242"/>
        <v>1906.5</v>
      </c>
      <c r="T916" s="10"/>
      <c r="U916" s="10">
        <v>4.5</v>
      </c>
      <c r="V916" s="10"/>
      <c r="W916" s="12">
        <f t="shared" si="243"/>
        <v>1911</v>
      </c>
      <c r="Y916" s="10">
        <v>25</v>
      </c>
      <c r="Z916" s="30"/>
      <c r="AA916" s="31"/>
      <c r="AB916" s="47"/>
      <c r="AC916" s="31"/>
      <c r="AD916" s="31"/>
      <c r="AE916" s="32">
        <f t="shared" si="244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90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 t="s">
        <v>87</v>
      </c>
      <c r="O917" s="31">
        <f t="shared" si="247"/>
        <v>7248</v>
      </c>
      <c r="P917" s="47">
        <f>1252+19</f>
        <v>1271</v>
      </c>
      <c r="Q917" s="31"/>
      <c r="R917" s="31"/>
      <c r="S917" s="32">
        <f t="shared" si="242"/>
        <v>1271</v>
      </c>
      <c r="T917" s="10"/>
      <c r="U917" s="10">
        <v>4.5</v>
      </c>
      <c r="V917" s="10"/>
      <c r="W917" s="12">
        <f t="shared" si="243"/>
        <v>1275.5</v>
      </c>
      <c r="Y917" s="10">
        <v>26</v>
      </c>
      <c r="Z917" s="30"/>
      <c r="AA917" s="31"/>
      <c r="AB917" s="47"/>
      <c r="AC917" s="31"/>
      <c r="AD917" s="31"/>
      <c r="AE917" s="32">
        <f t="shared" si="244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90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 t="s">
        <v>87</v>
      </c>
      <c r="O918" s="31">
        <f t="shared" si="247"/>
        <v>7249</v>
      </c>
      <c r="P918" s="47">
        <f>1252+19</f>
        <v>1271</v>
      </c>
      <c r="Q918" s="31"/>
      <c r="R918" s="31"/>
      <c r="S918" s="32">
        <f t="shared" si="242"/>
        <v>1271</v>
      </c>
      <c r="T918" s="10"/>
      <c r="U918" s="10"/>
      <c r="V918" s="10"/>
      <c r="W918" s="12">
        <f t="shared" si="243"/>
        <v>1271</v>
      </c>
      <c r="Y918" s="10">
        <v>27</v>
      </c>
      <c r="Z918" s="30"/>
      <c r="AA918" s="31"/>
      <c r="AB918" s="47"/>
      <c r="AC918" s="31"/>
      <c r="AD918" s="31"/>
      <c r="AE918" s="32">
        <f t="shared" si="244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90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 t="s">
        <v>87</v>
      </c>
      <c r="O919" s="31">
        <f t="shared" si="247"/>
        <v>7250</v>
      </c>
      <c r="P919" s="47">
        <f>34430+3070+5960+458</f>
        <v>43918</v>
      </c>
      <c r="Q919" s="31"/>
      <c r="R919" s="31"/>
      <c r="S919" s="32">
        <f t="shared" si="242"/>
        <v>43918</v>
      </c>
      <c r="T919" s="10"/>
      <c r="U919" s="10">
        <v>1215</v>
      </c>
      <c r="V919" s="10"/>
      <c r="W919" s="12">
        <f t="shared" si="243"/>
        <v>45133</v>
      </c>
      <c r="Y919" s="10">
        <v>28</v>
      </c>
      <c r="Z919" s="30"/>
      <c r="AA919" s="31"/>
      <c r="AB919" s="47"/>
      <c r="AC919" s="31"/>
      <c r="AD919" s="31"/>
      <c r="AE919" s="32">
        <f t="shared" si="244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90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 t="s">
        <v>87</v>
      </c>
      <c r="O920" s="31">
        <v>7401</v>
      </c>
      <c r="P920" s="47">
        <f>3756+57</f>
        <v>3813</v>
      </c>
      <c r="Q920" s="31"/>
      <c r="R920" s="31"/>
      <c r="S920" s="32">
        <f t="shared" si="242"/>
        <v>3813</v>
      </c>
      <c r="T920" s="10"/>
      <c r="U920" s="10"/>
      <c r="V920" s="10"/>
      <c r="W920" s="12">
        <f t="shared" si="243"/>
        <v>3813</v>
      </c>
      <c r="Y920" s="10">
        <v>29</v>
      </c>
      <c r="Z920" s="30"/>
      <c r="AA920" s="31"/>
      <c r="AB920" s="47"/>
      <c r="AC920" s="31"/>
      <c r="AD920" s="31"/>
      <c r="AE920" s="32">
        <f t="shared" si="244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11" t="s">
        <v>27</v>
      </c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4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0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B922" s="47"/>
      <c r="AC922" s="31"/>
      <c r="AD922" s="31"/>
      <c r="AE922" s="32">
        <f t="shared" si="244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90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4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0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4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0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P925" s="47"/>
      <c r="Q925" s="31"/>
      <c r="R925" s="31"/>
      <c r="S925" s="32">
        <f t="shared" ref="S925:S930" si="249">SUM(P925:Q925)</f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B925" s="47"/>
      <c r="AC925" s="31"/>
      <c r="AD925" s="31"/>
      <c r="AE925" s="32">
        <f t="shared" si="244"/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9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4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9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4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9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4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9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4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9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4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73574.5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73574.5</v>
      </c>
      <c r="H935" s="4"/>
      <c r="I935" s="39">
        <f>SUM(I892:I934)</f>
        <v>174</v>
      </c>
      <c r="J935" s="39">
        <f>SUM(J892:J934)</f>
        <v>0</v>
      </c>
      <c r="K935" s="40">
        <f>SUM(K892:K934)</f>
        <v>73748.5</v>
      </c>
      <c r="N935" s="57"/>
      <c r="O935" s="57"/>
      <c r="P935" s="38">
        <f>SUM(P892:P934)</f>
        <v>143034.5</v>
      </c>
      <c r="Q935" s="38">
        <f>SUM(Q892:Q916)</f>
        <v>0</v>
      </c>
      <c r="R935" s="38">
        <f>SUM(R892:R916)</f>
        <v>0</v>
      </c>
      <c r="S935" s="38">
        <f>SUM(S892:S934)</f>
        <v>143034.5</v>
      </c>
      <c r="T935" s="4"/>
      <c r="U935" s="41">
        <f>SUM(U892:U934)</f>
        <v>1357.5</v>
      </c>
      <c r="V935" s="41">
        <f>SUM(V892:V916)</f>
        <v>-918</v>
      </c>
      <c r="W935" s="42">
        <f>SUM(W892:W934)</f>
        <v>143474</v>
      </c>
      <c r="Z935" s="57"/>
      <c r="AA935" s="57"/>
      <c r="AB935" s="38">
        <f>SUM(AB892:AB934)</f>
        <v>166429.5</v>
      </c>
      <c r="AC935" s="38">
        <f>SUM(AC892:AC916)</f>
        <v>-1326</v>
      </c>
      <c r="AD935" s="38">
        <f>SUM(AD892:AD916)</f>
        <v>0</v>
      </c>
      <c r="AE935" s="38">
        <f>SUM(AE892:AE934)</f>
        <v>165103.5</v>
      </c>
      <c r="AF935" s="4"/>
      <c r="AG935" s="41">
        <f>SUM(AG892:AG934)</f>
        <v>0</v>
      </c>
      <c r="AH935" s="41">
        <f>SUM(AH892:AH916)</f>
        <v>-4125</v>
      </c>
      <c r="AI935" s="42">
        <f>SUM(AI892:AI934)</f>
        <v>160978.5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34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34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34</v>
      </c>
      <c r="Z942" s="57"/>
      <c r="AA942" s="57"/>
      <c r="AB942" s="57"/>
      <c r="AC942" s="57"/>
      <c r="AD942" s="57"/>
      <c r="AE942" s="57"/>
      <c r="AG942" s="57" t="s">
        <v>15</v>
      </c>
      <c r="AH942" s="19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89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42</v>
      </c>
      <c r="W943" s="24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3" t="s">
        <v>17</v>
      </c>
      <c r="E945" s="123"/>
      <c r="F945" s="107"/>
      <c r="G945" s="27"/>
      <c r="I945" s="121" t="s">
        <v>18</v>
      </c>
      <c r="J945" s="122"/>
      <c r="K945" s="119" t="s">
        <v>19</v>
      </c>
      <c r="N945" s="25"/>
      <c r="O945" s="26"/>
      <c r="P945" s="123" t="s">
        <v>17</v>
      </c>
      <c r="Q945" s="123"/>
      <c r="R945" s="107"/>
      <c r="S945" s="27"/>
      <c r="U945" s="121" t="s">
        <v>18</v>
      </c>
      <c r="V945" s="122"/>
      <c r="W945" s="119" t="s">
        <v>19</v>
      </c>
      <c r="Z945" s="25"/>
      <c r="AA945" s="26"/>
      <c r="AB945" s="123" t="s">
        <v>17</v>
      </c>
      <c r="AC945" s="123"/>
      <c r="AD945" s="107"/>
      <c r="AE945" s="27"/>
      <c r="AG945" s="121" t="s">
        <v>18</v>
      </c>
      <c r="AH945" s="122"/>
      <c r="AI945" s="119" t="s">
        <v>19</v>
      </c>
      <c r="AK945" s="62"/>
      <c r="AL945" s="65"/>
      <c r="AM945" s="87"/>
      <c r="AN945" s="125"/>
      <c r="AO945" s="125"/>
      <c r="AP945" s="87"/>
      <c r="AQ945" s="84"/>
      <c r="AR945" s="62"/>
      <c r="AS945" s="125"/>
      <c r="AT945" s="125"/>
      <c r="AU945" s="124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0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0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0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4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90">
        <v>7359</v>
      </c>
      <c r="D947" s="32">
        <f>1788+28.5</f>
        <v>1816.5</v>
      </c>
      <c r="E947" s="32"/>
      <c r="F947" s="32"/>
      <c r="G947" s="32">
        <f t="shared" ref="G947:G980" si="255">SUM(D947:E947)</f>
        <v>1816.5</v>
      </c>
      <c r="H947" s="12"/>
      <c r="I947" s="12"/>
      <c r="J947" s="12"/>
      <c r="K947" s="12">
        <f t="shared" ref="K947:K980" si="256">SUM(G947:J947)</f>
        <v>1816.5</v>
      </c>
      <c r="M947" s="10">
        <v>1</v>
      </c>
      <c r="N947" s="30" t="s">
        <v>90</v>
      </c>
      <c r="O947" s="31">
        <v>7402</v>
      </c>
      <c r="P947" s="32">
        <f>3130+614</f>
        <v>3744</v>
      </c>
      <c r="Q947" s="32"/>
      <c r="R947" s="32"/>
      <c r="S947" s="32">
        <f>SUM(P947:Q947)</f>
        <v>3744</v>
      </c>
      <c r="T947" s="12"/>
      <c r="U947" s="12"/>
      <c r="V947" s="12"/>
      <c r="W947" s="12">
        <f>SUM(S947:V947)</f>
        <v>3744</v>
      </c>
      <c r="Y947" s="10">
        <v>1</v>
      </c>
      <c r="Z947" s="30" t="s">
        <v>90</v>
      </c>
      <c r="AA947" s="31">
        <v>7317</v>
      </c>
      <c r="AB947" s="32">
        <f>21284+229</f>
        <v>21513</v>
      </c>
      <c r="AC947" s="32"/>
      <c r="AD947" s="32"/>
      <c r="AE947" s="32">
        <f>SUM(AB947:AC947)</f>
        <v>21513</v>
      </c>
      <c r="AF947" s="12"/>
      <c r="AG947" s="12"/>
      <c r="AH947" s="12"/>
      <c r="AI947" s="12">
        <f>SUM(AE947:AH947)</f>
        <v>21513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90">
        <f>C947+1</f>
        <v>7360</v>
      </c>
      <c r="D948" s="32">
        <f>5634+1228+674</f>
        <v>7536</v>
      </c>
      <c r="E948" s="32"/>
      <c r="F948" s="32"/>
      <c r="G948" s="32">
        <f t="shared" si="255"/>
        <v>7536</v>
      </c>
      <c r="H948" s="12"/>
      <c r="I948" s="12"/>
      <c r="J948" s="12"/>
      <c r="K948" s="12">
        <f t="shared" si="256"/>
        <v>7536</v>
      </c>
      <c r="M948" s="10">
        <v>2</v>
      </c>
      <c r="N948" s="30" t="s">
        <v>90</v>
      </c>
      <c r="O948" s="31">
        <f>O947+1</f>
        <v>7403</v>
      </c>
      <c r="P948" s="32">
        <f>135216+1145</f>
        <v>136361</v>
      </c>
      <c r="Q948" s="32">
        <v>-1989</v>
      </c>
      <c r="R948" s="32"/>
      <c r="S948" s="32">
        <f t="shared" ref="S948:S979" si="257">SUM(P948:Q948)</f>
        <v>134372</v>
      </c>
      <c r="T948" s="12"/>
      <c r="U948" s="12">
        <f>78</f>
        <v>78</v>
      </c>
      <c r="V948" s="12">
        <f>-16650</f>
        <v>-16650</v>
      </c>
      <c r="W948" s="12">
        <f t="shared" ref="W948:W988" si="258">SUM(S948:V948)</f>
        <v>117800</v>
      </c>
      <c r="Y948" s="10">
        <v>2</v>
      </c>
      <c r="Z948" s="30" t="s">
        <v>90</v>
      </c>
      <c r="AA948" s="31">
        <f>AA947+1</f>
        <v>7318</v>
      </c>
      <c r="AB948" s="32">
        <f>626*100+614*10+596*40+229*6</f>
        <v>93954</v>
      </c>
      <c r="AC948" s="32">
        <f>-936</f>
        <v>-936</v>
      </c>
      <c r="AD948" s="32"/>
      <c r="AE948" s="32">
        <f t="shared" ref="AE948:AE985" si="259">SUM(AB948:AC948)</f>
        <v>93018</v>
      </c>
      <c r="AF948" s="12"/>
      <c r="AG948" s="12">
        <f>8769+468</f>
        <v>9237</v>
      </c>
      <c r="AH948" s="12">
        <f>-504+-84</f>
        <v>-588</v>
      </c>
      <c r="AI948" s="12">
        <f t="shared" ref="AI948:AI988" si="260">SUM(AE948:AH948)</f>
        <v>101667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90">
        <f t="shared" ref="C949:C959" si="261">C948+1</f>
        <v>7361</v>
      </c>
      <c r="D949" s="33">
        <f>31300+674</f>
        <v>31974</v>
      </c>
      <c r="E949" s="33"/>
      <c r="F949" s="33"/>
      <c r="G949" s="33">
        <f t="shared" si="255"/>
        <v>31974</v>
      </c>
      <c r="H949" s="34"/>
      <c r="I949" s="34"/>
      <c r="J949" s="34"/>
      <c r="K949" s="34">
        <f t="shared" si="256"/>
        <v>31974</v>
      </c>
      <c r="M949" s="10">
        <v>3</v>
      </c>
      <c r="N949" s="30" t="s">
        <v>90</v>
      </c>
      <c r="O949" s="31">
        <f t="shared" ref="O949:O952" si="262">O948+1</f>
        <v>7404</v>
      </c>
      <c r="P949" s="32">
        <f>3130+614+456.5+47.5</f>
        <v>4248</v>
      </c>
      <c r="Q949" s="32"/>
      <c r="R949" s="32"/>
      <c r="S949" s="32">
        <f t="shared" si="257"/>
        <v>4248</v>
      </c>
      <c r="T949" s="12"/>
      <c r="U949" s="12"/>
      <c r="V949" s="12"/>
      <c r="W949" s="12">
        <f t="shared" si="258"/>
        <v>4248</v>
      </c>
      <c r="Y949" s="10">
        <v>3</v>
      </c>
      <c r="Z949" s="30" t="s">
        <v>90</v>
      </c>
      <c r="AA949" s="31">
        <f t="shared" ref="AA949:AA950" si="263">AA948+1</f>
        <v>7319</v>
      </c>
      <c r="AB949" s="33">
        <f>53210+6140+832+832+229*3</f>
        <v>61701</v>
      </c>
      <c r="AC949" s="33">
        <v>-600</v>
      </c>
      <c r="AD949" s="32"/>
      <c r="AE949" s="32">
        <f t="shared" si="259"/>
        <v>61101</v>
      </c>
      <c r="AF949" s="12"/>
      <c r="AG949" s="12">
        <f>240+3885+234+486</f>
        <v>4845</v>
      </c>
      <c r="AH949" s="12"/>
      <c r="AI949" s="12">
        <f t="shared" si="260"/>
        <v>65946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90">
        <f t="shared" si="261"/>
        <v>7362</v>
      </c>
      <c r="D950" s="32">
        <f>3130+47.5</f>
        <v>3177.5</v>
      </c>
      <c r="E950" s="32"/>
      <c r="F950" s="32"/>
      <c r="G950" s="32">
        <f t="shared" si="255"/>
        <v>3177.5</v>
      </c>
      <c r="H950" s="12"/>
      <c r="I950" s="12"/>
      <c r="J950" s="12"/>
      <c r="K950" s="12">
        <f t="shared" si="256"/>
        <v>3177.5</v>
      </c>
      <c r="M950" s="10">
        <v>4</v>
      </c>
      <c r="N950" s="30" t="s">
        <v>90</v>
      </c>
      <c r="O950" s="31">
        <f t="shared" si="262"/>
        <v>7405</v>
      </c>
      <c r="P950" s="32">
        <f>5634+596+229</f>
        <v>6459</v>
      </c>
      <c r="Q950" s="32"/>
      <c r="R950" s="32"/>
      <c r="S950" s="32">
        <f t="shared" si="257"/>
        <v>6459</v>
      </c>
      <c r="T950" s="12"/>
      <c r="U950" s="12"/>
      <c r="V950" s="12"/>
      <c r="W950" s="12">
        <f t="shared" si="258"/>
        <v>6459</v>
      </c>
      <c r="Y950" s="10">
        <v>4</v>
      </c>
      <c r="Z950" s="30" t="s">
        <v>90</v>
      </c>
      <c r="AA950" s="31">
        <f t="shared" si="263"/>
        <v>7320</v>
      </c>
      <c r="AB950" s="32">
        <f>112680+26820+2061</f>
        <v>141561</v>
      </c>
      <c r="AC950" s="32">
        <v>-1404</v>
      </c>
      <c r="AD950" s="32"/>
      <c r="AE950" s="32">
        <f t="shared" si="259"/>
        <v>140157</v>
      </c>
      <c r="AF950" s="12"/>
      <c r="AG950">
        <v>324</v>
      </c>
      <c r="AH950" s="12"/>
      <c r="AI950" s="12">
        <f t="shared" si="260"/>
        <v>140481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90</v>
      </c>
      <c r="C951" s="90">
        <f t="shared" si="261"/>
        <v>7363</v>
      </c>
      <c r="D951" s="32">
        <f>3756+1228</f>
        <v>4984</v>
      </c>
      <c r="E951" s="32"/>
      <c r="F951" s="32"/>
      <c r="G951" s="32">
        <f t="shared" si="255"/>
        <v>4984</v>
      </c>
      <c r="H951" s="12"/>
      <c r="I951" s="12"/>
      <c r="J951" s="12"/>
      <c r="K951" s="12">
        <f t="shared" si="256"/>
        <v>4984</v>
      </c>
      <c r="M951" s="10">
        <v>5</v>
      </c>
      <c r="N951" s="30" t="s">
        <v>90</v>
      </c>
      <c r="O951" s="31">
        <f t="shared" si="262"/>
        <v>7406</v>
      </c>
      <c r="P951" s="32">
        <f>1252+19</f>
        <v>1271</v>
      </c>
      <c r="Q951" s="32"/>
      <c r="R951" s="32"/>
      <c r="S951" s="32">
        <f t="shared" si="257"/>
        <v>1271</v>
      </c>
      <c r="T951" s="12"/>
      <c r="U951" s="12"/>
      <c r="V951" s="12"/>
      <c r="W951" s="12">
        <f t="shared" si="258"/>
        <v>1271</v>
      </c>
      <c r="Y951" s="10">
        <v>5</v>
      </c>
      <c r="Z951" s="30"/>
      <c r="AA951" s="11" t="s">
        <v>27</v>
      </c>
      <c r="AB951" s="32"/>
      <c r="AC951" s="32"/>
      <c r="AD951" s="32"/>
      <c r="AE951" s="32">
        <f t="shared" si="259"/>
        <v>0</v>
      </c>
      <c r="AF951" s="12"/>
      <c r="AG951" s="12"/>
      <c r="AH951" s="12"/>
      <c r="AI951" s="12">
        <f t="shared" si="260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90</v>
      </c>
      <c r="C952" s="90">
        <f t="shared" si="261"/>
        <v>7364</v>
      </c>
      <c r="D952" s="32">
        <f>11268+2384+229</f>
        <v>13881</v>
      </c>
      <c r="E952" s="32"/>
      <c r="F952" s="32"/>
      <c r="G952" s="32">
        <f t="shared" si="255"/>
        <v>13881</v>
      </c>
      <c r="H952" s="12"/>
      <c r="I952" s="12">
        <v>21</v>
      </c>
      <c r="J952" s="12"/>
      <c r="K952" s="12">
        <f t="shared" si="256"/>
        <v>13902</v>
      </c>
      <c r="M952" s="10">
        <v>6</v>
      </c>
      <c r="N952" s="30" t="s">
        <v>90</v>
      </c>
      <c r="O952" s="31">
        <f t="shared" si="262"/>
        <v>7407</v>
      </c>
      <c r="P952" s="32">
        <f>1252+19</f>
        <v>1271</v>
      </c>
      <c r="Q952" s="32"/>
      <c r="R952" s="32"/>
      <c r="S952" s="32">
        <f t="shared" si="257"/>
        <v>1271</v>
      </c>
      <c r="T952" s="12"/>
      <c r="U952" s="12"/>
      <c r="V952" s="10"/>
      <c r="W952" s="12">
        <f t="shared" si="258"/>
        <v>1271</v>
      </c>
      <c r="Y952" s="10">
        <v>6</v>
      </c>
      <c r="Z952" s="30"/>
      <c r="AA952" s="31"/>
      <c r="AB952" s="32"/>
      <c r="AC952" s="32"/>
      <c r="AD952" s="32"/>
      <c r="AE952" s="32">
        <f t="shared" si="259"/>
        <v>0</v>
      </c>
      <c r="AF952" s="12"/>
      <c r="AG952" s="12"/>
      <c r="AH952" s="10"/>
      <c r="AI952" s="12">
        <f t="shared" si="260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90</v>
      </c>
      <c r="C953" s="90">
        <f t="shared" si="261"/>
        <v>7365</v>
      </c>
      <c r="D953" s="32">
        <f>3756</f>
        <v>3756</v>
      </c>
      <c r="E953" s="32"/>
      <c r="F953" s="32"/>
      <c r="G953" s="32">
        <f t="shared" si="255"/>
        <v>3756</v>
      </c>
      <c r="H953" s="12"/>
      <c r="I953" s="12">
        <v>18</v>
      </c>
      <c r="J953" s="12"/>
      <c r="K953" s="12">
        <f t="shared" si="256"/>
        <v>3774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57"/>
        <v>0</v>
      </c>
      <c r="T953" s="12"/>
      <c r="U953" s="12"/>
      <c r="V953" s="12"/>
      <c r="W953" s="12">
        <f t="shared" si="258"/>
        <v>0</v>
      </c>
      <c r="Y953" s="10">
        <v>7</v>
      </c>
      <c r="Z953" s="30"/>
      <c r="AA953" s="31"/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90</v>
      </c>
      <c r="C954" s="90">
        <f t="shared" si="261"/>
        <v>7366</v>
      </c>
      <c r="D954" s="32">
        <f>31300+5364+229</f>
        <v>36893</v>
      </c>
      <c r="E954" s="32"/>
      <c r="F954" s="32"/>
      <c r="G954" s="32">
        <f t="shared" si="255"/>
        <v>36893</v>
      </c>
      <c r="H954" s="12"/>
      <c r="I954" s="12">
        <f>84+9+6</f>
        <v>99</v>
      </c>
      <c r="J954" s="12"/>
      <c r="K954" s="12">
        <f t="shared" si="256"/>
        <v>36992</v>
      </c>
      <c r="M954" s="10">
        <v>8</v>
      </c>
      <c r="N954" s="30"/>
      <c r="O954" s="31"/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90</v>
      </c>
      <c r="C955" s="90">
        <f t="shared" si="261"/>
        <v>7367</v>
      </c>
      <c r="D955" s="32">
        <f>11268+1348</f>
        <v>12616</v>
      </c>
      <c r="E955" s="32"/>
      <c r="F955" s="32"/>
      <c r="G955" s="32">
        <f t="shared" si="255"/>
        <v>12616</v>
      </c>
      <c r="H955" s="12"/>
      <c r="I955" s="12"/>
      <c r="J955" s="12"/>
      <c r="K955" s="12">
        <f t="shared" si="256"/>
        <v>12616</v>
      </c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Y955" s="10">
        <v>9</v>
      </c>
      <c r="Z955" s="30"/>
      <c r="AA955" s="31"/>
      <c r="AB955" s="32"/>
      <c r="AC955" s="32"/>
      <c r="AD955" s="32"/>
      <c r="AE955" s="32">
        <f t="shared" si="259"/>
        <v>0</v>
      </c>
      <c r="AF955" s="12"/>
      <c r="AG955" s="58"/>
      <c r="AH955" s="12"/>
      <c r="AI955" s="12">
        <f t="shared" si="260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90</v>
      </c>
      <c r="C956" s="90">
        <f t="shared" si="261"/>
        <v>7368</v>
      </c>
      <c r="D956" s="32">
        <f>31926+7152</f>
        <v>39078</v>
      </c>
      <c r="E956" s="32"/>
      <c r="F956" s="32"/>
      <c r="G956" s="32">
        <f t="shared" si="255"/>
        <v>39078</v>
      </c>
      <c r="H956" s="12"/>
      <c r="I956" s="12"/>
      <c r="J956" s="12"/>
      <c r="K956" s="12">
        <f t="shared" si="256"/>
        <v>39078</v>
      </c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90</v>
      </c>
      <c r="C957" s="90">
        <f t="shared" si="261"/>
        <v>7369</v>
      </c>
      <c r="D957" s="32">
        <f>9390+9.5*15</f>
        <v>9532.5</v>
      </c>
      <c r="E957" s="32"/>
      <c r="F957" s="32"/>
      <c r="G957" s="32">
        <f t="shared" si="255"/>
        <v>9532.5</v>
      </c>
      <c r="H957" s="12"/>
      <c r="I957" s="12">
        <v>199</v>
      </c>
      <c r="J957" s="12"/>
      <c r="K957" s="12">
        <f t="shared" si="256"/>
        <v>9731.5</v>
      </c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 t="s">
        <v>90</v>
      </c>
      <c r="C958" s="90">
        <f t="shared" si="261"/>
        <v>7370</v>
      </c>
      <c r="D958" s="32">
        <f>1252+19</f>
        <v>1271</v>
      </c>
      <c r="E958" s="32"/>
      <c r="F958" s="32"/>
      <c r="G958" s="32">
        <f t="shared" si="255"/>
        <v>1271</v>
      </c>
      <c r="H958" s="12"/>
      <c r="I958" s="12"/>
      <c r="J958" s="10"/>
      <c r="K958" s="12">
        <f t="shared" si="256"/>
        <v>1271</v>
      </c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 t="s">
        <v>90</v>
      </c>
      <c r="C959" s="90">
        <f t="shared" si="261"/>
        <v>7371</v>
      </c>
      <c r="D959" s="32">
        <f>12520+3684+95</f>
        <v>16299</v>
      </c>
      <c r="E959" s="32"/>
      <c r="F959" s="32"/>
      <c r="G959" s="32">
        <f t="shared" si="255"/>
        <v>16299</v>
      </c>
      <c r="H959" s="12"/>
      <c r="I959" s="12"/>
      <c r="J959" s="12"/>
      <c r="K959" s="12">
        <f t="shared" si="256"/>
        <v>16299</v>
      </c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11" t="s">
        <v>27</v>
      </c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M960" s="10">
        <v>14</v>
      </c>
      <c r="N960" s="30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90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M962" s="10">
        <v>16</v>
      </c>
      <c r="N962" s="30"/>
      <c r="O962" s="3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90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90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90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90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Y967" s="10">
        <v>21</v>
      </c>
      <c r="Z967" s="30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90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Y969" s="10">
        <v>23</v>
      </c>
      <c r="Z969" s="30"/>
      <c r="AA969" s="31"/>
      <c r="AB969" s="47"/>
      <c r="AC969" s="31"/>
      <c r="AE969" s="32">
        <f t="shared" si="259"/>
        <v>0</v>
      </c>
      <c r="AF969" s="10"/>
      <c r="AG969" s="10"/>
      <c r="AH969" s="10"/>
      <c r="AI969" s="12">
        <f t="shared" si="260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90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90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90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90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90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90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M976" s="10">
        <v>30</v>
      </c>
      <c r="N976" s="30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90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M977" s="10">
        <v>31</v>
      </c>
      <c r="N977" s="30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Y977" s="10">
        <v>31</v>
      </c>
      <c r="Z977" s="30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90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90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90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M980" s="10">
        <v>34</v>
      </c>
      <c r="N980" s="30"/>
      <c r="P980" s="47"/>
      <c r="Q980" s="31"/>
      <c r="R980" s="31"/>
      <c r="S980" s="32">
        <f t="shared" ref="S980:S985" si="264">SUM(P980:Q980)</f>
        <v>0</v>
      </c>
      <c r="T980" s="10"/>
      <c r="U980" s="10"/>
      <c r="V980" s="10"/>
      <c r="W980" s="12">
        <f t="shared" si="258"/>
        <v>0</v>
      </c>
      <c r="Y980" s="10">
        <v>34</v>
      </c>
      <c r="Z980" s="30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4"/>
        <v>0</v>
      </c>
      <c r="T981" s="10"/>
      <c r="U981" s="10"/>
      <c r="V981" s="10"/>
      <c r="W981" s="12">
        <f t="shared" si="258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4"/>
        <v>0</v>
      </c>
      <c r="T982" s="10"/>
      <c r="U982" s="10"/>
      <c r="V982" s="10"/>
      <c r="W982" s="12">
        <f t="shared" si="258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4"/>
        <v>0</v>
      </c>
      <c r="T983" s="10"/>
      <c r="U983" s="10"/>
      <c r="V983" s="10"/>
      <c r="W983" s="12">
        <f t="shared" si="258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4"/>
        <v>0</v>
      </c>
      <c r="T984" s="10"/>
      <c r="U984" s="10"/>
      <c r="V984" s="10"/>
      <c r="W984" s="12">
        <f t="shared" si="258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4"/>
        <v>0</v>
      </c>
      <c r="T985" s="10"/>
      <c r="U985" s="10"/>
      <c r="V985" s="10"/>
      <c r="W985" s="12">
        <f t="shared" si="258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65">SUM(D987:E987)</f>
        <v>0</v>
      </c>
      <c r="H987" s="10"/>
      <c r="I987" s="10"/>
      <c r="J987" s="10"/>
      <c r="K987" s="12">
        <f t="shared" ref="K987" si="266">SUM(G987:J987)</f>
        <v>0</v>
      </c>
      <c r="M987" s="10"/>
      <c r="N987" s="30"/>
      <c r="O987" s="31"/>
      <c r="P987" s="47"/>
      <c r="Q987" s="31"/>
      <c r="R987" s="31"/>
      <c r="S987" s="32">
        <f t="shared" ref="S987" si="267">SUM(P987:Q987)</f>
        <v>0</v>
      </c>
      <c r="T987" s="10"/>
      <c r="U987" s="10"/>
      <c r="V987" s="10"/>
      <c r="W987" s="12">
        <f t="shared" si="258"/>
        <v>0</v>
      </c>
      <c r="Y987" s="10"/>
      <c r="Z987" s="30"/>
      <c r="AA987" s="31"/>
      <c r="AB987" s="47"/>
      <c r="AC987" s="31"/>
      <c r="AD987" s="31"/>
      <c r="AE987" s="32">
        <f t="shared" ref="AE987" si="268">SUM(AB987:AC987)</f>
        <v>0</v>
      </c>
      <c r="AF987" s="10"/>
      <c r="AG987" s="10"/>
      <c r="AH987" s="10"/>
      <c r="AI987" s="12">
        <f t="shared" si="260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182814.5</v>
      </c>
      <c r="E990" s="38">
        <f t="shared" ref="E990:F990" si="269">SUM(E947:E987)</f>
        <v>0</v>
      </c>
      <c r="F990" s="38">
        <f t="shared" si="269"/>
        <v>0</v>
      </c>
      <c r="G990" s="38">
        <f>SUM(G947:G989)</f>
        <v>182814.5</v>
      </c>
      <c r="H990" s="4"/>
      <c r="I990" s="39">
        <f>SUM(I947:I989)</f>
        <v>337</v>
      </c>
      <c r="J990" s="39">
        <f>SUM(J947:J989)</f>
        <v>0</v>
      </c>
      <c r="K990" s="40">
        <f>SUM(K947:K989)</f>
        <v>183151.5</v>
      </c>
      <c r="N990" s="57"/>
      <c r="O990" s="57"/>
      <c r="P990" s="38">
        <f>SUM(P947:P989)</f>
        <v>153354</v>
      </c>
      <c r="Q990" s="38">
        <f>SUM(Q947:Q971)</f>
        <v>-1989</v>
      </c>
      <c r="R990" s="38">
        <f>SUM(R947:R971)</f>
        <v>0</v>
      </c>
      <c r="S990" s="38">
        <f>SUM(S947:S989)</f>
        <v>151365</v>
      </c>
      <c r="T990" s="4"/>
      <c r="U990" s="41">
        <f>SUM(U947:U989)</f>
        <v>78</v>
      </c>
      <c r="V990" s="41">
        <f>SUM(V947:V971)</f>
        <v>-16650</v>
      </c>
      <c r="W990" s="42">
        <f>SUM(W947:W989)</f>
        <v>134793</v>
      </c>
      <c r="Z990" s="57"/>
      <c r="AA990" s="57"/>
      <c r="AB990" s="38">
        <f>SUM(AB947:AB989)</f>
        <v>318729</v>
      </c>
      <c r="AC990" s="38">
        <f>SUM(AC947:AC971)</f>
        <v>-2940</v>
      </c>
      <c r="AD990" s="38">
        <f>SUM(AD947:AD971)</f>
        <v>0</v>
      </c>
      <c r="AE990" s="38">
        <f>SUM(AE947:AE989)</f>
        <v>315789</v>
      </c>
      <c r="AF990" s="4"/>
      <c r="AG990" s="41">
        <f>SUM(AG947:AG989)</f>
        <v>14406</v>
      </c>
      <c r="AH990" s="41">
        <f>SUM(AH947:AH971)</f>
        <v>-588</v>
      </c>
      <c r="AI990" s="42">
        <f>SUM(AI947:AI989)</f>
        <v>329607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35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35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35</v>
      </c>
      <c r="Z997" s="57"/>
      <c r="AA997" s="57"/>
      <c r="AB997" s="57"/>
      <c r="AC997" s="57"/>
      <c r="AD997" s="57"/>
      <c r="AE997" s="57"/>
      <c r="AG997" s="57" t="s">
        <v>15</v>
      </c>
      <c r="AH997" s="19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92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42</v>
      </c>
      <c r="W998" s="24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3" t="s">
        <v>17</v>
      </c>
      <c r="E1000" s="123"/>
      <c r="F1000" s="109"/>
      <c r="G1000" s="27"/>
      <c r="I1000" s="121" t="s">
        <v>18</v>
      </c>
      <c r="J1000" s="122"/>
      <c r="K1000" s="119" t="s">
        <v>19</v>
      </c>
      <c r="N1000" s="25"/>
      <c r="O1000" s="26"/>
      <c r="P1000" s="123" t="s">
        <v>17</v>
      </c>
      <c r="Q1000" s="123"/>
      <c r="R1000" s="109"/>
      <c r="S1000" s="27"/>
      <c r="U1000" s="121" t="s">
        <v>18</v>
      </c>
      <c r="V1000" s="122"/>
      <c r="W1000" s="119" t="s">
        <v>19</v>
      </c>
      <c r="Z1000" s="25"/>
      <c r="AA1000" s="26"/>
      <c r="AB1000" s="123" t="s">
        <v>17</v>
      </c>
      <c r="AC1000" s="123"/>
      <c r="AD1000" s="109"/>
      <c r="AE1000" s="27"/>
      <c r="AG1000" s="121" t="s">
        <v>18</v>
      </c>
      <c r="AH1000" s="122"/>
      <c r="AI1000" s="119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0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0"/>
      <c r="Z1001" s="28" t="s">
        <v>20</v>
      </c>
      <c r="AA1001" s="28" t="s">
        <v>21</v>
      </c>
      <c r="AB1001" s="79" t="s">
        <v>22</v>
      </c>
      <c r="AC1001" s="80" t="s">
        <v>23</v>
      </c>
      <c r="AD1001" s="80" t="s">
        <v>32</v>
      </c>
      <c r="AE1001" s="80" t="s">
        <v>24</v>
      </c>
      <c r="AG1001" s="29" t="s">
        <v>25</v>
      </c>
      <c r="AH1001" s="29" t="s">
        <v>26</v>
      </c>
      <c r="AI1001" s="120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93</v>
      </c>
      <c r="C1002" s="90">
        <v>7372</v>
      </c>
      <c r="D1002" s="32">
        <f>25040+1228+2980</f>
        <v>29248</v>
      </c>
      <c r="E1002" s="32"/>
      <c r="F1002" s="32"/>
      <c r="G1002" s="32">
        <f t="shared" ref="G1002:G1035" si="270">SUM(D1002:E1002)</f>
        <v>29248</v>
      </c>
      <c r="H1002" s="12"/>
      <c r="I1002" s="12">
        <v>135</v>
      </c>
      <c r="J1002" s="12"/>
      <c r="K1002" s="12">
        <f t="shared" ref="K1002:K1035" si="271">SUM(G1002:J1002)</f>
        <v>29383</v>
      </c>
      <c r="M1002" s="10">
        <v>1</v>
      </c>
      <c r="N1002" s="30" t="s">
        <v>93</v>
      </c>
      <c r="O1002" s="31">
        <v>7408</v>
      </c>
      <c r="P1002" s="32">
        <f>6260+614+2384+832+133</f>
        <v>10223</v>
      </c>
      <c r="Q1002" s="32"/>
      <c r="R1002" s="32"/>
      <c r="S1002" s="32">
        <f>SUM(P1002:Q1002)</f>
        <v>10223</v>
      </c>
      <c r="T1002" s="12"/>
      <c r="U1002" s="12">
        <f>6.75+36</f>
        <v>42.75</v>
      </c>
      <c r="V1002" s="12"/>
      <c r="W1002" s="12">
        <f>SUM(S1002:V1002)</f>
        <v>10265.75</v>
      </c>
      <c r="Y1002" s="10">
        <v>1</v>
      </c>
      <c r="Z1002" s="30" t="s">
        <v>93</v>
      </c>
      <c r="AA1002" s="31">
        <v>7321</v>
      </c>
      <c r="AB1002" s="32">
        <f>187800+21490+27390+59600+6740+30150+41600+5000+1000</f>
        <v>380770</v>
      </c>
      <c r="AC1002" s="32"/>
      <c r="AD1002" s="32"/>
      <c r="AE1002" s="32">
        <f>SUM(AB1002:AC1002)</f>
        <v>380770</v>
      </c>
      <c r="AF1002" s="12"/>
      <c r="AG1002" s="12">
        <f>120*137+445*111</f>
        <v>65835</v>
      </c>
      <c r="AH1002" s="12">
        <f>-84*194</f>
        <v>-16296</v>
      </c>
      <c r="AI1002" s="12">
        <f>SUM(AE1002:AH1002)</f>
        <v>430309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93</v>
      </c>
      <c r="C1003" s="90">
        <f>C1002+1</f>
        <v>7373</v>
      </c>
      <c r="D1003" s="32">
        <f>5008+1228+913+596+674+85.5</f>
        <v>8504.5</v>
      </c>
      <c r="E1003" s="32"/>
      <c r="F1003" s="32"/>
      <c r="G1003" s="32">
        <f t="shared" si="270"/>
        <v>8504.5</v>
      </c>
      <c r="H1003" s="12"/>
      <c r="I1003" s="12">
        <v>81</v>
      </c>
      <c r="J1003" s="12"/>
      <c r="K1003" s="12">
        <f t="shared" si="271"/>
        <v>8585.5</v>
      </c>
      <c r="M1003" s="10">
        <v>2</v>
      </c>
      <c r="N1003" s="30" t="s">
        <v>93</v>
      </c>
      <c r="O1003" s="31">
        <f>O1002+1</f>
        <v>7409</v>
      </c>
      <c r="P1003" s="32">
        <f>5008+76</f>
        <v>5084</v>
      </c>
      <c r="Q1003" s="32"/>
      <c r="R1003" s="32"/>
      <c r="S1003" s="32">
        <f t="shared" ref="S1003:S1034" si="272">SUM(P1003:Q1003)</f>
        <v>5084</v>
      </c>
      <c r="T1003" s="12"/>
      <c r="U1003" s="12"/>
      <c r="V1003" s="12"/>
      <c r="W1003" s="12">
        <f t="shared" ref="W1003:W1043" si="273">SUM(S1003:V1003)</f>
        <v>5084</v>
      </c>
      <c r="Y1003" s="10">
        <v>2</v>
      </c>
      <c r="Z1003" s="30" t="s">
        <v>93</v>
      </c>
      <c r="AA1003" s="31">
        <f>AA1002+1</f>
        <v>7322</v>
      </c>
      <c r="AB1003" s="32">
        <f>1447+1447+1664+8320</f>
        <v>12878</v>
      </c>
      <c r="AC1003" s="32"/>
      <c r="AD1003" s="32"/>
      <c r="AE1003" s="32">
        <f t="shared" ref="AE1003:AE1040" si="274">SUM(AB1003:AC1003)</f>
        <v>12878</v>
      </c>
      <c r="AF1003" s="12"/>
      <c r="AG1003" s="12"/>
      <c r="AH1003" s="12">
        <v>-5883</v>
      </c>
      <c r="AI1003" s="12">
        <f t="shared" ref="AI1003:AI1043" si="275">SUM(AE1003:AH1003)</f>
        <v>6995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93</v>
      </c>
      <c r="C1004" s="90">
        <f t="shared" ref="C1004:C1015" si="276">C1003+1</f>
        <v>7374</v>
      </c>
      <c r="D1004" s="33">
        <f>1603</f>
        <v>1603</v>
      </c>
      <c r="E1004" s="33"/>
      <c r="F1004" s="33"/>
      <c r="G1004" s="33">
        <f t="shared" si="270"/>
        <v>1603</v>
      </c>
      <c r="H1004" s="34"/>
      <c r="I1004" s="34"/>
      <c r="J1004" s="34"/>
      <c r="K1004" s="34">
        <f t="shared" si="271"/>
        <v>1603</v>
      </c>
      <c r="M1004" s="10">
        <v>3</v>
      </c>
      <c r="N1004" s="30" t="s">
        <v>93</v>
      </c>
      <c r="O1004" s="31">
        <f t="shared" ref="O1004:O1011" si="277">O1003+1</f>
        <v>7410</v>
      </c>
      <c r="P1004" s="32">
        <f>25040+2980</f>
        <v>28020</v>
      </c>
      <c r="Q1004" s="32"/>
      <c r="R1004" s="32"/>
      <c r="S1004" s="32">
        <f t="shared" si="272"/>
        <v>28020</v>
      </c>
      <c r="T1004" s="12"/>
      <c r="U1004" s="12"/>
      <c r="V1004" s="12"/>
      <c r="W1004" s="12">
        <f t="shared" si="273"/>
        <v>28020</v>
      </c>
      <c r="Y1004" s="10">
        <v>3</v>
      </c>
      <c r="Z1004" s="30" t="s">
        <v>93</v>
      </c>
      <c r="AA1004" s="31">
        <f t="shared" ref="AA1004:AA1007" si="278">AA1003+1</f>
        <v>7323</v>
      </c>
      <c r="AB1004" s="33">
        <f>6500+1582+1770+5875+5875+2350+5510+13000+6500</f>
        <v>48962</v>
      </c>
      <c r="AC1004" s="33"/>
      <c r="AD1004" s="32"/>
      <c r="AE1004" s="32">
        <f t="shared" si="274"/>
        <v>48962</v>
      </c>
      <c r="AF1004" s="12"/>
      <c r="AG1004" s="12"/>
      <c r="AH1004" s="12"/>
      <c r="AI1004" s="12">
        <f t="shared" si="275"/>
        <v>48962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93</v>
      </c>
      <c r="C1005" s="90">
        <f t="shared" si="276"/>
        <v>7375</v>
      </c>
      <c r="D1005" s="32">
        <f>1252+596+28.5</f>
        <v>1876.5</v>
      </c>
      <c r="E1005" s="32"/>
      <c r="F1005" s="32"/>
      <c r="G1005" s="32">
        <f t="shared" si="270"/>
        <v>1876.5</v>
      </c>
      <c r="H1005" s="12"/>
      <c r="I1005" s="12"/>
      <c r="J1005" s="12"/>
      <c r="K1005" s="12">
        <f t="shared" si="271"/>
        <v>1876.5</v>
      </c>
      <c r="M1005" s="10">
        <v>4</v>
      </c>
      <c r="N1005" s="30" t="s">
        <v>93</v>
      </c>
      <c r="O1005" s="31">
        <f t="shared" si="277"/>
        <v>7411</v>
      </c>
      <c r="P1005" s="32">
        <f>58844+687</f>
        <v>59531</v>
      </c>
      <c r="Q1005" s="32">
        <v>-776</v>
      </c>
      <c r="R1005" s="32"/>
      <c r="S1005" s="32">
        <f t="shared" si="272"/>
        <v>58755</v>
      </c>
      <c r="T1005" s="12"/>
      <c r="U1005" s="12"/>
      <c r="V1005" s="12"/>
      <c r="W1005" s="12">
        <f t="shared" si="273"/>
        <v>58755</v>
      </c>
      <c r="Y1005" s="10">
        <v>4</v>
      </c>
      <c r="Z1005" s="30" t="s">
        <v>93</v>
      </c>
      <c r="AA1005" s="31">
        <f t="shared" si="278"/>
        <v>7324</v>
      </c>
      <c r="AB1005" s="32">
        <f>3334+1582+1582+1142+1582+2204+5510</f>
        <v>16936</v>
      </c>
      <c r="AC1005" s="32"/>
      <c r="AD1005" s="32"/>
      <c r="AE1005" s="32">
        <f t="shared" si="274"/>
        <v>16936</v>
      </c>
      <c r="AF1005" s="12"/>
      <c r="AH1005" s="12"/>
      <c r="AI1005" s="12">
        <f t="shared" si="275"/>
        <v>16936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93</v>
      </c>
      <c r="C1006" s="90">
        <f t="shared" si="276"/>
        <v>7376</v>
      </c>
      <c r="D1006" s="32">
        <f>2504+596</f>
        <v>3100</v>
      </c>
      <c r="E1006" s="32"/>
      <c r="F1006" s="32"/>
      <c r="G1006" s="32">
        <f t="shared" si="270"/>
        <v>3100</v>
      </c>
      <c r="H1006" s="12"/>
      <c r="I1006" s="12"/>
      <c r="J1006" s="12"/>
      <c r="K1006" s="12">
        <f t="shared" si="271"/>
        <v>3100</v>
      </c>
      <c r="M1006" s="10">
        <v>5</v>
      </c>
      <c r="N1006" s="30" t="s">
        <v>93</v>
      </c>
      <c r="O1006" s="31">
        <f t="shared" si="277"/>
        <v>7412</v>
      </c>
      <c r="P1006" s="32">
        <f>20658+674</f>
        <v>21332</v>
      </c>
      <c r="Q1006" s="32"/>
      <c r="R1006" s="32"/>
      <c r="S1006" s="32">
        <f t="shared" si="272"/>
        <v>21332</v>
      </c>
      <c r="T1006" s="12"/>
      <c r="U1006" s="12">
        <v>99</v>
      </c>
      <c r="V1006" s="12"/>
      <c r="W1006" s="12">
        <f t="shared" si="273"/>
        <v>21431</v>
      </c>
      <c r="Y1006" s="10">
        <v>5</v>
      </c>
      <c r="Z1006" s="30" t="s">
        <v>93</v>
      </c>
      <c r="AA1006" s="31">
        <f t="shared" si="278"/>
        <v>7325</v>
      </c>
      <c r="AB1006" s="32">
        <f>28170+2980</f>
        <v>31150</v>
      </c>
      <c r="AC1006" s="32">
        <v>-300</v>
      </c>
      <c r="AD1006" s="32"/>
      <c r="AE1006" s="32">
        <f t="shared" si="274"/>
        <v>30850</v>
      </c>
      <c r="AF1006" s="12"/>
      <c r="AG1006" s="12"/>
      <c r="AH1006" s="12">
        <f>-555+-16212</f>
        <v>-16767</v>
      </c>
      <c r="AI1006" s="12">
        <f t="shared" si="275"/>
        <v>14083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93</v>
      </c>
      <c r="C1007" s="90">
        <f t="shared" si="276"/>
        <v>7377</v>
      </c>
      <c r="D1007" s="32">
        <f>3130+57</f>
        <v>3187</v>
      </c>
      <c r="E1007" s="32"/>
      <c r="F1007" s="32"/>
      <c r="G1007" s="32">
        <f t="shared" si="270"/>
        <v>3187</v>
      </c>
      <c r="H1007" s="12"/>
      <c r="I1007" s="12"/>
      <c r="J1007" s="12"/>
      <c r="K1007" s="12">
        <f t="shared" si="271"/>
        <v>3187</v>
      </c>
      <c r="M1007" s="10">
        <v>6</v>
      </c>
      <c r="N1007" s="30" t="s">
        <v>93</v>
      </c>
      <c r="O1007" s="31">
        <f t="shared" si="277"/>
        <v>7413</v>
      </c>
      <c r="P1007" s="32">
        <f>1252+19</f>
        <v>1271</v>
      </c>
      <c r="Q1007" s="32"/>
      <c r="R1007" s="32"/>
      <c r="S1007" s="32">
        <f t="shared" si="272"/>
        <v>1271</v>
      </c>
      <c r="T1007" s="12"/>
      <c r="U1007" s="12">
        <f>1.5*2</f>
        <v>3</v>
      </c>
      <c r="V1007" s="10"/>
      <c r="W1007" s="12">
        <f t="shared" si="273"/>
        <v>1274</v>
      </c>
      <c r="Y1007" s="10">
        <v>6</v>
      </c>
      <c r="Z1007" s="30" t="s">
        <v>93</v>
      </c>
      <c r="AA1007" s="31">
        <f t="shared" si="278"/>
        <v>7326</v>
      </c>
      <c r="AB1007" s="32">
        <f>18780</f>
        <v>18780</v>
      </c>
      <c r="AC1007" s="32"/>
      <c r="AD1007" s="32"/>
      <c r="AE1007" s="32">
        <f t="shared" si="274"/>
        <v>18780</v>
      </c>
      <c r="AF1007" s="12"/>
      <c r="AG1007" s="12"/>
      <c r="AH1007" s="10"/>
      <c r="AI1007" s="12">
        <f t="shared" si="275"/>
        <v>18780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93</v>
      </c>
      <c r="C1008" s="90">
        <f t="shared" si="276"/>
        <v>7378</v>
      </c>
      <c r="D1008" s="32">
        <f>3130+614+47.5</f>
        <v>3791.5</v>
      </c>
      <c r="E1008" s="32"/>
      <c r="F1008" s="32"/>
      <c r="G1008" s="32">
        <f t="shared" si="270"/>
        <v>3791.5</v>
      </c>
      <c r="H1008" s="12"/>
      <c r="I1008" s="12"/>
      <c r="J1008" s="12"/>
      <c r="K1008" s="12">
        <f t="shared" si="271"/>
        <v>3791.5</v>
      </c>
      <c r="M1008" s="10">
        <v>7</v>
      </c>
      <c r="N1008" s="30" t="s">
        <v>93</v>
      </c>
      <c r="O1008" s="31">
        <f t="shared" si="277"/>
        <v>7414</v>
      </c>
      <c r="P1008" s="32">
        <f>1878+1192+47.5</f>
        <v>3117.5</v>
      </c>
      <c r="Q1008" s="32"/>
      <c r="R1008" s="32"/>
      <c r="S1008" s="32">
        <f t="shared" si="272"/>
        <v>3117.5</v>
      </c>
      <c r="T1008" s="12"/>
      <c r="U1008" s="12">
        <v>7.5</v>
      </c>
      <c r="V1008" s="12"/>
      <c r="W1008" s="12">
        <f t="shared" si="273"/>
        <v>3125</v>
      </c>
      <c r="Y1008" s="10">
        <v>7</v>
      </c>
      <c r="Z1008" s="30"/>
      <c r="AA1008" s="11" t="s">
        <v>27</v>
      </c>
      <c r="AB1008" s="32"/>
      <c r="AC1008" s="32"/>
      <c r="AD1008" s="32"/>
      <c r="AE1008" s="32">
        <f t="shared" si="274"/>
        <v>0</v>
      </c>
      <c r="AF1008" s="12"/>
      <c r="AG1008" s="58"/>
      <c r="AH1008" s="12"/>
      <c r="AI1008" s="12">
        <f t="shared" si="275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93</v>
      </c>
      <c r="C1009" s="90">
        <f t="shared" si="276"/>
        <v>7379</v>
      </c>
      <c r="D1009" s="32">
        <f>2504+614+596+47.5</f>
        <v>3761.5</v>
      </c>
      <c r="E1009" s="32"/>
      <c r="F1009" s="32"/>
      <c r="G1009" s="32">
        <f t="shared" si="270"/>
        <v>3761.5</v>
      </c>
      <c r="H1009" s="12"/>
      <c r="I1009" s="12"/>
      <c r="J1009" s="12"/>
      <c r="K1009" s="12">
        <f t="shared" si="271"/>
        <v>3761.5</v>
      </c>
      <c r="M1009" s="10">
        <v>8</v>
      </c>
      <c r="N1009" s="30" t="s">
        <v>93</v>
      </c>
      <c r="O1009" s="31">
        <f t="shared" si="277"/>
        <v>7415</v>
      </c>
      <c r="P1009" s="32">
        <f>2504+38</f>
        <v>2542</v>
      </c>
      <c r="Q1009" s="32"/>
      <c r="R1009" s="32"/>
      <c r="S1009" s="32">
        <f t="shared" si="272"/>
        <v>2542</v>
      </c>
      <c r="T1009" s="12"/>
      <c r="U1009" s="12"/>
      <c r="V1009" s="12">
        <v>-333</v>
      </c>
      <c r="W1009" s="12">
        <f t="shared" si="273"/>
        <v>2209</v>
      </c>
      <c r="Y1009" s="10">
        <v>8</v>
      </c>
      <c r="Z1009" s="30"/>
      <c r="AA1009" s="31"/>
      <c r="AB1009" s="32"/>
      <c r="AC1009" s="32"/>
      <c r="AE1009" s="32">
        <f t="shared" si="274"/>
        <v>0</v>
      </c>
      <c r="AF1009" s="12"/>
      <c r="AG1009" s="12"/>
      <c r="AH1009" s="12"/>
      <c r="AI1009" s="12">
        <f t="shared" si="275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93</v>
      </c>
      <c r="C1010" s="90">
        <f t="shared" si="276"/>
        <v>7380</v>
      </c>
      <c r="D1010" s="32">
        <f>626+614+9.5</f>
        <v>1249.5</v>
      </c>
      <c r="E1010" s="32"/>
      <c r="F1010" s="32"/>
      <c r="G1010" s="32">
        <f t="shared" si="270"/>
        <v>1249.5</v>
      </c>
      <c r="H1010" s="12"/>
      <c r="I1010" s="12"/>
      <c r="J1010" s="12"/>
      <c r="K1010" s="12">
        <f t="shared" si="271"/>
        <v>1249.5</v>
      </c>
      <c r="M1010" s="10">
        <v>9</v>
      </c>
      <c r="N1010" s="30" t="s">
        <v>93</v>
      </c>
      <c r="O1010" s="31">
        <f t="shared" si="277"/>
        <v>7416</v>
      </c>
      <c r="P1010" s="32">
        <f>626+9.5</f>
        <v>635.5</v>
      </c>
      <c r="Q1010" s="32"/>
      <c r="R1010" s="32"/>
      <c r="S1010" s="32">
        <f t="shared" si="272"/>
        <v>635.5</v>
      </c>
      <c r="T1010" s="12"/>
      <c r="U1010" s="12"/>
      <c r="V1010" s="12"/>
      <c r="W1010" s="12">
        <f t="shared" si="273"/>
        <v>635.5</v>
      </c>
      <c r="Y1010" s="10">
        <v>9</v>
      </c>
      <c r="Z1010" s="30"/>
      <c r="AA1010" s="31"/>
      <c r="AB1010" s="32"/>
      <c r="AC1010" s="32"/>
      <c r="AD1010" s="32"/>
      <c r="AE1010" s="32">
        <f t="shared" si="274"/>
        <v>0</v>
      </c>
      <c r="AF1010" s="12"/>
      <c r="AG1010" s="58"/>
      <c r="AH1010" s="12"/>
      <c r="AI1010" s="12">
        <f t="shared" si="275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93</v>
      </c>
      <c r="C1011" s="90">
        <f t="shared" si="276"/>
        <v>7381</v>
      </c>
      <c r="D1011" s="32">
        <f>1878+614+28.5</f>
        <v>2520.5</v>
      </c>
      <c r="E1011" s="32"/>
      <c r="F1011" s="32"/>
      <c r="G1011" s="32">
        <f t="shared" si="270"/>
        <v>2520.5</v>
      </c>
      <c r="H1011" s="12"/>
      <c r="I1011" s="12"/>
      <c r="J1011" s="12"/>
      <c r="K1011" s="12">
        <f t="shared" si="271"/>
        <v>2520.5</v>
      </c>
      <c r="M1011" s="10">
        <v>10</v>
      </c>
      <c r="N1011" s="30" t="s">
        <v>93</v>
      </c>
      <c r="O1011" s="31">
        <f t="shared" si="277"/>
        <v>7417</v>
      </c>
      <c r="P1011" s="32">
        <f>2504+38</f>
        <v>2542</v>
      </c>
      <c r="Q1011" s="32"/>
      <c r="R1011" s="32"/>
      <c r="S1011" s="32">
        <f t="shared" si="272"/>
        <v>2542</v>
      </c>
      <c r="T1011" s="12"/>
      <c r="U1011" s="12"/>
      <c r="V1011" s="12"/>
      <c r="W1011" s="12">
        <f t="shared" si="273"/>
        <v>2542</v>
      </c>
      <c r="Y1011" s="10">
        <v>10</v>
      </c>
      <c r="Z1011" s="30"/>
      <c r="AA1011" s="31"/>
      <c r="AB1011" s="32"/>
      <c r="AC1011" s="32"/>
      <c r="AD1011" s="32"/>
      <c r="AE1011" s="32">
        <f t="shared" si="274"/>
        <v>0</v>
      </c>
      <c r="AF1011" s="12"/>
      <c r="AG1011" s="12"/>
      <c r="AH1011" s="12"/>
      <c r="AI1011" s="12">
        <f t="shared" si="275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93</v>
      </c>
      <c r="C1012" s="90">
        <f t="shared" si="276"/>
        <v>7382</v>
      </c>
      <c r="D1012" s="32">
        <f>6260+1175+1175+95+650</f>
        <v>9355</v>
      </c>
      <c r="E1012" s="32"/>
      <c r="F1012" s="32"/>
      <c r="G1012" s="32">
        <f t="shared" si="270"/>
        <v>9355</v>
      </c>
      <c r="H1012" s="12"/>
      <c r="I1012" s="12">
        <v>15</v>
      </c>
      <c r="J1012" s="12"/>
      <c r="K1012" s="12">
        <f t="shared" si="271"/>
        <v>9370</v>
      </c>
      <c r="M1012" s="10">
        <v>11</v>
      </c>
      <c r="N1012" s="30"/>
      <c r="O1012" s="11" t="s">
        <v>27</v>
      </c>
      <c r="P1012" s="32"/>
      <c r="Q1012" s="32"/>
      <c r="R1012" s="32"/>
      <c r="S1012" s="32">
        <f t="shared" si="272"/>
        <v>0</v>
      </c>
      <c r="T1012" s="12"/>
      <c r="U1012" s="12"/>
      <c r="V1012" s="12"/>
      <c r="W1012" s="12">
        <f t="shared" si="273"/>
        <v>0</v>
      </c>
      <c r="Y1012" s="10">
        <v>11</v>
      </c>
      <c r="Z1012" s="30"/>
      <c r="AB1012" s="32"/>
      <c r="AC1012" s="32"/>
      <c r="AD1012" s="32"/>
      <c r="AE1012" s="32">
        <f t="shared" si="274"/>
        <v>0</v>
      </c>
      <c r="AF1012" s="12"/>
      <c r="AG1012" s="12"/>
      <c r="AH1012" s="12"/>
      <c r="AI1012" s="12">
        <f t="shared" si="275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93</v>
      </c>
      <c r="C1013" s="90">
        <f t="shared" si="276"/>
        <v>7383</v>
      </c>
      <c r="D1013" s="32">
        <f>65730+3070+1826+5960+852+6740+832+916+500+650</f>
        <v>87076</v>
      </c>
      <c r="E1013" s="32"/>
      <c r="F1013" s="32"/>
      <c r="G1013" s="32">
        <f t="shared" si="270"/>
        <v>87076</v>
      </c>
      <c r="H1013" s="12"/>
      <c r="I1013" s="12">
        <f>312+22</f>
        <v>334</v>
      </c>
      <c r="J1013" s="10"/>
      <c r="K1013" s="12">
        <f t="shared" si="271"/>
        <v>87410</v>
      </c>
      <c r="M1013" s="10">
        <v>12</v>
      </c>
      <c r="N1013" s="30"/>
      <c r="O1013" s="31"/>
      <c r="P1013" s="32"/>
      <c r="Q1013" s="32"/>
      <c r="R1013" s="32"/>
      <c r="S1013" s="32">
        <f t="shared" si="272"/>
        <v>0</v>
      </c>
      <c r="T1013" s="12"/>
      <c r="U1013" s="12"/>
      <c r="V1013" s="12"/>
      <c r="W1013" s="12">
        <f t="shared" si="273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74"/>
        <v>0</v>
      </c>
      <c r="AF1013" s="12"/>
      <c r="AG1013" s="12"/>
      <c r="AH1013" s="12"/>
      <c r="AI1013" s="12">
        <f t="shared" si="275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93</v>
      </c>
      <c r="C1014" s="90">
        <f t="shared" si="276"/>
        <v>7384</v>
      </c>
      <c r="D1014" s="32">
        <f>626+9.5</f>
        <v>635.5</v>
      </c>
      <c r="E1014" s="32"/>
      <c r="F1014" s="32"/>
      <c r="G1014" s="32">
        <f t="shared" si="270"/>
        <v>635.5</v>
      </c>
      <c r="H1014" s="12"/>
      <c r="I1014" s="12"/>
      <c r="J1014" s="12"/>
      <c r="K1014" s="12">
        <f t="shared" si="271"/>
        <v>635.5</v>
      </c>
      <c r="M1014" s="10">
        <v>13</v>
      </c>
      <c r="N1014" s="30"/>
      <c r="O1014" s="31"/>
      <c r="P1014" s="32"/>
      <c r="Q1014" s="32"/>
      <c r="R1014" s="32"/>
      <c r="S1014" s="32">
        <f t="shared" si="272"/>
        <v>0</v>
      </c>
      <c r="T1014" s="12"/>
      <c r="U1014" s="12"/>
      <c r="V1014" s="12"/>
      <c r="W1014" s="12">
        <f t="shared" si="273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74"/>
        <v>0</v>
      </c>
      <c r="AF1014" s="12"/>
      <c r="AG1014" s="12"/>
      <c r="AH1014" s="12"/>
      <c r="AI1014" s="12">
        <f t="shared" si="275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93</v>
      </c>
      <c r="C1015" s="90">
        <f t="shared" si="276"/>
        <v>7385</v>
      </c>
      <c r="D1015" s="32">
        <f>6260</f>
        <v>6260</v>
      </c>
      <c r="E1015" s="32"/>
      <c r="F1015" s="32"/>
      <c r="G1015" s="32">
        <f t="shared" si="270"/>
        <v>6260</v>
      </c>
      <c r="H1015" s="12"/>
      <c r="I1015" s="12"/>
      <c r="J1015" s="12"/>
      <c r="K1015" s="12">
        <f t="shared" si="271"/>
        <v>6260</v>
      </c>
      <c r="M1015" s="10">
        <v>14</v>
      </c>
      <c r="N1015" s="30"/>
      <c r="O1015" s="31"/>
      <c r="P1015" s="32"/>
      <c r="Q1015" s="32"/>
      <c r="R1015" s="32"/>
      <c r="S1015" s="32">
        <f t="shared" si="272"/>
        <v>0</v>
      </c>
      <c r="T1015" s="12"/>
      <c r="U1015" s="12"/>
      <c r="V1015" s="12"/>
      <c r="W1015" s="12">
        <f t="shared" si="273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74"/>
        <v>0</v>
      </c>
      <c r="AF1015" s="12"/>
      <c r="AG1015" s="12"/>
      <c r="AH1015" s="12"/>
      <c r="AI1015" s="12">
        <f t="shared" si="275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70"/>
        <v>0</v>
      </c>
      <c r="H1016" s="12"/>
      <c r="I1016" s="12"/>
      <c r="J1016" s="12"/>
      <c r="K1016" s="12">
        <f t="shared" si="271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72"/>
        <v>0</v>
      </c>
      <c r="T1016" s="12"/>
      <c r="U1016" s="12"/>
      <c r="V1016" s="12"/>
      <c r="W1016" s="12">
        <f t="shared" si="273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74"/>
        <v>0</v>
      </c>
      <c r="AF1016" s="12"/>
      <c r="AG1016" s="12"/>
      <c r="AH1016" s="12"/>
      <c r="AI1016" s="12">
        <f t="shared" si="275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90"/>
      <c r="D1017" s="32"/>
      <c r="E1017" s="32"/>
      <c r="F1017" s="32"/>
      <c r="G1017" s="32">
        <f t="shared" si="270"/>
        <v>0</v>
      </c>
      <c r="H1017" s="12"/>
      <c r="I1017" s="12"/>
      <c r="J1017" s="12"/>
      <c r="K1017" s="12">
        <f t="shared" si="271"/>
        <v>0</v>
      </c>
      <c r="M1017" s="10">
        <v>16</v>
      </c>
      <c r="N1017" s="30"/>
      <c r="O1017" s="31"/>
      <c r="P1017" s="32"/>
      <c r="Q1017" s="32"/>
      <c r="R1017" s="32"/>
      <c r="S1017" s="32">
        <f t="shared" si="272"/>
        <v>0</v>
      </c>
      <c r="T1017" s="12"/>
      <c r="U1017" s="12"/>
      <c r="V1017" s="12"/>
      <c r="W1017" s="12">
        <f t="shared" si="273"/>
        <v>0</v>
      </c>
      <c r="Y1017" s="10">
        <v>16</v>
      </c>
      <c r="Z1017" s="30"/>
      <c r="AA1017" s="31"/>
      <c r="AB1017" s="32"/>
      <c r="AC1017" s="32"/>
      <c r="AD1017" s="32"/>
      <c r="AE1017" s="32">
        <f t="shared" si="274"/>
        <v>0</v>
      </c>
      <c r="AF1017" s="12"/>
      <c r="AG1017" s="12"/>
      <c r="AH1017" s="12"/>
      <c r="AI1017" s="12">
        <f t="shared" si="275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90"/>
      <c r="D1018" s="32"/>
      <c r="E1018" s="32"/>
      <c r="F1018" s="32"/>
      <c r="G1018" s="32">
        <f t="shared" si="270"/>
        <v>0</v>
      </c>
      <c r="H1018" s="12"/>
      <c r="I1018" s="12"/>
      <c r="J1018" s="12"/>
      <c r="K1018" s="12">
        <f t="shared" si="271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72"/>
        <v>0</v>
      </c>
      <c r="T1018" s="12"/>
      <c r="U1018" s="12"/>
      <c r="V1018" s="12"/>
      <c r="W1018" s="12">
        <f t="shared" si="273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74"/>
        <v>0</v>
      </c>
      <c r="AF1018" s="12"/>
      <c r="AG1018" s="12"/>
      <c r="AH1018" s="12"/>
      <c r="AI1018" s="12">
        <f t="shared" si="275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90"/>
      <c r="D1019" s="32"/>
      <c r="E1019" s="32"/>
      <c r="F1019" s="32"/>
      <c r="G1019" s="32">
        <f t="shared" si="270"/>
        <v>0</v>
      </c>
      <c r="H1019" s="12"/>
      <c r="I1019" s="12"/>
      <c r="J1019" s="12"/>
      <c r="K1019" s="12">
        <f t="shared" si="271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72"/>
        <v>0</v>
      </c>
      <c r="T1019" s="12"/>
      <c r="U1019" s="12"/>
      <c r="V1019" s="12"/>
      <c r="W1019" s="12">
        <f t="shared" si="273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74"/>
        <v>0</v>
      </c>
      <c r="AF1019" s="12"/>
      <c r="AG1019" s="12"/>
      <c r="AH1019" s="12"/>
      <c r="AI1019" s="12">
        <f t="shared" si="275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90"/>
      <c r="D1020" s="32"/>
      <c r="E1020" s="32"/>
      <c r="F1020" s="32"/>
      <c r="G1020" s="32">
        <f t="shared" si="270"/>
        <v>0</v>
      </c>
      <c r="H1020" s="12"/>
      <c r="I1020" s="12"/>
      <c r="J1020" s="12"/>
      <c r="K1020" s="12">
        <f t="shared" si="271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72"/>
        <v>0</v>
      </c>
      <c r="T1020" s="12"/>
      <c r="U1020" s="12"/>
      <c r="V1020" s="12"/>
      <c r="W1020" s="12">
        <f t="shared" si="273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74"/>
        <v>0</v>
      </c>
      <c r="AF1020" s="12"/>
      <c r="AG1020" s="12"/>
      <c r="AH1020" s="12"/>
      <c r="AI1020" s="12">
        <f t="shared" si="275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90"/>
      <c r="D1021" s="32"/>
      <c r="E1021" s="32"/>
      <c r="F1021" s="32"/>
      <c r="G1021" s="32">
        <f t="shared" si="270"/>
        <v>0</v>
      </c>
      <c r="H1021" s="12"/>
      <c r="I1021" s="12"/>
      <c r="J1021" s="12"/>
      <c r="K1021" s="12">
        <f t="shared" si="271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72"/>
        <v>0</v>
      </c>
      <c r="T1021" s="12"/>
      <c r="U1021" s="12"/>
      <c r="V1021" s="12"/>
      <c r="W1021" s="12">
        <f t="shared" si="273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74"/>
        <v>0</v>
      </c>
      <c r="AF1021" s="12"/>
      <c r="AG1021" s="12"/>
      <c r="AH1021" s="12"/>
      <c r="AI1021" s="12">
        <f t="shared" si="275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D1022" s="32"/>
      <c r="E1022" s="32"/>
      <c r="F1022" s="32"/>
      <c r="G1022" s="32">
        <f t="shared" si="270"/>
        <v>0</v>
      </c>
      <c r="H1022" s="10"/>
      <c r="I1022" s="10"/>
      <c r="J1022" s="10"/>
      <c r="K1022" s="12">
        <f t="shared" si="271"/>
        <v>0</v>
      </c>
      <c r="M1022" s="10">
        <v>21</v>
      </c>
      <c r="N1022" s="30"/>
      <c r="P1022" s="46"/>
      <c r="Q1022" s="31"/>
      <c r="R1022" s="31"/>
      <c r="S1022" s="32">
        <f t="shared" si="272"/>
        <v>0</v>
      </c>
      <c r="T1022" s="10"/>
      <c r="U1022" s="10"/>
      <c r="V1022" s="10"/>
      <c r="W1022" s="12">
        <f t="shared" si="273"/>
        <v>0</v>
      </c>
      <c r="Y1022" s="10">
        <v>21</v>
      </c>
      <c r="Z1022" s="30"/>
      <c r="AB1022" s="46"/>
      <c r="AC1022" s="31"/>
      <c r="AD1022" s="31"/>
      <c r="AE1022" s="32">
        <f t="shared" si="274"/>
        <v>0</v>
      </c>
      <c r="AF1022" s="10"/>
      <c r="AG1022" s="10"/>
      <c r="AH1022" s="10"/>
      <c r="AI1022" s="12">
        <f t="shared" si="275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90"/>
      <c r="D1023" s="32"/>
      <c r="E1023" s="32"/>
      <c r="F1023" s="32"/>
      <c r="G1023" s="32">
        <f t="shared" si="270"/>
        <v>0</v>
      </c>
      <c r="H1023" s="10"/>
      <c r="I1023" s="10"/>
      <c r="J1023" s="10"/>
      <c r="K1023" s="12">
        <f t="shared" si="271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72"/>
        <v>0</v>
      </c>
      <c r="T1023" s="10"/>
      <c r="U1023" s="10"/>
      <c r="V1023" s="10"/>
      <c r="W1023" s="12">
        <f t="shared" si="273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74"/>
        <v>0</v>
      </c>
      <c r="AF1023" s="10"/>
      <c r="AG1023" s="10"/>
      <c r="AH1023" s="10"/>
      <c r="AI1023" s="12">
        <f t="shared" si="275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70"/>
        <v>0</v>
      </c>
      <c r="H1024" s="10"/>
      <c r="I1024" s="10"/>
      <c r="J1024" s="12"/>
      <c r="K1024" s="12">
        <f t="shared" si="271"/>
        <v>0</v>
      </c>
      <c r="M1024" s="10">
        <v>23</v>
      </c>
      <c r="N1024" s="30"/>
      <c r="O1024" s="31"/>
      <c r="P1024" s="47"/>
      <c r="Q1024" s="31"/>
      <c r="S1024" s="32">
        <f t="shared" si="272"/>
        <v>0</v>
      </c>
      <c r="T1024" s="10"/>
      <c r="U1024" s="10"/>
      <c r="V1024" s="10"/>
      <c r="W1024" s="12">
        <f t="shared" si="273"/>
        <v>0</v>
      </c>
      <c r="Y1024" s="10">
        <v>23</v>
      </c>
      <c r="Z1024" s="30"/>
      <c r="AA1024" s="31"/>
      <c r="AB1024" s="47"/>
      <c r="AC1024" s="31"/>
      <c r="AE1024" s="32">
        <f t="shared" si="274"/>
        <v>0</v>
      </c>
      <c r="AF1024" s="10"/>
      <c r="AG1024" s="10"/>
      <c r="AH1024" s="10"/>
      <c r="AI1024" s="12">
        <f t="shared" si="275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90"/>
      <c r="D1025" s="32"/>
      <c r="E1025" s="32"/>
      <c r="F1025" s="32"/>
      <c r="G1025" s="32">
        <f t="shared" si="270"/>
        <v>0</v>
      </c>
      <c r="H1025" s="10"/>
      <c r="I1025" s="10"/>
      <c r="J1025" s="10"/>
      <c r="K1025" s="12">
        <f t="shared" si="271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72"/>
        <v>0</v>
      </c>
      <c r="T1025" s="10"/>
      <c r="U1025" s="10"/>
      <c r="V1025" s="10"/>
      <c r="W1025" s="12">
        <f t="shared" si="273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74"/>
        <v>0</v>
      </c>
      <c r="AF1025" s="10"/>
      <c r="AG1025" s="10"/>
      <c r="AH1025" s="10"/>
      <c r="AI1025" s="12">
        <f t="shared" si="275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90"/>
      <c r="D1026" s="32"/>
      <c r="E1026" s="32"/>
      <c r="F1026" s="32"/>
      <c r="G1026" s="32">
        <f t="shared" si="270"/>
        <v>0</v>
      </c>
      <c r="H1026" s="10"/>
      <c r="I1026" s="10"/>
      <c r="J1026" s="10"/>
      <c r="K1026" s="12">
        <f t="shared" si="271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72"/>
        <v>0</v>
      </c>
      <c r="T1026" s="10"/>
      <c r="U1026" s="10"/>
      <c r="V1026" s="10"/>
      <c r="W1026" s="12">
        <f t="shared" si="273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74"/>
        <v>0</v>
      </c>
      <c r="AF1026" s="10"/>
      <c r="AG1026" s="10"/>
      <c r="AH1026" s="10"/>
      <c r="AI1026" s="12">
        <f t="shared" si="275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90"/>
      <c r="D1027" s="32"/>
      <c r="E1027" s="32"/>
      <c r="F1027" s="32"/>
      <c r="G1027" s="32">
        <f t="shared" si="270"/>
        <v>0</v>
      </c>
      <c r="H1027" s="10"/>
      <c r="I1027" s="10"/>
      <c r="J1027" s="10"/>
      <c r="K1027" s="12">
        <f t="shared" si="271"/>
        <v>0</v>
      </c>
      <c r="M1027" s="10">
        <v>26</v>
      </c>
      <c r="N1027" s="30"/>
      <c r="O1027" s="31"/>
      <c r="P1027" s="47"/>
      <c r="Q1027" s="31"/>
      <c r="R1027" s="31"/>
      <c r="S1027" s="32">
        <f t="shared" si="272"/>
        <v>0</v>
      </c>
      <c r="T1027" s="10"/>
      <c r="U1027" s="10"/>
      <c r="V1027" s="10"/>
      <c r="W1027" s="12">
        <f t="shared" si="273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74"/>
        <v>0</v>
      </c>
      <c r="AF1027" s="10"/>
      <c r="AG1027" s="10"/>
      <c r="AH1027" s="10"/>
      <c r="AI1027" s="12">
        <f t="shared" si="275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90"/>
      <c r="D1028" s="32"/>
      <c r="E1028" s="32"/>
      <c r="F1028" s="32"/>
      <c r="G1028" s="32">
        <f t="shared" si="270"/>
        <v>0</v>
      </c>
      <c r="H1028" s="10"/>
      <c r="I1028" s="10"/>
      <c r="J1028" s="10"/>
      <c r="K1028" s="12">
        <f t="shared" si="271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72"/>
        <v>0</v>
      </c>
      <c r="T1028" s="10"/>
      <c r="U1028" s="10"/>
      <c r="V1028" s="10"/>
      <c r="W1028" s="12">
        <f t="shared" si="273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74"/>
        <v>0</v>
      </c>
      <c r="AF1028" s="10"/>
      <c r="AG1028" s="10"/>
      <c r="AH1028" s="10"/>
      <c r="AI1028" s="12">
        <f t="shared" si="275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90"/>
      <c r="D1029" s="32"/>
      <c r="E1029" s="32"/>
      <c r="F1029" s="32"/>
      <c r="G1029" s="32">
        <f t="shared" si="270"/>
        <v>0</v>
      </c>
      <c r="H1029" s="10"/>
      <c r="I1029" s="10"/>
      <c r="J1029" s="10"/>
      <c r="K1029" s="12">
        <f t="shared" si="271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72"/>
        <v>0</v>
      </c>
      <c r="T1029" s="10"/>
      <c r="U1029" s="10"/>
      <c r="V1029" s="10"/>
      <c r="W1029" s="12">
        <f t="shared" si="273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74"/>
        <v>0</v>
      </c>
      <c r="AF1029" s="10"/>
      <c r="AG1029" s="10"/>
      <c r="AH1029" s="10"/>
      <c r="AI1029" s="12">
        <f t="shared" si="275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90"/>
      <c r="D1030" s="32"/>
      <c r="E1030" s="32"/>
      <c r="F1030" s="32"/>
      <c r="G1030" s="32">
        <f t="shared" si="270"/>
        <v>0</v>
      </c>
      <c r="H1030" s="10"/>
      <c r="I1030" s="10"/>
      <c r="J1030" s="10"/>
      <c r="K1030" s="12">
        <f t="shared" si="271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72"/>
        <v>0</v>
      </c>
      <c r="T1030" s="10"/>
      <c r="U1030" s="10"/>
      <c r="V1030" s="10"/>
      <c r="W1030" s="12">
        <f t="shared" si="273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74"/>
        <v>0</v>
      </c>
      <c r="AF1030" s="10"/>
      <c r="AG1030" s="10"/>
      <c r="AH1030" s="10"/>
      <c r="AI1030" s="12">
        <f t="shared" si="275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57"/>
      <c r="D1031" s="32"/>
      <c r="E1031" s="32"/>
      <c r="F1031" s="32"/>
      <c r="G1031" s="32">
        <f t="shared" si="270"/>
        <v>0</v>
      </c>
      <c r="H1031" s="10"/>
      <c r="I1031" s="10"/>
      <c r="J1031" s="10"/>
      <c r="K1031" s="12">
        <f t="shared" si="271"/>
        <v>0</v>
      </c>
      <c r="M1031" s="10">
        <v>30</v>
      </c>
      <c r="N1031" s="30"/>
      <c r="P1031" s="47"/>
      <c r="Q1031" s="31"/>
      <c r="R1031" s="31"/>
      <c r="S1031" s="32">
        <f t="shared" si="272"/>
        <v>0</v>
      </c>
      <c r="T1031" s="10"/>
      <c r="U1031" s="10"/>
      <c r="V1031" s="10"/>
      <c r="W1031" s="12">
        <f t="shared" si="273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74"/>
        <v>0</v>
      </c>
      <c r="AF1031" s="10"/>
      <c r="AG1031" s="10"/>
      <c r="AH1031" s="10"/>
      <c r="AI1031" s="12">
        <f t="shared" si="275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90"/>
      <c r="D1032" s="32"/>
      <c r="E1032" s="32"/>
      <c r="F1032" s="32"/>
      <c r="G1032" s="32">
        <f t="shared" si="270"/>
        <v>0</v>
      </c>
      <c r="H1032" s="10"/>
      <c r="I1032" s="10"/>
      <c r="J1032" s="10"/>
      <c r="K1032" s="12">
        <f t="shared" si="271"/>
        <v>0</v>
      </c>
      <c r="M1032" s="10">
        <v>31</v>
      </c>
      <c r="N1032" s="30"/>
      <c r="P1032" s="47"/>
      <c r="Q1032" s="31"/>
      <c r="R1032" s="31"/>
      <c r="S1032" s="32">
        <f t="shared" si="272"/>
        <v>0</v>
      </c>
      <c r="T1032" s="10"/>
      <c r="U1032" s="10"/>
      <c r="V1032" s="10"/>
      <c r="W1032" s="12">
        <f t="shared" si="273"/>
        <v>0</v>
      </c>
      <c r="Y1032" s="10">
        <v>31</v>
      </c>
      <c r="Z1032" s="30"/>
      <c r="AB1032" s="47"/>
      <c r="AC1032" s="31"/>
      <c r="AD1032" s="31"/>
      <c r="AE1032" s="32">
        <f t="shared" si="274"/>
        <v>0</v>
      </c>
      <c r="AF1032" s="10"/>
      <c r="AG1032" s="10"/>
      <c r="AH1032" s="10"/>
      <c r="AI1032" s="12">
        <f t="shared" si="275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90"/>
      <c r="D1033" s="32"/>
      <c r="E1033" s="32"/>
      <c r="F1033" s="32"/>
      <c r="G1033" s="32">
        <f t="shared" si="270"/>
        <v>0</v>
      </c>
      <c r="H1033" s="10"/>
      <c r="I1033" s="10"/>
      <c r="J1033" s="10"/>
      <c r="K1033" s="12">
        <f t="shared" si="271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72"/>
        <v>0</v>
      </c>
      <c r="T1033" s="10"/>
      <c r="U1033" s="10"/>
      <c r="V1033" s="10"/>
      <c r="W1033" s="12">
        <f t="shared" si="273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74"/>
        <v>0</v>
      </c>
      <c r="AF1033" s="10"/>
      <c r="AG1033" s="10"/>
      <c r="AH1033" s="10"/>
      <c r="AI1033" s="12">
        <f t="shared" si="275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90"/>
      <c r="D1034" s="32"/>
      <c r="E1034" s="32"/>
      <c r="F1034" s="32"/>
      <c r="G1034" s="32">
        <f t="shared" si="270"/>
        <v>0</v>
      </c>
      <c r="H1034" s="10"/>
      <c r="I1034" s="10"/>
      <c r="J1034" s="10"/>
      <c r="K1034" s="12">
        <f t="shared" si="271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72"/>
        <v>0</v>
      </c>
      <c r="T1034" s="10"/>
      <c r="U1034" s="10"/>
      <c r="V1034" s="10"/>
      <c r="W1034" s="12">
        <f t="shared" si="273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74"/>
        <v>0</v>
      </c>
      <c r="AF1034" s="10"/>
      <c r="AG1034" s="10"/>
      <c r="AH1034" s="10"/>
      <c r="AI1034" s="12">
        <f t="shared" si="275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90"/>
      <c r="D1035" s="32"/>
      <c r="E1035" s="32"/>
      <c r="F1035" s="32"/>
      <c r="G1035" s="32">
        <f t="shared" si="270"/>
        <v>0</v>
      </c>
      <c r="H1035" s="10"/>
      <c r="I1035" s="10"/>
      <c r="J1035" s="10"/>
      <c r="K1035" s="12">
        <f t="shared" si="271"/>
        <v>0</v>
      </c>
      <c r="M1035" s="10">
        <v>34</v>
      </c>
      <c r="N1035" s="30"/>
      <c r="P1035" s="47"/>
      <c r="Q1035" s="31"/>
      <c r="R1035" s="31"/>
      <c r="S1035" s="32">
        <f t="shared" ref="S1035:S1040" si="279">SUM(P1035:Q1035)</f>
        <v>0</v>
      </c>
      <c r="T1035" s="10"/>
      <c r="U1035" s="10"/>
      <c r="V1035" s="10"/>
      <c r="W1035" s="12">
        <f t="shared" si="273"/>
        <v>0</v>
      </c>
      <c r="Y1035" s="10">
        <v>34</v>
      </c>
      <c r="Z1035" s="30"/>
      <c r="AB1035" s="47"/>
      <c r="AC1035" s="31"/>
      <c r="AD1035" s="31"/>
      <c r="AE1035" s="32">
        <f t="shared" si="274"/>
        <v>0</v>
      </c>
      <c r="AF1035" s="10"/>
      <c r="AG1035" s="10"/>
      <c r="AH1035" s="10"/>
      <c r="AI1035" s="12">
        <f t="shared" si="275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79"/>
        <v>0</v>
      </c>
      <c r="T1036" s="10"/>
      <c r="U1036" s="10"/>
      <c r="V1036" s="10"/>
      <c r="W1036" s="12">
        <f t="shared" si="273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74"/>
        <v>0</v>
      </c>
      <c r="AF1036" s="10"/>
      <c r="AG1036" s="10"/>
      <c r="AH1036" s="10"/>
      <c r="AI1036" s="12">
        <f t="shared" si="275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79"/>
        <v>0</v>
      </c>
      <c r="T1037" s="10"/>
      <c r="U1037" s="10"/>
      <c r="V1037" s="10"/>
      <c r="W1037" s="12">
        <f t="shared" si="273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74"/>
        <v>0</v>
      </c>
      <c r="AF1037" s="10"/>
      <c r="AG1037" s="10"/>
      <c r="AH1037" s="10"/>
      <c r="AI1037" s="12">
        <f t="shared" si="275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79"/>
        <v>0</v>
      </c>
      <c r="T1038" s="10"/>
      <c r="U1038" s="10"/>
      <c r="V1038" s="10"/>
      <c r="W1038" s="12">
        <f t="shared" si="273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74"/>
        <v>0</v>
      </c>
      <c r="AF1038" s="10"/>
      <c r="AG1038" s="10"/>
      <c r="AH1038" s="10"/>
      <c r="AI1038" s="12">
        <f t="shared" si="275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79"/>
        <v>0</v>
      </c>
      <c r="T1039" s="10"/>
      <c r="U1039" s="10"/>
      <c r="V1039" s="10"/>
      <c r="W1039" s="12">
        <f t="shared" si="273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74"/>
        <v>0</v>
      </c>
      <c r="AF1039" s="10"/>
      <c r="AG1039" s="10"/>
      <c r="AH1039" s="10"/>
      <c r="AI1039" s="12">
        <f t="shared" si="275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79"/>
        <v>0</v>
      </c>
      <c r="T1040" s="10"/>
      <c r="U1040" s="10"/>
      <c r="V1040" s="10"/>
      <c r="W1040" s="12">
        <f t="shared" si="273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74"/>
        <v>0</v>
      </c>
      <c r="AF1040" s="10"/>
      <c r="AG1040" s="10"/>
      <c r="AH1040" s="10"/>
      <c r="AI1040" s="12">
        <f t="shared" si="275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73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5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80">SUM(D1042:E1042)</f>
        <v>0</v>
      </c>
      <c r="H1042" s="10"/>
      <c r="I1042" s="10"/>
      <c r="J1042" s="10"/>
      <c r="K1042" s="12">
        <f t="shared" ref="K1042" si="281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82">SUM(P1042:Q1042)</f>
        <v>0</v>
      </c>
      <c r="T1042" s="10"/>
      <c r="U1042" s="10"/>
      <c r="V1042" s="10"/>
      <c r="W1042" s="12">
        <f t="shared" si="273"/>
        <v>0</v>
      </c>
      <c r="Y1042" s="10"/>
      <c r="Z1042" s="30"/>
      <c r="AA1042" s="31"/>
      <c r="AB1042" s="47"/>
      <c r="AC1042" s="31"/>
      <c r="AD1042" s="31"/>
      <c r="AE1042" s="32">
        <f t="shared" ref="AE1042" si="283">SUM(AB1042:AC1042)</f>
        <v>0</v>
      </c>
      <c r="AF1042" s="10"/>
      <c r="AG1042" s="10"/>
      <c r="AH1042" s="10"/>
      <c r="AI1042" s="12">
        <f t="shared" si="275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73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5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162168.5</v>
      </c>
      <c r="E1045" s="38">
        <f t="shared" ref="E1045:F1045" si="284">SUM(E1002:E1042)</f>
        <v>0</v>
      </c>
      <c r="F1045" s="38">
        <f t="shared" si="284"/>
        <v>0</v>
      </c>
      <c r="G1045" s="38">
        <f>SUM(G1002:G1044)</f>
        <v>162168.5</v>
      </c>
      <c r="H1045" s="4"/>
      <c r="I1045" s="39">
        <f>SUM(I1002:I1044)</f>
        <v>565</v>
      </c>
      <c r="J1045" s="39">
        <f>SUM(J1002:J1044)</f>
        <v>0</v>
      </c>
      <c r="K1045" s="40">
        <f>SUM(K1002:K1044)</f>
        <v>162733.5</v>
      </c>
      <c r="N1045" s="57"/>
      <c r="O1045" s="57"/>
      <c r="P1045" s="38">
        <f>SUM(P1002:P1044)</f>
        <v>134298</v>
      </c>
      <c r="Q1045" s="38">
        <f>SUM(Q1002:Q1026)</f>
        <v>-776</v>
      </c>
      <c r="R1045" s="38">
        <f>SUM(R1002:R1026)</f>
        <v>0</v>
      </c>
      <c r="S1045" s="38">
        <f>SUM(S1002:S1044)</f>
        <v>133522</v>
      </c>
      <c r="T1045" s="4"/>
      <c r="U1045" s="41">
        <f>SUM(U1002:U1044)</f>
        <v>152.25</v>
      </c>
      <c r="V1045" s="41">
        <f>SUM(V1002:V1026)</f>
        <v>-333</v>
      </c>
      <c r="W1045" s="42">
        <f>SUM(W1002:W1044)</f>
        <v>133341.25</v>
      </c>
      <c r="Z1045" s="57"/>
      <c r="AA1045" s="57"/>
      <c r="AB1045" s="38">
        <f>SUM(AB1002:AB1044)</f>
        <v>509476</v>
      </c>
      <c r="AC1045" s="38">
        <f>SUM(AC1002:AC1026)</f>
        <v>-300</v>
      </c>
      <c r="AD1045" s="38">
        <f>SUM(AD1002:AD1026)</f>
        <v>0</v>
      </c>
      <c r="AE1045" s="38">
        <f>SUM(AE1002:AE1044)</f>
        <v>509176</v>
      </c>
      <c r="AF1045" s="4"/>
      <c r="AG1045" s="41">
        <f>SUM(AG1002:AG1044)</f>
        <v>65835</v>
      </c>
      <c r="AH1045" s="41">
        <f>SUM(AH1002:AH1026)</f>
        <v>-38946</v>
      </c>
      <c r="AI1045" s="42">
        <f>SUM(AI1002:AI1044)</f>
        <v>536065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40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40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40</v>
      </c>
      <c r="Z1052" s="57"/>
      <c r="AA1052" s="57"/>
      <c r="AB1052" s="57"/>
      <c r="AC1052" s="57"/>
      <c r="AD1052" s="57"/>
      <c r="AE1052" s="57"/>
      <c r="AG1052" s="57" t="s">
        <v>15</v>
      </c>
      <c r="AH1052" s="19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95</v>
      </c>
      <c r="B1053" s="20"/>
      <c r="C1053" s="57"/>
      <c r="D1053" s="57"/>
      <c r="E1053" s="57"/>
      <c r="G1053" s="57"/>
      <c r="I1053" s="22" t="s">
        <v>16</v>
      </c>
      <c r="J1053" s="23" t="s">
        <v>33</v>
      </c>
      <c r="K1053" s="24"/>
      <c r="M1053" s="21" t="s">
        <v>95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42</v>
      </c>
      <c r="W1053" s="24"/>
      <c r="Y1053" s="21" t="s">
        <v>95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31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3" t="s">
        <v>17</v>
      </c>
      <c r="E1055" s="123"/>
      <c r="F1055" s="110"/>
      <c r="G1055" s="27"/>
      <c r="I1055" s="121" t="s">
        <v>18</v>
      </c>
      <c r="J1055" s="122"/>
      <c r="K1055" s="119" t="s">
        <v>19</v>
      </c>
      <c r="N1055" s="25"/>
      <c r="O1055" s="26"/>
      <c r="P1055" s="123" t="s">
        <v>17</v>
      </c>
      <c r="Q1055" s="123"/>
      <c r="R1055" s="110"/>
      <c r="S1055" s="27"/>
      <c r="U1055" s="121" t="s">
        <v>18</v>
      </c>
      <c r="V1055" s="122"/>
      <c r="W1055" s="119" t="s">
        <v>19</v>
      </c>
      <c r="Z1055" s="25"/>
      <c r="AA1055" s="26"/>
      <c r="AB1055" s="123" t="s">
        <v>17</v>
      </c>
      <c r="AC1055" s="123"/>
      <c r="AD1055" s="110"/>
      <c r="AE1055" s="27"/>
      <c r="AG1055" s="121" t="s">
        <v>18</v>
      </c>
      <c r="AH1055" s="122"/>
      <c r="AI1055" s="119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0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0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0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96</v>
      </c>
      <c r="C1057" s="90">
        <v>7386</v>
      </c>
      <c r="D1057" s="32">
        <f>3756+596+66.5</f>
        <v>4418.5</v>
      </c>
      <c r="E1057" s="32"/>
      <c r="F1057" s="32"/>
      <c r="G1057" s="32">
        <f t="shared" ref="G1057:G1090" si="285">SUM(D1057:E1057)</f>
        <v>4418.5</v>
      </c>
      <c r="H1057" s="12"/>
      <c r="I1057" s="12"/>
      <c r="J1057" s="12"/>
      <c r="K1057" s="12">
        <f t="shared" ref="K1057:K1090" si="286">SUM(G1057:J1057)</f>
        <v>4418.5</v>
      </c>
      <c r="M1057" s="10">
        <v>1</v>
      </c>
      <c r="N1057" s="30" t="s">
        <v>96</v>
      </c>
      <c r="O1057" s="31">
        <v>7418</v>
      </c>
      <c r="P1057" s="32">
        <f>626+9.5</f>
        <v>635.5</v>
      </c>
      <c r="Q1057" s="32"/>
      <c r="R1057" s="32"/>
      <c r="S1057" s="32">
        <f>SUM(P1057:Q1057)</f>
        <v>635.5</v>
      </c>
      <c r="T1057" s="12"/>
      <c r="U1057" s="12"/>
      <c r="V1057" s="12"/>
      <c r="W1057" s="12">
        <f>SUM(S1057:V1057)</f>
        <v>635.5</v>
      </c>
      <c r="Y1057" s="10">
        <v>1</v>
      </c>
      <c r="Z1057" s="30" t="s">
        <v>96</v>
      </c>
      <c r="AA1057" s="31">
        <v>7327</v>
      </c>
      <c r="AB1057" s="32">
        <f>62600</f>
        <v>62600</v>
      </c>
      <c r="AC1057" s="32">
        <v>-600</v>
      </c>
      <c r="AD1057" s="32"/>
      <c r="AE1057" s="32">
        <f>SUM(AB1057:AC1057)</f>
        <v>62000</v>
      </c>
      <c r="AF1057" s="12"/>
      <c r="AG1057" s="12"/>
      <c r="AH1057" s="12"/>
      <c r="AI1057" s="12">
        <f>SUM(AE1057:AH1057)</f>
        <v>62000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96</v>
      </c>
      <c r="C1058" s="90">
        <f>C1057+1</f>
        <v>7387</v>
      </c>
      <c r="D1058" s="32">
        <f>4382+614</f>
        <v>4996</v>
      </c>
      <c r="E1058" s="32"/>
      <c r="F1058" s="32"/>
      <c r="G1058" s="32">
        <f t="shared" si="285"/>
        <v>4996</v>
      </c>
      <c r="H1058" s="12"/>
      <c r="I1058" s="12"/>
      <c r="J1058" s="12"/>
      <c r="K1058" s="12">
        <f t="shared" si="286"/>
        <v>4996</v>
      </c>
      <c r="M1058" s="10">
        <v>2</v>
      </c>
      <c r="N1058" s="30" t="s">
        <v>96</v>
      </c>
      <c r="O1058" s="31">
        <f>O1057+1</f>
        <v>7419</v>
      </c>
      <c r="P1058" s="32">
        <f>3756+9.5*6</f>
        <v>3813</v>
      </c>
      <c r="Q1058" s="32"/>
      <c r="R1058" s="32"/>
      <c r="S1058" s="32">
        <f t="shared" ref="S1058:S1089" si="287">SUM(P1058:Q1058)</f>
        <v>3813</v>
      </c>
      <c r="T1058" s="12"/>
      <c r="U1058" s="12">
        <v>4.5</v>
      </c>
      <c r="V1058" s="12"/>
      <c r="W1058" s="12">
        <f t="shared" ref="W1058:W1098" si="288">SUM(S1058:V1058)</f>
        <v>3817.5</v>
      </c>
      <c r="Y1058" s="10">
        <v>2</v>
      </c>
      <c r="Z1058" s="30" t="s">
        <v>96</v>
      </c>
      <c r="AA1058" s="31">
        <f>AA1057+1</f>
        <v>7328</v>
      </c>
      <c r="AB1058" s="32">
        <f>626*55+596*5</f>
        <v>37410</v>
      </c>
      <c r="AC1058" s="32"/>
      <c r="AD1058" s="32"/>
      <c r="AE1058" s="32">
        <f t="shared" ref="AE1058:AE1095" si="289">SUM(AB1058:AC1058)</f>
        <v>37410</v>
      </c>
      <c r="AF1058" s="12"/>
      <c r="AG1058" s="12"/>
      <c r="AH1058" s="12">
        <v>-1776</v>
      </c>
      <c r="AI1058" s="12">
        <f t="shared" ref="AI1058:AI1098" si="290">SUM(AE1058:AH1058)</f>
        <v>35634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96</v>
      </c>
      <c r="C1059" s="90">
        <f t="shared" ref="C1059:C1071" si="291">C1058+1</f>
        <v>7388</v>
      </c>
      <c r="D1059" s="33">
        <f>4382+614*2+596+76</f>
        <v>6282</v>
      </c>
      <c r="E1059" s="33"/>
      <c r="F1059" s="33"/>
      <c r="G1059" s="33">
        <f t="shared" si="285"/>
        <v>6282</v>
      </c>
      <c r="H1059" s="34"/>
      <c r="I1059" s="34"/>
      <c r="J1059" s="34"/>
      <c r="K1059" s="34">
        <f t="shared" si="286"/>
        <v>6282</v>
      </c>
      <c r="M1059" s="10">
        <v>3</v>
      </c>
      <c r="N1059" s="30" t="s">
        <v>96</v>
      </c>
      <c r="O1059" s="31">
        <f t="shared" ref="O1059:O1064" si="292">O1058+1</f>
        <v>7420</v>
      </c>
      <c r="P1059" s="32">
        <f>2504+38</f>
        <v>2542</v>
      </c>
      <c r="Q1059" s="32"/>
      <c r="R1059" s="32"/>
      <c r="S1059" s="32">
        <f t="shared" si="287"/>
        <v>2542</v>
      </c>
      <c r="T1059" s="12"/>
      <c r="U1059" s="12"/>
      <c r="V1059" s="12"/>
      <c r="W1059" s="12">
        <f t="shared" si="288"/>
        <v>2542</v>
      </c>
      <c r="Y1059" s="10">
        <v>3</v>
      </c>
      <c r="Z1059" s="30" t="s">
        <v>96</v>
      </c>
      <c r="AA1059" s="31">
        <f t="shared" ref="AA1059:AA1060" si="293">AA1058+1</f>
        <v>7329</v>
      </c>
      <c r="AB1059" s="33">
        <f>93900+916</f>
        <v>94816</v>
      </c>
      <c r="AC1059" s="33">
        <v>-924</v>
      </c>
      <c r="AD1059" s="32"/>
      <c r="AE1059" s="32">
        <f t="shared" si="289"/>
        <v>93892</v>
      </c>
      <c r="AF1059" s="12"/>
      <c r="AG1059" s="12"/>
      <c r="AH1059" s="12"/>
      <c r="AI1059" s="12">
        <f t="shared" si="290"/>
        <v>93892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96</v>
      </c>
      <c r="C1060" s="90">
        <f t="shared" si="291"/>
        <v>7389</v>
      </c>
      <c r="D1060" s="32">
        <f>6886+104.5</f>
        <v>6990.5</v>
      </c>
      <c r="E1060" s="32"/>
      <c r="F1060" s="32"/>
      <c r="G1060" s="32">
        <f t="shared" si="285"/>
        <v>6990.5</v>
      </c>
      <c r="H1060" s="12"/>
      <c r="I1060" s="12"/>
      <c r="J1060" s="12"/>
      <c r="K1060" s="12">
        <f t="shared" si="286"/>
        <v>6990.5</v>
      </c>
      <c r="M1060" s="10">
        <v>4</v>
      </c>
      <c r="N1060" s="30" t="s">
        <v>96</v>
      </c>
      <c r="O1060" s="31">
        <f t="shared" si="292"/>
        <v>7421</v>
      </c>
      <c r="P1060" s="32">
        <f>1878+229</f>
        <v>2107</v>
      </c>
      <c r="Q1060" s="32"/>
      <c r="R1060" s="32"/>
      <c r="S1060" s="32">
        <f t="shared" si="287"/>
        <v>2107</v>
      </c>
      <c r="T1060" s="12"/>
      <c r="U1060" s="12">
        <v>78</v>
      </c>
      <c r="V1060" s="12"/>
      <c r="W1060" s="12">
        <f t="shared" si="288"/>
        <v>2185</v>
      </c>
      <c r="Y1060" s="10">
        <v>4</v>
      </c>
      <c r="Z1060" s="30" t="s">
        <v>96</v>
      </c>
      <c r="AA1060" s="31">
        <f t="shared" si="293"/>
        <v>7330</v>
      </c>
      <c r="AB1060" s="32">
        <f>34430+2980+458</f>
        <v>37868</v>
      </c>
      <c r="AC1060" s="32">
        <v>-372</v>
      </c>
      <c r="AD1060" s="32"/>
      <c r="AE1060" s="32">
        <f t="shared" si="289"/>
        <v>37496</v>
      </c>
      <c r="AF1060" s="12"/>
      <c r="AH1060" s="12"/>
      <c r="AI1060" s="12">
        <f t="shared" si="290"/>
        <v>37496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96</v>
      </c>
      <c r="C1061" s="90">
        <f t="shared" si="291"/>
        <v>7390</v>
      </c>
      <c r="D1061" s="32">
        <f>9390+142.5</f>
        <v>9532.5</v>
      </c>
      <c r="E1061" s="32"/>
      <c r="F1061" s="32"/>
      <c r="G1061" s="32">
        <f t="shared" si="285"/>
        <v>9532.5</v>
      </c>
      <c r="H1061" s="12"/>
      <c r="I1061" s="12">
        <v>18</v>
      </c>
      <c r="J1061" s="12"/>
      <c r="K1061" s="12">
        <f t="shared" si="286"/>
        <v>9550.5</v>
      </c>
      <c r="M1061" s="10">
        <v>5</v>
      </c>
      <c r="N1061" s="30" t="s">
        <v>96</v>
      </c>
      <c r="O1061" s="31">
        <f t="shared" si="292"/>
        <v>7422</v>
      </c>
      <c r="P1061" s="32">
        <f>614+596+9.5</f>
        <v>1219.5</v>
      </c>
      <c r="Q1061" s="32"/>
      <c r="R1061" s="32"/>
      <c r="S1061" s="32">
        <f t="shared" si="287"/>
        <v>1219.5</v>
      </c>
      <c r="T1061" s="12"/>
      <c r="U1061" s="12"/>
      <c r="V1061" s="12"/>
      <c r="W1061" s="12">
        <f t="shared" si="288"/>
        <v>1219.5</v>
      </c>
      <c r="Y1061" s="10">
        <v>5</v>
      </c>
      <c r="Z1061" s="30"/>
      <c r="AA1061" s="11" t="s">
        <v>27</v>
      </c>
      <c r="AB1061" s="32"/>
      <c r="AC1061" s="32"/>
      <c r="AD1061" s="32"/>
      <c r="AE1061" s="32">
        <f t="shared" si="289"/>
        <v>0</v>
      </c>
      <c r="AF1061" s="12"/>
      <c r="AG1061" s="12"/>
      <c r="AH1061" s="12"/>
      <c r="AI1061" s="12">
        <f t="shared" si="290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96</v>
      </c>
      <c r="C1062" s="90">
        <f t="shared" si="291"/>
        <v>7391</v>
      </c>
      <c r="D1062" s="32">
        <f>6260+674</f>
        <v>6934</v>
      </c>
      <c r="E1062" s="32"/>
      <c r="F1062" s="32"/>
      <c r="G1062" s="32">
        <f t="shared" si="285"/>
        <v>6934</v>
      </c>
      <c r="H1062" s="12"/>
      <c r="I1062" s="12"/>
      <c r="J1062" s="12"/>
      <c r="K1062" s="12">
        <f t="shared" si="286"/>
        <v>6934</v>
      </c>
      <c r="M1062" s="10">
        <v>6</v>
      </c>
      <c r="N1062" s="30" t="s">
        <v>96</v>
      </c>
      <c r="O1062" s="31">
        <f t="shared" si="292"/>
        <v>7423</v>
      </c>
      <c r="P1062" s="32">
        <f>1252+614+19</f>
        <v>1885</v>
      </c>
      <c r="Q1062" s="32"/>
      <c r="R1062" s="32"/>
      <c r="S1062" s="32">
        <f t="shared" si="287"/>
        <v>1885</v>
      </c>
      <c r="T1062" s="12"/>
      <c r="U1062" s="12"/>
      <c r="V1062" s="10"/>
      <c r="W1062" s="12">
        <f t="shared" si="288"/>
        <v>1885</v>
      </c>
      <c r="Y1062" s="10">
        <v>6</v>
      </c>
      <c r="Z1062" s="30"/>
      <c r="AA1062" s="31"/>
      <c r="AB1062" s="32"/>
      <c r="AC1062" s="32"/>
      <c r="AD1062" s="32"/>
      <c r="AE1062" s="32">
        <f t="shared" si="289"/>
        <v>0</v>
      </c>
      <c r="AF1062" s="12"/>
      <c r="AG1062" s="12"/>
      <c r="AH1062" s="10"/>
      <c r="AI1062" s="12">
        <f t="shared" si="290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96</v>
      </c>
      <c r="C1063" s="90">
        <f t="shared" si="291"/>
        <v>7392</v>
      </c>
      <c r="D1063" s="32">
        <f>11268+5960+832+229</f>
        <v>18289</v>
      </c>
      <c r="E1063" s="32"/>
      <c r="F1063" s="32"/>
      <c r="G1063" s="32">
        <f t="shared" si="285"/>
        <v>18289</v>
      </c>
      <c r="H1063" s="12"/>
      <c r="I1063" s="12"/>
      <c r="J1063" s="12"/>
      <c r="K1063" s="12">
        <f t="shared" si="286"/>
        <v>18289</v>
      </c>
      <c r="M1063" s="10">
        <v>7</v>
      </c>
      <c r="N1063" s="30" t="s">
        <v>96</v>
      </c>
      <c r="O1063" s="31">
        <f t="shared" si="292"/>
        <v>7424</v>
      </c>
      <c r="P1063" s="32">
        <f>117688+5960+1832+1300</f>
        <v>126780</v>
      </c>
      <c r="Q1063" s="32">
        <v>-1854</v>
      </c>
      <c r="R1063" s="32"/>
      <c r="S1063" s="32">
        <f t="shared" si="287"/>
        <v>124926</v>
      </c>
      <c r="T1063" s="12"/>
      <c r="U1063" s="12">
        <f>1443+624</f>
        <v>2067</v>
      </c>
      <c r="V1063" s="12">
        <v>-252</v>
      </c>
      <c r="W1063" s="12">
        <f t="shared" si="288"/>
        <v>126741</v>
      </c>
      <c r="Y1063" s="10">
        <v>7</v>
      </c>
      <c r="Z1063" s="30"/>
      <c r="AB1063" s="32"/>
      <c r="AC1063" s="32"/>
      <c r="AD1063" s="32"/>
      <c r="AE1063" s="32">
        <f t="shared" si="289"/>
        <v>0</v>
      </c>
      <c r="AF1063" s="12"/>
      <c r="AG1063" s="58"/>
      <c r="AH1063" s="12"/>
      <c r="AI1063" s="12">
        <f t="shared" si="290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96</v>
      </c>
      <c r="C1064" s="90">
        <f t="shared" si="291"/>
        <v>7393</v>
      </c>
      <c r="D1064" s="32">
        <f>5008+1192+95+500</f>
        <v>6795</v>
      </c>
      <c r="E1064" s="32"/>
      <c r="F1064" s="32"/>
      <c r="G1064" s="32">
        <f t="shared" si="285"/>
        <v>6795</v>
      </c>
      <c r="H1064" s="12"/>
      <c r="I1064" s="12"/>
      <c r="J1064" s="12"/>
      <c r="K1064" s="12">
        <f t="shared" si="286"/>
        <v>6795</v>
      </c>
      <c r="M1064" s="10">
        <v>8</v>
      </c>
      <c r="N1064" s="30" t="s">
        <v>96</v>
      </c>
      <c r="O1064" s="31">
        <f t="shared" si="292"/>
        <v>7425</v>
      </c>
      <c r="P1064" s="32">
        <f>6260+1788</f>
        <v>8048</v>
      </c>
      <c r="Q1064" s="32"/>
      <c r="R1064" s="32"/>
      <c r="S1064" s="32">
        <f t="shared" si="287"/>
        <v>8048</v>
      </c>
      <c r="T1064" s="12"/>
      <c r="U1064" s="12">
        <v>-1110</v>
      </c>
      <c r="V1064" s="12"/>
      <c r="W1064" s="12">
        <f t="shared" si="288"/>
        <v>6938</v>
      </c>
      <c r="Y1064" s="10">
        <v>8</v>
      </c>
      <c r="Z1064" s="30"/>
      <c r="AA1064" s="31"/>
      <c r="AB1064" s="32"/>
      <c r="AC1064" s="32"/>
      <c r="AE1064" s="32">
        <f t="shared" si="289"/>
        <v>0</v>
      </c>
      <c r="AF1064" s="12"/>
      <c r="AG1064" s="12"/>
      <c r="AH1064" s="12"/>
      <c r="AI1064" s="12">
        <f t="shared" si="290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96</v>
      </c>
      <c r="C1065" s="90">
        <f t="shared" si="291"/>
        <v>7394</v>
      </c>
      <c r="D1065" s="32">
        <f>6886+1192</f>
        <v>8078</v>
      </c>
      <c r="E1065" s="32"/>
      <c r="F1065" s="32"/>
      <c r="G1065" s="32">
        <f t="shared" si="285"/>
        <v>8078</v>
      </c>
      <c r="H1065" s="12"/>
      <c r="I1065" s="12"/>
      <c r="J1065" s="12"/>
      <c r="K1065" s="12">
        <f t="shared" si="286"/>
        <v>8078</v>
      </c>
      <c r="M1065" s="10">
        <v>9</v>
      </c>
      <c r="N1065" s="30"/>
      <c r="O1065" s="11" t="s">
        <v>27</v>
      </c>
      <c r="P1065" s="32"/>
      <c r="Q1065" s="32"/>
      <c r="R1065" s="32"/>
      <c r="S1065" s="32">
        <f t="shared" si="287"/>
        <v>0</v>
      </c>
      <c r="T1065" s="12"/>
      <c r="U1065" s="12"/>
      <c r="V1065" s="12"/>
      <c r="W1065" s="12">
        <f t="shared" si="288"/>
        <v>0</v>
      </c>
      <c r="Y1065" s="10">
        <v>9</v>
      </c>
      <c r="Z1065" s="30"/>
      <c r="AA1065" s="31"/>
      <c r="AB1065" s="32"/>
      <c r="AC1065" s="32"/>
      <c r="AD1065" s="32"/>
      <c r="AE1065" s="32">
        <f t="shared" si="289"/>
        <v>0</v>
      </c>
      <c r="AF1065" s="12"/>
      <c r="AG1065" s="58"/>
      <c r="AH1065" s="12"/>
      <c r="AI1065" s="12">
        <f t="shared" si="290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96</v>
      </c>
      <c r="C1066" s="90">
        <f t="shared" si="291"/>
        <v>7395</v>
      </c>
      <c r="D1066" s="32">
        <f>5008+1788</f>
        <v>6796</v>
      </c>
      <c r="E1066" s="32"/>
      <c r="F1066" s="32"/>
      <c r="G1066" s="32">
        <f t="shared" si="285"/>
        <v>6796</v>
      </c>
      <c r="H1066" s="12"/>
      <c r="I1066" s="12"/>
      <c r="J1066" s="12"/>
      <c r="K1066" s="12">
        <f t="shared" si="286"/>
        <v>6796</v>
      </c>
      <c r="M1066" s="10">
        <v>10</v>
      </c>
      <c r="N1066" s="30"/>
      <c r="O1066" s="31"/>
      <c r="P1066" s="32"/>
      <c r="Q1066" s="32"/>
      <c r="R1066" s="32"/>
      <c r="S1066" s="32">
        <f t="shared" si="287"/>
        <v>0</v>
      </c>
      <c r="T1066" s="12"/>
      <c r="U1066" s="12"/>
      <c r="V1066" s="12"/>
      <c r="W1066" s="12">
        <f t="shared" si="288"/>
        <v>0</v>
      </c>
      <c r="Y1066" s="10">
        <v>10</v>
      </c>
      <c r="Z1066" s="30"/>
      <c r="AA1066" s="31"/>
      <c r="AB1066" s="32"/>
      <c r="AC1066" s="32"/>
      <c r="AD1066" s="32"/>
      <c r="AE1066" s="32">
        <f t="shared" si="289"/>
        <v>0</v>
      </c>
      <c r="AF1066" s="12"/>
      <c r="AG1066" s="12"/>
      <c r="AH1066" s="12"/>
      <c r="AI1066" s="12">
        <f t="shared" si="290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96</v>
      </c>
      <c r="C1067" s="90">
        <f t="shared" si="291"/>
        <v>7396</v>
      </c>
      <c r="D1067" s="32">
        <f>4382</f>
        <v>4382</v>
      </c>
      <c r="E1067" s="32"/>
      <c r="F1067" s="32"/>
      <c r="G1067" s="32">
        <f t="shared" si="285"/>
        <v>4382</v>
      </c>
      <c r="H1067" s="12"/>
      <c r="I1067" s="12"/>
      <c r="J1067" s="12"/>
      <c r="K1067" s="12">
        <f t="shared" si="286"/>
        <v>4382</v>
      </c>
      <c r="M1067" s="10">
        <v>11</v>
      </c>
      <c r="N1067" s="30"/>
      <c r="O1067" s="31"/>
      <c r="P1067" s="32"/>
      <c r="Q1067" s="32"/>
      <c r="R1067" s="32"/>
      <c r="S1067" s="32">
        <f t="shared" si="287"/>
        <v>0</v>
      </c>
      <c r="T1067" s="12"/>
      <c r="U1067" s="12"/>
      <c r="V1067" s="12"/>
      <c r="W1067" s="12">
        <f t="shared" si="288"/>
        <v>0</v>
      </c>
      <c r="Y1067" s="10">
        <v>11</v>
      </c>
      <c r="Z1067" s="30"/>
      <c r="AB1067" s="32"/>
      <c r="AC1067" s="32"/>
      <c r="AD1067" s="32"/>
      <c r="AE1067" s="32">
        <f t="shared" si="289"/>
        <v>0</v>
      </c>
      <c r="AF1067" s="12"/>
      <c r="AG1067" s="12"/>
      <c r="AH1067" s="12"/>
      <c r="AI1067" s="12">
        <f t="shared" si="290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96</v>
      </c>
      <c r="C1068" s="90">
        <f t="shared" si="291"/>
        <v>7397</v>
      </c>
      <c r="D1068" s="32">
        <f>1878+596+38</f>
        <v>2512</v>
      </c>
      <c r="E1068" s="32"/>
      <c r="F1068" s="32"/>
      <c r="G1068" s="32">
        <f t="shared" si="285"/>
        <v>2512</v>
      </c>
      <c r="H1068" s="12"/>
      <c r="I1068" s="12"/>
      <c r="J1068" s="10"/>
      <c r="K1068" s="12">
        <f t="shared" si="286"/>
        <v>2512</v>
      </c>
      <c r="M1068" s="10">
        <v>12</v>
      </c>
      <c r="N1068" s="30"/>
      <c r="O1068" s="31"/>
      <c r="P1068" s="32"/>
      <c r="Q1068" s="32"/>
      <c r="R1068" s="32"/>
      <c r="S1068" s="32">
        <f t="shared" si="287"/>
        <v>0</v>
      </c>
      <c r="T1068" s="12"/>
      <c r="U1068" s="12"/>
      <c r="V1068" s="12"/>
      <c r="W1068" s="12">
        <f t="shared" si="288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289"/>
        <v>0</v>
      </c>
      <c r="AF1068" s="12"/>
      <c r="AG1068" s="12"/>
      <c r="AH1068" s="12"/>
      <c r="AI1068" s="12">
        <f t="shared" si="290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96</v>
      </c>
      <c r="C1069" s="90">
        <f t="shared" si="291"/>
        <v>7398</v>
      </c>
      <c r="D1069" s="32">
        <f>1878+28.5</f>
        <v>1906.5</v>
      </c>
      <c r="E1069" s="32"/>
      <c r="F1069" s="32"/>
      <c r="G1069" s="32">
        <f t="shared" si="285"/>
        <v>1906.5</v>
      </c>
      <c r="H1069" s="12"/>
      <c r="I1069" s="12"/>
      <c r="J1069" s="12"/>
      <c r="K1069" s="12">
        <f t="shared" si="286"/>
        <v>1906.5</v>
      </c>
      <c r="M1069" s="10">
        <v>13</v>
      </c>
      <c r="N1069" s="30"/>
      <c r="O1069" s="31"/>
      <c r="P1069" s="32"/>
      <c r="Q1069" s="32"/>
      <c r="R1069" s="32"/>
      <c r="S1069" s="32">
        <f t="shared" si="287"/>
        <v>0</v>
      </c>
      <c r="T1069" s="12"/>
      <c r="U1069" s="12"/>
      <c r="V1069" s="12"/>
      <c r="W1069" s="12">
        <f t="shared" si="288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289"/>
        <v>0</v>
      </c>
      <c r="AF1069" s="12"/>
      <c r="AG1069" s="12"/>
      <c r="AH1069" s="12"/>
      <c r="AI1069" s="12">
        <f t="shared" si="290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 t="s">
        <v>96</v>
      </c>
      <c r="C1070" s="90">
        <f t="shared" si="291"/>
        <v>7399</v>
      </c>
      <c r="D1070" s="32">
        <f>6260</f>
        <v>6260</v>
      </c>
      <c r="E1070" s="32"/>
      <c r="F1070" s="32"/>
      <c r="G1070" s="32">
        <f t="shared" si="285"/>
        <v>6260</v>
      </c>
      <c r="H1070" s="12"/>
      <c r="I1070" s="12"/>
      <c r="J1070" s="12"/>
      <c r="K1070" s="12">
        <f t="shared" si="286"/>
        <v>6260</v>
      </c>
      <c r="M1070" s="10">
        <v>14</v>
      </c>
      <c r="N1070" s="30"/>
      <c r="O1070" s="31"/>
      <c r="P1070" s="32"/>
      <c r="Q1070" s="32"/>
      <c r="R1070" s="32"/>
      <c r="S1070" s="32">
        <f t="shared" si="287"/>
        <v>0</v>
      </c>
      <c r="T1070" s="12"/>
      <c r="U1070" s="12"/>
      <c r="V1070" s="12"/>
      <c r="W1070" s="12">
        <f t="shared" si="288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289"/>
        <v>0</v>
      </c>
      <c r="AF1070" s="12"/>
      <c r="AG1070" s="12"/>
      <c r="AH1070" s="12"/>
      <c r="AI1070" s="12">
        <f t="shared" si="290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 t="s">
        <v>96</v>
      </c>
      <c r="C1071" s="90">
        <f t="shared" si="291"/>
        <v>7400</v>
      </c>
      <c r="D1071" s="32">
        <f>3130+2980</f>
        <v>6110</v>
      </c>
      <c r="E1071" s="32"/>
      <c r="F1071" s="32"/>
      <c r="G1071" s="32">
        <f t="shared" si="285"/>
        <v>6110</v>
      </c>
      <c r="H1071" s="12"/>
      <c r="I1071" s="12">
        <v>18</v>
      </c>
      <c r="J1071" s="12"/>
      <c r="K1071" s="12">
        <f t="shared" si="286"/>
        <v>6128</v>
      </c>
      <c r="M1071" s="10">
        <v>15</v>
      </c>
      <c r="N1071" s="30"/>
      <c r="O1071" s="31"/>
      <c r="P1071" s="32"/>
      <c r="Q1071" s="32"/>
      <c r="R1071" s="32"/>
      <c r="S1071" s="32">
        <f t="shared" si="287"/>
        <v>0</v>
      </c>
      <c r="T1071" s="12"/>
      <c r="U1071" s="12"/>
      <c r="V1071" s="12"/>
      <c r="W1071" s="12">
        <f t="shared" si="288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289"/>
        <v>0</v>
      </c>
      <c r="AF1071" s="12"/>
      <c r="AG1071" s="12"/>
      <c r="AH1071" s="12"/>
      <c r="AI1071" s="12">
        <f t="shared" si="290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11" t="s">
        <v>27</v>
      </c>
      <c r="D1072" s="32"/>
      <c r="E1072" s="32"/>
      <c r="F1072" s="32"/>
      <c r="G1072" s="32">
        <f t="shared" si="285"/>
        <v>0</v>
      </c>
      <c r="H1072" s="12"/>
      <c r="I1072" s="12"/>
      <c r="J1072" s="12"/>
      <c r="K1072" s="12">
        <f t="shared" si="286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287"/>
        <v>0</v>
      </c>
      <c r="T1072" s="12"/>
      <c r="U1072" s="12"/>
      <c r="V1072" s="12"/>
      <c r="W1072" s="12">
        <f t="shared" si="288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289"/>
        <v>0</v>
      </c>
      <c r="AF1072" s="12"/>
      <c r="AG1072" s="12"/>
      <c r="AH1072" s="12"/>
      <c r="AI1072" s="12">
        <f t="shared" si="290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90"/>
      <c r="D1073" s="32"/>
      <c r="E1073" s="32"/>
      <c r="F1073" s="32"/>
      <c r="G1073" s="32">
        <f t="shared" si="285"/>
        <v>0</v>
      </c>
      <c r="H1073" s="12"/>
      <c r="I1073" s="12"/>
      <c r="J1073" s="12"/>
      <c r="K1073" s="12">
        <f t="shared" si="286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287"/>
        <v>0</v>
      </c>
      <c r="T1073" s="12"/>
      <c r="U1073" s="12"/>
      <c r="V1073" s="12"/>
      <c r="W1073" s="12">
        <f t="shared" si="288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289"/>
        <v>0</v>
      </c>
      <c r="AF1073" s="12"/>
      <c r="AG1073" s="12"/>
      <c r="AH1073" s="12"/>
      <c r="AI1073" s="12">
        <f t="shared" si="290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90"/>
      <c r="D1074" s="32"/>
      <c r="E1074" s="32"/>
      <c r="F1074" s="32"/>
      <c r="G1074" s="32">
        <f t="shared" si="285"/>
        <v>0</v>
      </c>
      <c r="H1074" s="12"/>
      <c r="I1074" s="12"/>
      <c r="J1074" s="12"/>
      <c r="K1074" s="12">
        <f t="shared" si="286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287"/>
        <v>0</v>
      </c>
      <c r="T1074" s="12"/>
      <c r="U1074" s="12"/>
      <c r="V1074" s="12"/>
      <c r="W1074" s="12">
        <f t="shared" si="288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289"/>
        <v>0</v>
      </c>
      <c r="AF1074" s="12"/>
      <c r="AG1074" s="12"/>
      <c r="AH1074" s="12"/>
      <c r="AI1074" s="12">
        <f t="shared" si="290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90"/>
      <c r="D1075" s="32"/>
      <c r="E1075" s="32"/>
      <c r="F1075" s="32"/>
      <c r="G1075" s="32">
        <f t="shared" si="285"/>
        <v>0</v>
      </c>
      <c r="H1075" s="12"/>
      <c r="I1075" s="12"/>
      <c r="J1075" s="12"/>
      <c r="K1075" s="12">
        <f t="shared" si="286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87"/>
        <v>0</v>
      </c>
      <c r="T1075" s="12"/>
      <c r="U1075" s="12"/>
      <c r="V1075" s="12"/>
      <c r="W1075" s="12">
        <f t="shared" si="288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289"/>
        <v>0</v>
      </c>
      <c r="AF1075" s="12"/>
      <c r="AG1075" s="12"/>
      <c r="AH1075" s="12"/>
      <c r="AI1075" s="12">
        <f t="shared" si="290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90"/>
      <c r="D1076" s="32"/>
      <c r="E1076" s="32"/>
      <c r="F1076" s="32"/>
      <c r="G1076" s="32">
        <f t="shared" si="285"/>
        <v>0</v>
      </c>
      <c r="H1076" s="12"/>
      <c r="I1076" s="12"/>
      <c r="J1076" s="12"/>
      <c r="K1076" s="12">
        <f t="shared" si="286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87"/>
        <v>0</v>
      </c>
      <c r="T1076" s="12"/>
      <c r="U1076" s="12"/>
      <c r="V1076" s="12"/>
      <c r="W1076" s="12">
        <f t="shared" si="288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289"/>
        <v>0</v>
      </c>
      <c r="AF1076" s="12"/>
      <c r="AG1076" s="12"/>
      <c r="AH1076" s="12"/>
      <c r="AI1076" s="12">
        <f t="shared" si="290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D1077" s="32"/>
      <c r="E1077" s="32"/>
      <c r="F1077" s="32"/>
      <c r="G1077" s="32">
        <f t="shared" si="285"/>
        <v>0</v>
      </c>
      <c r="H1077" s="10"/>
      <c r="I1077" s="10"/>
      <c r="J1077" s="10"/>
      <c r="K1077" s="12">
        <f t="shared" si="286"/>
        <v>0</v>
      </c>
      <c r="M1077" s="10">
        <v>21</v>
      </c>
      <c r="N1077" s="30"/>
      <c r="P1077" s="46"/>
      <c r="Q1077" s="31"/>
      <c r="R1077" s="31"/>
      <c r="S1077" s="32">
        <f t="shared" si="287"/>
        <v>0</v>
      </c>
      <c r="T1077" s="10"/>
      <c r="U1077" s="10"/>
      <c r="V1077" s="10"/>
      <c r="W1077" s="12">
        <f t="shared" si="288"/>
        <v>0</v>
      </c>
      <c r="Y1077" s="10">
        <v>21</v>
      </c>
      <c r="Z1077" s="30"/>
      <c r="AB1077" s="46"/>
      <c r="AC1077" s="31"/>
      <c r="AD1077" s="31"/>
      <c r="AE1077" s="32">
        <f t="shared" si="289"/>
        <v>0</v>
      </c>
      <c r="AF1077" s="10"/>
      <c r="AG1077" s="10"/>
      <c r="AH1077" s="10"/>
      <c r="AI1077" s="12">
        <f t="shared" si="290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90"/>
      <c r="D1078" s="32"/>
      <c r="E1078" s="32"/>
      <c r="F1078" s="32"/>
      <c r="G1078" s="32">
        <f t="shared" si="285"/>
        <v>0</v>
      </c>
      <c r="H1078" s="10"/>
      <c r="I1078" s="10"/>
      <c r="J1078" s="10"/>
      <c r="K1078" s="12">
        <f t="shared" si="286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87"/>
        <v>0</v>
      </c>
      <c r="T1078" s="10"/>
      <c r="U1078" s="10"/>
      <c r="V1078" s="10"/>
      <c r="W1078" s="12">
        <f t="shared" si="288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289"/>
        <v>0</v>
      </c>
      <c r="AF1078" s="10"/>
      <c r="AG1078" s="10"/>
      <c r="AH1078" s="10"/>
      <c r="AI1078" s="12">
        <f t="shared" si="290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285"/>
        <v>0</v>
      </c>
      <c r="H1079" s="10"/>
      <c r="I1079" s="10"/>
      <c r="J1079" s="12"/>
      <c r="K1079" s="12">
        <f t="shared" si="286"/>
        <v>0</v>
      </c>
      <c r="M1079" s="10">
        <v>23</v>
      </c>
      <c r="N1079" s="30"/>
      <c r="O1079" s="31"/>
      <c r="P1079" s="47"/>
      <c r="Q1079" s="31"/>
      <c r="S1079" s="32">
        <f t="shared" si="287"/>
        <v>0</v>
      </c>
      <c r="T1079" s="10"/>
      <c r="U1079" s="10"/>
      <c r="V1079" s="10"/>
      <c r="W1079" s="12">
        <f t="shared" si="288"/>
        <v>0</v>
      </c>
      <c r="Y1079" s="10">
        <v>23</v>
      </c>
      <c r="Z1079" s="30"/>
      <c r="AA1079" s="31"/>
      <c r="AB1079" s="47"/>
      <c r="AC1079" s="31"/>
      <c r="AE1079" s="32">
        <f t="shared" si="289"/>
        <v>0</v>
      </c>
      <c r="AF1079" s="10"/>
      <c r="AG1079" s="10"/>
      <c r="AH1079" s="10"/>
      <c r="AI1079" s="12">
        <f t="shared" si="290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90"/>
      <c r="D1080" s="32"/>
      <c r="E1080" s="32"/>
      <c r="F1080" s="32"/>
      <c r="G1080" s="32">
        <f t="shared" si="285"/>
        <v>0</v>
      </c>
      <c r="H1080" s="10"/>
      <c r="I1080" s="10"/>
      <c r="J1080" s="10"/>
      <c r="K1080" s="12">
        <f t="shared" si="286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87"/>
        <v>0</v>
      </c>
      <c r="T1080" s="10"/>
      <c r="U1080" s="10"/>
      <c r="V1080" s="10"/>
      <c r="W1080" s="12">
        <f t="shared" si="288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289"/>
        <v>0</v>
      </c>
      <c r="AF1080" s="10"/>
      <c r="AG1080" s="10"/>
      <c r="AH1080" s="10"/>
      <c r="AI1080" s="12">
        <f t="shared" si="290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90"/>
      <c r="D1081" s="32"/>
      <c r="E1081" s="32"/>
      <c r="F1081" s="32"/>
      <c r="G1081" s="32">
        <f t="shared" si="285"/>
        <v>0</v>
      </c>
      <c r="H1081" s="10"/>
      <c r="I1081" s="10"/>
      <c r="J1081" s="10"/>
      <c r="K1081" s="12">
        <f t="shared" si="286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87"/>
        <v>0</v>
      </c>
      <c r="T1081" s="10"/>
      <c r="U1081" s="10"/>
      <c r="V1081" s="10"/>
      <c r="W1081" s="12">
        <f t="shared" si="288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289"/>
        <v>0</v>
      </c>
      <c r="AF1081" s="10"/>
      <c r="AG1081" s="10"/>
      <c r="AH1081" s="10"/>
      <c r="AI1081" s="12">
        <f t="shared" si="290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90"/>
      <c r="D1082" s="32"/>
      <c r="E1082" s="32"/>
      <c r="F1082" s="32"/>
      <c r="G1082" s="32">
        <f t="shared" si="285"/>
        <v>0</v>
      </c>
      <c r="H1082" s="10"/>
      <c r="I1082" s="10"/>
      <c r="J1082" s="10"/>
      <c r="K1082" s="12">
        <f t="shared" si="286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87"/>
        <v>0</v>
      </c>
      <c r="T1082" s="10"/>
      <c r="U1082" s="10"/>
      <c r="V1082" s="10"/>
      <c r="W1082" s="12">
        <f t="shared" si="288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289"/>
        <v>0</v>
      </c>
      <c r="AF1082" s="10"/>
      <c r="AG1082" s="10"/>
      <c r="AH1082" s="10"/>
      <c r="AI1082" s="12">
        <f t="shared" si="290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90"/>
      <c r="D1083" s="32"/>
      <c r="E1083" s="32"/>
      <c r="F1083" s="32"/>
      <c r="G1083" s="32">
        <f t="shared" si="285"/>
        <v>0</v>
      </c>
      <c r="H1083" s="10"/>
      <c r="I1083" s="10"/>
      <c r="J1083" s="10"/>
      <c r="K1083" s="12">
        <f t="shared" si="286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87"/>
        <v>0</v>
      </c>
      <c r="T1083" s="10"/>
      <c r="U1083" s="10"/>
      <c r="V1083" s="10"/>
      <c r="W1083" s="12">
        <f t="shared" si="288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289"/>
        <v>0</v>
      </c>
      <c r="AF1083" s="10"/>
      <c r="AG1083" s="10"/>
      <c r="AH1083" s="10"/>
      <c r="AI1083" s="12">
        <f t="shared" si="290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90"/>
      <c r="D1084" s="32"/>
      <c r="E1084" s="32"/>
      <c r="F1084" s="32"/>
      <c r="G1084" s="32">
        <f t="shared" si="285"/>
        <v>0</v>
      </c>
      <c r="H1084" s="10"/>
      <c r="I1084" s="10"/>
      <c r="J1084" s="10"/>
      <c r="K1084" s="12">
        <f t="shared" si="286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87"/>
        <v>0</v>
      </c>
      <c r="T1084" s="10"/>
      <c r="U1084" s="10"/>
      <c r="V1084" s="10"/>
      <c r="W1084" s="12">
        <f t="shared" si="288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289"/>
        <v>0</v>
      </c>
      <c r="AF1084" s="10"/>
      <c r="AG1084" s="10"/>
      <c r="AH1084" s="10"/>
      <c r="AI1084" s="12">
        <f t="shared" si="290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90"/>
      <c r="D1085" s="32"/>
      <c r="E1085" s="32"/>
      <c r="F1085" s="32"/>
      <c r="G1085" s="32">
        <f t="shared" si="285"/>
        <v>0</v>
      </c>
      <c r="H1085" s="10"/>
      <c r="I1085" s="10"/>
      <c r="J1085" s="10"/>
      <c r="K1085" s="12">
        <f t="shared" si="286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87"/>
        <v>0</v>
      </c>
      <c r="T1085" s="10"/>
      <c r="U1085" s="10"/>
      <c r="V1085" s="10"/>
      <c r="W1085" s="12">
        <f t="shared" si="288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289"/>
        <v>0</v>
      </c>
      <c r="AF1085" s="10"/>
      <c r="AG1085" s="10"/>
      <c r="AH1085" s="10"/>
      <c r="AI1085" s="12">
        <f t="shared" si="290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285"/>
        <v>0</v>
      </c>
      <c r="H1086" s="10"/>
      <c r="I1086" s="10"/>
      <c r="J1086" s="10"/>
      <c r="K1086" s="12">
        <f t="shared" si="286"/>
        <v>0</v>
      </c>
      <c r="M1086" s="10">
        <v>30</v>
      </c>
      <c r="N1086" s="30"/>
      <c r="P1086" s="47"/>
      <c r="Q1086" s="31"/>
      <c r="R1086" s="31"/>
      <c r="S1086" s="32">
        <f t="shared" si="287"/>
        <v>0</v>
      </c>
      <c r="T1086" s="10"/>
      <c r="U1086" s="10"/>
      <c r="V1086" s="10"/>
      <c r="W1086" s="12">
        <f t="shared" si="288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289"/>
        <v>0</v>
      </c>
      <c r="AF1086" s="10"/>
      <c r="AG1086" s="10"/>
      <c r="AH1086" s="10"/>
      <c r="AI1086" s="12">
        <f t="shared" si="290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90"/>
      <c r="D1087" s="32"/>
      <c r="E1087" s="32"/>
      <c r="F1087" s="32"/>
      <c r="G1087" s="32">
        <f t="shared" si="285"/>
        <v>0</v>
      </c>
      <c r="H1087" s="10"/>
      <c r="I1087" s="10"/>
      <c r="J1087" s="10"/>
      <c r="K1087" s="12">
        <f t="shared" si="286"/>
        <v>0</v>
      </c>
      <c r="M1087" s="10">
        <v>31</v>
      </c>
      <c r="N1087" s="30"/>
      <c r="P1087" s="47"/>
      <c r="Q1087" s="31"/>
      <c r="R1087" s="31"/>
      <c r="S1087" s="32">
        <f t="shared" si="287"/>
        <v>0</v>
      </c>
      <c r="T1087" s="10"/>
      <c r="U1087" s="10"/>
      <c r="V1087" s="10"/>
      <c r="W1087" s="12">
        <f t="shared" si="288"/>
        <v>0</v>
      </c>
      <c r="Y1087" s="10">
        <v>31</v>
      </c>
      <c r="Z1087" s="30"/>
      <c r="AB1087" s="47"/>
      <c r="AC1087" s="31"/>
      <c r="AD1087" s="31"/>
      <c r="AE1087" s="32">
        <f t="shared" si="289"/>
        <v>0</v>
      </c>
      <c r="AF1087" s="10"/>
      <c r="AG1087" s="10"/>
      <c r="AH1087" s="10"/>
      <c r="AI1087" s="12">
        <f t="shared" si="290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90"/>
      <c r="D1088" s="32"/>
      <c r="E1088" s="32"/>
      <c r="F1088" s="32"/>
      <c r="G1088" s="32">
        <f t="shared" si="285"/>
        <v>0</v>
      </c>
      <c r="H1088" s="10"/>
      <c r="I1088" s="10"/>
      <c r="J1088" s="10"/>
      <c r="K1088" s="12">
        <f t="shared" si="286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87"/>
        <v>0</v>
      </c>
      <c r="T1088" s="10"/>
      <c r="U1088" s="10"/>
      <c r="V1088" s="10"/>
      <c r="W1088" s="12">
        <f t="shared" si="288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289"/>
        <v>0</v>
      </c>
      <c r="AF1088" s="10"/>
      <c r="AG1088" s="10"/>
      <c r="AH1088" s="10"/>
      <c r="AI1088" s="12">
        <f t="shared" si="290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90"/>
      <c r="D1089" s="32"/>
      <c r="E1089" s="32"/>
      <c r="F1089" s="32"/>
      <c r="G1089" s="32">
        <f t="shared" si="285"/>
        <v>0</v>
      </c>
      <c r="H1089" s="10"/>
      <c r="I1089" s="10"/>
      <c r="J1089" s="10"/>
      <c r="K1089" s="12">
        <f t="shared" si="286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87"/>
        <v>0</v>
      </c>
      <c r="T1089" s="10"/>
      <c r="U1089" s="10"/>
      <c r="V1089" s="10"/>
      <c r="W1089" s="12">
        <f t="shared" si="288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289"/>
        <v>0</v>
      </c>
      <c r="AF1089" s="10"/>
      <c r="AG1089" s="10"/>
      <c r="AH1089" s="10"/>
      <c r="AI1089" s="12">
        <f t="shared" si="290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90"/>
      <c r="D1090" s="32"/>
      <c r="E1090" s="32"/>
      <c r="F1090" s="32"/>
      <c r="G1090" s="32">
        <f t="shared" si="285"/>
        <v>0</v>
      </c>
      <c r="H1090" s="10"/>
      <c r="I1090" s="10"/>
      <c r="J1090" s="10"/>
      <c r="K1090" s="12">
        <f t="shared" si="286"/>
        <v>0</v>
      </c>
      <c r="M1090" s="10">
        <v>34</v>
      </c>
      <c r="N1090" s="30"/>
      <c r="P1090" s="47"/>
      <c r="Q1090" s="31"/>
      <c r="R1090" s="31"/>
      <c r="S1090" s="32">
        <f t="shared" ref="S1090:S1095" si="294">SUM(P1090:Q1090)</f>
        <v>0</v>
      </c>
      <c r="T1090" s="10"/>
      <c r="U1090" s="10"/>
      <c r="V1090" s="10"/>
      <c r="W1090" s="12">
        <f t="shared" si="288"/>
        <v>0</v>
      </c>
      <c r="Y1090" s="10">
        <v>34</v>
      </c>
      <c r="Z1090" s="30"/>
      <c r="AB1090" s="47"/>
      <c r="AC1090" s="31"/>
      <c r="AD1090" s="31"/>
      <c r="AE1090" s="32">
        <f t="shared" si="289"/>
        <v>0</v>
      </c>
      <c r="AF1090" s="10"/>
      <c r="AG1090" s="10"/>
      <c r="AH1090" s="10"/>
      <c r="AI1090" s="12">
        <f t="shared" si="290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3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4"/>
        <v>0</v>
      </c>
      <c r="T1091" s="10"/>
      <c r="U1091" s="10"/>
      <c r="V1091" s="10"/>
      <c r="W1091" s="12">
        <f t="shared" si="288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289"/>
        <v>0</v>
      </c>
      <c r="AF1091" s="10"/>
      <c r="AG1091" s="10"/>
      <c r="AH1091" s="10"/>
      <c r="AI1091" s="12">
        <f t="shared" si="290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3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4"/>
        <v>0</v>
      </c>
      <c r="T1092" s="10"/>
      <c r="U1092" s="10"/>
      <c r="V1092" s="10"/>
      <c r="W1092" s="12">
        <f t="shared" si="288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289"/>
        <v>0</v>
      </c>
      <c r="AF1092" s="10"/>
      <c r="AG1092" s="10"/>
      <c r="AH1092" s="10"/>
      <c r="AI1092" s="12">
        <f t="shared" si="290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4"/>
        <v>0</v>
      </c>
      <c r="T1093" s="10"/>
      <c r="U1093" s="10"/>
      <c r="V1093" s="10"/>
      <c r="W1093" s="12">
        <f t="shared" si="288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289"/>
        <v>0</v>
      </c>
      <c r="AF1093" s="10"/>
      <c r="AG1093" s="10"/>
      <c r="AH1093" s="10"/>
      <c r="AI1093" s="12">
        <f t="shared" si="290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4"/>
        <v>0</v>
      </c>
      <c r="T1094" s="10"/>
      <c r="U1094" s="10"/>
      <c r="V1094" s="10"/>
      <c r="W1094" s="12">
        <f t="shared" si="288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289"/>
        <v>0</v>
      </c>
      <c r="AF1094" s="10"/>
      <c r="AG1094" s="10"/>
      <c r="AH1094" s="10"/>
      <c r="AI1094" s="12">
        <f t="shared" si="290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4"/>
        <v>0</v>
      </c>
      <c r="T1095" s="10"/>
      <c r="U1095" s="10"/>
      <c r="V1095" s="10"/>
      <c r="W1095" s="12">
        <f t="shared" si="288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289"/>
        <v>0</v>
      </c>
      <c r="AF1095" s="10"/>
      <c r="AG1095" s="10"/>
      <c r="AH1095" s="10"/>
      <c r="AI1095" s="12">
        <f t="shared" si="290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88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90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95">SUM(D1097:E1097)</f>
        <v>0</v>
      </c>
      <c r="H1097" s="10"/>
      <c r="I1097" s="10"/>
      <c r="J1097" s="10"/>
      <c r="K1097" s="12">
        <f t="shared" ref="K1097" si="296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97">SUM(P1097:Q1097)</f>
        <v>0</v>
      </c>
      <c r="T1097" s="10"/>
      <c r="U1097" s="10"/>
      <c r="V1097" s="10"/>
      <c r="W1097" s="12">
        <f t="shared" si="288"/>
        <v>0</v>
      </c>
      <c r="Y1097" s="10"/>
      <c r="Z1097" s="30"/>
      <c r="AA1097" s="31"/>
      <c r="AB1097" s="47"/>
      <c r="AC1097" s="31"/>
      <c r="AD1097" s="31"/>
      <c r="AE1097" s="32">
        <f t="shared" ref="AE1097" si="298">SUM(AB1097:AC1097)</f>
        <v>0</v>
      </c>
      <c r="AF1097" s="10"/>
      <c r="AG1097" s="10"/>
      <c r="AH1097" s="10"/>
      <c r="AI1097" s="12">
        <f t="shared" si="290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88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90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100282</v>
      </c>
      <c r="E1100" s="38">
        <f t="shared" ref="E1100:F1100" si="299">SUM(E1057:E1097)</f>
        <v>0</v>
      </c>
      <c r="F1100" s="38">
        <f t="shared" si="299"/>
        <v>0</v>
      </c>
      <c r="G1100" s="38">
        <f>SUM(G1057:G1099)</f>
        <v>100282</v>
      </c>
      <c r="H1100" s="4"/>
      <c r="I1100" s="39">
        <f>SUM(I1057:I1099)</f>
        <v>36</v>
      </c>
      <c r="J1100" s="39">
        <f>SUM(J1057:J1099)</f>
        <v>0</v>
      </c>
      <c r="K1100" s="40">
        <f>SUM(K1057:K1099)</f>
        <v>100318</v>
      </c>
      <c r="N1100" s="57"/>
      <c r="O1100" s="57"/>
      <c r="P1100" s="38">
        <f>SUM(P1057:P1099)</f>
        <v>147030</v>
      </c>
      <c r="Q1100" s="38">
        <f>SUM(Q1057:Q1081)</f>
        <v>-1854</v>
      </c>
      <c r="R1100" s="38">
        <f>SUM(R1057:R1081)</f>
        <v>0</v>
      </c>
      <c r="S1100" s="38">
        <f>SUM(S1057:S1099)</f>
        <v>145176</v>
      </c>
      <c r="T1100" s="4"/>
      <c r="U1100" s="41">
        <f>SUM(U1057:U1099)</f>
        <v>1039.5</v>
      </c>
      <c r="V1100" s="41">
        <f>SUM(V1057:V1081)</f>
        <v>-252</v>
      </c>
      <c r="W1100" s="42">
        <f>SUM(W1057:W1099)</f>
        <v>145963.5</v>
      </c>
      <c r="Z1100" s="57"/>
      <c r="AA1100" s="57"/>
      <c r="AB1100" s="38">
        <f>SUM(AB1057:AB1099)</f>
        <v>232694</v>
      </c>
      <c r="AC1100" s="38">
        <f>SUM(AC1057:AC1081)</f>
        <v>-1896</v>
      </c>
      <c r="AD1100" s="38">
        <f>SUM(AD1057:AD1081)</f>
        <v>0</v>
      </c>
      <c r="AE1100" s="38">
        <f>SUM(AE1057:AE1099)</f>
        <v>230798</v>
      </c>
      <c r="AF1100" s="4"/>
      <c r="AG1100" s="41">
        <f>SUM(AG1057:AG1099)</f>
        <v>0</v>
      </c>
      <c r="AH1100" s="41">
        <f>SUM(AH1057:AH1081)</f>
        <v>-1776</v>
      </c>
      <c r="AI1100" s="42">
        <f>SUM(AI1057:AI1099)</f>
        <v>229022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47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47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47</v>
      </c>
      <c r="Z1107" s="57"/>
      <c r="AA1107" s="57"/>
      <c r="AB1107" s="57"/>
      <c r="AC1107" s="57"/>
      <c r="AD1107" s="57"/>
      <c r="AE1107" s="57"/>
      <c r="AG1107" s="57" t="s">
        <v>15</v>
      </c>
      <c r="AH1107" s="19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98</v>
      </c>
      <c r="B1108" s="20"/>
      <c r="C1108" s="57"/>
      <c r="D1108" s="57"/>
      <c r="E1108" s="57"/>
      <c r="G1108" s="57"/>
      <c r="I1108" s="22" t="s">
        <v>16</v>
      </c>
      <c r="J1108" s="23" t="s">
        <v>33</v>
      </c>
      <c r="K1108" s="24"/>
      <c r="M1108" s="21" t="s">
        <v>98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42</v>
      </c>
      <c r="W1108" s="24"/>
      <c r="Y1108" s="21" t="s">
        <v>98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31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3" t="s">
        <v>17</v>
      </c>
      <c r="E1110" s="123"/>
      <c r="F1110" s="111"/>
      <c r="G1110" s="27"/>
      <c r="I1110" s="121" t="s">
        <v>18</v>
      </c>
      <c r="J1110" s="122"/>
      <c r="K1110" s="119" t="s">
        <v>19</v>
      </c>
      <c r="N1110" s="25"/>
      <c r="O1110" s="26"/>
      <c r="P1110" s="123" t="s">
        <v>17</v>
      </c>
      <c r="Q1110" s="123"/>
      <c r="R1110" s="111"/>
      <c r="S1110" s="27"/>
      <c r="U1110" s="121" t="s">
        <v>18</v>
      </c>
      <c r="V1110" s="122"/>
      <c r="W1110" s="119" t="s">
        <v>19</v>
      </c>
      <c r="Z1110" s="25"/>
      <c r="AA1110" s="26"/>
      <c r="AB1110" s="123" t="s">
        <v>17</v>
      </c>
      <c r="AC1110" s="123"/>
      <c r="AD1110" s="111"/>
      <c r="AE1110" s="27"/>
      <c r="AG1110" s="121" t="s">
        <v>18</v>
      </c>
      <c r="AH1110" s="122"/>
      <c r="AI1110" s="119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9" t="s">
        <v>22</v>
      </c>
      <c r="E1111" s="78" t="s">
        <v>23</v>
      </c>
      <c r="F1111" s="80" t="s">
        <v>32</v>
      </c>
      <c r="G1111" s="80" t="s">
        <v>24</v>
      </c>
      <c r="I1111" s="29" t="s">
        <v>25</v>
      </c>
      <c r="J1111" s="29" t="s">
        <v>26</v>
      </c>
      <c r="K1111" s="120"/>
      <c r="N1111" s="28" t="s">
        <v>20</v>
      </c>
      <c r="O1111" s="28" t="s">
        <v>21</v>
      </c>
      <c r="P1111" s="79" t="s">
        <v>22</v>
      </c>
      <c r="Q1111" s="80" t="s">
        <v>23</v>
      </c>
      <c r="R1111" s="80" t="s">
        <v>32</v>
      </c>
      <c r="S1111" s="80" t="s">
        <v>24</v>
      </c>
      <c r="U1111" s="29" t="s">
        <v>25</v>
      </c>
      <c r="V1111" s="29" t="s">
        <v>26</v>
      </c>
      <c r="W1111" s="120"/>
      <c r="Z1111" s="28" t="s">
        <v>20</v>
      </c>
      <c r="AA1111" s="28" t="s">
        <v>21</v>
      </c>
      <c r="AB1111" s="79" t="s">
        <v>22</v>
      </c>
      <c r="AC1111" s="80" t="s">
        <v>23</v>
      </c>
      <c r="AD1111" s="80" t="s">
        <v>32</v>
      </c>
      <c r="AE1111" s="80" t="s">
        <v>24</v>
      </c>
      <c r="AG1111" s="29" t="s">
        <v>25</v>
      </c>
      <c r="AH1111" s="29" t="s">
        <v>26</v>
      </c>
      <c r="AI1111" s="120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99</v>
      </c>
      <c r="C1112" s="90">
        <v>7501</v>
      </c>
      <c r="D1112" s="32">
        <f>375600+12280+4565+59600+17040+8320+24960+2500+2500+1447</f>
        <v>508812</v>
      </c>
      <c r="E1112" s="32"/>
      <c r="F1112" s="32"/>
      <c r="G1112" s="32">
        <f t="shared" ref="G1112:G1145" si="300">SUM(D1112:E1112)</f>
        <v>508812</v>
      </c>
      <c r="H1112" s="12"/>
      <c r="I1112" s="12"/>
      <c r="J1112" s="12"/>
      <c r="K1112" s="12">
        <f t="shared" ref="K1112:K1145" si="301">SUM(G1112:J1112)</f>
        <v>508812</v>
      </c>
      <c r="M1112" s="10">
        <v>1</v>
      </c>
      <c r="N1112" s="30" t="s">
        <v>99</v>
      </c>
      <c r="O1112" s="31">
        <v>7426</v>
      </c>
      <c r="P1112" s="32">
        <f>135216+64368+1102+2977+650</f>
        <v>204313</v>
      </c>
      <c r="Q1112" s="32">
        <v>-3033</v>
      </c>
      <c r="R1112" s="32"/>
      <c r="S1112" s="32">
        <f>SUM(P1112:Q1112)</f>
        <v>201280</v>
      </c>
      <c r="T1112" s="12"/>
      <c r="U1112" s="12">
        <v>780</v>
      </c>
      <c r="V1112" s="12">
        <v>-252</v>
      </c>
      <c r="W1112" s="12">
        <f>SUM(S1112:V1112)</f>
        <v>201808</v>
      </c>
      <c r="Y1112" s="10">
        <v>1</v>
      </c>
      <c r="Z1112" s="30" t="s">
        <v>99</v>
      </c>
      <c r="AA1112" s="31">
        <v>7331</v>
      </c>
      <c r="AB1112" s="32">
        <f>67608+11920+1145+1950</f>
        <v>82623</v>
      </c>
      <c r="AC1112" s="32"/>
      <c r="AD1112" s="32"/>
      <c r="AE1112" s="32">
        <f>SUM(AB1112:AC1112)</f>
        <v>82623</v>
      </c>
      <c r="AF1112" s="12"/>
      <c r="AG1112" s="12">
        <v>3219</v>
      </c>
      <c r="AH1112" s="12"/>
      <c r="AI1112" s="12">
        <f>SUM(AE1112:AH1112)</f>
        <v>85842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99</v>
      </c>
      <c r="C1113" s="90">
        <f>C1112+1</f>
        <v>7502</v>
      </c>
      <c r="D1113" s="32">
        <f>1447+832+11750+1667*2+1582+2204+1102+5510+3250+1300</f>
        <v>32311</v>
      </c>
      <c r="E1113" s="32"/>
      <c r="F1113" s="32"/>
      <c r="G1113" s="32">
        <f t="shared" si="300"/>
        <v>32311</v>
      </c>
      <c r="H1113" s="12"/>
      <c r="I1113" s="12"/>
      <c r="J1113" s="12"/>
      <c r="K1113" s="12">
        <f t="shared" si="301"/>
        <v>32311</v>
      </c>
      <c r="M1113" s="10">
        <v>2</v>
      </c>
      <c r="N1113" s="30"/>
      <c r="O1113" s="11" t="s">
        <v>27</v>
      </c>
      <c r="P1113" s="32"/>
      <c r="Q1113" s="32"/>
      <c r="R1113" s="32"/>
      <c r="S1113" s="32">
        <f t="shared" ref="S1113:S1150" si="302">SUM(P1113:Q1113)</f>
        <v>0</v>
      </c>
      <c r="T1113" s="12"/>
      <c r="U1113" s="12"/>
      <c r="V1113" s="12"/>
      <c r="W1113" s="12">
        <f t="shared" ref="W1113:W1153" si="303">SUM(S1113:V1113)</f>
        <v>0</v>
      </c>
      <c r="Y1113" s="10">
        <v>2</v>
      </c>
      <c r="Z1113" s="30" t="s">
        <v>99</v>
      </c>
      <c r="AA1113" s="31">
        <f>AA1112+1</f>
        <v>7332</v>
      </c>
      <c r="AB1113" s="32">
        <f>35682+1788+458</f>
        <v>37928</v>
      </c>
      <c r="AC1113" s="32"/>
      <c r="AD1113" s="32"/>
      <c r="AE1113" s="32">
        <f t="shared" ref="AE1113:AE1150" si="304">SUM(AB1113:AC1113)</f>
        <v>37928</v>
      </c>
      <c r="AF1113" s="12"/>
      <c r="AG1113" s="12">
        <v>72</v>
      </c>
      <c r="AH1113" s="12"/>
      <c r="AI1113" s="12">
        <f t="shared" ref="AI1113:AI1153" si="305">SUM(AE1113:AH1113)</f>
        <v>38000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99</v>
      </c>
      <c r="C1114" s="90">
        <f t="shared" ref="C1114" si="306">C1113+1</f>
        <v>7503</v>
      </c>
      <c r="D1114" s="33">
        <f>6500</f>
        <v>6500</v>
      </c>
      <c r="E1114" s="33"/>
      <c r="F1114" s="33"/>
      <c r="G1114" s="33">
        <f t="shared" si="300"/>
        <v>6500</v>
      </c>
      <c r="H1114" s="34"/>
      <c r="I1114" s="34">
        <f>77700+2220+9360+541123</f>
        <v>630403</v>
      </c>
      <c r="J1114" s="34">
        <f>-240+-3663+-6552+-19992+-1428</f>
        <v>-31875</v>
      </c>
      <c r="K1114" s="34">
        <f t="shared" si="301"/>
        <v>605028</v>
      </c>
      <c r="M1114" s="10">
        <v>3</v>
      </c>
      <c r="N1114" s="30"/>
      <c r="O1114" s="31"/>
      <c r="P1114" s="32"/>
      <c r="Q1114" s="32"/>
      <c r="R1114" s="32"/>
      <c r="S1114" s="32">
        <f t="shared" si="302"/>
        <v>0</v>
      </c>
      <c r="T1114" s="12"/>
      <c r="U1114" s="12"/>
      <c r="V1114" s="12"/>
      <c r="W1114" s="12">
        <f t="shared" si="303"/>
        <v>0</v>
      </c>
      <c r="Y1114" s="10">
        <v>3</v>
      </c>
      <c r="Z1114" s="30" t="s">
        <v>99</v>
      </c>
      <c r="AA1114" s="31">
        <f t="shared" ref="AA1114:AA1117" si="307">AA1113+1</f>
        <v>7333</v>
      </c>
      <c r="AB1114" s="33">
        <f>18780+832+229</f>
        <v>19841</v>
      </c>
      <c r="AC1114" s="33"/>
      <c r="AD1114" s="32"/>
      <c r="AE1114" s="32">
        <f t="shared" si="304"/>
        <v>19841</v>
      </c>
      <c r="AF1114" s="12"/>
      <c r="AG1114" s="12">
        <v>94.5</v>
      </c>
      <c r="AH1114" s="12"/>
      <c r="AI1114" s="12">
        <f t="shared" si="305"/>
        <v>19935.5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/>
      <c r="C1115" s="11" t="s">
        <v>27</v>
      </c>
      <c r="D1115" s="32"/>
      <c r="E1115" s="32"/>
      <c r="F1115" s="32"/>
      <c r="G1115" s="32">
        <f t="shared" si="300"/>
        <v>0</v>
      </c>
      <c r="H1115" s="12"/>
      <c r="I1115" s="12"/>
      <c r="J1115" s="12"/>
      <c r="K1115" s="12">
        <f t="shared" si="301"/>
        <v>0</v>
      </c>
      <c r="M1115" s="10">
        <v>4</v>
      </c>
      <c r="N1115" s="30"/>
      <c r="O1115" s="31"/>
      <c r="P1115" s="32"/>
      <c r="Q1115" s="32"/>
      <c r="R1115" s="32"/>
      <c r="S1115" s="32">
        <f t="shared" si="302"/>
        <v>0</v>
      </c>
      <c r="T1115" s="12"/>
      <c r="U1115" s="12"/>
      <c r="V1115" s="12"/>
      <c r="W1115" s="12">
        <f t="shared" si="303"/>
        <v>0</v>
      </c>
      <c r="Y1115" s="10">
        <v>4</v>
      </c>
      <c r="Z1115" s="30" t="s">
        <v>99</v>
      </c>
      <c r="AA1115" s="31">
        <f t="shared" si="307"/>
        <v>7334</v>
      </c>
      <c r="AB1115" s="32">
        <f>62600+3070+23840+1374</f>
        <v>90884</v>
      </c>
      <c r="AC1115" s="32">
        <v>-906</v>
      </c>
      <c r="AD1115" s="32"/>
      <c r="AE1115" s="32">
        <f t="shared" si="304"/>
        <v>89978</v>
      </c>
      <c r="AF1115" s="12"/>
      <c r="AH1115" s="12"/>
      <c r="AI1115" s="12">
        <f t="shared" si="305"/>
        <v>89978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/>
      <c r="C1116" s="90"/>
      <c r="D1116" s="32"/>
      <c r="E1116" s="32"/>
      <c r="F1116" s="32"/>
      <c r="G1116" s="32">
        <f t="shared" si="300"/>
        <v>0</v>
      </c>
      <c r="H1116" s="12"/>
      <c r="I1116" s="12"/>
      <c r="J1116" s="12"/>
      <c r="K1116" s="12">
        <f t="shared" si="301"/>
        <v>0</v>
      </c>
      <c r="M1116" s="10">
        <v>5</v>
      </c>
      <c r="N1116" s="30"/>
      <c r="O1116" s="31"/>
      <c r="P1116" s="32"/>
      <c r="Q1116" s="32"/>
      <c r="R1116" s="32"/>
      <c r="S1116" s="32">
        <f t="shared" si="302"/>
        <v>0</v>
      </c>
      <c r="T1116" s="12"/>
      <c r="U1116" s="12"/>
      <c r="V1116" s="12"/>
      <c r="W1116" s="12">
        <f t="shared" si="303"/>
        <v>0</v>
      </c>
      <c r="Y1116" s="10">
        <v>5</v>
      </c>
      <c r="Z1116" s="30" t="s">
        <v>99</v>
      </c>
      <c r="AA1116" s="31">
        <f t="shared" si="307"/>
        <v>7335</v>
      </c>
      <c r="AB1116" s="32">
        <f>16276+1228+1788+229</f>
        <v>19521</v>
      </c>
      <c r="AC1116" s="32"/>
      <c r="AD1116" s="32"/>
      <c r="AE1116" s="32">
        <f t="shared" si="304"/>
        <v>19521</v>
      </c>
      <c r="AF1116" s="12"/>
      <c r="AG1116" s="12"/>
      <c r="AH1116" s="12"/>
      <c r="AI1116" s="12">
        <f t="shared" si="305"/>
        <v>19521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90"/>
      <c r="D1117" s="32"/>
      <c r="E1117" s="32"/>
      <c r="F1117" s="32"/>
      <c r="G1117" s="32">
        <f t="shared" si="300"/>
        <v>0</v>
      </c>
      <c r="H1117" s="12"/>
      <c r="I1117" s="12"/>
      <c r="J1117" s="12"/>
      <c r="K1117" s="12">
        <f t="shared" si="301"/>
        <v>0</v>
      </c>
      <c r="M1117" s="10">
        <v>6</v>
      </c>
      <c r="N1117" s="30"/>
      <c r="O1117" s="31"/>
      <c r="P1117" s="32"/>
      <c r="Q1117" s="32"/>
      <c r="R1117" s="32"/>
      <c r="S1117" s="32">
        <f t="shared" si="302"/>
        <v>0</v>
      </c>
      <c r="T1117" s="12"/>
      <c r="U1117" s="12"/>
      <c r="V1117" s="10"/>
      <c r="W1117" s="12">
        <f t="shared" si="303"/>
        <v>0</v>
      </c>
      <c r="Y1117" s="10">
        <v>6</v>
      </c>
      <c r="Z1117" s="30" t="s">
        <v>99</v>
      </c>
      <c r="AA1117" s="31">
        <f t="shared" si="307"/>
        <v>7336</v>
      </c>
      <c r="AB1117" s="32">
        <f>2504</f>
        <v>2504</v>
      </c>
      <c r="AC1117" s="32"/>
      <c r="AD1117" s="32"/>
      <c r="AE1117" s="32">
        <f t="shared" si="304"/>
        <v>2504</v>
      </c>
      <c r="AF1117" s="12"/>
      <c r="AG1117" s="12"/>
      <c r="AH1117" s="10">
        <v>-1110</v>
      </c>
      <c r="AI1117" s="12">
        <f t="shared" si="305"/>
        <v>1394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90"/>
      <c r="D1118" s="32"/>
      <c r="E1118" s="32"/>
      <c r="F1118" s="32"/>
      <c r="G1118" s="32">
        <f t="shared" si="300"/>
        <v>0</v>
      </c>
      <c r="H1118" s="12"/>
      <c r="I1118" s="12"/>
      <c r="J1118" s="12"/>
      <c r="K1118" s="12">
        <f t="shared" si="301"/>
        <v>0</v>
      </c>
      <c r="M1118" s="10">
        <v>7</v>
      </c>
      <c r="N1118" s="30"/>
      <c r="O1118" s="31"/>
      <c r="P1118" s="32"/>
      <c r="Q1118" s="32"/>
      <c r="R1118" s="32"/>
      <c r="S1118" s="32">
        <f t="shared" si="302"/>
        <v>0</v>
      </c>
      <c r="T1118" s="12"/>
      <c r="U1118" s="12"/>
      <c r="V1118" s="12"/>
      <c r="W1118" s="12">
        <f t="shared" si="303"/>
        <v>0</v>
      </c>
      <c r="Y1118" s="10">
        <v>7</v>
      </c>
      <c r="Z1118" s="30"/>
      <c r="AA1118" s="11" t="s">
        <v>27</v>
      </c>
      <c r="AB1118" s="32"/>
      <c r="AC1118" s="32"/>
      <c r="AD1118" s="32"/>
      <c r="AE1118" s="32">
        <f t="shared" si="304"/>
        <v>0</v>
      </c>
      <c r="AF1118" s="12"/>
      <c r="AG1118" s="58"/>
      <c r="AH1118" s="12"/>
      <c r="AI1118" s="12">
        <f t="shared" si="305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90"/>
      <c r="D1119" s="32"/>
      <c r="E1119" s="32"/>
      <c r="F1119" s="32"/>
      <c r="G1119" s="32">
        <f t="shared" si="300"/>
        <v>0</v>
      </c>
      <c r="H1119" s="12"/>
      <c r="I1119" s="12"/>
      <c r="J1119" s="12"/>
      <c r="K1119" s="12">
        <f t="shared" si="301"/>
        <v>0</v>
      </c>
      <c r="M1119" s="10">
        <v>8</v>
      </c>
      <c r="N1119" s="30"/>
      <c r="O1119" s="31"/>
      <c r="P1119" s="32"/>
      <c r="Q1119" s="32"/>
      <c r="R1119" s="32"/>
      <c r="S1119" s="32">
        <f t="shared" si="302"/>
        <v>0</v>
      </c>
      <c r="T1119" s="12"/>
      <c r="U1119" s="12"/>
      <c r="V1119" s="12"/>
      <c r="W1119" s="12">
        <f t="shared" si="303"/>
        <v>0</v>
      </c>
      <c r="Y1119" s="10">
        <v>8</v>
      </c>
      <c r="Z1119" s="30"/>
      <c r="AA1119" s="31"/>
      <c r="AB1119" s="32"/>
      <c r="AC1119" s="32"/>
      <c r="AE1119" s="32">
        <f t="shared" si="304"/>
        <v>0</v>
      </c>
      <c r="AF1119" s="12"/>
      <c r="AG1119" s="12"/>
      <c r="AH1119" s="12"/>
      <c r="AI1119" s="12">
        <f t="shared" si="305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C1120" s="90"/>
      <c r="D1120" s="32"/>
      <c r="E1120" s="32"/>
      <c r="F1120" s="32"/>
      <c r="G1120" s="32">
        <f t="shared" si="300"/>
        <v>0</v>
      </c>
      <c r="H1120" s="12"/>
      <c r="I1120" s="12"/>
      <c r="J1120" s="12"/>
      <c r="K1120" s="12">
        <f t="shared" si="301"/>
        <v>0</v>
      </c>
      <c r="M1120" s="10">
        <v>9</v>
      </c>
      <c r="N1120" s="30"/>
      <c r="O1120" s="31"/>
      <c r="P1120" s="32"/>
      <c r="Q1120" s="32"/>
      <c r="R1120" s="32"/>
      <c r="S1120" s="32">
        <f t="shared" si="302"/>
        <v>0</v>
      </c>
      <c r="T1120" s="12"/>
      <c r="U1120" s="12"/>
      <c r="V1120" s="12"/>
      <c r="W1120" s="12">
        <f t="shared" si="303"/>
        <v>0</v>
      </c>
      <c r="Y1120" s="10">
        <v>9</v>
      </c>
      <c r="Z1120" s="30"/>
      <c r="AA1120" s="31"/>
      <c r="AB1120" s="32"/>
      <c r="AC1120" s="32"/>
      <c r="AD1120" s="32"/>
      <c r="AE1120" s="32">
        <f t="shared" si="304"/>
        <v>0</v>
      </c>
      <c r="AF1120" s="12"/>
      <c r="AG1120" s="58"/>
      <c r="AH1120" s="12"/>
      <c r="AI1120" s="12">
        <f t="shared" si="305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90"/>
      <c r="D1121" s="32"/>
      <c r="E1121" s="32"/>
      <c r="F1121" s="32"/>
      <c r="G1121" s="32">
        <f t="shared" si="300"/>
        <v>0</v>
      </c>
      <c r="H1121" s="12"/>
      <c r="I1121" s="12"/>
      <c r="J1121" s="12"/>
      <c r="K1121" s="12">
        <f t="shared" si="301"/>
        <v>0</v>
      </c>
      <c r="M1121" s="10">
        <v>10</v>
      </c>
      <c r="N1121" s="30"/>
      <c r="O1121" s="31"/>
      <c r="P1121" s="32"/>
      <c r="Q1121" s="32"/>
      <c r="R1121" s="32"/>
      <c r="S1121" s="32">
        <f t="shared" si="302"/>
        <v>0</v>
      </c>
      <c r="T1121" s="12"/>
      <c r="U1121" s="12"/>
      <c r="V1121" s="12"/>
      <c r="W1121" s="12">
        <f t="shared" si="303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04"/>
        <v>0</v>
      </c>
      <c r="AF1121" s="12"/>
      <c r="AG1121" s="12"/>
      <c r="AH1121" s="12"/>
      <c r="AI1121" s="12">
        <f t="shared" si="305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90"/>
      <c r="D1122" s="32"/>
      <c r="E1122" s="32"/>
      <c r="F1122" s="32"/>
      <c r="G1122" s="32">
        <f t="shared" si="300"/>
        <v>0</v>
      </c>
      <c r="H1122" s="12"/>
      <c r="I1122" s="12"/>
      <c r="J1122" s="12"/>
      <c r="K1122" s="12">
        <f t="shared" si="301"/>
        <v>0</v>
      </c>
      <c r="M1122" s="10">
        <v>11</v>
      </c>
      <c r="N1122" s="30"/>
      <c r="P1122" s="32"/>
      <c r="Q1122" s="32"/>
      <c r="R1122" s="32"/>
      <c r="S1122" s="32">
        <f t="shared" si="302"/>
        <v>0</v>
      </c>
      <c r="T1122" s="12"/>
      <c r="U1122" s="12"/>
      <c r="V1122" s="12"/>
      <c r="W1122" s="12">
        <f t="shared" si="303"/>
        <v>0</v>
      </c>
      <c r="Y1122" s="10">
        <v>11</v>
      </c>
      <c r="Z1122" s="30"/>
      <c r="AB1122" s="32"/>
      <c r="AC1122" s="32"/>
      <c r="AD1122" s="32"/>
      <c r="AE1122" s="32">
        <f t="shared" si="304"/>
        <v>0</v>
      </c>
      <c r="AF1122" s="12"/>
      <c r="AG1122" s="12"/>
      <c r="AH1122" s="12"/>
      <c r="AI1122" s="12">
        <f t="shared" si="305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90"/>
      <c r="D1123" s="32"/>
      <c r="E1123" s="32"/>
      <c r="F1123" s="32"/>
      <c r="G1123" s="32">
        <f t="shared" si="300"/>
        <v>0</v>
      </c>
      <c r="H1123" s="12"/>
      <c r="I1123" s="12"/>
      <c r="J1123" s="10"/>
      <c r="K1123" s="12">
        <f t="shared" si="301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02"/>
        <v>0</v>
      </c>
      <c r="T1123" s="12"/>
      <c r="U1123" s="12"/>
      <c r="V1123" s="12"/>
      <c r="W1123" s="12">
        <f t="shared" si="303"/>
        <v>0</v>
      </c>
      <c r="Y1123" s="10">
        <v>12</v>
      </c>
      <c r="Z1123" s="30"/>
      <c r="AA1123" s="31"/>
      <c r="AB1123" s="32"/>
      <c r="AC1123" s="32"/>
      <c r="AD1123" s="32"/>
      <c r="AE1123" s="32">
        <f t="shared" si="304"/>
        <v>0</v>
      </c>
      <c r="AF1123" s="12"/>
      <c r="AG1123" s="12"/>
      <c r="AH1123" s="12"/>
      <c r="AI1123" s="12">
        <f t="shared" si="305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90"/>
      <c r="D1124" s="32"/>
      <c r="E1124" s="32"/>
      <c r="F1124" s="32"/>
      <c r="G1124" s="32">
        <f t="shared" si="300"/>
        <v>0</v>
      </c>
      <c r="H1124" s="12"/>
      <c r="I1124" s="12"/>
      <c r="J1124" s="12"/>
      <c r="K1124" s="12">
        <f t="shared" si="301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02"/>
        <v>0</v>
      </c>
      <c r="T1124" s="12"/>
      <c r="U1124" s="12"/>
      <c r="V1124" s="12"/>
      <c r="W1124" s="12">
        <f t="shared" si="303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04"/>
        <v>0</v>
      </c>
      <c r="AF1124" s="12"/>
      <c r="AG1124" s="12"/>
      <c r="AH1124" s="12"/>
      <c r="AI1124" s="12">
        <f t="shared" si="305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90"/>
      <c r="D1125" s="32"/>
      <c r="E1125" s="32"/>
      <c r="F1125" s="32"/>
      <c r="G1125" s="32">
        <f t="shared" si="300"/>
        <v>0</v>
      </c>
      <c r="H1125" s="12"/>
      <c r="I1125" s="12"/>
      <c r="J1125" s="12"/>
      <c r="K1125" s="12">
        <f t="shared" si="301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02"/>
        <v>0</v>
      </c>
      <c r="T1125" s="12"/>
      <c r="U1125" s="12"/>
      <c r="V1125" s="12"/>
      <c r="W1125" s="12">
        <f t="shared" si="303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04"/>
        <v>0</v>
      </c>
      <c r="AF1125" s="12"/>
      <c r="AG1125" s="12"/>
      <c r="AH1125" s="12"/>
      <c r="AI1125" s="12">
        <f t="shared" si="305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90"/>
      <c r="D1126" s="32"/>
      <c r="E1126" s="32"/>
      <c r="F1126" s="32"/>
      <c r="G1126" s="32">
        <f t="shared" si="300"/>
        <v>0</v>
      </c>
      <c r="H1126" s="12"/>
      <c r="I1126" s="12"/>
      <c r="J1126" s="12"/>
      <c r="K1126" s="12">
        <f t="shared" si="301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02"/>
        <v>0</v>
      </c>
      <c r="T1126" s="12"/>
      <c r="U1126" s="12"/>
      <c r="V1126" s="12"/>
      <c r="W1126" s="12">
        <f t="shared" si="303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04"/>
        <v>0</v>
      </c>
      <c r="AF1126" s="12"/>
      <c r="AG1126" s="12"/>
      <c r="AH1126" s="12"/>
      <c r="AI1126" s="12">
        <f t="shared" si="305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D1127" s="32"/>
      <c r="E1127" s="32"/>
      <c r="F1127" s="32"/>
      <c r="G1127" s="32">
        <f t="shared" si="300"/>
        <v>0</v>
      </c>
      <c r="H1127" s="12"/>
      <c r="I1127" s="12"/>
      <c r="J1127" s="12"/>
      <c r="K1127" s="12">
        <f t="shared" si="301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02"/>
        <v>0</v>
      </c>
      <c r="T1127" s="12"/>
      <c r="U1127" s="12"/>
      <c r="V1127" s="12"/>
      <c r="W1127" s="12">
        <f t="shared" si="303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04"/>
        <v>0</v>
      </c>
      <c r="AF1127" s="12"/>
      <c r="AG1127" s="12"/>
      <c r="AH1127" s="12"/>
      <c r="AI1127" s="12">
        <f t="shared" si="305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90"/>
      <c r="D1128" s="32"/>
      <c r="E1128" s="32"/>
      <c r="F1128" s="32"/>
      <c r="G1128" s="32">
        <f t="shared" si="300"/>
        <v>0</v>
      </c>
      <c r="H1128" s="12"/>
      <c r="I1128" s="12"/>
      <c r="J1128" s="12"/>
      <c r="K1128" s="12">
        <f t="shared" si="301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02"/>
        <v>0</v>
      </c>
      <c r="T1128" s="12"/>
      <c r="U1128" s="12"/>
      <c r="V1128" s="12"/>
      <c r="W1128" s="12">
        <f t="shared" si="303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04"/>
        <v>0</v>
      </c>
      <c r="AF1128" s="12"/>
      <c r="AG1128" s="12"/>
      <c r="AH1128" s="12"/>
      <c r="AI1128" s="12">
        <f t="shared" si="305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90"/>
      <c r="D1129" s="32"/>
      <c r="E1129" s="32"/>
      <c r="F1129" s="32"/>
      <c r="G1129" s="32">
        <f t="shared" si="300"/>
        <v>0</v>
      </c>
      <c r="H1129" s="12"/>
      <c r="I1129" s="12"/>
      <c r="J1129" s="12"/>
      <c r="K1129" s="12">
        <f t="shared" si="301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02"/>
        <v>0</v>
      </c>
      <c r="T1129" s="12"/>
      <c r="U1129" s="12"/>
      <c r="V1129" s="12"/>
      <c r="W1129" s="12">
        <f t="shared" si="303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04"/>
        <v>0</v>
      </c>
      <c r="AF1129" s="12"/>
      <c r="AG1129" s="12"/>
      <c r="AH1129" s="12"/>
      <c r="AI1129" s="12">
        <f t="shared" si="305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90"/>
      <c r="D1130" s="32"/>
      <c r="E1130" s="32"/>
      <c r="F1130" s="32"/>
      <c r="G1130" s="32">
        <f t="shared" si="300"/>
        <v>0</v>
      </c>
      <c r="H1130" s="12"/>
      <c r="I1130" s="12"/>
      <c r="J1130" s="12"/>
      <c r="K1130" s="12">
        <f t="shared" si="301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02"/>
        <v>0</v>
      </c>
      <c r="T1130" s="12"/>
      <c r="U1130" s="12"/>
      <c r="V1130" s="12"/>
      <c r="W1130" s="12">
        <f t="shared" si="303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04"/>
        <v>0</v>
      </c>
      <c r="AF1130" s="12"/>
      <c r="AG1130" s="12"/>
      <c r="AH1130" s="12"/>
      <c r="AI1130" s="12">
        <f t="shared" si="305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90"/>
      <c r="D1131" s="32"/>
      <c r="E1131" s="32"/>
      <c r="F1131" s="32"/>
      <c r="G1131" s="32">
        <f t="shared" si="300"/>
        <v>0</v>
      </c>
      <c r="H1131" s="12"/>
      <c r="I1131" s="12"/>
      <c r="J1131" s="12"/>
      <c r="K1131" s="12">
        <f t="shared" si="301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02"/>
        <v>0</v>
      </c>
      <c r="T1131" s="12"/>
      <c r="U1131" s="12"/>
      <c r="V1131" s="12"/>
      <c r="W1131" s="12">
        <f t="shared" si="303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04"/>
        <v>0</v>
      </c>
      <c r="AF1131" s="12"/>
      <c r="AG1131" s="12"/>
      <c r="AH1131" s="12"/>
      <c r="AI1131" s="12">
        <f t="shared" si="305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57"/>
      <c r="D1132" s="32"/>
      <c r="E1132" s="32"/>
      <c r="F1132" s="32"/>
      <c r="G1132" s="32">
        <f t="shared" si="300"/>
        <v>0</v>
      </c>
      <c r="H1132" s="10"/>
      <c r="I1132" s="10"/>
      <c r="J1132" s="10"/>
      <c r="K1132" s="12">
        <f t="shared" si="301"/>
        <v>0</v>
      </c>
      <c r="M1132" s="10">
        <v>21</v>
      </c>
      <c r="N1132" s="30"/>
      <c r="P1132" s="46"/>
      <c r="Q1132" s="31"/>
      <c r="R1132" s="31"/>
      <c r="S1132" s="32">
        <f t="shared" si="302"/>
        <v>0</v>
      </c>
      <c r="T1132" s="10"/>
      <c r="U1132" s="10"/>
      <c r="V1132" s="10"/>
      <c r="W1132" s="12">
        <f t="shared" si="303"/>
        <v>0</v>
      </c>
      <c r="Y1132" s="10">
        <v>21</v>
      </c>
      <c r="Z1132" s="30"/>
      <c r="AB1132" s="46"/>
      <c r="AC1132" s="31"/>
      <c r="AD1132" s="31"/>
      <c r="AE1132" s="32">
        <f t="shared" si="304"/>
        <v>0</v>
      </c>
      <c r="AF1132" s="10"/>
      <c r="AG1132" s="10"/>
      <c r="AH1132" s="10"/>
      <c r="AI1132" s="12">
        <f t="shared" si="305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90"/>
      <c r="D1133" s="32"/>
      <c r="E1133" s="32"/>
      <c r="F1133" s="32"/>
      <c r="G1133" s="32">
        <f t="shared" si="300"/>
        <v>0</v>
      </c>
      <c r="H1133" s="10"/>
      <c r="I1133" s="10"/>
      <c r="J1133" s="10"/>
      <c r="K1133" s="12">
        <f t="shared" si="301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02"/>
        <v>0</v>
      </c>
      <c r="T1133" s="10"/>
      <c r="U1133" s="10"/>
      <c r="V1133" s="10"/>
      <c r="W1133" s="12">
        <f t="shared" si="303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04"/>
        <v>0</v>
      </c>
      <c r="AF1133" s="10"/>
      <c r="AG1133" s="10"/>
      <c r="AH1133" s="10"/>
      <c r="AI1133" s="12">
        <f t="shared" si="305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57"/>
      <c r="D1134" s="32"/>
      <c r="E1134" s="32"/>
      <c r="F1134" s="32"/>
      <c r="G1134" s="32">
        <f t="shared" si="300"/>
        <v>0</v>
      </c>
      <c r="H1134" s="10"/>
      <c r="I1134" s="10"/>
      <c r="J1134" s="12"/>
      <c r="K1134" s="12">
        <f t="shared" si="301"/>
        <v>0</v>
      </c>
      <c r="M1134" s="10">
        <v>23</v>
      </c>
      <c r="N1134" s="30"/>
      <c r="O1134" s="31"/>
      <c r="P1134" s="47"/>
      <c r="Q1134" s="31"/>
      <c r="S1134" s="32">
        <f t="shared" si="302"/>
        <v>0</v>
      </c>
      <c r="T1134" s="10"/>
      <c r="U1134" s="10"/>
      <c r="V1134" s="10"/>
      <c r="W1134" s="12">
        <f t="shared" si="303"/>
        <v>0</v>
      </c>
      <c r="Y1134" s="10">
        <v>23</v>
      </c>
      <c r="Z1134" s="30"/>
      <c r="AA1134" s="31"/>
      <c r="AB1134" s="47"/>
      <c r="AC1134" s="31"/>
      <c r="AE1134" s="32">
        <f t="shared" si="304"/>
        <v>0</v>
      </c>
      <c r="AF1134" s="10"/>
      <c r="AG1134" s="10"/>
      <c r="AH1134" s="10"/>
      <c r="AI1134" s="12">
        <f t="shared" si="305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90"/>
      <c r="D1135" s="32"/>
      <c r="E1135" s="32"/>
      <c r="F1135" s="32"/>
      <c r="G1135" s="32">
        <f t="shared" si="300"/>
        <v>0</v>
      </c>
      <c r="H1135" s="10"/>
      <c r="I1135" s="10"/>
      <c r="J1135" s="10"/>
      <c r="K1135" s="12">
        <f t="shared" si="301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02"/>
        <v>0</v>
      </c>
      <c r="T1135" s="10"/>
      <c r="U1135" s="10"/>
      <c r="V1135" s="10"/>
      <c r="W1135" s="12">
        <f t="shared" si="303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04"/>
        <v>0</v>
      </c>
      <c r="AF1135" s="10"/>
      <c r="AG1135" s="10"/>
      <c r="AH1135" s="10"/>
      <c r="AI1135" s="12">
        <f t="shared" si="305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90"/>
      <c r="D1136" s="32"/>
      <c r="E1136" s="32"/>
      <c r="F1136" s="32"/>
      <c r="G1136" s="32">
        <f t="shared" si="300"/>
        <v>0</v>
      </c>
      <c r="H1136" s="10"/>
      <c r="I1136" s="10"/>
      <c r="J1136" s="10"/>
      <c r="K1136" s="12">
        <f t="shared" si="301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02"/>
        <v>0</v>
      </c>
      <c r="T1136" s="10"/>
      <c r="U1136" s="10"/>
      <c r="V1136" s="10"/>
      <c r="W1136" s="12">
        <f t="shared" si="303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04"/>
        <v>0</v>
      </c>
      <c r="AF1136" s="10"/>
      <c r="AG1136" s="10"/>
      <c r="AH1136" s="10"/>
      <c r="AI1136" s="12">
        <f t="shared" si="305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90"/>
      <c r="D1137" s="32"/>
      <c r="E1137" s="32"/>
      <c r="F1137" s="32"/>
      <c r="G1137" s="32">
        <f t="shared" si="300"/>
        <v>0</v>
      </c>
      <c r="H1137" s="10"/>
      <c r="I1137" s="10"/>
      <c r="J1137" s="10"/>
      <c r="K1137" s="12">
        <f t="shared" si="301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02"/>
        <v>0</v>
      </c>
      <c r="T1137" s="10"/>
      <c r="U1137" s="10"/>
      <c r="V1137" s="10"/>
      <c r="W1137" s="12">
        <f t="shared" si="303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04"/>
        <v>0</v>
      </c>
      <c r="AF1137" s="10"/>
      <c r="AG1137" s="10"/>
      <c r="AH1137" s="10"/>
      <c r="AI1137" s="12">
        <f t="shared" si="305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90"/>
      <c r="D1138" s="32"/>
      <c r="E1138" s="32"/>
      <c r="F1138" s="32"/>
      <c r="G1138" s="32">
        <f t="shared" si="300"/>
        <v>0</v>
      </c>
      <c r="H1138" s="10"/>
      <c r="I1138" s="10"/>
      <c r="J1138" s="10"/>
      <c r="K1138" s="12">
        <f t="shared" si="301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02"/>
        <v>0</v>
      </c>
      <c r="T1138" s="10"/>
      <c r="U1138" s="10"/>
      <c r="V1138" s="10"/>
      <c r="W1138" s="12">
        <f t="shared" si="303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04"/>
        <v>0</v>
      </c>
      <c r="AF1138" s="10"/>
      <c r="AG1138" s="10"/>
      <c r="AH1138" s="10"/>
      <c r="AI1138" s="12">
        <f t="shared" si="305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90"/>
      <c r="D1139" s="32"/>
      <c r="E1139" s="32"/>
      <c r="F1139" s="32"/>
      <c r="G1139" s="32">
        <f t="shared" si="300"/>
        <v>0</v>
      </c>
      <c r="H1139" s="10"/>
      <c r="I1139" s="10"/>
      <c r="J1139" s="10"/>
      <c r="K1139" s="12">
        <f t="shared" si="301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02"/>
        <v>0</v>
      </c>
      <c r="T1139" s="10"/>
      <c r="U1139" s="10"/>
      <c r="V1139" s="10"/>
      <c r="W1139" s="12">
        <f t="shared" si="303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04"/>
        <v>0</v>
      </c>
      <c r="AF1139" s="10"/>
      <c r="AG1139" s="10"/>
      <c r="AH1139" s="10"/>
      <c r="AI1139" s="12">
        <f t="shared" si="305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90"/>
      <c r="D1140" s="32"/>
      <c r="E1140" s="32"/>
      <c r="F1140" s="32"/>
      <c r="G1140" s="32">
        <f t="shared" si="300"/>
        <v>0</v>
      </c>
      <c r="H1140" s="10"/>
      <c r="I1140" s="10"/>
      <c r="J1140" s="10"/>
      <c r="K1140" s="12">
        <f t="shared" si="301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02"/>
        <v>0</v>
      </c>
      <c r="T1140" s="10"/>
      <c r="U1140" s="10"/>
      <c r="V1140" s="10"/>
      <c r="W1140" s="12">
        <f t="shared" si="303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04"/>
        <v>0</v>
      </c>
      <c r="AF1140" s="10"/>
      <c r="AG1140" s="10"/>
      <c r="AH1140" s="10"/>
      <c r="AI1140" s="12">
        <f t="shared" si="305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00"/>
        <v>0</v>
      </c>
      <c r="H1141" s="10"/>
      <c r="I1141" s="10"/>
      <c r="J1141" s="10"/>
      <c r="K1141" s="12">
        <f t="shared" si="301"/>
        <v>0</v>
      </c>
      <c r="M1141" s="10">
        <v>30</v>
      </c>
      <c r="N1141" s="30"/>
      <c r="P1141" s="47"/>
      <c r="Q1141" s="31"/>
      <c r="R1141" s="31"/>
      <c r="S1141" s="32">
        <f t="shared" si="302"/>
        <v>0</v>
      </c>
      <c r="T1141" s="10"/>
      <c r="U1141" s="10"/>
      <c r="V1141" s="10"/>
      <c r="W1141" s="12">
        <f t="shared" si="303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04"/>
        <v>0</v>
      </c>
      <c r="AF1141" s="10"/>
      <c r="AG1141" s="10"/>
      <c r="AH1141" s="10"/>
      <c r="AI1141" s="12">
        <f t="shared" si="305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90"/>
      <c r="D1142" s="32"/>
      <c r="E1142" s="32"/>
      <c r="F1142" s="32"/>
      <c r="G1142" s="32">
        <f t="shared" si="300"/>
        <v>0</v>
      </c>
      <c r="H1142" s="10"/>
      <c r="I1142" s="10"/>
      <c r="J1142" s="10"/>
      <c r="K1142" s="12">
        <f t="shared" si="301"/>
        <v>0</v>
      </c>
      <c r="M1142" s="10">
        <v>31</v>
      </c>
      <c r="N1142" s="30"/>
      <c r="P1142" s="47"/>
      <c r="Q1142" s="31"/>
      <c r="R1142" s="31"/>
      <c r="S1142" s="32">
        <f t="shared" si="302"/>
        <v>0</v>
      </c>
      <c r="T1142" s="10"/>
      <c r="U1142" s="10"/>
      <c r="V1142" s="10"/>
      <c r="W1142" s="12">
        <f t="shared" si="303"/>
        <v>0</v>
      </c>
      <c r="Y1142" s="10">
        <v>31</v>
      </c>
      <c r="Z1142" s="30"/>
      <c r="AB1142" s="47"/>
      <c r="AC1142" s="31"/>
      <c r="AD1142" s="31"/>
      <c r="AE1142" s="32">
        <f t="shared" si="304"/>
        <v>0</v>
      </c>
      <c r="AF1142" s="10"/>
      <c r="AG1142" s="10"/>
      <c r="AH1142" s="10"/>
      <c r="AI1142" s="12">
        <f t="shared" si="305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90"/>
      <c r="D1143" s="32"/>
      <c r="E1143" s="32"/>
      <c r="F1143" s="32"/>
      <c r="G1143" s="32">
        <f t="shared" si="300"/>
        <v>0</v>
      </c>
      <c r="H1143" s="10"/>
      <c r="I1143" s="10"/>
      <c r="J1143" s="10"/>
      <c r="K1143" s="12">
        <f t="shared" si="301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02"/>
        <v>0</v>
      </c>
      <c r="T1143" s="10"/>
      <c r="U1143" s="10"/>
      <c r="V1143" s="10"/>
      <c r="W1143" s="12">
        <f t="shared" si="303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04"/>
        <v>0</v>
      </c>
      <c r="AF1143" s="10"/>
      <c r="AG1143" s="10"/>
      <c r="AH1143" s="10"/>
      <c r="AI1143" s="12">
        <f t="shared" si="305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90"/>
      <c r="D1144" s="32"/>
      <c r="E1144" s="32"/>
      <c r="F1144" s="32"/>
      <c r="G1144" s="32">
        <f t="shared" si="300"/>
        <v>0</v>
      </c>
      <c r="H1144" s="10"/>
      <c r="I1144" s="10"/>
      <c r="J1144" s="10"/>
      <c r="K1144" s="12">
        <f t="shared" si="301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02"/>
        <v>0</v>
      </c>
      <c r="T1144" s="10"/>
      <c r="U1144" s="10"/>
      <c r="V1144" s="10"/>
      <c r="W1144" s="12">
        <f t="shared" si="303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04"/>
        <v>0</v>
      </c>
      <c r="AF1144" s="10"/>
      <c r="AG1144" s="10"/>
      <c r="AH1144" s="10"/>
      <c r="AI1144" s="12">
        <f t="shared" si="305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90"/>
      <c r="D1145" s="32"/>
      <c r="E1145" s="32"/>
      <c r="F1145" s="32"/>
      <c r="G1145" s="32">
        <f t="shared" si="300"/>
        <v>0</v>
      </c>
      <c r="H1145" s="10"/>
      <c r="I1145" s="10"/>
      <c r="J1145" s="10"/>
      <c r="K1145" s="12">
        <f t="shared" si="301"/>
        <v>0</v>
      </c>
      <c r="M1145" s="10">
        <v>34</v>
      </c>
      <c r="N1145" s="30"/>
      <c r="P1145" s="47"/>
      <c r="Q1145" s="31"/>
      <c r="R1145" s="31"/>
      <c r="S1145" s="32">
        <f t="shared" si="302"/>
        <v>0</v>
      </c>
      <c r="T1145" s="10"/>
      <c r="U1145" s="10"/>
      <c r="V1145" s="10"/>
      <c r="W1145" s="12">
        <f t="shared" si="303"/>
        <v>0</v>
      </c>
      <c r="Y1145" s="10">
        <v>34</v>
      </c>
      <c r="Z1145" s="30"/>
      <c r="AB1145" s="47"/>
      <c r="AC1145" s="31"/>
      <c r="AD1145" s="31"/>
      <c r="AE1145" s="32">
        <f t="shared" si="304"/>
        <v>0</v>
      </c>
      <c r="AF1145" s="10"/>
      <c r="AG1145" s="10"/>
      <c r="AH1145" s="10"/>
      <c r="AI1145" s="12">
        <f t="shared" si="305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3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02"/>
        <v>0</v>
      </c>
      <c r="T1146" s="10"/>
      <c r="U1146" s="10"/>
      <c r="V1146" s="10"/>
      <c r="W1146" s="12">
        <f t="shared" si="303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04"/>
        <v>0</v>
      </c>
      <c r="AF1146" s="10"/>
      <c r="AG1146" s="10"/>
      <c r="AH1146" s="10"/>
      <c r="AI1146" s="12">
        <f t="shared" si="30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3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02"/>
        <v>0</v>
      </c>
      <c r="T1147" s="10"/>
      <c r="U1147" s="10"/>
      <c r="V1147" s="10"/>
      <c r="W1147" s="12">
        <f t="shared" si="303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04"/>
        <v>0</v>
      </c>
      <c r="AF1147" s="10"/>
      <c r="AG1147" s="10"/>
      <c r="AH1147" s="10"/>
      <c r="AI1147" s="12">
        <f t="shared" si="30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02"/>
        <v>0</v>
      </c>
      <c r="T1148" s="10"/>
      <c r="U1148" s="10"/>
      <c r="V1148" s="10"/>
      <c r="W1148" s="12">
        <f t="shared" si="303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04"/>
        <v>0</v>
      </c>
      <c r="AF1148" s="10"/>
      <c r="AG1148" s="10"/>
      <c r="AH1148" s="10"/>
      <c r="AI1148" s="12">
        <f t="shared" si="30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02"/>
        <v>0</v>
      </c>
      <c r="T1149" s="10"/>
      <c r="U1149" s="10"/>
      <c r="V1149" s="10"/>
      <c r="W1149" s="12">
        <f t="shared" si="303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04"/>
        <v>0</v>
      </c>
      <c r="AF1149" s="10"/>
      <c r="AG1149" s="10"/>
      <c r="AH1149" s="10"/>
      <c r="AI1149" s="12">
        <f t="shared" si="30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02"/>
        <v>0</v>
      </c>
      <c r="T1150" s="10"/>
      <c r="U1150" s="10"/>
      <c r="V1150" s="10"/>
      <c r="W1150" s="12">
        <f t="shared" si="303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04"/>
        <v>0</v>
      </c>
      <c r="AF1150" s="10"/>
      <c r="AG1150" s="10"/>
      <c r="AH1150" s="10"/>
      <c r="AI1150" s="12">
        <f t="shared" si="30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3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0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08">SUM(D1152:E1152)</f>
        <v>0</v>
      </c>
      <c r="H1152" s="10"/>
      <c r="I1152" s="10"/>
      <c r="J1152" s="10"/>
      <c r="K1152" s="12">
        <f t="shared" ref="K1152" si="309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10">SUM(P1152:Q1152)</f>
        <v>0</v>
      </c>
      <c r="T1152" s="10"/>
      <c r="U1152" s="10"/>
      <c r="V1152" s="10"/>
      <c r="W1152" s="12">
        <f t="shared" si="303"/>
        <v>0</v>
      </c>
      <c r="Y1152" s="10"/>
      <c r="Z1152" s="30"/>
      <c r="AA1152" s="31"/>
      <c r="AB1152" s="47"/>
      <c r="AC1152" s="31"/>
      <c r="AD1152" s="31"/>
      <c r="AE1152" s="32">
        <f t="shared" ref="AE1152" si="311">SUM(AB1152:AC1152)</f>
        <v>0</v>
      </c>
      <c r="AF1152" s="10"/>
      <c r="AG1152" s="10"/>
      <c r="AH1152" s="10"/>
      <c r="AI1152" s="12">
        <f t="shared" si="30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3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0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547623</v>
      </c>
      <c r="E1155" s="38">
        <f t="shared" ref="E1155:F1155" si="312">SUM(E1112:E1152)</f>
        <v>0</v>
      </c>
      <c r="F1155" s="38">
        <f t="shared" si="312"/>
        <v>0</v>
      </c>
      <c r="G1155" s="38">
        <f>SUM(G1112:G1154)</f>
        <v>547623</v>
      </c>
      <c r="H1155" s="4"/>
      <c r="I1155" s="39">
        <f>SUM(I1112:I1154)</f>
        <v>630403</v>
      </c>
      <c r="J1155" s="39">
        <f>SUM(J1112:J1154)</f>
        <v>-31875</v>
      </c>
      <c r="K1155" s="40">
        <f>SUM(K1112:K1154)</f>
        <v>1146151</v>
      </c>
      <c r="N1155" s="57"/>
      <c r="O1155" s="57"/>
      <c r="P1155" s="38">
        <f>SUM(P1112:P1154)</f>
        <v>204313</v>
      </c>
      <c r="Q1155" s="38">
        <f>SUM(Q1112:Q1136)</f>
        <v>-3033</v>
      </c>
      <c r="R1155" s="38">
        <f>SUM(R1112:R1136)</f>
        <v>0</v>
      </c>
      <c r="S1155" s="38">
        <f>SUM(S1112:S1154)</f>
        <v>201280</v>
      </c>
      <c r="T1155" s="4"/>
      <c r="U1155" s="41">
        <f>SUM(U1112:U1154)</f>
        <v>780</v>
      </c>
      <c r="V1155" s="41">
        <f>SUM(V1112:V1136)</f>
        <v>-252</v>
      </c>
      <c r="W1155" s="42">
        <f>SUM(W1112:W1154)</f>
        <v>201808</v>
      </c>
      <c r="Z1155" s="57"/>
      <c r="AA1155" s="57"/>
      <c r="AB1155" s="38">
        <f>SUM(AB1112:AB1154)</f>
        <v>253301</v>
      </c>
      <c r="AC1155" s="38">
        <f>SUM(AC1112:AC1136)</f>
        <v>-906</v>
      </c>
      <c r="AD1155" s="38">
        <f>SUM(AD1112:AD1136)</f>
        <v>0</v>
      </c>
      <c r="AE1155" s="38">
        <f>SUM(AE1112:AE1154)</f>
        <v>252395</v>
      </c>
      <c r="AF1155" s="4"/>
      <c r="AG1155" s="41">
        <f>SUM(AG1112:AG1154)</f>
        <v>3385.5</v>
      </c>
      <c r="AH1155" s="41">
        <f>SUM(AH1112:AH1136)</f>
        <v>-1110</v>
      </c>
      <c r="AI1155" s="42">
        <f>SUM(AI1112:AI1154)</f>
        <v>254670.5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50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50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50</v>
      </c>
      <c r="Z1162" s="57"/>
      <c r="AA1162" s="57"/>
      <c r="AB1162" s="57"/>
      <c r="AC1162" s="57"/>
      <c r="AD1162" s="57"/>
      <c r="AE1162" s="57"/>
      <c r="AG1162" s="57" t="s">
        <v>15</v>
      </c>
      <c r="AH1162" s="19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101</v>
      </c>
      <c r="B1163" s="20"/>
      <c r="C1163" s="57"/>
      <c r="D1163" s="57"/>
      <c r="E1163" s="57"/>
      <c r="G1163" s="57"/>
      <c r="I1163" s="22" t="s">
        <v>16</v>
      </c>
      <c r="J1163" s="23" t="s">
        <v>33</v>
      </c>
      <c r="K1163" s="24"/>
      <c r="M1163" s="21" t="s">
        <v>101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42</v>
      </c>
      <c r="W1163" s="24"/>
      <c r="Y1163" s="21" t="s">
        <v>101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31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3" t="s">
        <v>17</v>
      </c>
      <c r="E1165" s="123"/>
      <c r="F1165" s="112"/>
      <c r="G1165" s="27"/>
      <c r="I1165" s="121" t="s">
        <v>18</v>
      </c>
      <c r="J1165" s="122"/>
      <c r="K1165" s="119" t="s">
        <v>19</v>
      </c>
      <c r="N1165" s="25"/>
      <c r="O1165" s="26"/>
      <c r="P1165" s="123" t="s">
        <v>17</v>
      </c>
      <c r="Q1165" s="123"/>
      <c r="R1165" s="113"/>
      <c r="S1165" s="27"/>
      <c r="U1165" s="121" t="s">
        <v>18</v>
      </c>
      <c r="V1165" s="122"/>
      <c r="W1165" s="119" t="s">
        <v>19</v>
      </c>
      <c r="Z1165" s="25"/>
      <c r="AA1165" s="26"/>
      <c r="AB1165" s="123" t="s">
        <v>17</v>
      </c>
      <c r="AC1165" s="123"/>
      <c r="AD1165" s="112"/>
      <c r="AE1165" s="27"/>
      <c r="AG1165" s="121" t="s">
        <v>18</v>
      </c>
      <c r="AH1165" s="122"/>
      <c r="AI1165" s="119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9" t="s">
        <v>22</v>
      </c>
      <c r="E1166" s="78" t="s">
        <v>23</v>
      </c>
      <c r="F1166" s="80" t="s">
        <v>32</v>
      </c>
      <c r="G1166" s="80" t="s">
        <v>24</v>
      </c>
      <c r="I1166" s="29" t="s">
        <v>25</v>
      </c>
      <c r="J1166" s="29" t="s">
        <v>26</v>
      </c>
      <c r="K1166" s="120"/>
      <c r="N1166" s="28" t="s">
        <v>20</v>
      </c>
      <c r="O1166" s="28" t="s">
        <v>21</v>
      </c>
      <c r="P1166" s="79" t="s">
        <v>22</v>
      </c>
      <c r="Q1166" s="80" t="s">
        <v>23</v>
      </c>
      <c r="R1166" s="80" t="s">
        <v>32</v>
      </c>
      <c r="S1166" s="80" t="s">
        <v>24</v>
      </c>
      <c r="U1166" s="29" t="s">
        <v>25</v>
      </c>
      <c r="V1166" s="29" t="s">
        <v>26</v>
      </c>
      <c r="W1166" s="120"/>
      <c r="Z1166" s="28" t="s">
        <v>20</v>
      </c>
      <c r="AA1166" s="28" t="s">
        <v>21</v>
      </c>
      <c r="AB1166" s="79" t="s">
        <v>22</v>
      </c>
      <c r="AC1166" s="80" t="s">
        <v>23</v>
      </c>
      <c r="AD1166" s="80" t="s">
        <v>32</v>
      </c>
      <c r="AE1166" s="80" t="s">
        <v>24</v>
      </c>
      <c r="AG1166" s="29" t="s">
        <v>25</v>
      </c>
      <c r="AH1166" s="29" t="s">
        <v>26</v>
      </c>
      <c r="AI1166" s="120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102</v>
      </c>
      <c r="C1167" s="90">
        <v>7504</v>
      </c>
      <c r="D1167" s="32">
        <f>202824+2977</f>
        <v>205801</v>
      </c>
      <c r="E1167" s="32">
        <v>-3033</v>
      </c>
      <c r="F1167" s="32"/>
      <c r="G1167" s="32">
        <f t="shared" ref="G1167:G1200" si="313">SUM(D1167:E1167)</f>
        <v>202768</v>
      </c>
      <c r="H1167" s="12"/>
      <c r="I1167" s="12"/>
      <c r="J1167" s="12">
        <f>-35964+-312+-840</f>
        <v>-37116</v>
      </c>
      <c r="K1167" s="12">
        <f t="shared" ref="K1167:K1200" si="314">SUM(G1167:J1167)</f>
        <v>165652</v>
      </c>
      <c r="M1167" s="10">
        <v>1</v>
      </c>
      <c r="N1167" s="30" t="s">
        <v>102</v>
      </c>
      <c r="O1167" s="31">
        <v>7427</v>
      </c>
      <c r="P1167" s="32">
        <f>6260+2384+133</f>
        <v>8777</v>
      </c>
      <c r="Q1167" s="32"/>
      <c r="R1167" s="32"/>
      <c r="S1167" s="32">
        <f>SUM(P1167:Q1167)</f>
        <v>8777</v>
      </c>
      <c r="T1167" s="12"/>
      <c r="U1167" s="12"/>
      <c r="V1167" s="12"/>
      <c r="W1167" s="12">
        <f>SUM(S1167:V1167)</f>
        <v>8777</v>
      </c>
      <c r="Y1167" s="10">
        <v>1</v>
      </c>
      <c r="Z1167" s="30" t="s">
        <v>102</v>
      </c>
      <c r="AA1167" s="31">
        <v>7337</v>
      </c>
      <c r="AB1167" s="32">
        <f>1878</f>
        <v>1878</v>
      </c>
      <c r="AC1167" s="32"/>
      <c r="AD1167" s="32"/>
      <c r="AE1167" s="32">
        <f>SUM(AB1167:AC1167)</f>
        <v>1878</v>
      </c>
      <c r="AF1167" s="12"/>
      <c r="AG1167" s="12"/>
      <c r="AH1167" s="12"/>
      <c r="AI1167" s="12">
        <f>SUM(AE1167:AH1167)</f>
        <v>1878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102</v>
      </c>
      <c r="C1168" s="90">
        <f>C1167+1</f>
        <v>7505</v>
      </c>
      <c r="D1168" s="32">
        <f>9390+142</f>
        <v>9532</v>
      </c>
      <c r="E1168" s="32"/>
      <c r="F1168" s="32"/>
      <c r="G1168" s="32">
        <f t="shared" si="313"/>
        <v>9532</v>
      </c>
      <c r="H1168" s="12"/>
      <c r="I1168" s="12"/>
      <c r="J1168" s="12">
        <v>-777</v>
      </c>
      <c r="K1168" s="12">
        <f t="shared" si="314"/>
        <v>8755</v>
      </c>
      <c r="M1168" s="10">
        <v>2</v>
      </c>
      <c r="N1168" s="30" t="s">
        <v>102</v>
      </c>
      <c r="O1168" s="31">
        <f>O1167+1</f>
        <v>7428</v>
      </c>
      <c r="P1168" s="32">
        <f>1252+19</f>
        <v>1271</v>
      </c>
      <c r="Q1168" s="32"/>
      <c r="R1168" s="32"/>
      <c r="S1168" s="32">
        <f t="shared" ref="S1168:S1205" si="315">SUM(P1168:Q1168)</f>
        <v>1271</v>
      </c>
      <c r="T1168" s="12"/>
      <c r="U1168" s="12"/>
      <c r="V1168" s="12"/>
      <c r="W1168" s="12">
        <f t="shared" ref="W1168:W1208" si="316">SUM(S1168:V1168)</f>
        <v>1271</v>
      </c>
      <c r="Y1168" s="10">
        <v>2</v>
      </c>
      <c r="Z1168" s="30" t="s">
        <v>102</v>
      </c>
      <c r="AA1168" s="31">
        <f>AA1167+1</f>
        <v>7338</v>
      </c>
      <c r="AB1168" s="32">
        <f>62600+1175+916+1300</f>
        <v>65991</v>
      </c>
      <c r="AC1168" s="32">
        <v>-642</v>
      </c>
      <c r="AD1168" s="32"/>
      <c r="AE1168" s="32">
        <f t="shared" ref="AE1168:AE1205" si="317">SUM(AB1168:AC1168)</f>
        <v>65349</v>
      </c>
      <c r="AF1168" s="12"/>
      <c r="AG1168" s="12">
        <v>108</v>
      </c>
      <c r="AH1168" s="12">
        <f>-888+-756</f>
        <v>-1644</v>
      </c>
      <c r="AI1168" s="12">
        <f t="shared" ref="AI1168:AI1208" si="318">SUM(AE1168:AH1168)</f>
        <v>63813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102</v>
      </c>
      <c r="C1169" s="90">
        <f t="shared" ref="C1169:C1171" si="319">C1168+1</f>
        <v>7506</v>
      </c>
      <c r="D1169" s="33">
        <f>4382</f>
        <v>4382</v>
      </c>
      <c r="E1169" s="33"/>
      <c r="F1169" s="33"/>
      <c r="G1169" s="33">
        <f t="shared" si="313"/>
        <v>4382</v>
      </c>
      <c r="H1169" s="34"/>
      <c r="I1169" s="34"/>
      <c r="J1169" s="34">
        <v>-444</v>
      </c>
      <c r="K1169" s="34">
        <f t="shared" si="314"/>
        <v>3938</v>
      </c>
      <c r="M1169" s="10">
        <v>3</v>
      </c>
      <c r="N1169" s="30" t="s">
        <v>102</v>
      </c>
      <c r="O1169" s="31">
        <f t="shared" ref="O1169:O1190" si="320">O1168+1</f>
        <v>7429</v>
      </c>
      <c r="P1169" s="32">
        <f>1878+28.5</f>
        <v>1906.5</v>
      </c>
      <c r="Q1169" s="32"/>
      <c r="R1169" s="32"/>
      <c r="S1169" s="32">
        <f t="shared" si="315"/>
        <v>1906.5</v>
      </c>
      <c r="T1169" s="12"/>
      <c r="U1169" s="12"/>
      <c r="V1169" s="12"/>
      <c r="W1169" s="12">
        <f t="shared" si="316"/>
        <v>1906.5</v>
      </c>
      <c r="Y1169" s="10">
        <v>3</v>
      </c>
      <c r="Z1169" s="30" t="s">
        <v>102</v>
      </c>
      <c r="AA1169" s="31">
        <f t="shared" ref="AA1169:AA1171" si="321">AA1168+1</f>
        <v>7339</v>
      </c>
      <c r="AB1169" s="33">
        <f>112680+1826+1603</f>
        <v>116109</v>
      </c>
      <c r="AC1169" s="33">
        <v>-1134</v>
      </c>
      <c r="AD1169" s="32"/>
      <c r="AE1169" s="32">
        <f t="shared" si="317"/>
        <v>114975</v>
      </c>
      <c r="AF1169" s="12"/>
      <c r="AG1169" s="12"/>
      <c r="AH1169" s="12"/>
      <c r="AI1169" s="12">
        <f t="shared" si="318"/>
        <v>114975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102</v>
      </c>
      <c r="C1170" s="90">
        <f t="shared" si="319"/>
        <v>7507</v>
      </c>
      <c r="D1170" s="32">
        <f>1252</f>
        <v>1252</v>
      </c>
      <c r="E1170" s="32"/>
      <c r="F1170" s="32"/>
      <c r="G1170" s="32">
        <f t="shared" si="313"/>
        <v>1252</v>
      </c>
      <c r="H1170" s="12"/>
      <c r="I1170" s="12">
        <f>111+84</f>
        <v>195</v>
      </c>
      <c r="J1170" s="12"/>
      <c r="K1170" s="12">
        <f t="shared" si="314"/>
        <v>1447</v>
      </c>
      <c r="M1170" s="10">
        <v>4</v>
      </c>
      <c r="N1170" s="30" t="s">
        <v>102</v>
      </c>
      <c r="O1170" s="31">
        <f t="shared" si="320"/>
        <v>7430</v>
      </c>
      <c r="P1170" s="32">
        <f>18780+4172</f>
        <v>22952</v>
      </c>
      <c r="Q1170" s="32"/>
      <c r="R1170" s="32"/>
      <c r="S1170" s="32">
        <f t="shared" si="315"/>
        <v>22952</v>
      </c>
      <c r="T1170" s="12"/>
      <c r="U1170" s="12">
        <v>13.5</v>
      </c>
      <c r="V1170" s="12"/>
      <c r="W1170" s="12">
        <f t="shared" si="316"/>
        <v>22965.5</v>
      </c>
      <c r="Y1170" s="10">
        <v>4</v>
      </c>
      <c r="Z1170" s="30" t="s">
        <v>102</v>
      </c>
      <c r="AA1170" s="31">
        <f t="shared" si="321"/>
        <v>7340</v>
      </c>
      <c r="AB1170" s="32">
        <f>10016+1228+1005+832</f>
        <v>13081</v>
      </c>
      <c r="AC1170" s="32"/>
      <c r="AD1170" s="32"/>
      <c r="AE1170" s="32">
        <f t="shared" si="317"/>
        <v>13081</v>
      </c>
      <c r="AF1170" s="12"/>
      <c r="AH1170" s="12"/>
      <c r="AI1170" s="12">
        <f t="shared" si="318"/>
        <v>13081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102</v>
      </c>
      <c r="C1171" s="90">
        <f t="shared" si="319"/>
        <v>7508</v>
      </c>
      <c r="D1171" s="32">
        <f>913*35</f>
        <v>31955</v>
      </c>
      <c r="E1171" s="32"/>
      <c r="F1171" s="32"/>
      <c r="G1171" s="32">
        <f t="shared" si="313"/>
        <v>31955</v>
      </c>
      <c r="H1171" s="12"/>
      <c r="I1171" s="12"/>
      <c r="J1171" s="12"/>
      <c r="K1171" s="12">
        <f t="shared" si="314"/>
        <v>31955</v>
      </c>
      <c r="M1171" s="10">
        <v>5</v>
      </c>
      <c r="N1171" s="30" t="s">
        <v>102</v>
      </c>
      <c r="O1171" s="31">
        <f t="shared" si="320"/>
        <v>7431</v>
      </c>
      <c r="P1171" s="32">
        <f>1252+596+28.5</f>
        <v>1876.5</v>
      </c>
      <c r="Q1171" s="32"/>
      <c r="R1171" s="32"/>
      <c r="S1171" s="32">
        <f t="shared" si="315"/>
        <v>1876.5</v>
      </c>
      <c r="T1171" s="12"/>
      <c r="U1171" s="12"/>
      <c r="V1171" s="12"/>
      <c r="W1171" s="12">
        <f t="shared" si="316"/>
        <v>1876.5</v>
      </c>
      <c r="Y1171" s="10">
        <v>5</v>
      </c>
      <c r="Z1171" s="30" t="s">
        <v>102</v>
      </c>
      <c r="AA1171" s="31">
        <f t="shared" si="321"/>
        <v>7341</v>
      </c>
      <c r="AB1171" s="32">
        <f>626*26+614*3+596*10+832+229</f>
        <v>25139</v>
      </c>
      <c r="AC1171" s="32"/>
      <c r="AD1171" s="32"/>
      <c r="AE1171" s="32">
        <f t="shared" si="317"/>
        <v>25139</v>
      </c>
      <c r="AF1171" s="12"/>
      <c r="AG1171" s="12"/>
      <c r="AH1171" s="12"/>
      <c r="AI1171" s="12">
        <f t="shared" si="318"/>
        <v>25139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/>
      <c r="C1172" s="11" t="s">
        <v>27</v>
      </c>
      <c r="D1172" s="32"/>
      <c r="E1172" s="32"/>
      <c r="F1172" s="32"/>
      <c r="G1172" s="32">
        <f t="shared" si="313"/>
        <v>0</v>
      </c>
      <c r="H1172" s="12"/>
      <c r="I1172" s="12"/>
      <c r="J1172" s="12"/>
      <c r="K1172" s="12">
        <f t="shared" si="314"/>
        <v>0</v>
      </c>
      <c r="M1172" s="10">
        <v>6</v>
      </c>
      <c r="N1172" s="30" t="s">
        <v>102</v>
      </c>
      <c r="O1172" s="31">
        <f t="shared" si="320"/>
        <v>7432</v>
      </c>
      <c r="P1172" s="32">
        <f>626*11+614</f>
        <v>7500</v>
      </c>
      <c r="Q1172" s="32"/>
      <c r="R1172" s="32"/>
      <c r="S1172" s="32">
        <f t="shared" si="315"/>
        <v>7500</v>
      </c>
      <c r="T1172" s="12"/>
      <c r="U1172" s="12"/>
      <c r="V1172" s="10"/>
      <c r="W1172" s="12">
        <f t="shared" si="316"/>
        <v>7500</v>
      </c>
      <c r="Y1172" s="10">
        <v>6</v>
      </c>
      <c r="Z1172" s="30"/>
      <c r="AA1172" s="11" t="s">
        <v>27</v>
      </c>
      <c r="AB1172" s="32"/>
      <c r="AC1172" s="32"/>
      <c r="AD1172" s="32"/>
      <c r="AE1172" s="32">
        <f t="shared" si="317"/>
        <v>0</v>
      </c>
      <c r="AF1172" s="12"/>
      <c r="AG1172" s="12"/>
      <c r="AH1172" s="10"/>
      <c r="AI1172" s="12">
        <f t="shared" si="318"/>
        <v>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/>
      <c r="C1173" s="90"/>
      <c r="D1173" s="32"/>
      <c r="E1173" s="32"/>
      <c r="F1173" s="32"/>
      <c r="G1173" s="32">
        <f t="shared" si="313"/>
        <v>0</v>
      </c>
      <c r="H1173" s="12"/>
      <c r="I1173" s="12"/>
      <c r="J1173" s="12"/>
      <c r="K1173" s="12">
        <f t="shared" si="314"/>
        <v>0</v>
      </c>
      <c r="M1173" s="10">
        <v>7</v>
      </c>
      <c r="N1173" s="30" t="s">
        <v>102</v>
      </c>
      <c r="O1173" s="31">
        <f t="shared" si="320"/>
        <v>7433</v>
      </c>
      <c r="P1173" s="32">
        <f>596*3+832+28.5</f>
        <v>2648.5</v>
      </c>
      <c r="Q1173" s="32"/>
      <c r="R1173" s="32"/>
      <c r="S1173" s="32">
        <f t="shared" si="315"/>
        <v>2648.5</v>
      </c>
      <c r="T1173" s="12"/>
      <c r="U1173" s="12"/>
      <c r="V1173" s="12"/>
      <c r="W1173" s="12">
        <f t="shared" si="316"/>
        <v>2648.5</v>
      </c>
      <c r="Y1173" s="10">
        <v>7</v>
      </c>
      <c r="Z1173" s="30"/>
      <c r="AB1173" s="32"/>
      <c r="AC1173" s="32"/>
      <c r="AD1173" s="32"/>
      <c r="AE1173" s="32">
        <f t="shared" si="317"/>
        <v>0</v>
      </c>
      <c r="AF1173" s="12"/>
      <c r="AG1173" s="58"/>
      <c r="AH1173" s="12"/>
      <c r="AI1173" s="12">
        <f t="shared" si="318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90"/>
      <c r="D1174" s="32"/>
      <c r="E1174" s="32"/>
      <c r="F1174" s="32"/>
      <c r="G1174" s="32">
        <f t="shared" si="313"/>
        <v>0</v>
      </c>
      <c r="H1174" s="12"/>
      <c r="I1174" s="12"/>
      <c r="J1174" s="12"/>
      <c r="K1174" s="12">
        <f t="shared" si="314"/>
        <v>0</v>
      </c>
      <c r="M1174" s="10">
        <v>8</v>
      </c>
      <c r="N1174" s="30" t="s">
        <v>102</v>
      </c>
      <c r="O1174" s="31">
        <f t="shared" si="320"/>
        <v>7434</v>
      </c>
      <c r="P1174" s="32">
        <f>3130+47.5</f>
        <v>3177.5</v>
      </c>
      <c r="Q1174" s="32"/>
      <c r="R1174" s="32"/>
      <c r="S1174" s="32">
        <f t="shared" si="315"/>
        <v>3177.5</v>
      </c>
      <c r="T1174" s="12"/>
      <c r="U1174" s="12">
        <v>18</v>
      </c>
      <c r="V1174" s="12"/>
      <c r="W1174" s="12">
        <f t="shared" si="316"/>
        <v>3195.5</v>
      </c>
      <c r="Y1174" s="10">
        <v>8</v>
      </c>
      <c r="Z1174" s="30"/>
      <c r="AA1174" s="31"/>
      <c r="AB1174" s="32"/>
      <c r="AC1174" s="32"/>
      <c r="AE1174" s="32">
        <f t="shared" si="317"/>
        <v>0</v>
      </c>
      <c r="AF1174" s="12"/>
      <c r="AG1174" s="12"/>
      <c r="AH1174" s="12"/>
      <c r="AI1174" s="12">
        <f t="shared" si="318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90"/>
      <c r="D1175" s="32"/>
      <c r="E1175" s="32"/>
      <c r="F1175" s="32"/>
      <c r="G1175" s="32">
        <f t="shared" si="313"/>
        <v>0</v>
      </c>
      <c r="H1175" s="12"/>
      <c r="I1175" s="12"/>
      <c r="J1175" s="12"/>
      <c r="K1175" s="12">
        <f t="shared" si="314"/>
        <v>0</v>
      </c>
      <c r="M1175" s="10">
        <v>9</v>
      </c>
      <c r="N1175" s="30" t="s">
        <v>102</v>
      </c>
      <c r="O1175" s="31">
        <f t="shared" si="320"/>
        <v>7435</v>
      </c>
      <c r="P1175" s="32">
        <f>626+596+19</f>
        <v>1241</v>
      </c>
      <c r="Q1175" s="32"/>
      <c r="R1175" s="32"/>
      <c r="S1175" s="32">
        <f t="shared" si="315"/>
        <v>1241</v>
      </c>
      <c r="T1175" s="12"/>
      <c r="U1175" s="12"/>
      <c r="V1175" s="12"/>
      <c r="W1175" s="12">
        <f t="shared" si="316"/>
        <v>1241</v>
      </c>
      <c r="Y1175" s="10">
        <v>9</v>
      </c>
      <c r="Z1175" s="30"/>
      <c r="AA1175" s="31"/>
      <c r="AB1175" s="32"/>
      <c r="AC1175" s="32"/>
      <c r="AD1175" s="32"/>
      <c r="AE1175" s="32">
        <f t="shared" si="317"/>
        <v>0</v>
      </c>
      <c r="AF1175" s="12"/>
      <c r="AG1175" s="58"/>
      <c r="AH1175" s="12"/>
      <c r="AI1175" s="12">
        <f t="shared" si="318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90"/>
      <c r="D1176" s="32"/>
      <c r="E1176" s="32"/>
      <c r="F1176" s="32"/>
      <c r="G1176" s="32">
        <f t="shared" si="313"/>
        <v>0</v>
      </c>
      <c r="H1176" s="12"/>
      <c r="I1176" s="12"/>
      <c r="J1176" s="12"/>
      <c r="K1176" s="12">
        <f t="shared" si="314"/>
        <v>0</v>
      </c>
      <c r="M1176" s="10">
        <v>10</v>
      </c>
      <c r="N1176" s="30" t="s">
        <v>102</v>
      </c>
      <c r="O1176" s="31">
        <f t="shared" si="320"/>
        <v>7436</v>
      </c>
      <c r="P1176" s="32">
        <f>1252+614+19</f>
        <v>1885</v>
      </c>
      <c r="Q1176" s="32"/>
      <c r="R1176" s="32"/>
      <c r="S1176" s="32">
        <f t="shared" si="315"/>
        <v>1885</v>
      </c>
      <c r="T1176" s="12"/>
      <c r="U1176" s="12"/>
      <c r="V1176" s="12"/>
      <c r="W1176" s="12">
        <f t="shared" si="316"/>
        <v>1885</v>
      </c>
      <c r="Y1176" s="10">
        <v>10</v>
      </c>
      <c r="Z1176" s="30"/>
      <c r="AA1176" s="31"/>
      <c r="AB1176" s="32"/>
      <c r="AC1176" s="32"/>
      <c r="AD1176" s="32"/>
      <c r="AE1176" s="32">
        <f t="shared" si="317"/>
        <v>0</v>
      </c>
      <c r="AF1176" s="12"/>
      <c r="AG1176" s="12"/>
      <c r="AH1176" s="12"/>
      <c r="AI1176" s="12">
        <f t="shared" si="318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D1177" s="32"/>
      <c r="E1177" s="32"/>
      <c r="F1177" s="32"/>
      <c r="G1177" s="32">
        <f t="shared" si="313"/>
        <v>0</v>
      </c>
      <c r="H1177" s="12"/>
      <c r="I1177" s="12"/>
      <c r="J1177" s="12"/>
      <c r="K1177" s="12">
        <f t="shared" si="314"/>
        <v>0</v>
      </c>
      <c r="M1177" s="10">
        <v>11</v>
      </c>
      <c r="N1177" s="30" t="s">
        <v>102</v>
      </c>
      <c r="O1177" s="31">
        <f t="shared" si="320"/>
        <v>7437</v>
      </c>
      <c r="P1177" s="32">
        <f>1252+19</f>
        <v>1271</v>
      </c>
      <c r="Q1177" s="32"/>
      <c r="R1177" s="32"/>
      <c r="S1177" s="32">
        <f t="shared" si="315"/>
        <v>1271</v>
      </c>
      <c r="T1177" s="12"/>
      <c r="U1177" s="12"/>
      <c r="V1177" s="12"/>
      <c r="W1177" s="12">
        <f t="shared" si="316"/>
        <v>1271</v>
      </c>
      <c r="Y1177" s="10">
        <v>11</v>
      </c>
      <c r="Z1177" s="30"/>
      <c r="AB1177" s="32"/>
      <c r="AC1177" s="32"/>
      <c r="AD1177" s="32"/>
      <c r="AE1177" s="32">
        <f t="shared" si="317"/>
        <v>0</v>
      </c>
      <c r="AF1177" s="12"/>
      <c r="AG1177" s="12"/>
      <c r="AH1177" s="12"/>
      <c r="AI1177" s="12">
        <f t="shared" si="318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90"/>
      <c r="D1178" s="32"/>
      <c r="E1178" s="32"/>
      <c r="F1178" s="32"/>
      <c r="G1178" s="32">
        <f t="shared" si="313"/>
        <v>0</v>
      </c>
      <c r="H1178" s="12"/>
      <c r="I1178" s="12"/>
      <c r="J1178" s="10"/>
      <c r="K1178" s="12">
        <f t="shared" si="314"/>
        <v>0</v>
      </c>
      <c r="M1178" s="10">
        <v>12</v>
      </c>
      <c r="N1178" s="30" t="s">
        <v>102</v>
      </c>
      <c r="O1178" s="31">
        <f t="shared" si="320"/>
        <v>7438</v>
      </c>
      <c r="P1178" s="32">
        <f>626+596+19</f>
        <v>1241</v>
      </c>
      <c r="Q1178" s="32"/>
      <c r="R1178" s="32"/>
      <c r="S1178" s="32">
        <f t="shared" si="315"/>
        <v>1241</v>
      </c>
      <c r="T1178" s="12"/>
      <c r="U1178" s="12">
        <v>9</v>
      </c>
      <c r="V1178" s="12"/>
      <c r="W1178" s="12">
        <f t="shared" si="316"/>
        <v>1250</v>
      </c>
      <c r="Y1178" s="10">
        <v>12</v>
      </c>
      <c r="Z1178" s="30"/>
      <c r="AA1178" s="31"/>
      <c r="AB1178" s="32"/>
      <c r="AC1178" s="32"/>
      <c r="AD1178" s="32"/>
      <c r="AE1178" s="32">
        <f t="shared" si="317"/>
        <v>0</v>
      </c>
      <c r="AF1178" s="12"/>
      <c r="AG1178" s="12"/>
      <c r="AH1178" s="12"/>
      <c r="AI1178" s="12">
        <f t="shared" si="318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90"/>
      <c r="D1179" s="32"/>
      <c r="E1179" s="32"/>
      <c r="F1179" s="32"/>
      <c r="G1179" s="32">
        <f t="shared" si="313"/>
        <v>0</v>
      </c>
      <c r="H1179" s="12"/>
      <c r="I1179" s="12"/>
      <c r="J1179" s="12"/>
      <c r="K1179" s="12">
        <f t="shared" si="314"/>
        <v>0</v>
      </c>
      <c r="M1179" s="10">
        <v>13</v>
      </c>
      <c r="N1179" s="30" t="s">
        <v>102</v>
      </c>
      <c r="O1179" s="31">
        <f t="shared" si="320"/>
        <v>7439</v>
      </c>
      <c r="P1179" s="32">
        <f>626*3+614+596+38</f>
        <v>3126</v>
      </c>
      <c r="Q1179" s="32"/>
      <c r="R1179" s="32"/>
      <c r="S1179" s="32">
        <f t="shared" si="315"/>
        <v>3126</v>
      </c>
      <c r="T1179" s="12"/>
      <c r="U1179" s="12"/>
      <c r="V1179" s="12"/>
      <c r="W1179" s="12">
        <f t="shared" si="316"/>
        <v>3126</v>
      </c>
      <c r="Y1179" s="10">
        <v>13</v>
      </c>
      <c r="Z1179" s="30"/>
      <c r="AA1179" s="31"/>
      <c r="AB1179" s="32"/>
      <c r="AC1179" s="32"/>
      <c r="AD1179" s="32"/>
      <c r="AE1179" s="32">
        <f t="shared" si="317"/>
        <v>0</v>
      </c>
      <c r="AF1179" s="12"/>
      <c r="AG1179" s="12"/>
      <c r="AH1179" s="12"/>
      <c r="AI1179" s="12">
        <f t="shared" si="318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90"/>
      <c r="D1180" s="32"/>
      <c r="E1180" s="32"/>
      <c r="F1180" s="32"/>
      <c r="G1180" s="32">
        <f t="shared" si="313"/>
        <v>0</v>
      </c>
      <c r="H1180" s="12"/>
      <c r="I1180" s="12"/>
      <c r="J1180" s="12"/>
      <c r="K1180" s="12">
        <f t="shared" si="314"/>
        <v>0</v>
      </c>
      <c r="M1180" s="10">
        <v>14</v>
      </c>
      <c r="N1180" s="30" t="s">
        <v>102</v>
      </c>
      <c r="O1180" s="31">
        <f t="shared" si="320"/>
        <v>7440</v>
      </c>
      <c r="P1180" s="32">
        <f>2384+38</f>
        <v>2422</v>
      </c>
      <c r="Q1180" s="32"/>
      <c r="R1180" s="32"/>
      <c r="S1180" s="32">
        <f t="shared" si="315"/>
        <v>2422</v>
      </c>
      <c r="T1180" s="12"/>
      <c r="U1180" s="12"/>
      <c r="V1180" s="12"/>
      <c r="W1180" s="12">
        <f t="shared" si="316"/>
        <v>2422</v>
      </c>
      <c r="Y1180" s="10">
        <v>14</v>
      </c>
      <c r="Z1180" s="30"/>
      <c r="AA1180" s="31"/>
      <c r="AB1180" s="32"/>
      <c r="AC1180" s="32"/>
      <c r="AD1180" s="32"/>
      <c r="AE1180" s="32">
        <f t="shared" si="317"/>
        <v>0</v>
      </c>
      <c r="AF1180" s="12"/>
      <c r="AG1180" s="12"/>
      <c r="AH1180" s="12"/>
      <c r="AI1180" s="12">
        <f t="shared" si="318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90"/>
      <c r="D1181" s="32"/>
      <c r="E1181" s="32"/>
      <c r="F1181" s="32"/>
      <c r="G1181" s="32">
        <f t="shared" si="313"/>
        <v>0</v>
      </c>
      <c r="H1181" s="12"/>
      <c r="I1181" s="12"/>
      <c r="J1181" s="12"/>
      <c r="K1181" s="12">
        <f t="shared" si="314"/>
        <v>0</v>
      </c>
      <c r="M1181" s="10">
        <v>15</v>
      </c>
      <c r="N1181" s="30" t="s">
        <v>102</v>
      </c>
      <c r="O1181" s="31">
        <f t="shared" si="320"/>
        <v>7441</v>
      </c>
      <c r="P1181" s="32">
        <f>5008+76</f>
        <v>5084</v>
      </c>
      <c r="Q1181" s="32"/>
      <c r="R1181" s="32"/>
      <c r="S1181" s="32">
        <f t="shared" si="315"/>
        <v>5084</v>
      </c>
      <c r="T1181" s="12"/>
      <c r="U1181" s="12"/>
      <c r="V1181" s="12"/>
      <c r="W1181" s="12">
        <f t="shared" si="316"/>
        <v>5084</v>
      </c>
      <c r="Y1181" s="10">
        <v>15</v>
      </c>
      <c r="Z1181" s="30"/>
      <c r="AA1181" s="31"/>
      <c r="AB1181" s="32"/>
      <c r="AC1181" s="32"/>
      <c r="AD1181" s="32"/>
      <c r="AE1181" s="32">
        <f t="shared" si="317"/>
        <v>0</v>
      </c>
      <c r="AF1181" s="12"/>
      <c r="AG1181" s="12"/>
      <c r="AH1181" s="12"/>
      <c r="AI1181" s="12">
        <f t="shared" si="318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57"/>
      <c r="D1182" s="32"/>
      <c r="E1182" s="32"/>
      <c r="F1182" s="32"/>
      <c r="G1182" s="32">
        <f t="shared" si="313"/>
        <v>0</v>
      </c>
      <c r="H1182" s="12"/>
      <c r="I1182" s="12"/>
      <c r="J1182" s="12"/>
      <c r="K1182" s="12">
        <f t="shared" si="314"/>
        <v>0</v>
      </c>
      <c r="M1182" s="10">
        <v>16</v>
      </c>
      <c r="N1182" s="30" t="s">
        <v>102</v>
      </c>
      <c r="O1182" s="31">
        <f t="shared" si="320"/>
        <v>7442</v>
      </c>
      <c r="P1182" s="32">
        <f>1252+19</f>
        <v>1271</v>
      </c>
      <c r="Q1182" s="32"/>
      <c r="R1182" s="32"/>
      <c r="S1182" s="32">
        <f t="shared" si="315"/>
        <v>1271</v>
      </c>
      <c r="T1182" s="12"/>
      <c r="U1182" s="12"/>
      <c r="V1182" s="12"/>
      <c r="W1182" s="12">
        <f t="shared" si="316"/>
        <v>1271</v>
      </c>
      <c r="Y1182" s="10">
        <v>16</v>
      </c>
      <c r="Z1182" s="30"/>
      <c r="AA1182" s="31"/>
      <c r="AB1182" s="32"/>
      <c r="AC1182" s="32"/>
      <c r="AD1182" s="32"/>
      <c r="AE1182" s="32">
        <f t="shared" si="317"/>
        <v>0</v>
      </c>
      <c r="AF1182" s="12"/>
      <c r="AG1182" s="12"/>
      <c r="AH1182" s="12"/>
      <c r="AI1182" s="12">
        <f t="shared" si="318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90"/>
      <c r="D1183" s="32"/>
      <c r="E1183" s="32"/>
      <c r="F1183" s="32"/>
      <c r="G1183" s="32">
        <f t="shared" si="313"/>
        <v>0</v>
      </c>
      <c r="H1183" s="12"/>
      <c r="I1183" s="12"/>
      <c r="J1183" s="12"/>
      <c r="K1183" s="12">
        <f t="shared" si="314"/>
        <v>0</v>
      </c>
      <c r="M1183" s="10">
        <v>17</v>
      </c>
      <c r="N1183" s="30" t="s">
        <v>102</v>
      </c>
      <c r="O1183" s="31">
        <f t="shared" si="320"/>
        <v>7443</v>
      </c>
      <c r="P1183" s="35">
        <f>34430+3070+229</f>
        <v>37729</v>
      </c>
      <c r="Q1183" s="32"/>
      <c r="R1183" s="32"/>
      <c r="S1183" s="32">
        <f t="shared" si="315"/>
        <v>37729</v>
      </c>
      <c r="T1183" s="12"/>
      <c r="U1183" s="12"/>
      <c r="V1183" s="12"/>
      <c r="W1183" s="12">
        <f t="shared" si="316"/>
        <v>37729</v>
      </c>
      <c r="Y1183" s="10">
        <v>17</v>
      </c>
      <c r="Z1183" s="30"/>
      <c r="AA1183" s="31"/>
      <c r="AB1183" s="35"/>
      <c r="AC1183" s="32"/>
      <c r="AD1183" s="32"/>
      <c r="AE1183" s="32">
        <f t="shared" si="317"/>
        <v>0</v>
      </c>
      <c r="AF1183" s="12"/>
      <c r="AG1183" s="12"/>
      <c r="AH1183" s="12"/>
      <c r="AI1183" s="12">
        <f t="shared" si="318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90"/>
      <c r="D1184" s="32"/>
      <c r="E1184" s="32"/>
      <c r="F1184" s="32"/>
      <c r="G1184" s="32">
        <f t="shared" si="313"/>
        <v>0</v>
      </c>
      <c r="H1184" s="12"/>
      <c r="I1184" s="12"/>
      <c r="J1184" s="12"/>
      <c r="K1184" s="12">
        <f t="shared" si="314"/>
        <v>0</v>
      </c>
      <c r="M1184" s="10">
        <v>18</v>
      </c>
      <c r="N1184" s="30" t="s">
        <v>102</v>
      </c>
      <c r="O1184" s="31">
        <f t="shared" si="320"/>
        <v>7444</v>
      </c>
      <c r="P1184" s="32">
        <f>2504+38</f>
        <v>2542</v>
      </c>
      <c r="Q1184" s="32"/>
      <c r="R1184" s="32"/>
      <c r="S1184" s="32">
        <f t="shared" si="315"/>
        <v>2542</v>
      </c>
      <c r="T1184" s="12"/>
      <c r="U1184" s="12"/>
      <c r="V1184" s="12"/>
      <c r="W1184" s="12">
        <f t="shared" si="316"/>
        <v>2542</v>
      </c>
      <c r="Y1184" s="10">
        <v>18</v>
      </c>
      <c r="Z1184" s="30"/>
      <c r="AA1184" s="31"/>
      <c r="AB1184" s="32"/>
      <c r="AC1184" s="32"/>
      <c r="AD1184" s="32"/>
      <c r="AE1184" s="32">
        <f t="shared" si="317"/>
        <v>0</v>
      </c>
      <c r="AF1184" s="12"/>
      <c r="AG1184" s="12"/>
      <c r="AH1184" s="12"/>
      <c r="AI1184" s="12">
        <f t="shared" si="318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90"/>
      <c r="D1185" s="32"/>
      <c r="E1185" s="32"/>
      <c r="F1185" s="32"/>
      <c r="G1185" s="32">
        <f t="shared" si="313"/>
        <v>0</v>
      </c>
      <c r="H1185" s="12"/>
      <c r="I1185" s="12"/>
      <c r="J1185" s="12"/>
      <c r="K1185" s="12">
        <f t="shared" si="314"/>
        <v>0</v>
      </c>
      <c r="M1185" s="10">
        <v>19</v>
      </c>
      <c r="N1185" s="30" t="s">
        <v>102</v>
      </c>
      <c r="O1185" s="31">
        <f t="shared" si="320"/>
        <v>7445</v>
      </c>
      <c r="P1185" s="32">
        <f>3756+57</f>
        <v>3813</v>
      </c>
      <c r="Q1185" s="32"/>
      <c r="R1185" s="32"/>
      <c r="S1185" s="32">
        <f t="shared" si="315"/>
        <v>3813</v>
      </c>
      <c r="T1185" s="12"/>
      <c r="U1185" s="12"/>
      <c r="V1185" s="12"/>
      <c r="W1185" s="12">
        <f t="shared" si="316"/>
        <v>3813</v>
      </c>
      <c r="Y1185" s="10">
        <v>19</v>
      </c>
      <c r="Z1185" s="30"/>
      <c r="AA1185" s="31"/>
      <c r="AB1185" s="32"/>
      <c r="AC1185" s="32"/>
      <c r="AD1185" s="32"/>
      <c r="AE1185" s="32">
        <f t="shared" si="317"/>
        <v>0</v>
      </c>
      <c r="AF1185" s="12"/>
      <c r="AG1185" s="12"/>
      <c r="AH1185" s="12"/>
      <c r="AI1185" s="12">
        <f t="shared" si="318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90"/>
      <c r="D1186" s="32"/>
      <c r="E1186" s="32"/>
      <c r="F1186" s="32"/>
      <c r="G1186" s="32">
        <f t="shared" si="313"/>
        <v>0</v>
      </c>
      <c r="H1186" s="12"/>
      <c r="I1186" s="12"/>
      <c r="J1186" s="12"/>
      <c r="K1186" s="12">
        <f t="shared" si="314"/>
        <v>0</v>
      </c>
      <c r="M1186" s="10">
        <v>20</v>
      </c>
      <c r="N1186" s="30" t="s">
        <v>102</v>
      </c>
      <c r="O1186" s="31">
        <f t="shared" si="320"/>
        <v>7446</v>
      </c>
      <c r="P1186" s="32">
        <f>8138+1228+1192+142.5</f>
        <v>10700.5</v>
      </c>
      <c r="Q1186" s="32"/>
      <c r="R1186" s="32"/>
      <c r="S1186" s="32">
        <f t="shared" si="315"/>
        <v>10700.5</v>
      </c>
      <c r="T1186" s="12"/>
      <c r="U1186" s="12"/>
      <c r="V1186" s="12"/>
      <c r="W1186" s="12">
        <f t="shared" si="316"/>
        <v>10700.5</v>
      </c>
      <c r="Y1186" s="10">
        <v>20</v>
      </c>
      <c r="Z1186" s="30"/>
      <c r="AA1186" s="31"/>
      <c r="AB1186" s="32"/>
      <c r="AC1186" s="32"/>
      <c r="AD1186" s="32"/>
      <c r="AE1186" s="32">
        <f t="shared" si="317"/>
        <v>0</v>
      </c>
      <c r="AF1186" s="12"/>
      <c r="AG1186" s="12"/>
      <c r="AH1186" s="12"/>
      <c r="AI1186" s="12">
        <f t="shared" si="318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57"/>
      <c r="D1187" s="32"/>
      <c r="E1187" s="32"/>
      <c r="F1187" s="32"/>
      <c r="G1187" s="32">
        <f t="shared" si="313"/>
        <v>0</v>
      </c>
      <c r="H1187" s="10"/>
      <c r="I1187" s="10"/>
      <c r="J1187" s="10"/>
      <c r="K1187" s="12">
        <f t="shared" si="314"/>
        <v>0</v>
      </c>
      <c r="M1187" s="10">
        <v>21</v>
      </c>
      <c r="N1187" s="30" t="s">
        <v>102</v>
      </c>
      <c r="O1187" s="31">
        <f t="shared" si="320"/>
        <v>7447</v>
      </c>
      <c r="P1187" s="46">
        <f>626+9.5</f>
        <v>635.5</v>
      </c>
      <c r="Q1187" s="31"/>
      <c r="R1187" s="31"/>
      <c r="S1187" s="32">
        <f t="shared" si="315"/>
        <v>635.5</v>
      </c>
      <c r="T1187" s="10"/>
      <c r="U1187" s="10"/>
      <c r="V1187" s="10"/>
      <c r="W1187" s="12">
        <f t="shared" si="316"/>
        <v>635.5</v>
      </c>
      <c r="Y1187" s="10">
        <v>21</v>
      </c>
      <c r="Z1187" s="30"/>
      <c r="AB1187" s="46"/>
      <c r="AC1187" s="31"/>
      <c r="AD1187" s="31"/>
      <c r="AE1187" s="32">
        <f t="shared" si="317"/>
        <v>0</v>
      </c>
      <c r="AF1187" s="10"/>
      <c r="AG1187" s="10"/>
      <c r="AH1187" s="10"/>
      <c r="AI1187" s="12">
        <f t="shared" si="318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90"/>
      <c r="D1188" s="32"/>
      <c r="E1188" s="32"/>
      <c r="F1188" s="32"/>
      <c r="G1188" s="32">
        <f t="shared" si="313"/>
        <v>0</v>
      </c>
      <c r="H1188" s="10"/>
      <c r="I1188" s="10"/>
      <c r="J1188" s="10"/>
      <c r="K1188" s="12">
        <f t="shared" si="314"/>
        <v>0</v>
      </c>
      <c r="M1188" s="10">
        <v>22</v>
      </c>
      <c r="N1188" s="30" t="s">
        <v>102</v>
      </c>
      <c r="O1188" s="31">
        <f t="shared" si="320"/>
        <v>7448</v>
      </c>
      <c r="P1188" s="45">
        <f>626+9.5</f>
        <v>635.5</v>
      </c>
      <c r="Q1188" s="31"/>
      <c r="R1188" s="31"/>
      <c r="S1188" s="32">
        <f t="shared" si="315"/>
        <v>635.5</v>
      </c>
      <c r="T1188" s="10"/>
      <c r="U1188" s="10"/>
      <c r="V1188" s="10"/>
      <c r="W1188" s="12">
        <f t="shared" si="316"/>
        <v>635.5</v>
      </c>
      <c r="Y1188" s="10">
        <v>22</v>
      </c>
      <c r="Z1188" s="30"/>
      <c r="AA1188" s="31"/>
      <c r="AB1188" s="45"/>
      <c r="AC1188" s="31"/>
      <c r="AD1188" s="31"/>
      <c r="AE1188" s="32">
        <f t="shared" si="317"/>
        <v>0</v>
      </c>
      <c r="AF1188" s="10"/>
      <c r="AG1188" s="10"/>
      <c r="AH1188" s="10"/>
      <c r="AI1188" s="12">
        <f t="shared" si="318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57"/>
      <c r="D1189" s="32"/>
      <c r="E1189" s="32"/>
      <c r="F1189" s="32"/>
      <c r="G1189" s="32">
        <f t="shared" si="313"/>
        <v>0</v>
      </c>
      <c r="H1189" s="10"/>
      <c r="I1189" s="10"/>
      <c r="J1189" s="12"/>
      <c r="K1189" s="12">
        <f t="shared" si="314"/>
        <v>0</v>
      </c>
      <c r="M1189" s="10">
        <v>23</v>
      </c>
      <c r="N1189" s="30" t="s">
        <v>102</v>
      </c>
      <c r="O1189" s="31">
        <f t="shared" si="320"/>
        <v>7449</v>
      </c>
      <c r="P1189" s="47">
        <f>2504+596+832+47.5</f>
        <v>3979.5</v>
      </c>
      <c r="Q1189" s="31"/>
      <c r="S1189" s="32">
        <f t="shared" si="315"/>
        <v>3979.5</v>
      </c>
      <c r="T1189" s="10"/>
      <c r="U1189" s="10"/>
      <c r="V1189" s="10"/>
      <c r="W1189" s="12">
        <f t="shared" si="316"/>
        <v>3979.5</v>
      </c>
      <c r="Y1189" s="10">
        <v>23</v>
      </c>
      <c r="Z1189" s="30"/>
      <c r="AA1189" s="31"/>
      <c r="AB1189" s="47"/>
      <c r="AC1189" s="31"/>
      <c r="AE1189" s="32">
        <f t="shared" si="317"/>
        <v>0</v>
      </c>
      <c r="AF1189" s="10"/>
      <c r="AG1189" s="10"/>
      <c r="AH1189" s="10"/>
      <c r="AI1189" s="12">
        <f t="shared" si="318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90"/>
      <c r="D1190" s="32"/>
      <c r="E1190" s="32"/>
      <c r="F1190" s="32"/>
      <c r="G1190" s="32">
        <f t="shared" si="313"/>
        <v>0</v>
      </c>
      <c r="H1190" s="10"/>
      <c r="I1190" s="10"/>
      <c r="J1190" s="10"/>
      <c r="K1190" s="12">
        <f t="shared" si="314"/>
        <v>0</v>
      </c>
      <c r="M1190" s="10">
        <v>24</v>
      </c>
      <c r="N1190" s="30" t="s">
        <v>102</v>
      </c>
      <c r="O1190" s="31">
        <f t="shared" si="320"/>
        <v>7450</v>
      </c>
      <c r="P1190" s="47">
        <f>3130+614+1192+66.5</f>
        <v>5002.5</v>
      </c>
      <c r="Q1190" s="31"/>
      <c r="R1190" s="31"/>
      <c r="S1190" s="32">
        <f t="shared" si="315"/>
        <v>5002.5</v>
      </c>
      <c r="T1190" s="10"/>
      <c r="U1190" s="10">
        <f>40.5</f>
        <v>40.5</v>
      </c>
      <c r="V1190" s="10"/>
      <c r="W1190" s="12">
        <f t="shared" si="316"/>
        <v>5043</v>
      </c>
      <c r="Y1190" s="10">
        <v>24</v>
      </c>
      <c r="Z1190" s="30"/>
      <c r="AA1190" s="31"/>
      <c r="AB1190" s="47"/>
      <c r="AC1190" s="31"/>
      <c r="AD1190" s="31"/>
      <c r="AE1190" s="32">
        <f t="shared" si="317"/>
        <v>0</v>
      </c>
      <c r="AF1190" s="10"/>
      <c r="AG1190" s="10"/>
      <c r="AH1190" s="10"/>
      <c r="AI1190" s="12">
        <f t="shared" si="318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90"/>
      <c r="D1191" s="32"/>
      <c r="E1191" s="32"/>
      <c r="F1191" s="32"/>
      <c r="G1191" s="32">
        <f t="shared" si="313"/>
        <v>0</v>
      </c>
      <c r="H1191" s="10"/>
      <c r="I1191" s="10"/>
      <c r="J1191" s="10"/>
      <c r="K1191" s="12">
        <f t="shared" si="314"/>
        <v>0</v>
      </c>
      <c r="M1191" s="10">
        <v>25</v>
      </c>
      <c r="N1191" s="30"/>
      <c r="O1191" s="11" t="s">
        <v>27</v>
      </c>
      <c r="P1191" s="47"/>
      <c r="Q1191" s="31"/>
      <c r="R1191" s="31"/>
      <c r="S1191" s="32">
        <f t="shared" si="315"/>
        <v>0</v>
      </c>
      <c r="T1191" s="10"/>
      <c r="U1191" s="10"/>
      <c r="V1191" s="10"/>
      <c r="W1191" s="12">
        <f t="shared" si="316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17"/>
        <v>0</v>
      </c>
      <c r="AF1191" s="10"/>
      <c r="AG1191" s="10"/>
      <c r="AH1191" s="10"/>
      <c r="AI1191" s="12">
        <f t="shared" si="318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90"/>
      <c r="D1192" s="32"/>
      <c r="E1192" s="32"/>
      <c r="F1192" s="32"/>
      <c r="G1192" s="32">
        <f t="shared" si="313"/>
        <v>0</v>
      </c>
      <c r="H1192" s="10"/>
      <c r="I1192" s="10"/>
      <c r="J1192" s="10"/>
      <c r="K1192" s="12">
        <f t="shared" si="314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15"/>
        <v>0</v>
      </c>
      <c r="T1192" s="10"/>
      <c r="U1192" s="10"/>
      <c r="V1192" s="10"/>
      <c r="W1192" s="12">
        <f t="shared" si="316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17"/>
        <v>0</v>
      </c>
      <c r="AF1192" s="10"/>
      <c r="AG1192" s="10"/>
      <c r="AH1192" s="10"/>
      <c r="AI1192" s="12">
        <f t="shared" si="318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90"/>
      <c r="D1193" s="32"/>
      <c r="E1193" s="32"/>
      <c r="F1193" s="32"/>
      <c r="G1193" s="32">
        <f t="shared" si="313"/>
        <v>0</v>
      </c>
      <c r="H1193" s="10"/>
      <c r="I1193" s="10"/>
      <c r="J1193" s="10"/>
      <c r="K1193" s="12">
        <f t="shared" si="314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15"/>
        <v>0</v>
      </c>
      <c r="T1193" s="10"/>
      <c r="U1193" s="10"/>
      <c r="V1193" s="10"/>
      <c r="W1193" s="12">
        <f t="shared" si="316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17"/>
        <v>0</v>
      </c>
      <c r="AF1193" s="10"/>
      <c r="AG1193" s="10"/>
      <c r="AH1193" s="10"/>
      <c r="AI1193" s="12">
        <f t="shared" si="318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90"/>
      <c r="D1194" s="32"/>
      <c r="E1194" s="32"/>
      <c r="F1194" s="32"/>
      <c r="G1194" s="32">
        <f t="shared" si="313"/>
        <v>0</v>
      </c>
      <c r="H1194" s="10"/>
      <c r="I1194" s="10"/>
      <c r="J1194" s="10"/>
      <c r="K1194" s="12">
        <f t="shared" si="314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15"/>
        <v>0</v>
      </c>
      <c r="T1194" s="10"/>
      <c r="U1194" s="10"/>
      <c r="V1194" s="10"/>
      <c r="W1194" s="12">
        <f t="shared" si="316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17"/>
        <v>0</v>
      </c>
      <c r="AF1194" s="10"/>
      <c r="AG1194" s="10"/>
      <c r="AH1194" s="10"/>
      <c r="AI1194" s="12">
        <f t="shared" si="318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90"/>
      <c r="D1195" s="32"/>
      <c r="E1195" s="32"/>
      <c r="F1195" s="32"/>
      <c r="G1195" s="32">
        <f t="shared" si="313"/>
        <v>0</v>
      </c>
      <c r="H1195" s="10"/>
      <c r="I1195" s="10"/>
      <c r="J1195" s="10"/>
      <c r="K1195" s="12">
        <f t="shared" si="314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315"/>
        <v>0</v>
      </c>
      <c r="T1195" s="10"/>
      <c r="U1195" s="10"/>
      <c r="V1195" s="10"/>
      <c r="W1195" s="12">
        <f t="shared" si="316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17"/>
        <v>0</v>
      </c>
      <c r="AF1195" s="10"/>
      <c r="AG1195" s="10"/>
      <c r="AH1195" s="10"/>
      <c r="AI1195" s="12">
        <f t="shared" si="318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13"/>
        <v>0</v>
      </c>
      <c r="H1196" s="10"/>
      <c r="I1196" s="10"/>
      <c r="J1196" s="10"/>
      <c r="K1196" s="12">
        <f t="shared" si="314"/>
        <v>0</v>
      </c>
      <c r="M1196" s="10">
        <v>30</v>
      </c>
      <c r="N1196" s="30"/>
      <c r="P1196" s="47"/>
      <c r="Q1196" s="31"/>
      <c r="R1196" s="31"/>
      <c r="S1196" s="32">
        <f t="shared" si="315"/>
        <v>0</v>
      </c>
      <c r="T1196" s="10"/>
      <c r="U1196" s="10"/>
      <c r="V1196" s="10"/>
      <c r="W1196" s="12">
        <f t="shared" si="316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17"/>
        <v>0</v>
      </c>
      <c r="AF1196" s="10"/>
      <c r="AG1196" s="10"/>
      <c r="AH1196" s="10"/>
      <c r="AI1196" s="12">
        <f t="shared" si="318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90"/>
      <c r="D1197" s="32"/>
      <c r="E1197" s="32"/>
      <c r="F1197" s="32"/>
      <c r="G1197" s="32">
        <f t="shared" si="313"/>
        <v>0</v>
      </c>
      <c r="H1197" s="10"/>
      <c r="I1197" s="10"/>
      <c r="J1197" s="10"/>
      <c r="K1197" s="12">
        <f t="shared" si="314"/>
        <v>0</v>
      </c>
      <c r="M1197" s="10">
        <v>31</v>
      </c>
      <c r="N1197" s="30"/>
      <c r="P1197" s="47"/>
      <c r="Q1197" s="31"/>
      <c r="R1197" s="31"/>
      <c r="S1197" s="32">
        <f t="shared" si="315"/>
        <v>0</v>
      </c>
      <c r="T1197" s="10"/>
      <c r="U1197" s="10"/>
      <c r="V1197" s="10"/>
      <c r="W1197" s="12">
        <f t="shared" si="316"/>
        <v>0</v>
      </c>
      <c r="Y1197" s="10">
        <v>31</v>
      </c>
      <c r="Z1197" s="30"/>
      <c r="AB1197" s="47"/>
      <c r="AC1197" s="31"/>
      <c r="AD1197" s="31"/>
      <c r="AE1197" s="32">
        <f t="shared" si="317"/>
        <v>0</v>
      </c>
      <c r="AF1197" s="10"/>
      <c r="AG1197" s="10"/>
      <c r="AH1197" s="10"/>
      <c r="AI1197" s="12">
        <f t="shared" si="318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90"/>
      <c r="D1198" s="32"/>
      <c r="E1198" s="32"/>
      <c r="F1198" s="32"/>
      <c r="G1198" s="32">
        <f t="shared" si="313"/>
        <v>0</v>
      </c>
      <c r="H1198" s="10"/>
      <c r="I1198" s="10"/>
      <c r="J1198" s="10"/>
      <c r="K1198" s="12">
        <f t="shared" si="314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15"/>
        <v>0</v>
      </c>
      <c r="T1198" s="10"/>
      <c r="U1198" s="10"/>
      <c r="V1198" s="10"/>
      <c r="W1198" s="12">
        <f t="shared" si="316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17"/>
        <v>0</v>
      </c>
      <c r="AF1198" s="10"/>
      <c r="AG1198" s="10"/>
      <c r="AH1198" s="10"/>
      <c r="AI1198" s="12">
        <f t="shared" si="318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90"/>
      <c r="D1199" s="32"/>
      <c r="E1199" s="32"/>
      <c r="F1199" s="32"/>
      <c r="G1199" s="32">
        <f t="shared" si="313"/>
        <v>0</v>
      </c>
      <c r="H1199" s="10"/>
      <c r="I1199" s="10"/>
      <c r="J1199" s="10"/>
      <c r="K1199" s="12">
        <f t="shared" si="314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15"/>
        <v>0</v>
      </c>
      <c r="T1199" s="10"/>
      <c r="U1199" s="10"/>
      <c r="V1199" s="10"/>
      <c r="W1199" s="12">
        <f t="shared" si="316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17"/>
        <v>0</v>
      </c>
      <c r="AF1199" s="10"/>
      <c r="AG1199" s="10"/>
      <c r="AH1199" s="10"/>
      <c r="AI1199" s="12">
        <f t="shared" si="318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90"/>
      <c r="D1200" s="32"/>
      <c r="E1200" s="32"/>
      <c r="F1200" s="32"/>
      <c r="G1200" s="32">
        <f t="shared" si="313"/>
        <v>0</v>
      </c>
      <c r="H1200" s="10"/>
      <c r="I1200" s="10"/>
      <c r="J1200" s="10"/>
      <c r="K1200" s="12">
        <f t="shared" si="314"/>
        <v>0</v>
      </c>
      <c r="M1200" s="10">
        <v>34</v>
      </c>
      <c r="N1200" s="30"/>
      <c r="P1200" s="47"/>
      <c r="Q1200" s="31"/>
      <c r="R1200" s="31"/>
      <c r="S1200" s="32">
        <f t="shared" si="315"/>
        <v>0</v>
      </c>
      <c r="T1200" s="10"/>
      <c r="U1200" s="10"/>
      <c r="V1200" s="10"/>
      <c r="W1200" s="12">
        <f t="shared" si="316"/>
        <v>0</v>
      </c>
      <c r="Y1200" s="10">
        <v>34</v>
      </c>
      <c r="Z1200" s="30"/>
      <c r="AB1200" s="47"/>
      <c r="AC1200" s="31"/>
      <c r="AD1200" s="31"/>
      <c r="AE1200" s="32">
        <f t="shared" si="317"/>
        <v>0</v>
      </c>
      <c r="AF1200" s="10"/>
      <c r="AG1200" s="10"/>
      <c r="AH1200" s="10"/>
      <c r="AI1200" s="12">
        <f t="shared" si="318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31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15"/>
        <v>0</v>
      </c>
      <c r="T1201" s="10"/>
      <c r="U1201" s="10"/>
      <c r="V1201" s="10"/>
      <c r="W1201" s="12">
        <f t="shared" si="316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17"/>
        <v>0</v>
      </c>
      <c r="AF1201" s="10"/>
      <c r="AG1201" s="10"/>
      <c r="AH1201" s="10"/>
      <c r="AI1201" s="12">
        <f t="shared" si="318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31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15"/>
        <v>0</v>
      </c>
      <c r="T1202" s="10"/>
      <c r="U1202" s="10"/>
      <c r="V1202" s="10"/>
      <c r="W1202" s="12">
        <f t="shared" si="316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17"/>
        <v>0</v>
      </c>
      <c r="AF1202" s="10"/>
      <c r="AG1202" s="10"/>
      <c r="AH1202" s="10"/>
      <c r="AI1202" s="12">
        <f t="shared" si="318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15"/>
        <v>0</v>
      </c>
      <c r="T1203" s="10"/>
      <c r="U1203" s="10"/>
      <c r="V1203" s="10"/>
      <c r="W1203" s="12">
        <f t="shared" si="316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17"/>
        <v>0</v>
      </c>
      <c r="AF1203" s="10"/>
      <c r="AG1203" s="10"/>
      <c r="AH1203" s="10"/>
      <c r="AI1203" s="12">
        <f t="shared" si="318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15"/>
        <v>0</v>
      </c>
      <c r="T1204" s="10"/>
      <c r="U1204" s="10"/>
      <c r="V1204" s="10"/>
      <c r="W1204" s="12">
        <f t="shared" si="316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17"/>
        <v>0</v>
      </c>
      <c r="AF1204" s="10"/>
      <c r="AG1204" s="10"/>
      <c r="AH1204" s="10"/>
      <c r="AI1204" s="12">
        <f t="shared" si="318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15"/>
        <v>0</v>
      </c>
      <c r="T1205" s="10"/>
      <c r="U1205" s="10"/>
      <c r="V1205" s="10"/>
      <c r="W1205" s="12">
        <f t="shared" si="316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17"/>
        <v>0</v>
      </c>
      <c r="AF1205" s="10"/>
      <c r="AG1205" s="10"/>
      <c r="AH1205" s="10"/>
      <c r="AI1205" s="12">
        <f t="shared" si="318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16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18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22">SUM(D1207:E1207)</f>
        <v>0</v>
      </c>
      <c r="H1207" s="10"/>
      <c r="I1207" s="10"/>
      <c r="J1207" s="10"/>
      <c r="K1207" s="12">
        <f t="shared" ref="K1207" si="323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24">SUM(P1207:Q1207)</f>
        <v>0</v>
      </c>
      <c r="T1207" s="10"/>
      <c r="U1207" s="10"/>
      <c r="V1207" s="10"/>
      <c r="W1207" s="12">
        <f t="shared" si="316"/>
        <v>0</v>
      </c>
      <c r="Y1207" s="10"/>
      <c r="Z1207" s="30"/>
      <c r="AA1207" s="31"/>
      <c r="AB1207" s="47"/>
      <c r="AC1207" s="31"/>
      <c r="AD1207" s="31"/>
      <c r="AE1207" s="32">
        <f t="shared" ref="AE1207" si="325">SUM(AB1207:AC1207)</f>
        <v>0</v>
      </c>
      <c r="AF1207" s="10"/>
      <c r="AG1207" s="10"/>
      <c r="AH1207" s="10"/>
      <c r="AI1207" s="12">
        <f t="shared" si="318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16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18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252922</v>
      </c>
      <c r="E1210" s="38">
        <f t="shared" ref="E1210:F1210" si="326">SUM(E1167:E1207)</f>
        <v>-3033</v>
      </c>
      <c r="F1210" s="38">
        <f t="shared" si="326"/>
        <v>0</v>
      </c>
      <c r="G1210" s="38">
        <f>SUM(G1167:G1209)</f>
        <v>249889</v>
      </c>
      <c r="H1210" s="4"/>
      <c r="I1210" s="39">
        <f>SUM(I1167:I1209)</f>
        <v>195</v>
      </c>
      <c r="J1210" s="39">
        <f>SUM(J1167:J1209)</f>
        <v>-38337</v>
      </c>
      <c r="K1210" s="40">
        <f>SUM(K1167:K1209)</f>
        <v>211747</v>
      </c>
      <c r="N1210" s="57"/>
      <c r="O1210" s="57"/>
      <c r="P1210" s="38">
        <f>SUM(P1167:P1209)</f>
        <v>132687.5</v>
      </c>
      <c r="Q1210" s="38">
        <f>SUM(Q1167:Q1191)</f>
        <v>0</v>
      </c>
      <c r="R1210" s="38">
        <f>SUM(R1167:R1191)</f>
        <v>0</v>
      </c>
      <c r="S1210" s="38">
        <f>SUM(S1167:S1209)</f>
        <v>132687.5</v>
      </c>
      <c r="T1210" s="4"/>
      <c r="U1210" s="41">
        <f>SUM(U1167:U1209)</f>
        <v>81</v>
      </c>
      <c r="V1210" s="41">
        <f>SUM(V1167:V1191)</f>
        <v>0</v>
      </c>
      <c r="W1210" s="42">
        <f>SUM(W1167:W1209)</f>
        <v>132768.5</v>
      </c>
      <c r="Z1210" s="57"/>
      <c r="AA1210" s="57"/>
      <c r="AB1210" s="38">
        <f>SUM(AB1167:AB1209)</f>
        <v>222198</v>
      </c>
      <c r="AC1210" s="38">
        <f>SUM(AC1167:AC1191)</f>
        <v>-1776</v>
      </c>
      <c r="AD1210" s="38">
        <f>SUM(AD1167:AD1191)</f>
        <v>0</v>
      </c>
      <c r="AE1210" s="38">
        <f>SUM(AE1167:AE1209)</f>
        <v>220422</v>
      </c>
      <c r="AF1210" s="4"/>
      <c r="AG1210" s="41">
        <f>SUM(AG1167:AG1209)</f>
        <v>108</v>
      </c>
      <c r="AH1210" s="41">
        <f>SUM(AH1167:AH1191)</f>
        <v>-1644</v>
      </c>
      <c r="AI1210" s="42">
        <f>SUM(AI1167:AI1209)</f>
        <v>218886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52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52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t="s">
        <v>52</v>
      </c>
      <c r="Z1217" s="57"/>
      <c r="AA1217" s="57"/>
      <c r="AB1217" s="57"/>
      <c r="AC1217" s="57"/>
      <c r="AD1217" s="57"/>
      <c r="AE1217" s="57"/>
      <c r="AG1217" s="57" t="s">
        <v>15</v>
      </c>
      <c r="AH1217" s="19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104</v>
      </c>
      <c r="B1218" s="20"/>
      <c r="C1218" s="57"/>
      <c r="D1218" s="57"/>
      <c r="E1218" s="57"/>
      <c r="G1218" s="57"/>
      <c r="I1218" s="22" t="s">
        <v>16</v>
      </c>
      <c r="J1218" s="23" t="s">
        <v>33</v>
      </c>
      <c r="K1218" s="24"/>
      <c r="M1218" s="21" t="s">
        <v>104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42</v>
      </c>
      <c r="W1218" s="24"/>
      <c r="Y1218" s="21" t="s">
        <v>104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31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3" t="s">
        <v>17</v>
      </c>
      <c r="E1220" s="123"/>
      <c r="F1220" s="114"/>
      <c r="G1220" s="27"/>
      <c r="I1220" s="121" t="s">
        <v>18</v>
      </c>
      <c r="J1220" s="122"/>
      <c r="K1220" s="119" t="s">
        <v>19</v>
      </c>
      <c r="N1220" s="25"/>
      <c r="O1220" s="26"/>
      <c r="P1220" s="123" t="s">
        <v>17</v>
      </c>
      <c r="Q1220" s="123"/>
      <c r="R1220" s="114"/>
      <c r="S1220" s="27"/>
      <c r="U1220" s="121" t="s">
        <v>18</v>
      </c>
      <c r="V1220" s="122"/>
      <c r="W1220" s="119" t="s">
        <v>19</v>
      </c>
      <c r="Z1220" s="25"/>
      <c r="AA1220" s="26"/>
      <c r="AB1220" s="123" t="s">
        <v>17</v>
      </c>
      <c r="AC1220" s="123"/>
      <c r="AD1220" s="114"/>
      <c r="AE1220" s="27"/>
      <c r="AG1220" s="121" t="s">
        <v>18</v>
      </c>
      <c r="AH1220" s="122"/>
      <c r="AI1220" s="119" t="s">
        <v>19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9" t="s">
        <v>22</v>
      </c>
      <c r="E1221" s="78" t="s">
        <v>23</v>
      </c>
      <c r="F1221" s="80" t="s">
        <v>32</v>
      </c>
      <c r="G1221" s="80" t="s">
        <v>24</v>
      </c>
      <c r="I1221" s="29" t="s">
        <v>25</v>
      </c>
      <c r="J1221" s="29" t="s">
        <v>26</v>
      </c>
      <c r="K1221" s="120"/>
      <c r="N1221" s="28" t="s">
        <v>20</v>
      </c>
      <c r="O1221" s="28" t="s">
        <v>21</v>
      </c>
      <c r="P1221" s="79" t="s">
        <v>22</v>
      </c>
      <c r="Q1221" s="80" t="s">
        <v>23</v>
      </c>
      <c r="R1221" s="80" t="s">
        <v>32</v>
      </c>
      <c r="S1221" s="80" t="s">
        <v>24</v>
      </c>
      <c r="U1221" s="29" t="s">
        <v>25</v>
      </c>
      <c r="V1221" s="29" t="s">
        <v>26</v>
      </c>
      <c r="W1221" s="120"/>
      <c r="Z1221" s="28" t="s">
        <v>20</v>
      </c>
      <c r="AA1221" s="28" t="s">
        <v>21</v>
      </c>
      <c r="AB1221" s="79" t="s">
        <v>22</v>
      </c>
      <c r="AC1221" s="80" t="s">
        <v>23</v>
      </c>
      <c r="AD1221" s="80" t="s">
        <v>32</v>
      </c>
      <c r="AE1221" s="80" t="s">
        <v>24</v>
      </c>
      <c r="AG1221" s="29" t="s">
        <v>25</v>
      </c>
      <c r="AH1221" s="29" t="s">
        <v>26</v>
      </c>
      <c r="AI1221" s="120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105</v>
      </c>
      <c r="C1222" s="90">
        <v>7510</v>
      </c>
      <c r="D1222" s="32">
        <f>125200+1832+3250</f>
        <v>130282</v>
      </c>
      <c r="E1222" s="32">
        <v>-1917</v>
      </c>
      <c r="F1222" s="32"/>
      <c r="G1222" s="32">
        <f t="shared" ref="G1222:G1266" si="327">SUM(D1222:E1222)</f>
        <v>128365</v>
      </c>
      <c r="H1222" s="12"/>
      <c r="I1222" s="12">
        <v>234</v>
      </c>
      <c r="J1222" s="12">
        <f>-7080+-115551+-2997+-84+-672+-1092+-162+-11+-1.5*14+-120</f>
        <v>-127790</v>
      </c>
      <c r="K1222" s="12">
        <f t="shared" ref="K1222:K1266" si="328">SUM(G1222:J1222)</f>
        <v>809</v>
      </c>
      <c r="M1222" s="10">
        <v>1</v>
      </c>
      <c r="N1222" s="30" t="s">
        <v>105</v>
      </c>
      <c r="O1222" s="31">
        <v>7551</v>
      </c>
      <c r="P1222" s="32">
        <f>5008+1228+1192+95</f>
        <v>7523</v>
      </c>
      <c r="Q1222" s="32"/>
      <c r="R1222" s="32"/>
      <c r="S1222" s="32">
        <f>SUM(P1222:Q1222)</f>
        <v>7523</v>
      </c>
      <c r="T1222" s="12"/>
      <c r="U1222" s="12"/>
      <c r="V1222" s="12"/>
      <c r="W1222" s="12">
        <f>SUM(S1222:V1222)</f>
        <v>7523</v>
      </c>
      <c r="Y1222" s="10">
        <v>1</v>
      </c>
      <c r="Z1222" s="30" t="s">
        <v>105</v>
      </c>
      <c r="AA1222" s="31">
        <v>7342</v>
      </c>
      <c r="AB1222" s="32">
        <f>31300+458</f>
        <v>31758</v>
      </c>
      <c r="AC1222" s="32">
        <v>-312</v>
      </c>
      <c r="AD1222" s="32"/>
      <c r="AE1222" s="32">
        <f>SUM(AB1222:AC1222)</f>
        <v>31446</v>
      </c>
      <c r="AF1222" s="12"/>
      <c r="AG1222" s="12"/>
      <c r="AH1222" s="12">
        <v>-3330</v>
      </c>
      <c r="AI1222" s="12">
        <f>SUM(AE1222:AH1222)</f>
        <v>28116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105</v>
      </c>
      <c r="C1223" s="90">
        <f>C1222+1</f>
        <v>7511</v>
      </c>
      <c r="D1223" s="32">
        <f>1878+614</f>
        <v>2492</v>
      </c>
      <c r="E1223" s="32"/>
      <c r="F1223" s="32"/>
      <c r="G1223" s="32">
        <f t="shared" si="327"/>
        <v>2492</v>
      </c>
      <c r="H1223" s="12"/>
      <c r="I1223" s="12">
        <v>4.5</v>
      </c>
      <c r="J1223" s="12"/>
      <c r="K1223" s="12">
        <f t="shared" si="328"/>
        <v>2496.5</v>
      </c>
      <c r="M1223" s="10">
        <v>2</v>
      </c>
      <c r="N1223" s="30" t="s">
        <v>105</v>
      </c>
      <c r="O1223" s="31">
        <f>O1222+1</f>
        <v>7552</v>
      </c>
      <c r="P1223" s="32">
        <f>2504</f>
        <v>2504</v>
      </c>
      <c r="Q1223" s="32"/>
      <c r="R1223" s="32"/>
      <c r="S1223" s="32">
        <f t="shared" ref="S1223:S1266" si="329">SUM(P1223:Q1223)</f>
        <v>2504</v>
      </c>
      <c r="T1223" s="12"/>
      <c r="U1223" s="12"/>
      <c r="V1223" s="12"/>
      <c r="W1223" s="12">
        <f t="shared" ref="W1223:W1266" si="330">SUM(S1223:V1223)</f>
        <v>2504</v>
      </c>
      <c r="Y1223" s="10">
        <v>2</v>
      </c>
      <c r="Z1223" s="30" t="s">
        <v>105</v>
      </c>
      <c r="AA1223" s="31">
        <f>AA1222+1</f>
        <v>7343</v>
      </c>
      <c r="AB1223" s="32">
        <f>93900+6140+29800+4020+1664</f>
        <v>135524</v>
      </c>
      <c r="AC1223" s="32">
        <v>-1296</v>
      </c>
      <c r="AD1223" s="32"/>
      <c r="AE1223" s="32">
        <f t="shared" ref="AE1223:AE1266" si="331">SUM(AB1223:AC1223)</f>
        <v>134228</v>
      </c>
      <c r="AF1223" s="12"/>
      <c r="AG1223" s="12"/>
      <c r="AH1223" s="12"/>
      <c r="AI1223" s="12">
        <f t="shared" ref="AI1223:AI1266" si="332">SUM(AE1223:AH1223)</f>
        <v>134228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/>
      <c r="C1224" s="11" t="s">
        <v>27</v>
      </c>
      <c r="D1224" s="33"/>
      <c r="E1224" s="33"/>
      <c r="F1224" s="33"/>
      <c r="G1224" s="33">
        <f t="shared" si="327"/>
        <v>0</v>
      </c>
      <c r="H1224" s="34"/>
      <c r="I1224" s="34"/>
      <c r="J1224" s="34"/>
      <c r="K1224" s="34">
        <f t="shared" si="328"/>
        <v>0</v>
      </c>
      <c r="M1224" s="10">
        <v>3</v>
      </c>
      <c r="N1224" s="30" t="s">
        <v>105</v>
      </c>
      <c r="O1224" s="31">
        <f t="shared" ref="O1224:O1251" si="333">O1223+1</f>
        <v>7553</v>
      </c>
      <c r="P1224" s="32">
        <f>1252+596+28.5</f>
        <v>1876.5</v>
      </c>
      <c r="Q1224" s="32"/>
      <c r="R1224" s="32"/>
      <c r="S1224" s="32">
        <f t="shared" si="329"/>
        <v>1876.5</v>
      </c>
      <c r="T1224" s="12"/>
      <c r="U1224" s="12"/>
      <c r="V1224" s="12"/>
      <c r="W1224" s="12">
        <f t="shared" si="330"/>
        <v>1876.5</v>
      </c>
      <c r="Y1224" s="10">
        <v>3</v>
      </c>
      <c r="Z1224" s="30" t="s">
        <v>105</v>
      </c>
      <c r="AA1224" s="31">
        <f t="shared" ref="AA1224:AA1231" si="334">AA1223+1</f>
        <v>7344</v>
      </c>
      <c r="AB1224" s="33">
        <f>626*60+614*10+596*30+229*4</f>
        <v>62496</v>
      </c>
      <c r="AC1224" s="33">
        <v>-624</v>
      </c>
      <c r="AD1224" s="32"/>
      <c r="AE1224" s="32">
        <f t="shared" si="331"/>
        <v>61872</v>
      </c>
      <c r="AF1224" s="12"/>
      <c r="AG1224" s="12">
        <f>555+108</f>
        <v>663</v>
      </c>
      <c r="AH1224" s="12"/>
      <c r="AI1224" s="12">
        <f t="shared" si="332"/>
        <v>62535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/>
      <c r="C1225" s="90"/>
      <c r="D1225" s="32"/>
      <c r="E1225" s="32"/>
      <c r="F1225" s="32"/>
      <c r="G1225" s="32">
        <f t="shared" si="327"/>
        <v>0</v>
      </c>
      <c r="H1225" s="12"/>
      <c r="I1225" s="12"/>
      <c r="J1225" s="12"/>
      <c r="K1225" s="12">
        <f t="shared" si="328"/>
        <v>0</v>
      </c>
      <c r="M1225" s="10">
        <v>4</v>
      </c>
      <c r="N1225" s="30" t="s">
        <v>105</v>
      </c>
      <c r="O1225" s="31">
        <f t="shared" si="333"/>
        <v>7554</v>
      </c>
      <c r="P1225" s="32">
        <f>1252+596+28.5</f>
        <v>1876.5</v>
      </c>
      <c r="Q1225" s="32"/>
      <c r="R1225" s="32"/>
      <c r="S1225" s="32">
        <f t="shared" si="329"/>
        <v>1876.5</v>
      </c>
      <c r="T1225" s="12"/>
      <c r="U1225" s="12"/>
      <c r="V1225" s="12"/>
      <c r="W1225" s="12">
        <f t="shared" si="330"/>
        <v>1876.5</v>
      </c>
      <c r="Y1225" s="10">
        <v>4</v>
      </c>
      <c r="Z1225" s="30" t="s">
        <v>105</v>
      </c>
      <c r="AA1225" s="31">
        <f t="shared" si="334"/>
        <v>7345</v>
      </c>
      <c r="AB1225" s="32">
        <f>17528+674+687</f>
        <v>18889</v>
      </c>
      <c r="AC1225" s="32"/>
      <c r="AD1225" s="32"/>
      <c r="AE1225" s="32">
        <f t="shared" si="331"/>
        <v>18889</v>
      </c>
      <c r="AF1225" s="12"/>
      <c r="AH1225" s="12">
        <v>-3774</v>
      </c>
      <c r="AI1225" s="12">
        <f t="shared" si="332"/>
        <v>15115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/>
      <c r="C1226" s="90"/>
      <c r="D1226" s="32"/>
      <c r="E1226" s="32"/>
      <c r="F1226" s="32"/>
      <c r="G1226" s="32">
        <f t="shared" si="327"/>
        <v>0</v>
      </c>
      <c r="H1226" s="12"/>
      <c r="I1226" s="12"/>
      <c r="J1226" s="12"/>
      <c r="K1226" s="12">
        <f t="shared" si="328"/>
        <v>0</v>
      </c>
      <c r="M1226" s="10">
        <v>5</v>
      </c>
      <c r="N1226" s="30" t="s">
        <v>105</v>
      </c>
      <c r="O1226" s="31">
        <f t="shared" si="333"/>
        <v>7555</v>
      </c>
      <c r="P1226" s="32">
        <f>3130+47.5</f>
        <v>3177.5</v>
      </c>
      <c r="Q1226" s="32"/>
      <c r="R1226" s="32"/>
      <c r="S1226" s="32">
        <f t="shared" si="329"/>
        <v>3177.5</v>
      </c>
      <c r="T1226" s="12"/>
      <c r="U1226" s="12"/>
      <c r="V1226" s="12"/>
      <c r="W1226" s="12">
        <f t="shared" si="330"/>
        <v>3177.5</v>
      </c>
      <c r="Y1226" s="10">
        <v>5</v>
      </c>
      <c r="Z1226" s="30" t="s">
        <v>105</v>
      </c>
      <c r="AA1226" s="31">
        <f t="shared" si="334"/>
        <v>7346</v>
      </c>
      <c r="AB1226" s="32">
        <f>6260+1192</f>
        <v>7452</v>
      </c>
      <c r="AC1226" s="32"/>
      <c r="AD1226" s="32"/>
      <c r="AE1226" s="32">
        <f t="shared" si="331"/>
        <v>7452</v>
      </c>
      <c r="AF1226" s="12"/>
      <c r="AG1226" s="12"/>
      <c r="AH1226" s="12"/>
      <c r="AI1226" s="12">
        <f t="shared" si="332"/>
        <v>7452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/>
      <c r="C1227" s="90"/>
      <c r="D1227" s="32"/>
      <c r="E1227" s="32"/>
      <c r="F1227" s="32"/>
      <c r="G1227" s="32">
        <f t="shared" si="327"/>
        <v>0</v>
      </c>
      <c r="H1227" s="12"/>
      <c r="I1227" s="12"/>
      <c r="J1227" s="12"/>
      <c r="K1227" s="12">
        <f t="shared" si="328"/>
        <v>0</v>
      </c>
      <c r="M1227" s="10">
        <v>6</v>
      </c>
      <c r="N1227" s="30" t="s">
        <v>105</v>
      </c>
      <c r="O1227" s="31">
        <f t="shared" si="333"/>
        <v>7556</v>
      </c>
      <c r="P1227" s="32">
        <f>1252+19</f>
        <v>1271</v>
      </c>
      <c r="Q1227" s="32"/>
      <c r="R1227" s="32"/>
      <c r="S1227" s="32">
        <f t="shared" si="329"/>
        <v>1271</v>
      </c>
      <c r="T1227" s="12"/>
      <c r="U1227" s="12"/>
      <c r="V1227" s="10"/>
      <c r="W1227" s="12">
        <f t="shared" si="330"/>
        <v>1271</v>
      </c>
      <c r="Y1227" s="10">
        <v>6</v>
      </c>
      <c r="Z1227" s="30"/>
      <c r="AA1227" s="11" t="s">
        <v>27</v>
      </c>
      <c r="AB1227" s="32"/>
      <c r="AC1227" s="32"/>
      <c r="AD1227" s="32"/>
      <c r="AE1227" s="32">
        <f t="shared" si="331"/>
        <v>0</v>
      </c>
      <c r="AF1227" s="12"/>
      <c r="AG1227" s="12"/>
      <c r="AH1227" s="10"/>
      <c r="AI1227" s="12">
        <f t="shared" si="332"/>
        <v>0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/>
      <c r="C1228" s="90"/>
      <c r="D1228" s="32"/>
      <c r="E1228" s="32"/>
      <c r="F1228" s="32"/>
      <c r="G1228" s="32">
        <f t="shared" si="327"/>
        <v>0</v>
      </c>
      <c r="H1228" s="12"/>
      <c r="I1228" s="12"/>
      <c r="J1228" s="12"/>
      <c r="K1228" s="12">
        <f t="shared" si="328"/>
        <v>0</v>
      </c>
      <c r="M1228" s="10">
        <v>7</v>
      </c>
      <c r="N1228" s="30" t="s">
        <v>105</v>
      </c>
      <c r="O1228" s="31">
        <f t="shared" si="333"/>
        <v>7557</v>
      </c>
      <c r="P1228" s="32">
        <f>3130+596+57</f>
        <v>3783</v>
      </c>
      <c r="Q1228" s="32"/>
      <c r="R1228" s="32"/>
      <c r="S1228" s="32">
        <f t="shared" si="329"/>
        <v>3783</v>
      </c>
      <c r="T1228" s="12"/>
      <c r="U1228" s="12"/>
      <c r="V1228" s="12"/>
      <c r="W1228" s="12">
        <f t="shared" si="330"/>
        <v>3783</v>
      </c>
      <c r="Y1228" s="10">
        <v>7</v>
      </c>
      <c r="Z1228" s="30"/>
      <c r="AA1228" s="31"/>
      <c r="AB1228" s="32"/>
      <c r="AC1228" s="32"/>
      <c r="AD1228" s="32"/>
      <c r="AE1228" s="32">
        <f t="shared" si="331"/>
        <v>0</v>
      </c>
      <c r="AF1228" s="12"/>
      <c r="AG1228" s="58"/>
      <c r="AH1228" s="12"/>
      <c r="AI1228" s="12">
        <f t="shared" si="332"/>
        <v>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/>
      <c r="C1229" s="90"/>
      <c r="D1229" s="32"/>
      <c r="E1229" s="32"/>
      <c r="F1229" s="32"/>
      <c r="G1229" s="32">
        <f t="shared" si="327"/>
        <v>0</v>
      </c>
      <c r="H1229" s="12"/>
      <c r="I1229" s="12"/>
      <c r="J1229" s="12"/>
      <c r="K1229" s="12">
        <f t="shared" si="328"/>
        <v>0</v>
      </c>
      <c r="M1229" s="10">
        <v>8</v>
      </c>
      <c r="N1229" s="30" t="s">
        <v>105</v>
      </c>
      <c r="O1229" s="31">
        <f t="shared" si="333"/>
        <v>7558</v>
      </c>
      <c r="P1229" s="32">
        <f>1252+852+19</f>
        <v>2123</v>
      </c>
      <c r="Q1229" s="32"/>
      <c r="R1229" s="32"/>
      <c r="S1229" s="32">
        <f t="shared" si="329"/>
        <v>2123</v>
      </c>
      <c r="T1229" s="12"/>
      <c r="U1229" s="12">
        <v>15</v>
      </c>
      <c r="V1229" s="12"/>
      <c r="W1229" s="12">
        <f t="shared" si="330"/>
        <v>2138</v>
      </c>
      <c r="Y1229" s="10">
        <v>8</v>
      </c>
      <c r="Z1229" s="30"/>
      <c r="AA1229" s="31"/>
      <c r="AB1229" s="32"/>
      <c r="AC1229" s="32"/>
      <c r="AE1229" s="32">
        <f t="shared" si="331"/>
        <v>0</v>
      </c>
      <c r="AF1229" s="12"/>
      <c r="AG1229" s="12"/>
      <c r="AH1229" s="12"/>
      <c r="AI1229" s="12">
        <f t="shared" si="332"/>
        <v>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/>
      <c r="C1230" s="90"/>
      <c r="D1230" s="32"/>
      <c r="E1230" s="32"/>
      <c r="F1230" s="32"/>
      <c r="G1230" s="32">
        <f t="shared" si="327"/>
        <v>0</v>
      </c>
      <c r="H1230" s="12"/>
      <c r="I1230" s="12"/>
      <c r="J1230" s="12"/>
      <c r="K1230" s="12">
        <f t="shared" si="328"/>
        <v>0</v>
      </c>
      <c r="M1230" s="10">
        <v>9</v>
      </c>
      <c r="N1230" s="30" t="s">
        <v>105</v>
      </c>
      <c r="O1230" s="31">
        <f t="shared" si="333"/>
        <v>7559</v>
      </c>
      <c r="P1230" s="32">
        <f>2504</f>
        <v>2504</v>
      </c>
      <c r="Q1230" s="32"/>
      <c r="R1230" s="32"/>
      <c r="S1230" s="32">
        <f t="shared" si="329"/>
        <v>2504</v>
      </c>
      <c r="T1230" s="12"/>
      <c r="U1230" s="12"/>
      <c r="V1230" s="12"/>
      <c r="W1230" s="12">
        <f t="shared" si="330"/>
        <v>2504</v>
      </c>
      <c r="Y1230" s="10">
        <v>9</v>
      </c>
      <c r="Z1230" s="30"/>
      <c r="AA1230" s="31"/>
      <c r="AB1230" s="32"/>
      <c r="AC1230" s="32"/>
      <c r="AD1230" s="32"/>
      <c r="AE1230" s="32">
        <f t="shared" si="331"/>
        <v>0</v>
      </c>
      <c r="AF1230" s="12"/>
      <c r="AG1230" s="58"/>
      <c r="AH1230" s="12"/>
      <c r="AI1230" s="12">
        <f t="shared" si="332"/>
        <v>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/>
      <c r="C1231" s="90"/>
      <c r="D1231" s="32"/>
      <c r="E1231" s="32"/>
      <c r="F1231" s="32"/>
      <c r="G1231" s="32">
        <f t="shared" si="327"/>
        <v>0</v>
      </c>
      <c r="H1231" s="12"/>
      <c r="I1231" s="12"/>
      <c r="J1231" s="12"/>
      <c r="K1231" s="12">
        <f t="shared" si="328"/>
        <v>0</v>
      </c>
      <c r="M1231" s="10">
        <v>10</v>
      </c>
      <c r="N1231" s="30" t="s">
        <v>105</v>
      </c>
      <c r="O1231" s="31">
        <f t="shared" si="333"/>
        <v>7560</v>
      </c>
      <c r="P1231" s="32">
        <f>29422+5960+458</f>
        <v>35840</v>
      </c>
      <c r="Q1231" s="32"/>
      <c r="R1231" s="32"/>
      <c r="S1231" s="32">
        <f t="shared" si="329"/>
        <v>35840</v>
      </c>
      <c r="T1231" s="12"/>
      <c r="U1231" s="12"/>
      <c r="V1231" s="12"/>
      <c r="W1231" s="12">
        <f t="shared" si="330"/>
        <v>35840</v>
      </c>
      <c r="Y1231" s="10">
        <v>10</v>
      </c>
      <c r="Z1231" s="30"/>
      <c r="AA1231" s="31"/>
      <c r="AB1231" s="32"/>
      <c r="AC1231" s="32"/>
      <c r="AD1231" s="32"/>
      <c r="AE1231" s="32">
        <f t="shared" si="331"/>
        <v>0</v>
      </c>
      <c r="AF1231" s="12"/>
      <c r="AG1231" s="12"/>
      <c r="AH1231" s="12"/>
      <c r="AI1231" s="12">
        <f t="shared" si="332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/>
      <c r="D1232" s="32"/>
      <c r="E1232" s="32"/>
      <c r="F1232" s="32"/>
      <c r="G1232" s="32">
        <f t="shared" si="327"/>
        <v>0</v>
      </c>
      <c r="H1232" s="12"/>
      <c r="I1232" s="12"/>
      <c r="J1232" s="12"/>
      <c r="K1232" s="12">
        <f t="shared" si="328"/>
        <v>0</v>
      </c>
      <c r="M1232" s="10">
        <v>11</v>
      </c>
      <c r="N1232" s="30" t="s">
        <v>105</v>
      </c>
      <c r="O1232" s="31">
        <f t="shared" si="333"/>
        <v>7561</v>
      </c>
      <c r="P1232" s="32">
        <f>626+596+19</f>
        <v>1241</v>
      </c>
      <c r="Q1232" s="32"/>
      <c r="R1232" s="32"/>
      <c r="S1232" s="32">
        <f t="shared" si="329"/>
        <v>1241</v>
      </c>
      <c r="T1232" s="12"/>
      <c r="U1232" s="12"/>
      <c r="V1232" s="12"/>
      <c r="W1232" s="12">
        <f t="shared" si="330"/>
        <v>1241</v>
      </c>
      <c r="Y1232" s="10">
        <v>11</v>
      </c>
      <c r="Z1232" s="30"/>
      <c r="AB1232" s="32"/>
      <c r="AC1232" s="32"/>
      <c r="AD1232" s="32"/>
      <c r="AE1232" s="32">
        <f t="shared" si="331"/>
        <v>0</v>
      </c>
      <c r="AF1232" s="12"/>
      <c r="AG1232" s="12"/>
      <c r="AH1232" s="12"/>
      <c r="AI1232" s="12">
        <f t="shared" si="332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/>
      <c r="C1233" s="90"/>
      <c r="D1233" s="32"/>
      <c r="E1233" s="32"/>
      <c r="F1233" s="32"/>
      <c r="G1233" s="32">
        <f t="shared" si="327"/>
        <v>0</v>
      </c>
      <c r="H1233" s="12"/>
      <c r="I1233" s="12"/>
      <c r="J1233" s="10"/>
      <c r="K1233" s="12">
        <f t="shared" si="328"/>
        <v>0</v>
      </c>
      <c r="M1233" s="10">
        <v>12</v>
      </c>
      <c r="N1233" s="30" t="s">
        <v>105</v>
      </c>
      <c r="O1233" s="31">
        <f t="shared" si="333"/>
        <v>7562</v>
      </c>
      <c r="P1233" s="32">
        <f>2504+38</f>
        <v>2542</v>
      </c>
      <c r="Q1233" s="32"/>
      <c r="R1233" s="32"/>
      <c r="S1233" s="32">
        <f t="shared" si="329"/>
        <v>2542</v>
      </c>
      <c r="T1233" s="12"/>
      <c r="U1233" s="12"/>
      <c r="V1233" s="12"/>
      <c r="W1233" s="12">
        <f t="shared" si="330"/>
        <v>2542</v>
      </c>
      <c r="Y1233" s="10">
        <v>12</v>
      </c>
      <c r="Z1233" s="30"/>
      <c r="AA1233" s="31"/>
      <c r="AB1233" s="32"/>
      <c r="AC1233" s="32"/>
      <c r="AD1233" s="32"/>
      <c r="AE1233" s="32">
        <f t="shared" si="331"/>
        <v>0</v>
      </c>
      <c r="AF1233" s="12"/>
      <c r="AG1233" s="12"/>
      <c r="AH1233" s="12"/>
      <c r="AI1233" s="12">
        <f t="shared" si="332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90"/>
      <c r="D1234" s="32"/>
      <c r="E1234" s="32"/>
      <c r="F1234" s="32"/>
      <c r="G1234" s="32">
        <f t="shared" si="327"/>
        <v>0</v>
      </c>
      <c r="H1234" s="12"/>
      <c r="I1234" s="12"/>
      <c r="J1234" s="12"/>
      <c r="K1234" s="12">
        <f t="shared" si="328"/>
        <v>0</v>
      </c>
      <c r="M1234" s="10">
        <v>13</v>
      </c>
      <c r="N1234" s="30" t="s">
        <v>105</v>
      </c>
      <c r="O1234" s="31">
        <f t="shared" si="333"/>
        <v>7563</v>
      </c>
      <c r="P1234" s="32">
        <f>1878+28.5</f>
        <v>1906.5</v>
      </c>
      <c r="Q1234" s="32"/>
      <c r="R1234" s="32"/>
      <c r="S1234" s="32">
        <f t="shared" si="329"/>
        <v>1906.5</v>
      </c>
      <c r="T1234" s="12"/>
      <c r="U1234" s="12"/>
      <c r="V1234" s="12"/>
      <c r="W1234" s="12">
        <f t="shared" si="330"/>
        <v>1906.5</v>
      </c>
      <c r="Y1234" s="10">
        <v>13</v>
      </c>
      <c r="Z1234" s="30"/>
      <c r="AA1234" s="31"/>
      <c r="AB1234" s="32"/>
      <c r="AC1234" s="32"/>
      <c r="AD1234" s="32"/>
      <c r="AE1234" s="32">
        <f t="shared" si="331"/>
        <v>0</v>
      </c>
      <c r="AF1234" s="12"/>
      <c r="AG1234" s="12"/>
      <c r="AH1234" s="12"/>
      <c r="AI1234" s="12">
        <f t="shared" si="332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90"/>
      <c r="D1235" s="32"/>
      <c r="E1235" s="32"/>
      <c r="F1235" s="32"/>
      <c r="G1235" s="32">
        <f t="shared" si="327"/>
        <v>0</v>
      </c>
      <c r="H1235" s="12"/>
      <c r="I1235" s="12"/>
      <c r="J1235" s="12"/>
      <c r="K1235" s="12">
        <f t="shared" si="328"/>
        <v>0</v>
      </c>
      <c r="M1235" s="10">
        <v>14</v>
      </c>
      <c r="N1235" s="30" t="s">
        <v>105</v>
      </c>
      <c r="O1235" s="31">
        <f t="shared" si="333"/>
        <v>7564</v>
      </c>
      <c r="P1235" s="32">
        <f>1252+19</f>
        <v>1271</v>
      </c>
      <c r="Q1235" s="32"/>
      <c r="R1235" s="32"/>
      <c r="S1235" s="32">
        <f t="shared" si="329"/>
        <v>1271</v>
      </c>
      <c r="T1235" s="12"/>
      <c r="U1235" s="12"/>
      <c r="V1235" s="12"/>
      <c r="W1235" s="12">
        <f t="shared" si="330"/>
        <v>1271</v>
      </c>
      <c r="Y1235" s="10">
        <v>14</v>
      </c>
      <c r="Z1235" s="30"/>
      <c r="AA1235" s="31"/>
      <c r="AB1235" s="32"/>
      <c r="AC1235" s="32"/>
      <c r="AD1235" s="32"/>
      <c r="AE1235" s="32">
        <f t="shared" si="331"/>
        <v>0</v>
      </c>
      <c r="AF1235" s="12"/>
      <c r="AG1235" s="12"/>
      <c r="AH1235" s="12"/>
      <c r="AI1235" s="12">
        <f t="shared" si="332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90"/>
      <c r="D1236" s="32"/>
      <c r="E1236" s="32"/>
      <c r="F1236" s="32"/>
      <c r="G1236" s="32">
        <f t="shared" si="327"/>
        <v>0</v>
      </c>
      <c r="H1236" s="12"/>
      <c r="I1236" s="12"/>
      <c r="J1236" s="12"/>
      <c r="K1236" s="12">
        <f t="shared" si="328"/>
        <v>0</v>
      </c>
      <c r="M1236" s="10">
        <v>15</v>
      </c>
      <c r="N1236" s="30" t="s">
        <v>105</v>
      </c>
      <c r="O1236" s="31">
        <f t="shared" si="333"/>
        <v>7565</v>
      </c>
      <c r="P1236" s="32">
        <f>4382+66.5</f>
        <v>4448.5</v>
      </c>
      <c r="Q1236" s="32"/>
      <c r="R1236" s="32"/>
      <c r="S1236" s="32">
        <f t="shared" si="329"/>
        <v>4448.5</v>
      </c>
      <c r="T1236" s="12"/>
      <c r="U1236" s="12"/>
      <c r="V1236" s="12"/>
      <c r="W1236" s="12">
        <f t="shared" si="330"/>
        <v>4448.5</v>
      </c>
      <c r="Y1236" s="10">
        <v>15</v>
      </c>
      <c r="Z1236" s="30"/>
      <c r="AA1236" s="31"/>
      <c r="AB1236" s="32"/>
      <c r="AC1236" s="32"/>
      <c r="AD1236" s="32"/>
      <c r="AE1236" s="32">
        <f t="shared" si="331"/>
        <v>0</v>
      </c>
      <c r="AF1236" s="12"/>
      <c r="AG1236" s="12"/>
      <c r="AH1236" s="12"/>
      <c r="AI1236" s="12">
        <f t="shared" si="332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C1237" s="57"/>
      <c r="D1237" s="32"/>
      <c r="E1237" s="32"/>
      <c r="F1237" s="32"/>
      <c r="G1237" s="32">
        <f t="shared" si="327"/>
        <v>0</v>
      </c>
      <c r="H1237" s="12"/>
      <c r="I1237" s="12"/>
      <c r="J1237" s="12"/>
      <c r="K1237" s="12">
        <f t="shared" si="328"/>
        <v>0</v>
      </c>
      <c r="M1237" s="10">
        <v>16</v>
      </c>
      <c r="N1237" s="30" t="s">
        <v>105</v>
      </c>
      <c r="O1237" s="31">
        <f t="shared" si="333"/>
        <v>7566</v>
      </c>
      <c r="P1237" s="32">
        <f>3130+47.5</f>
        <v>3177.5</v>
      </c>
      <c r="Q1237" s="32"/>
      <c r="R1237" s="32"/>
      <c r="S1237" s="32">
        <f t="shared" si="329"/>
        <v>3177.5</v>
      </c>
      <c r="T1237" s="12"/>
      <c r="U1237" s="12"/>
      <c r="V1237" s="12"/>
      <c r="W1237" s="12">
        <f t="shared" si="330"/>
        <v>3177.5</v>
      </c>
      <c r="Y1237" s="10">
        <v>16</v>
      </c>
      <c r="Z1237" s="30"/>
      <c r="AA1237" s="31"/>
      <c r="AB1237" s="32"/>
      <c r="AC1237" s="32"/>
      <c r="AD1237" s="32"/>
      <c r="AE1237" s="32">
        <f t="shared" si="331"/>
        <v>0</v>
      </c>
      <c r="AF1237" s="12"/>
      <c r="AG1237" s="12"/>
      <c r="AH1237" s="12"/>
      <c r="AI1237" s="12">
        <f t="shared" si="332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90"/>
      <c r="D1238" s="32"/>
      <c r="E1238" s="32"/>
      <c r="F1238" s="32"/>
      <c r="G1238" s="32">
        <f t="shared" si="327"/>
        <v>0</v>
      </c>
      <c r="H1238" s="12"/>
      <c r="I1238" s="12"/>
      <c r="J1238" s="12"/>
      <c r="K1238" s="12">
        <f t="shared" si="328"/>
        <v>0</v>
      </c>
      <c r="M1238" s="10">
        <v>17</v>
      </c>
      <c r="N1238" s="30" t="s">
        <v>105</v>
      </c>
      <c r="O1238" s="31">
        <f t="shared" si="333"/>
        <v>7567</v>
      </c>
      <c r="P1238" s="35">
        <f>3130+1228+1192+66.5</f>
        <v>5616.5</v>
      </c>
      <c r="Q1238" s="32"/>
      <c r="R1238" s="32"/>
      <c r="S1238" s="32">
        <f t="shared" si="329"/>
        <v>5616.5</v>
      </c>
      <c r="T1238" s="12"/>
      <c r="U1238" s="12"/>
      <c r="V1238" s="12"/>
      <c r="W1238" s="12">
        <f t="shared" si="330"/>
        <v>5616.5</v>
      </c>
      <c r="Y1238" s="10">
        <v>17</v>
      </c>
      <c r="Z1238" s="30"/>
      <c r="AA1238" s="31"/>
      <c r="AB1238" s="35"/>
      <c r="AC1238" s="32"/>
      <c r="AD1238" s="32"/>
      <c r="AE1238" s="32">
        <f t="shared" si="331"/>
        <v>0</v>
      </c>
      <c r="AF1238" s="12"/>
      <c r="AG1238" s="12"/>
      <c r="AH1238" s="12"/>
      <c r="AI1238" s="12">
        <f t="shared" si="332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90"/>
      <c r="D1239" s="32"/>
      <c r="E1239" s="32"/>
      <c r="F1239" s="32"/>
      <c r="G1239" s="32">
        <f t="shared" si="327"/>
        <v>0</v>
      </c>
      <c r="H1239" s="12"/>
      <c r="I1239" s="12"/>
      <c r="J1239" s="12"/>
      <c r="K1239" s="12">
        <f t="shared" si="328"/>
        <v>0</v>
      </c>
      <c r="M1239" s="10">
        <v>18</v>
      </c>
      <c r="N1239" s="30" t="s">
        <v>105</v>
      </c>
      <c r="O1239" s="31">
        <f t="shared" si="333"/>
        <v>7568</v>
      </c>
      <c r="P1239" s="32">
        <f>1878+28.5</f>
        <v>1906.5</v>
      </c>
      <c r="Q1239" s="32"/>
      <c r="R1239" s="32"/>
      <c r="S1239" s="32">
        <f t="shared" si="329"/>
        <v>1906.5</v>
      </c>
      <c r="T1239" s="12"/>
      <c r="U1239" s="12">
        <v>22.5</v>
      </c>
      <c r="V1239" s="12"/>
      <c r="W1239" s="12">
        <f t="shared" si="330"/>
        <v>1929</v>
      </c>
      <c r="Y1239" s="10">
        <v>18</v>
      </c>
      <c r="Z1239" s="30"/>
      <c r="AA1239" s="31"/>
      <c r="AB1239" s="32"/>
      <c r="AC1239" s="32"/>
      <c r="AD1239" s="32"/>
      <c r="AE1239" s="32">
        <f t="shared" si="331"/>
        <v>0</v>
      </c>
      <c r="AF1239" s="12"/>
      <c r="AG1239" s="12"/>
      <c r="AH1239" s="12"/>
      <c r="AI1239" s="12">
        <f t="shared" si="332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90"/>
      <c r="D1240" s="32"/>
      <c r="E1240" s="32"/>
      <c r="F1240" s="32"/>
      <c r="G1240" s="32">
        <f t="shared" si="327"/>
        <v>0</v>
      </c>
      <c r="H1240" s="12"/>
      <c r="I1240" s="12"/>
      <c r="J1240" s="12"/>
      <c r="K1240" s="12">
        <f t="shared" si="328"/>
        <v>0</v>
      </c>
      <c r="M1240" s="10">
        <v>19</v>
      </c>
      <c r="N1240" s="30" t="s">
        <v>105</v>
      </c>
      <c r="O1240" s="31">
        <f t="shared" si="333"/>
        <v>7569</v>
      </c>
      <c r="P1240" s="32">
        <f>6886+1192+123.5</f>
        <v>8201.5</v>
      </c>
      <c r="Q1240" s="32"/>
      <c r="R1240" s="32"/>
      <c r="S1240" s="32">
        <f t="shared" si="329"/>
        <v>8201.5</v>
      </c>
      <c r="T1240" s="12"/>
      <c r="U1240" s="12"/>
      <c r="V1240" s="12"/>
      <c r="W1240" s="12">
        <f t="shared" si="330"/>
        <v>8201.5</v>
      </c>
      <c r="Y1240" s="10">
        <v>19</v>
      </c>
      <c r="Z1240" s="30"/>
      <c r="AA1240" s="31"/>
      <c r="AB1240" s="32"/>
      <c r="AC1240" s="32"/>
      <c r="AD1240" s="32"/>
      <c r="AE1240" s="32">
        <f t="shared" si="331"/>
        <v>0</v>
      </c>
      <c r="AF1240" s="12"/>
      <c r="AG1240" s="12"/>
      <c r="AH1240" s="12"/>
      <c r="AI1240" s="12">
        <f t="shared" si="332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90"/>
      <c r="D1241" s="32"/>
      <c r="E1241" s="32"/>
      <c r="F1241" s="32"/>
      <c r="G1241" s="32">
        <f t="shared" si="327"/>
        <v>0</v>
      </c>
      <c r="H1241" s="12"/>
      <c r="I1241" s="12"/>
      <c r="J1241" s="12"/>
      <c r="K1241" s="12">
        <f t="shared" si="328"/>
        <v>0</v>
      </c>
      <c r="M1241" s="10">
        <v>20</v>
      </c>
      <c r="N1241" s="30" t="s">
        <v>105</v>
      </c>
      <c r="O1241" s="31">
        <f t="shared" si="333"/>
        <v>7570</v>
      </c>
      <c r="P1241" s="32">
        <f>5008+76</f>
        <v>5084</v>
      </c>
      <c r="Q1241" s="32"/>
      <c r="R1241" s="32"/>
      <c r="S1241" s="32">
        <f t="shared" si="329"/>
        <v>5084</v>
      </c>
      <c r="T1241" s="12"/>
      <c r="U1241" s="12"/>
      <c r="V1241" s="12"/>
      <c r="W1241" s="12">
        <f t="shared" si="330"/>
        <v>5084</v>
      </c>
      <c r="Y1241" s="10">
        <v>20</v>
      </c>
      <c r="Z1241" s="30"/>
      <c r="AA1241" s="31"/>
      <c r="AB1241" s="32"/>
      <c r="AC1241" s="32"/>
      <c r="AD1241" s="32"/>
      <c r="AE1241" s="32">
        <f t="shared" si="331"/>
        <v>0</v>
      </c>
      <c r="AF1241" s="12"/>
      <c r="AG1241" s="12"/>
      <c r="AH1241" s="12"/>
      <c r="AI1241" s="12">
        <f t="shared" si="332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57"/>
      <c r="D1242" s="32"/>
      <c r="E1242" s="32"/>
      <c r="F1242" s="32"/>
      <c r="G1242" s="32">
        <f t="shared" si="327"/>
        <v>0</v>
      </c>
      <c r="H1242" s="10"/>
      <c r="I1242" s="10"/>
      <c r="J1242" s="10"/>
      <c r="K1242" s="12">
        <f t="shared" si="328"/>
        <v>0</v>
      </c>
      <c r="M1242" s="10">
        <v>21</v>
      </c>
      <c r="N1242" s="30" t="s">
        <v>105</v>
      </c>
      <c r="O1242" s="31">
        <f t="shared" si="333"/>
        <v>7571</v>
      </c>
      <c r="P1242" s="46">
        <f>1252+596+28.5</f>
        <v>1876.5</v>
      </c>
      <c r="Q1242" s="31"/>
      <c r="R1242" s="31"/>
      <c r="S1242" s="32">
        <f t="shared" si="329"/>
        <v>1876.5</v>
      </c>
      <c r="T1242" s="10"/>
      <c r="U1242" s="10">
        <v>13.5</v>
      </c>
      <c r="V1242" s="10"/>
      <c r="W1242" s="12">
        <f t="shared" si="330"/>
        <v>1890</v>
      </c>
      <c r="Y1242" s="10">
        <v>21</v>
      </c>
      <c r="Z1242" s="30"/>
      <c r="AB1242" s="46"/>
      <c r="AC1242" s="31"/>
      <c r="AD1242" s="31"/>
      <c r="AE1242" s="32">
        <f t="shared" si="331"/>
        <v>0</v>
      </c>
      <c r="AF1242" s="10"/>
      <c r="AG1242" s="10"/>
      <c r="AH1242" s="10"/>
      <c r="AI1242" s="12">
        <f t="shared" si="332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90"/>
      <c r="D1243" s="32"/>
      <c r="E1243" s="32"/>
      <c r="F1243" s="32"/>
      <c r="G1243" s="32">
        <f t="shared" si="327"/>
        <v>0</v>
      </c>
      <c r="H1243" s="10"/>
      <c r="I1243" s="10"/>
      <c r="J1243" s="10"/>
      <c r="K1243" s="12">
        <f t="shared" si="328"/>
        <v>0</v>
      </c>
      <c r="M1243" s="10">
        <v>22</v>
      </c>
      <c r="N1243" s="30" t="s">
        <v>105</v>
      </c>
      <c r="O1243" s="31">
        <f t="shared" si="333"/>
        <v>7572</v>
      </c>
      <c r="P1243" s="45">
        <f>2504+1788+66.5</f>
        <v>4358.5</v>
      </c>
      <c r="Q1243" s="31"/>
      <c r="R1243" s="31"/>
      <c r="S1243" s="32">
        <f t="shared" si="329"/>
        <v>4358.5</v>
      </c>
      <c r="T1243" s="10"/>
      <c r="U1243" s="10"/>
      <c r="V1243" s="10"/>
      <c r="W1243" s="12">
        <f t="shared" si="330"/>
        <v>4358.5</v>
      </c>
      <c r="Y1243" s="10">
        <v>22</v>
      </c>
      <c r="Z1243" s="30"/>
      <c r="AA1243" s="31"/>
      <c r="AB1243" s="45"/>
      <c r="AC1243" s="31"/>
      <c r="AD1243" s="31"/>
      <c r="AE1243" s="32">
        <f t="shared" si="331"/>
        <v>0</v>
      </c>
      <c r="AF1243" s="10"/>
      <c r="AG1243" s="10"/>
      <c r="AH1243" s="10"/>
      <c r="AI1243" s="12">
        <f t="shared" si="332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57"/>
      <c r="D1244" s="32"/>
      <c r="E1244" s="32"/>
      <c r="F1244" s="32"/>
      <c r="G1244" s="32">
        <f t="shared" si="327"/>
        <v>0</v>
      </c>
      <c r="H1244" s="10"/>
      <c r="I1244" s="10"/>
      <c r="J1244" s="12"/>
      <c r="K1244" s="12">
        <f t="shared" si="328"/>
        <v>0</v>
      </c>
      <c r="M1244" s="10">
        <v>23</v>
      </c>
      <c r="N1244" s="30" t="s">
        <v>105</v>
      </c>
      <c r="O1244" s="31">
        <f t="shared" si="333"/>
        <v>7573</v>
      </c>
      <c r="P1244" s="47">
        <f>3130+2980+95</f>
        <v>6205</v>
      </c>
      <c r="Q1244" s="31"/>
      <c r="S1244" s="32">
        <f t="shared" si="329"/>
        <v>6205</v>
      </c>
      <c r="T1244" s="10"/>
      <c r="U1244" s="10"/>
      <c r="V1244" s="10"/>
      <c r="W1244" s="12">
        <f t="shared" si="330"/>
        <v>6205</v>
      </c>
      <c r="Y1244" s="10">
        <v>23</v>
      </c>
      <c r="Z1244" s="30"/>
      <c r="AA1244" s="31"/>
      <c r="AB1244" s="47"/>
      <c r="AC1244" s="31"/>
      <c r="AE1244" s="32">
        <f t="shared" si="331"/>
        <v>0</v>
      </c>
      <c r="AF1244" s="10"/>
      <c r="AG1244" s="10"/>
      <c r="AH1244" s="10"/>
      <c r="AI1244" s="12">
        <f t="shared" si="332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90"/>
      <c r="D1245" s="32"/>
      <c r="E1245" s="32"/>
      <c r="F1245" s="32"/>
      <c r="G1245" s="32">
        <f t="shared" si="327"/>
        <v>0</v>
      </c>
      <c r="H1245" s="10"/>
      <c r="I1245" s="10"/>
      <c r="J1245" s="10"/>
      <c r="K1245" s="12">
        <f t="shared" si="328"/>
        <v>0</v>
      </c>
      <c r="M1245" s="10">
        <v>24</v>
      </c>
      <c r="N1245" s="30" t="s">
        <v>105</v>
      </c>
      <c r="O1245" s="31">
        <f t="shared" si="333"/>
        <v>7574</v>
      </c>
      <c r="P1245" s="47">
        <f>3130+47.5</f>
        <v>3177.5</v>
      </c>
      <c r="Q1245" s="31"/>
      <c r="R1245" s="31"/>
      <c r="S1245" s="32">
        <f t="shared" si="329"/>
        <v>3177.5</v>
      </c>
      <c r="T1245" s="10"/>
      <c r="U1245" s="10"/>
      <c r="V1245" s="10"/>
      <c r="W1245" s="12">
        <f t="shared" si="330"/>
        <v>3177.5</v>
      </c>
      <c r="Y1245" s="10">
        <v>24</v>
      </c>
      <c r="Z1245" s="30"/>
      <c r="AA1245" s="31"/>
      <c r="AB1245" s="47"/>
      <c r="AC1245" s="31"/>
      <c r="AD1245" s="31"/>
      <c r="AE1245" s="32">
        <f t="shared" si="331"/>
        <v>0</v>
      </c>
      <c r="AF1245" s="10"/>
      <c r="AG1245" s="10"/>
      <c r="AH1245" s="10"/>
      <c r="AI1245" s="12">
        <f t="shared" si="332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90"/>
      <c r="D1246" s="32"/>
      <c r="E1246" s="32"/>
      <c r="F1246" s="32"/>
      <c r="G1246" s="32">
        <f t="shared" si="327"/>
        <v>0</v>
      </c>
      <c r="H1246" s="10"/>
      <c r="I1246" s="10"/>
      <c r="J1246" s="10"/>
      <c r="K1246" s="12">
        <f t="shared" si="328"/>
        <v>0</v>
      </c>
      <c r="M1246" s="10">
        <v>25</v>
      </c>
      <c r="N1246" s="30" t="s">
        <v>105</v>
      </c>
      <c r="O1246" s="31">
        <f t="shared" si="333"/>
        <v>7575</v>
      </c>
      <c r="P1246" s="47">
        <f>1192+19</f>
        <v>1211</v>
      </c>
      <c r="Q1246" s="31"/>
      <c r="R1246" s="31"/>
      <c r="S1246" s="32">
        <f t="shared" si="329"/>
        <v>1211</v>
      </c>
      <c r="T1246" s="10"/>
      <c r="U1246" s="10"/>
      <c r="V1246" s="10"/>
      <c r="W1246" s="12">
        <f t="shared" si="330"/>
        <v>1211</v>
      </c>
      <c r="Y1246" s="10">
        <v>25</v>
      </c>
      <c r="Z1246" s="30"/>
      <c r="AA1246" s="31"/>
      <c r="AB1246" s="47"/>
      <c r="AC1246" s="31"/>
      <c r="AD1246" s="31"/>
      <c r="AE1246" s="32">
        <f t="shared" si="331"/>
        <v>0</v>
      </c>
      <c r="AF1246" s="10"/>
      <c r="AG1246" s="10"/>
      <c r="AH1246" s="10"/>
      <c r="AI1246" s="12">
        <f t="shared" si="332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90"/>
      <c r="D1247" s="32"/>
      <c r="E1247" s="32"/>
      <c r="F1247" s="32"/>
      <c r="G1247" s="32">
        <f t="shared" si="327"/>
        <v>0</v>
      </c>
      <c r="H1247" s="10"/>
      <c r="I1247" s="10"/>
      <c r="J1247" s="10"/>
      <c r="K1247" s="12">
        <f t="shared" si="328"/>
        <v>0</v>
      </c>
      <c r="M1247" s="10">
        <v>26</v>
      </c>
      <c r="N1247" s="30" t="s">
        <v>105</v>
      </c>
      <c r="O1247" s="31">
        <f t="shared" si="333"/>
        <v>7576</v>
      </c>
      <c r="P1247" s="47">
        <f>1878+28.5</f>
        <v>1906.5</v>
      </c>
      <c r="Q1247" s="31"/>
      <c r="R1247" s="31"/>
      <c r="S1247" s="32">
        <f t="shared" si="329"/>
        <v>1906.5</v>
      </c>
      <c r="T1247" s="10"/>
      <c r="U1247" s="10">
        <v>13.5</v>
      </c>
      <c r="V1247" s="10"/>
      <c r="W1247" s="12">
        <f t="shared" si="330"/>
        <v>1920</v>
      </c>
      <c r="Y1247" s="10">
        <v>26</v>
      </c>
      <c r="Z1247" s="30"/>
      <c r="AA1247" s="31"/>
      <c r="AB1247" s="47"/>
      <c r="AC1247" s="31"/>
      <c r="AD1247" s="31"/>
      <c r="AE1247" s="32">
        <f t="shared" si="331"/>
        <v>0</v>
      </c>
      <c r="AF1247" s="10"/>
      <c r="AG1247" s="10"/>
      <c r="AH1247" s="10"/>
      <c r="AI1247" s="12">
        <f t="shared" si="332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90"/>
      <c r="D1248" s="32"/>
      <c r="E1248" s="32"/>
      <c r="F1248" s="32"/>
      <c r="G1248" s="32">
        <f t="shared" si="327"/>
        <v>0</v>
      </c>
      <c r="H1248" s="10"/>
      <c r="I1248" s="10"/>
      <c r="J1248" s="10"/>
      <c r="K1248" s="12">
        <f t="shared" si="328"/>
        <v>0</v>
      </c>
      <c r="M1248" s="10">
        <v>27</v>
      </c>
      <c r="N1248" s="30" t="s">
        <v>105</v>
      </c>
      <c r="O1248" s="31">
        <f t="shared" si="333"/>
        <v>7577</v>
      </c>
      <c r="P1248" s="47">
        <f>626*10+1192+114</f>
        <v>7566</v>
      </c>
      <c r="Q1248" s="31"/>
      <c r="R1248" s="31"/>
      <c r="S1248" s="32">
        <f t="shared" si="329"/>
        <v>7566</v>
      </c>
      <c r="T1248" s="10"/>
      <c r="U1248" s="10"/>
      <c r="V1248" s="10"/>
      <c r="W1248" s="12">
        <f t="shared" si="330"/>
        <v>7566</v>
      </c>
      <c r="Y1248" s="10">
        <v>27</v>
      </c>
      <c r="Z1248" s="30"/>
      <c r="AA1248" s="31"/>
      <c r="AB1248" s="47"/>
      <c r="AC1248" s="31"/>
      <c r="AD1248" s="31"/>
      <c r="AE1248" s="32">
        <f t="shared" si="331"/>
        <v>0</v>
      </c>
      <c r="AF1248" s="10"/>
      <c r="AG1248" s="10"/>
      <c r="AH1248" s="10"/>
      <c r="AI1248" s="12">
        <f t="shared" si="332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90"/>
      <c r="D1249" s="32"/>
      <c r="E1249" s="32"/>
      <c r="F1249" s="32"/>
      <c r="G1249" s="32">
        <f t="shared" si="327"/>
        <v>0</v>
      </c>
      <c r="H1249" s="10"/>
      <c r="I1249" s="10"/>
      <c r="J1249" s="10"/>
      <c r="K1249" s="12">
        <f t="shared" si="328"/>
        <v>0</v>
      </c>
      <c r="M1249" s="10">
        <v>28</v>
      </c>
      <c r="N1249" s="30"/>
      <c r="O1249" s="11" t="s">
        <v>27</v>
      </c>
      <c r="P1249" s="47"/>
      <c r="Q1249" s="31"/>
      <c r="R1249" s="31"/>
      <c r="S1249" s="32">
        <f t="shared" si="329"/>
        <v>0</v>
      </c>
      <c r="T1249" s="10"/>
      <c r="U1249" s="10"/>
      <c r="V1249" s="10"/>
      <c r="W1249" s="12">
        <f t="shared" si="330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31"/>
        <v>0</v>
      </c>
      <c r="AF1249" s="10"/>
      <c r="AG1249" s="10"/>
      <c r="AH1249" s="10"/>
      <c r="AI1249" s="12">
        <f t="shared" si="332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90"/>
      <c r="D1250" s="32"/>
      <c r="E1250" s="32"/>
      <c r="F1250" s="32"/>
      <c r="G1250" s="32">
        <f t="shared" si="327"/>
        <v>0</v>
      </c>
      <c r="H1250" s="10"/>
      <c r="I1250" s="10"/>
      <c r="J1250" s="10"/>
      <c r="K1250" s="12">
        <f t="shared" si="328"/>
        <v>0</v>
      </c>
      <c r="M1250" s="10">
        <v>29</v>
      </c>
      <c r="N1250" s="30"/>
      <c r="O1250" s="31"/>
      <c r="P1250" s="47"/>
      <c r="Q1250" s="31"/>
      <c r="R1250" s="31"/>
      <c r="S1250" s="32">
        <f t="shared" si="329"/>
        <v>0</v>
      </c>
      <c r="T1250" s="10"/>
      <c r="U1250" s="10"/>
      <c r="V1250" s="10"/>
      <c r="W1250" s="12">
        <f t="shared" si="330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331"/>
        <v>0</v>
      </c>
      <c r="AF1250" s="10"/>
      <c r="AG1250" s="10"/>
      <c r="AH1250" s="10"/>
      <c r="AI1250" s="12">
        <f t="shared" si="332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27"/>
        <v>0</v>
      </c>
      <c r="H1251" s="10"/>
      <c r="I1251" s="10"/>
      <c r="J1251" s="10"/>
      <c r="K1251" s="12">
        <f t="shared" si="328"/>
        <v>0</v>
      </c>
      <c r="M1251" s="10">
        <v>30</v>
      </c>
      <c r="N1251" s="30"/>
      <c r="O1251" s="31"/>
      <c r="P1251" s="47"/>
      <c r="Q1251" s="31"/>
      <c r="R1251" s="31"/>
      <c r="S1251" s="32">
        <f t="shared" si="329"/>
        <v>0</v>
      </c>
      <c r="T1251" s="10"/>
      <c r="U1251" s="10"/>
      <c r="V1251" s="10"/>
      <c r="W1251" s="12">
        <f t="shared" si="330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331"/>
        <v>0</v>
      </c>
      <c r="AF1251" s="10"/>
      <c r="AG1251" s="10"/>
      <c r="AH1251" s="10"/>
      <c r="AI1251" s="12">
        <f t="shared" si="332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90"/>
      <c r="D1252" s="32"/>
      <c r="E1252" s="32"/>
      <c r="F1252" s="32"/>
      <c r="G1252" s="32">
        <f t="shared" si="327"/>
        <v>0</v>
      </c>
      <c r="H1252" s="10"/>
      <c r="I1252" s="10"/>
      <c r="J1252" s="10"/>
      <c r="K1252" s="12">
        <f t="shared" si="328"/>
        <v>0</v>
      </c>
      <c r="M1252" s="10">
        <v>31</v>
      </c>
      <c r="N1252" s="30"/>
      <c r="P1252" s="47"/>
      <c r="Q1252" s="31"/>
      <c r="R1252" s="31"/>
      <c r="S1252" s="32">
        <f t="shared" si="329"/>
        <v>0</v>
      </c>
      <c r="T1252" s="10"/>
      <c r="U1252" s="10"/>
      <c r="V1252" s="10"/>
      <c r="W1252" s="12">
        <f t="shared" si="330"/>
        <v>0</v>
      </c>
      <c r="Y1252" s="10">
        <v>31</v>
      </c>
      <c r="Z1252" s="30"/>
      <c r="AB1252" s="47"/>
      <c r="AC1252" s="31"/>
      <c r="AD1252" s="31"/>
      <c r="AE1252" s="32">
        <f t="shared" si="331"/>
        <v>0</v>
      </c>
      <c r="AF1252" s="10"/>
      <c r="AG1252" s="10"/>
      <c r="AH1252" s="10"/>
      <c r="AI1252" s="12">
        <f t="shared" si="332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90"/>
      <c r="D1253" s="32"/>
      <c r="E1253" s="32"/>
      <c r="F1253" s="32"/>
      <c r="G1253" s="32">
        <f t="shared" si="327"/>
        <v>0</v>
      </c>
      <c r="H1253" s="10"/>
      <c r="I1253" s="10"/>
      <c r="J1253" s="10"/>
      <c r="K1253" s="12">
        <f t="shared" si="328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29"/>
        <v>0</v>
      </c>
      <c r="T1253" s="10"/>
      <c r="U1253" s="10"/>
      <c r="V1253" s="10"/>
      <c r="W1253" s="12">
        <f t="shared" si="330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331"/>
        <v>0</v>
      </c>
      <c r="AF1253" s="10"/>
      <c r="AG1253" s="10"/>
      <c r="AH1253" s="10"/>
      <c r="AI1253" s="12">
        <f t="shared" si="332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90"/>
      <c r="D1254" s="32"/>
      <c r="E1254" s="32"/>
      <c r="F1254" s="32"/>
      <c r="G1254" s="32">
        <f t="shared" si="327"/>
        <v>0</v>
      </c>
      <c r="H1254" s="10"/>
      <c r="I1254" s="10"/>
      <c r="J1254" s="10"/>
      <c r="K1254" s="12">
        <f t="shared" si="328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29"/>
        <v>0</v>
      </c>
      <c r="T1254" s="10"/>
      <c r="U1254" s="10"/>
      <c r="V1254" s="10"/>
      <c r="W1254" s="12">
        <f t="shared" si="330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31"/>
        <v>0</v>
      </c>
      <c r="AF1254" s="10"/>
      <c r="AG1254" s="10"/>
      <c r="AH1254" s="10"/>
      <c r="AI1254" s="12">
        <f t="shared" si="332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90"/>
      <c r="D1255" s="32"/>
      <c r="E1255" s="32"/>
      <c r="F1255" s="32"/>
      <c r="G1255" s="32">
        <f t="shared" si="327"/>
        <v>0</v>
      </c>
      <c r="H1255" s="10"/>
      <c r="I1255" s="10"/>
      <c r="J1255" s="10"/>
      <c r="K1255" s="12">
        <f t="shared" si="328"/>
        <v>0</v>
      </c>
      <c r="M1255" s="10">
        <v>34</v>
      </c>
      <c r="N1255" s="30"/>
      <c r="P1255" s="47"/>
      <c r="Q1255" s="31"/>
      <c r="R1255" s="31"/>
      <c r="S1255" s="32">
        <f t="shared" si="329"/>
        <v>0</v>
      </c>
      <c r="T1255" s="10"/>
      <c r="U1255" s="10"/>
      <c r="V1255" s="10"/>
      <c r="W1255" s="12">
        <f t="shared" si="330"/>
        <v>0</v>
      </c>
      <c r="Y1255" s="10">
        <v>34</v>
      </c>
      <c r="Z1255" s="30"/>
      <c r="AB1255" s="47"/>
      <c r="AC1255" s="31"/>
      <c r="AD1255" s="31"/>
      <c r="AE1255" s="32">
        <f t="shared" si="331"/>
        <v>0</v>
      </c>
      <c r="AF1255" s="10"/>
      <c r="AG1255" s="10"/>
      <c r="AH1255" s="10"/>
      <c r="AI1255" s="12">
        <f t="shared" si="332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31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29"/>
        <v>0</v>
      </c>
      <c r="T1256" s="10"/>
      <c r="U1256" s="10"/>
      <c r="V1256" s="10"/>
      <c r="W1256" s="12">
        <f t="shared" si="330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31"/>
        <v>0</v>
      </c>
      <c r="AF1256" s="10"/>
      <c r="AG1256" s="10"/>
      <c r="AH1256" s="10"/>
      <c r="AI1256" s="12">
        <f t="shared" si="332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31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29"/>
        <v>0</v>
      </c>
      <c r="T1257" s="10"/>
      <c r="U1257" s="10"/>
      <c r="V1257" s="10"/>
      <c r="W1257" s="12">
        <f t="shared" si="330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31"/>
        <v>0</v>
      </c>
      <c r="AF1257" s="10"/>
      <c r="AG1257" s="10"/>
      <c r="AH1257" s="10"/>
      <c r="AI1257" s="12">
        <f t="shared" si="332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29"/>
        <v>0</v>
      </c>
      <c r="T1258" s="10"/>
      <c r="U1258" s="10"/>
      <c r="V1258" s="10"/>
      <c r="W1258" s="12">
        <f t="shared" si="330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331"/>
        <v>0</v>
      </c>
      <c r="AF1258" s="10"/>
      <c r="AG1258" s="10"/>
      <c r="AH1258" s="10"/>
      <c r="AI1258" s="12">
        <f t="shared" si="332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29"/>
        <v>0</v>
      </c>
      <c r="T1259" s="10"/>
      <c r="U1259" s="10"/>
      <c r="V1259" s="10"/>
      <c r="W1259" s="12">
        <f t="shared" si="330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31"/>
        <v>0</v>
      </c>
      <c r="AF1259" s="10"/>
      <c r="AG1259" s="10"/>
      <c r="AH1259" s="10"/>
      <c r="AI1259" s="12">
        <f t="shared" si="332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29"/>
        <v>0</v>
      </c>
      <c r="T1260" s="10"/>
      <c r="U1260" s="10"/>
      <c r="V1260" s="10"/>
      <c r="W1260" s="12">
        <f t="shared" si="330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31"/>
        <v>0</v>
      </c>
      <c r="AF1260" s="10"/>
      <c r="AG1260" s="10"/>
      <c r="AH1260" s="10"/>
      <c r="AI1260" s="12">
        <f t="shared" si="332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30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32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35">SUM(D1262:E1262)</f>
        <v>0</v>
      </c>
      <c r="H1262" s="10"/>
      <c r="I1262" s="10"/>
      <c r="J1262" s="10"/>
      <c r="K1262" s="12">
        <f t="shared" ref="K1262" si="336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37">SUM(P1262:Q1262)</f>
        <v>0</v>
      </c>
      <c r="T1262" s="10"/>
      <c r="U1262" s="10"/>
      <c r="V1262" s="10"/>
      <c r="W1262" s="12">
        <f t="shared" si="330"/>
        <v>0</v>
      </c>
      <c r="Y1262" s="10"/>
      <c r="Z1262" s="30"/>
      <c r="AA1262" s="31"/>
      <c r="AB1262" s="47"/>
      <c r="AC1262" s="31"/>
      <c r="AD1262" s="31"/>
      <c r="AE1262" s="32">
        <f t="shared" ref="AE1262" si="338">SUM(AB1262:AC1262)</f>
        <v>0</v>
      </c>
      <c r="AF1262" s="10"/>
      <c r="AG1262" s="10"/>
      <c r="AH1262" s="10"/>
      <c r="AI1262" s="12">
        <f t="shared" si="332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30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32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132774</v>
      </c>
      <c r="E1265" s="38">
        <f t="shared" ref="E1265:G1265" si="339">SUM(E1222:E1262)</f>
        <v>-1917</v>
      </c>
      <c r="F1265" s="38">
        <f t="shared" si="339"/>
        <v>0</v>
      </c>
      <c r="G1265" s="38">
        <f>SUM(G1222:G1264)</f>
        <v>130857</v>
      </c>
      <c r="H1265" s="4"/>
      <c r="I1265" s="39">
        <f>SUM(I1222:I1264)</f>
        <v>238.5</v>
      </c>
      <c r="J1265" s="39">
        <f>SUM(J1222:J1264)</f>
        <v>-127790</v>
      </c>
      <c r="K1265" s="40">
        <f>SUM(K1222:K1264)</f>
        <v>3305.5</v>
      </c>
      <c r="N1265" s="57"/>
      <c r="O1265" s="57"/>
      <c r="P1265" s="38">
        <f>SUM(P1222:P1264)</f>
        <v>124174.5</v>
      </c>
      <c r="Q1265" s="38">
        <f>SUM(Q1222:Q1246)</f>
        <v>0</v>
      </c>
      <c r="R1265" s="38">
        <f>SUM(R1222:R1246)</f>
        <v>0</v>
      </c>
      <c r="S1265" s="38">
        <f>SUM(S1222:S1264)</f>
        <v>124174.5</v>
      </c>
      <c r="T1265" s="4"/>
      <c r="U1265" s="41">
        <f>SUM(U1222:U1264)</f>
        <v>64.5</v>
      </c>
      <c r="V1265" s="41">
        <f>SUM(V1222:V1246)</f>
        <v>0</v>
      </c>
      <c r="W1265" s="42">
        <f>SUM(W1222:W1264)</f>
        <v>124239</v>
      </c>
      <c r="Z1265" s="57"/>
      <c r="AA1265" s="57"/>
      <c r="AB1265" s="38">
        <f>SUM(AB1222:AB1264)</f>
        <v>256119</v>
      </c>
      <c r="AC1265" s="38">
        <f>SUM(AC1222:AC1246)</f>
        <v>-2232</v>
      </c>
      <c r="AD1265" s="38">
        <f>SUM(AD1222:AD1246)</f>
        <v>0</v>
      </c>
      <c r="AE1265" s="38">
        <f>SUM(AE1222:AE1264)</f>
        <v>253887</v>
      </c>
      <c r="AF1265" s="4"/>
      <c r="AG1265" s="41">
        <f>SUM(AG1222:AG1264)</f>
        <v>663</v>
      </c>
      <c r="AH1265" s="41">
        <f>SUM(AH1222:AH1246)</f>
        <v>-7104</v>
      </c>
      <c r="AI1265" s="42">
        <f>SUM(AI1222:AI1264)</f>
        <v>247446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5"/>
      <c r="E1283" s="125"/>
      <c r="F1283" s="84"/>
      <c r="G1283" s="84"/>
      <c r="H1283" s="62"/>
      <c r="I1283" s="125"/>
      <c r="J1283" s="125"/>
      <c r="K1283" s="124"/>
      <c r="L1283" s="62"/>
      <c r="M1283" s="62"/>
      <c r="N1283" s="65"/>
      <c r="O1283" s="84"/>
      <c r="P1283" s="125"/>
      <c r="Q1283" s="125"/>
      <c r="R1283" s="84"/>
      <c r="S1283" s="84"/>
      <c r="T1283" s="62"/>
      <c r="U1283" s="125"/>
      <c r="V1283" s="125"/>
      <c r="W1283" s="124"/>
      <c r="X1283" s="62"/>
      <c r="Y1283" s="62"/>
      <c r="Z1283" s="65"/>
      <c r="AA1283" s="84"/>
      <c r="AB1283" s="125"/>
      <c r="AC1283" s="125"/>
      <c r="AD1283" s="84"/>
      <c r="AE1283" s="84"/>
      <c r="AF1283" s="62"/>
      <c r="AG1283" s="125"/>
      <c r="AH1283" s="125"/>
      <c r="AI1283" s="12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4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4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20:AI1221"/>
    <mergeCell ref="AG1220:AH1220"/>
    <mergeCell ref="AB1220:AC1220"/>
    <mergeCell ref="AI1283:AI1284"/>
    <mergeCell ref="AG1283:AH1283"/>
    <mergeCell ref="AB1283:AC1283"/>
    <mergeCell ref="AI1000:AI1001"/>
    <mergeCell ref="AG1000:AH1000"/>
    <mergeCell ref="AB1000:AC1000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1220:W1221"/>
    <mergeCell ref="U1220:V1220"/>
    <mergeCell ref="P1220:Q122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0:K1221"/>
    <mergeCell ref="I1220:J1220"/>
    <mergeCell ref="D1220:E122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2025-11-29T00:48:14Z</dcterms:modified>
</cp:coreProperties>
</file>