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B2F16A21-6DD1-4750-8F92-F19767DE0D50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50" i="2" l="1"/>
  <c r="AG949" i="2"/>
  <c r="AB949" i="2"/>
  <c r="AC948" i="2" l="1"/>
  <c r="AB948" i="2"/>
  <c r="AH948" i="2"/>
  <c r="AG948" i="2"/>
  <c r="AG990" i="2"/>
  <c r="AB947" i="2"/>
  <c r="AE947" i="2"/>
  <c r="AH990" i="2"/>
  <c r="AA948" i="2"/>
  <c r="AA949" i="2" s="1"/>
  <c r="AA950" i="2" s="1"/>
  <c r="AE948" i="2"/>
  <c r="AE949" i="2"/>
  <c r="AI949" i="2" s="1"/>
  <c r="AE950" i="2"/>
  <c r="AI950" i="2" s="1"/>
  <c r="AE951" i="2"/>
  <c r="AI951" i="2" s="1"/>
  <c r="AE952" i="2"/>
  <c r="AI952" i="2" s="1"/>
  <c r="AE953" i="2"/>
  <c r="AI953" i="2"/>
  <c r="AE954" i="2"/>
  <c r="AI954" i="2" s="1"/>
  <c r="AE955" i="2"/>
  <c r="AI955" i="2"/>
  <c r="AE956" i="2"/>
  <c r="AI956" i="2"/>
  <c r="AE957" i="2"/>
  <c r="AI957" i="2" s="1"/>
  <c r="AE958" i="2"/>
  <c r="AI958" i="2" s="1"/>
  <c r="AE959" i="2"/>
  <c r="AI959" i="2" s="1"/>
  <c r="AE960" i="2"/>
  <c r="AI960" i="2"/>
  <c r="AE961" i="2"/>
  <c r="AI961" i="2"/>
  <c r="AE962" i="2"/>
  <c r="AI962" i="2" s="1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 s="1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 s="1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P952" i="2"/>
  <c r="P951" i="2"/>
  <c r="S951" i="2" s="1"/>
  <c r="W951" i="2" s="1"/>
  <c r="P950" i="2"/>
  <c r="S950" i="2" s="1"/>
  <c r="W950" i="2" s="1"/>
  <c r="P949" i="2"/>
  <c r="V948" i="2"/>
  <c r="V990" i="2" s="1"/>
  <c r="U948" i="2"/>
  <c r="P948" i="2"/>
  <c r="P947" i="2"/>
  <c r="S947" i="2" s="1"/>
  <c r="S959" i="2"/>
  <c r="W959" i="2" s="1"/>
  <c r="S958" i="2"/>
  <c r="W958" i="2" s="1"/>
  <c r="S957" i="2"/>
  <c r="W957" i="2" s="1"/>
  <c r="S955" i="2"/>
  <c r="W955" i="2" s="1"/>
  <c r="S954" i="2"/>
  <c r="W954" i="2" s="1"/>
  <c r="S953" i="2"/>
  <c r="W953" i="2" s="1"/>
  <c r="S949" i="2"/>
  <c r="W949" i="2" s="1"/>
  <c r="O948" i="2"/>
  <c r="O949" i="2" s="1"/>
  <c r="O950" i="2" s="1"/>
  <c r="O951" i="2" s="1"/>
  <c r="O952" i="2" s="1"/>
  <c r="S948" i="2"/>
  <c r="S952" i="2"/>
  <c r="W952" i="2" s="1"/>
  <c r="S956" i="2"/>
  <c r="W956" i="2" s="1"/>
  <c r="S960" i="2"/>
  <c r="W960" i="2" s="1"/>
  <c r="S961" i="2"/>
  <c r="W961" i="2"/>
  <c r="S962" i="2"/>
  <c r="W962" i="2"/>
  <c r="S963" i="2"/>
  <c r="W963" i="2"/>
  <c r="S964" i="2"/>
  <c r="W964" i="2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 s="1"/>
  <c r="S974" i="2"/>
  <c r="W974" i="2"/>
  <c r="S975" i="2"/>
  <c r="W975" i="2" s="1"/>
  <c r="S976" i="2"/>
  <c r="W976" i="2" s="1"/>
  <c r="S977" i="2"/>
  <c r="W977" i="2"/>
  <c r="S978" i="2"/>
  <c r="W978" i="2"/>
  <c r="S979" i="2"/>
  <c r="W979" i="2"/>
  <c r="S980" i="2"/>
  <c r="W980" i="2"/>
  <c r="S981" i="2"/>
  <c r="W981" i="2"/>
  <c r="S982" i="2"/>
  <c r="W982" i="2"/>
  <c r="S983" i="2"/>
  <c r="W983" i="2" s="1"/>
  <c r="S984" i="2"/>
  <c r="W984" i="2" s="1"/>
  <c r="S985" i="2"/>
  <c r="W985" i="2"/>
  <c r="W986" i="2"/>
  <c r="S987" i="2"/>
  <c r="W987" i="2"/>
  <c r="W988" i="2"/>
  <c r="Q990" i="2"/>
  <c r="R990" i="2"/>
  <c r="U990" i="2"/>
  <c r="D959" i="2"/>
  <c r="G959" i="2" s="1"/>
  <c r="K959" i="2" s="1"/>
  <c r="D958" i="2"/>
  <c r="D957" i="2"/>
  <c r="G957" i="2" s="1"/>
  <c r="K957" i="2" s="1"/>
  <c r="D956" i="2"/>
  <c r="G956" i="2" s="1"/>
  <c r="K956" i="2" s="1"/>
  <c r="D955" i="2"/>
  <c r="I954" i="2"/>
  <c r="D954" i="2"/>
  <c r="G954" i="2" s="1"/>
  <c r="K954" i="2" s="1"/>
  <c r="D953" i="2"/>
  <c r="G953" i="2" s="1"/>
  <c r="K953" i="2" s="1"/>
  <c r="D952" i="2"/>
  <c r="D951" i="2"/>
  <c r="G951" i="2" s="1"/>
  <c r="D950" i="2"/>
  <c r="D949" i="2"/>
  <c r="G949" i="2" s="1"/>
  <c r="K949" i="2" s="1"/>
  <c r="D948" i="2"/>
  <c r="D947" i="2"/>
  <c r="G947" i="2" s="1"/>
  <c r="K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G948" i="2"/>
  <c r="K948" i="2" s="1"/>
  <c r="G950" i="2"/>
  <c r="K950" i="2" s="1"/>
  <c r="G952" i="2"/>
  <c r="K952" i="2" s="1"/>
  <c r="G955" i="2"/>
  <c r="K955" i="2" s="1"/>
  <c r="G958" i="2"/>
  <c r="K958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/>
  <c r="G970" i="2"/>
  <c r="K970" i="2" s="1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E990" i="2"/>
  <c r="F990" i="2"/>
  <c r="I990" i="2"/>
  <c r="J990" i="2"/>
  <c r="AI948" i="2" l="1"/>
  <c r="AE990" i="2"/>
  <c r="AI947" i="2"/>
  <c r="AI990" i="2" s="1"/>
  <c r="AB990" i="2"/>
  <c r="W948" i="2"/>
  <c r="W947" i="2"/>
  <c r="S990" i="2"/>
  <c r="P990" i="2"/>
  <c r="K951" i="2"/>
  <c r="G990" i="2"/>
  <c r="K990" i="2"/>
  <c r="D990" i="2"/>
  <c r="AB897" i="2"/>
  <c r="AB935" i="2" s="1"/>
  <c r="AB896" i="2"/>
  <c r="AB895" i="2"/>
  <c r="AB894" i="2"/>
  <c r="AB893" i="2"/>
  <c r="AH892" i="2"/>
  <c r="AB892" i="2"/>
  <c r="AE892" i="2"/>
  <c r="AI892" i="2" s="1"/>
  <c r="AA893" i="2"/>
  <c r="AE893" i="2"/>
  <c r="AA894" i="2"/>
  <c r="AA895" i="2" s="1"/>
  <c r="AA896" i="2" s="1"/>
  <c r="AA897" i="2" s="1"/>
  <c r="AE895" i="2"/>
  <c r="AI895" i="2" s="1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/>
  <c r="AE905" i="2"/>
  <c r="AI905" i="2"/>
  <c r="AE906" i="2"/>
  <c r="AI906" i="2"/>
  <c r="AE907" i="2"/>
  <c r="AI907" i="2" s="1"/>
  <c r="AE908" i="2"/>
  <c r="AI908" i="2" s="1"/>
  <c r="AE909" i="2"/>
  <c r="AI909" i="2"/>
  <c r="AE910" i="2"/>
  <c r="AI910" i="2" s="1"/>
  <c r="AE911" i="2"/>
  <c r="AI911" i="2"/>
  <c r="AE912" i="2"/>
  <c r="AI912" i="2"/>
  <c r="AE913" i="2"/>
  <c r="AI913" i="2"/>
  <c r="AE914" i="2"/>
  <c r="AI914" i="2"/>
  <c r="AE915" i="2"/>
  <c r="AI915" i="2"/>
  <c r="AE916" i="2"/>
  <c r="AI916" i="2" s="1"/>
  <c r="AE917" i="2"/>
  <c r="AI917" i="2"/>
  <c r="AE918" i="2"/>
  <c r="AI918" i="2" s="1"/>
  <c r="AE919" i="2"/>
  <c r="AI919" i="2"/>
  <c r="AE920" i="2"/>
  <c r="AI920" i="2"/>
  <c r="AE921" i="2"/>
  <c r="AI921" i="2"/>
  <c r="AE922" i="2"/>
  <c r="AI922" i="2"/>
  <c r="AE923" i="2"/>
  <c r="AI923" i="2"/>
  <c r="AE924" i="2"/>
  <c r="AI924" i="2" s="1"/>
  <c r="AE925" i="2"/>
  <c r="AI925" i="2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 s="1"/>
  <c r="AI933" i="2"/>
  <c r="AC935" i="2"/>
  <c r="AD935" i="2"/>
  <c r="AG935" i="2"/>
  <c r="AH935" i="2"/>
  <c r="P920" i="2"/>
  <c r="S920" i="2" s="1"/>
  <c r="W920" i="2" s="1"/>
  <c r="P919" i="2"/>
  <c r="P918" i="2"/>
  <c r="P917" i="2"/>
  <c r="P916" i="2"/>
  <c r="P915" i="2"/>
  <c r="P914" i="2"/>
  <c r="S914" i="2" s="1"/>
  <c r="W914" i="2" s="1"/>
  <c r="P913" i="2"/>
  <c r="S913" i="2" s="1"/>
  <c r="W913" i="2" s="1"/>
  <c r="P912" i="2"/>
  <c r="P911" i="2"/>
  <c r="P910" i="2"/>
  <c r="P909" i="2"/>
  <c r="P908" i="2"/>
  <c r="P907" i="2"/>
  <c r="P906" i="2"/>
  <c r="P905" i="2"/>
  <c r="P904" i="2"/>
  <c r="S904" i="2" s="1"/>
  <c r="W904" i="2" s="1"/>
  <c r="P903" i="2"/>
  <c r="S903" i="2" s="1"/>
  <c r="W903" i="2" s="1"/>
  <c r="P902" i="2"/>
  <c r="P901" i="2"/>
  <c r="S901" i="2" s="1"/>
  <c r="W901" i="2" s="1"/>
  <c r="V900" i="2"/>
  <c r="V935" i="2" s="1"/>
  <c r="P900" i="2"/>
  <c r="S900" i="2" s="1"/>
  <c r="W900" i="2" s="1"/>
  <c r="P899" i="2"/>
  <c r="P898" i="2"/>
  <c r="P897" i="2"/>
  <c r="P896" i="2"/>
  <c r="P895" i="2"/>
  <c r="P894" i="2"/>
  <c r="P893" i="2"/>
  <c r="S893" i="2" s="1"/>
  <c r="W893" i="2" s="1"/>
  <c r="P892" i="2"/>
  <c r="S892" i="2" s="1"/>
  <c r="U935" i="2"/>
  <c r="R935" i="2"/>
  <c r="Q935" i="2"/>
  <c r="W933" i="2"/>
  <c r="S932" i="2"/>
  <c r="W932" i="2" s="1"/>
  <c r="W931" i="2"/>
  <c r="S930" i="2"/>
  <c r="W930" i="2" s="1"/>
  <c r="S929" i="2"/>
  <c r="W929" i="2" s="1"/>
  <c r="W928" i="2"/>
  <c r="S928" i="2"/>
  <c r="S927" i="2"/>
  <c r="W927" i="2" s="1"/>
  <c r="W926" i="2"/>
  <c r="S926" i="2"/>
  <c r="S925" i="2"/>
  <c r="W925" i="2" s="1"/>
  <c r="S924" i="2"/>
  <c r="W924" i="2" s="1"/>
  <c r="S923" i="2"/>
  <c r="W923" i="2" s="1"/>
  <c r="S922" i="2"/>
  <c r="W922" i="2" s="1"/>
  <c r="S921" i="2"/>
  <c r="W921" i="2" s="1"/>
  <c r="S919" i="2"/>
  <c r="W919" i="2" s="1"/>
  <c r="W918" i="2"/>
  <c r="S918" i="2"/>
  <c r="S917" i="2"/>
  <c r="W917" i="2" s="1"/>
  <c r="S916" i="2"/>
  <c r="W916" i="2" s="1"/>
  <c r="S915" i="2"/>
  <c r="W915" i="2" s="1"/>
  <c r="S912" i="2"/>
  <c r="W912" i="2" s="1"/>
  <c r="S911" i="2"/>
  <c r="W911" i="2" s="1"/>
  <c r="S910" i="2"/>
  <c r="W910" i="2" s="1"/>
  <c r="S909" i="2"/>
  <c r="W909" i="2" s="1"/>
  <c r="S908" i="2"/>
  <c r="W908" i="2" s="1"/>
  <c r="S907" i="2"/>
  <c r="W907" i="2" s="1"/>
  <c r="S906" i="2"/>
  <c r="W906" i="2" s="1"/>
  <c r="S905" i="2"/>
  <c r="W905" i="2" s="1"/>
  <c r="S902" i="2"/>
  <c r="W902" i="2" s="1"/>
  <c r="S899" i="2"/>
  <c r="W899" i="2" s="1"/>
  <c r="S898" i="2"/>
  <c r="W898" i="2" s="1"/>
  <c r="S897" i="2"/>
  <c r="W897" i="2" s="1"/>
  <c r="S896" i="2"/>
  <c r="W896" i="2" s="1"/>
  <c r="S895" i="2"/>
  <c r="W895" i="2" s="1"/>
  <c r="S894" i="2"/>
  <c r="W894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D902" i="2"/>
  <c r="G902" i="2" s="1"/>
  <c r="K902" i="2" s="1"/>
  <c r="D901" i="2"/>
  <c r="D900" i="2"/>
  <c r="D899" i="2"/>
  <c r="G899" i="2" s="1"/>
  <c r="K899" i="2" s="1"/>
  <c r="D898" i="2"/>
  <c r="G898" i="2" s="1"/>
  <c r="K898" i="2" s="1"/>
  <c r="D897" i="2"/>
  <c r="G897" i="2" s="1"/>
  <c r="K897" i="2" s="1"/>
  <c r="I896" i="2"/>
  <c r="I935" i="2" s="1"/>
  <c r="D896" i="2"/>
  <c r="G896" i="2" s="1"/>
  <c r="D895" i="2"/>
  <c r="G895" i="2" s="1"/>
  <c r="K895" i="2" s="1"/>
  <c r="D894" i="2"/>
  <c r="D893" i="2"/>
  <c r="G893" i="2" s="1"/>
  <c r="K893" i="2" s="1"/>
  <c r="D892" i="2"/>
  <c r="C896" i="2"/>
  <c r="C897" i="2" s="1"/>
  <c r="C898" i="2" s="1"/>
  <c r="C899" i="2" s="1"/>
  <c r="C900" i="2" s="1"/>
  <c r="C901" i="2" s="1"/>
  <c r="C902" i="2" s="1"/>
  <c r="G892" i="2"/>
  <c r="K892" i="2" s="1"/>
  <c r="C894" i="2"/>
  <c r="G894" i="2"/>
  <c r="K894" i="2"/>
  <c r="G900" i="2"/>
  <c r="K900" i="2"/>
  <c r="G901" i="2"/>
  <c r="K901" i="2"/>
  <c r="G903" i="2"/>
  <c r="K903" i="2"/>
  <c r="G904" i="2"/>
  <c r="K904" i="2"/>
  <c r="G905" i="2"/>
  <c r="K905" i="2" s="1"/>
  <c r="G906" i="2"/>
  <c r="K906" i="2" s="1"/>
  <c r="G907" i="2"/>
  <c r="K907" i="2"/>
  <c r="G908" i="2"/>
  <c r="K908" i="2" s="1"/>
  <c r="G909" i="2"/>
  <c r="K909" i="2" s="1"/>
  <c r="G910" i="2"/>
  <c r="K910" i="2" s="1"/>
  <c r="G911" i="2"/>
  <c r="K911" i="2"/>
  <c r="G912" i="2"/>
  <c r="K912" i="2"/>
  <c r="G913" i="2"/>
  <c r="K913" i="2" s="1"/>
  <c r="G914" i="2"/>
  <c r="K914" i="2" s="1"/>
  <c r="G915" i="2"/>
  <c r="K915" i="2"/>
  <c r="G916" i="2"/>
  <c r="K916" i="2"/>
  <c r="G917" i="2"/>
  <c r="K917" i="2"/>
  <c r="G918" i="2"/>
  <c r="K918" i="2"/>
  <c r="G919" i="2"/>
  <c r="K919" i="2"/>
  <c r="G920" i="2"/>
  <c r="K920" i="2"/>
  <c r="G921" i="2"/>
  <c r="K921" i="2" s="1"/>
  <c r="G922" i="2"/>
  <c r="K922" i="2" s="1"/>
  <c r="G923" i="2"/>
  <c r="K923" i="2"/>
  <c r="G924" i="2"/>
  <c r="K924" i="2"/>
  <c r="G925" i="2"/>
  <c r="K925" i="2"/>
  <c r="G932" i="2"/>
  <c r="K932" i="2"/>
  <c r="E935" i="2"/>
  <c r="F935" i="2"/>
  <c r="J935" i="2"/>
  <c r="W990" i="2" l="1"/>
  <c r="AI893" i="2"/>
  <c r="AE894" i="2"/>
  <c r="AI894" i="2" s="1"/>
  <c r="S935" i="2"/>
  <c r="W892" i="2"/>
  <c r="W935" i="2" s="1"/>
  <c r="P935" i="2"/>
  <c r="K896" i="2"/>
  <c r="D935" i="2"/>
  <c r="K935" i="2"/>
  <c r="G935" i="2"/>
  <c r="AH846" i="2"/>
  <c r="AB846" i="2"/>
  <c r="AE846" i="2" s="1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B839" i="2"/>
  <c r="AB838" i="2"/>
  <c r="AE838" i="2" s="1"/>
  <c r="AI838" i="2" s="1"/>
  <c r="AB837" i="2"/>
  <c r="AE837" i="2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E839" i="2"/>
  <c r="AI839" i="2"/>
  <c r="AE840" i="2"/>
  <c r="AI840" i="2"/>
  <c r="AE843" i="2"/>
  <c r="AI843" i="2" s="1"/>
  <c r="AE847" i="2"/>
  <c r="AI847" i="2" s="1"/>
  <c r="AE848" i="2"/>
  <c r="AI848" i="2"/>
  <c r="AE849" i="2"/>
  <c r="AI849" i="2"/>
  <c r="AE850" i="2"/>
  <c r="AI850" i="2"/>
  <c r="AE851" i="2"/>
  <c r="AI851" i="2" s="1"/>
  <c r="AE852" i="2"/>
  <c r="AI852" i="2"/>
  <c r="AE853" i="2"/>
  <c r="AI853" i="2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 s="1"/>
  <c r="AE860" i="2"/>
  <c r="AI860" i="2"/>
  <c r="AE861" i="2"/>
  <c r="AI861" i="2"/>
  <c r="AE862" i="2"/>
  <c r="AI862" i="2" s="1"/>
  <c r="AE863" i="2"/>
  <c r="AI863" i="2" s="1"/>
  <c r="AE864" i="2"/>
  <c r="AI864" i="2"/>
  <c r="AE865" i="2"/>
  <c r="AI865" i="2"/>
  <c r="AE866" i="2"/>
  <c r="AI866" i="2"/>
  <c r="AE867" i="2"/>
  <c r="AI867" i="2" s="1"/>
  <c r="AE868" i="2"/>
  <c r="AI868" i="2"/>
  <c r="AE869" i="2"/>
  <c r="AI869" i="2"/>
  <c r="AE870" i="2"/>
  <c r="AI870" i="2" s="1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D839" i="2"/>
  <c r="D838" i="2"/>
  <c r="D837" i="2"/>
  <c r="G837" i="2" s="1"/>
  <c r="K837" i="2" s="1"/>
  <c r="J880" i="2"/>
  <c r="C838" i="2"/>
  <c r="C839" i="2" s="1"/>
  <c r="G838" i="2"/>
  <c r="G839" i="2"/>
  <c r="K839" i="2" s="1"/>
  <c r="G841" i="2"/>
  <c r="K841" i="2" s="1"/>
  <c r="G842" i="2"/>
  <c r="K842" i="2" s="1"/>
  <c r="G843" i="2"/>
  <c r="K843" i="2" s="1"/>
  <c r="G844" i="2"/>
  <c r="K844" i="2" s="1"/>
  <c r="G845" i="2"/>
  <c r="K845" i="2"/>
  <c r="G846" i="2"/>
  <c r="K846" i="2"/>
  <c r="G847" i="2"/>
  <c r="K847" i="2" s="1"/>
  <c r="G848" i="2"/>
  <c r="K848" i="2"/>
  <c r="G849" i="2"/>
  <c r="K849" i="2" s="1"/>
  <c r="G850" i="2"/>
  <c r="K850" i="2" s="1"/>
  <c r="G851" i="2"/>
  <c r="K851" i="2" s="1"/>
  <c r="G852" i="2"/>
  <c r="K852" i="2" s="1"/>
  <c r="G853" i="2"/>
  <c r="K853" i="2"/>
  <c r="G854" i="2"/>
  <c r="K854" i="2"/>
  <c r="G855" i="2"/>
  <c r="K855" i="2" s="1"/>
  <c r="G856" i="2"/>
  <c r="K856" i="2"/>
  <c r="G857" i="2"/>
  <c r="K857" i="2" s="1"/>
  <c r="G858" i="2"/>
  <c r="K858" i="2" s="1"/>
  <c r="G859" i="2"/>
  <c r="K859" i="2" s="1"/>
  <c r="G860" i="2"/>
  <c r="K860" i="2" s="1"/>
  <c r="G861" i="2"/>
  <c r="K861" i="2"/>
  <c r="G862" i="2"/>
  <c r="K862" i="2"/>
  <c r="G863" i="2"/>
  <c r="K863" i="2" s="1"/>
  <c r="G864" i="2"/>
  <c r="K864" i="2"/>
  <c r="G865" i="2"/>
  <c r="K865" i="2" s="1"/>
  <c r="G866" i="2"/>
  <c r="K866" i="2" s="1"/>
  <c r="G867" i="2"/>
  <c r="K867" i="2" s="1"/>
  <c r="G868" i="2"/>
  <c r="K868" i="2" s="1"/>
  <c r="G869" i="2"/>
  <c r="K869" i="2"/>
  <c r="G870" i="2"/>
  <c r="K870" i="2"/>
  <c r="G877" i="2"/>
  <c r="K877" i="2" s="1"/>
  <c r="E880" i="2"/>
  <c r="F880" i="2"/>
  <c r="I880" i="2"/>
  <c r="AI935" i="2" l="1"/>
  <c r="AE935" i="2"/>
  <c r="AI846" i="2"/>
  <c r="AB880" i="2"/>
  <c r="AE880" i="2"/>
  <c r="AI880" i="2"/>
  <c r="D880" i="2"/>
  <c r="K838" i="2"/>
  <c r="G840" i="2"/>
  <c r="K840" i="2" s="1"/>
  <c r="K880" i="2" s="1"/>
  <c r="AB791" i="2"/>
  <c r="AB790" i="2"/>
  <c r="AB789" i="2"/>
  <c r="AB788" i="2"/>
  <c r="AE788" i="2" s="1"/>
  <c r="AI788" i="2" s="1"/>
  <c r="AB787" i="2"/>
  <c r="AB786" i="2"/>
  <c r="AE786" i="2" s="1"/>
  <c r="AI786" i="2" s="1"/>
  <c r="AB785" i="2"/>
  <c r="AB784" i="2"/>
  <c r="AE784" i="2" s="1"/>
  <c r="AI784" i="2" s="1"/>
  <c r="AB783" i="2"/>
  <c r="AE783" i="2" s="1"/>
  <c r="AI783" i="2" s="1"/>
  <c r="AB782" i="2"/>
  <c r="AA786" i="2"/>
  <c r="AA787" i="2"/>
  <c r="AA788" i="2"/>
  <c r="AA789" i="2"/>
  <c r="AA790" i="2"/>
  <c r="AA791" i="2"/>
  <c r="AE782" i="2"/>
  <c r="AI782" i="2" s="1"/>
  <c r="AH825" i="2"/>
  <c r="AA783" i="2"/>
  <c r="AG825" i="2"/>
  <c r="AA784" i="2"/>
  <c r="AA785" i="2"/>
  <c r="AE785" i="2"/>
  <c r="AE787" i="2"/>
  <c r="AI787" i="2" s="1"/>
  <c r="AE789" i="2"/>
  <c r="AI789" i="2" s="1"/>
  <c r="AE790" i="2"/>
  <c r="AI790" i="2" s="1"/>
  <c r="AE791" i="2"/>
  <c r="AI791" i="2" s="1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 s="1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 s="1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D786" i="2"/>
  <c r="G786" i="2" s="1"/>
  <c r="K786" i="2" s="1"/>
  <c r="D785" i="2"/>
  <c r="D784" i="2"/>
  <c r="D783" i="2"/>
  <c r="D825" i="2" s="1"/>
  <c r="J782" i="2"/>
  <c r="J825" i="2" s="1"/>
  <c r="D782" i="2"/>
  <c r="G782" i="2"/>
  <c r="C783" i="2"/>
  <c r="C784" i="2"/>
  <c r="C785" i="2" s="1"/>
  <c r="C786" i="2" s="1"/>
  <c r="C787" i="2" s="1"/>
  <c r="G784" i="2"/>
  <c r="K784" i="2" s="1"/>
  <c r="G785" i="2"/>
  <c r="K785" i="2" s="1"/>
  <c r="G787" i="2"/>
  <c r="K787" i="2" s="1"/>
  <c r="G788" i="2"/>
  <c r="K788" i="2"/>
  <c r="G789" i="2"/>
  <c r="K789" i="2" s="1"/>
  <c r="G790" i="2"/>
  <c r="K790" i="2" s="1"/>
  <c r="G791" i="2"/>
  <c r="K791" i="2" s="1"/>
  <c r="G792" i="2"/>
  <c r="K792" i="2"/>
  <c r="G793" i="2"/>
  <c r="K793" i="2" s="1"/>
  <c r="G794" i="2"/>
  <c r="K794" i="2"/>
  <c r="G795" i="2"/>
  <c r="K795" i="2"/>
  <c r="G796" i="2"/>
  <c r="K796" i="2"/>
  <c r="G797" i="2"/>
  <c r="K797" i="2" s="1"/>
  <c r="G798" i="2"/>
  <c r="K798" i="2"/>
  <c r="G799" i="2"/>
  <c r="K799" i="2"/>
  <c r="G800" i="2"/>
  <c r="K800" i="2" s="1"/>
  <c r="G801" i="2"/>
  <c r="K801" i="2"/>
  <c r="G802" i="2"/>
  <c r="K802" i="2" s="1"/>
  <c r="G803" i="2"/>
  <c r="K803" i="2"/>
  <c r="G804" i="2"/>
  <c r="K804" i="2" s="1"/>
  <c r="G805" i="2"/>
  <c r="K805" i="2"/>
  <c r="G806" i="2"/>
  <c r="K806" i="2" s="1"/>
  <c r="G807" i="2"/>
  <c r="K807" i="2"/>
  <c r="G808" i="2"/>
  <c r="K808" i="2" s="1"/>
  <c r="G809" i="2"/>
  <c r="K809" i="2" s="1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 s="1"/>
  <c r="E825" i="2"/>
  <c r="F825" i="2"/>
  <c r="I825" i="2"/>
  <c r="P784" i="2"/>
  <c r="S784" i="2" s="1"/>
  <c r="W784" i="2" s="1"/>
  <c r="P783" i="2"/>
  <c r="V782" i="2"/>
  <c r="P782" i="2"/>
  <c r="S782" i="2"/>
  <c r="U825" i="2"/>
  <c r="O783" i="2"/>
  <c r="O784" i="2" s="1"/>
  <c r="S783" i="2"/>
  <c r="W783" i="2" s="1"/>
  <c r="S785" i="2"/>
  <c r="W785" i="2" s="1"/>
  <c r="S786" i="2"/>
  <c r="W786" i="2" s="1"/>
  <c r="S787" i="2"/>
  <c r="W787" i="2"/>
  <c r="S788" i="2"/>
  <c r="W788" i="2" s="1"/>
  <c r="S789" i="2"/>
  <c r="W789" i="2"/>
  <c r="S790" i="2"/>
  <c r="W790" i="2" s="1"/>
  <c r="S791" i="2"/>
  <c r="W791" i="2"/>
  <c r="S792" i="2"/>
  <c r="W792" i="2"/>
  <c r="S793" i="2"/>
  <c r="W793" i="2" s="1"/>
  <c r="S794" i="2"/>
  <c r="W794" i="2"/>
  <c r="S795" i="2"/>
  <c r="W795" i="2"/>
  <c r="S796" i="2"/>
  <c r="W796" i="2"/>
  <c r="S797" i="2"/>
  <c r="W797" i="2" s="1"/>
  <c r="S798" i="2"/>
  <c r="W798" i="2" s="1"/>
  <c r="S799" i="2"/>
  <c r="W799" i="2"/>
  <c r="S800" i="2"/>
  <c r="W800" i="2"/>
  <c r="S801" i="2"/>
  <c r="W801" i="2" s="1"/>
  <c r="S802" i="2"/>
  <c r="W802" i="2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/>
  <c r="S819" i="2"/>
  <c r="W819" i="2"/>
  <c r="S820" i="2"/>
  <c r="W820" i="2"/>
  <c r="W821" i="2"/>
  <c r="S822" i="2"/>
  <c r="W822" i="2"/>
  <c r="W823" i="2"/>
  <c r="Q825" i="2"/>
  <c r="R825" i="2"/>
  <c r="V825" i="2"/>
  <c r="G880" i="2" l="1"/>
  <c r="AI785" i="2"/>
  <c r="AE825" i="2"/>
  <c r="AI825" i="2"/>
  <c r="AB825" i="2"/>
  <c r="G783" i="2"/>
  <c r="K782" i="2"/>
  <c r="G825" i="2"/>
  <c r="K783" i="2"/>
  <c r="K825" i="2" s="1"/>
  <c r="P825" i="2"/>
  <c r="S825" i="2"/>
  <c r="W782" i="2"/>
  <c r="W825" i="2" s="1"/>
  <c r="AB730" i="2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10" i="1"/>
  <c r="D16" i="1" l="1"/>
  <c r="D17" i="1"/>
  <c r="J19" i="1"/>
  <c r="D19" i="1" s="1"/>
  <c r="J31" i="1"/>
  <c r="D31" i="1" s="1"/>
  <c r="J38" i="1"/>
  <c r="J33" i="1" l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  <comment ref="C782" authorId="0" shapeId="0" xr:uid="{42D807A8-5598-41FD-B63F-370F4BDCB2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782" authorId="0" shapeId="0" xr:uid="{7990E9BE-1ACC-4A85-B25A-6F9D45DB8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 STORE
POB, BACUNGAN</t>
        </r>
      </text>
    </comment>
    <comment ref="AA782" authorId="0" shapeId="0" xr:uid="{18EF61E8-E40F-4028-8C38-DA603F1597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783" authorId="0" shapeId="0" xr:uid="{4AA09BA4-9746-4145-9536-648DA5A49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83" authorId="0" shapeId="0" xr:uid="{03052F22-6099-44EA-A65E-ACF858D88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3JM STORE
POB, BACUNGAN</t>
        </r>
      </text>
    </comment>
    <comment ref="AA783" authorId="0" shapeId="0" xr:uid="{68B608F4-365E-46C0-9B26-71BE4B21E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784" authorId="0" shapeId="0" xr:uid="{9BA7E10A-6F4D-4775-B56B-9D010F7197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784" authorId="0" shapeId="0" xr:uid="{3360E811-B753-4B6A-B377-3EDB3BA87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RUTEDELS VILLA
TALINGA, SINDANGAN</t>
        </r>
      </text>
    </comment>
    <comment ref="AA784" authorId="0" shapeId="0" xr:uid="{941DF968-F2BF-49C7-B06D-4F18E6BCC5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KILAT
POB, GODOD</t>
        </r>
      </text>
    </comment>
    <comment ref="C785" authorId="0" shapeId="0" xr:uid="{5DF0C334-DF6C-4F96-AA1C-6E94691DC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 / IVY OMOS
LABAKID, SINDANGAN</t>
        </r>
      </text>
    </comment>
    <comment ref="AA785" authorId="0" shapeId="0" xr:uid="{0F06A8EE-A2D7-44CD-BD1A-B7AE268FA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GODOD</t>
        </r>
      </text>
    </comment>
    <comment ref="C786" authorId="0" shapeId="0" xr:uid="{F872A7EE-A5BD-4F76-B610-D4B577C4D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86" authorId="0" shapeId="0" xr:uid="{C984143B-04E8-44A2-8254-8416E7509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EMELINDA GALLEPOSO
POB, GODOD</t>
        </r>
      </text>
    </comment>
    <comment ref="C787" authorId="0" shapeId="0" xr:uid="{3ACC405D-BB60-4E9A-A4C9-35598FB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AA787" authorId="0" shapeId="0" xr:uid="{57CE643A-D2A9-4087-8DFC-01BB4CA2EF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SAGUIN FLORIFE
POB, GODOD</t>
        </r>
      </text>
    </comment>
    <comment ref="AA788" authorId="0" shapeId="0" xr:uid="{5B3FB131-A468-4734-B069-1E5A2DBAEE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RENELYN ALBIOT
POB, GODOD</t>
        </r>
      </text>
    </comment>
    <comment ref="AA789" authorId="0" shapeId="0" xr:uid="{F433B776-787D-4E05-9A02-962FBB5E74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PARTOSA, EMILY
POB, GODOD</t>
        </r>
      </text>
    </comment>
    <comment ref="AA790" authorId="0" shapeId="0" xr:uid="{8DBE4E61-A1F9-41A5-8FBC-B1076B5F8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SALAGOSTE
MAUSWAGON, GODOD</t>
        </r>
      </text>
    </comment>
    <comment ref="AA791" authorId="0" shapeId="0" xr:uid="{D4ED7F15-0959-49D7-8A6E-D772381009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TUMARONG STORE
BINONI, SALUG</t>
        </r>
      </text>
    </comment>
    <comment ref="C837" authorId="0" shapeId="0" xr:uid="{8A1E22E2-73F2-4C04-A228-6D052FD69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ELUMBRE STORE
POB, SIAYAN</t>
        </r>
      </text>
    </comment>
    <comment ref="AA837" authorId="0" shapeId="0" xr:uid="{F1DB9359-4424-4638-9DD2-6D96E22D33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SHELLA GUIBANG-GUIBANG
KAYOK, LILOY
</t>
        </r>
      </text>
    </comment>
    <comment ref="C838" authorId="0" shapeId="0" xr:uid="{87C02571-087C-4EBF-9564-78A3981E77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838" authorId="0" shapeId="0" xr:uid="{80EC5A56-0AC0-48FB-91B9-75E21C214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839" authorId="0" shapeId="0" xr:uid="{41ABAD0B-0F8D-48EA-8BD7-546FD0BDD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AA839" authorId="0" shapeId="0" xr:uid="{223BBEDF-3178-43C3-B234-4F1514F0C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 / LILOY COCKPIT
VILLA SUDIACAL LILOY</t>
        </r>
      </text>
    </comment>
    <comment ref="AA840" authorId="0" shapeId="0" xr:uid="{6FDEAAE1-633F-4C5E-8EBF-B26AEB65D0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VIVAN GAMALE / LILOY COCKPIT
VILLA SUCIDAL, LILOY</t>
        </r>
      </text>
    </comment>
    <comment ref="AA841" authorId="0" shapeId="0" xr:uid="{BC318A6E-A680-4609-B5A4-5B3D6DD87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AA842" authorId="0" shapeId="0" xr:uid="{3948B855-4F9E-4A20-8A25-2A28505B0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HAJAN, ANALIZA
BAYBAY, LILOY</t>
        </r>
      </text>
    </comment>
    <comment ref="AA843" authorId="0" shapeId="0" xr:uid="{3AEF4C0F-1135-4DC0-B933-1BDAA9ED4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BALASUELA / RESAN VIP
BAYBAY, LILOY</t>
        </r>
      </text>
    </comment>
    <comment ref="AA844" authorId="0" shapeId="0" xr:uid="{FF2EA9CD-1E25-45D0-B329-495C24886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845" authorId="0" shapeId="0" xr:uid="{0D5DA44E-A7F7-455F-8838-7D0019220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AA846" authorId="0" shapeId="0" xr:uid="{B372F0C0-AC8E-4596-9792-830201CDCC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2" authorId="0" shapeId="0" xr:uid="{3A1EA89A-7778-4D20-B86D-940B3EBCC0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892" authorId="0" shapeId="0" xr:uid="{1AFB1315-4257-44AE-89B4-DEAD04F7F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AA892" authorId="0" shapeId="0" xr:uid="{F9CA9C9A-3476-471E-9183-56046FE96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893" authorId="0" shapeId="0" xr:uid="{0537328E-971F-4770-BE14-A0C65FFC61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893" authorId="0" shapeId="0" xr:uid="{E3337DE1-6175-41E4-A79B-BF31375D63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LUZMINDA MAINIT
MANIL, BACUNGAN</t>
        </r>
      </text>
    </comment>
    <comment ref="AA893" authorId="0" shapeId="0" xr:uid="{5B3E0110-E202-427D-AE6D-5CDFA2DB1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894" authorId="0" shapeId="0" xr:uid="{8B02624C-B8E6-4FE7-B88D-01A2E12842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894" authorId="0" shapeId="0" xr:uid="{223E9BC0-0F57-41E2-B51A-B877DA0D71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BOGABONGAN, BACUNGAN</t>
        </r>
      </text>
    </comment>
    <comment ref="AA894" authorId="0" shapeId="0" xr:uid="{395FBFAB-37D4-4D53-BDA8-FD7B61A91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895" authorId="0" shapeId="0" xr:uid="{2D21E8A3-D19F-4A8F-AD33-96579B6636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 NELIA
DAPAON, SINDANGAN</t>
        </r>
      </text>
    </comment>
    <comment ref="O895" authorId="0" shapeId="0" xr:uid="{CFDE481C-9AB8-48B2-BB27-5872EE6571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VELASCO
BOGABONGAN, BACUNGAN</t>
        </r>
      </text>
    </comment>
    <comment ref="AA895" authorId="0" shapeId="0" xr:uid="{2E124C41-9EA0-48A0-A19B-2497C586AC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896" authorId="0" shapeId="0" xr:uid="{EBC178C2-E39E-4B51-8225-8626EF214C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KIM ESQUADRO
RM, SINDANGAN</t>
        </r>
      </text>
    </comment>
    <comment ref="O896" authorId="0" shapeId="0" xr:uid="{E3D925AC-2FD2-4FBA-A772-E19787CDD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896" authorId="0" shapeId="0" xr:uid="{4F588020-5AC6-4AFD-83F5-B520AFF265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HAIDEN STORE
MUCAS, SALUG</t>
        </r>
      </text>
    </comment>
    <comment ref="C897" authorId="0" shapeId="0" xr:uid="{E7BCD0BA-7258-46F5-8639-1788577C63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897" authorId="0" shapeId="0" xr:uid="{C2248125-2A91-49FC-8678-E519AC1D03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</t>
        </r>
      </text>
    </comment>
    <comment ref="AA897" authorId="0" shapeId="0" xr:uid="{8D51D51A-1BCD-4043-BE11-576F369FA7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SALEH SABDANI
MUCAS, SALUG</t>
        </r>
      </text>
    </comment>
    <comment ref="C898" authorId="0" shapeId="0" xr:uid="{F4E1B468-18BF-4B0D-BC23-54BB5F8F5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</t>
        </r>
      </text>
    </comment>
    <comment ref="O898" authorId="0" shapeId="0" xr:uid="{EDF0EBB7-FD0D-4FE5-834B-CEBE83874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STORE
BOGABONGAN, BACUNGAN</t>
        </r>
      </text>
    </comment>
    <comment ref="C899" authorId="0" shapeId="0" xr:uid="{756DCAEA-23E3-47BC-BE50-FD946D515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899" authorId="0" shapeId="0" xr:uid="{47533BF6-1390-4C24-8DBB-32BBE152A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DURAN
BOGABONGAN, BACUNGAN</t>
        </r>
      </text>
    </comment>
    <comment ref="C900" authorId="0" shapeId="0" xr:uid="{CE6A31A7-6538-4CFD-9375-97D063CF5A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900" authorId="0" shapeId="0" xr:uid="{0E4DF935-E278-462C-B60B-8B6DE0A25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DIVINA
PALANDOK, BACUNGAN</t>
        </r>
      </text>
    </comment>
    <comment ref="C901" authorId="0" shapeId="0" xr:uid="{8778D896-4058-4588-A81F-36A99B72F2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901" authorId="0" shapeId="0" xr:uid="{638AAF22-C9EA-4FFD-AE8E-809295B513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C902" authorId="0" shapeId="0" xr:uid="{77D5E91C-019E-4A6F-9B23-21A15A9A21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902" authorId="0" shapeId="0" xr:uid="{B37F0120-92B2-4BF0-AEC3-D2D6B72CD1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O903" authorId="0" shapeId="0" xr:uid="{50716A1C-180D-4F5B-9E99-0CF98B5F5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O904" authorId="0" shapeId="0" xr:uid="{737FF0F9-6B52-4CEB-91E4-4EE1EBB90F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RICHARD SAPIHI
RM, SALUG</t>
        </r>
      </text>
    </comment>
    <comment ref="O905" authorId="0" shapeId="0" xr:uid="{B9E4CE23-5BAD-4A64-80E1-2A369C4653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O906" authorId="0" shapeId="0" xr:uid="{E8D637EC-796E-4802-A409-B97CC9A0F3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O907" authorId="0" shapeId="0" xr:uid="{FEEDEDAE-EC95-4B00-840D-6E9D12774A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BACUNGAN</t>
        </r>
      </text>
    </comment>
    <comment ref="O908" authorId="0" shapeId="0" xr:uid="{62825329-B9E3-4B53-9C3A-B29BED0A44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PALANDOK, BACUNGAN</t>
        </r>
      </text>
    </comment>
    <comment ref="O909" authorId="0" shapeId="0" xr:uid="{4C371322-A1BD-440C-9E91-22A014337A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O910" authorId="0" shapeId="0" xr:uid="{98A310B5-64AD-4D39-AF3D-7048C7C96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911" authorId="0" shapeId="0" xr:uid="{D3769454-19D9-4BCD-A418-666AB42C6A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ANGAN STORE
POB, BACUNGAN</t>
        </r>
      </text>
    </comment>
    <comment ref="O912" authorId="0" shapeId="0" xr:uid="{ACEB2E0C-3064-4574-961D-62FE0F2E26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LIMBANG STORE
TALINGA, BACUNGAN</t>
        </r>
      </text>
    </comment>
    <comment ref="O913" authorId="0" shapeId="0" xr:uid="{78EEE9EC-B722-45CA-AA02-AB12BF783F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
TALINGA, BACUNGAN</t>
        </r>
      </text>
    </comment>
    <comment ref="O914" authorId="0" shapeId="0" xr:uid="{2B4FED4D-70A8-4E2D-B684-A45A9744B5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LIRAH SAPAL
TALINGA, BACUNGAN</t>
        </r>
      </text>
    </comment>
    <comment ref="O915" authorId="0" shapeId="0" xr:uid="{07225B13-2F27-48BF-A06F-9DDF38B8E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916" authorId="0" shapeId="0" xr:uid="{0B65E804-7DEF-46A3-915E-75DCAEC741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917" authorId="0" shapeId="0" xr:uid="{26779C3D-00AD-48E4-B22A-BF47F36703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918" authorId="0" shapeId="0" xr:uid="{B9AB0EEE-0564-4602-BEED-2709E54DCF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919" authorId="0" shapeId="0" xr:uid="{077CEF9E-34B8-4AA1-88E8-DE781592E0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ARACELIE
MANDIH, SINDANGAN</t>
        </r>
      </text>
    </comment>
    <comment ref="O920" authorId="0" shapeId="0" xr:uid="{0ECB285E-270A-4156-BE68-8A10F7D4E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C947" authorId="0" shapeId="0" xr:uid="{C3ABC373-D5DD-4DEA-B13C-EA7A37072F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47" authorId="0" shapeId="0" xr:uid="{C44AE1B8-2143-46B0-9ED6-D9B2E5098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947" authorId="0" shapeId="0" xr:uid="{D9CF2F14-1C7F-43B4-9B90-BCBB2ED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948" authorId="0" shapeId="0" xr:uid="{C103A6B6-53A0-409E-9DA2-77EB7E02E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948" authorId="0" shapeId="0" xr:uid="{3AC3BB6E-34A8-49C0-958D-D69A1C521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/ ALDRIN TOBIAS
MANDIH, SINDANGAN</t>
        </r>
      </text>
    </comment>
    <comment ref="AA948" authorId="0" shapeId="0" xr:uid="{342062A7-F4C9-4772-AB52-B33BBCF3B4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949" authorId="0" shapeId="0" xr:uid="{BF08BC25-B22E-43B1-BB99-B62CFD9E3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949" authorId="0" shapeId="0" xr:uid="{D974C3F1-2127-4DE6-A221-39AF34A766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CRIS
INUMAN, SINDANGAN</t>
        </r>
      </text>
    </comment>
    <comment ref="AA949" authorId="0" shapeId="0" xr:uid="{454F95E8-9D25-48FF-BB6A-81BEF62DB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50" authorId="0" shapeId="0" xr:uid="{AAE8BC4D-77F0-4DC7-9B74-0BE98FCFE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O950" authorId="0" shapeId="0" xr:uid="{A69061BD-D836-4B77-A72C-23775B2CC5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950" authorId="0" shapeId="0" xr:uid="{231CD839-3EC7-4275-A2CA-ADF6F17781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51" authorId="0" shapeId="0" xr:uid="{2F485CE2-625D-4AAE-90A7-3208F2E748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951" authorId="0" shapeId="0" xr:uid="{56EFE504-FA9D-43C5-9CFE-9F14F6F312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C952" authorId="0" shapeId="0" xr:uid="{48313BB8-E761-4602-A3D2-632C822C93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952" authorId="0" shapeId="0" xr:uid="{166DC38E-D92F-4BCF-9520-2209DC792A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953" authorId="0" shapeId="0" xr:uid="{2134C7E7-E10B-486F-917A-7861CBE63A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954" authorId="0" shapeId="0" xr:uid="{C4EDAF40-2CFC-4AE6-9FCB-5779BD7319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955" authorId="0" shapeId="0" xr:uid="{2CFEAD60-DBF5-4915-98AA-10703E41BC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6" authorId="0" shapeId="0" xr:uid="{4B0BE7A1-7FA2-488D-9334-B66667C36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957" authorId="0" shapeId="0" xr:uid="{D4D8E217-6EDC-4454-B4CF-5259A7F1F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958" authorId="0" shapeId="0" xr:uid="{5FA039C8-179B-4950-9D37-02C4F706F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ANSAGON STORE
DENOYAN, SIAYAN</t>
        </r>
      </text>
    </comment>
    <comment ref="C959" authorId="0" shapeId="0" xr:uid="{625FC644-06B2-441F-9C59-1AAB93A71B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</commentList>
</comments>
</file>

<file path=xl/sharedStrings.xml><?xml version="1.0" encoding="utf-8"?>
<sst xmlns="http://schemas.openxmlformats.org/spreadsheetml/2006/main" count="1327" uniqueCount="92">
  <si>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</si>
  <si>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</si>
  <si>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</si>
  <si>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</si>
  <si>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</si>
  <si>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</si>
  <si>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</si>
  <si>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</si>
  <si>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</si>
  <si>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</si>
  <si>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</si>
  <si>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</si>
  <si>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</si>
  <si>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</si>
  <si>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</si>
  <si>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</si>
  <si>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</si>
  <si>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</si>
  <si>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</si>
  <si>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</si>
  <si>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</si>
  <si>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</si>
  <si>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</si>
  <si>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</si>
  <si>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</si>
  <si>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</si>
  <si>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</si>
  <si>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</si>
  <si>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</si>
  <si>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</si>
  <si>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</si>
  <si>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</si>
  <si>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</si>
  <si>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</si>
  <si>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</si>
  <si>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</si>
  <si>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</si>
  <si>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</si>
  <si>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</si>
  <si>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</si>
  <si>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</si>
  <si>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</si>
  <si>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</si>
  <si>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</si>
  <si>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</si>
  <si>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</si>
  <si>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</si>
  <si>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</si>
  <si>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</si>
  <si>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</si>
  <si>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</si>
  <si>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</si>
  <si>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</si>
  <si>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</si>
  <si>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</si>
  <si>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</si>
  <si>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</si>
  <si>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</si>
  <si>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</si>
  <si>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</si>
  <si>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</si>
  <si>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</si>
  <si>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</si>
  <si>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</si>
  <si>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</si>
  <si>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</si>
  <si>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</si>
  <si>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</si>
  <si>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</si>
  <si>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</si>
  <si>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</si>
  <si>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</si>
  <si>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</si>
  <si>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</si>
  <si>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</si>
  <si>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</si>
  <si>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</si>
  <si>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</si>
  <si>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</si>
  <si>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</si>
  <si>
    <t>NOVEMBER 19, 2025</t>
  </si>
  <si>
    <t>11/19/2025</t>
  </si>
  <si>
    <t>7290-7295/7220-7222/7141-7150</t>
  </si>
  <si>
    <t>NOVEMBER 20, 2025</t>
  </si>
  <si>
    <t>11/20/2025</t>
  </si>
  <si>
    <t>7296-7298//7301-7310</t>
  </si>
  <si>
    <t>NOVEMBER 21, 2025</t>
  </si>
  <si>
    <t>11/21/2025</t>
  </si>
  <si>
    <t>7267,7299-7300,7351-7358/7223-7250,7401/7311-7316</t>
  </si>
  <si>
    <t>NOVEMBER 22, 2025</t>
  </si>
  <si>
    <t>11/22/2025</t>
  </si>
  <si>
    <t>7359-7371/7402-7407/7317-7320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</si>
</sst>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4" fontId="0" fillId="0" borderId="1" xfId="1" applyNumberFormat="1" applyFont="1" applyBorder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32" sqref="F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0" t="s">
        <v>36</v>
      </c>
      <c r="B6" s="11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 t="s">
        <v>82</v>
      </c>
      <c r="D28" s="16">
        <f t="shared" si="4"/>
        <v>542273.5</v>
      </c>
      <c r="F28" s="14">
        <v>221629.5</v>
      </c>
      <c r="G28" s="14">
        <v>176974</v>
      </c>
      <c r="H28" s="14">
        <v>143670</v>
      </c>
      <c r="I28" s="14"/>
      <c r="J28" s="17">
        <f t="shared" si="1"/>
        <v>542273.5</v>
      </c>
    </row>
    <row r="29" spans="1:10" x14ac:dyDescent="0.25">
      <c r="A29" s="10">
        <f t="shared" si="2"/>
        <v>20</v>
      </c>
      <c r="B29" s="11" t="s">
        <v>30</v>
      </c>
      <c r="C29" s="12" t="s">
        <v>85</v>
      </c>
      <c r="D29" s="16">
        <f t="shared" si="4"/>
        <v>387136.5</v>
      </c>
      <c r="F29" s="14">
        <v>130797.5</v>
      </c>
      <c r="G29" s="14"/>
      <c r="H29" s="14">
        <v>256339</v>
      </c>
      <c r="I29" s="14"/>
      <c r="J29" s="17">
        <f t="shared" si="1"/>
        <v>387136.5</v>
      </c>
    </row>
    <row r="30" spans="1:10" x14ac:dyDescent="0.25">
      <c r="A30" s="10">
        <f t="shared" si="2"/>
        <v>21</v>
      </c>
      <c r="B30" s="43" t="s">
        <v>4</v>
      </c>
      <c r="C30" s="109" t="s">
        <v>88</v>
      </c>
      <c r="D30" s="16">
        <f t="shared" si="4"/>
        <v>381712.5</v>
      </c>
      <c r="F30" s="14">
        <v>73574.5</v>
      </c>
      <c r="G30" s="14">
        <v>143034.5</v>
      </c>
      <c r="H30" s="14">
        <v>165103.5</v>
      </c>
      <c r="I30" s="14"/>
      <c r="J30" s="17">
        <f t="shared" si="1"/>
        <v>381712.5</v>
      </c>
    </row>
    <row r="31" spans="1:10" x14ac:dyDescent="0.25">
      <c r="A31" s="10">
        <f t="shared" si="2"/>
        <v>22</v>
      </c>
      <c r="B31" s="56" t="s">
        <v>5</v>
      </c>
      <c r="C31" s="12" t="s">
        <v>91</v>
      </c>
      <c r="D31" s="16">
        <f t="shared" si="4"/>
        <v>649968.5</v>
      </c>
      <c r="E31" s="14"/>
      <c r="F31" s="14">
        <v>182814.5</v>
      </c>
      <c r="G31" s="14">
        <v>151365</v>
      </c>
      <c r="H31" s="14">
        <v>315789</v>
      </c>
      <c r="I31" s="14"/>
      <c r="J31" s="17">
        <f t="shared" si="1"/>
        <v>649968.5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1" t="s">
        <v>10</v>
      </c>
      <c r="B42" s="112"/>
      <c r="C42" s="113"/>
      <c r="D42" s="48">
        <f>SUM(D2:D39)</f>
        <v>10234226.5</v>
      </c>
      <c r="J42" s="49">
        <f>SUM(J10:J41)</f>
        <v>10234226.5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963" zoomScaleNormal="100" workbookViewId="0">
      <selection activeCell="A992" sqref="A99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7"/>
      <c r="G10" s="27"/>
      <c r="I10" s="116" t="s">
        <v>18</v>
      </c>
      <c r="J10" s="117"/>
      <c r="K10" s="114" t="s">
        <v>19</v>
      </c>
      <c r="N10" s="25"/>
      <c r="O10" s="26"/>
      <c r="P10" s="118" t="s">
        <v>17</v>
      </c>
      <c r="Q10" s="118"/>
      <c r="R10" s="77"/>
      <c r="S10" s="27"/>
      <c r="U10" s="116" t="s">
        <v>18</v>
      </c>
      <c r="V10" s="117"/>
      <c r="W10" s="114" t="s">
        <v>19</v>
      </c>
      <c r="Z10" s="25"/>
      <c r="AA10" s="26"/>
      <c r="AB10" s="118" t="s">
        <v>17</v>
      </c>
      <c r="AC10" s="118"/>
      <c r="AD10" s="77"/>
      <c r="AE10" s="27"/>
      <c r="AG10" s="116" t="s">
        <v>18</v>
      </c>
      <c r="AH10" s="117"/>
      <c r="AI10" s="114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5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5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8" t="s">
        <v>17</v>
      </c>
      <c r="E65" s="118"/>
      <c r="F65" s="92"/>
      <c r="G65" s="27"/>
      <c r="I65" s="116" t="s">
        <v>18</v>
      </c>
      <c r="J65" s="117"/>
      <c r="K65" s="114" t="s">
        <v>19</v>
      </c>
      <c r="N65" s="25"/>
      <c r="O65" s="26"/>
      <c r="P65" s="118" t="s">
        <v>17</v>
      </c>
      <c r="Q65" s="118"/>
      <c r="R65" s="92"/>
      <c r="S65" s="27"/>
      <c r="U65" s="116" t="s">
        <v>18</v>
      </c>
      <c r="V65" s="117"/>
      <c r="W65" s="114" t="s">
        <v>19</v>
      </c>
      <c r="Z65" s="25"/>
      <c r="AA65" s="26"/>
      <c r="AB65" s="118" t="s">
        <v>17</v>
      </c>
      <c r="AC65" s="118"/>
      <c r="AD65" s="92"/>
      <c r="AE65" s="27"/>
      <c r="AG65" s="116" t="s">
        <v>18</v>
      </c>
      <c r="AH65" s="117"/>
      <c r="AI65" s="114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5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5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20"/>
      <c r="AO67" s="120"/>
      <c r="AP67" s="87"/>
      <c r="AQ67" s="62"/>
      <c r="AR67" s="120"/>
      <c r="AS67" s="120"/>
      <c r="AT67" s="11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3"/>
      <c r="G120" s="27"/>
      <c r="I120" s="116" t="s">
        <v>18</v>
      </c>
      <c r="J120" s="117"/>
      <c r="K120" s="114" t="s">
        <v>19</v>
      </c>
      <c r="N120" s="25"/>
      <c r="O120" s="26"/>
      <c r="P120" s="118" t="s">
        <v>17</v>
      </c>
      <c r="Q120" s="118"/>
      <c r="R120" s="93"/>
      <c r="S120" s="27"/>
      <c r="U120" s="116" t="s">
        <v>18</v>
      </c>
      <c r="V120" s="117"/>
      <c r="W120" s="114" t="s">
        <v>19</v>
      </c>
      <c r="Z120" s="25"/>
      <c r="AA120" s="26"/>
      <c r="AB120" s="118" t="s">
        <v>17</v>
      </c>
      <c r="AC120" s="118"/>
      <c r="AD120" s="93"/>
      <c r="AE120" s="27"/>
      <c r="AG120" s="116" t="s">
        <v>18</v>
      </c>
      <c r="AH120" s="117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4"/>
      <c r="G175" s="27"/>
      <c r="I175" s="116" t="s">
        <v>18</v>
      </c>
      <c r="J175" s="117"/>
      <c r="K175" s="114" t="s">
        <v>19</v>
      </c>
      <c r="N175" s="25"/>
      <c r="O175" s="26"/>
      <c r="P175" s="118" t="s">
        <v>17</v>
      </c>
      <c r="Q175" s="118"/>
      <c r="R175" s="94"/>
      <c r="S175" s="27"/>
      <c r="U175" s="116" t="s">
        <v>18</v>
      </c>
      <c r="V175" s="117"/>
      <c r="W175" s="114" t="s">
        <v>19</v>
      </c>
      <c r="Z175" s="25"/>
      <c r="AA175" s="26"/>
      <c r="AB175" s="118" t="s">
        <v>17</v>
      </c>
      <c r="AC175" s="118"/>
      <c r="AD175" s="94"/>
      <c r="AE175" s="27"/>
      <c r="AG175" s="116" t="s">
        <v>18</v>
      </c>
      <c r="AH175" s="117"/>
      <c r="AI175" s="114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5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20"/>
      <c r="AO181" s="120"/>
      <c r="AP181" s="87"/>
      <c r="AQ181" s="62"/>
      <c r="AR181" s="120"/>
      <c r="AS181" s="120"/>
      <c r="AT181" s="11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8" t="s">
        <v>17</v>
      </c>
      <c r="E230" s="118"/>
      <c r="F230" s="95"/>
      <c r="G230" s="27"/>
      <c r="I230" s="116" t="s">
        <v>18</v>
      </c>
      <c r="J230" s="117"/>
      <c r="K230" s="114" t="s">
        <v>19</v>
      </c>
      <c r="M230" s="62"/>
      <c r="N230" s="65"/>
      <c r="O230" s="89"/>
      <c r="P230" s="120"/>
      <c r="Q230" s="120"/>
      <c r="R230" s="89"/>
      <c r="S230" s="89"/>
      <c r="T230" s="62"/>
      <c r="U230" s="120"/>
      <c r="V230" s="120"/>
      <c r="W230" s="119"/>
      <c r="Z230" s="25"/>
      <c r="AA230" s="26"/>
      <c r="AB230" s="118" t="s">
        <v>17</v>
      </c>
      <c r="AC230" s="118"/>
      <c r="AD230" s="95"/>
      <c r="AE230" s="27"/>
      <c r="AG230" s="116" t="s">
        <v>18</v>
      </c>
      <c r="AH230" s="117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5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19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8" t="s">
        <v>17</v>
      </c>
      <c r="E285" s="118"/>
      <c r="F285" s="96"/>
      <c r="G285" s="27"/>
      <c r="I285" s="116" t="s">
        <v>18</v>
      </c>
      <c r="J285" s="117"/>
      <c r="K285" s="114" t="s">
        <v>19</v>
      </c>
      <c r="N285" s="25"/>
      <c r="O285" s="26"/>
      <c r="P285" s="118" t="s">
        <v>17</v>
      </c>
      <c r="Q285" s="118"/>
      <c r="R285" s="96"/>
      <c r="S285" s="27"/>
      <c r="U285" s="116" t="s">
        <v>18</v>
      </c>
      <c r="V285" s="117"/>
      <c r="W285" s="114" t="s">
        <v>19</v>
      </c>
      <c r="Z285" s="25"/>
      <c r="AA285" s="26"/>
      <c r="AB285" s="118" t="s">
        <v>17</v>
      </c>
      <c r="AC285" s="118"/>
      <c r="AD285" s="96"/>
      <c r="AE285" s="27"/>
      <c r="AG285" s="116" t="s">
        <v>18</v>
      </c>
      <c r="AH285" s="117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7"/>
      <c r="G340" s="27"/>
      <c r="I340" s="116" t="s">
        <v>18</v>
      </c>
      <c r="J340" s="117"/>
      <c r="K340" s="114" t="s">
        <v>19</v>
      </c>
      <c r="N340" s="25"/>
      <c r="O340" s="26"/>
      <c r="P340" s="118" t="s">
        <v>17</v>
      </c>
      <c r="Q340" s="118"/>
      <c r="R340" s="97"/>
      <c r="S340" s="27"/>
      <c r="U340" s="116" t="s">
        <v>18</v>
      </c>
      <c r="V340" s="117"/>
      <c r="W340" s="114" t="s">
        <v>19</v>
      </c>
      <c r="Z340" s="25"/>
      <c r="AA340" s="26"/>
      <c r="AB340" s="118" t="s">
        <v>17</v>
      </c>
      <c r="AC340" s="118"/>
      <c r="AD340" s="97"/>
      <c r="AE340" s="27"/>
      <c r="AG340" s="116" t="s">
        <v>18</v>
      </c>
      <c r="AH340" s="117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8"/>
      <c r="G395" s="27"/>
      <c r="I395" s="116" t="s">
        <v>18</v>
      </c>
      <c r="J395" s="117"/>
      <c r="K395" s="114" t="s">
        <v>19</v>
      </c>
      <c r="N395" s="25"/>
      <c r="O395" s="26"/>
      <c r="P395" s="118" t="s">
        <v>17</v>
      </c>
      <c r="Q395" s="118"/>
      <c r="R395" s="98"/>
      <c r="S395" s="27"/>
      <c r="U395" s="116" t="s">
        <v>18</v>
      </c>
      <c r="V395" s="117"/>
      <c r="W395" s="114" t="s">
        <v>19</v>
      </c>
      <c r="Z395" s="25"/>
      <c r="AA395" s="26"/>
      <c r="AB395" s="118" t="s">
        <v>17</v>
      </c>
      <c r="AC395" s="118"/>
      <c r="AD395" s="98"/>
      <c r="AE395" s="27"/>
      <c r="AG395" s="116" t="s">
        <v>18</v>
      </c>
      <c r="AH395" s="117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5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5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8" t="s">
        <v>17</v>
      </c>
      <c r="E450" s="118"/>
      <c r="F450" s="99"/>
      <c r="G450" s="27"/>
      <c r="I450" s="116" t="s">
        <v>18</v>
      </c>
      <c r="J450" s="117"/>
      <c r="K450" s="114" t="s">
        <v>19</v>
      </c>
      <c r="N450" s="25"/>
      <c r="O450" s="26"/>
      <c r="P450" s="118" t="s">
        <v>17</v>
      </c>
      <c r="Q450" s="118"/>
      <c r="R450" s="99"/>
      <c r="S450" s="27"/>
      <c r="U450" s="116" t="s">
        <v>18</v>
      </c>
      <c r="V450" s="117"/>
      <c r="W450" s="114" t="s">
        <v>19</v>
      </c>
      <c r="Z450" s="25"/>
      <c r="AA450" s="26"/>
      <c r="AB450" s="118" t="s">
        <v>17</v>
      </c>
      <c r="AC450" s="118"/>
      <c r="AD450" s="99"/>
      <c r="AE450" s="27"/>
      <c r="AG450" s="116" t="s">
        <v>18</v>
      </c>
      <c r="AH450" s="117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20"/>
      <c r="E505" s="120"/>
      <c r="F505" s="89"/>
      <c r="G505" s="89"/>
      <c r="H505" s="62"/>
      <c r="I505" s="120"/>
      <c r="J505" s="120"/>
      <c r="K505" s="119"/>
      <c r="N505" s="25"/>
      <c r="O505" s="26"/>
      <c r="P505" s="118" t="s">
        <v>17</v>
      </c>
      <c r="Q505" s="118"/>
      <c r="R505" s="100"/>
      <c r="S505" s="27"/>
      <c r="U505" s="116" t="s">
        <v>18</v>
      </c>
      <c r="V505" s="117"/>
      <c r="W505" s="114" t="s">
        <v>19</v>
      </c>
      <c r="Z505" s="25"/>
      <c r="AA505" s="26"/>
      <c r="AB505" s="118" t="s">
        <v>17</v>
      </c>
      <c r="AC505" s="118"/>
      <c r="AD505" s="100"/>
      <c r="AE505" s="27"/>
      <c r="AG505" s="116" t="s">
        <v>18</v>
      </c>
      <c r="AH505" s="117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19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8" t="s">
        <v>17</v>
      </c>
      <c r="E560" s="118"/>
      <c r="F560" s="101"/>
      <c r="G560" s="27"/>
      <c r="I560" s="116" t="s">
        <v>18</v>
      </c>
      <c r="J560" s="117"/>
      <c r="K560" s="114" t="s">
        <v>19</v>
      </c>
      <c r="N560" s="25"/>
      <c r="O560" s="26"/>
      <c r="P560" s="118" t="s">
        <v>17</v>
      </c>
      <c r="Q560" s="118"/>
      <c r="R560" s="101"/>
      <c r="S560" s="27"/>
      <c r="U560" s="116" t="s">
        <v>18</v>
      </c>
      <c r="V560" s="117"/>
      <c r="W560" s="114" t="s">
        <v>19</v>
      </c>
      <c r="Z560" s="25"/>
      <c r="AA560" s="26"/>
      <c r="AB560" s="118" t="s">
        <v>17</v>
      </c>
      <c r="AC560" s="118"/>
      <c r="AD560" s="101"/>
      <c r="AE560" s="27"/>
      <c r="AG560" s="116" t="s">
        <v>18</v>
      </c>
      <c r="AH560" s="117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5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8" t="s">
        <v>17</v>
      </c>
      <c r="E615" s="118"/>
      <c r="F615" s="102"/>
      <c r="G615" s="27"/>
      <c r="I615" s="116" t="s">
        <v>18</v>
      </c>
      <c r="J615" s="117"/>
      <c r="K615" s="114" t="s">
        <v>19</v>
      </c>
      <c r="M615" s="62"/>
      <c r="N615" s="65"/>
      <c r="O615" s="89"/>
      <c r="P615" s="120"/>
      <c r="Q615" s="120"/>
      <c r="R615" s="89"/>
      <c r="S615" s="89"/>
      <c r="T615" s="62"/>
      <c r="U615" s="120"/>
      <c r="V615" s="120"/>
      <c r="W615" s="119"/>
      <c r="Z615" s="25"/>
      <c r="AA615" s="26"/>
      <c r="AB615" s="118" t="s">
        <v>17</v>
      </c>
      <c r="AC615" s="118"/>
      <c r="AD615" s="102"/>
      <c r="AE615" s="27"/>
      <c r="AG615" s="116" t="s">
        <v>18</v>
      </c>
      <c r="AH615" s="117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5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19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8" t="s">
        <v>17</v>
      </c>
      <c r="E670" s="118"/>
      <c r="F670" s="103"/>
      <c r="G670" s="27"/>
      <c r="I670" s="116" t="s">
        <v>18</v>
      </c>
      <c r="J670" s="117"/>
      <c r="K670" s="114" t="s">
        <v>19</v>
      </c>
      <c r="N670" s="25"/>
      <c r="O670" s="26"/>
      <c r="P670" s="118" t="s">
        <v>17</v>
      </c>
      <c r="Q670" s="118"/>
      <c r="R670" s="103"/>
      <c r="S670" s="27"/>
      <c r="U670" s="116" t="s">
        <v>18</v>
      </c>
      <c r="V670" s="117"/>
      <c r="W670" s="114" t="s">
        <v>19</v>
      </c>
      <c r="Z670" s="25"/>
      <c r="AA670" s="26"/>
      <c r="AB670" s="118" t="s">
        <v>17</v>
      </c>
      <c r="AC670" s="118"/>
      <c r="AD670" s="103"/>
      <c r="AE670" s="27"/>
      <c r="AG670" s="116" t="s">
        <v>18</v>
      </c>
      <c r="AH670" s="117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4"/>
      <c r="G725" s="27"/>
      <c r="I725" s="116" t="s">
        <v>18</v>
      </c>
      <c r="J725" s="117"/>
      <c r="K725" s="114" t="s">
        <v>19</v>
      </c>
      <c r="N725" s="25"/>
      <c r="O725" s="26"/>
      <c r="P725" s="118" t="s">
        <v>17</v>
      </c>
      <c r="Q725" s="118"/>
      <c r="R725" s="104"/>
      <c r="S725" s="27"/>
      <c r="U725" s="116" t="s">
        <v>18</v>
      </c>
      <c r="V725" s="117"/>
      <c r="W725" s="114" t="s">
        <v>19</v>
      </c>
      <c r="Z725" s="25"/>
      <c r="AA725" s="26"/>
      <c r="AB725" s="118" t="s">
        <v>17</v>
      </c>
      <c r="AC725" s="118"/>
      <c r="AD725" s="104"/>
      <c r="AE725" s="27"/>
      <c r="AG725" s="116" t="s">
        <v>18</v>
      </c>
      <c r="AH725" s="117"/>
      <c r="AI725" s="114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5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5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5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60" si="200">SUM(D727:E727)</f>
        <v>3813</v>
      </c>
      <c r="H727" s="12"/>
      <c r="I727" s="12"/>
      <c r="J727" s="12"/>
      <c r="K727" s="12">
        <f t="shared" ref="K727:K760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59" si="202">SUM(P728:Q728)</f>
        <v>5719.5</v>
      </c>
      <c r="T728" s="12"/>
      <c r="U728" s="12"/>
      <c r="V728" s="12">
        <v>-666</v>
      </c>
      <c r="W728" s="12">
        <f t="shared" ref="W728:W768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65" si="204">SUM(AB728:AC728)</f>
        <v>269829</v>
      </c>
      <c r="AF728" s="12"/>
      <c r="AG728" s="12">
        <f>360+546+252</f>
        <v>1158</v>
      </c>
      <c r="AH728" s="12"/>
      <c r="AI728" s="12">
        <f t="shared" ref="AI728:AI768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48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33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30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65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F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19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42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8" t="s">
        <v>17</v>
      </c>
      <c r="E780" s="118"/>
      <c r="F780" s="105"/>
      <c r="G780" s="27"/>
      <c r="I780" s="116" t="s">
        <v>18</v>
      </c>
      <c r="J780" s="117"/>
      <c r="K780" s="114" t="s">
        <v>19</v>
      </c>
      <c r="N780" s="25"/>
      <c r="O780" s="26"/>
      <c r="P780" s="118" t="s">
        <v>17</v>
      </c>
      <c r="Q780" s="118"/>
      <c r="R780" s="105"/>
      <c r="S780" s="27"/>
      <c r="U780" s="116" t="s">
        <v>18</v>
      </c>
      <c r="V780" s="117"/>
      <c r="W780" s="114" t="s">
        <v>19</v>
      </c>
      <c r="Z780" s="25"/>
      <c r="AA780" s="26"/>
      <c r="AB780" s="118" t="s">
        <v>17</v>
      </c>
      <c r="AC780" s="118"/>
      <c r="AD780" s="105"/>
      <c r="AE780" s="27"/>
      <c r="AG780" s="116" t="s">
        <v>18</v>
      </c>
      <c r="AH780" s="117"/>
      <c r="AI780" s="114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15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15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15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7290</v>
      </c>
      <c r="D782" s="32">
        <f>67608+2350+1102+2350+25560+10050+24960+916+650</f>
        <v>135546</v>
      </c>
      <c r="E782" s="32">
        <v>-1692</v>
      </c>
      <c r="F782" s="32"/>
      <c r="G782" s="32">
        <f t="shared" ref="G782:G815" si="215">SUM(D782:E782)</f>
        <v>133854</v>
      </c>
      <c r="H782" s="12"/>
      <c r="I782" s="12"/>
      <c r="J782" s="12">
        <f>-83916+-936+-7881</f>
        <v>-92733</v>
      </c>
      <c r="K782" s="12">
        <f t="shared" ref="K782:K815" si="216">SUM(G782:J782)</f>
        <v>41121</v>
      </c>
      <c r="M782" s="10">
        <v>1</v>
      </c>
      <c r="N782" s="30" t="s">
        <v>81</v>
      </c>
      <c r="O782" s="31">
        <v>7220</v>
      </c>
      <c r="P782" s="32">
        <f>135216+6140+29800+2519</f>
        <v>173675</v>
      </c>
      <c r="Q782" s="32">
        <v>-2583</v>
      </c>
      <c r="R782" s="32"/>
      <c r="S782" s="32">
        <f>SUM(P782:Q782)</f>
        <v>171092</v>
      </c>
      <c r="T782" s="12"/>
      <c r="U782" s="12">
        <v>468</v>
      </c>
      <c r="V782" s="12">
        <f>-1554+-338</f>
        <v>-1892</v>
      </c>
      <c r="W782" s="12">
        <f>SUM(S782:V782)</f>
        <v>169668</v>
      </c>
      <c r="Y782" s="10">
        <v>1</v>
      </c>
      <c r="Z782" s="30" t="s">
        <v>81</v>
      </c>
      <c r="AA782" s="31">
        <v>7141</v>
      </c>
      <c r="AB782" s="32">
        <f>62600+29800+1374+1300</f>
        <v>95074</v>
      </c>
      <c r="AC782" s="32">
        <v>-948</v>
      </c>
      <c r="AD782" s="32"/>
      <c r="AE782" s="32">
        <f>SUM(AB782:AC782)</f>
        <v>94126</v>
      </c>
      <c r="AF782" s="12"/>
      <c r="AG782" s="12"/>
      <c r="AH782" s="12"/>
      <c r="AI782" s="12">
        <f>SUM(AE782:AH782)</f>
        <v>94126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91">
        <f>C782+1</f>
        <v>7291</v>
      </c>
      <c r="D783" s="32">
        <f>8764+133</f>
        <v>8897</v>
      </c>
      <c r="E783" s="32"/>
      <c r="F783" s="32"/>
      <c r="G783" s="32">
        <f t="shared" si="215"/>
        <v>8897</v>
      </c>
      <c r="H783" s="12"/>
      <c r="I783" s="12"/>
      <c r="J783" s="12"/>
      <c r="K783" s="12">
        <f t="shared" si="216"/>
        <v>8897</v>
      </c>
      <c r="M783" s="10">
        <v>2</v>
      </c>
      <c r="N783" s="30" t="s">
        <v>81</v>
      </c>
      <c r="O783" s="31">
        <f>O782+1</f>
        <v>7221</v>
      </c>
      <c r="P783" s="32">
        <f>4382+229</f>
        <v>4611</v>
      </c>
      <c r="Q783" s="32"/>
      <c r="R783" s="32"/>
      <c r="S783" s="32">
        <f t="shared" ref="S783:S814" si="217">SUM(P783:Q783)</f>
        <v>4611</v>
      </c>
      <c r="T783" s="12"/>
      <c r="U783" s="12"/>
      <c r="V783" s="12"/>
      <c r="W783" s="12">
        <f t="shared" ref="W783:W823" si="218">SUM(S783:V783)</f>
        <v>4611</v>
      </c>
      <c r="Y783" s="10">
        <v>2</v>
      </c>
      <c r="Z783" s="30" t="s">
        <v>81</v>
      </c>
      <c r="AA783" s="31">
        <f>AA782+1</f>
        <v>7142</v>
      </c>
      <c r="AB783" s="32">
        <f>1252+229</f>
        <v>1481</v>
      </c>
      <c r="AC783" s="32"/>
      <c r="AD783" s="32"/>
      <c r="AE783" s="32">
        <f t="shared" ref="AE783:AE820" si="219">SUM(AB783:AC783)</f>
        <v>1481</v>
      </c>
      <c r="AF783" s="12"/>
      <c r="AG783" s="12"/>
      <c r="AH783" s="12"/>
      <c r="AI783" s="12">
        <f t="shared" ref="AI783:AI823" si="220">SUM(AE783:AH783)</f>
        <v>1481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91">
        <f t="shared" ref="C784:C787" si="221">C783+1</f>
        <v>7292</v>
      </c>
      <c r="D784" s="33">
        <f>6886+104.5</f>
        <v>6990.5</v>
      </c>
      <c r="E784" s="33"/>
      <c r="F784" s="33"/>
      <c r="G784" s="33">
        <f t="shared" si="215"/>
        <v>6990.5</v>
      </c>
      <c r="H784" s="34"/>
      <c r="I784" s="34"/>
      <c r="J784" s="34"/>
      <c r="K784" s="34">
        <f t="shared" si="216"/>
        <v>6990.5</v>
      </c>
      <c r="M784" s="10">
        <v>3</v>
      </c>
      <c r="N784" s="30" t="s">
        <v>81</v>
      </c>
      <c r="O784" s="31">
        <f t="shared" ref="O784" si="222">O783+1</f>
        <v>7222</v>
      </c>
      <c r="P784" s="32">
        <f>1252+19</f>
        <v>1271</v>
      </c>
      <c r="Q784" s="32"/>
      <c r="R784" s="32"/>
      <c r="S784" s="32">
        <f t="shared" si="217"/>
        <v>1271</v>
      </c>
      <c r="T784" s="12"/>
      <c r="U784" s="12">
        <v>111</v>
      </c>
      <c r="V784" s="12"/>
      <c r="W784" s="12">
        <f t="shared" si="218"/>
        <v>1382</v>
      </c>
      <c r="Y784" s="10">
        <v>3</v>
      </c>
      <c r="Z784" s="30" t="s">
        <v>81</v>
      </c>
      <c r="AA784" s="31">
        <f t="shared" ref="AA784:AA791" si="223">AA783+1</f>
        <v>7143</v>
      </c>
      <c r="AB784" s="33">
        <f>7512+614+832+114</f>
        <v>9072</v>
      </c>
      <c r="AC784" s="33"/>
      <c r="AD784" s="32"/>
      <c r="AE784" s="32">
        <f t="shared" si="219"/>
        <v>9072</v>
      </c>
      <c r="AF784" s="12"/>
      <c r="AG784" s="12">
        <v>33</v>
      </c>
      <c r="AH784" s="12"/>
      <c r="AI784" s="12">
        <f t="shared" si="220"/>
        <v>9105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91">
        <f t="shared" si="221"/>
        <v>7293</v>
      </c>
      <c r="D785" s="32">
        <f>6260+650</f>
        <v>6910</v>
      </c>
      <c r="E785" s="32"/>
      <c r="F785" s="32"/>
      <c r="G785" s="32">
        <f t="shared" si="215"/>
        <v>6910</v>
      </c>
      <c r="H785" s="12"/>
      <c r="I785" s="12"/>
      <c r="J785" s="12"/>
      <c r="K785" s="12">
        <f t="shared" si="216"/>
        <v>6910</v>
      </c>
      <c r="M785" s="10">
        <v>4</v>
      </c>
      <c r="N785" s="30"/>
      <c r="O785" s="11" t="s">
        <v>27</v>
      </c>
      <c r="P785" s="32"/>
      <c r="Q785" s="32"/>
      <c r="R785" s="32"/>
      <c r="S785" s="32">
        <f t="shared" si="217"/>
        <v>0</v>
      </c>
      <c r="T785" s="12"/>
      <c r="U785" s="12"/>
      <c r="V785" s="12"/>
      <c r="W785" s="12">
        <f t="shared" si="218"/>
        <v>0</v>
      </c>
      <c r="Y785" s="10">
        <v>4</v>
      </c>
      <c r="Z785" s="30" t="s">
        <v>81</v>
      </c>
      <c r="AA785" s="31">
        <f t="shared" si="223"/>
        <v>7144</v>
      </c>
      <c r="AB785" s="32">
        <f>6260+9.5*10</f>
        <v>6355</v>
      </c>
      <c r="AC785" s="32"/>
      <c r="AD785" s="32"/>
      <c r="AE785" s="32">
        <f t="shared" si="219"/>
        <v>6355</v>
      </c>
      <c r="AF785" s="12"/>
      <c r="AH785" s="12"/>
      <c r="AI785" s="12">
        <f t="shared" si="220"/>
        <v>6355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91">
        <f t="shared" si="221"/>
        <v>7294</v>
      </c>
      <c r="D786" s="32">
        <f>55693+4260+5025</f>
        <v>64978</v>
      </c>
      <c r="E786" s="32"/>
      <c r="F786" s="32"/>
      <c r="G786" s="32">
        <f t="shared" si="215"/>
        <v>64978</v>
      </c>
      <c r="H786" s="12"/>
      <c r="I786" s="12"/>
      <c r="J786" s="12"/>
      <c r="K786" s="12">
        <f t="shared" si="216"/>
        <v>64978</v>
      </c>
      <c r="M786" s="10">
        <v>5</v>
      </c>
      <c r="N786" s="30"/>
      <c r="O786" s="31"/>
      <c r="P786" s="32"/>
      <c r="Q786" s="32"/>
      <c r="R786" s="32"/>
      <c r="S786" s="32">
        <f t="shared" si="217"/>
        <v>0</v>
      </c>
      <c r="T786" s="12"/>
      <c r="U786" s="12"/>
      <c r="V786" s="12"/>
      <c r="W786" s="12">
        <f t="shared" si="218"/>
        <v>0</v>
      </c>
      <c r="Y786" s="10">
        <v>5</v>
      </c>
      <c r="Z786" s="30" t="s">
        <v>81</v>
      </c>
      <c r="AA786" s="31">
        <f t="shared" si="223"/>
        <v>7145</v>
      </c>
      <c r="AB786" s="32">
        <f>3130+596+229</f>
        <v>3955</v>
      </c>
      <c r="AC786" s="32"/>
      <c r="AD786" s="32"/>
      <c r="AE786" s="32">
        <f t="shared" si="219"/>
        <v>3955</v>
      </c>
      <c r="AF786" s="12"/>
      <c r="AG786" s="12"/>
      <c r="AH786" s="12"/>
      <c r="AI786" s="12">
        <f t="shared" si="220"/>
        <v>3955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91">
        <f t="shared" si="221"/>
        <v>7295</v>
      </c>
      <c r="D787" s="32"/>
      <c r="E787" s="32"/>
      <c r="F787" s="32"/>
      <c r="G787" s="32">
        <f t="shared" si="215"/>
        <v>0</v>
      </c>
      <c r="H787" s="12"/>
      <c r="I787" s="12">
        <v>8400</v>
      </c>
      <c r="J787" s="12"/>
      <c r="K787" s="12">
        <f t="shared" si="216"/>
        <v>8400</v>
      </c>
      <c r="M787" s="10">
        <v>6</v>
      </c>
      <c r="N787" s="30"/>
      <c r="O787" s="31"/>
      <c r="P787" s="32"/>
      <c r="Q787" s="32"/>
      <c r="R787" s="32"/>
      <c r="S787" s="32">
        <f t="shared" si="217"/>
        <v>0</v>
      </c>
      <c r="T787" s="12"/>
      <c r="U787" s="12"/>
      <c r="V787" s="10"/>
      <c r="W787" s="12">
        <f t="shared" si="218"/>
        <v>0</v>
      </c>
      <c r="Y787" s="10">
        <v>6</v>
      </c>
      <c r="Z787" s="30" t="s">
        <v>81</v>
      </c>
      <c r="AA787" s="31">
        <f t="shared" si="223"/>
        <v>7146</v>
      </c>
      <c r="AB787" s="32">
        <f>6260+95</f>
        <v>6355</v>
      </c>
      <c r="AC787" s="32"/>
      <c r="AD787" s="32"/>
      <c r="AE787" s="32">
        <f t="shared" si="219"/>
        <v>6355</v>
      </c>
      <c r="AF787" s="12"/>
      <c r="AG787" s="12"/>
      <c r="AH787" s="10"/>
      <c r="AI787" s="12">
        <f t="shared" si="220"/>
        <v>6355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/>
      <c r="C788" s="11" t="s">
        <v>27</v>
      </c>
      <c r="D788" s="32"/>
      <c r="E788" s="32"/>
      <c r="F788" s="32"/>
      <c r="G788" s="32">
        <f t="shared" si="215"/>
        <v>0</v>
      </c>
      <c r="H788" s="12"/>
      <c r="I788" s="12"/>
      <c r="J788" s="12"/>
      <c r="K788" s="12">
        <f t="shared" si="216"/>
        <v>0</v>
      </c>
      <c r="M788" s="10">
        <v>7</v>
      </c>
      <c r="N788" s="30"/>
      <c r="O788" s="31"/>
      <c r="P788" s="32"/>
      <c r="Q788" s="32"/>
      <c r="R788" s="32"/>
      <c r="S788" s="32">
        <f t="shared" si="217"/>
        <v>0</v>
      </c>
      <c r="T788" s="12"/>
      <c r="U788" s="12"/>
      <c r="V788" s="12"/>
      <c r="W788" s="12">
        <f t="shared" si="218"/>
        <v>0</v>
      </c>
      <c r="Y788" s="10">
        <v>7</v>
      </c>
      <c r="Z788" s="30" t="s">
        <v>81</v>
      </c>
      <c r="AA788" s="31">
        <f t="shared" si="223"/>
        <v>7147</v>
      </c>
      <c r="AB788" s="32">
        <f>2504+502.5+416+38</f>
        <v>3460.5</v>
      </c>
      <c r="AC788" s="32"/>
      <c r="AD788" s="32"/>
      <c r="AE788" s="32">
        <f t="shared" si="219"/>
        <v>3460.5</v>
      </c>
      <c r="AF788" s="12"/>
      <c r="AG788" s="58"/>
      <c r="AH788" s="12"/>
      <c r="AI788" s="12">
        <f t="shared" si="220"/>
        <v>3460.5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/>
      <c r="C789" s="91"/>
      <c r="D789" s="32"/>
      <c r="E789" s="32"/>
      <c r="F789" s="32"/>
      <c r="G789" s="32">
        <f t="shared" si="215"/>
        <v>0</v>
      </c>
      <c r="H789" s="12"/>
      <c r="I789" s="12"/>
      <c r="J789" s="12"/>
      <c r="K789" s="12">
        <f t="shared" si="216"/>
        <v>0</v>
      </c>
      <c r="M789" s="10">
        <v>8</v>
      </c>
      <c r="N789" s="30"/>
      <c r="P789" s="32"/>
      <c r="Q789" s="32"/>
      <c r="R789" s="32"/>
      <c r="S789" s="32">
        <f t="shared" si="217"/>
        <v>0</v>
      </c>
      <c r="T789" s="12"/>
      <c r="U789" s="12"/>
      <c r="V789" s="12"/>
      <c r="W789" s="12">
        <f t="shared" si="218"/>
        <v>0</v>
      </c>
      <c r="Y789" s="10">
        <v>8</v>
      </c>
      <c r="Z789" s="30" t="s">
        <v>81</v>
      </c>
      <c r="AA789" s="31">
        <f t="shared" si="223"/>
        <v>7148</v>
      </c>
      <c r="AB789" s="32">
        <f>1252+19</f>
        <v>1271</v>
      </c>
      <c r="AC789" s="32"/>
      <c r="AE789" s="32">
        <f t="shared" si="219"/>
        <v>1271</v>
      </c>
      <c r="AF789" s="12"/>
      <c r="AG789" s="12"/>
      <c r="AH789" s="12"/>
      <c r="AI789" s="12">
        <f t="shared" si="220"/>
        <v>1271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/>
      <c r="C790" s="91"/>
      <c r="D790" s="32"/>
      <c r="E790" s="32"/>
      <c r="F790" s="32"/>
      <c r="G790" s="32">
        <f t="shared" si="215"/>
        <v>0</v>
      </c>
      <c r="H790" s="12"/>
      <c r="I790" s="12"/>
      <c r="J790" s="12"/>
      <c r="K790" s="12">
        <f t="shared" si="216"/>
        <v>0</v>
      </c>
      <c r="M790" s="10">
        <v>9</v>
      </c>
      <c r="N790" s="30"/>
      <c r="O790" s="31"/>
      <c r="P790" s="32"/>
      <c r="Q790" s="32"/>
      <c r="R790" s="32"/>
      <c r="S790" s="32">
        <f t="shared" si="217"/>
        <v>0</v>
      </c>
      <c r="T790" s="12"/>
      <c r="U790" s="12"/>
      <c r="V790" s="12"/>
      <c r="W790" s="12">
        <f t="shared" si="218"/>
        <v>0</v>
      </c>
      <c r="Y790" s="10">
        <v>9</v>
      </c>
      <c r="Z790" s="30" t="s">
        <v>81</v>
      </c>
      <c r="AA790" s="31">
        <f t="shared" si="223"/>
        <v>7149</v>
      </c>
      <c r="AB790" s="32">
        <f>4382+66.5</f>
        <v>4448.5</v>
      </c>
      <c r="AC790" s="32"/>
      <c r="AD790" s="32"/>
      <c r="AE790" s="32">
        <f t="shared" si="219"/>
        <v>4448.5</v>
      </c>
      <c r="AF790" s="12"/>
      <c r="AG790" s="58"/>
      <c r="AH790" s="12"/>
      <c r="AI790" s="12">
        <f t="shared" si="220"/>
        <v>4448.5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91"/>
      <c r="D791" s="32"/>
      <c r="E791" s="32"/>
      <c r="F791" s="32"/>
      <c r="G791" s="32">
        <f t="shared" si="215"/>
        <v>0</v>
      </c>
      <c r="H791" s="12"/>
      <c r="I791" s="12"/>
      <c r="J791" s="12"/>
      <c r="K791" s="12">
        <f t="shared" si="216"/>
        <v>0</v>
      </c>
      <c r="M791" s="10">
        <v>10</v>
      </c>
      <c r="N791" s="30"/>
      <c r="O791" s="31"/>
      <c r="P791" s="32"/>
      <c r="Q791" s="32"/>
      <c r="R791" s="32"/>
      <c r="S791" s="32">
        <f t="shared" si="217"/>
        <v>0</v>
      </c>
      <c r="T791" s="12"/>
      <c r="U791" s="12"/>
      <c r="V791" s="12"/>
      <c r="W791" s="12">
        <f t="shared" si="218"/>
        <v>0</v>
      </c>
      <c r="Y791" s="10">
        <v>10</v>
      </c>
      <c r="Z791" s="30" t="s">
        <v>81</v>
      </c>
      <c r="AA791" s="31">
        <f t="shared" si="223"/>
        <v>7150</v>
      </c>
      <c r="AB791" s="32">
        <f>13146</f>
        <v>13146</v>
      </c>
      <c r="AC791" s="32"/>
      <c r="AD791" s="32"/>
      <c r="AE791" s="32">
        <f t="shared" si="219"/>
        <v>13146</v>
      </c>
      <c r="AF791" s="12"/>
      <c r="AG791" s="12"/>
      <c r="AH791" s="12"/>
      <c r="AI791" s="12">
        <f t="shared" si="220"/>
        <v>13146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91"/>
      <c r="D792" s="32"/>
      <c r="E792" s="32"/>
      <c r="F792" s="32"/>
      <c r="G792" s="32">
        <f t="shared" si="215"/>
        <v>0</v>
      </c>
      <c r="H792" s="12"/>
      <c r="I792" s="12"/>
      <c r="J792" s="12"/>
      <c r="K792" s="12">
        <f t="shared" si="216"/>
        <v>0</v>
      </c>
      <c r="M792" s="10">
        <v>11</v>
      </c>
      <c r="N792" s="30"/>
      <c r="O792" s="31"/>
      <c r="P792" s="32"/>
      <c r="Q792" s="32"/>
      <c r="R792" s="32"/>
      <c r="S792" s="32">
        <f t="shared" si="217"/>
        <v>0</v>
      </c>
      <c r="T792" s="12"/>
      <c r="U792" s="12"/>
      <c r="V792" s="12"/>
      <c r="W792" s="12">
        <f t="shared" si="218"/>
        <v>0</v>
      </c>
      <c r="Y792" s="10">
        <v>11</v>
      </c>
      <c r="Z792" s="30"/>
      <c r="AA792" s="11" t="s">
        <v>27</v>
      </c>
      <c r="AB792" s="32"/>
      <c r="AC792" s="32"/>
      <c r="AD792" s="32"/>
      <c r="AE792" s="32">
        <f t="shared" si="219"/>
        <v>0</v>
      </c>
      <c r="AF792" s="12"/>
      <c r="AG792" s="12"/>
      <c r="AH792" s="12"/>
      <c r="AI792" s="12">
        <f t="shared" si="220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91"/>
      <c r="D793" s="32"/>
      <c r="E793" s="32"/>
      <c r="F793" s="32"/>
      <c r="G793" s="32">
        <f t="shared" si="215"/>
        <v>0</v>
      </c>
      <c r="H793" s="12"/>
      <c r="I793" s="12"/>
      <c r="J793" s="10"/>
      <c r="K793" s="12">
        <f t="shared" si="216"/>
        <v>0</v>
      </c>
      <c r="M793" s="10">
        <v>12</v>
      </c>
      <c r="N793" s="30"/>
      <c r="O793" s="31"/>
      <c r="P793" s="32"/>
      <c r="Q793" s="32"/>
      <c r="R793" s="32"/>
      <c r="S793" s="32">
        <f t="shared" si="217"/>
        <v>0</v>
      </c>
      <c r="T793" s="12"/>
      <c r="U793" s="12"/>
      <c r="V793" s="12"/>
      <c r="W793" s="12">
        <f t="shared" si="218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9"/>
        <v>0</v>
      </c>
      <c r="AF793" s="12"/>
      <c r="AG793" s="12"/>
      <c r="AH793" s="12"/>
      <c r="AI793" s="12">
        <f t="shared" si="220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91"/>
      <c r="D794" s="32"/>
      <c r="E794" s="32"/>
      <c r="F794" s="32"/>
      <c r="G794" s="32">
        <f t="shared" si="215"/>
        <v>0</v>
      </c>
      <c r="H794" s="12"/>
      <c r="I794" s="12"/>
      <c r="J794" s="12"/>
      <c r="K794" s="12">
        <f t="shared" si="216"/>
        <v>0</v>
      </c>
      <c r="M794" s="10">
        <v>13</v>
      </c>
      <c r="N794" s="30"/>
      <c r="O794" s="31"/>
      <c r="P794" s="32"/>
      <c r="Q794" s="32"/>
      <c r="R794" s="32"/>
      <c r="S794" s="32">
        <f t="shared" si="217"/>
        <v>0</v>
      </c>
      <c r="T794" s="12"/>
      <c r="U794" s="12"/>
      <c r="V794" s="12"/>
      <c r="W794" s="12">
        <f t="shared" si="218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9"/>
        <v>0</v>
      </c>
      <c r="AF794" s="12"/>
      <c r="AG794" s="12"/>
      <c r="AH794" s="12"/>
      <c r="AI794" s="12">
        <f t="shared" si="220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91"/>
      <c r="D795" s="32"/>
      <c r="E795" s="32"/>
      <c r="F795" s="32"/>
      <c r="G795" s="32">
        <f t="shared" si="215"/>
        <v>0</v>
      </c>
      <c r="H795" s="12"/>
      <c r="I795" s="12"/>
      <c r="J795" s="12"/>
      <c r="K795" s="12">
        <f t="shared" si="216"/>
        <v>0</v>
      </c>
      <c r="M795" s="10">
        <v>14</v>
      </c>
      <c r="N795" s="30"/>
      <c r="O795" s="31"/>
      <c r="P795" s="32"/>
      <c r="Q795" s="32"/>
      <c r="R795" s="32"/>
      <c r="S795" s="32">
        <f t="shared" si="217"/>
        <v>0</v>
      </c>
      <c r="T795" s="12"/>
      <c r="U795" s="12"/>
      <c r="V795" s="12"/>
      <c r="W795" s="12">
        <f t="shared" si="218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9"/>
        <v>0</v>
      </c>
      <c r="AF795" s="12"/>
      <c r="AG795" s="12"/>
      <c r="AH795" s="12"/>
      <c r="AI795" s="12">
        <f t="shared" si="220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91"/>
      <c r="D796" s="32"/>
      <c r="E796" s="32"/>
      <c r="F796" s="32"/>
      <c r="G796" s="32">
        <f t="shared" si="215"/>
        <v>0</v>
      </c>
      <c r="H796" s="12"/>
      <c r="I796" s="12"/>
      <c r="J796" s="12"/>
      <c r="K796" s="12">
        <f t="shared" si="216"/>
        <v>0</v>
      </c>
      <c r="M796" s="10">
        <v>15</v>
      </c>
      <c r="N796" s="30"/>
      <c r="O796" s="31"/>
      <c r="P796" s="32"/>
      <c r="Q796" s="32"/>
      <c r="R796" s="32"/>
      <c r="S796" s="32">
        <f t="shared" si="217"/>
        <v>0</v>
      </c>
      <c r="T796" s="12"/>
      <c r="U796" s="12"/>
      <c r="V796" s="12"/>
      <c r="W796" s="12">
        <f t="shared" si="218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9"/>
        <v>0</v>
      </c>
      <c r="AF796" s="12"/>
      <c r="AG796" s="12"/>
      <c r="AH796" s="12"/>
      <c r="AI796" s="12">
        <f t="shared" si="220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91"/>
      <c r="D797" s="32"/>
      <c r="E797" s="32"/>
      <c r="F797" s="32"/>
      <c r="G797" s="32">
        <f t="shared" si="215"/>
        <v>0</v>
      </c>
      <c r="H797" s="12"/>
      <c r="I797" s="12"/>
      <c r="J797" s="12"/>
      <c r="K797" s="12">
        <f t="shared" si="216"/>
        <v>0</v>
      </c>
      <c r="M797" s="10">
        <v>16</v>
      </c>
      <c r="N797" s="30"/>
      <c r="O797" s="31"/>
      <c r="P797" s="32"/>
      <c r="Q797" s="32"/>
      <c r="R797" s="32"/>
      <c r="S797" s="32">
        <f t="shared" si="217"/>
        <v>0</v>
      </c>
      <c r="T797" s="12"/>
      <c r="U797" s="12"/>
      <c r="V797" s="12"/>
      <c r="W797" s="12">
        <f t="shared" si="218"/>
        <v>0</v>
      </c>
      <c r="Y797" s="10">
        <v>16</v>
      </c>
      <c r="Z797" s="30"/>
      <c r="AB797" s="32"/>
      <c r="AC797" s="32"/>
      <c r="AD797" s="32"/>
      <c r="AE797" s="32">
        <f t="shared" si="219"/>
        <v>0</v>
      </c>
      <c r="AF797" s="12"/>
      <c r="AG797" s="12"/>
      <c r="AH797" s="12"/>
      <c r="AI797" s="12">
        <f t="shared" si="220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91"/>
      <c r="D798" s="32"/>
      <c r="E798" s="32"/>
      <c r="F798" s="32"/>
      <c r="G798" s="32">
        <f t="shared" si="215"/>
        <v>0</v>
      </c>
      <c r="H798" s="12"/>
      <c r="I798" s="12"/>
      <c r="J798" s="12"/>
      <c r="K798" s="12">
        <f t="shared" si="216"/>
        <v>0</v>
      </c>
      <c r="M798" s="10">
        <v>17</v>
      </c>
      <c r="N798" s="30"/>
      <c r="O798" s="31"/>
      <c r="P798" s="35"/>
      <c r="Q798" s="32"/>
      <c r="R798" s="32"/>
      <c r="S798" s="32">
        <f t="shared" si="217"/>
        <v>0</v>
      </c>
      <c r="T798" s="12"/>
      <c r="U798" s="12"/>
      <c r="V798" s="12"/>
      <c r="W798" s="12">
        <f t="shared" si="218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9"/>
        <v>0</v>
      </c>
      <c r="AF798" s="12"/>
      <c r="AG798" s="12"/>
      <c r="AH798" s="12"/>
      <c r="AI798" s="12">
        <f t="shared" si="220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91"/>
      <c r="D799" s="32"/>
      <c r="E799" s="32"/>
      <c r="F799" s="32"/>
      <c r="G799" s="32">
        <f t="shared" si="215"/>
        <v>0</v>
      </c>
      <c r="H799" s="12"/>
      <c r="I799" s="12"/>
      <c r="J799" s="12"/>
      <c r="K799" s="12">
        <f t="shared" si="216"/>
        <v>0</v>
      </c>
      <c r="M799" s="10">
        <v>18</v>
      </c>
      <c r="N799" s="30"/>
      <c r="O799" s="31"/>
      <c r="P799" s="32"/>
      <c r="Q799" s="32"/>
      <c r="R799" s="32"/>
      <c r="S799" s="32">
        <f t="shared" si="217"/>
        <v>0</v>
      </c>
      <c r="T799" s="12"/>
      <c r="U799" s="12"/>
      <c r="V799" s="12"/>
      <c r="W799" s="12">
        <f t="shared" si="218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19"/>
        <v>0</v>
      </c>
      <c r="AF799" s="12"/>
      <c r="AG799" s="12"/>
      <c r="AH799" s="12"/>
      <c r="AI799" s="12">
        <f t="shared" si="220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91"/>
      <c r="D800" s="32"/>
      <c r="E800" s="32"/>
      <c r="F800" s="32"/>
      <c r="G800" s="32">
        <f t="shared" si="215"/>
        <v>0</v>
      </c>
      <c r="H800" s="12"/>
      <c r="I800" s="12"/>
      <c r="J800" s="12"/>
      <c r="K800" s="12">
        <f t="shared" si="216"/>
        <v>0</v>
      </c>
      <c r="M800" s="10">
        <v>19</v>
      </c>
      <c r="N800" s="30"/>
      <c r="O800" s="31"/>
      <c r="P800" s="32"/>
      <c r="Q800" s="32"/>
      <c r="R800" s="32"/>
      <c r="S800" s="32">
        <f t="shared" si="217"/>
        <v>0</v>
      </c>
      <c r="T800" s="12"/>
      <c r="U800" s="12"/>
      <c r="V800" s="12"/>
      <c r="W800" s="12">
        <f t="shared" si="218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9"/>
        <v>0</v>
      </c>
      <c r="AF800" s="12"/>
      <c r="AG800" s="12"/>
      <c r="AH800" s="12"/>
      <c r="AI800" s="12">
        <f t="shared" si="220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91"/>
      <c r="D801" s="32"/>
      <c r="E801" s="32"/>
      <c r="F801" s="32"/>
      <c r="G801" s="32">
        <f t="shared" si="215"/>
        <v>0</v>
      </c>
      <c r="H801" s="12"/>
      <c r="I801" s="12"/>
      <c r="J801" s="12"/>
      <c r="K801" s="12">
        <f t="shared" si="216"/>
        <v>0</v>
      </c>
      <c r="M801" s="10">
        <v>20</v>
      </c>
      <c r="N801" s="30"/>
      <c r="O801" s="31"/>
      <c r="P801" s="32"/>
      <c r="Q801" s="32"/>
      <c r="R801" s="32"/>
      <c r="S801" s="32">
        <f t="shared" si="217"/>
        <v>0</v>
      </c>
      <c r="T801" s="12"/>
      <c r="U801" s="12"/>
      <c r="V801" s="12"/>
      <c r="W801" s="12">
        <f t="shared" si="218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9"/>
        <v>0</v>
      </c>
      <c r="AF801" s="12"/>
      <c r="AG801" s="12"/>
      <c r="AH801" s="12"/>
      <c r="AI801" s="12">
        <f t="shared" si="220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91"/>
      <c r="D802" s="32"/>
      <c r="E802" s="32"/>
      <c r="F802" s="32"/>
      <c r="G802" s="32">
        <f t="shared" si="215"/>
        <v>0</v>
      </c>
      <c r="H802" s="10"/>
      <c r="I802" s="10"/>
      <c r="J802" s="10"/>
      <c r="K802" s="12">
        <f t="shared" si="216"/>
        <v>0</v>
      </c>
      <c r="M802" s="10">
        <v>21</v>
      </c>
      <c r="N802" s="30"/>
      <c r="O802" s="31"/>
      <c r="P802" s="46"/>
      <c r="Q802" s="31"/>
      <c r="R802" s="31"/>
      <c r="S802" s="32">
        <f t="shared" si="217"/>
        <v>0</v>
      </c>
      <c r="T802" s="10"/>
      <c r="U802" s="10"/>
      <c r="V802" s="10"/>
      <c r="W802" s="12">
        <f t="shared" si="218"/>
        <v>0</v>
      </c>
      <c r="Y802" s="10">
        <v>21</v>
      </c>
      <c r="Z802" s="30"/>
      <c r="AB802" s="46"/>
      <c r="AC802" s="31"/>
      <c r="AD802" s="31"/>
      <c r="AE802" s="32">
        <f t="shared" si="219"/>
        <v>0</v>
      </c>
      <c r="AF802" s="10"/>
      <c r="AG802" s="10"/>
      <c r="AH802" s="10"/>
      <c r="AI802" s="12">
        <f t="shared" si="220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91"/>
      <c r="D803" s="32"/>
      <c r="E803" s="32"/>
      <c r="F803" s="32"/>
      <c r="G803" s="32">
        <f t="shared" si="215"/>
        <v>0</v>
      </c>
      <c r="H803" s="10"/>
      <c r="I803" s="10"/>
      <c r="J803" s="10"/>
      <c r="K803" s="12">
        <f t="shared" si="216"/>
        <v>0</v>
      </c>
      <c r="M803" s="10">
        <v>22</v>
      </c>
      <c r="N803" s="30"/>
      <c r="P803" s="45"/>
      <c r="Q803" s="31"/>
      <c r="R803" s="31"/>
      <c r="S803" s="32">
        <f t="shared" si="217"/>
        <v>0</v>
      </c>
      <c r="T803" s="10"/>
      <c r="U803" s="10"/>
      <c r="V803" s="10"/>
      <c r="W803" s="12">
        <f t="shared" si="218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9"/>
        <v>0</v>
      </c>
      <c r="AF803" s="10"/>
      <c r="AG803" s="10"/>
      <c r="AH803" s="10"/>
      <c r="AI803" s="12">
        <f t="shared" si="220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15"/>
        <v>0</v>
      </c>
      <c r="H804" s="10"/>
      <c r="I804" s="10"/>
      <c r="J804" s="12"/>
      <c r="K804" s="12">
        <f t="shared" si="216"/>
        <v>0</v>
      </c>
      <c r="M804" s="10">
        <v>23</v>
      </c>
      <c r="N804" s="30"/>
      <c r="O804" s="31"/>
      <c r="P804" s="47"/>
      <c r="Q804" s="31"/>
      <c r="S804" s="32">
        <f t="shared" si="217"/>
        <v>0</v>
      </c>
      <c r="T804" s="10"/>
      <c r="U804" s="10"/>
      <c r="V804" s="10"/>
      <c r="W804" s="12">
        <f t="shared" si="218"/>
        <v>0</v>
      </c>
      <c r="Y804" s="10">
        <v>23</v>
      </c>
      <c r="Z804" s="30"/>
      <c r="AA804" s="31"/>
      <c r="AB804" s="47"/>
      <c r="AC804" s="31"/>
      <c r="AE804" s="32">
        <f t="shared" si="219"/>
        <v>0</v>
      </c>
      <c r="AF804" s="10"/>
      <c r="AG804" s="10"/>
      <c r="AH804" s="10"/>
      <c r="AI804" s="12">
        <f t="shared" si="220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91"/>
      <c r="D805" s="32"/>
      <c r="E805" s="32"/>
      <c r="F805" s="32"/>
      <c r="G805" s="32">
        <f t="shared" si="215"/>
        <v>0</v>
      </c>
      <c r="H805" s="10"/>
      <c r="I805" s="10"/>
      <c r="J805" s="10"/>
      <c r="K805" s="12">
        <f t="shared" si="216"/>
        <v>0</v>
      </c>
      <c r="M805" s="10">
        <v>24</v>
      </c>
      <c r="N805" s="30"/>
      <c r="O805" s="31"/>
      <c r="P805" s="47"/>
      <c r="Q805" s="31"/>
      <c r="R805" s="31"/>
      <c r="S805" s="32">
        <f t="shared" si="217"/>
        <v>0</v>
      </c>
      <c r="T805" s="10"/>
      <c r="U805" s="10"/>
      <c r="V805" s="10"/>
      <c r="W805" s="12">
        <f t="shared" si="218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9"/>
        <v>0</v>
      </c>
      <c r="AF805" s="10"/>
      <c r="AG805" s="10"/>
      <c r="AH805" s="10"/>
      <c r="AI805" s="12">
        <f t="shared" si="220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91"/>
      <c r="D806" s="32"/>
      <c r="E806" s="32"/>
      <c r="F806" s="32"/>
      <c r="G806" s="32">
        <f t="shared" si="215"/>
        <v>0</v>
      </c>
      <c r="H806" s="10"/>
      <c r="I806" s="10"/>
      <c r="J806" s="10"/>
      <c r="K806" s="12">
        <f t="shared" si="216"/>
        <v>0</v>
      </c>
      <c r="M806" s="10">
        <v>25</v>
      </c>
      <c r="N806" s="30"/>
      <c r="O806" s="31"/>
      <c r="P806" s="47"/>
      <c r="Q806" s="31"/>
      <c r="R806" s="31"/>
      <c r="S806" s="32">
        <f t="shared" si="217"/>
        <v>0</v>
      </c>
      <c r="T806" s="10"/>
      <c r="U806" s="10"/>
      <c r="V806" s="10"/>
      <c r="W806" s="12">
        <f t="shared" si="218"/>
        <v>0</v>
      </c>
      <c r="Y806" s="10">
        <v>25</v>
      </c>
      <c r="Z806" s="30"/>
      <c r="AA806" s="11"/>
      <c r="AB806" s="47"/>
      <c r="AC806" s="31"/>
      <c r="AD806" s="31"/>
      <c r="AE806" s="32">
        <f t="shared" si="219"/>
        <v>0</v>
      </c>
      <c r="AF806" s="10"/>
      <c r="AG806" s="10"/>
      <c r="AH806" s="10"/>
      <c r="AI806" s="12">
        <f t="shared" si="220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91"/>
      <c r="D807" s="32"/>
      <c r="E807" s="32"/>
      <c r="F807" s="32"/>
      <c r="G807" s="32">
        <f t="shared" si="215"/>
        <v>0</v>
      </c>
      <c r="H807" s="10"/>
      <c r="I807" s="10"/>
      <c r="J807" s="10"/>
      <c r="K807" s="12">
        <f t="shared" si="216"/>
        <v>0</v>
      </c>
      <c r="M807" s="10">
        <v>26</v>
      </c>
      <c r="N807" s="30"/>
      <c r="O807" s="31"/>
      <c r="P807" s="47"/>
      <c r="Q807" s="31"/>
      <c r="R807" s="31"/>
      <c r="S807" s="32">
        <f t="shared" si="217"/>
        <v>0</v>
      </c>
      <c r="T807" s="10"/>
      <c r="U807" s="10"/>
      <c r="V807" s="10"/>
      <c r="W807" s="12">
        <f t="shared" si="218"/>
        <v>0</v>
      </c>
      <c r="Y807" s="10">
        <v>26</v>
      </c>
      <c r="Z807" s="30"/>
      <c r="AB807" s="47"/>
      <c r="AC807" s="31"/>
      <c r="AD807" s="31"/>
      <c r="AE807" s="32">
        <f t="shared" si="219"/>
        <v>0</v>
      </c>
      <c r="AF807" s="10"/>
      <c r="AG807" s="10"/>
      <c r="AH807" s="10"/>
      <c r="AI807" s="12">
        <f t="shared" si="220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91"/>
      <c r="D808" s="32"/>
      <c r="E808" s="32"/>
      <c r="F808" s="32"/>
      <c r="G808" s="32">
        <f t="shared" si="215"/>
        <v>0</v>
      </c>
      <c r="H808" s="10"/>
      <c r="I808" s="10"/>
      <c r="J808" s="10"/>
      <c r="K808" s="12">
        <f t="shared" si="216"/>
        <v>0</v>
      </c>
      <c r="M808" s="10">
        <v>27</v>
      </c>
      <c r="N808" s="30"/>
      <c r="O808" s="31"/>
      <c r="P808" s="47"/>
      <c r="Q808" s="31"/>
      <c r="R808" s="31"/>
      <c r="S808" s="32">
        <f t="shared" si="217"/>
        <v>0</v>
      </c>
      <c r="T808" s="10"/>
      <c r="U808" s="10"/>
      <c r="V808" s="10"/>
      <c r="W808" s="12">
        <f t="shared" si="218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9"/>
        <v>0</v>
      </c>
      <c r="AF808" s="10"/>
      <c r="AG808" s="10"/>
      <c r="AH808" s="10"/>
      <c r="AI808" s="12">
        <f t="shared" si="220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91"/>
      <c r="D809" s="32"/>
      <c r="E809" s="32"/>
      <c r="F809" s="32"/>
      <c r="G809" s="32">
        <f t="shared" si="215"/>
        <v>0</v>
      </c>
      <c r="H809" s="10"/>
      <c r="I809" s="10"/>
      <c r="J809" s="10"/>
      <c r="K809" s="12">
        <f t="shared" si="216"/>
        <v>0</v>
      </c>
      <c r="M809" s="10">
        <v>28</v>
      </c>
      <c r="N809" s="30"/>
      <c r="O809" s="31"/>
      <c r="P809" s="47"/>
      <c r="Q809" s="31"/>
      <c r="R809" s="31"/>
      <c r="S809" s="32">
        <f t="shared" si="217"/>
        <v>0</v>
      </c>
      <c r="T809" s="10"/>
      <c r="U809" s="10"/>
      <c r="V809" s="10"/>
      <c r="W809" s="12">
        <f t="shared" si="218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9"/>
        <v>0</v>
      </c>
      <c r="AF809" s="10"/>
      <c r="AG809" s="10"/>
      <c r="AH809" s="10"/>
      <c r="AI809" s="12">
        <f t="shared" si="220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91"/>
      <c r="D810" s="32"/>
      <c r="E810" s="32"/>
      <c r="F810" s="32"/>
      <c r="G810" s="32">
        <f t="shared" si="215"/>
        <v>0</v>
      </c>
      <c r="H810" s="10"/>
      <c r="I810" s="10"/>
      <c r="J810" s="10"/>
      <c r="K810" s="12">
        <f t="shared" si="216"/>
        <v>0</v>
      </c>
      <c r="M810" s="10">
        <v>29</v>
      </c>
      <c r="N810" s="30"/>
      <c r="O810" s="31"/>
      <c r="P810" s="47"/>
      <c r="Q810" s="31"/>
      <c r="R810" s="31"/>
      <c r="S810" s="32">
        <f t="shared" si="217"/>
        <v>0</v>
      </c>
      <c r="T810" s="10"/>
      <c r="U810" s="10"/>
      <c r="V810" s="10"/>
      <c r="W810" s="12">
        <f t="shared" si="218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9"/>
        <v>0</v>
      </c>
      <c r="AF810" s="10"/>
      <c r="AG810" s="10"/>
      <c r="AH810" s="10"/>
      <c r="AI810" s="12">
        <f t="shared" si="220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15"/>
        <v>0</v>
      </c>
      <c r="H811" s="10"/>
      <c r="I811" s="10"/>
      <c r="J811" s="10"/>
      <c r="K811" s="12">
        <f t="shared" si="216"/>
        <v>0</v>
      </c>
      <c r="M811" s="10">
        <v>30</v>
      </c>
      <c r="N811" s="30"/>
      <c r="P811" s="47"/>
      <c r="Q811" s="31"/>
      <c r="R811" s="31"/>
      <c r="S811" s="32">
        <f t="shared" si="217"/>
        <v>0</v>
      </c>
      <c r="T811" s="10"/>
      <c r="U811" s="10"/>
      <c r="V811" s="10"/>
      <c r="W811" s="12">
        <f t="shared" si="218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19"/>
        <v>0</v>
      </c>
      <c r="AF811" s="10"/>
      <c r="AG811" s="10"/>
      <c r="AH811" s="10"/>
      <c r="AI811" s="12">
        <f t="shared" si="220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15"/>
        <v>0</v>
      </c>
      <c r="H812" s="10"/>
      <c r="I812" s="10"/>
      <c r="J812" s="10"/>
      <c r="K812" s="12">
        <f t="shared" si="216"/>
        <v>0</v>
      </c>
      <c r="M812" s="10">
        <v>31</v>
      </c>
      <c r="N812" s="30"/>
      <c r="O812" s="31"/>
      <c r="P812" s="47"/>
      <c r="Q812" s="31"/>
      <c r="R812" s="31"/>
      <c r="S812" s="32">
        <f t="shared" si="217"/>
        <v>0</v>
      </c>
      <c r="T812" s="10"/>
      <c r="U812" s="10"/>
      <c r="V812" s="10"/>
      <c r="W812" s="12">
        <f t="shared" si="218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9"/>
        <v>0</v>
      </c>
      <c r="AF812" s="10"/>
      <c r="AG812" s="10"/>
      <c r="AH812" s="10"/>
      <c r="AI812" s="12">
        <f t="shared" si="220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91"/>
      <c r="D813" s="32"/>
      <c r="E813" s="32"/>
      <c r="F813" s="32"/>
      <c r="G813" s="32">
        <f t="shared" si="215"/>
        <v>0</v>
      </c>
      <c r="H813" s="10"/>
      <c r="I813" s="10"/>
      <c r="J813" s="10"/>
      <c r="K813" s="12">
        <f t="shared" si="216"/>
        <v>0</v>
      </c>
      <c r="M813" s="10">
        <v>32</v>
      </c>
      <c r="N813" s="30"/>
      <c r="O813" s="31"/>
      <c r="P813" s="47"/>
      <c r="Q813" s="31"/>
      <c r="R813" s="31"/>
      <c r="S813" s="32">
        <f t="shared" si="217"/>
        <v>0</v>
      </c>
      <c r="T813" s="10"/>
      <c r="U813" s="10"/>
      <c r="V813" s="10"/>
      <c r="W813" s="12">
        <f t="shared" si="218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9"/>
        <v>0</v>
      </c>
      <c r="AF813" s="10"/>
      <c r="AG813" s="10"/>
      <c r="AH813" s="10"/>
      <c r="AI813" s="12">
        <f t="shared" si="220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15"/>
        <v>0</v>
      </c>
      <c r="H814" s="10"/>
      <c r="I814" s="10"/>
      <c r="J814" s="10"/>
      <c r="K814" s="12">
        <f t="shared" si="216"/>
        <v>0</v>
      </c>
      <c r="M814" s="10">
        <v>33</v>
      </c>
      <c r="N814" s="30"/>
      <c r="O814" s="31"/>
      <c r="P814" s="47"/>
      <c r="Q814" s="31"/>
      <c r="R814" s="31"/>
      <c r="S814" s="32">
        <f t="shared" si="217"/>
        <v>0</v>
      </c>
      <c r="T814" s="10"/>
      <c r="U814" s="10"/>
      <c r="V814" s="10"/>
      <c r="W814" s="12">
        <f t="shared" si="218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9"/>
        <v>0</v>
      </c>
      <c r="AF814" s="10"/>
      <c r="AG814" s="10"/>
      <c r="AH814" s="10"/>
      <c r="AI814" s="12">
        <f t="shared" si="220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15"/>
        <v>0</v>
      </c>
      <c r="H815" s="10"/>
      <c r="I815" s="10"/>
      <c r="J815" s="10"/>
      <c r="K815" s="12">
        <f t="shared" si="216"/>
        <v>0</v>
      </c>
      <c r="M815" s="10">
        <v>34</v>
      </c>
      <c r="N815" s="30"/>
      <c r="P815" s="47"/>
      <c r="Q815" s="31"/>
      <c r="R815" s="31"/>
      <c r="S815" s="32">
        <f t="shared" ref="S815:S820" si="224">SUM(P815:Q815)</f>
        <v>0</v>
      </c>
      <c r="T815" s="10"/>
      <c r="U815" s="10"/>
      <c r="V815" s="10"/>
      <c r="W815" s="12">
        <f t="shared" si="218"/>
        <v>0</v>
      </c>
      <c r="Y815" s="10">
        <v>34</v>
      </c>
      <c r="Z815" s="30"/>
      <c r="AB815" s="47"/>
      <c r="AC815" s="31"/>
      <c r="AD815" s="31"/>
      <c r="AE815" s="32">
        <f t="shared" si="219"/>
        <v>0</v>
      </c>
      <c r="AF815" s="10"/>
      <c r="AG815" s="10"/>
      <c r="AH815" s="10"/>
      <c r="AI815" s="12">
        <f t="shared" si="220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3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24"/>
        <v>0</v>
      </c>
      <c r="T816" s="10"/>
      <c r="U816" s="10"/>
      <c r="V816" s="10"/>
      <c r="W816" s="12">
        <f t="shared" si="218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9"/>
        <v>0</v>
      </c>
      <c r="AF816" s="10"/>
      <c r="AG816" s="10"/>
      <c r="AH816" s="10"/>
      <c r="AI816" s="12">
        <f t="shared" si="220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3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24"/>
        <v>0</v>
      </c>
      <c r="T817" s="10"/>
      <c r="U817" s="10"/>
      <c r="V817" s="10"/>
      <c r="W817" s="12">
        <f t="shared" si="218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9"/>
        <v>0</v>
      </c>
      <c r="AF817" s="10"/>
      <c r="AG817" s="10"/>
      <c r="AH817" s="10"/>
      <c r="AI817" s="12">
        <f t="shared" si="220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24"/>
        <v>0</v>
      </c>
      <c r="T818" s="10"/>
      <c r="U818" s="10"/>
      <c r="V818" s="10"/>
      <c r="W818" s="12">
        <f t="shared" si="218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9"/>
        <v>0</v>
      </c>
      <c r="AF818" s="10"/>
      <c r="AG818" s="10"/>
      <c r="AH818" s="10"/>
      <c r="AI818" s="12">
        <f t="shared" si="220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24"/>
        <v>0</v>
      </c>
      <c r="T819" s="10"/>
      <c r="U819" s="10"/>
      <c r="V819" s="10"/>
      <c r="W819" s="12">
        <f t="shared" si="218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9"/>
        <v>0</v>
      </c>
      <c r="AF819" s="10"/>
      <c r="AG819" s="10"/>
      <c r="AH819" s="10"/>
      <c r="AI819" s="12">
        <f t="shared" si="220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24"/>
        <v>0</v>
      </c>
      <c r="T820" s="10"/>
      <c r="U820" s="10"/>
      <c r="V820" s="10"/>
      <c r="W820" s="12">
        <f t="shared" si="218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9"/>
        <v>0</v>
      </c>
      <c r="AF820" s="10"/>
      <c r="AG820" s="10"/>
      <c r="AH820" s="10"/>
      <c r="AI820" s="12">
        <f t="shared" si="220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8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20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5">SUM(D822:E822)</f>
        <v>0</v>
      </c>
      <c r="H822" s="10"/>
      <c r="I822" s="10"/>
      <c r="J822" s="10"/>
      <c r="K822" s="12">
        <f t="shared" ref="K822" si="226">SUM(G822:J822)</f>
        <v>0</v>
      </c>
      <c r="M822" s="10"/>
      <c r="N822" s="30"/>
      <c r="O822" s="31"/>
      <c r="P822" s="47"/>
      <c r="Q822" s="31"/>
      <c r="R822" s="31"/>
      <c r="S822" s="32">
        <f t="shared" ref="S822" si="227">SUM(P822:Q822)</f>
        <v>0</v>
      </c>
      <c r="T822" s="10"/>
      <c r="U822" s="10"/>
      <c r="V822" s="10"/>
      <c r="W822" s="12">
        <f t="shared" si="218"/>
        <v>0</v>
      </c>
      <c r="Y822" s="10"/>
      <c r="Z822" s="30"/>
      <c r="AA822" s="31"/>
      <c r="AB822" s="47"/>
      <c r="AC822" s="31"/>
      <c r="AD822" s="31"/>
      <c r="AE822" s="32">
        <f t="shared" ref="AE822" si="228">SUM(AB822:AC822)</f>
        <v>0</v>
      </c>
      <c r="AF822" s="10"/>
      <c r="AG822" s="10"/>
      <c r="AH822" s="10"/>
      <c r="AI822" s="12">
        <f t="shared" si="220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8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20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223321.5</v>
      </c>
      <c r="E825" s="38">
        <f t="shared" ref="E825:F825" si="229">SUM(E782:E822)</f>
        <v>-1692</v>
      </c>
      <c r="F825" s="38">
        <f t="shared" si="229"/>
        <v>0</v>
      </c>
      <c r="G825" s="38">
        <f>SUM(G782:G824)</f>
        <v>221629.5</v>
      </c>
      <c r="H825" s="4"/>
      <c r="I825" s="39">
        <f>SUM(I782:I824)</f>
        <v>8400</v>
      </c>
      <c r="J825" s="39">
        <f>SUM(J782:J824)</f>
        <v>-92733</v>
      </c>
      <c r="K825" s="40">
        <f>SUM(K782:K824)</f>
        <v>137296.5</v>
      </c>
      <c r="N825" s="57"/>
      <c r="O825" s="57"/>
      <c r="P825" s="38">
        <f>SUM(P782:P824)</f>
        <v>179557</v>
      </c>
      <c r="Q825" s="38">
        <f>SUM(Q782:Q806)</f>
        <v>-2583</v>
      </c>
      <c r="R825" s="38">
        <f>SUM(R782:R806)</f>
        <v>0</v>
      </c>
      <c r="S825" s="38">
        <f>SUM(S782:S824)</f>
        <v>176974</v>
      </c>
      <c r="T825" s="4"/>
      <c r="U825" s="41">
        <f>SUM(U782:U824)</f>
        <v>579</v>
      </c>
      <c r="V825" s="41">
        <f>SUM(V782:V806)</f>
        <v>-1892</v>
      </c>
      <c r="W825" s="42">
        <f>SUM(W782:W824)</f>
        <v>175661</v>
      </c>
      <c r="Z825" s="57"/>
      <c r="AA825" s="57"/>
      <c r="AB825" s="38">
        <f>SUM(AB782:AB824)</f>
        <v>144618</v>
      </c>
      <c r="AC825" s="38">
        <f>SUM(AC782:AC806)</f>
        <v>-948</v>
      </c>
      <c r="AD825" s="38">
        <f>SUM(AD782:AD806)</f>
        <v>0</v>
      </c>
      <c r="AE825" s="38">
        <f>SUM(AE782:AE824)</f>
        <v>143670</v>
      </c>
      <c r="AF825" s="4"/>
      <c r="AG825" s="41">
        <f>SUM(AG782:AG824)</f>
        <v>33</v>
      </c>
      <c r="AH825" s="41">
        <f>SUM(AH782:AH806)</f>
        <v>0</v>
      </c>
      <c r="AI825" s="42">
        <f>SUM(AI782:AI824)</f>
        <v>143703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19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83</v>
      </c>
      <c r="B833" s="20"/>
      <c r="C833" s="57"/>
      <c r="D833" s="57"/>
      <c r="E833" s="57"/>
      <c r="G833" s="57"/>
      <c r="I833" s="22" t="s">
        <v>16</v>
      </c>
      <c r="J833" s="23" t="s">
        <v>33</v>
      </c>
      <c r="K833" s="24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Y833" s="21" t="s">
        <v>83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31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6"/>
      <c r="G835" s="27"/>
      <c r="I835" s="116" t="s">
        <v>18</v>
      </c>
      <c r="J835" s="117"/>
      <c r="K835" s="114" t="s">
        <v>19</v>
      </c>
      <c r="M835" s="62"/>
      <c r="N835" s="65"/>
      <c r="O835" s="89"/>
      <c r="P835" s="120"/>
      <c r="Q835" s="120"/>
      <c r="R835" s="89"/>
      <c r="S835" s="89"/>
      <c r="T835" s="62"/>
      <c r="U835" s="120"/>
      <c r="V835" s="120"/>
      <c r="W835" s="119"/>
      <c r="Z835" s="25"/>
      <c r="AA835" s="26"/>
      <c r="AB835" s="118" t="s">
        <v>17</v>
      </c>
      <c r="AC835" s="118"/>
      <c r="AD835" s="106"/>
      <c r="AE835" s="27"/>
      <c r="AG835" s="116" t="s">
        <v>18</v>
      </c>
      <c r="AH835" s="117"/>
      <c r="AI835" s="114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9" t="s">
        <v>22</v>
      </c>
      <c r="E836" s="78" t="s">
        <v>23</v>
      </c>
      <c r="F836" s="80" t="s">
        <v>32</v>
      </c>
      <c r="G836" s="80" t="s">
        <v>24</v>
      </c>
      <c r="I836" s="29" t="s">
        <v>25</v>
      </c>
      <c r="J836" s="29" t="s">
        <v>26</v>
      </c>
      <c r="K836" s="115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19"/>
      <c r="Z836" s="28" t="s">
        <v>20</v>
      </c>
      <c r="AA836" s="28" t="s">
        <v>21</v>
      </c>
      <c r="AB836" s="79" t="s">
        <v>22</v>
      </c>
      <c r="AC836" s="80" t="s">
        <v>23</v>
      </c>
      <c r="AD836" s="80" t="s">
        <v>32</v>
      </c>
      <c r="AE836" s="80" t="s">
        <v>24</v>
      </c>
      <c r="AG836" s="29" t="s">
        <v>25</v>
      </c>
      <c r="AH836" s="29" t="s">
        <v>26</v>
      </c>
      <c r="AI836" s="115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84</v>
      </c>
      <c r="C837" s="91">
        <v>7296</v>
      </c>
      <c r="D837" s="32">
        <f>1252+19</f>
        <v>1271</v>
      </c>
      <c r="E837" s="32"/>
      <c r="F837" s="32"/>
      <c r="G837" s="32">
        <f t="shared" ref="G837:G870" si="230">SUM(D837:E837)</f>
        <v>1271</v>
      </c>
      <c r="H837" s="12"/>
      <c r="I837" s="12"/>
      <c r="J837" s="12"/>
      <c r="K837" s="12">
        <f t="shared" ref="K837:K870" si="231">SUM(G837:J837)</f>
        <v>1271</v>
      </c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Y837" s="10">
        <v>1</v>
      </c>
      <c r="Z837" s="30" t="s">
        <v>84</v>
      </c>
      <c r="AA837" s="31">
        <v>7301</v>
      </c>
      <c r="AB837" s="32">
        <f>626*10+614+596*10+9.5*20</f>
        <v>13024</v>
      </c>
      <c r="AC837" s="32"/>
      <c r="AD837" s="32"/>
      <c r="AE837" s="32">
        <f>SUM(AB837:AC837)</f>
        <v>13024</v>
      </c>
      <c r="AF837" s="12"/>
      <c r="AG837" s="12"/>
      <c r="AH837" s="12"/>
      <c r="AI837" s="12">
        <f>SUM(AE837:AH837)</f>
        <v>13024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84</v>
      </c>
      <c r="C838" s="91">
        <f>C837+1</f>
        <v>7297</v>
      </c>
      <c r="D838" s="32">
        <f>98908+5960+1145</f>
        <v>106013</v>
      </c>
      <c r="E838" s="32"/>
      <c r="F838" s="32"/>
      <c r="G838" s="32">
        <f t="shared" si="230"/>
        <v>106013</v>
      </c>
      <c r="H838" s="12"/>
      <c r="I838" s="12"/>
      <c r="J838" s="12"/>
      <c r="K838" s="12">
        <f t="shared" si="231"/>
        <v>106013</v>
      </c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Y838" s="10">
        <v>2</v>
      </c>
      <c r="Z838" s="30" t="s">
        <v>84</v>
      </c>
      <c r="AA838" s="31">
        <f>AA837+1</f>
        <v>7302</v>
      </c>
      <c r="AB838" s="32">
        <f>50080+1228+2010+687</f>
        <v>54005</v>
      </c>
      <c r="AC838" s="32">
        <v>-522</v>
      </c>
      <c r="AD838" s="32"/>
      <c r="AE838" s="32">
        <f t="shared" ref="AE838:AE875" si="232">SUM(AB838:AC838)</f>
        <v>53483</v>
      </c>
      <c r="AF838" s="12"/>
      <c r="AG838" s="12"/>
      <c r="AH838" s="12"/>
      <c r="AI838" s="12">
        <f t="shared" ref="AI838:AI878" si="233">SUM(AE838:AH838)</f>
        <v>53483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84</v>
      </c>
      <c r="C839" s="91">
        <f t="shared" ref="C839" si="234">C838+1</f>
        <v>7298</v>
      </c>
      <c r="D839" s="33">
        <f>23162+351.5</f>
        <v>23513.5</v>
      </c>
      <c r="E839" s="33"/>
      <c r="F839" s="33"/>
      <c r="G839" s="33">
        <f t="shared" si="230"/>
        <v>23513.5</v>
      </c>
      <c r="H839" s="34"/>
      <c r="I839" s="34"/>
      <c r="J839" s="34"/>
      <c r="K839" s="34">
        <f t="shared" si="231"/>
        <v>23513.5</v>
      </c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Y839" s="10">
        <v>3</v>
      </c>
      <c r="Z839" s="30" t="s">
        <v>84</v>
      </c>
      <c r="AA839" s="31">
        <f t="shared" ref="AA839:AA846" si="235">AA838+1</f>
        <v>7303</v>
      </c>
      <c r="AB839" s="33">
        <f>21910+4298+8940+852+458</f>
        <v>36458</v>
      </c>
      <c r="AC839" s="33"/>
      <c r="AD839" s="32"/>
      <c r="AE839" s="32">
        <f t="shared" si="232"/>
        <v>36458</v>
      </c>
      <c r="AF839" s="12"/>
      <c r="AG839" s="12"/>
      <c r="AH839" s="12">
        <v>-78</v>
      </c>
      <c r="AI839" s="12">
        <f t="shared" si="233"/>
        <v>36380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/>
      <c r="C840" s="11" t="s">
        <v>27</v>
      </c>
      <c r="D840" s="32"/>
      <c r="E840" s="32"/>
      <c r="F840" s="32"/>
      <c r="G840" s="32">
        <f t="shared" si="230"/>
        <v>0</v>
      </c>
      <c r="H840" s="12"/>
      <c r="I840" s="12"/>
      <c r="J840" s="12"/>
      <c r="K840" s="12">
        <f t="shared" si="231"/>
        <v>0</v>
      </c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Y840" s="10">
        <v>4</v>
      </c>
      <c r="Z840" s="30" t="s">
        <v>84</v>
      </c>
      <c r="AA840" s="31">
        <f t="shared" si="235"/>
        <v>7304</v>
      </c>
      <c r="AB840" s="32">
        <f>6260+5960+190</f>
        <v>12410</v>
      </c>
      <c r="AC840" s="32"/>
      <c r="AD840" s="32"/>
      <c r="AE840" s="32">
        <f t="shared" si="232"/>
        <v>12410</v>
      </c>
      <c r="AF840" s="12"/>
      <c r="AH840" s="12"/>
      <c r="AI840" s="12">
        <f t="shared" si="233"/>
        <v>12410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91"/>
      <c r="D841" s="32"/>
      <c r="E841" s="32"/>
      <c r="F841" s="32"/>
      <c r="G841" s="32">
        <f t="shared" si="230"/>
        <v>0</v>
      </c>
      <c r="H841" s="12"/>
      <c r="I841" s="12"/>
      <c r="J841" s="12"/>
      <c r="K841" s="12">
        <f t="shared" si="231"/>
        <v>0</v>
      </c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Y841" s="10">
        <v>5</v>
      </c>
      <c r="Z841" s="30" t="s">
        <v>84</v>
      </c>
      <c r="AA841" s="31">
        <f t="shared" si="235"/>
        <v>7305</v>
      </c>
      <c r="AB841" s="32">
        <f>31926+4298+229</f>
        <v>36453</v>
      </c>
      <c r="AC841" s="32"/>
      <c r="AD841" s="32"/>
      <c r="AE841" s="32">
        <f t="shared" si="232"/>
        <v>36453</v>
      </c>
      <c r="AF841" s="12"/>
      <c r="AG841" s="12">
        <v>27</v>
      </c>
      <c r="AH841" s="12"/>
      <c r="AI841" s="12">
        <f t="shared" si="233"/>
        <v>36480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91"/>
      <c r="D842" s="32"/>
      <c r="E842" s="32"/>
      <c r="F842" s="32"/>
      <c r="G842" s="32">
        <f t="shared" si="230"/>
        <v>0</v>
      </c>
      <c r="H842" s="12"/>
      <c r="I842" s="12"/>
      <c r="J842" s="12"/>
      <c r="K842" s="12">
        <f t="shared" si="231"/>
        <v>0</v>
      </c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Y842" s="10">
        <v>6</v>
      </c>
      <c r="Z842" s="30" t="s">
        <v>84</v>
      </c>
      <c r="AA842" s="31">
        <f t="shared" si="235"/>
        <v>7306</v>
      </c>
      <c r="AB842" s="32">
        <f>12520+1842+229</f>
        <v>14591</v>
      </c>
      <c r="AC842" s="32"/>
      <c r="AD842" s="32"/>
      <c r="AE842" s="32">
        <f t="shared" si="232"/>
        <v>14591</v>
      </c>
      <c r="AF842" s="12"/>
      <c r="AG842" s="12">
        <v>135</v>
      </c>
      <c r="AH842" s="10"/>
      <c r="AI842" s="12">
        <f t="shared" si="233"/>
        <v>14726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D843" s="32"/>
      <c r="E843" s="32"/>
      <c r="F843" s="32"/>
      <c r="G843" s="32">
        <f t="shared" si="230"/>
        <v>0</v>
      </c>
      <c r="H843" s="12"/>
      <c r="I843" s="12"/>
      <c r="J843" s="12"/>
      <c r="K843" s="12">
        <f t="shared" si="231"/>
        <v>0</v>
      </c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Y843" s="10">
        <v>7</v>
      </c>
      <c r="Z843" s="30" t="s">
        <v>84</v>
      </c>
      <c r="AA843" s="31">
        <f t="shared" si="235"/>
        <v>7307</v>
      </c>
      <c r="AB843" s="32">
        <f>18780+2496+458</f>
        <v>21734</v>
      </c>
      <c r="AC843" s="32"/>
      <c r="AD843" s="32"/>
      <c r="AE843" s="32">
        <f t="shared" si="232"/>
        <v>21734</v>
      </c>
      <c r="AF843" s="12"/>
      <c r="AG843" s="58"/>
      <c r="AH843" s="12"/>
      <c r="AI843" s="12">
        <f t="shared" si="233"/>
        <v>21734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91"/>
      <c r="D844" s="32"/>
      <c r="E844" s="32"/>
      <c r="F844" s="32"/>
      <c r="G844" s="32">
        <f t="shared" si="230"/>
        <v>0</v>
      </c>
      <c r="H844" s="12"/>
      <c r="I844" s="12"/>
      <c r="J844" s="12"/>
      <c r="K844" s="12">
        <f t="shared" si="231"/>
        <v>0</v>
      </c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Y844" s="10">
        <v>8</v>
      </c>
      <c r="Z844" s="30" t="s">
        <v>84</v>
      </c>
      <c r="AA844" s="31">
        <f t="shared" si="235"/>
        <v>7308</v>
      </c>
      <c r="AB844" s="32">
        <f>9390+852+229</f>
        <v>10471</v>
      </c>
      <c r="AC844" s="32">
        <v>-102</v>
      </c>
      <c r="AE844" s="32">
        <f t="shared" si="232"/>
        <v>10369</v>
      </c>
      <c r="AF844" s="12"/>
      <c r="AG844" s="12">
        <v>90</v>
      </c>
      <c r="AH844" s="12"/>
      <c r="AI844" s="12">
        <f t="shared" si="233"/>
        <v>10459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91"/>
      <c r="D845" s="32"/>
      <c r="E845" s="32"/>
      <c r="F845" s="32"/>
      <c r="G845" s="32">
        <f t="shared" si="230"/>
        <v>0</v>
      </c>
      <c r="H845" s="12"/>
      <c r="I845" s="12"/>
      <c r="J845" s="12"/>
      <c r="K845" s="12">
        <f t="shared" si="231"/>
        <v>0</v>
      </c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Y845" s="10">
        <v>9</v>
      </c>
      <c r="Z845" s="30" t="s">
        <v>84</v>
      </c>
      <c r="AA845" s="31">
        <f t="shared" si="235"/>
        <v>7309</v>
      </c>
      <c r="AB845" s="32">
        <f>626*37+596*5+229</f>
        <v>26371</v>
      </c>
      <c r="AC845" s="32"/>
      <c r="AD845" s="32"/>
      <c r="AE845" s="32">
        <f t="shared" si="232"/>
        <v>26371</v>
      </c>
      <c r="AF845" s="12"/>
      <c r="AG845" s="58"/>
      <c r="AH845" s="12"/>
      <c r="AI845" s="12">
        <f t="shared" si="233"/>
        <v>26371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91"/>
      <c r="D846" s="32"/>
      <c r="E846" s="32"/>
      <c r="F846" s="32"/>
      <c r="G846" s="32">
        <f t="shared" si="230"/>
        <v>0</v>
      </c>
      <c r="H846" s="12"/>
      <c r="I846" s="12"/>
      <c r="J846" s="12"/>
      <c r="K846" s="12">
        <f t="shared" si="231"/>
        <v>0</v>
      </c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Y846" s="10">
        <v>10</v>
      </c>
      <c r="Z846" s="30" t="s">
        <v>84</v>
      </c>
      <c r="AA846" s="31">
        <f t="shared" si="235"/>
        <v>7310</v>
      </c>
      <c r="AB846" s="32">
        <f>31300+458</f>
        <v>31758</v>
      </c>
      <c r="AC846" s="32">
        <v>-312</v>
      </c>
      <c r="AD846" s="32"/>
      <c r="AE846" s="32">
        <f t="shared" si="232"/>
        <v>31446</v>
      </c>
      <c r="AF846" s="12"/>
      <c r="AG846" s="12"/>
      <c r="AH846" s="12">
        <f>-16983+-468</f>
        <v>-17451</v>
      </c>
      <c r="AI846" s="12">
        <f t="shared" si="233"/>
        <v>13995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91"/>
      <c r="D847" s="32"/>
      <c r="E847" s="32"/>
      <c r="F847" s="32"/>
      <c r="G847" s="32">
        <f t="shared" si="230"/>
        <v>0</v>
      </c>
      <c r="H847" s="12"/>
      <c r="I847" s="12"/>
      <c r="J847" s="12"/>
      <c r="K847" s="12">
        <f t="shared" si="231"/>
        <v>0</v>
      </c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Y847" s="10">
        <v>11</v>
      </c>
      <c r="Z847" s="30"/>
      <c r="AA847" s="11" t="s">
        <v>27</v>
      </c>
      <c r="AB847" s="32"/>
      <c r="AC847" s="32"/>
      <c r="AD847" s="32"/>
      <c r="AE847" s="32">
        <f t="shared" si="232"/>
        <v>0</v>
      </c>
      <c r="AF847" s="12"/>
      <c r="AG847" s="12"/>
      <c r="AH847" s="12"/>
      <c r="AI847" s="12">
        <f t="shared" si="233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91"/>
      <c r="D848" s="32"/>
      <c r="E848" s="32"/>
      <c r="F848" s="32"/>
      <c r="G848" s="32">
        <f t="shared" si="230"/>
        <v>0</v>
      </c>
      <c r="H848" s="12"/>
      <c r="I848" s="12"/>
      <c r="J848" s="10"/>
      <c r="K848" s="12">
        <f t="shared" si="231"/>
        <v>0</v>
      </c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Y848" s="10">
        <v>12</v>
      </c>
      <c r="Z848" s="30"/>
      <c r="AA848" s="31"/>
      <c r="AB848" s="32"/>
      <c r="AC848" s="32"/>
      <c r="AD848" s="32"/>
      <c r="AE848" s="32">
        <f t="shared" si="232"/>
        <v>0</v>
      </c>
      <c r="AF848" s="12"/>
      <c r="AG848" s="12"/>
      <c r="AH848" s="12"/>
      <c r="AI848" s="12">
        <f t="shared" si="233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91"/>
      <c r="D849" s="32"/>
      <c r="E849" s="32"/>
      <c r="F849" s="32"/>
      <c r="G849" s="32">
        <f t="shared" si="230"/>
        <v>0</v>
      </c>
      <c r="H849" s="12"/>
      <c r="I849" s="12"/>
      <c r="J849" s="12"/>
      <c r="K849" s="12">
        <f t="shared" si="231"/>
        <v>0</v>
      </c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Y849" s="10">
        <v>13</v>
      </c>
      <c r="Z849" s="30"/>
      <c r="AA849" s="31"/>
      <c r="AB849" s="32"/>
      <c r="AC849" s="32"/>
      <c r="AD849" s="32"/>
      <c r="AE849" s="32">
        <f t="shared" si="232"/>
        <v>0</v>
      </c>
      <c r="AF849" s="12"/>
      <c r="AG849" s="12"/>
      <c r="AH849" s="12"/>
      <c r="AI849" s="12">
        <f t="shared" si="233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91"/>
      <c r="D850" s="32"/>
      <c r="E850" s="32"/>
      <c r="F850" s="32"/>
      <c r="G850" s="32">
        <f t="shared" si="230"/>
        <v>0</v>
      </c>
      <c r="H850" s="12"/>
      <c r="I850" s="12"/>
      <c r="J850" s="12"/>
      <c r="K850" s="12">
        <f t="shared" si="231"/>
        <v>0</v>
      </c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Y850" s="10">
        <v>14</v>
      </c>
      <c r="Z850" s="30"/>
      <c r="AA850" s="31"/>
      <c r="AB850" s="32"/>
      <c r="AC850" s="32"/>
      <c r="AD850" s="32"/>
      <c r="AE850" s="32">
        <f t="shared" si="232"/>
        <v>0</v>
      </c>
      <c r="AF850" s="12"/>
      <c r="AG850" s="12"/>
      <c r="AH850" s="12"/>
      <c r="AI850" s="12">
        <f t="shared" si="233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91"/>
      <c r="D851" s="32"/>
      <c r="E851" s="32"/>
      <c r="F851" s="32"/>
      <c r="G851" s="32">
        <f t="shared" si="230"/>
        <v>0</v>
      </c>
      <c r="H851" s="12"/>
      <c r="I851" s="12"/>
      <c r="J851" s="12"/>
      <c r="K851" s="12">
        <f t="shared" si="231"/>
        <v>0</v>
      </c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Y851" s="10">
        <v>15</v>
      </c>
      <c r="Z851" s="30"/>
      <c r="AA851" s="31"/>
      <c r="AB851" s="32"/>
      <c r="AC851" s="32"/>
      <c r="AD851" s="32"/>
      <c r="AE851" s="32">
        <f t="shared" si="232"/>
        <v>0</v>
      </c>
      <c r="AF851" s="12"/>
      <c r="AG851" s="12"/>
      <c r="AH851" s="12"/>
      <c r="AI851" s="12">
        <f t="shared" si="233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91"/>
      <c r="D852" s="32"/>
      <c r="E852" s="32"/>
      <c r="F852" s="32"/>
      <c r="G852" s="32">
        <f t="shared" si="230"/>
        <v>0</v>
      </c>
      <c r="H852" s="12"/>
      <c r="I852" s="12"/>
      <c r="J852" s="12"/>
      <c r="K852" s="12">
        <f t="shared" si="231"/>
        <v>0</v>
      </c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Y852" s="10">
        <v>16</v>
      </c>
      <c r="Z852" s="30"/>
      <c r="AB852" s="32"/>
      <c r="AC852" s="32"/>
      <c r="AD852" s="32"/>
      <c r="AE852" s="32">
        <f t="shared" si="232"/>
        <v>0</v>
      </c>
      <c r="AF852" s="12"/>
      <c r="AG852" s="12"/>
      <c r="AH852" s="12"/>
      <c r="AI852" s="12">
        <f t="shared" si="233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91"/>
      <c r="D853" s="32"/>
      <c r="E853" s="32"/>
      <c r="F853" s="32"/>
      <c r="G853" s="32">
        <f t="shared" si="230"/>
        <v>0</v>
      </c>
      <c r="H853" s="12"/>
      <c r="I853" s="12"/>
      <c r="J853" s="12"/>
      <c r="K853" s="12">
        <f t="shared" si="231"/>
        <v>0</v>
      </c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Y853" s="10">
        <v>17</v>
      </c>
      <c r="Z853" s="30"/>
      <c r="AA853" s="31"/>
      <c r="AB853" s="35"/>
      <c r="AC853" s="32"/>
      <c r="AD853" s="32"/>
      <c r="AE853" s="32">
        <f t="shared" si="232"/>
        <v>0</v>
      </c>
      <c r="AF853" s="12"/>
      <c r="AG853" s="12"/>
      <c r="AH853" s="12"/>
      <c r="AI853" s="12">
        <f t="shared" si="233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91"/>
      <c r="D854" s="32"/>
      <c r="E854" s="32"/>
      <c r="F854" s="32"/>
      <c r="G854" s="32">
        <f t="shared" si="230"/>
        <v>0</v>
      </c>
      <c r="H854" s="12"/>
      <c r="I854" s="12"/>
      <c r="J854" s="12"/>
      <c r="K854" s="12">
        <f t="shared" si="231"/>
        <v>0</v>
      </c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Y854" s="10">
        <v>18</v>
      </c>
      <c r="Z854" s="30"/>
      <c r="AA854" s="31"/>
      <c r="AB854" s="32"/>
      <c r="AC854" s="32"/>
      <c r="AD854" s="32"/>
      <c r="AE854" s="32">
        <f t="shared" si="232"/>
        <v>0</v>
      </c>
      <c r="AF854" s="12"/>
      <c r="AG854" s="12"/>
      <c r="AH854" s="12"/>
      <c r="AI854" s="12">
        <f t="shared" si="233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91"/>
      <c r="D855" s="32"/>
      <c r="E855" s="32"/>
      <c r="F855" s="32"/>
      <c r="G855" s="32">
        <f t="shared" si="230"/>
        <v>0</v>
      </c>
      <c r="H855" s="12"/>
      <c r="I855" s="12"/>
      <c r="J855" s="12"/>
      <c r="K855" s="12">
        <f t="shared" si="231"/>
        <v>0</v>
      </c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Y855" s="10">
        <v>19</v>
      </c>
      <c r="Z855" s="30"/>
      <c r="AA855" s="31"/>
      <c r="AB855" s="32"/>
      <c r="AC855" s="32"/>
      <c r="AD855" s="32"/>
      <c r="AE855" s="32">
        <f t="shared" si="232"/>
        <v>0</v>
      </c>
      <c r="AF855" s="12"/>
      <c r="AG855" s="12"/>
      <c r="AH855" s="12"/>
      <c r="AI855" s="12">
        <f t="shared" si="233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91"/>
      <c r="D856" s="32"/>
      <c r="E856" s="32"/>
      <c r="F856" s="32"/>
      <c r="G856" s="32">
        <f t="shared" si="230"/>
        <v>0</v>
      </c>
      <c r="H856" s="12"/>
      <c r="I856" s="12"/>
      <c r="J856" s="12"/>
      <c r="K856" s="12">
        <f t="shared" si="231"/>
        <v>0</v>
      </c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Y856" s="10">
        <v>20</v>
      </c>
      <c r="Z856" s="30"/>
      <c r="AA856" s="31"/>
      <c r="AB856" s="32"/>
      <c r="AC856" s="32"/>
      <c r="AD856" s="32"/>
      <c r="AE856" s="32">
        <f t="shared" si="232"/>
        <v>0</v>
      </c>
      <c r="AF856" s="12"/>
      <c r="AG856" s="12"/>
      <c r="AH856" s="12"/>
      <c r="AI856" s="12">
        <f t="shared" si="233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91"/>
      <c r="D857" s="32"/>
      <c r="E857" s="32"/>
      <c r="F857" s="32"/>
      <c r="G857" s="32">
        <f t="shared" si="230"/>
        <v>0</v>
      </c>
      <c r="H857" s="10"/>
      <c r="I857" s="10"/>
      <c r="J857" s="10"/>
      <c r="K857" s="12">
        <f t="shared" si="231"/>
        <v>0</v>
      </c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Y857" s="10">
        <v>21</v>
      </c>
      <c r="Z857" s="30"/>
      <c r="AB857" s="46"/>
      <c r="AC857" s="31"/>
      <c r="AD857" s="31"/>
      <c r="AE857" s="32">
        <f t="shared" si="232"/>
        <v>0</v>
      </c>
      <c r="AF857" s="10"/>
      <c r="AG857" s="10"/>
      <c r="AH857" s="10"/>
      <c r="AI857" s="12">
        <f t="shared" si="233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91"/>
      <c r="D858" s="32"/>
      <c r="E858" s="32"/>
      <c r="F858" s="32"/>
      <c r="G858" s="32">
        <f t="shared" si="230"/>
        <v>0</v>
      </c>
      <c r="H858" s="10"/>
      <c r="I858" s="10"/>
      <c r="J858" s="10"/>
      <c r="K858" s="12">
        <f t="shared" si="231"/>
        <v>0</v>
      </c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Y858" s="10">
        <v>22</v>
      </c>
      <c r="Z858" s="30"/>
      <c r="AA858" s="31"/>
      <c r="AB858" s="45"/>
      <c r="AC858" s="31"/>
      <c r="AD858" s="31"/>
      <c r="AE858" s="32">
        <f t="shared" si="232"/>
        <v>0</v>
      </c>
      <c r="AF858" s="10"/>
      <c r="AG858" s="10"/>
      <c r="AH858" s="10"/>
      <c r="AI858" s="12">
        <f t="shared" si="233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57"/>
      <c r="D859" s="32"/>
      <c r="E859" s="32"/>
      <c r="F859" s="32"/>
      <c r="G859" s="32">
        <f t="shared" si="230"/>
        <v>0</v>
      </c>
      <c r="H859" s="10"/>
      <c r="I859" s="10"/>
      <c r="J859" s="12"/>
      <c r="K859" s="12">
        <f t="shared" si="231"/>
        <v>0</v>
      </c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Y859" s="10">
        <v>23</v>
      </c>
      <c r="Z859" s="30"/>
      <c r="AA859" s="31"/>
      <c r="AB859" s="47"/>
      <c r="AC859" s="31"/>
      <c r="AE859" s="32">
        <f t="shared" si="232"/>
        <v>0</v>
      </c>
      <c r="AF859" s="10"/>
      <c r="AG859" s="10"/>
      <c r="AH859" s="10"/>
      <c r="AI859" s="12">
        <f t="shared" si="233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91"/>
      <c r="D860" s="32"/>
      <c r="E860" s="32"/>
      <c r="F860" s="32"/>
      <c r="G860" s="32">
        <f t="shared" si="230"/>
        <v>0</v>
      </c>
      <c r="H860" s="10"/>
      <c r="I860" s="10"/>
      <c r="J860" s="10"/>
      <c r="K860" s="12">
        <f t="shared" si="231"/>
        <v>0</v>
      </c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Y860" s="10">
        <v>24</v>
      </c>
      <c r="Z860" s="30"/>
      <c r="AA860" s="31"/>
      <c r="AB860" s="47"/>
      <c r="AC860" s="31"/>
      <c r="AD860" s="31"/>
      <c r="AE860" s="32">
        <f t="shared" si="232"/>
        <v>0</v>
      </c>
      <c r="AF860" s="10"/>
      <c r="AG860" s="10"/>
      <c r="AH860" s="10"/>
      <c r="AI860" s="12">
        <f t="shared" si="233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91"/>
      <c r="D861" s="32"/>
      <c r="E861" s="32"/>
      <c r="F861" s="32"/>
      <c r="G861" s="32">
        <f t="shared" si="230"/>
        <v>0</v>
      </c>
      <c r="H861" s="10"/>
      <c r="I861" s="10"/>
      <c r="J861" s="10"/>
      <c r="K861" s="12">
        <f t="shared" si="231"/>
        <v>0</v>
      </c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Y861" s="10">
        <v>25</v>
      </c>
      <c r="Z861" s="30"/>
      <c r="AA861" s="11"/>
      <c r="AB861" s="47"/>
      <c r="AC861" s="31"/>
      <c r="AD861" s="31"/>
      <c r="AE861" s="32">
        <f t="shared" si="232"/>
        <v>0</v>
      </c>
      <c r="AF861" s="10"/>
      <c r="AG861" s="10"/>
      <c r="AH861" s="10"/>
      <c r="AI861" s="12">
        <f t="shared" si="233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91"/>
      <c r="D862" s="32"/>
      <c r="E862" s="32"/>
      <c r="F862" s="32"/>
      <c r="G862" s="32">
        <f t="shared" si="230"/>
        <v>0</v>
      </c>
      <c r="H862" s="10"/>
      <c r="I862" s="10"/>
      <c r="J862" s="10"/>
      <c r="K862" s="12">
        <f t="shared" si="231"/>
        <v>0</v>
      </c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Y862" s="10">
        <v>26</v>
      </c>
      <c r="Z862" s="30"/>
      <c r="AB862" s="47"/>
      <c r="AC862" s="31"/>
      <c r="AD862" s="31"/>
      <c r="AE862" s="32">
        <f t="shared" si="232"/>
        <v>0</v>
      </c>
      <c r="AF862" s="10"/>
      <c r="AG862" s="10"/>
      <c r="AH862" s="10"/>
      <c r="AI862" s="12">
        <f t="shared" si="233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91"/>
      <c r="D863" s="32"/>
      <c r="E863" s="32"/>
      <c r="F863" s="32"/>
      <c r="G863" s="32">
        <f t="shared" si="230"/>
        <v>0</v>
      </c>
      <c r="H863" s="10"/>
      <c r="I863" s="10"/>
      <c r="J863" s="10"/>
      <c r="K863" s="12">
        <f t="shared" si="231"/>
        <v>0</v>
      </c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Y863" s="10">
        <v>27</v>
      </c>
      <c r="Z863" s="30"/>
      <c r="AA863" s="31"/>
      <c r="AB863" s="47"/>
      <c r="AC863" s="31"/>
      <c r="AD863" s="31"/>
      <c r="AE863" s="32">
        <f t="shared" si="232"/>
        <v>0</v>
      </c>
      <c r="AF863" s="10"/>
      <c r="AG863" s="10"/>
      <c r="AH863" s="10"/>
      <c r="AI863" s="12">
        <f t="shared" si="233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91"/>
      <c r="D864" s="32"/>
      <c r="E864" s="32"/>
      <c r="F864" s="32"/>
      <c r="G864" s="32">
        <f t="shared" si="230"/>
        <v>0</v>
      </c>
      <c r="H864" s="10"/>
      <c r="I864" s="10"/>
      <c r="J864" s="10"/>
      <c r="K864" s="12">
        <f t="shared" si="231"/>
        <v>0</v>
      </c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Y864" s="10">
        <v>28</v>
      </c>
      <c r="Z864" s="30"/>
      <c r="AA864" s="31"/>
      <c r="AB864" s="47"/>
      <c r="AC864" s="31"/>
      <c r="AD864" s="31"/>
      <c r="AE864" s="32">
        <f t="shared" si="232"/>
        <v>0</v>
      </c>
      <c r="AF864" s="10"/>
      <c r="AG864" s="10"/>
      <c r="AH864" s="10"/>
      <c r="AI864" s="12">
        <f t="shared" si="233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91"/>
      <c r="D865" s="32"/>
      <c r="E865" s="32"/>
      <c r="F865" s="32"/>
      <c r="G865" s="32">
        <f t="shared" si="230"/>
        <v>0</v>
      </c>
      <c r="H865" s="10"/>
      <c r="I865" s="10"/>
      <c r="J865" s="10"/>
      <c r="K865" s="12">
        <f t="shared" si="231"/>
        <v>0</v>
      </c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Y865" s="10">
        <v>29</v>
      </c>
      <c r="Z865" s="30"/>
      <c r="AA865" s="31"/>
      <c r="AB865" s="47"/>
      <c r="AC865" s="31"/>
      <c r="AD865" s="31"/>
      <c r="AE865" s="32">
        <f t="shared" si="232"/>
        <v>0</v>
      </c>
      <c r="AF865" s="10"/>
      <c r="AG865" s="10"/>
      <c r="AH865" s="10"/>
      <c r="AI865" s="12">
        <f t="shared" si="233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57"/>
      <c r="D866" s="32"/>
      <c r="E866" s="32"/>
      <c r="F866" s="32"/>
      <c r="G866" s="32">
        <f t="shared" si="230"/>
        <v>0</v>
      </c>
      <c r="H866" s="10"/>
      <c r="I866" s="10"/>
      <c r="J866" s="10"/>
      <c r="K866" s="12">
        <f t="shared" si="231"/>
        <v>0</v>
      </c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Y866" s="10">
        <v>30</v>
      </c>
      <c r="Z866" s="30"/>
      <c r="AA866" s="31"/>
      <c r="AB866" s="47"/>
      <c r="AC866" s="31"/>
      <c r="AD866" s="31"/>
      <c r="AE866" s="32">
        <f t="shared" si="232"/>
        <v>0</v>
      </c>
      <c r="AF866" s="10"/>
      <c r="AG866" s="10"/>
      <c r="AH866" s="10"/>
      <c r="AI866" s="12">
        <f t="shared" si="233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91"/>
      <c r="D867" s="32"/>
      <c r="E867" s="32"/>
      <c r="F867" s="32"/>
      <c r="G867" s="32">
        <f t="shared" si="230"/>
        <v>0</v>
      </c>
      <c r="H867" s="10"/>
      <c r="I867" s="10"/>
      <c r="J867" s="10"/>
      <c r="K867" s="12">
        <f t="shared" si="231"/>
        <v>0</v>
      </c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Y867" s="10">
        <v>31</v>
      </c>
      <c r="Z867" s="30"/>
      <c r="AA867" s="31"/>
      <c r="AB867" s="47"/>
      <c r="AC867" s="31"/>
      <c r="AD867" s="31"/>
      <c r="AE867" s="32">
        <f t="shared" si="232"/>
        <v>0</v>
      </c>
      <c r="AF867" s="10"/>
      <c r="AG867" s="10"/>
      <c r="AH867" s="10"/>
      <c r="AI867" s="12">
        <f t="shared" si="233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91"/>
      <c r="D868" s="32"/>
      <c r="E868" s="32"/>
      <c r="F868" s="32"/>
      <c r="G868" s="32">
        <f t="shared" si="230"/>
        <v>0</v>
      </c>
      <c r="H868" s="10"/>
      <c r="I868" s="10"/>
      <c r="J868" s="10"/>
      <c r="K868" s="12">
        <f t="shared" si="231"/>
        <v>0</v>
      </c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Y868" s="10">
        <v>32</v>
      </c>
      <c r="Z868" s="30"/>
      <c r="AA868" s="31"/>
      <c r="AB868" s="47"/>
      <c r="AC868" s="31"/>
      <c r="AD868" s="31"/>
      <c r="AE868" s="32">
        <f t="shared" si="232"/>
        <v>0</v>
      </c>
      <c r="AF868" s="10"/>
      <c r="AG868" s="10"/>
      <c r="AH868" s="10"/>
      <c r="AI868" s="12">
        <f t="shared" si="233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91"/>
      <c r="D869" s="32"/>
      <c r="E869" s="32"/>
      <c r="F869" s="32"/>
      <c r="G869" s="32">
        <f t="shared" si="230"/>
        <v>0</v>
      </c>
      <c r="H869" s="10"/>
      <c r="I869" s="10"/>
      <c r="J869" s="10"/>
      <c r="K869" s="12">
        <f t="shared" si="231"/>
        <v>0</v>
      </c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Y869" s="10">
        <v>33</v>
      </c>
      <c r="Z869" s="30"/>
      <c r="AA869" s="31"/>
      <c r="AB869" s="47"/>
      <c r="AC869" s="31"/>
      <c r="AD869" s="31"/>
      <c r="AE869" s="32">
        <f t="shared" si="232"/>
        <v>0</v>
      </c>
      <c r="AF869" s="10"/>
      <c r="AG869" s="10"/>
      <c r="AH869" s="10"/>
      <c r="AI869" s="12">
        <f t="shared" si="233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91"/>
      <c r="D870" s="32"/>
      <c r="E870" s="32"/>
      <c r="F870" s="32"/>
      <c r="G870" s="32">
        <f t="shared" si="230"/>
        <v>0</v>
      </c>
      <c r="H870" s="10"/>
      <c r="I870" s="10"/>
      <c r="J870" s="10"/>
      <c r="K870" s="12">
        <f t="shared" si="231"/>
        <v>0</v>
      </c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Y870" s="10">
        <v>34</v>
      </c>
      <c r="Z870" s="30"/>
      <c r="AB870" s="47"/>
      <c r="AC870" s="31"/>
      <c r="AD870" s="31"/>
      <c r="AE870" s="32">
        <f t="shared" si="232"/>
        <v>0</v>
      </c>
      <c r="AF870" s="10"/>
      <c r="AG870" s="10"/>
      <c r="AH870" s="10"/>
      <c r="AI870" s="12">
        <f t="shared" si="233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31"/>
      <c r="D871" s="32"/>
      <c r="E871" s="32"/>
      <c r="F871" s="32"/>
      <c r="G871" s="32"/>
      <c r="H871" s="10"/>
      <c r="I871" s="10"/>
      <c r="J871" s="10"/>
      <c r="K871" s="1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Y871" s="10">
        <v>35</v>
      </c>
      <c r="Z871" s="30"/>
      <c r="AA871" s="31"/>
      <c r="AB871" s="47"/>
      <c r="AC871" s="31"/>
      <c r="AD871" s="31"/>
      <c r="AE871" s="32">
        <f t="shared" si="232"/>
        <v>0</v>
      </c>
      <c r="AF871" s="10"/>
      <c r="AG871" s="10"/>
      <c r="AH871" s="10"/>
      <c r="AI871" s="12">
        <f t="shared" si="233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31"/>
      <c r="D872" s="32"/>
      <c r="E872" s="32"/>
      <c r="F872" s="32"/>
      <c r="G872" s="32"/>
      <c r="H872" s="10"/>
      <c r="I872" s="10"/>
      <c r="J872" s="10"/>
      <c r="K872" s="1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Y872" s="10">
        <v>36</v>
      </c>
      <c r="Z872" s="30"/>
      <c r="AA872" s="31"/>
      <c r="AB872" s="47"/>
      <c r="AC872" s="31"/>
      <c r="AD872" s="31"/>
      <c r="AE872" s="32">
        <f t="shared" si="232"/>
        <v>0</v>
      </c>
      <c r="AF872" s="10"/>
      <c r="AG872" s="10"/>
      <c r="AH872" s="10"/>
      <c r="AI872" s="12">
        <f t="shared" si="233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Y873" s="10">
        <v>37</v>
      </c>
      <c r="Z873" s="30"/>
      <c r="AA873" s="31"/>
      <c r="AB873" s="47"/>
      <c r="AC873" s="31"/>
      <c r="AD873" s="31"/>
      <c r="AE873" s="32">
        <f t="shared" si="232"/>
        <v>0</v>
      </c>
      <c r="AF873" s="10"/>
      <c r="AG873" s="10"/>
      <c r="AH873" s="10"/>
      <c r="AI873" s="12">
        <f t="shared" si="233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Y874" s="10">
        <v>38</v>
      </c>
      <c r="Z874" s="30"/>
      <c r="AA874" s="31"/>
      <c r="AB874" s="47"/>
      <c r="AC874" s="31"/>
      <c r="AD874" s="31"/>
      <c r="AE874" s="32">
        <f t="shared" si="232"/>
        <v>0</v>
      </c>
      <c r="AF874" s="10"/>
      <c r="AG874" s="10"/>
      <c r="AH874" s="10"/>
      <c r="AI874" s="12">
        <f t="shared" si="233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Y875" s="10">
        <v>39</v>
      </c>
      <c r="Z875" s="30"/>
      <c r="AA875" s="31"/>
      <c r="AB875" s="47"/>
      <c r="AC875" s="31"/>
      <c r="AD875" s="31"/>
      <c r="AE875" s="32">
        <f t="shared" si="232"/>
        <v>0</v>
      </c>
      <c r="AF875" s="10"/>
      <c r="AG875" s="10"/>
      <c r="AH875" s="10"/>
      <c r="AI875" s="12">
        <f t="shared" si="233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3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Y877" s="10"/>
      <c r="Z877" s="30"/>
      <c r="AA877" s="31"/>
      <c r="AB877" s="47"/>
      <c r="AC877" s="31"/>
      <c r="AD877" s="31"/>
      <c r="AE877" s="32">
        <f t="shared" ref="AE877" si="238">SUM(AB877:AC877)</f>
        <v>0</v>
      </c>
      <c r="AF877" s="10"/>
      <c r="AG877" s="10"/>
      <c r="AH877" s="10"/>
      <c r="AI877" s="12">
        <f t="shared" si="233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3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130797.5</v>
      </c>
      <c r="E880" s="38">
        <f t="shared" ref="E880:F880" si="239">SUM(E837:E877)</f>
        <v>0</v>
      </c>
      <c r="F880" s="38">
        <f t="shared" si="239"/>
        <v>0</v>
      </c>
      <c r="G880" s="38">
        <f>SUM(G837:G879)</f>
        <v>130797.5</v>
      </c>
      <c r="H880" s="4"/>
      <c r="I880" s="39">
        <f>SUM(I837:I879)</f>
        <v>0</v>
      </c>
      <c r="J880" s="39">
        <f>SUM(J837:J879)</f>
        <v>0</v>
      </c>
      <c r="K880" s="40">
        <f>SUM(K837:K879)</f>
        <v>130797.5</v>
      </c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Z880" s="57"/>
      <c r="AA880" s="57"/>
      <c r="AB880" s="38">
        <f>SUM(AB837:AB879)</f>
        <v>257275</v>
      </c>
      <c r="AC880" s="38">
        <f>SUM(AC837:AC861)</f>
        <v>-936</v>
      </c>
      <c r="AD880" s="38">
        <f>SUM(AD837:AD861)</f>
        <v>0</v>
      </c>
      <c r="AE880" s="38">
        <f>SUM(AE837:AE879)</f>
        <v>256339</v>
      </c>
      <c r="AF880" s="4"/>
      <c r="AG880" s="41">
        <f>SUM(AG837:AG879)</f>
        <v>252</v>
      </c>
      <c r="AH880" s="41">
        <f>SUM(AH837:AH861)</f>
        <v>-17529</v>
      </c>
      <c r="AI880" s="42">
        <f>SUM(AI837:AI879)</f>
        <v>239062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52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52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52</v>
      </c>
      <c r="Z887" s="57"/>
      <c r="AA887" s="57"/>
      <c r="AB887" s="57"/>
      <c r="AC887" s="57"/>
      <c r="AD887" s="57"/>
      <c r="AE887" s="57"/>
      <c r="AG887" s="57" t="s">
        <v>15</v>
      </c>
      <c r="AH887" s="19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86</v>
      </c>
      <c r="B888" s="20"/>
      <c r="C888" s="57"/>
      <c r="D888" s="57"/>
      <c r="E888" s="57"/>
      <c r="G888" s="57"/>
      <c r="I888" s="22" t="s">
        <v>16</v>
      </c>
      <c r="J888" s="23" t="s">
        <v>33</v>
      </c>
      <c r="K888" s="24"/>
      <c r="M888" s="21" t="s">
        <v>86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42</v>
      </c>
      <c r="W888" s="24"/>
      <c r="Y888" s="21" t="s">
        <v>86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31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07"/>
      <c r="G890" s="27"/>
      <c r="I890" s="116" t="s">
        <v>18</v>
      </c>
      <c r="J890" s="117"/>
      <c r="K890" s="114" t="s">
        <v>19</v>
      </c>
      <c r="N890" s="25"/>
      <c r="O890" s="26"/>
      <c r="P890" s="118" t="s">
        <v>17</v>
      </c>
      <c r="Q890" s="118"/>
      <c r="R890" s="107"/>
      <c r="S890" s="27"/>
      <c r="U890" s="116" t="s">
        <v>18</v>
      </c>
      <c r="V890" s="117"/>
      <c r="W890" s="114" t="s">
        <v>19</v>
      </c>
      <c r="Z890" s="25"/>
      <c r="AA890" s="26"/>
      <c r="AB890" s="118" t="s">
        <v>17</v>
      </c>
      <c r="AC890" s="118"/>
      <c r="AD890" s="107"/>
      <c r="AE890" s="27"/>
      <c r="AG890" s="116" t="s">
        <v>18</v>
      </c>
      <c r="AH890" s="117"/>
      <c r="AI890" s="114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9" t="s">
        <v>22</v>
      </c>
      <c r="E891" s="78" t="s">
        <v>23</v>
      </c>
      <c r="F891" s="80" t="s">
        <v>32</v>
      </c>
      <c r="G891" s="80" t="s">
        <v>24</v>
      </c>
      <c r="I891" s="29" t="s">
        <v>25</v>
      </c>
      <c r="J891" s="29" t="s">
        <v>26</v>
      </c>
      <c r="K891" s="115"/>
      <c r="N891" s="28" t="s">
        <v>20</v>
      </c>
      <c r="O891" s="28" t="s">
        <v>21</v>
      </c>
      <c r="P891" s="79" t="s">
        <v>22</v>
      </c>
      <c r="Q891" s="80" t="s">
        <v>23</v>
      </c>
      <c r="R891" s="80" t="s">
        <v>32</v>
      </c>
      <c r="S891" s="80" t="s">
        <v>24</v>
      </c>
      <c r="U891" s="29" t="s">
        <v>25</v>
      </c>
      <c r="V891" s="29" t="s">
        <v>26</v>
      </c>
      <c r="W891" s="115"/>
      <c r="Z891" s="28" t="s">
        <v>20</v>
      </c>
      <c r="AA891" s="28" t="s">
        <v>21</v>
      </c>
      <c r="AB891" s="79" t="s">
        <v>22</v>
      </c>
      <c r="AC891" s="80" t="s">
        <v>23</v>
      </c>
      <c r="AD891" s="80" t="s">
        <v>32</v>
      </c>
      <c r="AE891" s="80" t="s">
        <v>24</v>
      </c>
      <c r="AG891" s="29" t="s">
        <v>25</v>
      </c>
      <c r="AH891" s="29" t="s">
        <v>26</v>
      </c>
      <c r="AI891" s="115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91">
        <v>7267</v>
      </c>
      <c r="D892" s="32">
        <f>1878+614+229</f>
        <v>2721</v>
      </c>
      <c r="E892" s="32"/>
      <c r="F892" s="32"/>
      <c r="G892" s="32">
        <f t="shared" ref="G892:G925" si="240">SUM(D892:E892)</f>
        <v>2721</v>
      </c>
      <c r="H892" s="12"/>
      <c r="I892" s="12"/>
      <c r="J892" s="12"/>
      <c r="K892" s="12">
        <f t="shared" ref="K892:K925" si="241">SUM(G892:J892)</f>
        <v>2721</v>
      </c>
      <c r="M892" s="10">
        <v>1</v>
      </c>
      <c r="N892" s="30" t="s">
        <v>87</v>
      </c>
      <c r="O892" s="31">
        <v>7223</v>
      </c>
      <c r="P892" s="32">
        <f>1252+19</f>
        <v>1271</v>
      </c>
      <c r="Q892" s="32"/>
      <c r="R892" s="32"/>
      <c r="S892" s="32">
        <f>SUM(P892:Q892)</f>
        <v>1271</v>
      </c>
      <c r="T892" s="12"/>
      <c r="U892" s="12"/>
      <c r="V892" s="12"/>
      <c r="W892" s="12">
        <f>SUM(S892:V892)</f>
        <v>1271</v>
      </c>
      <c r="Y892" s="10">
        <v>1</v>
      </c>
      <c r="Z892" s="30" t="s">
        <v>87</v>
      </c>
      <c r="AA892" s="31">
        <v>7311</v>
      </c>
      <c r="AB892" s="32">
        <f>67608+64368+4160</f>
        <v>136136</v>
      </c>
      <c r="AC892" s="32">
        <v>-1326</v>
      </c>
      <c r="AD892" s="32"/>
      <c r="AE892" s="32">
        <f>SUM(AB892:AC892)</f>
        <v>134810</v>
      </c>
      <c r="AF892" s="12"/>
      <c r="AG892" s="12"/>
      <c r="AH892" s="12">
        <f>-168+-1848</f>
        <v>-2016</v>
      </c>
      <c r="AI892" s="12">
        <f>SUM(AE892:AH892)</f>
        <v>132794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91">
        <v>7299</v>
      </c>
      <c r="D893" s="32">
        <f>25040+1228+1192</f>
        <v>27460</v>
      </c>
      <c r="E893" s="32"/>
      <c r="F893" s="32"/>
      <c r="G893" s="32">
        <f t="shared" si="240"/>
        <v>27460</v>
      </c>
      <c r="H893" s="12"/>
      <c r="I893" s="12">
        <v>5</v>
      </c>
      <c r="J893" s="12"/>
      <c r="K893" s="12">
        <f t="shared" si="241"/>
        <v>27465</v>
      </c>
      <c r="M893" s="10">
        <v>2</v>
      </c>
      <c r="N893" s="30" t="s">
        <v>87</v>
      </c>
      <c r="O893" s="31">
        <f>O892+1</f>
        <v>7224</v>
      </c>
      <c r="P893" s="32">
        <f>1878+28.5</f>
        <v>1906.5</v>
      </c>
      <c r="Q893" s="32"/>
      <c r="R893" s="32"/>
      <c r="S893" s="32">
        <f t="shared" ref="S893:S924" si="242">SUM(P893:Q893)</f>
        <v>1906.5</v>
      </c>
      <c r="T893" s="12"/>
      <c r="U893" s="12"/>
      <c r="V893" s="12"/>
      <c r="W893" s="12">
        <f t="shared" ref="W893:W933" si="243">SUM(S893:V893)</f>
        <v>1906.5</v>
      </c>
      <c r="Y893" s="10">
        <v>2</v>
      </c>
      <c r="Z893" s="30" t="s">
        <v>87</v>
      </c>
      <c r="AA893" s="31">
        <f>AA892+1</f>
        <v>7312</v>
      </c>
      <c r="AB893" s="32">
        <f>3130+47.5</f>
        <v>3177.5</v>
      </c>
      <c r="AC893" s="32"/>
      <c r="AD893" s="32"/>
      <c r="AE893" s="32">
        <f t="shared" ref="AE893:AE930" si="244">SUM(AB893:AC893)</f>
        <v>3177.5</v>
      </c>
      <c r="AF893" s="12"/>
      <c r="AG893" s="12"/>
      <c r="AH893" s="12"/>
      <c r="AI893" s="12">
        <f t="shared" ref="AI893:AI933" si="245">SUM(AE893:AH893)</f>
        <v>3177.5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91">
        <f t="shared" ref="C894:C902" si="246">C893+1</f>
        <v>7300</v>
      </c>
      <c r="D894" s="33">
        <f>5008+614+674+502.5+416+85.5</f>
        <v>7300</v>
      </c>
      <c r="E894" s="33"/>
      <c r="F894" s="33"/>
      <c r="G894" s="33">
        <f t="shared" si="240"/>
        <v>7300</v>
      </c>
      <c r="H894" s="34"/>
      <c r="I894" s="34">
        <v>6</v>
      </c>
      <c r="J894" s="34"/>
      <c r="K894" s="34">
        <f t="shared" si="241"/>
        <v>7306</v>
      </c>
      <c r="M894" s="10">
        <v>3</v>
      </c>
      <c r="N894" s="30" t="s">
        <v>87</v>
      </c>
      <c r="O894" s="31">
        <f t="shared" ref="O894:O919" si="247">O893+1</f>
        <v>7225</v>
      </c>
      <c r="P894" s="32">
        <f>3130+47.5</f>
        <v>3177.5</v>
      </c>
      <c r="Q894" s="32"/>
      <c r="R894" s="32"/>
      <c r="S894" s="32">
        <f t="shared" si="242"/>
        <v>3177.5</v>
      </c>
      <c r="T894" s="12"/>
      <c r="U894" s="12"/>
      <c r="V894" s="12"/>
      <c r="W894" s="12">
        <f t="shared" si="243"/>
        <v>3177.5</v>
      </c>
      <c r="Y894" s="10">
        <v>3</v>
      </c>
      <c r="Z894" s="30" t="s">
        <v>87</v>
      </c>
      <c r="AA894" s="31">
        <f t="shared" ref="AA894:AA897" si="248">AA893+1</f>
        <v>7313</v>
      </c>
      <c r="AB894" s="33">
        <f>11268+614+1826</f>
        <v>13708</v>
      </c>
      <c r="AC894" s="33"/>
      <c r="AD894" s="32"/>
      <c r="AE894" s="32">
        <f t="shared" si="244"/>
        <v>13708</v>
      </c>
      <c r="AF894" s="12"/>
      <c r="AG894" s="12"/>
      <c r="AH894" s="12"/>
      <c r="AI894" s="12">
        <f t="shared" si="245"/>
        <v>13708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91">
        <v>7351</v>
      </c>
      <c r="D895" s="32">
        <f>1878+1192+47.5</f>
        <v>3117.5</v>
      </c>
      <c r="E895" s="32"/>
      <c r="F895" s="32"/>
      <c r="G895" s="32">
        <f t="shared" si="240"/>
        <v>3117.5</v>
      </c>
      <c r="H895" s="12"/>
      <c r="I895" s="12">
        <v>7</v>
      </c>
      <c r="J895" s="12"/>
      <c r="K895" s="12">
        <f t="shared" si="241"/>
        <v>3124.5</v>
      </c>
      <c r="M895" s="10">
        <v>4</v>
      </c>
      <c r="N895" s="30" t="s">
        <v>87</v>
      </c>
      <c r="O895" s="31">
        <f t="shared" si="247"/>
        <v>7226</v>
      </c>
      <c r="P895" s="32">
        <f>1252+19</f>
        <v>1271</v>
      </c>
      <c r="Q895" s="32"/>
      <c r="R895" s="32"/>
      <c r="S895" s="32">
        <f t="shared" si="242"/>
        <v>1271</v>
      </c>
      <c r="T895" s="12"/>
      <c r="U895" s="12"/>
      <c r="V895" s="12"/>
      <c r="W895" s="12">
        <f t="shared" si="243"/>
        <v>1271</v>
      </c>
      <c r="Y895" s="10">
        <v>4</v>
      </c>
      <c r="Z895" s="30" t="s">
        <v>87</v>
      </c>
      <c r="AA895" s="31">
        <f t="shared" si="248"/>
        <v>7314</v>
      </c>
      <c r="AB895" s="32">
        <f>9390+1228</f>
        <v>10618</v>
      </c>
      <c r="AC895" s="32"/>
      <c r="AD895" s="32"/>
      <c r="AE895" s="32">
        <f t="shared" si="244"/>
        <v>10618</v>
      </c>
      <c r="AF895" s="12"/>
      <c r="AH895" s="12">
        <v>-2109</v>
      </c>
      <c r="AI895" s="12">
        <f t="shared" si="245"/>
        <v>8509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91">
        <f t="shared" si="246"/>
        <v>7352</v>
      </c>
      <c r="D896" s="32">
        <f>7512+614+596+123.5</f>
        <v>8845.5</v>
      </c>
      <c r="E896" s="32"/>
      <c r="F896" s="32"/>
      <c r="G896" s="32">
        <f t="shared" si="240"/>
        <v>8845.5</v>
      </c>
      <c r="H896" s="12"/>
      <c r="I896" s="12">
        <f>12+144</f>
        <v>156</v>
      </c>
      <c r="J896" s="12"/>
      <c r="K896" s="12">
        <f t="shared" si="241"/>
        <v>9001.5</v>
      </c>
      <c r="M896" s="10">
        <v>5</v>
      </c>
      <c r="N896" s="30" t="s">
        <v>87</v>
      </c>
      <c r="O896" s="31">
        <f t="shared" si="247"/>
        <v>7227</v>
      </c>
      <c r="P896" s="32">
        <f>2504+38</f>
        <v>2542</v>
      </c>
      <c r="Q896" s="32"/>
      <c r="R896" s="32"/>
      <c r="S896" s="32">
        <f t="shared" si="242"/>
        <v>2542</v>
      </c>
      <c r="T896" s="12"/>
      <c r="U896" s="12">
        <v>4.5</v>
      </c>
      <c r="V896" s="12"/>
      <c r="W896" s="12">
        <f t="shared" si="243"/>
        <v>2546.5</v>
      </c>
      <c r="Y896" s="10">
        <v>5</v>
      </c>
      <c r="Z896" s="30" t="s">
        <v>87</v>
      </c>
      <c r="AA896" s="31">
        <f t="shared" si="248"/>
        <v>7315</v>
      </c>
      <c r="AB896" s="32">
        <f>1145+500</f>
        <v>1645</v>
      </c>
      <c r="AC896" s="32"/>
      <c r="AD896" s="32"/>
      <c r="AE896" s="32">
        <f t="shared" si="244"/>
        <v>1645</v>
      </c>
      <c r="AF896" s="12"/>
      <c r="AG896" s="12"/>
      <c r="AH896" s="12"/>
      <c r="AI896" s="12">
        <f t="shared" si="245"/>
        <v>1645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87</v>
      </c>
      <c r="C897" s="91">
        <f t="shared" si="246"/>
        <v>7353</v>
      </c>
      <c r="D897" s="32">
        <f>5634+614</f>
        <v>6248</v>
      </c>
      <c r="E897" s="32"/>
      <c r="F897" s="32"/>
      <c r="G897" s="32">
        <f t="shared" si="240"/>
        <v>6248</v>
      </c>
      <c r="H897" s="12"/>
      <c r="I897" s="12"/>
      <c r="J897" s="12"/>
      <c r="K897" s="12">
        <f t="shared" si="241"/>
        <v>6248</v>
      </c>
      <c r="M897" s="10">
        <v>6</v>
      </c>
      <c r="N897" s="30" t="s">
        <v>87</v>
      </c>
      <c r="O897" s="31">
        <f t="shared" si="247"/>
        <v>7228</v>
      </c>
      <c r="P897" s="32">
        <f>1878+28.5</f>
        <v>1906.5</v>
      </c>
      <c r="Q897" s="32"/>
      <c r="R897" s="32"/>
      <c r="S897" s="32">
        <f t="shared" si="242"/>
        <v>1906.5</v>
      </c>
      <c r="T897" s="12"/>
      <c r="U897" s="12"/>
      <c r="V897" s="10"/>
      <c r="W897" s="12">
        <f t="shared" si="243"/>
        <v>1906.5</v>
      </c>
      <c r="Y897" s="10">
        <v>6</v>
      </c>
      <c r="Z897" s="30" t="s">
        <v>87</v>
      </c>
      <c r="AA897" s="31">
        <f t="shared" si="248"/>
        <v>7316</v>
      </c>
      <c r="AB897" s="32">
        <f>1145</f>
        <v>1145</v>
      </c>
      <c r="AC897" s="32"/>
      <c r="AD897" s="32"/>
      <c r="AE897" s="32">
        <f t="shared" si="244"/>
        <v>1145</v>
      </c>
      <c r="AF897" s="12"/>
      <c r="AG897" s="12"/>
      <c r="AH897" s="10"/>
      <c r="AI897" s="12">
        <f t="shared" si="245"/>
        <v>1145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87</v>
      </c>
      <c r="C898" s="91">
        <f t="shared" si="246"/>
        <v>7354</v>
      </c>
      <c r="D898" s="32">
        <f>3756+913+1788+85.5</f>
        <v>6542.5</v>
      </c>
      <c r="E898" s="32"/>
      <c r="F898" s="32"/>
      <c r="G898" s="32">
        <f t="shared" si="240"/>
        <v>6542.5</v>
      </c>
      <c r="H898" s="12"/>
      <c r="I898" s="12"/>
      <c r="J898" s="12"/>
      <c r="K898" s="12">
        <f t="shared" si="241"/>
        <v>6542.5</v>
      </c>
      <c r="M898" s="10">
        <v>7</v>
      </c>
      <c r="N898" s="30" t="s">
        <v>87</v>
      </c>
      <c r="O898" s="31">
        <f t="shared" si="247"/>
        <v>7229</v>
      </c>
      <c r="P898" s="32">
        <f>2504+38</f>
        <v>2542</v>
      </c>
      <c r="Q898" s="32"/>
      <c r="R898" s="32"/>
      <c r="S898" s="32">
        <f t="shared" si="242"/>
        <v>2542</v>
      </c>
      <c r="T898" s="12"/>
      <c r="U898" s="12">
        <v>1.5</v>
      </c>
      <c r="V898" s="12"/>
      <c r="W898" s="12">
        <f t="shared" si="243"/>
        <v>2543.5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4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87</v>
      </c>
      <c r="C899" s="91">
        <f t="shared" si="246"/>
        <v>7355</v>
      </c>
      <c r="D899" s="32">
        <f>1252+19</f>
        <v>1271</v>
      </c>
      <c r="E899" s="32"/>
      <c r="F899" s="32"/>
      <c r="G899" s="32">
        <f t="shared" si="240"/>
        <v>1271</v>
      </c>
      <c r="H899" s="12"/>
      <c r="I899" s="12"/>
      <c r="J899" s="12"/>
      <c r="K899" s="12">
        <f t="shared" si="241"/>
        <v>1271</v>
      </c>
      <c r="M899" s="10">
        <v>8</v>
      </c>
      <c r="N899" s="30" t="s">
        <v>87</v>
      </c>
      <c r="O899" s="31">
        <f t="shared" si="247"/>
        <v>7230</v>
      </c>
      <c r="P899" s="32">
        <f>1252+596+28.5</f>
        <v>1876.5</v>
      </c>
      <c r="Q899" s="32"/>
      <c r="R899" s="32"/>
      <c r="S899" s="32">
        <f t="shared" si="242"/>
        <v>1876.5</v>
      </c>
      <c r="T899" s="12"/>
      <c r="U899" s="12"/>
      <c r="V899" s="12"/>
      <c r="W899" s="12">
        <f t="shared" si="243"/>
        <v>1876.5</v>
      </c>
      <c r="Y899" s="10">
        <v>8</v>
      </c>
      <c r="Z899" s="30"/>
      <c r="AA899" s="31"/>
      <c r="AB899" s="32"/>
      <c r="AC899" s="32"/>
      <c r="AE899" s="32">
        <f t="shared" si="244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87</v>
      </c>
      <c r="C900" s="91">
        <f t="shared" si="246"/>
        <v>7356</v>
      </c>
      <c r="D900" s="32">
        <f>3130+596+57</f>
        <v>3783</v>
      </c>
      <c r="E900" s="32"/>
      <c r="F900" s="32"/>
      <c r="G900" s="32">
        <f t="shared" si="240"/>
        <v>3783</v>
      </c>
      <c r="H900" s="12"/>
      <c r="I900" s="12"/>
      <c r="J900" s="12"/>
      <c r="K900" s="12">
        <f t="shared" si="241"/>
        <v>3783</v>
      </c>
      <c r="M900" s="10">
        <v>9</v>
      </c>
      <c r="N900" s="30" t="s">
        <v>87</v>
      </c>
      <c r="O900" s="31">
        <f t="shared" si="247"/>
        <v>7231</v>
      </c>
      <c r="P900" s="32">
        <f>5634+85.5</f>
        <v>5719.5</v>
      </c>
      <c r="Q900" s="32"/>
      <c r="R900" s="32"/>
      <c r="S900" s="32">
        <f t="shared" si="242"/>
        <v>5719.5</v>
      </c>
      <c r="T900" s="12"/>
      <c r="U900" s="12"/>
      <c r="V900" s="12">
        <f>-333+-252</f>
        <v>-585</v>
      </c>
      <c r="W900" s="12">
        <f t="shared" si="243"/>
        <v>5134.5</v>
      </c>
      <c r="Y900" s="10">
        <v>9</v>
      </c>
      <c r="Z900" s="30"/>
      <c r="AA900" s="31"/>
      <c r="AB900" s="32"/>
      <c r="AC900" s="32"/>
      <c r="AD900" s="32"/>
      <c r="AE900" s="32">
        <f t="shared" si="244"/>
        <v>0</v>
      </c>
      <c r="AF900" s="12"/>
      <c r="AG900" s="58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87</v>
      </c>
      <c r="C901" s="91">
        <f t="shared" si="246"/>
        <v>7357</v>
      </c>
      <c r="D901" s="32">
        <f>2504+38</f>
        <v>2542</v>
      </c>
      <c r="E901" s="32"/>
      <c r="F901" s="32"/>
      <c r="G901" s="32">
        <f t="shared" si="240"/>
        <v>2542</v>
      </c>
      <c r="H901" s="12"/>
      <c r="I901" s="12"/>
      <c r="J901" s="12"/>
      <c r="K901" s="12">
        <f t="shared" si="241"/>
        <v>2542</v>
      </c>
      <c r="M901" s="10">
        <v>10</v>
      </c>
      <c r="N901" s="30" t="s">
        <v>87</v>
      </c>
      <c r="O901" s="31">
        <f t="shared" si="247"/>
        <v>7232</v>
      </c>
      <c r="P901" s="32">
        <f>1252+614+19</f>
        <v>1885</v>
      </c>
      <c r="Q901" s="32"/>
      <c r="R901" s="32"/>
      <c r="S901" s="32">
        <f t="shared" si="242"/>
        <v>1885</v>
      </c>
      <c r="T901" s="12"/>
      <c r="U901" s="12"/>
      <c r="V901" s="12"/>
      <c r="W901" s="12">
        <f t="shared" si="243"/>
        <v>1885</v>
      </c>
      <c r="Y901" s="10">
        <v>10</v>
      </c>
      <c r="Z901" s="30"/>
      <c r="AA901" s="31"/>
      <c r="AB901" s="32"/>
      <c r="AC901" s="32"/>
      <c r="AD901" s="32"/>
      <c r="AE901" s="32">
        <f t="shared" si="244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87</v>
      </c>
      <c r="C902" s="91">
        <f t="shared" si="246"/>
        <v>7358</v>
      </c>
      <c r="D902" s="32">
        <f>3130+614</f>
        <v>3744</v>
      </c>
      <c r="E902" s="32"/>
      <c r="F902" s="32"/>
      <c r="G902" s="32">
        <f t="shared" si="240"/>
        <v>3744</v>
      </c>
      <c r="H902" s="12"/>
      <c r="I902" s="12"/>
      <c r="J902" s="12"/>
      <c r="K902" s="12">
        <f t="shared" si="241"/>
        <v>3744</v>
      </c>
      <c r="M902" s="10">
        <v>11</v>
      </c>
      <c r="N902" s="30" t="s">
        <v>87</v>
      </c>
      <c r="O902" s="31">
        <f t="shared" si="247"/>
        <v>7233</v>
      </c>
      <c r="P902" s="32">
        <f>3130+614+47.5</f>
        <v>3791.5</v>
      </c>
      <c r="Q902" s="32"/>
      <c r="R902" s="32"/>
      <c r="S902" s="32">
        <f t="shared" si="242"/>
        <v>3791.5</v>
      </c>
      <c r="T902" s="12"/>
      <c r="U902" s="12"/>
      <c r="V902" s="12"/>
      <c r="W902" s="12">
        <f t="shared" si="243"/>
        <v>3791.5</v>
      </c>
      <c r="Y902" s="10">
        <v>11</v>
      </c>
      <c r="Z902" s="30"/>
      <c r="AA902" s="31"/>
      <c r="AB902" s="32"/>
      <c r="AC902" s="32"/>
      <c r="AD902" s="32"/>
      <c r="AE902" s="32">
        <f t="shared" si="244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 t="s">
        <v>87</v>
      </c>
      <c r="O903" s="31">
        <f t="shared" si="247"/>
        <v>7234</v>
      </c>
      <c r="P903" s="32">
        <f>1252</f>
        <v>1252</v>
      </c>
      <c r="Q903" s="32"/>
      <c r="R903" s="32"/>
      <c r="S903" s="32">
        <f t="shared" si="242"/>
        <v>1252</v>
      </c>
      <c r="T903" s="12"/>
      <c r="U903" s="12"/>
      <c r="V903" s="12"/>
      <c r="W903" s="12">
        <f t="shared" si="243"/>
        <v>1252</v>
      </c>
      <c r="Y903" s="10">
        <v>12</v>
      </c>
      <c r="Z903" s="30"/>
      <c r="AA903" s="31"/>
      <c r="AB903" s="32"/>
      <c r="AC903" s="32"/>
      <c r="AD903" s="32"/>
      <c r="AE903" s="32">
        <f t="shared" si="244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91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 t="s">
        <v>87</v>
      </c>
      <c r="O904" s="31">
        <f t="shared" si="247"/>
        <v>7235</v>
      </c>
      <c r="P904" s="32">
        <f>2504+614+596+229</f>
        <v>3943</v>
      </c>
      <c r="Q904" s="32"/>
      <c r="R904" s="32"/>
      <c r="S904" s="32">
        <f t="shared" si="242"/>
        <v>3943</v>
      </c>
      <c r="T904" s="12"/>
      <c r="U904" s="12">
        <v>28.5</v>
      </c>
      <c r="V904" s="12"/>
      <c r="W904" s="12">
        <f t="shared" si="243"/>
        <v>3971.5</v>
      </c>
      <c r="Y904" s="10">
        <v>13</v>
      </c>
      <c r="Z904" s="30"/>
      <c r="AA904" s="31"/>
      <c r="AB904" s="32"/>
      <c r="AC904" s="32"/>
      <c r="AD904" s="32"/>
      <c r="AE904" s="32">
        <f t="shared" si="244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91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 t="s">
        <v>87</v>
      </c>
      <c r="O905" s="31">
        <f t="shared" si="247"/>
        <v>7236</v>
      </c>
      <c r="P905" s="32">
        <f>22536+458</f>
        <v>22994</v>
      </c>
      <c r="Q905" s="32"/>
      <c r="R905" s="32"/>
      <c r="S905" s="32">
        <f t="shared" si="242"/>
        <v>22994</v>
      </c>
      <c r="T905" s="12"/>
      <c r="U905" s="12">
        <v>72</v>
      </c>
      <c r="V905" s="12"/>
      <c r="W905" s="12">
        <f t="shared" si="243"/>
        <v>23066</v>
      </c>
      <c r="Y905" s="10">
        <v>14</v>
      </c>
      <c r="Z905" s="30"/>
      <c r="AA905" s="31"/>
      <c r="AB905" s="32"/>
      <c r="AC905" s="32"/>
      <c r="AD905" s="32"/>
      <c r="AE905" s="32">
        <f t="shared" si="244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91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 t="s">
        <v>87</v>
      </c>
      <c r="O906" s="31">
        <f t="shared" si="247"/>
        <v>7237</v>
      </c>
      <c r="P906" s="32">
        <f>1878+596+38</f>
        <v>2512</v>
      </c>
      <c r="Q906" s="32"/>
      <c r="R906" s="32"/>
      <c r="S906" s="32">
        <f t="shared" si="242"/>
        <v>2512</v>
      </c>
      <c r="T906" s="12"/>
      <c r="U906" s="12"/>
      <c r="V906" s="12"/>
      <c r="W906" s="12">
        <f t="shared" si="243"/>
        <v>2512</v>
      </c>
      <c r="Y906" s="10">
        <v>15</v>
      </c>
      <c r="Z906" s="30"/>
      <c r="AA906" s="31"/>
      <c r="AB906" s="32"/>
      <c r="AC906" s="32"/>
      <c r="AD906" s="32"/>
      <c r="AE906" s="32">
        <f t="shared" si="244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9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 t="s">
        <v>87</v>
      </c>
      <c r="O907" s="31">
        <f t="shared" si="247"/>
        <v>7238</v>
      </c>
      <c r="P907" s="32">
        <f>626+596+19</f>
        <v>1241</v>
      </c>
      <c r="Q907" s="32"/>
      <c r="R907" s="32"/>
      <c r="S907" s="32">
        <f t="shared" si="242"/>
        <v>1241</v>
      </c>
      <c r="T907" s="12"/>
      <c r="U907" s="12"/>
      <c r="V907" s="12">
        <v>-333</v>
      </c>
      <c r="W907" s="12">
        <f t="shared" si="243"/>
        <v>908</v>
      </c>
      <c r="Y907" s="10">
        <v>16</v>
      </c>
      <c r="Z907" s="30"/>
      <c r="AA907" s="31"/>
      <c r="AB907" s="32"/>
      <c r="AC907" s="32"/>
      <c r="AD907" s="32"/>
      <c r="AE907" s="32">
        <f t="shared" si="244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91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 t="s">
        <v>87</v>
      </c>
      <c r="O908" s="31">
        <f t="shared" si="247"/>
        <v>7239</v>
      </c>
      <c r="P908" s="35">
        <f>4382+66.5</f>
        <v>4448.5</v>
      </c>
      <c r="Q908" s="32"/>
      <c r="R908" s="32"/>
      <c r="S908" s="32">
        <f t="shared" si="242"/>
        <v>4448.5</v>
      </c>
      <c r="T908" s="12"/>
      <c r="U908" s="12"/>
      <c r="V908" s="12"/>
      <c r="W908" s="12">
        <f t="shared" si="243"/>
        <v>4448.5</v>
      </c>
      <c r="Y908" s="10">
        <v>17</v>
      </c>
      <c r="Z908" s="30"/>
      <c r="AA908" s="31"/>
      <c r="AB908" s="35"/>
      <c r="AC908" s="32"/>
      <c r="AD908" s="32"/>
      <c r="AE908" s="32">
        <f t="shared" si="244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91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 t="s">
        <v>87</v>
      </c>
      <c r="O909" s="31">
        <f t="shared" si="247"/>
        <v>7240</v>
      </c>
      <c r="P909" s="32">
        <f>5634</f>
        <v>5634</v>
      </c>
      <c r="Q909" s="32"/>
      <c r="R909" s="32"/>
      <c r="S909" s="32">
        <f t="shared" si="242"/>
        <v>5634</v>
      </c>
      <c r="T909" s="12"/>
      <c r="U909" s="12"/>
      <c r="V909" s="12"/>
      <c r="W909" s="12">
        <f t="shared" si="243"/>
        <v>5634</v>
      </c>
      <c r="Y909" s="10">
        <v>18</v>
      </c>
      <c r="Z909" s="30"/>
      <c r="AA909" s="31"/>
      <c r="AB909" s="32"/>
      <c r="AC909" s="32"/>
      <c r="AD909" s="32"/>
      <c r="AE909" s="32">
        <f t="shared" si="244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91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 t="s">
        <v>87</v>
      </c>
      <c r="O910" s="31">
        <f t="shared" si="247"/>
        <v>7241</v>
      </c>
      <c r="P910" s="32">
        <f>1252+596+28.5</f>
        <v>1876.5</v>
      </c>
      <c r="Q910" s="32"/>
      <c r="R910" s="32"/>
      <c r="S910" s="32">
        <f t="shared" si="242"/>
        <v>1876.5</v>
      </c>
      <c r="T910" s="12"/>
      <c r="U910" s="12">
        <v>22.5</v>
      </c>
      <c r="V910" s="12"/>
      <c r="W910" s="12">
        <f t="shared" si="243"/>
        <v>1899</v>
      </c>
      <c r="Y910" s="10">
        <v>19</v>
      </c>
      <c r="Z910" s="30"/>
      <c r="AA910" s="31"/>
      <c r="AB910" s="32"/>
      <c r="AC910" s="32"/>
      <c r="AD910" s="32"/>
      <c r="AE910" s="32">
        <f t="shared" si="244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 t="s">
        <v>87</v>
      </c>
      <c r="O911" s="31">
        <f t="shared" si="247"/>
        <v>7242</v>
      </c>
      <c r="P911" s="32">
        <f>9390+142.5</f>
        <v>9532.5</v>
      </c>
      <c r="Q911" s="32"/>
      <c r="R911" s="32"/>
      <c r="S911" s="32">
        <f t="shared" si="242"/>
        <v>9532.5</v>
      </c>
      <c r="T911" s="12"/>
      <c r="U911" s="12"/>
      <c r="V911" s="12"/>
      <c r="W911" s="12">
        <f t="shared" si="243"/>
        <v>9532.5</v>
      </c>
      <c r="Y911" s="10">
        <v>20</v>
      </c>
      <c r="Z911" s="30"/>
      <c r="AA911" s="31"/>
      <c r="AB911" s="32"/>
      <c r="AC911" s="32"/>
      <c r="AD911" s="32"/>
      <c r="AE911" s="32">
        <f t="shared" si="244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91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 t="s">
        <v>87</v>
      </c>
      <c r="O912" s="31">
        <f t="shared" si="247"/>
        <v>7243</v>
      </c>
      <c r="P912" s="46">
        <f>1252+19</f>
        <v>1271</v>
      </c>
      <c r="Q912" s="31"/>
      <c r="R912" s="31"/>
      <c r="S912" s="32">
        <f t="shared" si="242"/>
        <v>1271</v>
      </c>
      <c r="T912" s="10"/>
      <c r="U912" s="10"/>
      <c r="V912" s="10"/>
      <c r="W912" s="12">
        <f t="shared" si="243"/>
        <v>1271</v>
      </c>
      <c r="Y912" s="10">
        <v>21</v>
      </c>
      <c r="Z912" s="30"/>
      <c r="AA912" s="31"/>
      <c r="AB912" s="46"/>
      <c r="AC912" s="31"/>
      <c r="AD912" s="31"/>
      <c r="AE912" s="32">
        <f t="shared" si="244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91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 t="s">
        <v>87</v>
      </c>
      <c r="O913" s="31">
        <f t="shared" si="247"/>
        <v>7244</v>
      </c>
      <c r="P913" s="45">
        <f>5008+76</f>
        <v>5084</v>
      </c>
      <c r="Q913" s="31"/>
      <c r="R913" s="31"/>
      <c r="S913" s="32">
        <f t="shared" si="242"/>
        <v>5084</v>
      </c>
      <c r="T913" s="10"/>
      <c r="U913" s="10"/>
      <c r="V913" s="10"/>
      <c r="W913" s="12">
        <f t="shared" si="243"/>
        <v>5084</v>
      </c>
      <c r="Y913" s="10">
        <v>22</v>
      </c>
      <c r="Z913" s="30"/>
      <c r="AA913" s="31"/>
      <c r="AB913" s="45"/>
      <c r="AC913" s="31"/>
      <c r="AD913" s="31"/>
      <c r="AE913" s="32">
        <f t="shared" si="244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57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 t="s">
        <v>87</v>
      </c>
      <c r="O914" s="31">
        <f t="shared" si="247"/>
        <v>7245</v>
      </c>
      <c r="P914" s="47">
        <f>1252+19</f>
        <v>1271</v>
      </c>
      <c r="Q914" s="31"/>
      <c r="S914" s="32">
        <f t="shared" si="242"/>
        <v>1271</v>
      </c>
      <c r="T914" s="10"/>
      <c r="U914" s="10"/>
      <c r="V914" s="10"/>
      <c r="W914" s="12">
        <f t="shared" si="243"/>
        <v>1271</v>
      </c>
      <c r="Y914" s="10">
        <v>23</v>
      </c>
      <c r="Z914" s="30"/>
      <c r="AA914" s="31"/>
      <c r="AB914" s="47"/>
      <c r="AC914" s="31"/>
      <c r="AE914" s="32">
        <f t="shared" si="244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91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 t="s">
        <v>87</v>
      </c>
      <c r="O915" s="31">
        <f t="shared" si="247"/>
        <v>7246</v>
      </c>
      <c r="P915" s="47">
        <f>1878+28.5</f>
        <v>1906.5</v>
      </c>
      <c r="Q915" s="31"/>
      <c r="R915" s="31"/>
      <c r="S915" s="32">
        <f t="shared" si="242"/>
        <v>1906.5</v>
      </c>
      <c r="T915" s="10"/>
      <c r="U915" s="10">
        <v>4.5</v>
      </c>
      <c r="V915" s="10"/>
      <c r="W915" s="12">
        <f t="shared" si="243"/>
        <v>1911</v>
      </c>
      <c r="Y915" s="10">
        <v>24</v>
      </c>
      <c r="Z915" s="30"/>
      <c r="AA915" s="31"/>
      <c r="AB915" s="47"/>
      <c r="AC915" s="31"/>
      <c r="AD915" s="31"/>
      <c r="AE915" s="32">
        <f t="shared" si="244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91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 t="s">
        <v>87</v>
      </c>
      <c r="O916" s="31">
        <f t="shared" si="247"/>
        <v>7247</v>
      </c>
      <c r="P916" s="47">
        <f>1878+28.5</f>
        <v>1906.5</v>
      </c>
      <c r="Q916" s="31"/>
      <c r="R916" s="31"/>
      <c r="S916" s="32">
        <f t="shared" si="242"/>
        <v>1906.5</v>
      </c>
      <c r="T916" s="10"/>
      <c r="U916" s="10">
        <v>4.5</v>
      </c>
      <c r="V916" s="10"/>
      <c r="W916" s="12">
        <f t="shared" si="243"/>
        <v>1911</v>
      </c>
      <c r="Y916" s="10">
        <v>25</v>
      </c>
      <c r="Z916" s="30"/>
      <c r="AA916" s="31"/>
      <c r="AB916" s="47"/>
      <c r="AC916" s="31"/>
      <c r="AD916" s="31"/>
      <c r="AE916" s="32">
        <f t="shared" si="244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91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 t="s">
        <v>87</v>
      </c>
      <c r="O917" s="31">
        <f t="shared" si="247"/>
        <v>7248</v>
      </c>
      <c r="P917" s="47">
        <f>1252+19</f>
        <v>1271</v>
      </c>
      <c r="Q917" s="31"/>
      <c r="R917" s="31"/>
      <c r="S917" s="32">
        <f t="shared" si="242"/>
        <v>1271</v>
      </c>
      <c r="T917" s="10"/>
      <c r="U917" s="10">
        <v>4.5</v>
      </c>
      <c r="V917" s="10"/>
      <c r="W917" s="12">
        <f t="shared" si="243"/>
        <v>1275.5</v>
      </c>
      <c r="Y917" s="10">
        <v>26</v>
      </c>
      <c r="Z917" s="30"/>
      <c r="AA917" s="31"/>
      <c r="AB917" s="47"/>
      <c r="AC917" s="31"/>
      <c r="AD917" s="31"/>
      <c r="AE917" s="32">
        <f t="shared" si="244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91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 t="s">
        <v>87</v>
      </c>
      <c r="O918" s="31">
        <f t="shared" si="247"/>
        <v>7249</v>
      </c>
      <c r="P918" s="47">
        <f>1252+19</f>
        <v>1271</v>
      </c>
      <c r="Q918" s="31"/>
      <c r="R918" s="31"/>
      <c r="S918" s="32">
        <f t="shared" si="242"/>
        <v>1271</v>
      </c>
      <c r="T918" s="10"/>
      <c r="U918" s="10"/>
      <c r="V918" s="10"/>
      <c r="W918" s="12">
        <f t="shared" si="243"/>
        <v>1271</v>
      </c>
      <c r="Y918" s="10">
        <v>27</v>
      </c>
      <c r="Z918" s="30"/>
      <c r="AA918" s="31"/>
      <c r="AB918" s="47"/>
      <c r="AC918" s="31"/>
      <c r="AD918" s="31"/>
      <c r="AE918" s="32">
        <f t="shared" si="244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91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 t="s">
        <v>87</v>
      </c>
      <c r="O919" s="31">
        <f t="shared" si="247"/>
        <v>7250</v>
      </c>
      <c r="P919" s="47">
        <f>34430+3070+5960+458</f>
        <v>43918</v>
      </c>
      <c r="Q919" s="31"/>
      <c r="R919" s="31"/>
      <c r="S919" s="32">
        <f t="shared" si="242"/>
        <v>43918</v>
      </c>
      <c r="T919" s="10"/>
      <c r="U919" s="10">
        <v>1215</v>
      </c>
      <c r="V919" s="10"/>
      <c r="W919" s="12">
        <f t="shared" si="243"/>
        <v>45133</v>
      </c>
      <c r="Y919" s="10">
        <v>28</v>
      </c>
      <c r="Z919" s="30"/>
      <c r="AA919" s="31"/>
      <c r="AB919" s="47"/>
      <c r="AC919" s="31"/>
      <c r="AD919" s="31"/>
      <c r="AE919" s="32">
        <f t="shared" si="244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91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 t="s">
        <v>87</v>
      </c>
      <c r="O920" s="31">
        <v>7401</v>
      </c>
      <c r="P920" s="47">
        <f>3756+57</f>
        <v>3813</v>
      </c>
      <c r="Q920" s="31"/>
      <c r="R920" s="31"/>
      <c r="S920" s="32">
        <f t="shared" si="242"/>
        <v>3813</v>
      </c>
      <c r="T920" s="10"/>
      <c r="U920" s="10"/>
      <c r="V920" s="10"/>
      <c r="W920" s="12">
        <f t="shared" si="243"/>
        <v>3813</v>
      </c>
      <c r="Y920" s="10">
        <v>29</v>
      </c>
      <c r="Z920" s="30"/>
      <c r="AA920" s="31"/>
      <c r="AB920" s="47"/>
      <c r="AC920" s="31"/>
      <c r="AD920" s="31"/>
      <c r="AE920" s="32">
        <f t="shared" si="244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11" t="s">
        <v>27</v>
      </c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4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91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B922" s="47"/>
      <c r="AC922" s="31"/>
      <c r="AD922" s="31"/>
      <c r="AE922" s="32">
        <f t="shared" si="244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91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4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91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4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91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P925" s="47"/>
      <c r="Q925" s="31"/>
      <c r="R925" s="31"/>
      <c r="S925" s="32">
        <f t="shared" ref="S925:S930" si="249">SUM(P925:Q925)</f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B925" s="47"/>
      <c r="AC925" s="31"/>
      <c r="AD925" s="31"/>
      <c r="AE925" s="32">
        <f t="shared" si="244"/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3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9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4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3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9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4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9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4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9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4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9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4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73574.5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73574.5</v>
      </c>
      <c r="H935" s="4"/>
      <c r="I935" s="39">
        <f>SUM(I892:I934)</f>
        <v>174</v>
      </c>
      <c r="J935" s="39">
        <f>SUM(J892:J934)</f>
        <v>0</v>
      </c>
      <c r="K935" s="40">
        <f>SUM(K892:K934)</f>
        <v>73748.5</v>
      </c>
      <c r="N935" s="57"/>
      <c r="O935" s="57"/>
      <c r="P935" s="38">
        <f>SUM(P892:P934)</f>
        <v>143034.5</v>
      </c>
      <c r="Q935" s="38">
        <f>SUM(Q892:Q916)</f>
        <v>0</v>
      </c>
      <c r="R935" s="38">
        <f>SUM(R892:R916)</f>
        <v>0</v>
      </c>
      <c r="S935" s="38">
        <f>SUM(S892:S934)</f>
        <v>143034.5</v>
      </c>
      <c r="T935" s="4"/>
      <c r="U935" s="41">
        <f>SUM(U892:U934)</f>
        <v>1357.5</v>
      </c>
      <c r="V935" s="41">
        <f>SUM(V892:V916)</f>
        <v>-918</v>
      </c>
      <c r="W935" s="42">
        <f>SUM(W892:W934)</f>
        <v>143474</v>
      </c>
      <c r="Z935" s="57"/>
      <c r="AA935" s="57"/>
      <c r="AB935" s="38">
        <f>SUM(AB892:AB934)</f>
        <v>166429.5</v>
      </c>
      <c r="AC935" s="38">
        <f>SUM(AC892:AC916)</f>
        <v>-1326</v>
      </c>
      <c r="AD935" s="38">
        <f>SUM(AD892:AD916)</f>
        <v>0</v>
      </c>
      <c r="AE935" s="38">
        <f>SUM(AE892:AE934)</f>
        <v>165103.5</v>
      </c>
      <c r="AF935" s="4"/>
      <c r="AG935" s="41">
        <f>SUM(AG892:AG934)</f>
        <v>0</v>
      </c>
      <c r="AH935" s="41">
        <f>SUM(AH892:AH916)</f>
        <v>-4125</v>
      </c>
      <c r="AI935" s="42">
        <f>SUM(AI892:AI934)</f>
        <v>160978.5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34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34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34</v>
      </c>
      <c r="Z942" s="57"/>
      <c r="AA942" s="57"/>
      <c r="AB942" s="57"/>
      <c r="AC942" s="57"/>
      <c r="AD942" s="57"/>
      <c r="AE942" s="57"/>
      <c r="AG942" s="57" t="s">
        <v>15</v>
      </c>
      <c r="AH942" s="19">
        <v>3</v>
      </c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89</v>
      </c>
      <c r="B943" s="20"/>
      <c r="C943" s="57"/>
      <c r="D943" s="57"/>
      <c r="E943" s="57"/>
      <c r="G943" s="57"/>
      <c r="I943" s="22" t="s">
        <v>16</v>
      </c>
      <c r="J943" s="23" t="s">
        <v>33</v>
      </c>
      <c r="K943" s="24"/>
      <c r="M943" s="21" t="s">
        <v>89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42</v>
      </c>
      <c r="W943" s="24"/>
      <c r="Y943" s="21" t="s">
        <v>89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31</v>
      </c>
      <c r="AI943" s="24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8" t="s">
        <v>17</v>
      </c>
      <c r="E945" s="118"/>
      <c r="F945" s="108"/>
      <c r="G945" s="27"/>
      <c r="I945" s="116" t="s">
        <v>18</v>
      </c>
      <c r="J945" s="117"/>
      <c r="K945" s="114" t="s">
        <v>19</v>
      </c>
      <c r="N945" s="25"/>
      <c r="O945" s="26"/>
      <c r="P945" s="118" t="s">
        <v>17</v>
      </c>
      <c r="Q945" s="118"/>
      <c r="R945" s="108"/>
      <c r="S945" s="27"/>
      <c r="U945" s="116" t="s">
        <v>18</v>
      </c>
      <c r="V945" s="117"/>
      <c r="W945" s="114" t="s">
        <v>19</v>
      </c>
      <c r="Z945" s="25"/>
      <c r="AA945" s="26"/>
      <c r="AB945" s="118" t="s">
        <v>17</v>
      </c>
      <c r="AC945" s="118"/>
      <c r="AD945" s="108"/>
      <c r="AE945" s="27"/>
      <c r="AG945" s="116" t="s">
        <v>18</v>
      </c>
      <c r="AH945" s="117"/>
      <c r="AI945" s="114" t="s">
        <v>19</v>
      </c>
      <c r="AK945" s="62"/>
      <c r="AL945" s="65"/>
      <c r="AM945" s="87"/>
      <c r="AN945" s="120"/>
      <c r="AO945" s="120"/>
      <c r="AP945" s="87"/>
      <c r="AQ945" s="84"/>
      <c r="AR945" s="62"/>
      <c r="AS945" s="120"/>
      <c r="AT945" s="120"/>
      <c r="AU945" s="119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9" t="s">
        <v>22</v>
      </c>
      <c r="E946" s="78" t="s">
        <v>23</v>
      </c>
      <c r="F946" s="80" t="s">
        <v>32</v>
      </c>
      <c r="G946" s="80" t="s">
        <v>24</v>
      </c>
      <c r="I946" s="29" t="s">
        <v>25</v>
      </c>
      <c r="J946" s="29" t="s">
        <v>26</v>
      </c>
      <c r="K946" s="115"/>
      <c r="N946" s="28" t="s">
        <v>20</v>
      </c>
      <c r="O946" s="28" t="s">
        <v>21</v>
      </c>
      <c r="P946" s="79" t="s">
        <v>22</v>
      </c>
      <c r="Q946" s="80" t="s">
        <v>23</v>
      </c>
      <c r="R946" s="80" t="s">
        <v>32</v>
      </c>
      <c r="S946" s="80" t="s">
        <v>24</v>
      </c>
      <c r="U946" s="29" t="s">
        <v>25</v>
      </c>
      <c r="V946" s="29" t="s">
        <v>26</v>
      </c>
      <c r="W946" s="115"/>
      <c r="Z946" s="28" t="s">
        <v>20</v>
      </c>
      <c r="AA946" s="28" t="s">
        <v>21</v>
      </c>
      <c r="AB946" s="79" t="s">
        <v>22</v>
      </c>
      <c r="AC946" s="80" t="s">
        <v>23</v>
      </c>
      <c r="AD946" s="80" t="s">
        <v>32</v>
      </c>
      <c r="AE946" s="80" t="s">
        <v>24</v>
      </c>
      <c r="AG946" s="29" t="s">
        <v>25</v>
      </c>
      <c r="AH946" s="29" t="s">
        <v>26</v>
      </c>
      <c r="AI946" s="115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9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90</v>
      </c>
      <c r="C947" s="91">
        <v>7359</v>
      </c>
      <c r="D947" s="32">
        <f>1788+28.5</f>
        <v>1816.5</v>
      </c>
      <c r="E947" s="32"/>
      <c r="F947" s="32"/>
      <c r="G947" s="32">
        <f t="shared" ref="G947:G991" si="255">SUM(D947:E947)</f>
        <v>1816.5</v>
      </c>
      <c r="H947" s="12"/>
      <c r="I947" s="12"/>
      <c r="J947" s="12"/>
      <c r="K947" s="12">
        <f t="shared" ref="K947:K991" si="256">SUM(G947:J947)</f>
        <v>1816.5</v>
      </c>
      <c r="M947" s="10">
        <v>1</v>
      </c>
      <c r="N947" s="30" t="s">
        <v>90</v>
      </c>
      <c r="O947" s="31">
        <v>7402</v>
      </c>
      <c r="P947" s="32">
        <f>3130+614</f>
        <v>3744</v>
      </c>
      <c r="Q947" s="32"/>
      <c r="R947" s="32"/>
      <c r="S947" s="32">
        <f>SUM(P947:Q947)</f>
        <v>3744</v>
      </c>
      <c r="T947" s="12"/>
      <c r="U947" s="12"/>
      <c r="V947" s="12"/>
      <c r="W947" s="12">
        <f>SUM(S947:V947)</f>
        <v>3744</v>
      </c>
      <c r="Y947" s="10">
        <v>1</v>
      </c>
      <c r="Z947" s="30" t="s">
        <v>90</v>
      </c>
      <c r="AA947" s="31">
        <v>7317</v>
      </c>
      <c r="AB947" s="32">
        <f>21284+229</f>
        <v>21513</v>
      </c>
      <c r="AC947" s="32"/>
      <c r="AD947" s="32"/>
      <c r="AE947" s="32">
        <f>SUM(AB947:AC947)</f>
        <v>21513</v>
      </c>
      <c r="AF947" s="12"/>
      <c r="AG947" s="12"/>
      <c r="AH947" s="12"/>
      <c r="AI947" s="12">
        <f>SUM(AE947:AH947)</f>
        <v>21513</v>
      </c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90</v>
      </c>
      <c r="C948" s="91">
        <f>C947+1</f>
        <v>7360</v>
      </c>
      <c r="D948" s="32">
        <f>5634+1228+674</f>
        <v>7536</v>
      </c>
      <c r="E948" s="32"/>
      <c r="F948" s="32"/>
      <c r="G948" s="32">
        <f t="shared" si="255"/>
        <v>7536</v>
      </c>
      <c r="H948" s="12"/>
      <c r="I948" s="12"/>
      <c r="J948" s="12"/>
      <c r="K948" s="12">
        <f t="shared" si="256"/>
        <v>7536</v>
      </c>
      <c r="M948" s="10">
        <v>2</v>
      </c>
      <c r="N948" s="30" t="s">
        <v>90</v>
      </c>
      <c r="O948" s="31">
        <f>O947+1</f>
        <v>7403</v>
      </c>
      <c r="P948" s="32">
        <f>135216+1145</f>
        <v>136361</v>
      </c>
      <c r="Q948" s="32">
        <v>-1989</v>
      </c>
      <c r="R948" s="32"/>
      <c r="S948" s="32">
        <f t="shared" ref="S948:S991" si="257">SUM(P948:Q948)</f>
        <v>134372</v>
      </c>
      <c r="T948" s="12"/>
      <c r="U948" s="12">
        <f>78</f>
        <v>78</v>
      </c>
      <c r="V948" s="12">
        <f>-16650</f>
        <v>-16650</v>
      </c>
      <c r="W948" s="12">
        <f t="shared" ref="W948:W991" si="258">SUM(S948:V948)</f>
        <v>117800</v>
      </c>
      <c r="Y948" s="10">
        <v>2</v>
      </c>
      <c r="Z948" s="30" t="s">
        <v>90</v>
      </c>
      <c r="AA948" s="31">
        <f>AA947+1</f>
        <v>7318</v>
      </c>
      <c r="AB948" s="32">
        <f>626*100+614*10+596*40+229*6</f>
        <v>93954</v>
      </c>
      <c r="AC948" s="32">
        <f>-936</f>
        <v>-936</v>
      </c>
      <c r="AD948" s="32"/>
      <c r="AE948" s="32">
        <f t="shared" ref="AE948:AE991" si="259">SUM(AB948:AC948)</f>
        <v>93018</v>
      </c>
      <c r="AF948" s="12"/>
      <c r="AG948" s="12">
        <f>8769+468</f>
        <v>9237</v>
      </c>
      <c r="AH948" s="12">
        <f>-504+-84</f>
        <v>-588</v>
      </c>
      <c r="AI948" s="12">
        <f t="shared" ref="AI948:AI991" si="260">SUM(AE948:AH948)</f>
        <v>101667</v>
      </c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90</v>
      </c>
      <c r="C949" s="91">
        <f t="shared" ref="C949:C966" si="261">C948+1</f>
        <v>7361</v>
      </c>
      <c r="D949" s="33">
        <f>31300+674</f>
        <v>31974</v>
      </c>
      <c r="E949" s="33"/>
      <c r="F949" s="33"/>
      <c r="G949" s="33">
        <f t="shared" si="255"/>
        <v>31974</v>
      </c>
      <c r="H949" s="34"/>
      <c r="I949" s="34"/>
      <c r="J949" s="34"/>
      <c r="K949" s="34">
        <f t="shared" si="256"/>
        <v>31974</v>
      </c>
      <c r="M949" s="10">
        <v>3</v>
      </c>
      <c r="N949" s="30" t="s">
        <v>90</v>
      </c>
      <c r="O949" s="31">
        <f t="shared" ref="O949:O974" si="262">O948+1</f>
        <v>7404</v>
      </c>
      <c r="P949" s="32">
        <f>3130+614+456.5+47.5</f>
        <v>4248</v>
      </c>
      <c r="Q949" s="32"/>
      <c r="R949" s="32"/>
      <c r="S949" s="32">
        <f t="shared" si="257"/>
        <v>4248</v>
      </c>
      <c r="T949" s="12"/>
      <c r="U949" s="12"/>
      <c r="V949" s="12"/>
      <c r="W949" s="12">
        <f t="shared" si="258"/>
        <v>4248</v>
      </c>
      <c r="Y949" s="10">
        <v>3</v>
      </c>
      <c r="Z949" s="30" t="s">
        <v>90</v>
      </c>
      <c r="AA949" s="31">
        <f t="shared" ref="AA949:AA966" si="263">AA948+1</f>
        <v>7319</v>
      </c>
      <c r="AB949" s="33">
        <f>53210+6140+832+832+229*3</f>
        <v>61701</v>
      </c>
      <c r="AC949" s="33">
        <v>-600</v>
      </c>
      <c r="AD949" s="32"/>
      <c r="AE949" s="32">
        <f t="shared" si="259"/>
        <v>61101</v>
      </c>
      <c r="AF949" s="12"/>
      <c r="AG949" s="12">
        <f>240+3885+234+486</f>
        <v>4845</v>
      </c>
      <c r="AH949" s="12"/>
      <c r="AI949" s="12">
        <f t="shared" si="260"/>
        <v>65946</v>
      </c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90</v>
      </c>
      <c r="C950" s="91">
        <f t="shared" si="261"/>
        <v>7362</v>
      </c>
      <c r="D950" s="32">
        <f>3130+47.5</f>
        <v>3177.5</v>
      </c>
      <c r="E950" s="32"/>
      <c r="F950" s="32"/>
      <c r="G950" s="32">
        <f t="shared" si="255"/>
        <v>3177.5</v>
      </c>
      <c r="H950" s="12"/>
      <c r="I950" s="12"/>
      <c r="J950" s="12"/>
      <c r="K950" s="12">
        <f t="shared" si="256"/>
        <v>3177.5</v>
      </c>
      <c r="M950" s="10">
        <v>4</v>
      </c>
      <c r="N950" s="30" t="s">
        <v>90</v>
      </c>
      <c r="O950" s="31">
        <f t="shared" si="262"/>
        <v>7405</v>
      </c>
      <c r="P950" s="32">
        <f>5634+596+229</f>
        <v>6459</v>
      </c>
      <c r="Q950" s="32"/>
      <c r="R950" s="32"/>
      <c r="S950" s="32">
        <f t="shared" si="257"/>
        <v>6459</v>
      </c>
      <c r="T950" s="12"/>
      <c r="U950" s="12"/>
      <c r="V950" s="12"/>
      <c r="W950" s="12">
        <f t="shared" si="258"/>
        <v>6459</v>
      </c>
      <c r="Y950" s="10">
        <v>4</v>
      </c>
      <c r="Z950" s="30" t="s">
        <v>90</v>
      </c>
      <c r="AA950" s="31">
        <f t="shared" si="263"/>
        <v>7320</v>
      </c>
      <c r="AB950" s="32">
        <f>112680+26820+2061</f>
        <v>141561</v>
      </c>
      <c r="AC950" s="32">
        <v>-1404</v>
      </c>
      <c r="AD950" s="32"/>
      <c r="AE950" s="32">
        <f t="shared" si="259"/>
        <v>140157</v>
      </c>
      <c r="AF950" s="12"/>
      <c r="AG950">
        <v>324</v>
      </c>
      <c r="AH950" s="12"/>
      <c r="AI950" s="12">
        <f t="shared" si="260"/>
        <v>140481</v>
      </c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90</v>
      </c>
      <c r="C951" s="91">
        <f t="shared" si="261"/>
        <v>7363</v>
      </c>
      <c r="D951" s="32">
        <f>3756+1228</f>
        <v>4984</v>
      </c>
      <c r="E951" s="32"/>
      <c r="F951" s="32"/>
      <c r="G951" s="32">
        <f t="shared" si="255"/>
        <v>4984</v>
      </c>
      <c r="H951" s="12"/>
      <c r="I951" s="12"/>
      <c r="J951" s="12"/>
      <c r="K951" s="12">
        <f t="shared" si="256"/>
        <v>4984</v>
      </c>
      <c r="M951" s="10">
        <v>5</v>
      </c>
      <c r="N951" s="30" t="s">
        <v>90</v>
      </c>
      <c r="O951" s="31">
        <f t="shared" si="262"/>
        <v>7406</v>
      </c>
      <c r="P951" s="32">
        <f>1252+19</f>
        <v>1271</v>
      </c>
      <c r="Q951" s="32"/>
      <c r="R951" s="32"/>
      <c r="S951" s="32">
        <f t="shared" si="257"/>
        <v>1271</v>
      </c>
      <c r="T951" s="12"/>
      <c r="U951" s="12"/>
      <c r="V951" s="12"/>
      <c r="W951" s="12">
        <f t="shared" si="258"/>
        <v>1271</v>
      </c>
      <c r="Y951" s="10">
        <v>5</v>
      </c>
      <c r="Z951" s="30"/>
      <c r="AA951" s="11" t="s">
        <v>27</v>
      </c>
      <c r="AB951" s="32"/>
      <c r="AC951" s="32"/>
      <c r="AD951" s="32"/>
      <c r="AE951" s="32">
        <f t="shared" si="259"/>
        <v>0</v>
      </c>
      <c r="AF951" s="12"/>
      <c r="AG951" s="12"/>
      <c r="AH951" s="12"/>
      <c r="AI951" s="12">
        <f t="shared" si="260"/>
        <v>0</v>
      </c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90</v>
      </c>
      <c r="C952" s="91">
        <f t="shared" si="261"/>
        <v>7364</v>
      </c>
      <c r="D952" s="32">
        <f>11268+2384+229</f>
        <v>13881</v>
      </c>
      <c r="E952" s="32"/>
      <c r="F952" s="32"/>
      <c r="G952" s="32">
        <f t="shared" si="255"/>
        <v>13881</v>
      </c>
      <c r="H952" s="12"/>
      <c r="I952" s="12">
        <v>21</v>
      </c>
      <c r="J952" s="12"/>
      <c r="K952" s="12">
        <f t="shared" si="256"/>
        <v>13902</v>
      </c>
      <c r="M952" s="10">
        <v>6</v>
      </c>
      <c r="N952" s="30" t="s">
        <v>90</v>
      </c>
      <c r="O952" s="31">
        <f t="shared" si="262"/>
        <v>7407</v>
      </c>
      <c r="P952" s="32">
        <f>1252+19</f>
        <v>1271</v>
      </c>
      <c r="Q952" s="32"/>
      <c r="R952" s="32"/>
      <c r="S952" s="32">
        <f t="shared" si="257"/>
        <v>1271</v>
      </c>
      <c r="T952" s="12"/>
      <c r="U952" s="12"/>
      <c r="V952" s="10"/>
      <c r="W952" s="12">
        <f t="shared" si="258"/>
        <v>1271</v>
      </c>
      <c r="Y952" s="10">
        <v>6</v>
      </c>
      <c r="Z952" s="30"/>
      <c r="AA952" s="31"/>
      <c r="AB952" s="32"/>
      <c r="AC952" s="32"/>
      <c r="AD952" s="32"/>
      <c r="AE952" s="32">
        <f t="shared" si="259"/>
        <v>0</v>
      </c>
      <c r="AF952" s="12"/>
      <c r="AG952" s="12"/>
      <c r="AH952" s="10"/>
      <c r="AI952" s="12">
        <f t="shared" si="260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90</v>
      </c>
      <c r="C953" s="91">
        <f t="shared" si="261"/>
        <v>7365</v>
      </c>
      <c r="D953" s="32">
        <f>3756</f>
        <v>3756</v>
      </c>
      <c r="E953" s="32"/>
      <c r="F953" s="32"/>
      <c r="G953" s="32">
        <f t="shared" si="255"/>
        <v>3756</v>
      </c>
      <c r="H953" s="12"/>
      <c r="I953" s="12">
        <v>18</v>
      </c>
      <c r="J953" s="12"/>
      <c r="K953" s="12">
        <f t="shared" si="256"/>
        <v>3774</v>
      </c>
      <c r="M953" s="10">
        <v>7</v>
      </c>
      <c r="N953" s="30"/>
      <c r="O953" s="11" t="s">
        <v>27</v>
      </c>
      <c r="P953" s="32"/>
      <c r="Q953" s="32"/>
      <c r="R953" s="32"/>
      <c r="S953" s="32">
        <f t="shared" si="257"/>
        <v>0</v>
      </c>
      <c r="T953" s="12"/>
      <c r="U953" s="12"/>
      <c r="V953" s="12"/>
      <c r="W953" s="12">
        <f t="shared" si="258"/>
        <v>0</v>
      </c>
      <c r="Y953" s="10">
        <v>7</v>
      </c>
      <c r="Z953" s="30"/>
      <c r="AA953" s="31"/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90</v>
      </c>
      <c r="C954" s="91">
        <f t="shared" si="261"/>
        <v>7366</v>
      </c>
      <c r="D954" s="32">
        <f>31300+5364+229</f>
        <v>36893</v>
      </c>
      <c r="E954" s="32"/>
      <c r="F954" s="32"/>
      <c r="G954" s="32">
        <f t="shared" si="255"/>
        <v>36893</v>
      </c>
      <c r="H954" s="12"/>
      <c r="I954" s="12">
        <f>84+9+6</f>
        <v>99</v>
      </c>
      <c r="J954" s="12"/>
      <c r="K954" s="12">
        <f t="shared" si="256"/>
        <v>36992</v>
      </c>
      <c r="M954" s="10">
        <v>8</v>
      </c>
      <c r="N954" s="30"/>
      <c r="O954" s="31"/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90</v>
      </c>
      <c r="C955" s="91">
        <f t="shared" si="261"/>
        <v>7367</v>
      </c>
      <c r="D955" s="32">
        <f>11268+1348</f>
        <v>12616</v>
      </c>
      <c r="E955" s="32"/>
      <c r="F955" s="32"/>
      <c r="G955" s="32">
        <f t="shared" si="255"/>
        <v>12616</v>
      </c>
      <c r="H955" s="12"/>
      <c r="I955" s="12"/>
      <c r="J955" s="12"/>
      <c r="K955" s="12">
        <f t="shared" si="256"/>
        <v>12616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31"/>
      <c r="AB955" s="32"/>
      <c r="AC955" s="32"/>
      <c r="AD955" s="32"/>
      <c r="AE955" s="32">
        <f t="shared" si="259"/>
        <v>0</v>
      </c>
      <c r="AF955" s="12"/>
      <c r="AG955" s="58"/>
      <c r="AH955" s="12"/>
      <c r="AI955" s="12">
        <f t="shared" si="260"/>
        <v>0</v>
      </c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90</v>
      </c>
      <c r="C956" s="91">
        <f t="shared" si="261"/>
        <v>7368</v>
      </c>
      <c r="D956" s="32">
        <f>31926+7152</f>
        <v>39078</v>
      </c>
      <c r="E956" s="32"/>
      <c r="F956" s="32"/>
      <c r="G956" s="32">
        <f t="shared" si="255"/>
        <v>39078</v>
      </c>
      <c r="H956" s="12"/>
      <c r="I956" s="12"/>
      <c r="J956" s="12"/>
      <c r="K956" s="12">
        <f t="shared" si="256"/>
        <v>39078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90</v>
      </c>
      <c r="C957" s="91">
        <f t="shared" si="261"/>
        <v>7369</v>
      </c>
      <c r="D957" s="32">
        <f>9390+9.5*15</f>
        <v>9532.5</v>
      </c>
      <c r="E957" s="32"/>
      <c r="F957" s="32"/>
      <c r="G957" s="32">
        <f t="shared" si="255"/>
        <v>9532.5</v>
      </c>
      <c r="H957" s="12"/>
      <c r="I957" s="12">
        <v>199</v>
      </c>
      <c r="J957" s="12"/>
      <c r="K957" s="12">
        <f t="shared" si="256"/>
        <v>9731.5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 t="s">
        <v>90</v>
      </c>
      <c r="C958" s="91">
        <f t="shared" si="261"/>
        <v>7370</v>
      </c>
      <c r="D958" s="32">
        <f>1252+19</f>
        <v>1271</v>
      </c>
      <c r="E958" s="32"/>
      <c r="F958" s="32"/>
      <c r="G958" s="32">
        <f t="shared" si="255"/>
        <v>1271</v>
      </c>
      <c r="H958" s="12"/>
      <c r="I958" s="12"/>
      <c r="J958" s="10"/>
      <c r="K958" s="12">
        <f t="shared" si="256"/>
        <v>1271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 t="s">
        <v>90</v>
      </c>
      <c r="C959" s="91">
        <f t="shared" si="261"/>
        <v>7371</v>
      </c>
      <c r="D959" s="32">
        <f>12520+3684+95</f>
        <v>16299</v>
      </c>
      <c r="E959" s="32"/>
      <c r="F959" s="32"/>
      <c r="G959" s="32">
        <f t="shared" si="255"/>
        <v>16299</v>
      </c>
      <c r="H959" s="12"/>
      <c r="I959" s="12"/>
      <c r="J959" s="12"/>
      <c r="K959" s="12">
        <f t="shared" si="256"/>
        <v>16299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11" t="s">
        <v>27</v>
      </c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9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3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91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91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91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91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91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57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C969" s="31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91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91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91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91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91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91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91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91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91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91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P980" s="47"/>
      <c r="Q980" s="31"/>
      <c r="R980" s="31"/>
      <c r="S980" s="32">
        <f t="shared" ref="S980:S990" si="264">SUM(P980:Q980)</f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31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4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31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4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4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4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4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5">SUM(D987:E987)</f>
        <v>0</v>
      </c>
      <c r="H987" s="10"/>
      <c r="I987" s="10"/>
      <c r="J987" s="10"/>
      <c r="K987" s="12">
        <f t="shared" ref="K987" si="266">SUM(G987:J987)</f>
        <v>0</v>
      </c>
      <c r="M987" s="10"/>
      <c r="N987" s="30"/>
      <c r="O987" s="31"/>
      <c r="P987" s="47"/>
      <c r="Q987" s="31"/>
      <c r="R987" s="31"/>
      <c r="S987" s="32">
        <f t="shared" ref="S987" si="267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8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182814.5</v>
      </c>
      <c r="E990" s="38">
        <f t="shared" ref="E990:G990" si="269">SUM(E947:E987)</f>
        <v>0</v>
      </c>
      <c r="F990" s="38">
        <f t="shared" si="269"/>
        <v>0</v>
      </c>
      <c r="G990" s="38">
        <f>SUM(G947:G989)</f>
        <v>182814.5</v>
      </c>
      <c r="H990" s="4"/>
      <c r="I990" s="39">
        <f>SUM(I947:I989)</f>
        <v>337</v>
      </c>
      <c r="J990" s="39">
        <f>SUM(J947:J989)</f>
        <v>0</v>
      </c>
      <c r="K990" s="40">
        <f>SUM(K947:K989)</f>
        <v>183151.5</v>
      </c>
      <c r="N990" s="57"/>
      <c r="O990" s="57"/>
      <c r="P990" s="38">
        <f>SUM(P947:P989)</f>
        <v>153354</v>
      </c>
      <c r="Q990" s="38">
        <f>SUM(Q947:Q971)</f>
        <v>-1989</v>
      </c>
      <c r="R990" s="38">
        <f>SUM(R947:R971)</f>
        <v>0</v>
      </c>
      <c r="S990" s="38">
        <f>SUM(S947:S989)</f>
        <v>151365</v>
      </c>
      <c r="T990" s="4"/>
      <c r="U990" s="41">
        <f>SUM(U947:U989)</f>
        <v>78</v>
      </c>
      <c r="V990" s="41">
        <f>SUM(V947:V971)</f>
        <v>-16650</v>
      </c>
      <c r="W990" s="42">
        <f>SUM(W947:W989)</f>
        <v>134793</v>
      </c>
      <c r="Z990" s="57"/>
      <c r="AA990" s="57"/>
      <c r="AB990" s="38">
        <f>SUM(AB947:AB989)</f>
        <v>318729</v>
      </c>
      <c r="AC990" s="38">
        <f>SUM(AC947:AC971)</f>
        <v>-2940</v>
      </c>
      <c r="AD990" s="38">
        <f>SUM(AD947:AD971)</f>
        <v>0</v>
      </c>
      <c r="AE990" s="38">
        <f>SUM(AE947:AE989)</f>
        <v>315789</v>
      </c>
      <c r="AF990" s="4"/>
      <c r="AG990" s="41">
        <f>SUM(AG947:AG989)</f>
        <v>14406</v>
      </c>
      <c r="AH990" s="41">
        <f>SUM(AH947:AH971)</f>
        <v>-588</v>
      </c>
      <c r="AI990" s="42">
        <f>SUM(AI947:AI989)</f>
        <v>329607</v>
      </c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20"/>
      <c r="E1000" s="120"/>
      <c r="F1000" s="89"/>
      <c r="G1000" s="89"/>
      <c r="H1000" s="62"/>
      <c r="I1000" s="120"/>
      <c r="J1000" s="120"/>
      <c r="K1000" s="119"/>
      <c r="L1000" s="62"/>
      <c r="M1000" s="62"/>
      <c r="N1000" s="65"/>
      <c r="O1000" s="89"/>
      <c r="P1000" s="120"/>
      <c r="Q1000" s="120"/>
      <c r="R1000" s="89"/>
      <c r="S1000" s="89"/>
      <c r="T1000" s="62"/>
      <c r="U1000" s="120"/>
      <c r="V1000" s="120"/>
      <c r="W1000" s="119"/>
      <c r="X1000" s="62"/>
      <c r="Y1000" s="62"/>
      <c r="Z1000" s="65"/>
      <c r="AA1000" s="89"/>
      <c r="AB1000" s="120"/>
      <c r="AC1000" s="120"/>
      <c r="AD1000" s="89"/>
      <c r="AE1000" s="89"/>
      <c r="AF1000" s="62"/>
      <c r="AG1000" s="120"/>
      <c r="AH1000" s="120"/>
      <c r="AI1000" s="11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19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19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1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20"/>
      <c r="E1055" s="120"/>
      <c r="F1055" s="89"/>
      <c r="G1055" s="89"/>
      <c r="H1055" s="62"/>
      <c r="I1055" s="120"/>
      <c r="J1055" s="120"/>
      <c r="K1055" s="119"/>
      <c r="L1055" s="62"/>
      <c r="M1055" s="62"/>
      <c r="N1055" s="65"/>
      <c r="O1055" s="89"/>
      <c r="P1055" s="120"/>
      <c r="Q1055" s="120"/>
      <c r="R1055" s="89"/>
      <c r="S1055" s="89"/>
      <c r="T1055" s="62"/>
      <c r="U1055" s="120"/>
      <c r="V1055" s="120"/>
      <c r="W1055" s="119"/>
      <c r="X1055" s="62"/>
      <c r="Y1055" s="62"/>
      <c r="Z1055" s="65"/>
      <c r="AA1055" s="89"/>
      <c r="AB1055" s="120"/>
      <c r="AC1055" s="120"/>
      <c r="AD1055" s="89"/>
      <c r="AE1055" s="89"/>
      <c r="AF1055" s="62"/>
      <c r="AG1055" s="120"/>
      <c r="AH1055" s="120"/>
      <c r="AI1055" s="11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19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19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1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20"/>
      <c r="E1110" s="120"/>
      <c r="F1110" s="89"/>
      <c r="G1110" s="89"/>
      <c r="H1110" s="62"/>
      <c r="I1110" s="120"/>
      <c r="J1110" s="120"/>
      <c r="K1110" s="119"/>
      <c r="L1110" s="62"/>
      <c r="M1110" s="62"/>
      <c r="N1110" s="65"/>
      <c r="O1110" s="89"/>
      <c r="P1110" s="120"/>
      <c r="Q1110" s="120"/>
      <c r="R1110" s="89"/>
      <c r="S1110" s="89"/>
      <c r="T1110" s="62"/>
      <c r="U1110" s="120"/>
      <c r="V1110" s="120"/>
      <c r="W1110" s="119"/>
      <c r="X1110" s="62"/>
      <c r="Y1110" s="62"/>
      <c r="Z1110" s="65"/>
      <c r="AA1110" s="89"/>
      <c r="AB1110" s="120"/>
      <c r="AC1110" s="120"/>
      <c r="AD1110" s="89"/>
      <c r="AE1110" s="89"/>
      <c r="AF1110" s="62"/>
      <c r="AG1110" s="120"/>
      <c r="AH1110" s="120"/>
      <c r="AI1110" s="11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9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9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20"/>
      <c r="E1165" s="120"/>
      <c r="F1165" s="89"/>
      <c r="G1165" s="89"/>
      <c r="H1165" s="62"/>
      <c r="I1165" s="120"/>
      <c r="J1165" s="120"/>
      <c r="K1165" s="119"/>
      <c r="L1165" s="62"/>
      <c r="M1165" s="62"/>
      <c r="N1165" s="65"/>
      <c r="O1165" s="89"/>
      <c r="P1165" s="120"/>
      <c r="Q1165" s="120"/>
      <c r="R1165" s="89"/>
      <c r="S1165" s="89"/>
      <c r="T1165" s="62"/>
      <c r="U1165" s="120"/>
      <c r="V1165" s="120"/>
      <c r="W1165" s="119"/>
      <c r="X1165" s="62"/>
      <c r="Y1165" s="62"/>
      <c r="Z1165" s="65"/>
      <c r="AA1165" s="89"/>
      <c r="AB1165" s="120"/>
      <c r="AC1165" s="120"/>
      <c r="AD1165" s="89"/>
      <c r="AE1165" s="89"/>
      <c r="AF1165" s="62"/>
      <c r="AG1165" s="120"/>
      <c r="AH1165" s="120"/>
      <c r="AI1165" s="11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20"/>
      <c r="E1221" s="120"/>
      <c r="F1221" s="87"/>
      <c r="G1221" s="87"/>
      <c r="H1221" s="62"/>
      <c r="I1221" s="120"/>
      <c r="J1221" s="120"/>
      <c r="K1221" s="119"/>
      <c r="L1221" s="62"/>
      <c r="M1221" s="62"/>
      <c r="N1221" s="65"/>
      <c r="O1221" s="87"/>
      <c r="P1221" s="120"/>
      <c r="Q1221" s="120"/>
      <c r="R1221" s="87"/>
      <c r="S1221" s="87"/>
      <c r="T1221" s="62"/>
      <c r="U1221" s="120"/>
      <c r="V1221" s="120"/>
      <c r="W1221" s="119"/>
      <c r="X1221" s="62"/>
      <c r="Y1221" s="62"/>
      <c r="Z1221" s="65"/>
      <c r="AA1221" s="87"/>
      <c r="AB1221" s="120"/>
      <c r="AC1221" s="120"/>
      <c r="AD1221" s="87"/>
      <c r="AE1221" s="87"/>
      <c r="AF1221" s="62"/>
      <c r="AG1221" s="120"/>
      <c r="AH1221" s="120"/>
      <c r="AI1221" s="11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0"/>
      <c r="E1283" s="120"/>
      <c r="F1283" s="84"/>
      <c r="G1283" s="84"/>
      <c r="H1283" s="62"/>
      <c r="I1283" s="120"/>
      <c r="J1283" s="120"/>
      <c r="K1283" s="119"/>
      <c r="L1283" s="62"/>
      <c r="M1283" s="62"/>
      <c r="N1283" s="65"/>
      <c r="O1283" s="84"/>
      <c r="P1283" s="120"/>
      <c r="Q1283" s="120"/>
      <c r="R1283" s="84"/>
      <c r="S1283" s="84"/>
      <c r="T1283" s="62"/>
      <c r="U1283" s="120"/>
      <c r="V1283" s="120"/>
      <c r="W1283" s="119"/>
      <c r="X1283" s="62"/>
      <c r="Y1283" s="62"/>
      <c r="Z1283" s="65"/>
      <c r="AA1283" s="84"/>
      <c r="AB1283" s="120"/>
      <c r="AC1283" s="120"/>
      <c r="AD1283" s="84"/>
      <c r="AE1283" s="84"/>
      <c r="AF1283" s="62"/>
      <c r="AG1283" s="120"/>
      <c r="AH1283" s="120"/>
      <c r="AI1283" s="11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2025-11-24T00:53:18Z</dcterms:modified>
</cp:coreProperties>
</file>