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7E9E8739-BA7E-4707-9101-222A5F30E68F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897" i="2" l="1"/>
  <c r="AB935" i="2" s="1"/>
  <c r="AB896" i="2"/>
  <c r="AB895" i="2"/>
  <c r="AB894" i="2"/>
  <c r="AB893" i="2"/>
  <c r="AH892" i="2"/>
  <c r="AB892" i="2"/>
  <c r="AE892" i="2"/>
  <c r="AI892" i="2" s="1"/>
  <c r="AA893" i="2"/>
  <c r="AE893" i="2"/>
  <c r="AA894" i="2"/>
  <c r="AA895" i="2" s="1"/>
  <c r="AA896" i="2" s="1"/>
  <c r="AA897" i="2" s="1"/>
  <c r="AE895" i="2"/>
  <c r="AI895" i="2" s="1"/>
  <c r="AE896" i="2"/>
  <c r="AI896" i="2" s="1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 s="1"/>
  <c r="AE903" i="2"/>
  <c r="AI903" i="2"/>
  <c r="AE904" i="2"/>
  <c r="AI904" i="2"/>
  <c r="AE905" i="2"/>
  <c r="AI905" i="2"/>
  <c r="AE906" i="2"/>
  <c r="AI906" i="2"/>
  <c r="AE907" i="2"/>
  <c r="AI907" i="2" s="1"/>
  <c r="AE908" i="2"/>
  <c r="AI908" i="2" s="1"/>
  <c r="AE909" i="2"/>
  <c r="AI909" i="2"/>
  <c r="AE910" i="2"/>
  <c r="AI910" i="2" s="1"/>
  <c r="AE911" i="2"/>
  <c r="AI911" i="2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/>
  <c r="AE918" i="2"/>
  <c r="AI918" i="2" s="1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 s="1"/>
  <c r="AI933" i="2"/>
  <c r="AC935" i="2"/>
  <c r="AD935" i="2"/>
  <c r="AG935" i="2"/>
  <c r="AH935" i="2"/>
  <c r="P920" i="2"/>
  <c r="S920" i="2" s="1"/>
  <c r="W920" i="2" s="1"/>
  <c r="P919" i="2"/>
  <c r="P918" i="2"/>
  <c r="P917" i="2"/>
  <c r="P916" i="2"/>
  <c r="P915" i="2"/>
  <c r="P914" i="2"/>
  <c r="S914" i="2" s="1"/>
  <c r="W914" i="2" s="1"/>
  <c r="P913" i="2"/>
  <c r="S913" i="2" s="1"/>
  <c r="W913" i="2" s="1"/>
  <c r="P912" i="2"/>
  <c r="P911" i="2"/>
  <c r="P910" i="2"/>
  <c r="P909" i="2"/>
  <c r="P908" i="2"/>
  <c r="P907" i="2"/>
  <c r="P906" i="2"/>
  <c r="P905" i="2"/>
  <c r="P904" i="2"/>
  <c r="S904" i="2" s="1"/>
  <c r="W904" i="2" s="1"/>
  <c r="P903" i="2"/>
  <c r="S903" i="2" s="1"/>
  <c r="W903" i="2" s="1"/>
  <c r="P902" i="2"/>
  <c r="P901" i="2"/>
  <c r="S901" i="2" s="1"/>
  <c r="W901" i="2" s="1"/>
  <c r="V900" i="2"/>
  <c r="V935" i="2" s="1"/>
  <c r="P900" i="2"/>
  <c r="S900" i="2" s="1"/>
  <c r="W900" i="2" s="1"/>
  <c r="P899" i="2"/>
  <c r="P898" i="2"/>
  <c r="P897" i="2"/>
  <c r="P896" i="2"/>
  <c r="P895" i="2"/>
  <c r="P894" i="2"/>
  <c r="P893" i="2"/>
  <c r="S893" i="2" s="1"/>
  <c r="W893" i="2" s="1"/>
  <c r="P892" i="2"/>
  <c r="S892" i="2" s="1"/>
  <c r="U935" i="2"/>
  <c r="R935" i="2"/>
  <c r="Q935" i="2"/>
  <c r="W933" i="2"/>
  <c r="S932" i="2"/>
  <c r="W932" i="2" s="1"/>
  <c r="W931" i="2"/>
  <c r="S930" i="2"/>
  <c r="W930" i="2" s="1"/>
  <c r="S929" i="2"/>
  <c r="W929" i="2" s="1"/>
  <c r="W928" i="2"/>
  <c r="S928" i="2"/>
  <c r="S927" i="2"/>
  <c r="W927" i="2" s="1"/>
  <c r="W926" i="2"/>
  <c r="S926" i="2"/>
  <c r="S925" i="2"/>
  <c r="W925" i="2" s="1"/>
  <c r="S924" i="2"/>
  <c r="W924" i="2" s="1"/>
  <c r="S923" i="2"/>
  <c r="W923" i="2" s="1"/>
  <c r="S922" i="2"/>
  <c r="W922" i="2" s="1"/>
  <c r="S921" i="2"/>
  <c r="W921" i="2" s="1"/>
  <c r="S919" i="2"/>
  <c r="W919" i="2" s="1"/>
  <c r="W918" i="2"/>
  <c r="S918" i="2"/>
  <c r="S917" i="2"/>
  <c r="W917" i="2" s="1"/>
  <c r="S916" i="2"/>
  <c r="W916" i="2" s="1"/>
  <c r="S915" i="2"/>
  <c r="W915" i="2" s="1"/>
  <c r="S912" i="2"/>
  <c r="W912" i="2" s="1"/>
  <c r="S911" i="2"/>
  <c r="W911" i="2" s="1"/>
  <c r="S910" i="2"/>
  <c r="W910" i="2" s="1"/>
  <c r="S909" i="2"/>
  <c r="W909" i="2" s="1"/>
  <c r="S908" i="2"/>
  <c r="W908" i="2" s="1"/>
  <c r="S907" i="2"/>
  <c r="W907" i="2" s="1"/>
  <c r="S906" i="2"/>
  <c r="W906" i="2" s="1"/>
  <c r="S905" i="2"/>
  <c r="W905" i="2" s="1"/>
  <c r="S902" i="2"/>
  <c r="W902" i="2" s="1"/>
  <c r="S899" i="2"/>
  <c r="W899" i="2" s="1"/>
  <c r="S898" i="2"/>
  <c r="W898" i="2" s="1"/>
  <c r="S897" i="2"/>
  <c r="W897" i="2" s="1"/>
  <c r="S896" i="2"/>
  <c r="W896" i="2" s="1"/>
  <c r="S895" i="2"/>
  <c r="W895" i="2" s="1"/>
  <c r="S894" i="2"/>
  <c r="W894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D902" i="2"/>
  <c r="G902" i="2" s="1"/>
  <c r="K902" i="2" s="1"/>
  <c r="D901" i="2"/>
  <c r="D900" i="2"/>
  <c r="D899" i="2"/>
  <c r="G899" i="2" s="1"/>
  <c r="K899" i="2" s="1"/>
  <c r="D898" i="2"/>
  <c r="G898" i="2" s="1"/>
  <c r="K898" i="2" s="1"/>
  <c r="D897" i="2"/>
  <c r="G897" i="2" s="1"/>
  <c r="K897" i="2" s="1"/>
  <c r="I896" i="2"/>
  <c r="I935" i="2" s="1"/>
  <c r="D896" i="2"/>
  <c r="G896" i="2" s="1"/>
  <c r="D895" i="2"/>
  <c r="G895" i="2" s="1"/>
  <c r="K895" i="2" s="1"/>
  <c r="D894" i="2"/>
  <c r="D893" i="2"/>
  <c r="G893" i="2" s="1"/>
  <c r="K893" i="2" s="1"/>
  <c r="D892" i="2"/>
  <c r="C896" i="2"/>
  <c r="C897" i="2" s="1"/>
  <c r="C898" i="2" s="1"/>
  <c r="C899" i="2" s="1"/>
  <c r="C900" i="2" s="1"/>
  <c r="C901" i="2" s="1"/>
  <c r="C902" i="2" s="1"/>
  <c r="G892" i="2"/>
  <c r="K892" i="2" s="1"/>
  <c r="C894" i="2"/>
  <c r="G894" i="2"/>
  <c r="K894" i="2"/>
  <c r="G900" i="2"/>
  <c r="K900" i="2"/>
  <c r="G901" i="2"/>
  <c r="K901" i="2"/>
  <c r="G903" i="2"/>
  <c r="K903" i="2"/>
  <c r="G904" i="2"/>
  <c r="K904" i="2"/>
  <c r="G905" i="2"/>
  <c r="K905" i="2" s="1"/>
  <c r="G906" i="2"/>
  <c r="K906" i="2" s="1"/>
  <c r="G907" i="2"/>
  <c r="K907" i="2"/>
  <c r="G908" i="2"/>
  <c r="K908" i="2" s="1"/>
  <c r="G909" i="2"/>
  <c r="K909" i="2" s="1"/>
  <c r="G910" i="2"/>
  <c r="K910" i="2" s="1"/>
  <c r="G911" i="2"/>
  <c r="K911" i="2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J935" i="2"/>
  <c r="AI893" i="2" l="1"/>
  <c r="AE894" i="2"/>
  <c r="AI894" i="2" s="1"/>
  <c r="S935" i="2"/>
  <c r="W892" i="2"/>
  <c r="W935" i="2" s="1"/>
  <c r="P935" i="2"/>
  <c r="K896" i="2"/>
  <c r="D935" i="2"/>
  <c r="K935" i="2"/>
  <c r="G935" i="2"/>
  <c r="AH846" i="2"/>
  <c r="AB846" i="2"/>
  <c r="AE846" i="2" s="1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B839" i="2"/>
  <c r="AB838" i="2"/>
  <c r="AE838" i="2" s="1"/>
  <c r="AI838" i="2" s="1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9" i="2"/>
  <c r="AI839" i="2"/>
  <c r="AE840" i="2"/>
  <c r="AI840" i="2"/>
  <c r="AE843" i="2"/>
  <c r="AI843" i="2" s="1"/>
  <c r="AE847" i="2"/>
  <c r="AI847" i="2" s="1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/>
  <c r="AE854" i="2"/>
  <c r="AI854" i="2" s="1"/>
  <c r="AE855" i="2"/>
  <c r="AI855" i="2" s="1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/>
  <c r="AE862" i="2"/>
  <c r="AI862" i="2" s="1"/>
  <c r="AE863" i="2"/>
  <c r="AI863" i="2" s="1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/>
  <c r="AE870" i="2"/>
  <c r="AI870" i="2" s="1"/>
  <c r="AE871" i="2"/>
  <c r="AI871" i="2" s="1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AG880" i="2"/>
  <c r="AH880" i="2"/>
  <c r="D839" i="2"/>
  <c r="D838" i="2"/>
  <c r="D837" i="2"/>
  <c r="G837" i="2" s="1"/>
  <c r="K837" i="2" s="1"/>
  <c r="J880" i="2"/>
  <c r="C838" i="2"/>
  <c r="C839" i="2" s="1"/>
  <c r="G838" i="2"/>
  <c r="G839" i="2"/>
  <c r="K839" i="2" s="1"/>
  <c r="G841" i="2"/>
  <c r="K841" i="2" s="1"/>
  <c r="G842" i="2"/>
  <c r="K842" i="2" s="1"/>
  <c r="G843" i="2"/>
  <c r="K843" i="2" s="1"/>
  <c r="G844" i="2"/>
  <c r="K844" i="2" s="1"/>
  <c r="G845" i="2"/>
  <c r="K845" i="2"/>
  <c r="G846" i="2"/>
  <c r="K846" i="2"/>
  <c r="G847" i="2"/>
  <c r="K847" i="2" s="1"/>
  <c r="G848" i="2"/>
  <c r="K848" i="2"/>
  <c r="G849" i="2"/>
  <c r="K849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 s="1"/>
  <c r="G856" i="2"/>
  <c r="K856" i="2"/>
  <c r="G857" i="2"/>
  <c r="K857" i="2" s="1"/>
  <c r="G858" i="2"/>
  <c r="K858" i="2" s="1"/>
  <c r="G859" i="2"/>
  <c r="K859" i="2" s="1"/>
  <c r="G860" i="2"/>
  <c r="K860" i="2" s="1"/>
  <c r="G861" i="2"/>
  <c r="K861" i="2"/>
  <c r="G862" i="2"/>
  <c r="K862" i="2"/>
  <c r="G863" i="2"/>
  <c r="K863" i="2" s="1"/>
  <c r="G864" i="2"/>
  <c r="K864" i="2"/>
  <c r="G865" i="2"/>
  <c r="K865" i="2" s="1"/>
  <c r="G866" i="2"/>
  <c r="K866" i="2" s="1"/>
  <c r="G867" i="2"/>
  <c r="K867" i="2" s="1"/>
  <c r="G868" i="2"/>
  <c r="K868" i="2" s="1"/>
  <c r="G869" i="2"/>
  <c r="K869" i="2"/>
  <c r="G870" i="2"/>
  <c r="K870" i="2"/>
  <c r="G877" i="2"/>
  <c r="K877" i="2" s="1"/>
  <c r="E880" i="2"/>
  <c r="F880" i="2"/>
  <c r="I880" i="2"/>
  <c r="AI935" i="2" l="1"/>
  <c r="AE935" i="2"/>
  <c r="AI846" i="2"/>
  <c r="AB880" i="2"/>
  <c r="AE880" i="2"/>
  <c r="AI880" i="2"/>
  <c r="D880" i="2"/>
  <c r="K838" i="2"/>
  <c r="G840" i="2"/>
  <c r="K840" i="2" s="1"/>
  <c r="K880" i="2" s="1"/>
  <c r="AB791" i="2"/>
  <c r="AB790" i="2"/>
  <c r="AB789" i="2"/>
  <c r="AB788" i="2"/>
  <c r="AE788" i="2" s="1"/>
  <c r="AI788" i="2" s="1"/>
  <c r="AB787" i="2"/>
  <c r="AB786" i="2"/>
  <c r="AE786" i="2" s="1"/>
  <c r="AI786" i="2" s="1"/>
  <c r="AB785" i="2"/>
  <c r="AB784" i="2"/>
  <c r="AE784" i="2" s="1"/>
  <c r="AI784" i="2" s="1"/>
  <c r="AB783" i="2"/>
  <c r="AE783" i="2" s="1"/>
  <c r="AI783" i="2" s="1"/>
  <c r="AB782" i="2"/>
  <c r="AA786" i="2"/>
  <c r="AA787" i="2"/>
  <c r="AA788" i="2"/>
  <c r="AA789" i="2"/>
  <c r="AA790" i="2"/>
  <c r="AA791" i="2"/>
  <c r="AE782" i="2"/>
  <c r="AI782" i="2" s="1"/>
  <c r="AH825" i="2"/>
  <c r="AA783" i="2"/>
  <c r="AG825" i="2"/>
  <c r="AA784" i="2"/>
  <c r="AA785" i="2"/>
  <c r="AE785" i="2"/>
  <c r="AE787" i="2"/>
  <c r="AI787" i="2" s="1"/>
  <c r="AE789" i="2"/>
  <c r="AI789" i="2" s="1"/>
  <c r="AE790" i="2"/>
  <c r="AI790" i="2" s="1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 s="1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D786" i="2"/>
  <c r="G786" i="2" s="1"/>
  <c r="K786" i="2" s="1"/>
  <c r="D785" i="2"/>
  <c r="D784" i="2"/>
  <c r="D783" i="2"/>
  <c r="D825" i="2" s="1"/>
  <c r="J782" i="2"/>
  <c r="J825" i="2" s="1"/>
  <c r="D782" i="2"/>
  <c r="G782" i="2"/>
  <c r="C783" i="2"/>
  <c r="C784" i="2"/>
  <c r="C785" i="2" s="1"/>
  <c r="C786" i="2" s="1"/>
  <c r="C787" i="2" s="1"/>
  <c r="G784" i="2"/>
  <c r="K784" i="2" s="1"/>
  <c r="G785" i="2"/>
  <c r="K785" i="2" s="1"/>
  <c r="G787" i="2"/>
  <c r="K787" i="2" s="1"/>
  <c r="G788" i="2"/>
  <c r="K788" i="2"/>
  <c r="G789" i="2"/>
  <c r="K789" i="2" s="1"/>
  <c r="G790" i="2"/>
  <c r="K790" i="2" s="1"/>
  <c r="G791" i="2"/>
  <c r="K791" i="2" s="1"/>
  <c r="G792" i="2"/>
  <c r="K792" i="2"/>
  <c r="G793" i="2"/>
  <c r="K793" i="2" s="1"/>
  <c r="G794" i="2"/>
  <c r="K794" i="2"/>
  <c r="G795" i="2"/>
  <c r="K795" i="2"/>
  <c r="G796" i="2"/>
  <c r="K796" i="2"/>
  <c r="G797" i="2"/>
  <c r="K797" i="2" s="1"/>
  <c r="G798" i="2"/>
  <c r="K798" i="2"/>
  <c r="G799" i="2"/>
  <c r="K799" i="2"/>
  <c r="G800" i="2"/>
  <c r="K800" i="2" s="1"/>
  <c r="G801" i="2"/>
  <c r="K801" i="2"/>
  <c r="G802" i="2"/>
  <c r="K802" i="2" s="1"/>
  <c r="G803" i="2"/>
  <c r="K803" i="2"/>
  <c r="G804" i="2"/>
  <c r="K804" i="2" s="1"/>
  <c r="G805" i="2"/>
  <c r="K805" i="2"/>
  <c r="G806" i="2"/>
  <c r="K806" i="2" s="1"/>
  <c r="G807" i="2"/>
  <c r="K807" i="2"/>
  <c r="G808" i="2"/>
  <c r="K808" i="2" s="1"/>
  <c r="G809" i="2"/>
  <c r="K809" i="2" s="1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 s="1"/>
  <c r="E825" i="2"/>
  <c r="F825" i="2"/>
  <c r="I825" i="2"/>
  <c r="P784" i="2"/>
  <c r="S784" i="2" s="1"/>
  <c r="W784" i="2" s="1"/>
  <c r="P783" i="2"/>
  <c r="V782" i="2"/>
  <c r="P782" i="2"/>
  <c r="S782" i="2"/>
  <c r="U825" i="2"/>
  <c r="O783" i="2"/>
  <c r="O784" i="2" s="1"/>
  <c r="S783" i="2"/>
  <c r="W783" i="2" s="1"/>
  <c r="S785" i="2"/>
  <c r="W785" i="2" s="1"/>
  <c r="S786" i="2"/>
  <c r="W786" i="2" s="1"/>
  <c r="S787" i="2"/>
  <c r="W787" i="2"/>
  <c r="S788" i="2"/>
  <c r="W788" i="2" s="1"/>
  <c r="S789" i="2"/>
  <c r="W789" i="2"/>
  <c r="S790" i="2"/>
  <c r="W790" i="2" s="1"/>
  <c r="S791" i="2"/>
  <c r="W791" i="2"/>
  <c r="S792" i="2"/>
  <c r="W792" i="2"/>
  <c r="S793" i="2"/>
  <c r="W793" i="2" s="1"/>
  <c r="S794" i="2"/>
  <c r="W794" i="2"/>
  <c r="S795" i="2"/>
  <c r="W795" i="2"/>
  <c r="S796" i="2"/>
  <c r="W796" i="2"/>
  <c r="S797" i="2"/>
  <c r="W797" i="2" s="1"/>
  <c r="S798" i="2"/>
  <c r="W798" i="2" s="1"/>
  <c r="S799" i="2"/>
  <c r="W799" i="2"/>
  <c r="S800" i="2"/>
  <c r="W800" i="2"/>
  <c r="S801" i="2"/>
  <c r="W801" i="2" s="1"/>
  <c r="S802" i="2"/>
  <c r="W802" i="2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/>
  <c r="S819" i="2"/>
  <c r="W819" i="2"/>
  <c r="S820" i="2"/>
  <c r="W820" i="2"/>
  <c r="W821" i="2"/>
  <c r="S822" i="2"/>
  <c r="W822" i="2"/>
  <c r="W823" i="2"/>
  <c r="Q825" i="2"/>
  <c r="R825" i="2"/>
  <c r="V825" i="2"/>
  <c r="G880" i="2" l="1"/>
  <c r="AI785" i="2"/>
  <c r="AE825" i="2"/>
  <c r="AI825" i="2"/>
  <c r="AB825" i="2"/>
  <c r="G783" i="2"/>
  <c r="K782" i="2"/>
  <c r="G825" i="2"/>
  <c r="K783" i="2"/>
  <c r="K825" i="2" s="1"/>
  <c r="P825" i="2"/>
  <c r="S825" i="2"/>
  <c r="W782" i="2"/>
  <c r="W825" i="2" s="1"/>
  <c r="AB730" i="2"/>
  <c r="AB729" i="2"/>
  <c r="AG728" i="2"/>
  <c r="AG770" i="2" s="1"/>
  <c r="AB728" i="2"/>
  <c r="AH727" i="2"/>
  <c r="AH770" i="2" s="1"/>
  <c r="AG727" i="2"/>
  <c r="AB727" i="2"/>
  <c r="AB770" i="2" s="1"/>
  <c r="AA728" i="2"/>
  <c r="AE728" i="2"/>
  <c r="AA729" i="2"/>
  <c r="AA730" i="2" s="1"/>
  <c r="AE729" i="2"/>
  <c r="AI729" i="2" s="1"/>
  <c r="AE730" i="2"/>
  <c r="AI730" i="2" s="1"/>
  <c r="AE731" i="2"/>
  <c r="AI731" i="2" s="1"/>
  <c r="AE732" i="2"/>
  <c r="AI732" i="2"/>
  <c r="AE733" i="2"/>
  <c r="AI733" i="2" s="1"/>
  <c r="AE734" i="2"/>
  <c r="AI734" i="2"/>
  <c r="AE735" i="2"/>
  <c r="AI735" i="2" s="1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P733" i="2"/>
  <c r="S733" i="2" s="1"/>
  <c r="W733" i="2" s="1"/>
  <c r="P732" i="2"/>
  <c r="S732" i="2" s="1"/>
  <c r="W732" i="2" s="1"/>
  <c r="P731" i="2"/>
  <c r="S731" i="2" s="1"/>
  <c r="W731" i="2" s="1"/>
  <c r="P730" i="2"/>
  <c r="U729" i="2"/>
  <c r="S729" i="2"/>
  <c r="W729" i="2" s="1"/>
  <c r="P728" i="2"/>
  <c r="V727" i="2"/>
  <c r="V770" i="2" s="1"/>
  <c r="U727" i="2"/>
  <c r="P727" i="2"/>
  <c r="O728" i="2"/>
  <c r="O729" i="2" s="1"/>
  <c r="O730" i="2" s="1"/>
  <c r="O731" i="2" s="1"/>
  <c r="O732" i="2" s="1"/>
  <c r="O733" i="2" s="1"/>
  <c r="S728" i="2"/>
  <c r="W728" i="2" s="1"/>
  <c r="S730" i="2"/>
  <c r="W730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 s="1"/>
  <c r="S743" i="2"/>
  <c r="W743" i="2"/>
  <c r="S744" i="2"/>
  <c r="W744" i="2" s="1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 s="1"/>
  <c r="S759" i="2"/>
  <c r="W759" i="2"/>
  <c r="S760" i="2"/>
  <c r="W760" i="2" s="1"/>
  <c r="S761" i="2"/>
  <c r="W761" i="2"/>
  <c r="S762" i="2"/>
  <c r="W762" i="2" s="1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D748" i="2"/>
  <c r="D747" i="2"/>
  <c r="G747" i="2" s="1"/>
  <c r="K747" i="2" s="1"/>
  <c r="D746" i="2"/>
  <c r="G746" i="2"/>
  <c r="K746" i="2" s="1"/>
  <c r="D745" i="2"/>
  <c r="G745" i="2" s="1"/>
  <c r="K745" i="2" s="1"/>
  <c r="D744" i="2"/>
  <c r="G744" i="2" s="1"/>
  <c r="K744" i="2" s="1"/>
  <c r="D743" i="2"/>
  <c r="G743" i="2" s="1"/>
  <c r="K743" i="2" s="1"/>
  <c r="D742" i="2"/>
  <c r="G742" i="2" s="1"/>
  <c r="K742" i="2" s="1"/>
  <c r="D741" i="2"/>
  <c r="G741" i="2" s="1"/>
  <c r="K741" i="2" s="1"/>
  <c r="D740" i="2"/>
  <c r="D739" i="2"/>
  <c r="D738" i="2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D731" i="2"/>
  <c r="G731" i="2" s="1"/>
  <c r="K731" i="2" s="1"/>
  <c r="D730" i="2"/>
  <c r="G730" i="2" s="1"/>
  <c r="K730" i="2" s="1"/>
  <c r="D729" i="2"/>
  <c r="G729" i="2" s="1"/>
  <c r="K729" i="2" s="1"/>
  <c r="D728" i="2"/>
  <c r="G728" i="2" s="1"/>
  <c r="K728" i="2" s="1"/>
  <c r="D727" i="2"/>
  <c r="G727" i="2"/>
  <c r="K727" i="2" s="1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G732" i="2"/>
  <c r="K732" i="2" s="1"/>
  <c r="G736" i="2"/>
  <c r="K736" i="2" s="1"/>
  <c r="G738" i="2"/>
  <c r="K738" i="2"/>
  <c r="G739" i="2"/>
  <c r="K739" i="2" s="1"/>
  <c r="G740" i="2"/>
  <c r="K740" i="2" s="1"/>
  <c r="G748" i="2"/>
  <c r="K748" i="2" s="1"/>
  <c r="G749" i="2"/>
  <c r="K749" i="2"/>
  <c r="G750" i="2"/>
  <c r="K750" i="2"/>
  <c r="G751" i="2"/>
  <c r="K751" i="2"/>
  <c r="G752" i="2"/>
  <c r="K752" i="2"/>
  <c r="G753" i="2"/>
  <c r="K753" i="2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/>
  <c r="E770" i="2"/>
  <c r="F770" i="2"/>
  <c r="I770" i="2"/>
  <c r="J770" i="2"/>
  <c r="AI728" i="2" l="1"/>
  <c r="AE727" i="2"/>
  <c r="AI727" i="2" s="1"/>
  <c r="AI770" i="2" s="1"/>
  <c r="AE770" i="2"/>
  <c r="U770" i="2"/>
  <c r="P770" i="2"/>
  <c r="S727" i="2"/>
  <c r="W727" i="2" s="1"/>
  <c r="W770" i="2" s="1"/>
  <c r="D770" i="2"/>
  <c r="G770" i="2"/>
  <c r="K770" i="2"/>
  <c r="AB675" i="2"/>
  <c r="AB674" i="2"/>
  <c r="AE674" i="2" s="1"/>
  <c r="AI674" i="2" s="1"/>
  <c r="AB673" i="2"/>
  <c r="AB672" i="2"/>
  <c r="AE672" i="2"/>
  <c r="AI672" i="2" s="1"/>
  <c r="AA673" i="2"/>
  <c r="AE673" i="2"/>
  <c r="AI673" i="2" s="1"/>
  <c r="AA674" i="2"/>
  <c r="AA675" i="2" s="1"/>
  <c r="AE675" i="2"/>
  <c r="AI675" i="2" s="1"/>
  <c r="AE676" i="2"/>
  <c r="AI676" i="2"/>
  <c r="AE677" i="2"/>
  <c r="AI677" i="2" s="1"/>
  <c r="AE678" i="2"/>
  <c r="AI678" i="2"/>
  <c r="AE679" i="2"/>
  <c r="AI679" i="2"/>
  <c r="AE680" i="2"/>
  <c r="AI680" i="2"/>
  <c r="AE681" i="2"/>
  <c r="AI681" i="2" s="1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 s="1"/>
  <c r="AI713" i="2"/>
  <c r="AC715" i="2"/>
  <c r="AD715" i="2"/>
  <c r="AG715" i="2"/>
  <c r="AH715" i="2"/>
  <c r="P692" i="2"/>
  <c r="S692" i="2" s="1"/>
  <c r="W692" i="2" s="1"/>
  <c r="P691" i="2"/>
  <c r="S691" i="2" s="1"/>
  <c r="W691" i="2" s="1"/>
  <c r="P690" i="2"/>
  <c r="S690" i="2" s="1"/>
  <c r="W690" i="2" s="1"/>
  <c r="P689" i="2"/>
  <c r="S689" i="2" s="1"/>
  <c r="W689" i="2" s="1"/>
  <c r="P688" i="2"/>
  <c r="P687" i="2"/>
  <c r="P686" i="2"/>
  <c r="P685" i="2"/>
  <c r="P684" i="2"/>
  <c r="S684" i="2" s="1"/>
  <c r="W684" i="2" s="1"/>
  <c r="P683" i="2"/>
  <c r="P682" i="2"/>
  <c r="P681" i="2"/>
  <c r="S681" i="2" s="1"/>
  <c r="W681" i="2" s="1"/>
  <c r="P680" i="2"/>
  <c r="S680" i="2" s="1"/>
  <c r="W680" i="2" s="1"/>
  <c r="P679" i="2"/>
  <c r="S679" i="2" s="1"/>
  <c r="W679" i="2" s="1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P672" i="2"/>
  <c r="S672" i="2" s="1"/>
  <c r="O676" i="2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V715" i="2"/>
  <c r="U715" i="2"/>
  <c r="R715" i="2"/>
  <c r="Q715" i="2"/>
  <c r="W713" i="2"/>
  <c r="W712" i="2"/>
  <c r="S712" i="2"/>
  <c r="W711" i="2"/>
  <c r="S710" i="2"/>
  <c r="W710" i="2" s="1"/>
  <c r="W709" i="2"/>
  <c r="S709" i="2"/>
  <c r="W708" i="2"/>
  <c r="S708" i="2"/>
  <c r="S707" i="2"/>
  <c r="W707" i="2" s="1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88" i="2"/>
  <c r="W688" i="2" s="1"/>
  <c r="S687" i="2"/>
  <c r="W687" i="2" s="1"/>
  <c r="S686" i="2"/>
  <c r="W686" i="2" s="1"/>
  <c r="S685" i="2"/>
  <c r="W685" i="2" s="1"/>
  <c r="S683" i="2"/>
  <c r="W683" i="2" s="1"/>
  <c r="S682" i="2"/>
  <c r="W682" i="2" s="1"/>
  <c r="S675" i="2"/>
  <c r="W675" i="2" s="1"/>
  <c r="S674" i="2"/>
  <c r="W674" i="2" s="1"/>
  <c r="S673" i="2"/>
  <c r="W673" i="2" s="1"/>
  <c r="O673" i="2"/>
  <c r="O674" i="2" s="1"/>
  <c r="O675" i="2" s="1"/>
  <c r="D687" i="2"/>
  <c r="G687" i="2"/>
  <c r="K687" i="2" s="1"/>
  <c r="I686" i="2"/>
  <c r="D686" i="2"/>
  <c r="D685" i="2"/>
  <c r="G685" i="2" s="1"/>
  <c r="K685" i="2" s="1"/>
  <c r="D684" i="2"/>
  <c r="G684" i="2" s="1"/>
  <c r="K684" i="2" s="1"/>
  <c r="D683" i="2"/>
  <c r="D682" i="2"/>
  <c r="G682" i="2" s="1"/>
  <c r="K682" i="2" s="1"/>
  <c r="D681" i="2"/>
  <c r="D680" i="2"/>
  <c r="G680" i="2" s="1"/>
  <c r="K680" i="2" s="1"/>
  <c r="D679" i="2"/>
  <c r="D678" i="2"/>
  <c r="G678" i="2" s="1"/>
  <c r="K678" i="2" s="1"/>
  <c r="D677" i="2"/>
  <c r="D676" i="2"/>
  <c r="D675" i="2"/>
  <c r="D674" i="2"/>
  <c r="G674" i="2" s="1"/>
  <c r="K674" i="2" s="1"/>
  <c r="D673" i="2"/>
  <c r="D672" i="2"/>
  <c r="G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G673" i="2"/>
  <c r="K673" i="2" s="1"/>
  <c r="G675" i="2"/>
  <c r="K675" i="2" s="1"/>
  <c r="G676" i="2"/>
  <c r="K676" i="2" s="1"/>
  <c r="G677" i="2"/>
  <c r="K677" i="2" s="1"/>
  <c r="G679" i="2"/>
  <c r="K679" i="2"/>
  <c r="G681" i="2"/>
  <c r="K681" i="2" s="1"/>
  <c r="G683" i="2"/>
  <c r="K683" i="2" s="1"/>
  <c r="G686" i="2"/>
  <c r="K686" i="2" s="1"/>
  <c r="G688" i="2"/>
  <c r="K688" i="2" s="1"/>
  <c r="G689" i="2"/>
  <c r="K689" i="2" s="1"/>
  <c r="G690" i="2"/>
  <c r="K690" i="2" s="1"/>
  <c r="G691" i="2"/>
  <c r="K691" i="2"/>
  <c r="G692" i="2"/>
  <c r="K692" i="2" s="1"/>
  <c r="G693" i="2"/>
  <c r="K693" i="2" s="1"/>
  <c r="G694" i="2"/>
  <c r="K694" i="2" s="1"/>
  <c r="G695" i="2"/>
  <c r="K695" i="2"/>
  <c r="G696" i="2"/>
  <c r="K696" i="2"/>
  <c r="G697" i="2"/>
  <c r="K697" i="2"/>
  <c r="G698" i="2"/>
  <c r="K698" i="2" s="1"/>
  <c r="G699" i="2"/>
  <c r="K699" i="2"/>
  <c r="G700" i="2"/>
  <c r="K700" i="2" s="1"/>
  <c r="G701" i="2"/>
  <c r="K701" i="2"/>
  <c r="G702" i="2"/>
  <c r="K702" i="2" s="1"/>
  <c r="G703" i="2"/>
  <c r="K703" i="2"/>
  <c r="G704" i="2"/>
  <c r="K704" i="2"/>
  <c r="G705" i="2"/>
  <c r="K705" i="2"/>
  <c r="G712" i="2"/>
  <c r="K712" i="2" s="1"/>
  <c r="E715" i="2"/>
  <c r="F715" i="2"/>
  <c r="I715" i="2"/>
  <c r="J715" i="2"/>
  <c r="S770" i="2" l="1"/>
  <c r="AE715" i="2"/>
  <c r="AB715" i="2"/>
  <c r="AI715" i="2"/>
  <c r="S715" i="2"/>
  <c r="W672" i="2"/>
  <c r="W715" i="2" s="1"/>
  <c r="P715" i="2"/>
  <c r="K672" i="2"/>
  <c r="K715" i="2" s="1"/>
  <c r="G715" i="2"/>
  <c r="D715" i="2"/>
  <c r="AB620" i="2"/>
  <c r="AG619" i="2"/>
  <c r="AI619" i="2" s="1"/>
  <c r="AB619" i="2"/>
  <c r="AB618" i="2"/>
  <c r="AE618" i="2" s="1"/>
  <c r="AI618" i="2" s="1"/>
  <c r="AB617" i="2"/>
  <c r="AE617" i="2"/>
  <c r="AA618" i="2"/>
  <c r="AA619" i="2"/>
  <c r="AA620" i="2" s="1"/>
  <c r="AE619" i="2"/>
  <c r="AE620" i="2"/>
  <c r="AI620" i="2"/>
  <c r="AE621" i="2"/>
  <c r="AI621" i="2" s="1"/>
  <c r="AE622" i="2"/>
  <c r="AI622" i="2" s="1"/>
  <c r="AE623" i="2"/>
  <c r="AI623" i="2" s="1"/>
  <c r="AE624" i="2"/>
  <c r="AI624" i="2" s="1"/>
  <c r="AE625" i="2"/>
  <c r="AI625" i="2"/>
  <c r="AE626" i="2"/>
  <c r="AI626" i="2"/>
  <c r="AE627" i="2"/>
  <c r="AI627" i="2"/>
  <c r="AE628" i="2"/>
  <c r="AI628" i="2"/>
  <c r="AE629" i="2"/>
  <c r="AI629" i="2"/>
  <c r="AE630" i="2"/>
  <c r="AI630" i="2" s="1"/>
  <c r="AE631" i="2"/>
  <c r="AI631" i="2" s="1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 s="1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 s="1"/>
  <c r="AE648" i="2"/>
  <c r="AI648" i="2"/>
  <c r="AE649" i="2"/>
  <c r="AI649" i="2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 s="1"/>
  <c r="AI656" i="2"/>
  <c r="AE657" i="2"/>
  <c r="AI657" i="2"/>
  <c r="AI658" i="2"/>
  <c r="AC660" i="2"/>
  <c r="AD660" i="2"/>
  <c r="AG660" i="2"/>
  <c r="AH660" i="2"/>
  <c r="D639" i="2"/>
  <c r="G639" i="2" s="1"/>
  <c r="K639" i="2" s="1"/>
  <c r="D638" i="2"/>
  <c r="D637" i="2"/>
  <c r="D636" i="2"/>
  <c r="D635" i="2"/>
  <c r="G635" i="2" s="1"/>
  <c r="K635" i="2" s="1"/>
  <c r="D634" i="2"/>
  <c r="G634" i="2" s="1"/>
  <c r="K634" i="2" s="1"/>
  <c r="D633" i="2"/>
  <c r="G633" i="2" s="1"/>
  <c r="K633" i="2" s="1"/>
  <c r="D632" i="2"/>
  <c r="D631" i="2"/>
  <c r="G631" i="2" s="1"/>
  <c r="K631" i="2" s="1"/>
  <c r="D630" i="2"/>
  <c r="D629" i="2"/>
  <c r="G629" i="2" s="1"/>
  <c r="K629" i="2" s="1"/>
  <c r="D628" i="2"/>
  <c r="D627" i="2"/>
  <c r="G627" i="2" s="1"/>
  <c r="K627" i="2" s="1"/>
  <c r="D626" i="2"/>
  <c r="D625" i="2"/>
  <c r="G625" i="2" s="1"/>
  <c r="K625" i="2" s="1"/>
  <c r="D624" i="2"/>
  <c r="G624" i="2" s="1"/>
  <c r="K624" i="2" s="1"/>
  <c r="J623" i="2"/>
  <c r="D623" i="2"/>
  <c r="D622" i="2"/>
  <c r="G622" i="2" s="1"/>
  <c r="K622" i="2" s="1"/>
  <c r="D621" i="2"/>
  <c r="G621" i="2" s="1"/>
  <c r="K621" i="2" s="1"/>
  <c r="D620" i="2"/>
  <c r="G620" i="2" s="1"/>
  <c r="K620" i="2" s="1"/>
  <c r="D619" i="2"/>
  <c r="D618" i="2"/>
  <c r="D617" i="2"/>
  <c r="C630" i="2"/>
  <c r="C631" i="2" s="1"/>
  <c r="C632" i="2" s="1"/>
  <c r="C633" i="2" s="1"/>
  <c r="C634" i="2" s="1"/>
  <c r="C635" i="2" s="1"/>
  <c r="C636" i="2" s="1"/>
  <c r="C637" i="2" s="1"/>
  <c r="C638" i="2" s="1"/>
  <c r="C639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G618" i="2"/>
  <c r="K618" i="2" s="1"/>
  <c r="G619" i="2"/>
  <c r="K619" i="2" s="1"/>
  <c r="G623" i="2"/>
  <c r="K623" i="2"/>
  <c r="G626" i="2"/>
  <c r="K626" i="2" s="1"/>
  <c r="G628" i="2"/>
  <c r="K628" i="2"/>
  <c r="G630" i="2"/>
  <c r="K630" i="2" s="1"/>
  <c r="G632" i="2"/>
  <c r="K632" i="2"/>
  <c r="G636" i="2"/>
  <c r="K636" i="2" s="1"/>
  <c r="G637" i="2"/>
  <c r="K637" i="2" s="1"/>
  <c r="G638" i="2"/>
  <c r="K638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 s="1"/>
  <c r="G646" i="2"/>
  <c r="K646" i="2"/>
  <c r="G647" i="2"/>
  <c r="K647" i="2"/>
  <c r="G648" i="2"/>
  <c r="K648" i="2"/>
  <c r="G649" i="2"/>
  <c r="K649" i="2"/>
  <c r="G650" i="2"/>
  <c r="K650" i="2"/>
  <c r="G657" i="2"/>
  <c r="K657" i="2"/>
  <c r="E660" i="2"/>
  <c r="F660" i="2"/>
  <c r="I660" i="2"/>
  <c r="J660" i="2"/>
  <c r="AE660" i="2" l="1"/>
  <c r="AI617" i="2"/>
  <c r="AI660" i="2" s="1"/>
  <c r="AB660" i="2"/>
  <c r="D660" i="2"/>
  <c r="G617" i="2"/>
  <c r="G660" i="2"/>
  <c r="K617" i="2"/>
  <c r="K660" i="2" s="1"/>
  <c r="AB564" i="2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8" i="1"/>
  <c r="D37" i="1"/>
  <c r="D34" i="1"/>
  <c r="D33" i="1"/>
  <c r="D31" i="1"/>
  <c r="D10" i="1"/>
  <c r="D16" i="1" l="1"/>
  <c r="D17" i="1"/>
  <c r="J19" i="1"/>
  <c r="D19" i="1" s="1"/>
  <c r="J31" i="1"/>
  <c r="J38" i="1"/>
  <c r="J33" i="1" l="1"/>
  <c r="J34" i="1"/>
  <c r="J26" i="1"/>
  <c r="D26" i="1" s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charset val="1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  <comment ref="C617" authorId="0" shapeId="0" xr:uid="{75A40C84-6280-41D6-AEC6-6AE60C9C5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</t>
        </r>
      </text>
    </comment>
    <comment ref="AA617" authorId="0" shapeId="0" xr:uid="{E86ADD32-55ED-457E-AD20-248DD6842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18" authorId="0" shapeId="0" xr:uid="{FB1EEDC2-1AFE-40D9-B22A-3255CFF4D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VARIETY STORE
DENOYAN, SIAYAN</t>
        </r>
      </text>
    </comment>
    <comment ref="AA618" authorId="0" shapeId="0" xr:uid="{1B74BC02-E304-44FD-8EA5-272FF0FBFC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06F6484-E013-4DC2-84CE-5A243D9DF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619" authorId="0" shapeId="0" xr:uid="{B122CA3F-C883-4013-B6D1-151244F24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C620" authorId="0" shapeId="0" xr:uid="{0B0C2BB3-8D08-4995-902B-E6E5FEFFFF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AA620" authorId="0" shapeId="0" xr:uid="{4D6809C8-7C5E-4845-AF70-57971599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621" authorId="0" shapeId="0" xr:uid="{08AA27EF-6236-4D43-8BB4-BC40E1385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CENYAS
DAGAO, SIAYAN</t>
        </r>
      </text>
    </comment>
    <comment ref="C622" authorId="0" shapeId="0" xr:uid="{E41ED3F5-9FC2-4B79-AD9C-96DE0A98A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MINIMART
POB, SIAYAN</t>
        </r>
      </text>
    </comment>
    <comment ref="C623" authorId="0" shapeId="0" xr:uid="{3C444309-AB51-426C-9823-14CF975C3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24" authorId="0" shapeId="0" xr:uid="{3E5E0032-E69D-446F-895D-BCE5F759E8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POB, SIAYAN</t>
        </r>
      </text>
    </comment>
    <comment ref="C625" authorId="0" shapeId="0" xr:uid="{0C5E28BE-D79C-405E-B157-0AB3E9AB3D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GUILLERMO CAMILLION
GULAYON, SIAYAN</t>
        </r>
      </text>
    </comment>
    <comment ref="C626" authorId="0" shapeId="0" xr:uid="{9C1B7AEF-4C9E-49F5-A9C2-112C34736473}">
      <text>
        <r>
          <rPr>
            <b/>
            <sz val="9"/>
            <color indexed="81"/>
            <rFont val="Tahoma"/>
            <charset val="1"/>
          </rPr>
          <t>User:</t>
        </r>
      </text>
    </comment>
    <comment ref="C627" authorId="0" shapeId="0" xr:uid="{06842642-F649-4E99-9F08-047041579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LAGAG, SINDANGAN</t>
        </r>
      </text>
    </comment>
    <comment ref="C628" authorId="0" shapeId="0" xr:uid="{3243600D-6ABB-4A69-B5E5-38D97673A9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 CATUBAY
UPPER DENOYAN, SIAYAN</t>
        </r>
      </text>
    </comment>
    <comment ref="C629" authorId="0" shapeId="0" xr:uid="{B0A66CA9-9861-4DD3-8F62-D0616C3B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
GOLEO, SINDANGAN</t>
        </r>
      </text>
    </comment>
    <comment ref="C630" authorId="0" shapeId="0" xr:uid="{12474F36-223A-4F36-A3B7-510A58A3F1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631" authorId="0" shapeId="0" xr:uid="{B8E3575E-D744-447B-B6B7-1C9B32E9F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632" authorId="0" shapeId="0" xr:uid="{CF70D185-12EC-4F25-B7B5-0CFB22653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633" authorId="0" shapeId="0" xr:uid="{506469E5-87E3-468B-90E9-2EFFEC8F0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RHIN STORE
LAGAG, SINDANGAN</t>
        </r>
      </text>
    </comment>
    <comment ref="C634" authorId="0" shapeId="0" xr:uid="{31DCE6F6-94EF-4473-BCAA-520959DABD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
POB, SINDANGAN</t>
        </r>
      </text>
    </comment>
    <comment ref="C635" authorId="0" shapeId="0" xr:uid="{75208F79-740B-4A42-8F35-AD6DDF29CB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636" authorId="0" shapeId="0" xr:uid="{4B733348-3A11-45ED-B038-4BBF449B34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GOLEO, SINDANGAN</t>
        </r>
      </text>
    </comment>
    <comment ref="C637" authorId="0" shapeId="0" xr:uid="{0DC63C88-30A2-4C4E-9F81-3508D78E4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638" authorId="0" shapeId="0" xr:uid="{7A0D8F30-58C7-444F-82D0-B0D85D6066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TAMBAYAN
GOLEO, SINDANGAN</t>
        </r>
      </text>
    </comment>
    <comment ref="C639" authorId="0" shapeId="0" xr:uid="{BBA957CB-1D65-4BB7-A3DA-E72F70C3E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672" authorId="0" shapeId="0" xr:uid="{0FBD1BE1-B750-4E44-8BC5-73B4E7C8D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72" authorId="0" shapeId="0" xr:uid="{9497EA82-51D2-498A-A0B1-31484E8252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2" authorId="0" shapeId="0" xr:uid="{D9AB004B-A4F5-4FB9-946C-24450B07E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673" authorId="0" shapeId="0" xr:uid="{53149491-5E0F-4B7E-9682-EB0135424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3" authorId="0" shapeId="0" xr:uid="{CEBA9B69-550E-4C3D-A73B-417272327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673" authorId="0" shapeId="0" xr:uid="{2BC28B2E-A464-42E3-B656-961642FE4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674" authorId="0" shapeId="0" xr:uid="{982E5045-25DD-4893-BB8E-000AFB613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4" authorId="0" shapeId="0" xr:uid="{3316CEF8-7B07-44C1-B84B-9D5F63C85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674" authorId="0" shapeId="0" xr:uid="{FAAF02D1-E55D-4167-856F-FFE827F142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675" authorId="0" shapeId="0" xr:uid="{BEDA45BA-C5E4-4FD7-B692-4C88DD555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675" authorId="0" shapeId="0" xr:uid="{2DC472FA-2E2C-4853-8FBD-A394D0ACF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INUMAN, SINDANGAN</t>
        </r>
      </text>
    </comment>
    <comment ref="AA675" authorId="0" shapeId="0" xr:uid="{DD86621F-51AD-4154-B03C-50AE1030C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676" authorId="0" shapeId="0" xr:uid="{448D4315-6A5C-4238-9E48-18B5BD3EC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676" authorId="0" shapeId="0" xr:uid="{07A61FC5-7633-4CBC-BB21-9F33BEFAA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677" authorId="0" shapeId="0" xr:uid="{541CC2A5-FE9E-48F6-B371-77821B04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77" authorId="0" shapeId="0" xr:uid="{1E6BA5D1-A5F3-412D-AB18-BD4EA5BAB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C678" authorId="0" shapeId="0" xr:uid="{419DFE2E-BE0B-46D4-9F8D-4B7F911A9E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678" authorId="0" shapeId="0" xr:uid="{53557B60-37CB-452A-B0AC-976E5E83A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SAMBANG STORE
POB, BACUNGAN</t>
        </r>
      </text>
    </comment>
    <comment ref="C679" authorId="0" shapeId="0" xr:uid="{C103F2FE-0CAB-4359-9C21-11513FABE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9" authorId="0" shapeId="0" xr:uid="{C6CB8D4B-28B1-4AB8-AD34-FAFAD51DF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DALUGDOG STORE
POB, BACUNGAN</t>
        </r>
      </text>
    </comment>
    <comment ref="C680" authorId="0" shapeId="0" xr:uid="{961458CE-E301-434F-A5A1-F7F52F0D4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0" authorId="0" shapeId="0" xr:uid="{E3B1CAC5-0409-4BB0-91B9-F83C54F61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RITCHEL YOSORES
TALINGA, BACUNGAN</t>
        </r>
      </text>
    </comment>
    <comment ref="C681" authorId="0" shapeId="0" xr:uid="{F276AB55-3202-4105-8191-B208DF7CEB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1" authorId="0" shapeId="0" xr:uid="{FBEC1148-5768-43BB-B842-0EC4FB036C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C682" authorId="0" shapeId="0" xr:uid="{5209083B-2CD3-4211-8C92-87FAB4F70A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O682" authorId="0" shapeId="0" xr:uid="{870DCD8B-6C3E-48F5-AD40-5250CBA0D2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C683" authorId="0" shapeId="0" xr:uid="{AC43A754-87B5-41B4-A86E-1503AF6D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683" authorId="0" shapeId="0" xr:uid="{1C325E2C-26BC-47C0-8C11-99C963AE2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COSEP'S
TALINGA, BACUNGAN</t>
        </r>
      </text>
    </comment>
    <comment ref="C684" authorId="0" shapeId="0" xr:uid="{816A2C0C-FF86-4E1B-A190-9DC7542B5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684" authorId="0" shapeId="0" xr:uid="{602E51C0-E743-4FD5-913B-85CA7ACA6D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DEL ROSARIO
TALINGA, SINDANGAN</t>
        </r>
      </text>
    </comment>
    <comment ref="C685" authorId="0" shapeId="0" xr:uid="{1247D059-CF48-469C-B2BA-F742715B5F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ROLDAN GRAPA
MUÑOZ SIAYAN</t>
        </r>
      </text>
    </comment>
    <comment ref="O685" authorId="0" shapeId="0" xr:uid="{4FEACBF4-4C18-440A-959B-86997A78D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686" authorId="0" shapeId="0" xr:uid="{0E01AEDB-BE54-47A0-9B28-E6364E62B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
DISUD, SINDANGAN</t>
        </r>
      </text>
    </comment>
    <comment ref="O686" authorId="0" shapeId="0" xr:uid="{268EE2CE-0CD1-447F-B73E-4B35FBA459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EBBALES STORE
MARAS, SINDANGAN</t>
        </r>
      </text>
    </comment>
    <comment ref="C687" authorId="0" shapeId="0" xr:uid="{608FDB77-37B8-4B3A-94D0-0C1761FB0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687" authorId="0" shapeId="0" xr:uid="{B3D65D7B-0A7F-4BA1-ACDA-0DB745BCBC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D VALLECER STORE
MARAS, SINDANGAN</t>
        </r>
      </text>
    </comment>
    <comment ref="O688" authorId="0" shapeId="0" xr:uid="{33897A83-C61A-47AF-93CC-2EBE7722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O689" authorId="0" shapeId="0" xr:uid="{53E23B71-3056-4E5E-854A-2CE16FD12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 NENE
MITCHEL ALERIA
MARAS, SINDANGAN</t>
        </r>
      </text>
    </comment>
    <comment ref="O690" authorId="0" shapeId="0" xr:uid="{4335D034-D475-452C-8691-2B9133EBD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O691" authorId="0" shapeId="0" xr:uid="{03D693AA-7EDC-46C7-9978-4212BB89B8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 ALERIA
MARAS, SINDANGAN</t>
        </r>
      </text>
    </comment>
    <comment ref="O692" authorId="0" shapeId="0" xr:uid="{C133C525-232F-40D9-96F8-5684FBA0D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C727" authorId="0" shapeId="0" xr:uid="{3A347152-70A4-4841-9457-5AC9DEB87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727" authorId="0" shapeId="0" xr:uid="{DA4A7FDD-CC14-4355-9BCD-A0AE862BD2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27" authorId="0" shapeId="0" xr:uid="{34E4F50C-30E5-473E-BC0B-F2E53F64B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28" authorId="0" shapeId="0" xr:uid="{E96A2B44-669A-47ED-8F96-5B7BB05091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8" authorId="0" shapeId="0" xr:uid="{4095F76A-D250-4418-97A1-522D4225D6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728" authorId="0" shapeId="0" xr:uid="{53146F5D-CD46-402B-95DF-2FE3876FE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729" authorId="0" shapeId="0" xr:uid="{8516F86B-D608-4894-9940-2325CB9D5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29" authorId="0" shapeId="0" xr:uid="{B79AF20C-09B3-4955-8B1A-EF9B17EA1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729" authorId="0" shapeId="0" xr:uid="{5F9DE7CC-2A86-4DC8-BB55-5F81DE9F9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527F476C-4625-4233-AEF3-6F1C969EA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DEGURO
BALOK, SINDANGAN</t>
        </r>
      </text>
    </comment>
    <comment ref="O730" authorId="0" shapeId="0" xr:uid="{A12047B7-83E1-4DEA-89CA-1AE021A325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</t>
        </r>
      </text>
    </comment>
    <comment ref="AA730" authorId="0" shapeId="0" xr:uid="{B638ECE3-2D64-4CC9-ADFA-03650771BC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731" authorId="0" shapeId="0" xr:uid="{23299AFF-0421-4F04-B0B6-0AA58D0F0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31" authorId="0" shapeId="0" xr:uid="{0764A197-F799-42EA-8A35-690991EFA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732" authorId="0" shapeId="0" xr:uid="{F46D4438-3FBF-492E-B1F5-F76168D66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732" authorId="0" shapeId="0" xr:uid="{9DF7C83C-50B0-44F7-A154-D8C0C082DD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GAHUMAN
GOLEO, SINDANGAN</t>
        </r>
      </text>
    </comment>
    <comment ref="C733" authorId="0" shapeId="0" xr:uid="{B0819510-AC74-4863-8EA1-CC3C5070F3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733" authorId="0" shapeId="0" xr:uid="{0BD053A1-3871-43DF-8A5D-67580A3FD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734" authorId="0" shapeId="0" xr:uid="{941DA856-904B-454E-9E7A-6EF47F7C8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35" authorId="0" shapeId="0" xr:uid="{A0F334EA-2DC9-4BD0-9024-9F6A88D57D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C736" authorId="0" shapeId="0" xr:uid="{3BA77620-AEBC-45E0-942E-76EAD9BE0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37" authorId="0" shapeId="0" xr:uid="{2E811C72-C88A-46E5-842A-350B6EED8C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SWERTE STORE
POB, SIAYAN</t>
        </r>
      </text>
    </comment>
    <comment ref="C738" authorId="0" shapeId="0" xr:uid="{59217F26-D058-465B-A035-484D4E451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739" authorId="0" shapeId="0" xr:uid="{D798532E-582D-4E2B-9133-B27C56F77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40" authorId="0" shapeId="0" xr:uid="{921EE587-4AE9-47B2-8DD9-3DA5B675DA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41" authorId="0" shapeId="0" xr:uid="{AC285787-72FA-4A1D-B3B9-0FF8E4F755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742" authorId="0" shapeId="0" xr:uid="{AD5C80BC-59A6-496A-9189-A66A705C9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MAVEL FAYE VARIETY STORE
GAVIOLA
DAGAO, SIAYAN</t>
        </r>
      </text>
    </comment>
    <comment ref="C743" authorId="0" shapeId="0" xr:uid="{22FF852E-24A5-488F-9EF2-14540CBD5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PANNILYAN
DENOYAN, SIAYAN</t>
        </r>
      </text>
    </comment>
    <comment ref="C744" authorId="0" shapeId="0" xr:uid="{4598F405-1F13-40C6-882C-1E50328C9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745" authorId="0" shapeId="0" xr:uid="{1FE127E9-ED67-4E45-A1B2-3AAB2BE36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ANSACON STORE
DENOYAN, SIAYAN</t>
        </r>
      </text>
    </comment>
    <comment ref="C746" authorId="0" shapeId="0" xr:uid="{757F360B-240F-4A5D-89E5-AB334DE48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747" authorId="0" shapeId="0" xr:uid="{E3F2CBBF-0180-4BC4-A46A-3408E3589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MAGWATE
LAGAG, SINDANGAN</t>
        </r>
      </text>
    </comment>
    <comment ref="C748" authorId="0" shapeId="0" xr:uid="{AED7F497-4A1F-4AC1-A583-3C2F93A08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JOVENZ PASMO TA ANI
PIAO, SINDANGAN</t>
        </r>
      </text>
    </comment>
    <comment ref="C782" authorId="0" shapeId="0" xr:uid="{42D807A8-5598-41FD-B63F-370F4BDCB2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782" authorId="0" shapeId="0" xr:uid="{7990E9BE-1ACC-4A85-B25A-6F9D45DB8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 STORE
POB, BACUNGAN</t>
        </r>
      </text>
    </comment>
    <comment ref="AA782" authorId="0" shapeId="0" xr:uid="{18EF61E8-E40F-4028-8C38-DA603F1597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783" authorId="0" shapeId="0" xr:uid="{4AA09BA4-9746-4145-9536-648DA5A49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83" authorId="0" shapeId="0" xr:uid="{03052F22-6099-44EA-A65E-ACF858D88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3JM STORE
POB, BACUNGAN</t>
        </r>
      </text>
    </comment>
    <comment ref="AA783" authorId="0" shapeId="0" xr:uid="{68B608F4-365E-46C0-9B26-71BE4B21E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BOBBY TUANDA
POB, GODOD</t>
        </r>
      </text>
    </comment>
    <comment ref="C784" authorId="0" shapeId="0" xr:uid="{9BA7E10A-6F4D-4775-B56B-9D010F7197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784" authorId="0" shapeId="0" xr:uid="{3360E811-B753-4B6A-B377-3EDB3BA87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RUTEDELS VILLA
TALINGA, SINDANGAN</t>
        </r>
      </text>
    </comment>
    <comment ref="AA784" authorId="0" shapeId="0" xr:uid="{941DF968-F2BF-49C7-B06D-4F18E6BCC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KILAT
POB, GODOD</t>
        </r>
      </text>
    </comment>
    <comment ref="C785" authorId="0" shapeId="0" xr:uid="{5DF0C334-DF6C-4F96-AA1C-6E94691DC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 / IVY OMOS
LABAKID, SINDANGAN</t>
        </r>
      </text>
    </comment>
    <comment ref="AA785" authorId="0" shapeId="0" xr:uid="{0F06A8EE-A2D7-44CD-BD1A-B7AE268FA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EMBOL STORE
POB, GODOD</t>
        </r>
      </text>
    </comment>
    <comment ref="C786" authorId="0" shapeId="0" xr:uid="{F872A7EE-A5BD-4F76-B610-D4B577C4D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86" authorId="0" shapeId="0" xr:uid="{C984143B-04E8-44A2-8254-8416E7509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EMELINDA GALLEPOSO
POB, GODOD</t>
        </r>
      </text>
    </comment>
    <comment ref="C787" authorId="0" shapeId="0" xr:uid="{3ACC405D-BB60-4E9A-A4C9-35598FB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787" authorId="0" shapeId="0" xr:uid="{57CE643A-D2A9-4087-8DFC-01BB4CA2EF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SAGUIN FLORIFE
POB, GODOD</t>
        </r>
      </text>
    </comment>
    <comment ref="AA788" authorId="0" shapeId="0" xr:uid="{5B3FB131-A468-4734-B069-1E5A2DBAEE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RENELYN ALBIOT
POB, GODOD</t>
        </r>
      </text>
    </comment>
    <comment ref="AA789" authorId="0" shapeId="0" xr:uid="{F433B776-787D-4E05-9A02-962FBB5E7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PARTOSA, EMILY
POB, GODOD</t>
        </r>
      </text>
    </comment>
    <comment ref="AA790" authorId="0" shapeId="0" xr:uid="{8DBE4E61-A1F9-41A5-8FBC-B1076B5F8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SALAGOSTE
MAUSWAGON, GODOD</t>
        </r>
      </text>
    </comment>
    <comment ref="AA791" authorId="0" shapeId="0" xr:uid="{D4ED7F15-0959-49D7-8A6E-D772381009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TUMARONG STORE
BINONI, SALUG</t>
        </r>
      </text>
    </comment>
    <comment ref="C837" authorId="0" shapeId="0" xr:uid="{8A1E22E2-73F2-4C04-A228-6D052FD698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ELUMBRE STORE
POB, SIAYAN</t>
        </r>
      </text>
    </comment>
    <comment ref="AA837" authorId="0" shapeId="0" xr:uid="{F1DB9359-4424-4638-9DD2-6D96E22D3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SHELLA GUIBANG-GUIBANG
KAYOK, LILOY
</t>
        </r>
      </text>
    </comment>
    <comment ref="C838" authorId="0" shapeId="0" xr:uid="{87C02571-087C-4EBF-9564-78A3981E77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838" authorId="0" shapeId="0" xr:uid="{80EC5A56-0AC0-48FB-91B9-75E21C214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41ABAD0B-0F8D-48EA-8BD7-546FD0BDD9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AA839" authorId="0" shapeId="0" xr:uid="{223BBEDF-3178-43C3-B234-4F1514F0C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 / LILOY COCKPIT
VILLA SUDIACAL LILOY</t>
        </r>
      </text>
    </comment>
    <comment ref="AA840" authorId="0" shapeId="0" xr:uid="{6FDEAAE1-633F-4C5E-8EBF-B26AEB65D0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VIVAN GAMALE / LILOY COCKPIT
VILLA SUCIDAL, LILOY</t>
        </r>
      </text>
    </comment>
    <comment ref="AA841" authorId="0" shapeId="0" xr:uid="{BC318A6E-A680-4609-B5A4-5B3D6DD87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AA842" authorId="0" shapeId="0" xr:uid="{3948B855-4F9E-4A20-8A25-2A28505B0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HAJAN, ANALIZA
BAYBAY, LILOY</t>
        </r>
      </text>
    </comment>
    <comment ref="AA843" authorId="0" shapeId="0" xr:uid="{3AEF4C0F-1135-4DC0-B933-1BDAA9ED4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BALASUELA / RESAN VIP
BAYBAY, LILOY</t>
        </r>
      </text>
    </comment>
    <comment ref="AA844" authorId="0" shapeId="0" xr:uid="{FF2EA9CD-1E25-45D0-B329-495C24886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845" authorId="0" shapeId="0" xr:uid="{0D5DA44E-A7F7-455F-8838-7D0019220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AA846" authorId="0" shapeId="0" xr:uid="{B372F0C0-AC8E-4596-9792-830201CDCC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892" authorId="0" shapeId="0" xr:uid="{3A1EA89A-7778-4D20-B86D-940B3EBCC0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892" authorId="0" shapeId="0" xr:uid="{1AFB1315-4257-44AE-89B4-DEAD04F7F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AA892" authorId="0" shapeId="0" xr:uid="{F9CA9C9A-3476-471E-9183-56046FE96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893" authorId="0" shapeId="0" xr:uid="{0537328E-971F-4770-BE14-A0C65FFC61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893" authorId="0" shapeId="0" xr:uid="{E3337DE1-6175-41E4-A79B-BF31375D63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893" authorId="0" shapeId="0" xr:uid="{5B3E0110-E202-427D-AE6D-5CDFA2DB1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C894" authorId="0" shapeId="0" xr:uid="{8B02624C-B8E6-4FE7-B88D-01A2E12842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894" authorId="0" shapeId="0" xr:uid="{223E9BC0-0F57-41E2-B51A-B877DA0D71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BOGABONGAN, BACUNGAN</t>
        </r>
      </text>
    </comment>
    <comment ref="AA894" authorId="0" shapeId="0" xr:uid="{395FBFAB-37D4-4D53-BDA8-FD7B61A91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895" authorId="0" shapeId="0" xr:uid="{2D21E8A3-D19F-4A8F-AD33-96579B6636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NELIA
DAPAON, SINDANGAN</t>
        </r>
      </text>
    </comment>
    <comment ref="O895" authorId="0" shapeId="0" xr:uid="{CFDE481C-9AB8-48B2-BB27-5872EE6571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VELASCO
BOGABONGAN, BACUNGAN</t>
        </r>
      </text>
    </comment>
    <comment ref="AA895" authorId="0" shapeId="0" xr:uid="{2E124C41-9EA0-48A0-A19B-2497C586AC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C896" authorId="0" shapeId="0" xr:uid="{EBC178C2-E39E-4B51-8225-8626EF214C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KIM ESQUADRO
RM, SINDANGAN</t>
        </r>
      </text>
    </comment>
    <comment ref="O896" authorId="0" shapeId="0" xr:uid="{E3D925AC-2FD2-4FBA-A772-E19787CDD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896" authorId="0" shapeId="0" xr:uid="{4F588020-5AC6-4AFD-83F5-B520AFF265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HAIDEN STORE
MUCAS, SALUG</t>
        </r>
      </text>
    </comment>
    <comment ref="C897" authorId="0" shapeId="0" xr:uid="{E7BCD0BA-7258-46F5-8639-1788577C63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897" authorId="0" shapeId="0" xr:uid="{C2248125-2A91-49FC-8678-E519AC1D03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</t>
        </r>
      </text>
    </comment>
    <comment ref="AA897" authorId="0" shapeId="0" xr:uid="{8D51D51A-1BCD-4043-BE11-576F369FA7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SALEH SABDANI
MUCAS, SALUG</t>
        </r>
      </text>
    </comment>
    <comment ref="C898" authorId="0" shapeId="0" xr:uid="{F4E1B468-18BF-4B0D-BC23-54BB5F8F5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</t>
        </r>
      </text>
    </comment>
    <comment ref="O898" authorId="0" shapeId="0" xr:uid="{EDF0EBB7-FD0D-4FE5-834B-CEBE83874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STORE
BOGABONGAN, BACUNGAN</t>
        </r>
      </text>
    </comment>
    <comment ref="C899" authorId="0" shapeId="0" xr:uid="{756DCAEA-23E3-47BC-BE50-FD946D515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899" authorId="0" shapeId="0" xr:uid="{47533BF6-1390-4C24-8DBB-32BBE152A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DURAN
BOGABONGAN, BACUNGAN</t>
        </r>
      </text>
    </comment>
    <comment ref="C900" authorId="0" shapeId="0" xr:uid="{CE6A31A7-6538-4CFD-9375-97D063CF5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900" authorId="0" shapeId="0" xr:uid="{0E4DF935-E278-462C-B60B-8B6DE0A256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DIVINA
PALANDOK, BACUNGAN</t>
        </r>
      </text>
    </comment>
    <comment ref="C901" authorId="0" shapeId="0" xr:uid="{8778D896-4058-4588-A81F-36A99B72F2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901" authorId="0" shapeId="0" xr:uid="{638AAF22-C9EA-4FFD-AE8E-809295B513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C902" authorId="0" shapeId="0" xr:uid="{77D5E91C-019E-4A6F-9B23-21A15A9A21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902" authorId="0" shapeId="0" xr:uid="{B37F0120-92B2-4BF0-AEC3-D2D6B72CD1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O903" authorId="0" shapeId="0" xr:uid="{50716A1C-180D-4F5B-9E99-0CF98B5F5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O904" authorId="0" shapeId="0" xr:uid="{737FF0F9-6B52-4CEB-91E4-4EE1EBB90F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
RM, SALUG</t>
        </r>
      </text>
    </comment>
    <comment ref="O905" authorId="0" shapeId="0" xr:uid="{B9E4CE23-5BAD-4A64-80E1-2A369C4653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O906" authorId="0" shapeId="0" xr:uid="{E8D637EC-796E-4802-A409-B97CC9A0F3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907" authorId="0" shapeId="0" xr:uid="{FEEDEDAE-EC95-4B00-840D-6E9D12774A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BACUNGAN</t>
        </r>
      </text>
    </comment>
    <comment ref="O908" authorId="0" shapeId="0" xr:uid="{62825329-B9E3-4B53-9C3A-B29BED0A44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PALANDOK, BACUNGAN</t>
        </r>
      </text>
    </comment>
    <comment ref="O909" authorId="0" shapeId="0" xr:uid="{4C371322-A1BD-440C-9E91-22A014337A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O910" authorId="0" shapeId="0" xr:uid="{98A310B5-64AD-4D39-AF3D-7048C7C96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911" authorId="0" shapeId="0" xr:uid="{D3769454-19D9-4BCD-A418-666AB42C6A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ANGAN STORE
POB, BACUNGAN</t>
        </r>
      </text>
    </comment>
    <comment ref="O912" authorId="0" shapeId="0" xr:uid="{ACEB2E0C-3064-4574-961D-62FE0F2E26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LIMBANG STORE
TALINGA, BACUNGAN</t>
        </r>
      </text>
    </comment>
    <comment ref="O913" authorId="0" shapeId="0" xr:uid="{78EEE9EC-B722-45CA-AA02-AB12BF783F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
TALINGA, BACUNGAN</t>
        </r>
      </text>
    </comment>
    <comment ref="O914" authorId="0" shapeId="0" xr:uid="{2B4FED4D-70A8-4E2D-B684-A45A9744B5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LIRAH SAPAL
TALINGA, BACUNGAN</t>
        </r>
      </text>
    </comment>
    <comment ref="O915" authorId="0" shapeId="0" xr:uid="{07225B13-2F27-48BF-A06F-9DDF38B8E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916" authorId="0" shapeId="0" xr:uid="{0B65E804-7DEF-46A3-915E-75DCAEC741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917" authorId="0" shapeId="0" xr:uid="{26779C3D-00AD-48E4-B22A-BF47F36703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918" authorId="0" shapeId="0" xr:uid="{B9AB0EEE-0564-4602-BEED-2709E54DCF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919" authorId="0" shapeId="0" xr:uid="{077CEF9E-34B8-4AA1-88E8-DE781592E0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ARACELIE
MANDIH, SINDANGAN</t>
        </r>
      </text>
    </comment>
    <comment ref="O920" authorId="0" shapeId="0" xr:uid="{0ECB285E-270A-4156-BE68-8A10F7D4E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</commentList>
</comments>
</file>

<file path=xl/sharedStrings.xml><?xml version="1.0" encoding="utf-8"?>
<sst xmlns="http://schemas.openxmlformats.org/spreadsheetml/2006/main" count="1243" uniqueCount="89">
  <si>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</si>
  <si>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</si>
  <si>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</si>
  <si>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</si>
  <si>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</si>
  <si>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</si>
  <si>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</si>
  <si>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</si>
  <si>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</si>
  <si>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</si>
  <si>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</si>
  <si>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</si>
  <si>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</si>
  <si>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</si>
  <si>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</si>
  <si>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</si>
  <si>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</si>
  <si>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</si>
  <si>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</si>
  <si>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</si>
  <si>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</si>
  <si>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</si>
  <si>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</si>
  <si>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</si>
  <si>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</si>
  <si>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</si>
  <si>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</si>
  <si>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</si>
  <si>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</si>
  <si>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</si>
  <si>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</si>
  <si>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</si>
  <si>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</si>
  <si>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</si>
  <si>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</si>
  <si>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</si>
  <si>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</si>
  <si>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</si>
  <si>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</si>
  <si>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</si>
  <si>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</si>
  <si>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</si>
  <si>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</si>
  <si>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</si>
  <si>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</si>
  <si>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</si>
  <si>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</si>
  <si>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</si>
  <si>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</si>
  <si>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</si>
  <si>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</si>
  <si>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</si>
  <si>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</si>
  <si>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</si>
  <si>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</si>
  <si>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</si>
  <si>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</si>
  <si>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</si>
  <si>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</si>
  <si>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</si>
  <si>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</si>
  <si>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</si>
  <si>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</si>
  <si>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</si>
  <si>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</si>
  <si>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</si>
  <si>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</si>
  <si>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</si>
  <si>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</si>
  <si>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</si>
  <si>
    <t>NOVEMBER 15, 2025</t>
  </si>
  <si>
    <t>11/15/2025</t>
  </si>
  <si>
    <t>GICA, GRACE B.</t>
  </si>
  <si>
    <t>7089-7100,7180-7190//7129-7132</t>
  </si>
  <si>
    <t>NOVEMBER 17, 2025</t>
  </si>
  <si>
    <t>11/17/2025</t>
  </si>
  <si>
    <t>7251-7266/7191-7211/7133-7136</t>
  </si>
  <si>
    <t>NOVEMBER 18, 2025</t>
  </si>
  <si>
    <t>11/18/2025</t>
  </si>
  <si>
    <t>7268-7289/7212-7218/7137-7140</t>
  </si>
  <si>
    <t>NOVEMBER 19, 2025</t>
  </si>
  <si>
    <t>11/19/2025</t>
  </si>
  <si>
    <t>7290-7295/7220-7222/7141-7150</t>
  </si>
  <si>
    <t>NOVEMBER 20, 2025</t>
  </si>
  <si>
    <t>11/20/2025</t>
  </si>
  <si>
    <t>7296-7298//7301-7310</t>
  </si>
  <si>
    <t>NOVEMBER 21, 2025</t>
  </si>
  <si>
    <t>11/21/2025</t>
  </si>
  <si>
    <t>7267,7299-7300,7351-7358/7223-7250,7401/7311-7316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</si>
</sst>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4" fontId="0" fillId="0" borderId="1" xfId="1" applyNumberFormat="1" applyFont="1" applyBorder="1"/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C31" sqref="C3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8" t="s">
        <v>36</v>
      </c>
      <c r="B6" s="10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 t="s">
        <v>73</v>
      </c>
      <c r="D24" s="16">
        <f t="shared" si="3"/>
        <v>587925</v>
      </c>
      <c r="F24" s="14">
        <v>153544</v>
      </c>
      <c r="G24" s="14"/>
      <c r="H24" s="14">
        <v>434381</v>
      </c>
      <c r="I24" s="14"/>
      <c r="J24" s="17">
        <f t="shared" si="1"/>
        <v>587925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 t="s">
        <v>76</v>
      </c>
      <c r="D26" s="16">
        <f t="shared" ref="D26:D31" si="4">J26</f>
        <v>441656</v>
      </c>
      <c r="F26" s="14">
        <v>183127.5</v>
      </c>
      <c r="G26" s="14">
        <v>129134.5</v>
      </c>
      <c r="H26" s="14">
        <v>129394</v>
      </c>
      <c r="I26" s="14"/>
      <c r="J26" s="17">
        <f t="shared" si="1"/>
        <v>441656</v>
      </c>
    </row>
    <row r="27" spans="1:10" x14ac:dyDescent="0.25">
      <c r="A27" s="10">
        <f t="shared" si="2"/>
        <v>18</v>
      </c>
      <c r="B27" s="43" t="s">
        <v>8</v>
      </c>
      <c r="C27" s="12" t="s">
        <v>79</v>
      </c>
      <c r="D27" s="16">
        <f t="shared" si="4"/>
        <v>698945</v>
      </c>
      <c r="F27" s="14">
        <v>180919</v>
      </c>
      <c r="G27" s="14">
        <v>145476</v>
      </c>
      <c r="H27" s="14">
        <v>372550</v>
      </c>
      <c r="I27" s="14"/>
      <c r="J27" s="17">
        <f t="shared" si="1"/>
        <v>698945</v>
      </c>
    </row>
    <row r="28" spans="1:10" x14ac:dyDescent="0.25">
      <c r="A28" s="10">
        <f t="shared" si="2"/>
        <v>19</v>
      </c>
      <c r="B28" s="56" t="s">
        <v>9</v>
      </c>
      <c r="C28" s="12" t="s">
        <v>82</v>
      </c>
      <c r="D28" s="16">
        <f t="shared" si="4"/>
        <v>542273.5</v>
      </c>
      <c r="F28" s="14">
        <v>221629.5</v>
      </c>
      <c r="G28" s="14">
        <v>176974</v>
      </c>
      <c r="H28" s="14">
        <v>143670</v>
      </c>
      <c r="I28" s="14"/>
      <c r="J28" s="17">
        <f t="shared" si="1"/>
        <v>542273.5</v>
      </c>
    </row>
    <row r="29" spans="1:10" x14ac:dyDescent="0.25">
      <c r="A29" s="10">
        <f t="shared" si="2"/>
        <v>20</v>
      </c>
      <c r="B29" s="11" t="s">
        <v>30</v>
      </c>
      <c r="C29" s="12" t="s">
        <v>85</v>
      </c>
      <c r="D29" s="16">
        <f t="shared" si="4"/>
        <v>387136.5</v>
      </c>
      <c r="F29" s="14">
        <v>130797.5</v>
      </c>
      <c r="G29" s="14"/>
      <c r="H29" s="14">
        <v>256339</v>
      </c>
      <c r="I29" s="14"/>
      <c r="J29" s="17">
        <f t="shared" si="1"/>
        <v>387136.5</v>
      </c>
    </row>
    <row r="30" spans="1:10" x14ac:dyDescent="0.25">
      <c r="A30" s="10">
        <f t="shared" si="2"/>
        <v>21</v>
      </c>
      <c r="B30" s="43" t="s">
        <v>4</v>
      </c>
      <c r="C30" s="119" t="s">
        <v>88</v>
      </c>
      <c r="D30" s="16">
        <f t="shared" si="4"/>
        <v>381712.5</v>
      </c>
      <c r="F30" s="14">
        <v>73574.5</v>
      </c>
      <c r="G30" s="14">
        <v>143034.5</v>
      </c>
      <c r="H30" s="14">
        <v>165103.5</v>
      </c>
      <c r="I30" s="14"/>
      <c r="J30" s="17">
        <f t="shared" si="1"/>
        <v>381712.5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9" t="s">
        <v>10</v>
      </c>
      <c r="B42" s="110"/>
      <c r="C42" s="111"/>
      <c r="D42" s="48">
        <f>SUM(D2:D39)</f>
        <v>9584258</v>
      </c>
      <c r="J42" s="49">
        <f>SUM(J10:J41)</f>
        <v>9584258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888" zoomScaleNormal="100" workbookViewId="0">
      <selection activeCell="AE935" sqref="AE93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8" t="s">
        <v>17</v>
      </c>
      <c r="E10" s="118"/>
      <c r="F10" s="77"/>
      <c r="G10" s="27"/>
      <c r="I10" s="116" t="s">
        <v>18</v>
      </c>
      <c r="J10" s="117"/>
      <c r="K10" s="114" t="s">
        <v>19</v>
      </c>
      <c r="N10" s="25"/>
      <c r="O10" s="26"/>
      <c r="P10" s="118" t="s">
        <v>17</v>
      </c>
      <c r="Q10" s="118"/>
      <c r="R10" s="77"/>
      <c r="S10" s="27"/>
      <c r="U10" s="116" t="s">
        <v>18</v>
      </c>
      <c r="V10" s="117"/>
      <c r="W10" s="114" t="s">
        <v>19</v>
      </c>
      <c r="Z10" s="25"/>
      <c r="AA10" s="26"/>
      <c r="AB10" s="118" t="s">
        <v>17</v>
      </c>
      <c r="AC10" s="118"/>
      <c r="AD10" s="77"/>
      <c r="AE10" s="27"/>
      <c r="AG10" s="116" t="s">
        <v>18</v>
      </c>
      <c r="AH10" s="117"/>
      <c r="AI10" s="114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5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5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5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8" t="s">
        <v>17</v>
      </c>
      <c r="E65" s="118"/>
      <c r="F65" s="92"/>
      <c r="G65" s="27"/>
      <c r="I65" s="116" t="s">
        <v>18</v>
      </c>
      <c r="J65" s="117"/>
      <c r="K65" s="114" t="s">
        <v>19</v>
      </c>
      <c r="N65" s="25"/>
      <c r="O65" s="26"/>
      <c r="P65" s="118" t="s">
        <v>17</v>
      </c>
      <c r="Q65" s="118"/>
      <c r="R65" s="92"/>
      <c r="S65" s="27"/>
      <c r="U65" s="116" t="s">
        <v>18</v>
      </c>
      <c r="V65" s="117"/>
      <c r="W65" s="114" t="s">
        <v>19</v>
      </c>
      <c r="Z65" s="25"/>
      <c r="AA65" s="26"/>
      <c r="AB65" s="118" t="s">
        <v>17</v>
      </c>
      <c r="AC65" s="118"/>
      <c r="AD65" s="92"/>
      <c r="AE65" s="27"/>
      <c r="AG65" s="116" t="s">
        <v>18</v>
      </c>
      <c r="AH65" s="117"/>
      <c r="AI65" s="114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5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5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5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13"/>
      <c r="AO67" s="113"/>
      <c r="AP67" s="87"/>
      <c r="AQ67" s="62"/>
      <c r="AR67" s="113"/>
      <c r="AS67" s="113"/>
      <c r="AT67" s="11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8" t="s">
        <v>17</v>
      </c>
      <c r="E120" s="118"/>
      <c r="F120" s="93"/>
      <c r="G120" s="27"/>
      <c r="I120" s="116" t="s">
        <v>18</v>
      </c>
      <c r="J120" s="117"/>
      <c r="K120" s="114" t="s">
        <v>19</v>
      </c>
      <c r="N120" s="25"/>
      <c r="O120" s="26"/>
      <c r="P120" s="118" t="s">
        <v>17</v>
      </c>
      <c r="Q120" s="118"/>
      <c r="R120" s="93"/>
      <c r="S120" s="27"/>
      <c r="U120" s="116" t="s">
        <v>18</v>
      </c>
      <c r="V120" s="117"/>
      <c r="W120" s="114" t="s">
        <v>19</v>
      </c>
      <c r="Z120" s="25"/>
      <c r="AA120" s="26"/>
      <c r="AB120" s="118" t="s">
        <v>17</v>
      </c>
      <c r="AC120" s="118"/>
      <c r="AD120" s="93"/>
      <c r="AE120" s="27"/>
      <c r="AG120" s="116" t="s">
        <v>18</v>
      </c>
      <c r="AH120" s="117"/>
      <c r="AI120" s="11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5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5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8" t="s">
        <v>17</v>
      </c>
      <c r="E175" s="118"/>
      <c r="F175" s="94"/>
      <c r="G175" s="27"/>
      <c r="I175" s="116" t="s">
        <v>18</v>
      </c>
      <c r="J175" s="117"/>
      <c r="K175" s="114" t="s">
        <v>19</v>
      </c>
      <c r="N175" s="25"/>
      <c r="O175" s="26"/>
      <c r="P175" s="118" t="s">
        <v>17</v>
      </c>
      <c r="Q175" s="118"/>
      <c r="R175" s="94"/>
      <c r="S175" s="27"/>
      <c r="U175" s="116" t="s">
        <v>18</v>
      </c>
      <c r="V175" s="117"/>
      <c r="W175" s="114" t="s">
        <v>19</v>
      </c>
      <c r="Z175" s="25"/>
      <c r="AA175" s="26"/>
      <c r="AB175" s="118" t="s">
        <v>17</v>
      </c>
      <c r="AC175" s="118"/>
      <c r="AD175" s="94"/>
      <c r="AE175" s="27"/>
      <c r="AG175" s="116" t="s">
        <v>18</v>
      </c>
      <c r="AH175" s="117"/>
      <c r="AI175" s="114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5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5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5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13"/>
      <c r="AO181" s="113"/>
      <c r="AP181" s="87"/>
      <c r="AQ181" s="62"/>
      <c r="AR181" s="113"/>
      <c r="AS181" s="113"/>
      <c r="AT181" s="11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8" t="s">
        <v>17</v>
      </c>
      <c r="E230" s="118"/>
      <c r="F230" s="95"/>
      <c r="G230" s="27"/>
      <c r="I230" s="116" t="s">
        <v>18</v>
      </c>
      <c r="J230" s="117"/>
      <c r="K230" s="114" t="s">
        <v>19</v>
      </c>
      <c r="M230" s="62"/>
      <c r="N230" s="65"/>
      <c r="O230" s="89"/>
      <c r="P230" s="113"/>
      <c r="Q230" s="113"/>
      <c r="R230" s="89"/>
      <c r="S230" s="89"/>
      <c r="T230" s="62"/>
      <c r="U230" s="113"/>
      <c r="V230" s="113"/>
      <c r="W230" s="112"/>
      <c r="Z230" s="25"/>
      <c r="AA230" s="26"/>
      <c r="AB230" s="118" t="s">
        <v>17</v>
      </c>
      <c r="AC230" s="118"/>
      <c r="AD230" s="95"/>
      <c r="AE230" s="27"/>
      <c r="AG230" s="116" t="s">
        <v>18</v>
      </c>
      <c r="AH230" s="117"/>
      <c r="AI230" s="11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5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12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8" t="s">
        <v>17</v>
      </c>
      <c r="E285" s="118"/>
      <c r="F285" s="96"/>
      <c r="G285" s="27"/>
      <c r="I285" s="116" t="s">
        <v>18</v>
      </c>
      <c r="J285" s="117"/>
      <c r="K285" s="114" t="s">
        <v>19</v>
      </c>
      <c r="N285" s="25"/>
      <c r="O285" s="26"/>
      <c r="P285" s="118" t="s">
        <v>17</v>
      </c>
      <c r="Q285" s="118"/>
      <c r="R285" s="96"/>
      <c r="S285" s="27"/>
      <c r="U285" s="116" t="s">
        <v>18</v>
      </c>
      <c r="V285" s="117"/>
      <c r="W285" s="114" t="s">
        <v>19</v>
      </c>
      <c r="Z285" s="25"/>
      <c r="AA285" s="26"/>
      <c r="AB285" s="118" t="s">
        <v>17</v>
      </c>
      <c r="AC285" s="118"/>
      <c r="AD285" s="96"/>
      <c r="AE285" s="27"/>
      <c r="AG285" s="116" t="s">
        <v>18</v>
      </c>
      <c r="AH285" s="117"/>
      <c r="AI285" s="11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5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5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8" t="s">
        <v>17</v>
      </c>
      <c r="E340" s="118"/>
      <c r="F340" s="97"/>
      <c r="G340" s="27"/>
      <c r="I340" s="116" t="s">
        <v>18</v>
      </c>
      <c r="J340" s="117"/>
      <c r="K340" s="114" t="s">
        <v>19</v>
      </c>
      <c r="N340" s="25"/>
      <c r="O340" s="26"/>
      <c r="P340" s="118" t="s">
        <v>17</v>
      </c>
      <c r="Q340" s="118"/>
      <c r="R340" s="97"/>
      <c r="S340" s="27"/>
      <c r="U340" s="116" t="s">
        <v>18</v>
      </c>
      <c r="V340" s="117"/>
      <c r="W340" s="114" t="s">
        <v>19</v>
      </c>
      <c r="Z340" s="25"/>
      <c r="AA340" s="26"/>
      <c r="AB340" s="118" t="s">
        <v>17</v>
      </c>
      <c r="AC340" s="118"/>
      <c r="AD340" s="97"/>
      <c r="AE340" s="27"/>
      <c r="AG340" s="116" t="s">
        <v>18</v>
      </c>
      <c r="AH340" s="117"/>
      <c r="AI340" s="11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5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5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8" t="s">
        <v>17</v>
      </c>
      <c r="E395" s="118"/>
      <c r="F395" s="98"/>
      <c r="G395" s="27"/>
      <c r="I395" s="116" t="s">
        <v>18</v>
      </c>
      <c r="J395" s="117"/>
      <c r="K395" s="114" t="s">
        <v>19</v>
      </c>
      <c r="N395" s="25"/>
      <c r="O395" s="26"/>
      <c r="P395" s="118" t="s">
        <v>17</v>
      </c>
      <c r="Q395" s="118"/>
      <c r="R395" s="98"/>
      <c r="S395" s="27"/>
      <c r="U395" s="116" t="s">
        <v>18</v>
      </c>
      <c r="V395" s="117"/>
      <c r="W395" s="114" t="s">
        <v>19</v>
      </c>
      <c r="Z395" s="25"/>
      <c r="AA395" s="26"/>
      <c r="AB395" s="118" t="s">
        <v>17</v>
      </c>
      <c r="AC395" s="118"/>
      <c r="AD395" s="98"/>
      <c r="AE395" s="27"/>
      <c r="AG395" s="116" t="s">
        <v>18</v>
      </c>
      <c r="AH395" s="117"/>
      <c r="AI395" s="11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5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5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8" t="s">
        <v>17</v>
      </c>
      <c r="E450" s="118"/>
      <c r="F450" s="99"/>
      <c r="G450" s="27"/>
      <c r="I450" s="116" t="s">
        <v>18</v>
      </c>
      <c r="J450" s="117"/>
      <c r="K450" s="114" t="s">
        <v>19</v>
      </c>
      <c r="N450" s="25"/>
      <c r="O450" s="26"/>
      <c r="P450" s="118" t="s">
        <v>17</v>
      </c>
      <c r="Q450" s="118"/>
      <c r="R450" s="99"/>
      <c r="S450" s="27"/>
      <c r="U450" s="116" t="s">
        <v>18</v>
      </c>
      <c r="V450" s="117"/>
      <c r="W450" s="114" t="s">
        <v>19</v>
      </c>
      <c r="Z450" s="25"/>
      <c r="AA450" s="26"/>
      <c r="AB450" s="118" t="s">
        <v>17</v>
      </c>
      <c r="AC450" s="118"/>
      <c r="AD450" s="99"/>
      <c r="AE450" s="27"/>
      <c r="AG450" s="116" t="s">
        <v>18</v>
      </c>
      <c r="AH450" s="117"/>
      <c r="AI450" s="11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5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5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1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1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1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1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1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1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1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1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1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1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1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1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1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1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1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1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1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1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1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1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1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1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1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1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1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1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1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13"/>
      <c r="E505" s="113"/>
      <c r="F505" s="89"/>
      <c r="G505" s="89"/>
      <c r="H505" s="62"/>
      <c r="I505" s="113"/>
      <c r="J505" s="113"/>
      <c r="K505" s="112"/>
      <c r="N505" s="25"/>
      <c r="O505" s="26"/>
      <c r="P505" s="118" t="s">
        <v>17</v>
      </c>
      <c r="Q505" s="118"/>
      <c r="R505" s="100"/>
      <c r="S505" s="27"/>
      <c r="U505" s="116" t="s">
        <v>18</v>
      </c>
      <c r="V505" s="117"/>
      <c r="W505" s="114" t="s">
        <v>19</v>
      </c>
      <c r="Z505" s="25"/>
      <c r="AA505" s="26"/>
      <c r="AB505" s="118" t="s">
        <v>17</v>
      </c>
      <c r="AC505" s="118"/>
      <c r="AD505" s="100"/>
      <c r="AE505" s="27"/>
      <c r="AG505" s="116" t="s">
        <v>18</v>
      </c>
      <c r="AH505" s="117"/>
      <c r="AI505" s="114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12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5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5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52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67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8" t="s">
        <v>17</v>
      </c>
      <c r="E560" s="118"/>
      <c r="F560" s="101"/>
      <c r="G560" s="27"/>
      <c r="I560" s="116" t="s">
        <v>18</v>
      </c>
      <c r="J560" s="117"/>
      <c r="K560" s="114" t="s">
        <v>19</v>
      </c>
      <c r="N560" s="25"/>
      <c r="O560" s="26"/>
      <c r="P560" s="118" t="s">
        <v>17</v>
      </c>
      <c r="Q560" s="118"/>
      <c r="R560" s="101"/>
      <c r="S560" s="27"/>
      <c r="U560" s="116" t="s">
        <v>18</v>
      </c>
      <c r="V560" s="117"/>
      <c r="W560" s="114" t="s">
        <v>19</v>
      </c>
      <c r="Z560" s="25"/>
      <c r="AA560" s="26"/>
      <c r="AB560" s="118" t="s">
        <v>17</v>
      </c>
      <c r="AC560" s="118"/>
      <c r="AD560" s="101"/>
      <c r="AE560" s="27"/>
      <c r="AG560" s="116" t="s">
        <v>18</v>
      </c>
      <c r="AH560" s="117"/>
      <c r="AI560" s="11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5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5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5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68</v>
      </c>
      <c r="C562" s="91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68</v>
      </c>
      <c r="C563" s="91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594" si="162">SUM(P563:Q563)</f>
        <v>1271</v>
      </c>
      <c r="T563" s="12"/>
      <c r="U563" s="12"/>
      <c r="V563" s="12"/>
      <c r="W563" s="12">
        <f t="shared" ref="W563:W603" si="163">SUM(S563:V563)</f>
        <v>1271</v>
      </c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0" si="164">SUM(AB563:AC563)</f>
        <v>175156</v>
      </c>
      <c r="AF563" s="12"/>
      <c r="AG563" s="12"/>
      <c r="AH563" s="12"/>
      <c r="AI563" s="12">
        <f t="shared" ref="AI563:AI603" si="165">SUM(AE563:AH563)</f>
        <v>175156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91">
        <f t="shared" ref="C564:C574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M564" s="10">
        <v>3</v>
      </c>
      <c r="N564" s="30" t="s">
        <v>68</v>
      </c>
      <c r="O564" s="31">
        <f t="shared" ref="O564:O582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Y564" s="10">
        <v>3</v>
      </c>
      <c r="Z564" s="30" t="s">
        <v>68</v>
      </c>
      <c r="AA564" s="31">
        <f t="shared" ref="AA564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91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68</v>
      </c>
      <c r="C566" s="91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68</v>
      </c>
      <c r="C567" s="91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68</v>
      </c>
      <c r="C568" s="91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68</v>
      </c>
      <c r="C569" s="91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68</v>
      </c>
      <c r="C570" s="91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68</v>
      </c>
      <c r="C571" s="91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68</v>
      </c>
      <c r="C572" s="91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68</v>
      </c>
      <c r="C573" s="91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68</v>
      </c>
      <c r="C574" s="91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91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91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91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91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91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91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91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91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91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91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91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91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M595" s="10">
        <v>34</v>
      </c>
      <c r="N595" s="30"/>
      <c r="P595" s="47"/>
      <c r="Q595" s="31"/>
      <c r="R595" s="31"/>
      <c r="S595" s="32">
        <f t="shared" ref="S595:S600" si="169">SUM(P595:Q595)</f>
        <v>0</v>
      </c>
      <c r="T595" s="10"/>
      <c r="U595" s="10"/>
      <c r="V595" s="10"/>
      <c r="W595" s="12">
        <f t="shared" si="163"/>
        <v>0</v>
      </c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34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19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70</v>
      </c>
      <c r="B613" s="20"/>
      <c r="C613" s="57"/>
      <c r="D613" s="57"/>
      <c r="E613" s="57"/>
      <c r="G613" s="57"/>
      <c r="I613" s="22" t="s">
        <v>16</v>
      </c>
      <c r="J613" s="23" t="s">
        <v>72</v>
      </c>
      <c r="K613" s="24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Y613" s="21" t="s">
        <v>70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8" t="s">
        <v>17</v>
      </c>
      <c r="E615" s="118"/>
      <c r="F615" s="102"/>
      <c r="G615" s="27"/>
      <c r="I615" s="116" t="s">
        <v>18</v>
      </c>
      <c r="J615" s="117"/>
      <c r="K615" s="114" t="s">
        <v>19</v>
      </c>
      <c r="M615" s="62"/>
      <c r="N615" s="65"/>
      <c r="O615" s="89"/>
      <c r="P615" s="113"/>
      <c r="Q615" s="113"/>
      <c r="R615" s="89"/>
      <c r="S615" s="89"/>
      <c r="T615" s="62"/>
      <c r="U615" s="113"/>
      <c r="V615" s="113"/>
      <c r="W615" s="112"/>
      <c r="Z615" s="25"/>
      <c r="AA615" s="26"/>
      <c r="AB615" s="118" t="s">
        <v>17</v>
      </c>
      <c r="AC615" s="118"/>
      <c r="AD615" s="102"/>
      <c r="AE615" s="27"/>
      <c r="AG615" s="116" t="s">
        <v>18</v>
      </c>
      <c r="AH615" s="117"/>
      <c r="AI615" s="114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5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12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5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71</v>
      </c>
      <c r="C617" s="91">
        <v>7089</v>
      </c>
      <c r="D617" s="32">
        <f>2504+38</f>
        <v>2542</v>
      </c>
      <c r="E617" s="32"/>
      <c r="F617" s="32"/>
      <c r="G617" s="32">
        <f t="shared" ref="G617:G650" si="175">SUM(D617:E617)</f>
        <v>2542</v>
      </c>
      <c r="H617" s="12"/>
      <c r="I617" s="12"/>
      <c r="J617" s="12"/>
      <c r="K617" s="12">
        <f t="shared" ref="K617:K650" si="176">SUM(G617:J617)</f>
        <v>2542</v>
      </c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Y617" s="10">
        <v>1</v>
      </c>
      <c r="Z617" s="30" t="s">
        <v>71</v>
      </c>
      <c r="AA617" s="31">
        <v>7129</v>
      </c>
      <c r="AB617" s="32">
        <f>71520+1145</f>
        <v>72665</v>
      </c>
      <c r="AC617" s="32">
        <v>-750</v>
      </c>
      <c r="AD617" s="32"/>
      <c r="AE617" s="32">
        <f>SUM(AB617:AC617)</f>
        <v>71915</v>
      </c>
      <c r="AF617" s="12"/>
      <c r="AG617" s="12">
        <v>180</v>
      </c>
      <c r="AH617" s="12"/>
      <c r="AI617" s="12">
        <f>SUM(AE617:AH617)</f>
        <v>72095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71</v>
      </c>
      <c r="C618" s="91">
        <f>C617+1</f>
        <v>7090</v>
      </c>
      <c r="D618" s="32">
        <f>1878+28.5</f>
        <v>1906.5</v>
      </c>
      <c r="E618" s="32"/>
      <c r="F618" s="32"/>
      <c r="G618" s="32">
        <f t="shared" si="175"/>
        <v>1906.5</v>
      </c>
      <c r="H618" s="12"/>
      <c r="I618" s="12"/>
      <c r="J618" s="12"/>
      <c r="K618" s="12">
        <f t="shared" si="176"/>
        <v>1906.5</v>
      </c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Y618" s="10">
        <v>2</v>
      </c>
      <c r="Z618" s="30" t="s">
        <v>71</v>
      </c>
      <c r="AA618" s="31">
        <f>AA617+1</f>
        <v>7130</v>
      </c>
      <c r="AB618" s="32">
        <f>626*40+596*10+229*2</f>
        <v>31458</v>
      </c>
      <c r="AC618" s="32">
        <v>-312</v>
      </c>
      <c r="AD618" s="32"/>
      <c r="AE618" s="32">
        <f t="shared" ref="AE618:AE655" si="177">SUM(AB618:AC618)</f>
        <v>31146</v>
      </c>
      <c r="AF618" s="12"/>
      <c r="AG618" s="12"/>
      <c r="AH618" s="12"/>
      <c r="AI618" s="12">
        <f t="shared" ref="AI618:AI658" si="178">SUM(AE618:AH618)</f>
        <v>31146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71</v>
      </c>
      <c r="C619" s="91">
        <f t="shared" ref="C619:C639" si="179">C618+1</f>
        <v>7091</v>
      </c>
      <c r="D619" s="33">
        <f>4382+614+66.5</f>
        <v>5062.5</v>
      </c>
      <c r="E619" s="33"/>
      <c r="F619" s="33"/>
      <c r="G619" s="33">
        <f t="shared" si="175"/>
        <v>5062.5</v>
      </c>
      <c r="H619" s="34"/>
      <c r="I619" s="34"/>
      <c r="J619" s="34"/>
      <c r="K619" s="34">
        <f t="shared" si="176"/>
        <v>5062.5</v>
      </c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Y619" s="10">
        <v>3</v>
      </c>
      <c r="Z619" s="30" t="s">
        <v>71</v>
      </c>
      <c r="AA619" s="31">
        <f t="shared" ref="AA619:AA620" si="180">AA618+1</f>
        <v>7131</v>
      </c>
      <c r="AB619" s="33">
        <f>626*455+596*45+229*20</f>
        <v>316230</v>
      </c>
      <c r="AC619" s="33">
        <v>-3120</v>
      </c>
      <c r="AD619" s="32"/>
      <c r="AE619" s="32">
        <f t="shared" si="177"/>
        <v>313110</v>
      </c>
      <c r="AF619" s="12"/>
      <c r="AG619" s="12">
        <f>37074+1248</f>
        <v>38322</v>
      </c>
      <c r="AH619" s="12"/>
      <c r="AI619" s="12">
        <f t="shared" si="178"/>
        <v>351432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71</v>
      </c>
      <c r="C620" s="91">
        <f t="shared" si="179"/>
        <v>7092</v>
      </c>
      <c r="D620" s="32">
        <f>10642+161.5</f>
        <v>10803.5</v>
      </c>
      <c r="E620" s="32"/>
      <c r="F620" s="32"/>
      <c r="G620" s="32">
        <f t="shared" si="175"/>
        <v>10803.5</v>
      </c>
      <c r="H620" s="12"/>
      <c r="I620" s="12"/>
      <c r="J620" s="12"/>
      <c r="K620" s="12">
        <f t="shared" si="176"/>
        <v>10803.5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Y620" s="10">
        <v>4</v>
      </c>
      <c r="Z620" s="30" t="s">
        <v>71</v>
      </c>
      <c r="AA620" s="31">
        <f t="shared" si="180"/>
        <v>7132</v>
      </c>
      <c r="AB620" s="32">
        <f>14398+2980+832</f>
        <v>18210</v>
      </c>
      <c r="AC620" s="32"/>
      <c r="AD620" s="32"/>
      <c r="AE620" s="32">
        <f t="shared" si="177"/>
        <v>18210</v>
      </c>
      <c r="AF620" s="12"/>
      <c r="AH620" s="12"/>
      <c r="AI620" s="12">
        <f t="shared" si="178"/>
        <v>18210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71</v>
      </c>
      <c r="C621" s="91">
        <f t="shared" si="179"/>
        <v>7093</v>
      </c>
      <c r="D621" s="32">
        <f>4382+66.5</f>
        <v>4448.5</v>
      </c>
      <c r="E621" s="32"/>
      <c r="F621" s="32"/>
      <c r="G621" s="32">
        <f t="shared" si="175"/>
        <v>4448.5</v>
      </c>
      <c r="H621" s="12"/>
      <c r="I621" s="12"/>
      <c r="J621" s="12"/>
      <c r="K621" s="12">
        <f t="shared" si="176"/>
        <v>4448.5</v>
      </c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Y621" s="10">
        <v>5</v>
      </c>
      <c r="Z621" s="30"/>
      <c r="AA621" s="11" t="s">
        <v>27</v>
      </c>
      <c r="AB621" s="32"/>
      <c r="AC621" s="32"/>
      <c r="AD621" s="32"/>
      <c r="AE621" s="32">
        <f t="shared" si="177"/>
        <v>0</v>
      </c>
      <c r="AF621" s="12"/>
      <c r="AG621" s="12"/>
      <c r="AH621" s="12"/>
      <c r="AI621" s="12">
        <f t="shared" si="178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71</v>
      </c>
      <c r="C622" s="91">
        <f t="shared" si="179"/>
        <v>7094</v>
      </c>
      <c r="D622" s="32">
        <f>15650+5960+229+650</f>
        <v>22489</v>
      </c>
      <c r="E622" s="32"/>
      <c r="F622" s="32"/>
      <c r="G622" s="32">
        <f t="shared" si="175"/>
        <v>22489</v>
      </c>
      <c r="H622" s="12"/>
      <c r="I622" s="12">
        <v>222</v>
      </c>
      <c r="J622" s="12">
        <v>-135</v>
      </c>
      <c r="K622" s="12">
        <f t="shared" si="176"/>
        <v>22576</v>
      </c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Y622" s="10">
        <v>6</v>
      </c>
      <c r="Z622" s="30"/>
      <c r="AA622" s="31"/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71</v>
      </c>
      <c r="C623" s="91">
        <f t="shared" si="179"/>
        <v>7095</v>
      </c>
      <c r="D623" s="32">
        <f>13772+1348</f>
        <v>15120</v>
      </c>
      <c r="E623" s="32"/>
      <c r="F623" s="32"/>
      <c r="G623" s="32">
        <f t="shared" si="175"/>
        <v>15120</v>
      </c>
      <c r="H623" s="12"/>
      <c r="I623" s="12"/>
      <c r="J623" s="12">
        <f>-222+-84</f>
        <v>-306</v>
      </c>
      <c r="K623" s="12">
        <f t="shared" si="176"/>
        <v>14814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71</v>
      </c>
      <c r="C624" s="91">
        <f t="shared" si="179"/>
        <v>7096</v>
      </c>
      <c r="D624" s="32">
        <f>1878+28.5</f>
        <v>1906.5</v>
      </c>
      <c r="E624" s="32"/>
      <c r="F624" s="32"/>
      <c r="G624" s="32">
        <f t="shared" si="175"/>
        <v>1906.5</v>
      </c>
      <c r="H624" s="12"/>
      <c r="I624" s="12"/>
      <c r="J624" s="12"/>
      <c r="K624" s="12">
        <f t="shared" si="176"/>
        <v>1906.5</v>
      </c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71</v>
      </c>
      <c r="C625" s="91">
        <f t="shared" si="179"/>
        <v>7097</v>
      </c>
      <c r="D625" s="32">
        <f>1878+28.5</f>
        <v>1906.5</v>
      </c>
      <c r="E625" s="32"/>
      <c r="F625" s="32"/>
      <c r="G625" s="32">
        <f t="shared" si="175"/>
        <v>1906.5</v>
      </c>
      <c r="H625" s="12"/>
      <c r="I625" s="12"/>
      <c r="J625" s="12"/>
      <c r="K625" s="12">
        <f t="shared" si="176"/>
        <v>1906.5</v>
      </c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G625" s="58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71</v>
      </c>
      <c r="C626" s="91">
        <f t="shared" si="179"/>
        <v>7098</v>
      </c>
      <c r="D626" s="32">
        <f>1878+28.5</f>
        <v>1906.5</v>
      </c>
      <c r="E626" s="32"/>
      <c r="F626" s="32"/>
      <c r="G626" s="32">
        <f t="shared" si="175"/>
        <v>1906.5</v>
      </c>
      <c r="H626" s="12"/>
      <c r="I626" s="12"/>
      <c r="J626" s="12"/>
      <c r="K626" s="12">
        <f t="shared" si="176"/>
        <v>1906.5</v>
      </c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71</v>
      </c>
      <c r="C627" s="91">
        <f t="shared" si="179"/>
        <v>7099</v>
      </c>
      <c r="D627" s="32">
        <f>2504+38</f>
        <v>2542</v>
      </c>
      <c r="E627" s="32"/>
      <c r="F627" s="32"/>
      <c r="G627" s="32">
        <f t="shared" si="175"/>
        <v>2542</v>
      </c>
      <c r="H627" s="12"/>
      <c r="I627" s="12"/>
      <c r="J627" s="12"/>
      <c r="K627" s="12">
        <f t="shared" si="176"/>
        <v>2542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Y627" s="10">
        <v>11</v>
      </c>
      <c r="Z627" s="30"/>
      <c r="AB627" s="32"/>
      <c r="AC627" s="32"/>
      <c r="AD627" s="32"/>
      <c r="AE627" s="32">
        <f t="shared" si="177"/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71</v>
      </c>
      <c r="C628" s="91">
        <f t="shared" si="179"/>
        <v>7100</v>
      </c>
      <c r="D628" s="32">
        <f>1878+28.5</f>
        <v>1906.5</v>
      </c>
      <c r="E628" s="32"/>
      <c r="F628" s="32"/>
      <c r="G628" s="32">
        <f t="shared" si="175"/>
        <v>1906.5</v>
      </c>
      <c r="H628" s="12"/>
      <c r="I628" s="12"/>
      <c r="J628" s="10"/>
      <c r="K628" s="12">
        <f t="shared" si="176"/>
        <v>1906.5</v>
      </c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Y628" s="10">
        <v>12</v>
      </c>
      <c r="Z628" s="30"/>
      <c r="AA628" s="31"/>
      <c r="AB628" s="32"/>
      <c r="AC628" s="32"/>
      <c r="AD628" s="32"/>
      <c r="AE628" s="32">
        <f t="shared" si="177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71</v>
      </c>
      <c r="C629" s="91">
        <v>7180</v>
      </c>
      <c r="D629" s="32">
        <f>9390</f>
        <v>9390</v>
      </c>
      <c r="E629" s="32"/>
      <c r="F629" s="32"/>
      <c r="G629" s="32">
        <f t="shared" si="175"/>
        <v>9390</v>
      </c>
      <c r="H629" s="12"/>
      <c r="I629" s="12"/>
      <c r="J629" s="12"/>
      <c r="K629" s="12">
        <f t="shared" si="176"/>
        <v>9390</v>
      </c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Y629" s="10">
        <v>13</v>
      </c>
      <c r="Z629" s="30"/>
      <c r="AA629" s="31"/>
      <c r="AB629" s="32"/>
      <c r="AC629" s="32"/>
      <c r="AD629" s="32"/>
      <c r="AE629" s="32">
        <f t="shared" si="177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71</v>
      </c>
      <c r="C630" s="91">
        <f t="shared" si="179"/>
        <v>7181</v>
      </c>
      <c r="D630" s="32">
        <f>1252+19</f>
        <v>1271</v>
      </c>
      <c r="E630" s="32"/>
      <c r="F630" s="32"/>
      <c r="G630" s="32">
        <f t="shared" si="175"/>
        <v>1271</v>
      </c>
      <c r="H630" s="12"/>
      <c r="I630" s="12"/>
      <c r="J630" s="12"/>
      <c r="K630" s="12">
        <f t="shared" si="176"/>
        <v>1271</v>
      </c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Y630" s="10">
        <v>14</v>
      </c>
      <c r="Z630" s="30"/>
      <c r="AA630" s="31"/>
      <c r="AB630" s="32"/>
      <c r="AC630" s="32"/>
      <c r="AD630" s="32"/>
      <c r="AE630" s="32">
        <f t="shared" si="177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71</v>
      </c>
      <c r="C631" s="91">
        <f t="shared" si="179"/>
        <v>7182</v>
      </c>
      <c r="D631" s="32">
        <f>3130+47.5</f>
        <v>3177.5</v>
      </c>
      <c r="E631" s="32"/>
      <c r="F631" s="32"/>
      <c r="G631" s="32">
        <f t="shared" si="175"/>
        <v>3177.5</v>
      </c>
      <c r="H631" s="12"/>
      <c r="I631" s="12"/>
      <c r="J631" s="12"/>
      <c r="K631" s="12">
        <f t="shared" si="176"/>
        <v>3177.5</v>
      </c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Y631" s="10">
        <v>15</v>
      </c>
      <c r="Z631" s="30"/>
      <c r="AA631" s="31"/>
      <c r="AB631" s="32"/>
      <c r="AC631" s="32"/>
      <c r="AD631" s="32"/>
      <c r="AE631" s="32">
        <f t="shared" si="177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71</v>
      </c>
      <c r="C632" s="91">
        <f t="shared" si="179"/>
        <v>7183</v>
      </c>
      <c r="D632" s="32">
        <f>5008+76</f>
        <v>5084</v>
      </c>
      <c r="E632" s="32"/>
      <c r="F632" s="32"/>
      <c r="G632" s="32">
        <f t="shared" si="175"/>
        <v>5084</v>
      </c>
      <c r="H632" s="12"/>
      <c r="I632" s="12"/>
      <c r="J632" s="12"/>
      <c r="K632" s="12">
        <f t="shared" si="176"/>
        <v>5084</v>
      </c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Y632" s="10">
        <v>16</v>
      </c>
      <c r="Z632" s="30"/>
      <c r="AB632" s="32"/>
      <c r="AC632" s="32"/>
      <c r="AD632" s="32"/>
      <c r="AE632" s="32">
        <f t="shared" si="177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71</v>
      </c>
      <c r="C633" s="91">
        <f t="shared" si="179"/>
        <v>7184</v>
      </c>
      <c r="D633" s="32">
        <f>626+614+9.5</f>
        <v>1249.5</v>
      </c>
      <c r="E633" s="32"/>
      <c r="F633" s="32"/>
      <c r="G633" s="32">
        <f t="shared" si="175"/>
        <v>1249.5</v>
      </c>
      <c r="H633" s="12"/>
      <c r="I633" s="12"/>
      <c r="J633" s="12"/>
      <c r="K633" s="12">
        <f t="shared" si="176"/>
        <v>1249.5</v>
      </c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Y633" s="10">
        <v>17</v>
      </c>
      <c r="Z633" s="30"/>
      <c r="AA633" s="31"/>
      <c r="AB633" s="35"/>
      <c r="AC633" s="32"/>
      <c r="AD633" s="32"/>
      <c r="AE633" s="32">
        <f t="shared" si="177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71</v>
      </c>
      <c r="C634" s="91">
        <f t="shared" si="179"/>
        <v>7185</v>
      </c>
      <c r="D634" s="32">
        <f>626+614+9.5</f>
        <v>1249.5</v>
      </c>
      <c r="E634" s="32"/>
      <c r="F634" s="32"/>
      <c r="G634" s="32">
        <f t="shared" si="175"/>
        <v>1249.5</v>
      </c>
      <c r="H634" s="12"/>
      <c r="I634" s="12"/>
      <c r="J634" s="12"/>
      <c r="K634" s="12">
        <f t="shared" si="176"/>
        <v>1249.5</v>
      </c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Y634" s="10">
        <v>18</v>
      </c>
      <c r="Z634" s="30"/>
      <c r="AA634" s="31"/>
      <c r="AB634" s="32"/>
      <c r="AC634" s="32"/>
      <c r="AD634" s="32"/>
      <c r="AE634" s="32">
        <f t="shared" si="177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 t="s">
        <v>71</v>
      </c>
      <c r="C635" s="91">
        <f t="shared" si="179"/>
        <v>7186</v>
      </c>
      <c r="D635" s="32">
        <f>37560+913+8940+1704+458</f>
        <v>49575</v>
      </c>
      <c r="E635" s="32"/>
      <c r="F635" s="32"/>
      <c r="G635" s="32">
        <f t="shared" si="175"/>
        <v>49575</v>
      </c>
      <c r="H635" s="12"/>
      <c r="I635" s="12"/>
      <c r="J635" s="12"/>
      <c r="K635" s="12">
        <f t="shared" si="176"/>
        <v>49575</v>
      </c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Y635" s="10">
        <v>19</v>
      </c>
      <c r="Z635" s="30"/>
      <c r="AA635" s="31"/>
      <c r="AB635" s="32"/>
      <c r="AC635" s="32"/>
      <c r="AD635" s="32"/>
      <c r="AE635" s="32">
        <f t="shared" si="177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 t="s">
        <v>71</v>
      </c>
      <c r="C636" s="91">
        <f t="shared" si="179"/>
        <v>7187</v>
      </c>
      <c r="D636" s="32">
        <f>1192</f>
        <v>1192</v>
      </c>
      <c r="E636" s="32"/>
      <c r="F636" s="32"/>
      <c r="G636" s="32">
        <f t="shared" si="175"/>
        <v>1192</v>
      </c>
      <c r="H636" s="12"/>
      <c r="I636" s="12"/>
      <c r="J636" s="12"/>
      <c r="K636" s="12">
        <f t="shared" si="176"/>
        <v>1192</v>
      </c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Y636" s="10">
        <v>20</v>
      </c>
      <c r="Z636" s="30"/>
      <c r="AA636" s="31"/>
      <c r="AB636" s="32"/>
      <c r="AC636" s="32"/>
      <c r="AD636" s="32"/>
      <c r="AE636" s="32">
        <f t="shared" si="177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 t="s">
        <v>71</v>
      </c>
      <c r="C637" s="91">
        <f t="shared" si="179"/>
        <v>7188</v>
      </c>
      <c r="D637" s="32">
        <f>1878+28.5</f>
        <v>1906.5</v>
      </c>
      <c r="E637" s="32"/>
      <c r="F637" s="32"/>
      <c r="G637" s="32">
        <f t="shared" si="175"/>
        <v>1906.5</v>
      </c>
      <c r="H637" s="10"/>
      <c r="I637" s="10"/>
      <c r="J637" s="10"/>
      <c r="K637" s="12">
        <f t="shared" si="176"/>
        <v>1906.5</v>
      </c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Y637" s="10">
        <v>21</v>
      </c>
      <c r="Z637" s="30"/>
      <c r="AB637" s="46"/>
      <c r="AC637" s="31"/>
      <c r="AD637" s="31"/>
      <c r="AE637" s="32">
        <f t="shared" si="177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 t="s">
        <v>71</v>
      </c>
      <c r="C638" s="91">
        <f t="shared" si="179"/>
        <v>7189</v>
      </c>
      <c r="D638" s="32">
        <f>1878+1192+47.5</f>
        <v>3117.5</v>
      </c>
      <c r="E638" s="32"/>
      <c r="F638" s="32"/>
      <c r="G638" s="32">
        <f t="shared" si="175"/>
        <v>3117.5</v>
      </c>
      <c r="H638" s="10"/>
      <c r="I638" s="10"/>
      <c r="J638" s="10"/>
      <c r="K638" s="12">
        <f t="shared" si="176"/>
        <v>3117.5</v>
      </c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Y638" s="10">
        <v>22</v>
      </c>
      <c r="Z638" s="30"/>
      <c r="AA638" s="31"/>
      <c r="AB638" s="45"/>
      <c r="AC638" s="31"/>
      <c r="AD638" s="31"/>
      <c r="AE638" s="32">
        <f t="shared" si="177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 t="s">
        <v>71</v>
      </c>
      <c r="C639" s="91">
        <f t="shared" si="179"/>
        <v>7190</v>
      </c>
      <c r="D639" s="32">
        <f>3130+614+47.5</f>
        <v>3791.5</v>
      </c>
      <c r="E639" s="32"/>
      <c r="F639" s="32"/>
      <c r="G639" s="32">
        <f t="shared" si="175"/>
        <v>3791.5</v>
      </c>
      <c r="H639" s="10"/>
      <c r="I639" s="10"/>
      <c r="J639" s="12"/>
      <c r="K639" s="12">
        <f t="shared" si="176"/>
        <v>3791.5</v>
      </c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Y639" s="10">
        <v>23</v>
      </c>
      <c r="Z639" s="30"/>
      <c r="AA639" s="31"/>
      <c r="AB639" s="47"/>
      <c r="AC639" s="31"/>
      <c r="AE639" s="32">
        <f t="shared" si="177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11" t="s">
        <v>27</v>
      </c>
      <c r="D640" s="32"/>
      <c r="E640" s="32"/>
      <c r="F640" s="32"/>
      <c r="G640" s="32">
        <f t="shared" si="175"/>
        <v>0</v>
      </c>
      <c r="H640" s="10"/>
      <c r="I640" s="10"/>
      <c r="J640" s="10"/>
      <c r="K640" s="12">
        <f t="shared" si="176"/>
        <v>0</v>
      </c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Y640" s="10">
        <v>24</v>
      </c>
      <c r="Z640" s="30"/>
      <c r="AA640" s="31"/>
      <c r="AB640" s="47"/>
      <c r="AC640" s="31"/>
      <c r="AD640" s="31"/>
      <c r="AE640" s="32">
        <f t="shared" si="177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91"/>
      <c r="D641" s="32"/>
      <c r="E641" s="32"/>
      <c r="F641" s="32"/>
      <c r="G641" s="32">
        <f t="shared" si="175"/>
        <v>0</v>
      </c>
      <c r="H641" s="10"/>
      <c r="I641" s="10"/>
      <c r="J641" s="10"/>
      <c r="K641" s="12">
        <f t="shared" si="176"/>
        <v>0</v>
      </c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Y641" s="10">
        <v>25</v>
      </c>
      <c r="Z641" s="30"/>
      <c r="AA641" s="11"/>
      <c r="AB641" s="47"/>
      <c r="AC641" s="31"/>
      <c r="AD641" s="31"/>
      <c r="AE641" s="32">
        <f t="shared" si="177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91"/>
      <c r="D642" s="32"/>
      <c r="E642" s="32"/>
      <c r="F642" s="32"/>
      <c r="G642" s="32">
        <f t="shared" si="175"/>
        <v>0</v>
      </c>
      <c r="H642" s="10"/>
      <c r="I642" s="10"/>
      <c r="J642" s="10"/>
      <c r="K642" s="12">
        <f t="shared" si="176"/>
        <v>0</v>
      </c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Y642" s="10">
        <v>26</v>
      </c>
      <c r="Z642" s="30"/>
      <c r="AB642" s="47"/>
      <c r="AC642" s="31"/>
      <c r="AD642" s="31"/>
      <c r="AE642" s="32">
        <f t="shared" si="177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91"/>
      <c r="D643" s="32"/>
      <c r="E643" s="32"/>
      <c r="F643" s="32"/>
      <c r="G643" s="32">
        <f t="shared" si="175"/>
        <v>0</v>
      </c>
      <c r="H643" s="10"/>
      <c r="I643" s="10"/>
      <c r="J643" s="10"/>
      <c r="K643" s="12">
        <f t="shared" si="176"/>
        <v>0</v>
      </c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Y643" s="10">
        <v>27</v>
      </c>
      <c r="Z643" s="30"/>
      <c r="AA643" s="31"/>
      <c r="AB643" s="47"/>
      <c r="AC643" s="31"/>
      <c r="AD643" s="31"/>
      <c r="AE643" s="32">
        <f t="shared" si="177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91"/>
      <c r="D644" s="32"/>
      <c r="E644" s="32"/>
      <c r="F644" s="32"/>
      <c r="G644" s="32">
        <f t="shared" si="175"/>
        <v>0</v>
      </c>
      <c r="H644" s="10"/>
      <c r="I644" s="10"/>
      <c r="J644" s="10"/>
      <c r="K644" s="12">
        <f t="shared" si="176"/>
        <v>0</v>
      </c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Y644" s="10">
        <v>28</v>
      </c>
      <c r="Z644" s="30"/>
      <c r="AA644" s="31"/>
      <c r="AB644" s="47"/>
      <c r="AC644" s="31"/>
      <c r="AD644" s="31"/>
      <c r="AE644" s="32">
        <f t="shared" si="177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75"/>
        <v>0</v>
      </c>
      <c r="H645" s="10"/>
      <c r="I645" s="10"/>
      <c r="J645" s="10"/>
      <c r="K645" s="12">
        <f t="shared" si="176"/>
        <v>0</v>
      </c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Y645" s="10">
        <v>29</v>
      </c>
      <c r="Z645" s="30"/>
      <c r="AA645" s="31"/>
      <c r="AB645" s="47"/>
      <c r="AC645" s="31"/>
      <c r="AD645" s="31"/>
      <c r="AE645" s="32">
        <f t="shared" si="177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D646" s="32"/>
      <c r="E646" s="32"/>
      <c r="F646" s="32"/>
      <c r="G646" s="32">
        <f t="shared" si="175"/>
        <v>0</v>
      </c>
      <c r="H646" s="10"/>
      <c r="I646" s="10"/>
      <c r="J646" s="10"/>
      <c r="K646" s="12">
        <f t="shared" si="176"/>
        <v>0</v>
      </c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Y646" s="10">
        <v>30</v>
      </c>
      <c r="Z646" s="30"/>
      <c r="AA646" s="31"/>
      <c r="AB646" s="47"/>
      <c r="AC646" s="31"/>
      <c r="AD646" s="31"/>
      <c r="AE646" s="32">
        <f t="shared" si="177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75"/>
        <v>0</v>
      </c>
      <c r="H647" s="10"/>
      <c r="I647" s="10"/>
      <c r="J647" s="10"/>
      <c r="K647" s="12">
        <f t="shared" si="176"/>
        <v>0</v>
      </c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Y647" s="10">
        <v>31</v>
      </c>
      <c r="Z647" s="30"/>
      <c r="AA647" s="31"/>
      <c r="AB647" s="47"/>
      <c r="AC647" s="31"/>
      <c r="AD647" s="31"/>
      <c r="AE647" s="32">
        <f t="shared" si="177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91"/>
      <c r="D648" s="32"/>
      <c r="E648" s="32"/>
      <c r="F648" s="32"/>
      <c r="G648" s="32">
        <f t="shared" si="175"/>
        <v>0</v>
      </c>
      <c r="H648" s="10"/>
      <c r="I648" s="10"/>
      <c r="J648" s="10"/>
      <c r="K648" s="12">
        <f t="shared" si="176"/>
        <v>0</v>
      </c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Y648" s="10">
        <v>32</v>
      </c>
      <c r="Z648" s="30"/>
      <c r="AA648" s="31"/>
      <c r="AB648" s="47"/>
      <c r="AC648" s="31"/>
      <c r="AD648" s="31"/>
      <c r="AE648" s="32">
        <f t="shared" si="177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75"/>
        <v>0</v>
      </c>
      <c r="H649" s="10"/>
      <c r="I649" s="10"/>
      <c r="J649" s="10"/>
      <c r="K649" s="12">
        <f t="shared" si="176"/>
        <v>0</v>
      </c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Y649" s="10">
        <v>33</v>
      </c>
      <c r="Z649" s="30"/>
      <c r="AA649" s="31"/>
      <c r="AB649" s="47"/>
      <c r="AC649" s="31"/>
      <c r="AD649" s="31"/>
      <c r="AE649" s="32">
        <f t="shared" si="177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75"/>
        <v>0</v>
      </c>
      <c r="H650" s="10"/>
      <c r="I650" s="10"/>
      <c r="J650" s="10"/>
      <c r="K650" s="12">
        <f t="shared" si="176"/>
        <v>0</v>
      </c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Y650" s="10">
        <v>34</v>
      </c>
      <c r="Z650" s="30"/>
      <c r="AB650" s="47"/>
      <c r="AC650" s="31"/>
      <c r="AD650" s="31"/>
      <c r="AE650" s="32">
        <f t="shared" si="177"/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Y651" s="10">
        <v>35</v>
      </c>
      <c r="Z651" s="30"/>
      <c r="AA651" s="31"/>
      <c r="AB651" s="47"/>
      <c r="AC651" s="31"/>
      <c r="AD651" s="31"/>
      <c r="AE651" s="32">
        <f t="shared" si="177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Y652" s="10">
        <v>36</v>
      </c>
      <c r="Z652" s="30"/>
      <c r="AA652" s="31"/>
      <c r="AB652" s="47"/>
      <c r="AC652" s="31"/>
      <c r="AD652" s="31"/>
      <c r="AE652" s="32">
        <f t="shared" si="177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Y653" s="10">
        <v>37</v>
      </c>
      <c r="Z653" s="30"/>
      <c r="AA653" s="31"/>
      <c r="AB653" s="47"/>
      <c r="AC653" s="31"/>
      <c r="AD653" s="31"/>
      <c r="AE653" s="32">
        <f t="shared" si="177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Y654" s="10">
        <v>38</v>
      </c>
      <c r="Z654" s="30"/>
      <c r="AA654" s="31"/>
      <c r="AB654" s="47"/>
      <c r="AC654" s="31"/>
      <c r="AD654" s="31"/>
      <c r="AE654" s="32">
        <f t="shared" si="177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Y655" s="10">
        <v>39</v>
      </c>
      <c r="Z655" s="30"/>
      <c r="AA655" s="31"/>
      <c r="AB655" s="47"/>
      <c r="AC655" s="31"/>
      <c r="AD655" s="31"/>
      <c r="AE655" s="32">
        <f t="shared" si="177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81">SUM(D657:E657)</f>
        <v>0</v>
      </c>
      <c r="H657" s="10"/>
      <c r="I657" s="10"/>
      <c r="J657" s="10"/>
      <c r="K657" s="12">
        <f t="shared" ref="K657" si="182">SUM(G657:J657)</f>
        <v>0</v>
      </c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Y657" s="10"/>
      <c r="Z657" s="30"/>
      <c r="AA657" s="31"/>
      <c r="AB657" s="47"/>
      <c r="AC657" s="31"/>
      <c r="AD657" s="31"/>
      <c r="AE657" s="32">
        <f t="shared" ref="AE657" si="183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153544</v>
      </c>
      <c r="E660" s="38">
        <f t="shared" ref="E660:F660" si="184">SUM(E617:E657)</f>
        <v>0</v>
      </c>
      <c r="F660" s="38">
        <f t="shared" si="184"/>
        <v>0</v>
      </c>
      <c r="G660" s="38">
        <f>SUM(G617:G659)</f>
        <v>153544</v>
      </c>
      <c r="H660" s="4"/>
      <c r="I660" s="39">
        <f>SUM(I617:I659)</f>
        <v>222</v>
      </c>
      <c r="J660" s="39">
        <f>SUM(J617:J659)</f>
        <v>-441</v>
      </c>
      <c r="K660" s="40">
        <f>SUM(K617:K659)</f>
        <v>153325</v>
      </c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Z660" s="57"/>
      <c r="AA660" s="57"/>
      <c r="AB660" s="38">
        <f>SUM(AB617:AB659)</f>
        <v>438563</v>
      </c>
      <c r="AC660" s="38">
        <f>SUM(AC617:AC641)</f>
        <v>-4182</v>
      </c>
      <c r="AD660" s="38">
        <f>SUM(AD617:AD641)</f>
        <v>0</v>
      </c>
      <c r="AE660" s="38">
        <f>SUM(AE617:AE659)</f>
        <v>434381</v>
      </c>
      <c r="AF660" s="4"/>
      <c r="AG660" s="41">
        <f>SUM(AG617:AG659)</f>
        <v>38502</v>
      </c>
      <c r="AH660" s="41">
        <f>SUM(AH617:AH641)</f>
        <v>0</v>
      </c>
      <c r="AI660" s="42">
        <f>SUM(AI617:AI659)</f>
        <v>472883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35</v>
      </c>
      <c r="Z667" s="57"/>
      <c r="AA667" s="57"/>
      <c r="AB667" s="57"/>
      <c r="AC667" s="57"/>
      <c r="AD667" s="57"/>
      <c r="AE667" s="57"/>
      <c r="AG667" s="57" t="s">
        <v>15</v>
      </c>
      <c r="AH667" s="19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42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8" t="s">
        <v>17</v>
      </c>
      <c r="E670" s="118"/>
      <c r="F670" s="103"/>
      <c r="G670" s="27"/>
      <c r="I670" s="116" t="s">
        <v>18</v>
      </c>
      <c r="J670" s="117"/>
      <c r="K670" s="114" t="s">
        <v>19</v>
      </c>
      <c r="N670" s="25"/>
      <c r="O670" s="26"/>
      <c r="P670" s="118" t="s">
        <v>17</v>
      </c>
      <c r="Q670" s="118"/>
      <c r="R670" s="103"/>
      <c r="S670" s="27"/>
      <c r="U670" s="116" t="s">
        <v>18</v>
      </c>
      <c r="V670" s="117"/>
      <c r="W670" s="114" t="s">
        <v>19</v>
      </c>
      <c r="Z670" s="25"/>
      <c r="AA670" s="26"/>
      <c r="AB670" s="118" t="s">
        <v>17</v>
      </c>
      <c r="AC670" s="118"/>
      <c r="AD670" s="103"/>
      <c r="AE670" s="27"/>
      <c r="AG670" s="116" t="s">
        <v>18</v>
      </c>
      <c r="AH670" s="117"/>
      <c r="AI670" s="114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5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5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5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7251</v>
      </c>
      <c r="D672" s="32">
        <f>11268+1192</f>
        <v>12460</v>
      </c>
      <c r="E672" s="32"/>
      <c r="F672" s="32"/>
      <c r="G672" s="32">
        <f t="shared" ref="G672:G705" si="185">SUM(D672:E672)</f>
        <v>12460</v>
      </c>
      <c r="H672" s="12"/>
      <c r="I672" s="12"/>
      <c r="J672" s="12">
        <v>-888</v>
      </c>
      <c r="K672" s="12">
        <f t="shared" ref="K672:K705" si="186">SUM(G672:J672)</f>
        <v>11572</v>
      </c>
      <c r="M672" s="10">
        <v>1</v>
      </c>
      <c r="N672" s="30" t="s">
        <v>75</v>
      </c>
      <c r="O672" s="31">
        <v>7191</v>
      </c>
      <c r="P672" s="32">
        <f>626*11+614</f>
        <v>7500</v>
      </c>
      <c r="Q672" s="32"/>
      <c r="R672" s="32"/>
      <c r="S672" s="32">
        <f>SUM(P672:Q672)</f>
        <v>7500</v>
      </c>
      <c r="T672" s="12"/>
      <c r="U672" s="12"/>
      <c r="V672" s="12"/>
      <c r="W672" s="12">
        <f>SUM(S672:V672)</f>
        <v>7500</v>
      </c>
      <c r="Y672" s="10">
        <v>1</v>
      </c>
      <c r="Z672" s="30" t="s">
        <v>75</v>
      </c>
      <c r="AA672" s="31">
        <v>7133</v>
      </c>
      <c r="AB672" s="32">
        <f>5008</f>
        <v>5008</v>
      </c>
      <c r="AC672" s="32"/>
      <c r="AD672" s="32"/>
      <c r="AE672" s="32">
        <f>SUM(AB672:AC672)</f>
        <v>5008</v>
      </c>
      <c r="AF672" s="12"/>
      <c r="AG672" s="12"/>
      <c r="AH672" s="12">
        <v>-1332</v>
      </c>
      <c r="AI672" s="12">
        <f>SUM(AE672:AH672)</f>
        <v>3676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91">
        <f>C672+1</f>
        <v>7252</v>
      </c>
      <c r="D673" s="32">
        <f>39438+1842+2980</f>
        <v>44260</v>
      </c>
      <c r="E673" s="32"/>
      <c r="F673" s="32"/>
      <c r="G673" s="32">
        <f t="shared" si="185"/>
        <v>44260</v>
      </c>
      <c r="H673" s="12"/>
      <c r="I673" s="12">
        <v>30</v>
      </c>
      <c r="J673" s="12"/>
      <c r="K673" s="12">
        <f t="shared" si="186"/>
        <v>44290</v>
      </c>
      <c r="M673" s="10">
        <v>2</v>
      </c>
      <c r="N673" s="30" t="s">
        <v>75</v>
      </c>
      <c r="O673" s="31">
        <f>O672+1</f>
        <v>7192</v>
      </c>
      <c r="P673" s="32">
        <f>2504+614+38</f>
        <v>3156</v>
      </c>
      <c r="Q673" s="32"/>
      <c r="R673" s="32"/>
      <c r="S673" s="32">
        <f t="shared" ref="S673:S704" si="187">SUM(P673:Q673)</f>
        <v>3156</v>
      </c>
      <c r="T673" s="12"/>
      <c r="U673" s="12"/>
      <c r="V673" s="12"/>
      <c r="W673" s="12">
        <f t="shared" ref="W673:W713" si="188">SUM(S673:V673)</f>
        <v>3156</v>
      </c>
      <c r="Y673" s="10">
        <v>2</v>
      </c>
      <c r="Z673" s="30" t="s">
        <v>75</v>
      </c>
      <c r="AA673" s="31">
        <f>AA672+1</f>
        <v>7134</v>
      </c>
      <c r="AB673" s="32">
        <f>56340+3070+2980+916</f>
        <v>63306</v>
      </c>
      <c r="AC673" s="32">
        <v>-624</v>
      </c>
      <c r="AD673" s="32"/>
      <c r="AE673" s="32">
        <f t="shared" ref="AE673:AE710" si="189">SUM(AB673:AC673)</f>
        <v>62682</v>
      </c>
      <c r="AF673" s="12"/>
      <c r="AG673" s="12"/>
      <c r="AH673" s="12">
        <v>-1110</v>
      </c>
      <c r="AI673" s="12">
        <f t="shared" ref="AI673:AI713" si="190">SUM(AE673:AH673)</f>
        <v>61572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91">
        <f t="shared" ref="C674:C687" si="191">C673+1</f>
        <v>7253</v>
      </c>
      <c r="D674" s="33">
        <f>3130+614+674+596+57</f>
        <v>5071</v>
      </c>
      <c r="E674" s="33"/>
      <c r="F674" s="33"/>
      <c r="G674" s="33">
        <f t="shared" si="185"/>
        <v>5071</v>
      </c>
      <c r="H674" s="34"/>
      <c r="I674" s="34">
        <v>108</v>
      </c>
      <c r="J674" s="34"/>
      <c r="K674" s="34">
        <f t="shared" si="186"/>
        <v>5179</v>
      </c>
      <c r="M674" s="10">
        <v>3</v>
      </c>
      <c r="N674" s="30" t="s">
        <v>75</v>
      </c>
      <c r="O674" s="31">
        <f t="shared" ref="O674:O692" si="192">O673+1</f>
        <v>7193</v>
      </c>
      <c r="P674" s="32">
        <f>3756+57</f>
        <v>3813</v>
      </c>
      <c r="Q674" s="32"/>
      <c r="R674" s="32"/>
      <c r="S674" s="32">
        <f t="shared" si="187"/>
        <v>3813</v>
      </c>
      <c r="T674" s="12"/>
      <c r="U674" s="12"/>
      <c r="V674" s="12"/>
      <c r="W674" s="12">
        <f t="shared" si="188"/>
        <v>3813</v>
      </c>
      <c r="Y674" s="10">
        <v>3</v>
      </c>
      <c r="Z674" s="30" t="s">
        <v>75</v>
      </c>
      <c r="AA674" s="31">
        <f t="shared" ref="AA674:AA675" si="193">AA673+1</f>
        <v>7135</v>
      </c>
      <c r="AB674" s="33">
        <f>28170+2384</f>
        <v>30554</v>
      </c>
      <c r="AC674" s="33"/>
      <c r="AD674" s="32"/>
      <c r="AE674" s="32">
        <f t="shared" si="189"/>
        <v>30554</v>
      </c>
      <c r="AF674" s="12"/>
      <c r="AG674" s="12"/>
      <c r="AH674" s="12"/>
      <c r="AI674" s="12">
        <f t="shared" si="190"/>
        <v>30554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91">
        <f t="shared" si="191"/>
        <v>7254</v>
      </c>
      <c r="D675" s="32">
        <f>626+9.5</f>
        <v>635.5</v>
      </c>
      <c r="E675" s="32"/>
      <c r="F675" s="32"/>
      <c r="G675" s="32">
        <f t="shared" si="185"/>
        <v>635.5</v>
      </c>
      <c r="H675" s="12"/>
      <c r="I675" s="12"/>
      <c r="J675" s="12"/>
      <c r="K675" s="12">
        <f t="shared" si="186"/>
        <v>635.5</v>
      </c>
      <c r="M675" s="10">
        <v>4</v>
      </c>
      <c r="N675" s="30" t="s">
        <v>75</v>
      </c>
      <c r="O675" s="31">
        <f t="shared" si="192"/>
        <v>7194</v>
      </c>
      <c r="P675" s="32">
        <f>626+9.5</f>
        <v>635.5</v>
      </c>
      <c r="Q675" s="32"/>
      <c r="R675" s="32"/>
      <c r="S675" s="32">
        <f t="shared" si="187"/>
        <v>635.5</v>
      </c>
      <c r="T675" s="12"/>
      <c r="U675" s="12"/>
      <c r="V675" s="12"/>
      <c r="W675" s="12">
        <f t="shared" si="188"/>
        <v>635.5</v>
      </c>
      <c r="Y675" s="10">
        <v>4</v>
      </c>
      <c r="Z675" s="30" t="s">
        <v>75</v>
      </c>
      <c r="AA675" s="31">
        <f t="shared" si="193"/>
        <v>7136</v>
      </c>
      <c r="AB675" s="32">
        <f>28170+2980</f>
        <v>31150</v>
      </c>
      <c r="AC675" s="32"/>
      <c r="AD675" s="32"/>
      <c r="AE675" s="32">
        <f t="shared" si="189"/>
        <v>31150</v>
      </c>
      <c r="AF675" s="12"/>
      <c r="AH675" s="12"/>
      <c r="AI675" s="12">
        <f t="shared" si="190"/>
        <v>31150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91">
        <f t="shared" si="191"/>
        <v>7255</v>
      </c>
      <c r="D676" s="32">
        <f>5634</f>
        <v>5634</v>
      </c>
      <c r="E676" s="32"/>
      <c r="F676" s="32"/>
      <c r="G676" s="32">
        <f t="shared" si="185"/>
        <v>5634</v>
      </c>
      <c r="H676" s="12"/>
      <c r="I676" s="12"/>
      <c r="J676" s="12"/>
      <c r="K676" s="12">
        <f t="shared" si="186"/>
        <v>5634</v>
      </c>
      <c r="M676" s="10">
        <v>5</v>
      </c>
      <c r="N676" s="30" t="s">
        <v>75</v>
      </c>
      <c r="O676" s="31">
        <f t="shared" si="192"/>
        <v>7195</v>
      </c>
      <c r="P676" s="32">
        <f>25040+596*13</f>
        <v>32788</v>
      </c>
      <c r="Q676" s="32">
        <v>-424</v>
      </c>
      <c r="R676" s="32"/>
      <c r="S676" s="32">
        <f t="shared" si="187"/>
        <v>32364</v>
      </c>
      <c r="T676" s="12"/>
      <c r="U676" s="12"/>
      <c r="V676" s="12"/>
      <c r="W676" s="12">
        <f t="shared" si="188"/>
        <v>32364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91">
        <f t="shared" si="191"/>
        <v>7256</v>
      </c>
      <c r="D677" s="32">
        <f>6260+95</f>
        <v>6355</v>
      </c>
      <c r="E677" s="32"/>
      <c r="F677" s="32"/>
      <c r="G677" s="32">
        <f t="shared" si="185"/>
        <v>6355</v>
      </c>
      <c r="H677" s="12"/>
      <c r="I677" s="12"/>
      <c r="J677" s="12"/>
      <c r="K677" s="12">
        <f t="shared" si="186"/>
        <v>6355</v>
      </c>
      <c r="M677" s="10">
        <v>6</v>
      </c>
      <c r="N677" s="30" t="s">
        <v>75</v>
      </c>
      <c r="O677" s="31">
        <f t="shared" si="192"/>
        <v>7196</v>
      </c>
      <c r="P677" s="32">
        <f>626*25+596*5</f>
        <v>18630</v>
      </c>
      <c r="Q677" s="32"/>
      <c r="R677" s="32"/>
      <c r="S677" s="32">
        <f t="shared" si="187"/>
        <v>18630</v>
      </c>
      <c r="T677" s="12"/>
      <c r="U677" s="12"/>
      <c r="V677" s="10"/>
      <c r="W677" s="12">
        <f t="shared" si="188"/>
        <v>18630</v>
      </c>
      <c r="Y677" s="10">
        <v>6</v>
      </c>
      <c r="Z677" s="30"/>
      <c r="AA677" s="31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91">
        <f t="shared" si="191"/>
        <v>7257</v>
      </c>
      <c r="D678" s="32">
        <f>626+614+9.5</f>
        <v>1249.5</v>
      </c>
      <c r="E678" s="32"/>
      <c r="F678" s="32"/>
      <c r="G678" s="32">
        <f t="shared" si="185"/>
        <v>1249.5</v>
      </c>
      <c r="H678" s="12"/>
      <c r="I678" s="12"/>
      <c r="J678" s="12"/>
      <c r="K678" s="12">
        <f t="shared" si="186"/>
        <v>1249.5</v>
      </c>
      <c r="M678" s="10">
        <v>7</v>
      </c>
      <c r="N678" s="30" t="s">
        <v>75</v>
      </c>
      <c r="O678" s="31">
        <f t="shared" si="192"/>
        <v>7197</v>
      </c>
      <c r="P678" s="32">
        <f>1878+1192+47.5</f>
        <v>3117.5</v>
      </c>
      <c r="Q678" s="32"/>
      <c r="R678" s="32"/>
      <c r="S678" s="32">
        <f t="shared" si="187"/>
        <v>3117.5</v>
      </c>
      <c r="T678" s="12"/>
      <c r="U678" s="12"/>
      <c r="V678" s="12"/>
      <c r="W678" s="12">
        <f t="shared" si="188"/>
        <v>3117.5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91">
        <f t="shared" si="191"/>
        <v>7258</v>
      </c>
      <c r="D679" s="32">
        <f>1878+28</f>
        <v>1906</v>
      </c>
      <c r="E679" s="32"/>
      <c r="F679" s="32"/>
      <c r="G679" s="32">
        <f t="shared" si="185"/>
        <v>1906</v>
      </c>
      <c r="H679" s="12"/>
      <c r="I679" s="12"/>
      <c r="J679" s="12"/>
      <c r="K679" s="12">
        <f t="shared" si="186"/>
        <v>1906</v>
      </c>
      <c r="M679" s="10">
        <v>8</v>
      </c>
      <c r="N679" s="30" t="s">
        <v>75</v>
      </c>
      <c r="O679" s="31">
        <f t="shared" si="192"/>
        <v>7198</v>
      </c>
      <c r="P679" s="32">
        <f>21910+4172+229</f>
        <v>26311</v>
      </c>
      <c r="Q679" s="32"/>
      <c r="R679" s="32"/>
      <c r="S679" s="32">
        <f t="shared" si="187"/>
        <v>26311</v>
      </c>
      <c r="T679" s="12"/>
      <c r="U679" s="12"/>
      <c r="V679" s="12"/>
      <c r="W679" s="12">
        <f t="shared" si="188"/>
        <v>26311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91">
        <f t="shared" si="191"/>
        <v>7259</v>
      </c>
      <c r="D680" s="32">
        <f>1252+19</f>
        <v>1271</v>
      </c>
      <c r="E680" s="32"/>
      <c r="F680" s="32"/>
      <c r="G680" s="32">
        <f t="shared" si="185"/>
        <v>1271</v>
      </c>
      <c r="H680" s="12"/>
      <c r="I680" s="12"/>
      <c r="J680" s="12"/>
      <c r="K680" s="12">
        <f t="shared" si="186"/>
        <v>1271</v>
      </c>
      <c r="M680" s="10">
        <v>9</v>
      </c>
      <c r="N680" s="30" t="s">
        <v>75</v>
      </c>
      <c r="O680" s="31">
        <f t="shared" si="192"/>
        <v>7199</v>
      </c>
      <c r="P680" s="32">
        <f>626+9.5</f>
        <v>635.5</v>
      </c>
      <c r="Q680" s="32"/>
      <c r="R680" s="32"/>
      <c r="S680" s="32">
        <f t="shared" si="187"/>
        <v>635.5</v>
      </c>
      <c r="T680" s="12"/>
      <c r="U680" s="12"/>
      <c r="V680" s="12"/>
      <c r="W680" s="12">
        <f t="shared" si="188"/>
        <v>635.5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G680" s="58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91">
        <f t="shared" si="191"/>
        <v>7260</v>
      </c>
      <c r="D681" s="32">
        <f>1252+19</f>
        <v>1271</v>
      </c>
      <c r="E681" s="32"/>
      <c r="F681" s="32"/>
      <c r="G681" s="32">
        <f t="shared" si="185"/>
        <v>1271</v>
      </c>
      <c r="H681" s="12"/>
      <c r="I681" s="12"/>
      <c r="J681" s="12"/>
      <c r="K681" s="12">
        <f t="shared" si="186"/>
        <v>1271</v>
      </c>
      <c r="M681" s="10">
        <v>10</v>
      </c>
      <c r="N681" s="30" t="s">
        <v>75</v>
      </c>
      <c r="O681" s="31">
        <f t="shared" si="192"/>
        <v>7200</v>
      </c>
      <c r="P681" s="32">
        <f>2384+832+38</f>
        <v>3254</v>
      </c>
      <c r="Q681" s="32"/>
      <c r="R681" s="32"/>
      <c r="S681" s="32">
        <f t="shared" si="187"/>
        <v>3254</v>
      </c>
      <c r="T681" s="12"/>
      <c r="U681" s="12">
        <v>90</v>
      </c>
      <c r="V681" s="12"/>
      <c r="W681" s="12">
        <f t="shared" si="188"/>
        <v>3344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91">
        <f t="shared" si="191"/>
        <v>7261</v>
      </c>
      <c r="D682" s="32">
        <f>3130+614+47.5</f>
        <v>3791.5</v>
      </c>
      <c r="E682" s="32"/>
      <c r="F682" s="32"/>
      <c r="G682" s="32">
        <f t="shared" si="185"/>
        <v>3791.5</v>
      </c>
      <c r="H682" s="12"/>
      <c r="I682" s="12"/>
      <c r="J682" s="12"/>
      <c r="K682" s="12">
        <f t="shared" si="186"/>
        <v>3791.5</v>
      </c>
      <c r="M682" s="10">
        <v>11</v>
      </c>
      <c r="N682" s="30" t="s">
        <v>75</v>
      </c>
      <c r="O682" s="31">
        <f t="shared" si="192"/>
        <v>7201</v>
      </c>
      <c r="P682" s="32">
        <f>1192+19</f>
        <v>1211</v>
      </c>
      <c r="Q682" s="32"/>
      <c r="R682" s="32"/>
      <c r="S682" s="32">
        <f t="shared" si="187"/>
        <v>1211</v>
      </c>
      <c r="T682" s="12"/>
      <c r="U682" s="12"/>
      <c r="V682" s="12"/>
      <c r="W682" s="12">
        <f t="shared" si="188"/>
        <v>1211</v>
      </c>
      <c r="Y682" s="10">
        <v>11</v>
      </c>
      <c r="Z682" s="30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91">
        <f t="shared" si="191"/>
        <v>7262</v>
      </c>
      <c r="D683" s="32">
        <f>1252+614+596+28.5</f>
        <v>2490.5</v>
      </c>
      <c r="E683" s="32"/>
      <c r="F683" s="32"/>
      <c r="G683" s="32">
        <f t="shared" si="185"/>
        <v>2490.5</v>
      </c>
      <c r="H683" s="12"/>
      <c r="I683" s="12"/>
      <c r="J683" s="10"/>
      <c r="K683" s="12">
        <f t="shared" si="186"/>
        <v>2490.5</v>
      </c>
      <c r="M683" s="10">
        <v>12</v>
      </c>
      <c r="N683" s="30" t="s">
        <v>75</v>
      </c>
      <c r="O683" s="31">
        <f t="shared" si="192"/>
        <v>7202</v>
      </c>
      <c r="P683" s="32">
        <f>1252+614+19</f>
        <v>1885</v>
      </c>
      <c r="Q683" s="32"/>
      <c r="R683" s="32"/>
      <c r="S683" s="32">
        <f t="shared" si="187"/>
        <v>1885</v>
      </c>
      <c r="T683" s="12"/>
      <c r="U683" s="12"/>
      <c r="V683" s="12"/>
      <c r="W683" s="12">
        <f t="shared" si="188"/>
        <v>1885</v>
      </c>
      <c r="Y683" s="10">
        <v>12</v>
      </c>
      <c r="Z683" s="30"/>
      <c r="AA683" s="31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91">
        <f t="shared" si="191"/>
        <v>7263</v>
      </c>
      <c r="D684" s="32">
        <f>3130+47.5</f>
        <v>3177.5</v>
      </c>
      <c r="E684" s="32"/>
      <c r="F684" s="32"/>
      <c r="G684" s="32">
        <f t="shared" si="185"/>
        <v>3177.5</v>
      </c>
      <c r="H684" s="12"/>
      <c r="I684" s="12"/>
      <c r="J684" s="12"/>
      <c r="K684" s="12">
        <f t="shared" si="186"/>
        <v>3177.5</v>
      </c>
      <c r="M684" s="10">
        <v>13</v>
      </c>
      <c r="N684" s="30" t="s">
        <v>75</v>
      </c>
      <c r="O684" s="31">
        <f t="shared" si="192"/>
        <v>7203</v>
      </c>
      <c r="P684" s="32">
        <f>1252+19</f>
        <v>1271</v>
      </c>
      <c r="Q684" s="32"/>
      <c r="R684" s="32"/>
      <c r="S684" s="32">
        <f t="shared" si="187"/>
        <v>1271</v>
      </c>
      <c r="T684" s="12"/>
      <c r="U684" s="12"/>
      <c r="V684" s="12"/>
      <c r="W684" s="12">
        <f t="shared" si="188"/>
        <v>1271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91">
        <f t="shared" si="191"/>
        <v>7264</v>
      </c>
      <c r="D685" s="32">
        <f>8764+1788+9.5*17</f>
        <v>10713.5</v>
      </c>
      <c r="E685" s="32"/>
      <c r="F685" s="32"/>
      <c r="G685" s="32">
        <f t="shared" si="185"/>
        <v>10713.5</v>
      </c>
      <c r="H685" s="12"/>
      <c r="I685" s="12"/>
      <c r="J685" s="12">
        <v>-444</v>
      </c>
      <c r="K685" s="12">
        <f t="shared" si="186"/>
        <v>10269.5</v>
      </c>
      <c r="M685" s="10">
        <v>14</v>
      </c>
      <c r="N685" s="30" t="s">
        <v>75</v>
      </c>
      <c r="O685" s="31">
        <f t="shared" si="192"/>
        <v>7204</v>
      </c>
      <c r="P685" s="32">
        <f>1252</f>
        <v>1252</v>
      </c>
      <c r="Q685" s="32"/>
      <c r="R685" s="32"/>
      <c r="S685" s="32">
        <f t="shared" si="187"/>
        <v>1252</v>
      </c>
      <c r="T685" s="12"/>
      <c r="U685" s="12"/>
      <c r="V685" s="12"/>
      <c r="W685" s="12">
        <f t="shared" si="188"/>
        <v>1252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91">
        <f t="shared" si="191"/>
        <v>7265</v>
      </c>
      <c r="D686" s="32">
        <f>626*120+614*2+852+1005+1175+1145+500</f>
        <v>81025</v>
      </c>
      <c r="E686" s="32"/>
      <c r="F686" s="32"/>
      <c r="G686" s="32">
        <f t="shared" si="185"/>
        <v>81025</v>
      </c>
      <c r="H686" s="12"/>
      <c r="I686" s="12">
        <f>156+756+27</f>
        <v>939</v>
      </c>
      <c r="J686" s="12"/>
      <c r="K686" s="12">
        <f t="shared" si="186"/>
        <v>81964</v>
      </c>
      <c r="M686" s="10">
        <v>15</v>
      </c>
      <c r="N686" s="30" t="s">
        <v>75</v>
      </c>
      <c r="O686" s="31">
        <f t="shared" si="192"/>
        <v>7205</v>
      </c>
      <c r="P686" s="32">
        <f>5008+614+76</f>
        <v>5698</v>
      </c>
      <c r="Q686" s="32"/>
      <c r="R686" s="32"/>
      <c r="S686" s="32">
        <f t="shared" si="187"/>
        <v>5698</v>
      </c>
      <c r="T686" s="12"/>
      <c r="U686" s="12"/>
      <c r="V686" s="12"/>
      <c r="W686" s="12">
        <f t="shared" si="188"/>
        <v>5698</v>
      </c>
      <c r="Y686" s="10">
        <v>15</v>
      </c>
      <c r="Z686" s="30"/>
      <c r="AA686" s="31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91">
        <f t="shared" si="191"/>
        <v>7266</v>
      </c>
      <c r="D687" s="32">
        <f>1788+9.5*3</f>
        <v>1816.5</v>
      </c>
      <c r="E687" s="32"/>
      <c r="F687" s="32"/>
      <c r="G687" s="32">
        <f t="shared" si="185"/>
        <v>1816.5</v>
      </c>
      <c r="H687" s="12"/>
      <c r="I687" s="12"/>
      <c r="J687" s="12"/>
      <c r="K687" s="12">
        <f t="shared" si="186"/>
        <v>1816.5</v>
      </c>
      <c r="M687" s="10">
        <v>16</v>
      </c>
      <c r="N687" s="30" t="s">
        <v>75</v>
      </c>
      <c r="O687" s="31">
        <f t="shared" si="192"/>
        <v>7206</v>
      </c>
      <c r="P687" s="32">
        <f>6260+95</f>
        <v>6355</v>
      </c>
      <c r="Q687" s="32"/>
      <c r="R687" s="32"/>
      <c r="S687" s="32">
        <f t="shared" si="187"/>
        <v>6355</v>
      </c>
      <c r="T687" s="12"/>
      <c r="U687" s="12"/>
      <c r="V687" s="12"/>
      <c r="W687" s="12">
        <f t="shared" si="188"/>
        <v>6355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11" t="s">
        <v>27</v>
      </c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 t="s">
        <v>75</v>
      </c>
      <c r="O688" s="31">
        <f t="shared" si="192"/>
        <v>7207</v>
      </c>
      <c r="P688" s="35">
        <f>6886+104.5</f>
        <v>6990.5</v>
      </c>
      <c r="Q688" s="32"/>
      <c r="R688" s="32"/>
      <c r="S688" s="32">
        <f t="shared" si="187"/>
        <v>6990.5</v>
      </c>
      <c r="T688" s="12"/>
      <c r="U688" s="12"/>
      <c r="V688" s="12"/>
      <c r="W688" s="12">
        <f t="shared" si="188"/>
        <v>6990.5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 t="s">
        <v>75</v>
      </c>
      <c r="O689" s="31">
        <f t="shared" si="192"/>
        <v>7208</v>
      </c>
      <c r="P689" s="32">
        <f>1252+19</f>
        <v>1271</v>
      </c>
      <c r="Q689" s="32"/>
      <c r="R689" s="32"/>
      <c r="S689" s="32">
        <f t="shared" si="187"/>
        <v>1271</v>
      </c>
      <c r="T689" s="12"/>
      <c r="U689" s="12"/>
      <c r="V689" s="12"/>
      <c r="W689" s="12">
        <f t="shared" si="188"/>
        <v>1271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91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 t="s">
        <v>75</v>
      </c>
      <c r="O690" s="31">
        <f t="shared" si="192"/>
        <v>7209</v>
      </c>
      <c r="P690" s="32">
        <f>626+9.5</f>
        <v>635.5</v>
      </c>
      <c r="Q690" s="32"/>
      <c r="R690" s="32"/>
      <c r="S690" s="32">
        <f t="shared" si="187"/>
        <v>635.5</v>
      </c>
      <c r="T690" s="12"/>
      <c r="U690" s="12"/>
      <c r="V690" s="12"/>
      <c r="W690" s="12">
        <f t="shared" si="188"/>
        <v>635.5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91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 t="s">
        <v>75</v>
      </c>
      <c r="O691" s="31">
        <f t="shared" si="192"/>
        <v>7210</v>
      </c>
      <c r="P691" s="32">
        <f>1252+19</f>
        <v>1271</v>
      </c>
      <c r="Q691" s="32"/>
      <c r="R691" s="32"/>
      <c r="S691" s="32">
        <f t="shared" si="187"/>
        <v>1271</v>
      </c>
      <c r="T691" s="12"/>
      <c r="U691" s="12"/>
      <c r="V691" s="12"/>
      <c r="W691" s="12">
        <f t="shared" si="188"/>
        <v>1271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 t="s">
        <v>75</v>
      </c>
      <c r="O692" s="31">
        <f t="shared" si="192"/>
        <v>7211</v>
      </c>
      <c r="P692" s="46">
        <f>1878</f>
        <v>1878</v>
      </c>
      <c r="Q692" s="31"/>
      <c r="R692" s="31"/>
      <c r="S692" s="32">
        <f t="shared" si="187"/>
        <v>1878</v>
      </c>
      <c r="T692" s="10"/>
      <c r="U692" s="10"/>
      <c r="V692" s="10"/>
      <c r="W692" s="12">
        <f t="shared" si="188"/>
        <v>1878</v>
      </c>
      <c r="Y692" s="10">
        <v>21</v>
      </c>
      <c r="Z692" s="30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11" t="s">
        <v>27</v>
      </c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91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C694" s="31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91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1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91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91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91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91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P705" s="47"/>
      <c r="Q705" s="31"/>
      <c r="R705" s="31"/>
      <c r="S705" s="32">
        <f t="shared" ref="S705:S710" si="194">SUM(P705:Q705)</f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94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94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94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94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94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5">SUM(D712:E712)</f>
        <v>0</v>
      </c>
      <c r="H712" s="10"/>
      <c r="I712" s="10"/>
      <c r="J712" s="10"/>
      <c r="K712" s="12">
        <f t="shared" ref="K712" si="196">SUM(G712:J712)</f>
        <v>0</v>
      </c>
      <c r="M712" s="10"/>
      <c r="N712" s="30"/>
      <c r="O712" s="31"/>
      <c r="P712" s="47"/>
      <c r="Q712" s="31"/>
      <c r="R712" s="31"/>
      <c r="S712" s="32">
        <f t="shared" ref="S712" si="197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8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183127.5</v>
      </c>
      <c r="E715" s="38">
        <f t="shared" ref="E715:F715" si="199">SUM(E672:E712)</f>
        <v>0</v>
      </c>
      <c r="F715" s="38">
        <f t="shared" si="199"/>
        <v>0</v>
      </c>
      <c r="G715" s="38">
        <f>SUM(G672:G714)</f>
        <v>183127.5</v>
      </c>
      <c r="H715" s="4"/>
      <c r="I715" s="39">
        <f>SUM(I672:I714)</f>
        <v>1077</v>
      </c>
      <c r="J715" s="39">
        <f>SUM(J672:J714)</f>
        <v>-1332</v>
      </c>
      <c r="K715" s="40">
        <f>SUM(K672:K714)</f>
        <v>182872.5</v>
      </c>
      <c r="N715" s="57"/>
      <c r="O715" s="57"/>
      <c r="P715" s="38">
        <f>SUM(P672:P714)</f>
        <v>129558.5</v>
      </c>
      <c r="Q715" s="38">
        <f>SUM(Q672:Q696)</f>
        <v>-424</v>
      </c>
      <c r="R715" s="38">
        <f>SUM(R672:R696)</f>
        <v>0</v>
      </c>
      <c r="S715" s="38">
        <f>SUM(S672:S714)</f>
        <v>129134.5</v>
      </c>
      <c r="T715" s="4"/>
      <c r="U715" s="41">
        <f>SUM(U672:U714)</f>
        <v>90</v>
      </c>
      <c r="V715" s="41">
        <f>SUM(V672:V696)</f>
        <v>0</v>
      </c>
      <c r="W715" s="42">
        <f>SUM(W672:W714)</f>
        <v>129224.5</v>
      </c>
      <c r="Z715" s="57"/>
      <c r="AA715" s="57"/>
      <c r="AB715" s="38">
        <f>SUM(AB672:AB714)</f>
        <v>130018</v>
      </c>
      <c r="AC715" s="38">
        <f>SUM(AC672:AC696)</f>
        <v>-624</v>
      </c>
      <c r="AD715" s="38">
        <f>SUM(AD672:AD696)</f>
        <v>0</v>
      </c>
      <c r="AE715" s="38">
        <f>SUM(AE672:AE714)</f>
        <v>129394</v>
      </c>
      <c r="AF715" s="4"/>
      <c r="AG715" s="41">
        <f>SUM(AG672:AG714)</f>
        <v>0</v>
      </c>
      <c r="AH715" s="41">
        <f>SUM(AH672:AH696)</f>
        <v>-2442</v>
      </c>
      <c r="AI715" s="42">
        <f>SUM(AI672:AI714)</f>
        <v>126952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40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40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40</v>
      </c>
      <c r="Z722" s="57"/>
      <c r="AA722" s="57"/>
      <c r="AB722" s="57"/>
      <c r="AC722" s="57"/>
      <c r="AD722" s="57"/>
      <c r="AE722" s="57"/>
      <c r="AG722" s="57" t="s">
        <v>15</v>
      </c>
      <c r="AH722" s="19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42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8" t="s">
        <v>17</v>
      </c>
      <c r="E725" s="118"/>
      <c r="F725" s="104"/>
      <c r="G725" s="27"/>
      <c r="I725" s="116" t="s">
        <v>18</v>
      </c>
      <c r="J725" s="117"/>
      <c r="K725" s="114" t="s">
        <v>19</v>
      </c>
      <c r="N725" s="25"/>
      <c r="O725" s="26"/>
      <c r="P725" s="118" t="s">
        <v>17</v>
      </c>
      <c r="Q725" s="118"/>
      <c r="R725" s="104"/>
      <c r="S725" s="27"/>
      <c r="U725" s="116" t="s">
        <v>18</v>
      </c>
      <c r="V725" s="117"/>
      <c r="W725" s="114" t="s">
        <v>19</v>
      </c>
      <c r="Z725" s="25"/>
      <c r="AA725" s="26"/>
      <c r="AB725" s="118" t="s">
        <v>17</v>
      </c>
      <c r="AC725" s="118"/>
      <c r="AD725" s="104"/>
      <c r="AE725" s="27"/>
      <c r="AG725" s="116" t="s">
        <v>18</v>
      </c>
      <c r="AH725" s="117"/>
      <c r="AI725" s="114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5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5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5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7268</v>
      </c>
      <c r="D727" s="32">
        <f>3756+57</f>
        <v>3813</v>
      </c>
      <c r="E727" s="32"/>
      <c r="F727" s="32"/>
      <c r="G727" s="32">
        <f t="shared" ref="G727:G760" si="200">SUM(D727:E727)</f>
        <v>3813</v>
      </c>
      <c r="H727" s="12"/>
      <c r="I727" s="12"/>
      <c r="J727" s="12"/>
      <c r="K727" s="12">
        <f t="shared" ref="K727:K760" si="201">SUM(G727:J727)</f>
        <v>3813</v>
      </c>
      <c r="M727" s="10">
        <v>1</v>
      </c>
      <c r="N727" s="30" t="s">
        <v>78</v>
      </c>
      <c r="O727" s="31">
        <v>7212</v>
      </c>
      <c r="P727" s="32">
        <f>123948+1832+1300</f>
        <v>127080</v>
      </c>
      <c r="Q727" s="32">
        <v>-1854</v>
      </c>
      <c r="R727" s="32"/>
      <c r="S727" s="32">
        <f>SUM(P727:Q727)</f>
        <v>125226</v>
      </c>
      <c r="T727" s="12"/>
      <c r="U727" s="12">
        <f>1110+546</f>
        <v>1656</v>
      </c>
      <c r="V727" s="12">
        <f>-120+-360+-1176+-84</f>
        <v>-1740</v>
      </c>
      <c r="W727" s="12">
        <f>SUM(S727:V727)</f>
        <v>125142</v>
      </c>
      <c r="Y727" s="10">
        <v>1</v>
      </c>
      <c r="Z727" s="30" t="s">
        <v>78</v>
      </c>
      <c r="AA727" s="31">
        <v>7137</v>
      </c>
      <c r="AB727" s="32">
        <f>62600+1175+916</f>
        <v>64691</v>
      </c>
      <c r="AC727" s="32">
        <v>-630</v>
      </c>
      <c r="AD727" s="32"/>
      <c r="AE727" s="32">
        <f>SUM(AB727:AC727)</f>
        <v>64061</v>
      </c>
      <c r="AF727" s="12"/>
      <c r="AG727" s="12">
        <f>6549+234</f>
        <v>6783</v>
      </c>
      <c r="AH727" s="12">
        <f>-168+-210</f>
        <v>-378</v>
      </c>
      <c r="AI727" s="12">
        <f>SUM(AE727:AH727)</f>
        <v>70466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91">
        <f>C727+1</f>
        <v>7269</v>
      </c>
      <c r="D728" s="32">
        <f>2504+614+852</f>
        <v>3970</v>
      </c>
      <c r="E728" s="32"/>
      <c r="F728" s="32"/>
      <c r="G728" s="32">
        <f t="shared" si="200"/>
        <v>3970</v>
      </c>
      <c r="H728" s="12"/>
      <c r="I728" s="12"/>
      <c r="J728" s="12"/>
      <c r="K728" s="12">
        <f t="shared" si="201"/>
        <v>3970</v>
      </c>
      <c r="M728" s="10">
        <v>2</v>
      </c>
      <c r="N728" s="30" t="s">
        <v>78</v>
      </c>
      <c r="O728" s="31">
        <f>O727+1</f>
        <v>7213</v>
      </c>
      <c r="P728" s="32">
        <f>5634+85.5</f>
        <v>5719.5</v>
      </c>
      <c r="Q728" s="32"/>
      <c r="R728" s="32"/>
      <c r="S728" s="32">
        <f t="shared" ref="S728:S759" si="202">SUM(P728:Q728)</f>
        <v>5719.5</v>
      </c>
      <c r="T728" s="12"/>
      <c r="U728" s="12"/>
      <c r="V728" s="12">
        <v>-666</v>
      </c>
      <c r="W728" s="12">
        <f t="shared" ref="W728:W768" si="203">SUM(S728:V728)</f>
        <v>5053.5</v>
      </c>
      <c r="Y728" s="10">
        <v>2</v>
      </c>
      <c r="Z728" s="30" t="s">
        <v>78</v>
      </c>
      <c r="AA728" s="31">
        <f>AA727+1</f>
        <v>7138</v>
      </c>
      <c r="AB728" s="32">
        <f>202824+11052+47680+2556+2010+2496+3893</f>
        <v>272511</v>
      </c>
      <c r="AC728" s="32">
        <v>-2682</v>
      </c>
      <c r="AD728" s="32"/>
      <c r="AE728" s="32">
        <f t="shared" ref="AE728:AE765" si="204">SUM(AB728:AC728)</f>
        <v>269829</v>
      </c>
      <c r="AF728" s="12"/>
      <c r="AG728" s="12">
        <f>360+546+252</f>
        <v>1158</v>
      </c>
      <c r="AH728" s="12"/>
      <c r="AI728" s="12">
        <f t="shared" ref="AI728:AI768" si="205">SUM(AE728:AH728)</f>
        <v>270987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91">
        <f t="shared" ref="C729:C748" si="206">C728+1</f>
        <v>7270</v>
      </c>
      <c r="D729" s="33">
        <f>5008+1228</f>
        <v>6236</v>
      </c>
      <c r="E729" s="33"/>
      <c r="F729" s="33"/>
      <c r="G729" s="33">
        <f t="shared" si="200"/>
        <v>6236</v>
      </c>
      <c r="H729" s="34"/>
      <c r="I729" s="34"/>
      <c r="J729" s="34"/>
      <c r="K729" s="34">
        <f t="shared" si="201"/>
        <v>6236</v>
      </c>
      <c r="M729" s="10">
        <v>3</v>
      </c>
      <c r="N729" s="30" t="s">
        <v>78</v>
      </c>
      <c r="O729" s="31">
        <f t="shared" ref="O729:O733" si="207">O728+1</f>
        <v>7214</v>
      </c>
      <c r="P729" s="32">
        <v>4465.5</v>
      </c>
      <c r="Q729" s="32"/>
      <c r="R729" s="32"/>
      <c r="S729" s="32">
        <f t="shared" si="202"/>
        <v>4465.5</v>
      </c>
      <c r="T729" s="12"/>
      <c r="U729" s="12">
        <f>222+1.5+13.5</f>
        <v>237</v>
      </c>
      <c r="V729" s="12"/>
      <c r="W729" s="12">
        <f t="shared" si="203"/>
        <v>4702.5</v>
      </c>
      <c r="Y729" s="10">
        <v>3</v>
      </c>
      <c r="Z729" s="30" t="s">
        <v>78</v>
      </c>
      <c r="AA729" s="31">
        <f t="shared" ref="AA729:AA730" si="208">AA728+1</f>
        <v>7139</v>
      </c>
      <c r="AB729" s="33">
        <f>20032+1228+11324+458+1000</f>
        <v>34042</v>
      </c>
      <c r="AC729" s="33">
        <v>-300</v>
      </c>
      <c r="AD729" s="32"/>
      <c r="AE729" s="32">
        <f t="shared" si="204"/>
        <v>33742</v>
      </c>
      <c r="AF729" s="12"/>
      <c r="AG729" s="12"/>
      <c r="AH729" s="12"/>
      <c r="AI729" s="12">
        <f t="shared" si="205"/>
        <v>33742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91">
        <f t="shared" si="206"/>
        <v>7271</v>
      </c>
      <c r="D730" s="32">
        <f>8138+123.5</f>
        <v>8261.5</v>
      </c>
      <c r="E730" s="32"/>
      <c r="F730" s="32"/>
      <c r="G730" s="32">
        <f t="shared" si="200"/>
        <v>8261.5</v>
      </c>
      <c r="H730" s="12"/>
      <c r="I730" s="12"/>
      <c r="J730" s="12"/>
      <c r="K730" s="12">
        <f t="shared" si="201"/>
        <v>8261.5</v>
      </c>
      <c r="M730" s="10">
        <v>4</v>
      </c>
      <c r="N730" s="30" t="s">
        <v>78</v>
      </c>
      <c r="O730" s="31">
        <f t="shared" si="207"/>
        <v>7215</v>
      </c>
      <c r="P730" s="32">
        <f>614</f>
        <v>614</v>
      </c>
      <c r="Q730" s="32"/>
      <c r="R730" s="32"/>
      <c r="S730" s="32">
        <f t="shared" si="202"/>
        <v>614</v>
      </c>
      <c r="T730" s="12"/>
      <c r="U730" s="12"/>
      <c r="V730" s="12"/>
      <c r="W730" s="12">
        <f t="shared" si="203"/>
        <v>614</v>
      </c>
      <c r="Y730" s="10">
        <v>4</v>
      </c>
      <c r="Z730" s="30" t="s">
        <v>78</v>
      </c>
      <c r="AA730" s="31">
        <f t="shared" si="208"/>
        <v>7140</v>
      </c>
      <c r="AB730" s="32">
        <f>3130+1788</f>
        <v>4918</v>
      </c>
      <c r="AC730" s="32"/>
      <c r="AD730" s="32"/>
      <c r="AE730" s="32">
        <f t="shared" si="204"/>
        <v>4918</v>
      </c>
      <c r="AF730" s="12"/>
      <c r="AH730" s="12"/>
      <c r="AI730" s="12">
        <f t="shared" si="205"/>
        <v>4918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91">
        <f t="shared" si="206"/>
        <v>7272</v>
      </c>
      <c r="D731" s="32">
        <f>3756+57</f>
        <v>3813</v>
      </c>
      <c r="E731" s="32"/>
      <c r="F731" s="32"/>
      <c r="G731" s="32">
        <f t="shared" si="200"/>
        <v>3813</v>
      </c>
      <c r="H731" s="12"/>
      <c r="I731" s="12">
        <v>18</v>
      </c>
      <c r="J731" s="12"/>
      <c r="K731" s="12">
        <f t="shared" si="201"/>
        <v>3831</v>
      </c>
      <c r="M731" s="10">
        <v>5</v>
      </c>
      <c r="N731" s="30" t="s">
        <v>78</v>
      </c>
      <c r="O731" s="31">
        <f t="shared" si="207"/>
        <v>7216</v>
      </c>
      <c r="P731" s="32">
        <f>1252+19</f>
        <v>1271</v>
      </c>
      <c r="Q731" s="32"/>
      <c r="R731" s="32"/>
      <c r="S731" s="32">
        <f t="shared" si="202"/>
        <v>1271</v>
      </c>
      <c r="T731" s="12"/>
      <c r="U731" s="12"/>
      <c r="V731" s="12"/>
      <c r="W731" s="12">
        <f t="shared" si="203"/>
        <v>1271</v>
      </c>
      <c r="Y731" s="10">
        <v>5</v>
      </c>
      <c r="Z731" s="30"/>
      <c r="AA731" s="11" t="s">
        <v>27</v>
      </c>
      <c r="AB731" s="32"/>
      <c r="AC731" s="32"/>
      <c r="AD731" s="32"/>
      <c r="AE731" s="32">
        <f t="shared" si="204"/>
        <v>0</v>
      </c>
      <c r="AF731" s="12"/>
      <c r="AG731" s="12"/>
      <c r="AH731" s="12"/>
      <c r="AI731" s="12">
        <f t="shared" si="205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91">
        <f t="shared" si="206"/>
        <v>7273</v>
      </c>
      <c r="D732" s="32">
        <f>7512+114</f>
        <v>7626</v>
      </c>
      <c r="E732" s="32"/>
      <c r="F732" s="32"/>
      <c r="G732" s="32">
        <f t="shared" si="200"/>
        <v>7626</v>
      </c>
      <c r="H732" s="12"/>
      <c r="I732" s="12"/>
      <c r="J732" s="12"/>
      <c r="K732" s="12">
        <f t="shared" si="201"/>
        <v>7626</v>
      </c>
      <c r="M732" s="10">
        <v>6</v>
      </c>
      <c r="N732" s="30" t="s">
        <v>78</v>
      </c>
      <c r="O732" s="31">
        <f t="shared" si="207"/>
        <v>7217</v>
      </c>
      <c r="P732" s="32">
        <f>6260+614+95</f>
        <v>6969</v>
      </c>
      <c r="Q732" s="32"/>
      <c r="R732" s="32"/>
      <c r="S732" s="32">
        <f t="shared" si="202"/>
        <v>6969</v>
      </c>
      <c r="T732" s="12"/>
      <c r="U732" s="12"/>
      <c r="V732" s="10">
        <v>-666</v>
      </c>
      <c r="W732" s="12">
        <f t="shared" si="203"/>
        <v>6303</v>
      </c>
      <c r="Y732" s="10">
        <v>6</v>
      </c>
      <c r="Z732" s="30"/>
      <c r="AA732" s="31"/>
      <c r="AB732" s="32"/>
      <c r="AC732" s="32"/>
      <c r="AD732" s="32"/>
      <c r="AE732" s="32">
        <f t="shared" si="204"/>
        <v>0</v>
      </c>
      <c r="AF732" s="12"/>
      <c r="AG732" s="12"/>
      <c r="AH732" s="10"/>
      <c r="AI732" s="12">
        <f t="shared" si="20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91">
        <f t="shared" si="206"/>
        <v>7274</v>
      </c>
      <c r="D733" s="32">
        <f>10016</f>
        <v>10016</v>
      </c>
      <c r="E733" s="32"/>
      <c r="F733" s="32"/>
      <c r="G733" s="32">
        <f t="shared" si="200"/>
        <v>10016</v>
      </c>
      <c r="H733" s="12"/>
      <c r="I733" s="12"/>
      <c r="J733" s="12"/>
      <c r="K733" s="12">
        <f t="shared" si="201"/>
        <v>10016</v>
      </c>
      <c r="M733" s="10">
        <v>7</v>
      </c>
      <c r="N733" s="30" t="s">
        <v>78</v>
      </c>
      <c r="O733" s="31">
        <f t="shared" si="207"/>
        <v>7218</v>
      </c>
      <c r="P733" s="32">
        <f>1192+19</f>
        <v>1211</v>
      </c>
      <c r="Q733" s="32"/>
      <c r="R733" s="32"/>
      <c r="S733" s="32">
        <f t="shared" si="202"/>
        <v>1211</v>
      </c>
      <c r="T733" s="12"/>
      <c r="U733" s="12"/>
      <c r="V733" s="12"/>
      <c r="W733" s="12">
        <f t="shared" si="203"/>
        <v>1211</v>
      </c>
      <c r="Y733" s="10">
        <v>7</v>
      </c>
      <c r="Z733" s="30"/>
      <c r="AA733" s="31"/>
      <c r="AB733" s="32"/>
      <c r="AC733" s="32"/>
      <c r="AD733" s="32"/>
      <c r="AE733" s="32">
        <f t="shared" si="204"/>
        <v>0</v>
      </c>
      <c r="AF733" s="12"/>
      <c r="AG733" s="58"/>
      <c r="AH733" s="12"/>
      <c r="AI733" s="12">
        <f t="shared" si="20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91">
        <f t="shared" si="206"/>
        <v>7275</v>
      </c>
      <c r="D734" s="32">
        <f>5634+596</f>
        <v>6230</v>
      </c>
      <c r="E734" s="32"/>
      <c r="F734" s="32"/>
      <c r="G734" s="32">
        <f t="shared" si="200"/>
        <v>6230</v>
      </c>
      <c r="H734" s="12"/>
      <c r="I734" s="12"/>
      <c r="J734" s="12"/>
      <c r="K734" s="12">
        <f t="shared" si="201"/>
        <v>6230</v>
      </c>
      <c r="M734" s="10">
        <v>8</v>
      </c>
      <c r="N734" s="30"/>
      <c r="O734" s="11" t="s">
        <v>27</v>
      </c>
      <c r="P734" s="32"/>
      <c r="Q734" s="32"/>
      <c r="R734" s="32"/>
      <c r="S734" s="32">
        <f t="shared" si="202"/>
        <v>0</v>
      </c>
      <c r="T734" s="12"/>
      <c r="U734" s="12"/>
      <c r="V734" s="12"/>
      <c r="W734" s="12">
        <f t="shared" si="203"/>
        <v>0</v>
      </c>
      <c r="Y734" s="10">
        <v>8</v>
      </c>
      <c r="Z734" s="30"/>
      <c r="AA734" s="31"/>
      <c r="AB734" s="32"/>
      <c r="AC734" s="32"/>
      <c r="AE734" s="32">
        <f t="shared" si="204"/>
        <v>0</v>
      </c>
      <c r="AF734" s="12"/>
      <c r="AG734" s="12"/>
      <c r="AH734" s="12"/>
      <c r="AI734" s="12">
        <f t="shared" si="20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91">
        <f t="shared" si="206"/>
        <v>7276</v>
      </c>
      <c r="D735" s="32">
        <f>6886+104.5</f>
        <v>6990.5</v>
      </c>
      <c r="E735" s="32"/>
      <c r="F735" s="32"/>
      <c r="G735" s="32">
        <f t="shared" si="200"/>
        <v>6990.5</v>
      </c>
      <c r="H735" s="12"/>
      <c r="I735" s="12"/>
      <c r="J735" s="12"/>
      <c r="K735" s="12">
        <f t="shared" si="201"/>
        <v>6990.5</v>
      </c>
      <c r="M735" s="10">
        <v>9</v>
      </c>
      <c r="N735" s="30"/>
      <c r="O735" s="31"/>
      <c r="P735" s="32"/>
      <c r="Q735" s="32"/>
      <c r="R735" s="32"/>
      <c r="S735" s="32">
        <f t="shared" si="202"/>
        <v>0</v>
      </c>
      <c r="T735" s="12"/>
      <c r="U735" s="12"/>
      <c r="V735" s="12"/>
      <c r="W735" s="12">
        <f t="shared" si="203"/>
        <v>0</v>
      </c>
      <c r="Y735" s="10">
        <v>9</v>
      </c>
      <c r="Z735" s="30"/>
      <c r="AA735" s="31"/>
      <c r="AB735" s="32"/>
      <c r="AC735" s="32"/>
      <c r="AD735" s="32"/>
      <c r="AE735" s="32">
        <f t="shared" si="204"/>
        <v>0</v>
      </c>
      <c r="AF735" s="12"/>
      <c r="AG735" s="58"/>
      <c r="AH735" s="12"/>
      <c r="AI735" s="12">
        <f t="shared" si="20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91">
        <f t="shared" si="206"/>
        <v>7277</v>
      </c>
      <c r="D736" s="32">
        <f>5634+1788+114</f>
        <v>7536</v>
      </c>
      <c r="E736" s="32"/>
      <c r="F736" s="32"/>
      <c r="G736" s="32">
        <f t="shared" si="200"/>
        <v>7536</v>
      </c>
      <c r="H736" s="12"/>
      <c r="I736" s="12">
        <v>555</v>
      </c>
      <c r="J736" s="12"/>
      <c r="K736" s="12">
        <f t="shared" si="201"/>
        <v>8091</v>
      </c>
      <c r="M736" s="10">
        <v>10</v>
      </c>
      <c r="N736" s="30"/>
      <c r="O736" s="31"/>
      <c r="P736" s="32"/>
      <c r="Q736" s="32"/>
      <c r="R736" s="32"/>
      <c r="S736" s="32">
        <f t="shared" si="202"/>
        <v>0</v>
      </c>
      <c r="T736" s="12"/>
      <c r="U736" s="12"/>
      <c r="V736" s="12"/>
      <c r="W736" s="12">
        <f t="shared" si="203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4"/>
        <v>0</v>
      </c>
      <c r="AF736" s="12"/>
      <c r="AG736" s="12"/>
      <c r="AH736" s="12"/>
      <c r="AI736" s="12">
        <f t="shared" si="20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91">
        <f t="shared" si="206"/>
        <v>7278</v>
      </c>
      <c r="D737" s="32">
        <f>18780+2384</f>
        <v>21164</v>
      </c>
      <c r="E737" s="32"/>
      <c r="F737" s="32"/>
      <c r="G737" s="32">
        <f t="shared" si="200"/>
        <v>21164</v>
      </c>
      <c r="H737" s="12"/>
      <c r="I737" s="12"/>
      <c r="J737" s="12"/>
      <c r="K737" s="12">
        <f t="shared" si="201"/>
        <v>21164</v>
      </c>
      <c r="M737" s="10">
        <v>11</v>
      </c>
      <c r="N737" s="30"/>
      <c r="O737" s="31"/>
      <c r="P737" s="32"/>
      <c r="Q737" s="32"/>
      <c r="R737" s="32"/>
      <c r="S737" s="32">
        <f t="shared" si="202"/>
        <v>0</v>
      </c>
      <c r="T737" s="12"/>
      <c r="U737" s="12"/>
      <c r="V737" s="12"/>
      <c r="W737" s="12">
        <f t="shared" si="203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4"/>
        <v>0</v>
      </c>
      <c r="AF737" s="12"/>
      <c r="AG737" s="12"/>
      <c r="AH737" s="12"/>
      <c r="AI737" s="12">
        <f t="shared" si="20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91">
        <f t="shared" si="206"/>
        <v>7279</v>
      </c>
      <c r="D738" s="32">
        <f>7512+1788+500</f>
        <v>9800</v>
      </c>
      <c r="E738" s="32"/>
      <c r="F738" s="32"/>
      <c r="G738" s="32">
        <f t="shared" si="200"/>
        <v>9800</v>
      </c>
      <c r="H738" s="12"/>
      <c r="I738" s="12"/>
      <c r="J738" s="10"/>
      <c r="K738" s="12">
        <f t="shared" si="201"/>
        <v>9800</v>
      </c>
      <c r="M738" s="10">
        <v>12</v>
      </c>
      <c r="N738" s="30"/>
      <c r="O738" s="31"/>
      <c r="P738" s="32"/>
      <c r="Q738" s="32"/>
      <c r="R738" s="32"/>
      <c r="S738" s="32">
        <f t="shared" si="202"/>
        <v>0</v>
      </c>
      <c r="T738" s="12"/>
      <c r="U738" s="12"/>
      <c r="V738" s="12"/>
      <c r="W738" s="12">
        <f t="shared" si="203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4"/>
        <v>0</v>
      </c>
      <c r="AF738" s="12"/>
      <c r="AG738" s="12"/>
      <c r="AH738" s="12"/>
      <c r="AI738" s="12">
        <f t="shared" si="20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91">
        <f t="shared" si="206"/>
        <v>7280</v>
      </c>
      <c r="D739" s="32">
        <f>6260</f>
        <v>6260</v>
      </c>
      <c r="E739" s="32"/>
      <c r="F739" s="32"/>
      <c r="G739" s="32">
        <f t="shared" si="200"/>
        <v>6260</v>
      </c>
      <c r="H739" s="12"/>
      <c r="I739" s="12">
        <v>27</v>
      </c>
      <c r="J739" s="12"/>
      <c r="K739" s="12">
        <f t="shared" si="201"/>
        <v>6287</v>
      </c>
      <c r="M739" s="10">
        <v>13</v>
      </c>
      <c r="N739" s="30"/>
      <c r="O739" s="31"/>
      <c r="P739" s="32"/>
      <c r="Q739" s="32"/>
      <c r="R739" s="32"/>
      <c r="S739" s="32">
        <f t="shared" si="202"/>
        <v>0</v>
      </c>
      <c r="T739" s="12"/>
      <c r="U739" s="12"/>
      <c r="V739" s="12"/>
      <c r="W739" s="12">
        <f t="shared" si="203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4"/>
        <v>0</v>
      </c>
      <c r="AF739" s="12"/>
      <c r="AG739" s="12"/>
      <c r="AH739" s="12"/>
      <c r="AI739" s="12">
        <f t="shared" si="20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91">
        <f t="shared" si="206"/>
        <v>7281</v>
      </c>
      <c r="D740" s="32">
        <f>1252+19</f>
        <v>1271</v>
      </c>
      <c r="E740" s="32"/>
      <c r="F740" s="32"/>
      <c r="G740" s="32">
        <f t="shared" si="200"/>
        <v>1271</v>
      </c>
      <c r="H740" s="12"/>
      <c r="I740" s="12"/>
      <c r="J740" s="12"/>
      <c r="K740" s="12">
        <f t="shared" si="201"/>
        <v>1271</v>
      </c>
      <c r="M740" s="10">
        <v>14</v>
      </c>
      <c r="N740" s="30"/>
      <c r="O740" s="31"/>
      <c r="P740" s="32"/>
      <c r="Q740" s="32"/>
      <c r="R740" s="32"/>
      <c r="S740" s="32">
        <f t="shared" si="202"/>
        <v>0</v>
      </c>
      <c r="T740" s="12"/>
      <c r="U740" s="12"/>
      <c r="V740" s="12"/>
      <c r="W740" s="12">
        <f t="shared" si="203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4"/>
        <v>0</v>
      </c>
      <c r="AF740" s="12"/>
      <c r="AG740" s="12"/>
      <c r="AH740" s="12"/>
      <c r="AI740" s="12">
        <f t="shared" si="20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91">
        <f t="shared" si="206"/>
        <v>7282</v>
      </c>
      <c r="D741" s="32">
        <f>626*74+596*4+832+500</f>
        <v>50040</v>
      </c>
      <c r="E741" s="32"/>
      <c r="F741" s="32"/>
      <c r="G741" s="32">
        <f t="shared" si="200"/>
        <v>50040</v>
      </c>
      <c r="H741" s="12"/>
      <c r="I741" s="12"/>
      <c r="J741" s="12"/>
      <c r="K741" s="12">
        <f t="shared" si="201"/>
        <v>50040</v>
      </c>
      <c r="M741" s="10">
        <v>15</v>
      </c>
      <c r="N741" s="30"/>
      <c r="O741" s="31"/>
      <c r="P741" s="32"/>
      <c r="Q741" s="32"/>
      <c r="R741" s="32"/>
      <c r="S741" s="32">
        <f t="shared" si="202"/>
        <v>0</v>
      </c>
      <c r="T741" s="12"/>
      <c r="U741" s="12"/>
      <c r="V741" s="12"/>
      <c r="W741" s="12">
        <f t="shared" si="203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4"/>
        <v>0</v>
      </c>
      <c r="AF741" s="12"/>
      <c r="AG741" s="12"/>
      <c r="AH741" s="12"/>
      <c r="AI741" s="12">
        <f t="shared" si="20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91">
        <f t="shared" si="206"/>
        <v>7283</v>
      </c>
      <c r="D742" s="32">
        <f>6260+95</f>
        <v>6355</v>
      </c>
      <c r="E742" s="32"/>
      <c r="F742" s="32"/>
      <c r="G742" s="32">
        <f t="shared" si="200"/>
        <v>6355</v>
      </c>
      <c r="H742" s="12"/>
      <c r="I742" s="12"/>
      <c r="J742" s="12"/>
      <c r="K742" s="12">
        <f t="shared" si="201"/>
        <v>6355</v>
      </c>
      <c r="M742" s="10">
        <v>16</v>
      </c>
      <c r="N742" s="30"/>
      <c r="O742" s="31"/>
      <c r="P742" s="32"/>
      <c r="Q742" s="32"/>
      <c r="R742" s="32"/>
      <c r="S742" s="32">
        <f t="shared" si="202"/>
        <v>0</v>
      </c>
      <c r="T742" s="12"/>
      <c r="U742" s="12"/>
      <c r="V742" s="12"/>
      <c r="W742" s="12">
        <f t="shared" si="203"/>
        <v>0</v>
      </c>
      <c r="Y742" s="10">
        <v>16</v>
      </c>
      <c r="Z742" s="30"/>
      <c r="AB742" s="32"/>
      <c r="AC742" s="32"/>
      <c r="AD742" s="32"/>
      <c r="AE742" s="32">
        <f t="shared" si="204"/>
        <v>0</v>
      </c>
      <c r="AF742" s="12"/>
      <c r="AG742" s="12"/>
      <c r="AH742" s="12"/>
      <c r="AI742" s="12">
        <f t="shared" si="20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91">
        <f t="shared" si="206"/>
        <v>7284</v>
      </c>
      <c r="D743" s="32">
        <f>1252+19</f>
        <v>1271</v>
      </c>
      <c r="E743" s="32"/>
      <c r="F743" s="32"/>
      <c r="G743" s="32">
        <f t="shared" si="200"/>
        <v>1271</v>
      </c>
      <c r="H743" s="12"/>
      <c r="I743" s="12"/>
      <c r="J743" s="12"/>
      <c r="K743" s="12">
        <f t="shared" si="201"/>
        <v>1271</v>
      </c>
      <c r="M743" s="10">
        <v>17</v>
      </c>
      <c r="N743" s="30"/>
      <c r="O743" s="31"/>
      <c r="P743" s="35"/>
      <c r="Q743" s="32"/>
      <c r="R743" s="32"/>
      <c r="S743" s="32">
        <f t="shared" si="202"/>
        <v>0</v>
      </c>
      <c r="T743" s="12"/>
      <c r="U743" s="12"/>
      <c r="V743" s="12"/>
      <c r="W743" s="12">
        <f t="shared" si="203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4"/>
        <v>0</v>
      </c>
      <c r="AF743" s="12"/>
      <c r="AG743" s="12"/>
      <c r="AH743" s="12"/>
      <c r="AI743" s="12">
        <f t="shared" si="20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91">
        <f t="shared" si="206"/>
        <v>7285</v>
      </c>
      <c r="D744" s="32">
        <f>1878+28.5</f>
        <v>1906.5</v>
      </c>
      <c r="E744" s="32"/>
      <c r="F744" s="32"/>
      <c r="G744" s="32">
        <f t="shared" si="200"/>
        <v>1906.5</v>
      </c>
      <c r="H744" s="12"/>
      <c r="I744" s="12"/>
      <c r="J744" s="12"/>
      <c r="K744" s="12">
        <f t="shared" si="201"/>
        <v>1906.5</v>
      </c>
      <c r="M744" s="10">
        <v>18</v>
      </c>
      <c r="N744" s="30"/>
      <c r="O744" s="31"/>
      <c r="P744" s="32"/>
      <c r="Q744" s="32"/>
      <c r="R744" s="32"/>
      <c r="S744" s="32">
        <f t="shared" si="202"/>
        <v>0</v>
      </c>
      <c r="T744" s="12"/>
      <c r="U744" s="12"/>
      <c r="V744" s="12"/>
      <c r="W744" s="12">
        <f t="shared" si="203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4"/>
        <v>0</v>
      </c>
      <c r="AF744" s="12"/>
      <c r="AG744" s="12"/>
      <c r="AH744" s="12"/>
      <c r="AI744" s="12">
        <f t="shared" si="20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91">
        <f t="shared" si="206"/>
        <v>7286</v>
      </c>
      <c r="D745" s="32">
        <f>1878+28.5</f>
        <v>1906.5</v>
      </c>
      <c r="E745" s="32"/>
      <c r="F745" s="32"/>
      <c r="G745" s="32">
        <f t="shared" si="200"/>
        <v>1906.5</v>
      </c>
      <c r="H745" s="12"/>
      <c r="I745" s="12"/>
      <c r="J745" s="12"/>
      <c r="K745" s="12">
        <f t="shared" si="201"/>
        <v>1906.5</v>
      </c>
      <c r="M745" s="10">
        <v>19</v>
      </c>
      <c r="N745" s="30"/>
      <c r="O745" s="31"/>
      <c r="P745" s="32"/>
      <c r="Q745" s="32"/>
      <c r="R745" s="32"/>
      <c r="S745" s="32">
        <f t="shared" si="202"/>
        <v>0</v>
      </c>
      <c r="T745" s="12"/>
      <c r="U745" s="12"/>
      <c r="V745" s="12"/>
      <c r="W745" s="12">
        <f t="shared" si="203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4"/>
        <v>0</v>
      </c>
      <c r="AF745" s="12"/>
      <c r="AG745" s="12"/>
      <c r="AH745" s="12"/>
      <c r="AI745" s="12">
        <f t="shared" si="20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91">
        <f t="shared" si="206"/>
        <v>7287</v>
      </c>
      <c r="D746" s="32">
        <f>4382+66.5</f>
        <v>4448.5</v>
      </c>
      <c r="E746" s="32"/>
      <c r="F746" s="32"/>
      <c r="G746" s="32">
        <f t="shared" si="200"/>
        <v>4448.5</v>
      </c>
      <c r="H746" s="12"/>
      <c r="I746" s="12"/>
      <c r="J746" s="12"/>
      <c r="K746" s="12">
        <f t="shared" si="201"/>
        <v>4448.5</v>
      </c>
      <c r="M746" s="10">
        <v>20</v>
      </c>
      <c r="N746" s="30"/>
      <c r="O746" s="31"/>
      <c r="P746" s="32"/>
      <c r="Q746" s="32"/>
      <c r="R746" s="32"/>
      <c r="S746" s="32">
        <f t="shared" si="202"/>
        <v>0</v>
      </c>
      <c r="T746" s="12"/>
      <c r="U746" s="12"/>
      <c r="V746" s="12"/>
      <c r="W746" s="12">
        <f t="shared" si="203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4"/>
        <v>0</v>
      </c>
      <c r="AF746" s="12"/>
      <c r="AG746" s="12"/>
      <c r="AH746" s="12"/>
      <c r="AI746" s="12">
        <f t="shared" si="20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91">
        <f t="shared" si="206"/>
        <v>7288</v>
      </c>
      <c r="D747" s="32">
        <f>1878+28.5+250</f>
        <v>2156.5</v>
      </c>
      <c r="E747" s="32"/>
      <c r="F747" s="32"/>
      <c r="G747" s="32">
        <f t="shared" si="200"/>
        <v>2156.5</v>
      </c>
      <c r="H747" s="10"/>
      <c r="I747" s="10">
        <v>13</v>
      </c>
      <c r="J747" s="10"/>
      <c r="K747" s="12">
        <f t="shared" si="201"/>
        <v>2169.5</v>
      </c>
      <c r="M747" s="10">
        <v>21</v>
      </c>
      <c r="N747" s="30"/>
      <c r="O747" s="31"/>
      <c r="P747" s="46"/>
      <c r="Q747" s="31"/>
      <c r="R747" s="31"/>
      <c r="S747" s="32">
        <f t="shared" si="202"/>
        <v>0</v>
      </c>
      <c r="T747" s="10"/>
      <c r="U747" s="10"/>
      <c r="V747" s="10"/>
      <c r="W747" s="12">
        <f t="shared" si="203"/>
        <v>0</v>
      </c>
      <c r="Y747" s="10">
        <v>21</v>
      </c>
      <c r="Z747" s="30"/>
      <c r="AB747" s="46"/>
      <c r="AC747" s="31"/>
      <c r="AD747" s="31"/>
      <c r="AE747" s="32">
        <f t="shared" si="204"/>
        <v>0</v>
      </c>
      <c r="AF747" s="10"/>
      <c r="AG747" s="10"/>
      <c r="AH747" s="10"/>
      <c r="AI747" s="12">
        <f t="shared" si="20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91">
        <f t="shared" si="206"/>
        <v>7289</v>
      </c>
      <c r="D748" s="32">
        <f>9390+458</f>
        <v>9848</v>
      </c>
      <c r="E748" s="32"/>
      <c r="F748" s="32"/>
      <c r="G748" s="32">
        <f t="shared" si="200"/>
        <v>9848</v>
      </c>
      <c r="H748" s="10"/>
      <c r="I748" s="10"/>
      <c r="J748" s="10"/>
      <c r="K748" s="12">
        <f t="shared" si="201"/>
        <v>9848</v>
      </c>
      <c r="M748" s="10">
        <v>22</v>
      </c>
      <c r="N748" s="30"/>
      <c r="P748" s="45"/>
      <c r="Q748" s="31"/>
      <c r="R748" s="31"/>
      <c r="S748" s="32">
        <f t="shared" si="202"/>
        <v>0</v>
      </c>
      <c r="T748" s="10"/>
      <c r="U748" s="10"/>
      <c r="V748" s="10"/>
      <c r="W748" s="12">
        <f t="shared" si="203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4"/>
        <v>0</v>
      </c>
      <c r="AF748" s="10"/>
      <c r="AG748" s="10"/>
      <c r="AH748" s="10"/>
      <c r="AI748" s="12">
        <f t="shared" si="20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00"/>
        <v>0</v>
      </c>
      <c r="H749" s="10"/>
      <c r="I749" s="10"/>
      <c r="J749" s="12"/>
      <c r="K749" s="12">
        <f t="shared" si="201"/>
        <v>0</v>
      </c>
      <c r="M749" s="10">
        <v>23</v>
      </c>
      <c r="N749" s="30"/>
      <c r="O749" s="31"/>
      <c r="P749" s="47"/>
      <c r="Q749" s="31"/>
      <c r="S749" s="32">
        <f t="shared" si="202"/>
        <v>0</v>
      </c>
      <c r="T749" s="10"/>
      <c r="U749" s="10"/>
      <c r="V749" s="10"/>
      <c r="W749" s="12">
        <f t="shared" si="203"/>
        <v>0</v>
      </c>
      <c r="Y749" s="10">
        <v>23</v>
      </c>
      <c r="Z749" s="30"/>
      <c r="AA749" s="31"/>
      <c r="AB749" s="47"/>
      <c r="AC749" s="31"/>
      <c r="AE749" s="32">
        <f t="shared" si="204"/>
        <v>0</v>
      </c>
      <c r="AF749" s="10"/>
      <c r="AG749" s="10"/>
      <c r="AH749" s="10"/>
      <c r="AI749" s="12">
        <f t="shared" si="20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91"/>
      <c r="D750" s="32"/>
      <c r="E750" s="32"/>
      <c r="F750" s="32"/>
      <c r="G750" s="32">
        <f t="shared" si="200"/>
        <v>0</v>
      </c>
      <c r="H750" s="10"/>
      <c r="I750" s="10"/>
      <c r="J750" s="10"/>
      <c r="K750" s="12">
        <f t="shared" si="201"/>
        <v>0</v>
      </c>
      <c r="M750" s="10">
        <v>24</v>
      </c>
      <c r="N750" s="30"/>
      <c r="O750" s="31"/>
      <c r="P750" s="47"/>
      <c r="Q750" s="31"/>
      <c r="R750" s="31"/>
      <c r="S750" s="32">
        <f t="shared" si="202"/>
        <v>0</v>
      </c>
      <c r="T750" s="10"/>
      <c r="U750" s="10"/>
      <c r="V750" s="10"/>
      <c r="W750" s="12">
        <f t="shared" si="203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4"/>
        <v>0</v>
      </c>
      <c r="AF750" s="10"/>
      <c r="AG750" s="10"/>
      <c r="AH750" s="10"/>
      <c r="AI750" s="12">
        <f t="shared" si="20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91"/>
      <c r="D751" s="32"/>
      <c r="E751" s="32"/>
      <c r="F751" s="32"/>
      <c r="G751" s="32">
        <f t="shared" si="200"/>
        <v>0</v>
      </c>
      <c r="H751" s="10"/>
      <c r="I751" s="10"/>
      <c r="J751" s="10"/>
      <c r="K751" s="12">
        <f t="shared" si="201"/>
        <v>0</v>
      </c>
      <c r="M751" s="10">
        <v>25</v>
      </c>
      <c r="N751" s="30"/>
      <c r="O751" s="31"/>
      <c r="P751" s="47"/>
      <c r="Q751" s="31"/>
      <c r="R751" s="31"/>
      <c r="S751" s="32">
        <f t="shared" si="202"/>
        <v>0</v>
      </c>
      <c r="T751" s="10"/>
      <c r="U751" s="10"/>
      <c r="V751" s="10"/>
      <c r="W751" s="12">
        <f t="shared" si="203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04"/>
        <v>0</v>
      </c>
      <c r="AF751" s="10"/>
      <c r="AG751" s="10"/>
      <c r="AH751" s="10"/>
      <c r="AI751" s="12">
        <f t="shared" si="20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91"/>
      <c r="D752" s="32"/>
      <c r="E752" s="32"/>
      <c r="F752" s="32"/>
      <c r="G752" s="32">
        <f t="shared" si="200"/>
        <v>0</v>
      </c>
      <c r="H752" s="10"/>
      <c r="I752" s="10"/>
      <c r="J752" s="10"/>
      <c r="K752" s="12">
        <f t="shared" si="201"/>
        <v>0</v>
      </c>
      <c r="M752" s="10">
        <v>26</v>
      </c>
      <c r="N752" s="30"/>
      <c r="O752" s="31"/>
      <c r="P752" s="47"/>
      <c r="Q752" s="31"/>
      <c r="R752" s="31"/>
      <c r="S752" s="32">
        <f t="shared" si="202"/>
        <v>0</v>
      </c>
      <c r="T752" s="10"/>
      <c r="U752" s="10"/>
      <c r="V752" s="10"/>
      <c r="W752" s="12">
        <f t="shared" si="203"/>
        <v>0</v>
      </c>
      <c r="Y752" s="10">
        <v>26</v>
      </c>
      <c r="Z752" s="30"/>
      <c r="AB752" s="47"/>
      <c r="AC752" s="31"/>
      <c r="AD752" s="31"/>
      <c r="AE752" s="32">
        <f t="shared" si="204"/>
        <v>0</v>
      </c>
      <c r="AF752" s="10"/>
      <c r="AG752" s="10"/>
      <c r="AH752" s="10"/>
      <c r="AI752" s="12">
        <f t="shared" si="20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91"/>
      <c r="D753" s="32"/>
      <c r="E753" s="32"/>
      <c r="F753" s="32"/>
      <c r="G753" s="32">
        <f t="shared" si="200"/>
        <v>0</v>
      </c>
      <c r="H753" s="10"/>
      <c r="I753" s="10"/>
      <c r="J753" s="10"/>
      <c r="K753" s="12">
        <f t="shared" si="201"/>
        <v>0</v>
      </c>
      <c r="M753" s="10">
        <v>27</v>
      </c>
      <c r="N753" s="30"/>
      <c r="O753" s="31"/>
      <c r="P753" s="47"/>
      <c r="Q753" s="31"/>
      <c r="R753" s="31"/>
      <c r="S753" s="32">
        <f t="shared" si="202"/>
        <v>0</v>
      </c>
      <c r="T753" s="10"/>
      <c r="U753" s="10"/>
      <c r="V753" s="10"/>
      <c r="W753" s="12">
        <f t="shared" si="203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4"/>
        <v>0</v>
      </c>
      <c r="AF753" s="10"/>
      <c r="AG753" s="10"/>
      <c r="AH753" s="10"/>
      <c r="AI753" s="12">
        <f t="shared" si="20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91"/>
      <c r="D754" s="32"/>
      <c r="E754" s="32"/>
      <c r="F754" s="32"/>
      <c r="G754" s="32">
        <f t="shared" si="200"/>
        <v>0</v>
      </c>
      <c r="H754" s="10"/>
      <c r="I754" s="10"/>
      <c r="J754" s="10"/>
      <c r="K754" s="12">
        <f t="shared" si="201"/>
        <v>0</v>
      </c>
      <c r="M754" s="10">
        <v>28</v>
      </c>
      <c r="N754" s="30"/>
      <c r="O754" s="31"/>
      <c r="P754" s="47"/>
      <c r="Q754" s="31"/>
      <c r="R754" s="31"/>
      <c r="S754" s="32">
        <f t="shared" si="202"/>
        <v>0</v>
      </c>
      <c r="T754" s="10"/>
      <c r="U754" s="10"/>
      <c r="V754" s="10"/>
      <c r="W754" s="12">
        <f t="shared" si="203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4"/>
        <v>0</v>
      </c>
      <c r="AF754" s="10"/>
      <c r="AG754" s="10"/>
      <c r="AH754" s="10"/>
      <c r="AI754" s="12">
        <f t="shared" si="20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91"/>
      <c r="D755" s="32"/>
      <c r="E755" s="32"/>
      <c r="F755" s="32"/>
      <c r="G755" s="32">
        <f t="shared" si="200"/>
        <v>0</v>
      </c>
      <c r="H755" s="10"/>
      <c r="I755" s="10"/>
      <c r="J755" s="10"/>
      <c r="K755" s="12">
        <f t="shared" si="201"/>
        <v>0</v>
      </c>
      <c r="M755" s="10">
        <v>29</v>
      </c>
      <c r="N755" s="30"/>
      <c r="O755" s="31"/>
      <c r="P755" s="47"/>
      <c r="Q755" s="31"/>
      <c r="R755" s="31"/>
      <c r="S755" s="32">
        <f t="shared" si="202"/>
        <v>0</v>
      </c>
      <c r="T755" s="10"/>
      <c r="U755" s="10"/>
      <c r="V755" s="10"/>
      <c r="W755" s="12">
        <f t="shared" si="203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4"/>
        <v>0</v>
      </c>
      <c r="AF755" s="10"/>
      <c r="AG755" s="10"/>
      <c r="AH755" s="10"/>
      <c r="AI755" s="12">
        <f t="shared" si="20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00"/>
        <v>0</v>
      </c>
      <c r="H756" s="10"/>
      <c r="I756" s="10"/>
      <c r="J756" s="10"/>
      <c r="K756" s="12">
        <f t="shared" si="201"/>
        <v>0</v>
      </c>
      <c r="M756" s="10">
        <v>30</v>
      </c>
      <c r="N756" s="30"/>
      <c r="P756" s="47"/>
      <c r="Q756" s="31"/>
      <c r="R756" s="31"/>
      <c r="S756" s="32">
        <f t="shared" si="202"/>
        <v>0</v>
      </c>
      <c r="T756" s="10"/>
      <c r="U756" s="10"/>
      <c r="V756" s="10"/>
      <c r="W756" s="12">
        <f t="shared" si="203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4"/>
        <v>0</v>
      </c>
      <c r="AF756" s="10"/>
      <c r="AG756" s="10"/>
      <c r="AH756" s="10"/>
      <c r="AI756" s="12">
        <f t="shared" si="20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00"/>
        <v>0</v>
      </c>
      <c r="H757" s="10"/>
      <c r="I757" s="10"/>
      <c r="J757" s="10"/>
      <c r="K757" s="12">
        <f t="shared" si="201"/>
        <v>0</v>
      </c>
      <c r="M757" s="10">
        <v>31</v>
      </c>
      <c r="N757" s="30"/>
      <c r="O757" s="31"/>
      <c r="P757" s="47"/>
      <c r="Q757" s="31"/>
      <c r="R757" s="31"/>
      <c r="S757" s="32">
        <f t="shared" si="202"/>
        <v>0</v>
      </c>
      <c r="T757" s="10"/>
      <c r="U757" s="10"/>
      <c r="V757" s="10"/>
      <c r="W757" s="12">
        <f t="shared" si="203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4"/>
        <v>0</v>
      </c>
      <c r="AF757" s="10"/>
      <c r="AG757" s="10"/>
      <c r="AH757" s="10"/>
      <c r="AI757" s="12">
        <f t="shared" si="20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91"/>
      <c r="D758" s="32"/>
      <c r="E758" s="32"/>
      <c r="F758" s="32"/>
      <c r="G758" s="32">
        <f t="shared" si="200"/>
        <v>0</v>
      </c>
      <c r="H758" s="10"/>
      <c r="I758" s="10"/>
      <c r="J758" s="10"/>
      <c r="K758" s="12">
        <f t="shared" si="201"/>
        <v>0</v>
      </c>
      <c r="M758" s="10">
        <v>32</v>
      </c>
      <c r="N758" s="30"/>
      <c r="O758" s="31"/>
      <c r="P758" s="47"/>
      <c r="Q758" s="31"/>
      <c r="R758" s="31"/>
      <c r="S758" s="32">
        <f t="shared" si="202"/>
        <v>0</v>
      </c>
      <c r="T758" s="10"/>
      <c r="U758" s="10"/>
      <c r="V758" s="10"/>
      <c r="W758" s="12">
        <f t="shared" si="203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4"/>
        <v>0</v>
      </c>
      <c r="AF758" s="10"/>
      <c r="AG758" s="10"/>
      <c r="AH758" s="10"/>
      <c r="AI758" s="12">
        <f t="shared" si="20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00"/>
        <v>0</v>
      </c>
      <c r="H759" s="10"/>
      <c r="I759" s="10"/>
      <c r="J759" s="10"/>
      <c r="K759" s="12">
        <f t="shared" si="201"/>
        <v>0</v>
      </c>
      <c r="M759" s="10">
        <v>33</v>
      </c>
      <c r="N759" s="30"/>
      <c r="O759" s="31"/>
      <c r="P759" s="47"/>
      <c r="Q759" s="31"/>
      <c r="R759" s="31"/>
      <c r="S759" s="32">
        <f t="shared" si="202"/>
        <v>0</v>
      </c>
      <c r="T759" s="10"/>
      <c r="U759" s="10"/>
      <c r="V759" s="10"/>
      <c r="W759" s="12">
        <f t="shared" si="203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4"/>
        <v>0</v>
      </c>
      <c r="AF759" s="10"/>
      <c r="AG759" s="10"/>
      <c r="AH759" s="10"/>
      <c r="AI759" s="12">
        <f t="shared" si="20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00"/>
        <v>0</v>
      </c>
      <c r="H760" s="10"/>
      <c r="I760" s="10"/>
      <c r="J760" s="10"/>
      <c r="K760" s="12">
        <f t="shared" si="201"/>
        <v>0</v>
      </c>
      <c r="M760" s="10">
        <v>34</v>
      </c>
      <c r="N760" s="30"/>
      <c r="P760" s="47"/>
      <c r="Q760" s="31"/>
      <c r="R760" s="31"/>
      <c r="S760" s="32">
        <f t="shared" ref="S760:S765" si="209">SUM(P760:Q760)</f>
        <v>0</v>
      </c>
      <c r="T760" s="10"/>
      <c r="U760" s="10"/>
      <c r="V760" s="10"/>
      <c r="W760" s="12">
        <f t="shared" si="203"/>
        <v>0</v>
      </c>
      <c r="Y760" s="10">
        <v>34</v>
      </c>
      <c r="Z760" s="30"/>
      <c r="AB760" s="47"/>
      <c r="AC760" s="31"/>
      <c r="AD760" s="31"/>
      <c r="AE760" s="32">
        <f t="shared" si="204"/>
        <v>0</v>
      </c>
      <c r="AF760" s="10"/>
      <c r="AG760" s="10"/>
      <c r="AH760" s="10"/>
      <c r="AI760" s="12">
        <f t="shared" si="20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9"/>
        <v>0</v>
      </c>
      <c r="T761" s="10"/>
      <c r="U761" s="10"/>
      <c r="V761" s="10"/>
      <c r="W761" s="12">
        <f t="shared" si="203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4"/>
        <v>0</v>
      </c>
      <c r="AF761" s="10"/>
      <c r="AG761" s="10"/>
      <c r="AH761" s="10"/>
      <c r="AI761" s="12">
        <f t="shared" si="20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9"/>
        <v>0</v>
      </c>
      <c r="T762" s="10"/>
      <c r="U762" s="10"/>
      <c r="V762" s="10"/>
      <c r="W762" s="12">
        <f t="shared" si="203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4"/>
        <v>0</v>
      </c>
      <c r="AF762" s="10"/>
      <c r="AG762" s="10"/>
      <c r="AH762" s="10"/>
      <c r="AI762" s="12">
        <f t="shared" si="20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9"/>
        <v>0</v>
      </c>
      <c r="T763" s="10"/>
      <c r="U763" s="10"/>
      <c r="V763" s="10"/>
      <c r="W763" s="12">
        <f t="shared" si="203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4"/>
        <v>0</v>
      </c>
      <c r="AF763" s="10"/>
      <c r="AG763" s="10"/>
      <c r="AH763" s="10"/>
      <c r="AI763" s="12">
        <f t="shared" si="20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9"/>
        <v>0</v>
      </c>
      <c r="T764" s="10"/>
      <c r="U764" s="10"/>
      <c r="V764" s="10"/>
      <c r="W764" s="12">
        <f t="shared" si="203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4"/>
        <v>0</v>
      </c>
      <c r="AF764" s="10"/>
      <c r="AG764" s="10"/>
      <c r="AH764" s="10"/>
      <c r="AI764" s="12">
        <f t="shared" si="20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9"/>
        <v>0</v>
      </c>
      <c r="T765" s="10"/>
      <c r="U765" s="10"/>
      <c r="V765" s="10"/>
      <c r="W765" s="12">
        <f t="shared" si="203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4"/>
        <v>0</v>
      </c>
      <c r="AF765" s="10"/>
      <c r="AG765" s="10"/>
      <c r="AH765" s="10"/>
      <c r="AI765" s="12">
        <f t="shared" si="20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3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10">SUM(D767:E767)</f>
        <v>0</v>
      </c>
      <c r="H767" s="10"/>
      <c r="I767" s="10"/>
      <c r="J767" s="10"/>
      <c r="K767" s="12">
        <f t="shared" ref="K767" si="211">SUM(G767:J767)</f>
        <v>0</v>
      </c>
      <c r="M767" s="10"/>
      <c r="N767" s="30"/>
      <c r="O767" s="31"/>
      <c r="P767" s="47"/>
      <c r="Q767" s="31"/>
      <c r="R767" s="31"/>
      <c r="S767" s="32">
        <f t="shared" ref="S767" si="212">SUM(P767:Q767)</f>
        <v>0</v>
      </c>
      <c r="T767" s="10"/>
      <c r="U767" s="10"/>
      <c r="V767" s="10"/>
      <c r="W767" s="12">
        <f t="shared" si="203"/>
        <v>0</v>
      </c>
      <c r="Y767" s="10"/>
      <c r="Z767" s="30"/>
      <c r="AA767" s="31"/>
      <c r="AB767" s="47"/>
      <c r="AC767" s="31"/>
      <c r="AD767" s="31"/>
      <c r="AE767" s="32">
        <f t="shared" ref="AE767" si="213">SUM(AB767:AC767)</f>
        <v>0</v>
      </c>
      <c r="AF767" s="10"/>
      <c r="AG767" s="10"/>
      <c r="AH767" s="10"/>
      <c r="AI767" s="12">
        <f t="shared" si="20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3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180919</v>
      </c>
      <c r="E770" s="38">
        <f t="shared" ref="E770:F770" si="214">SUM(E727:E767)</f>
        <v>0</v>
      </c>
      <c r="F770" s="38">
        <f t="shared" si="214"/>
        <v>0</v>
      </c>
      <c r="G770" s="38">
        <f>SUM(G727:G769)</f>
        <v>180919</v>
      </c>
      <c r="H770" s="4"/>
      <c r="I770" s="39">
        <f>SUM(I727:I769)</f>
        <v>613</v>
      </c>
      <c r="J770" s="39">
        <f>SUM(J727:J769)</f>
        <v>0</v>
      </c>
      <c r="K770" s="40">
        <f>SUM(K727:K769)</f>
        <v>181532</v>
      </c>
      <c r="N770" s="57"/>
      <c r="O770" s="57"/>
      <c r="P770" s="38">
        <f>SUM(P727:P769)</f>
        <v>147330</v>
      </c>
      <c r="Q770" s="38">
        <f>SUM(Q727:Q751)</f>
        <v>-1854</v>
      </c>
      <c r="R770" s="38">
        <f>SUM(R727:R751)</f>
        <v>0</v>
      </c>
      <c r="S770" s="38">
        <f>SUM(S727:S769)</f>
        <v>145476</v>
      </c>
      <c r="T770" s="4"/>
      <c r="U770" s="41">
        <f>SUM(U727:U769)</f>
        <v>1893</v>
      </c>
      <c r="V770" s="41">
        <f>SUM(V727:V751)</f>
        <v>-3072</v>
      </c>
      <c r="W770" s="42">
        <f>SUM(W727:W769)</f>
        <v>144297</v>
      </c>
      <c r="Z770" s="57"/>
      <c r="AA770" s="57"/>
      <c r="AB770" s="38">
        <f>SUM(AB727:AB769)</f>
        <v>376162</v>
      </c>
      <c r="AC770" s="38">
        <f>SUM(AC727:AC751)</f>
        <v>-3612</v>
      </c>
      <c r="AD770" s="38">
        <f>SUM(AD727:AD751)</f>
        <v>0</v>
      </c>
      <c r="AE770" s="38">
        <f>SUM(AE727:AE769)</f>
        <v>372550</v>
      </c>
      <c r="AF770" s="4"/>
      <c r="AG770" s="41">
        <f>SUM(AG727:AG769)</f>
        <v>7941</v>
      </c>
      <c r="AH770" s="41">
        <f>SUM(AH727:AH751)</f>
        <v>-378</v>
      </c>
      <c r="AI770" s="42">
        <f>SUM(AI727:AI769)</f>
        <v>380113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19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42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8" t="s">
        <v>17</v>
      </c>
      <c r="E780" s="118"/>
      <c r="F780" s="105"/>
      <c r="G780" s="27"/>
      <c r="I780" s="116" t="s">
        <v>18</v>
      </c>
      <c r="J780" s="117"/>
      <c r="K780" s="114" t="s">
        <v>19</v>
      </c>
      <c r="N780" s="25"/>
      <c r="O780" s="26"/>
      <c r="P780" s="118" t="s">
        <v>17</v>
      </c>
      <c r="Q780" s="118"/>
      <c r="R780" s="105"/>
      <c r="S780" s="27"/>
      <c r="U780" s="116" t="s">
        <v>18</v>
      </c>
      <c r="V780" s="117"/>
      <c r="W780" s="114" t="s">
        <v>19</v>
      </c>
      <c r="Z780" s="25"/>
      <c r="AA780" s="26"/>
      <c r="AB780" s="118" t="s">
        <v>17</v>
      </c>
      <c r="AC780" s="118"/>
      <c r="AD780" s="105"/>
      <c r="AE780" s="27"/>
      <c r="AG780" s="116" t="s">
        <v>18</v>
      </c>
      <c r="AH780" s="117"/>
      <c r="AI780" s="114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15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15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15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7290</v>
      </c>
      <c r="D782" s="32">
        <f>67608+2350+1102+2350+25560+10050+24960+916+650</f>
        <v>135546</v>
      </c>
      <c r="E782" s="32">
        <v>-1692</v>
      </c>
      <c r="F782" s="32"/>
      <c r="G782" s="32">
        <f t="shared" ref="G782:G815" si="215">SUM(D782:E782)</f>
        <v>133854</v>
      </c>
      <c r="H782" s="12"/>
      <c r="I782" s="12"/>
      <c r="J782" s="12">
        <f>-83916+-936+-7881</f>
        <v>-92733</v>
      </c>
      <c r="K782" s="12">
        <f t="shared" ref="K782:K815" si="216">SUM(G782:J782)</f>
        <v>41121</v>
      </c>
      <c r="M782" s="10">
        <v>1</v>
      </c>
      <c r="N782" s="30" t="s">
        <v>81</v>
      </c>
      <c r="O782" s="31">
        <v>7220</v>
      </c>
      <c r="P782" s="32">
        <f>135216+6140+29800+2519</f>
        <v>173675</v>
      </c>
      <c r="Q782" s="32">
        <v>-2583</v>
      </c>
      <c r="R782" s="32"/>
      <c r="S782" s="32">
        <f>SUM(P782:Q782)</f>
        <v>171092</v>
      </c>
      <c r="T782" s="12"/>
      <c r="U782" s="12">
        <v>468</v>
      </c>
      <c r="V782" s="12">
        <f>-1554+-338</f>
        <v>-1892</v>
      </c>
      <c r="W782" s="12">
        <f>SUM(S782:V782)</f>
        <v>169668</v>
      </c>
      <c r="Y782" s="10">
        <v>1</v>
      </c>
      <c r="Z782" s="30" t="s">
        <v>81</v>
      </c>
      <c r="AA782" s="31">
        <v>7141</v>
      </c>
      <c r="AB782" s="32">
        <f>62600+29800+1374+1300</f>
        <v>95074</v>
      </c>
      <c r="AC782" s="32">
        <v>-948</v>
      </c>
      <c r="AD782" s="32"/>
      <c r="AE782" s="32">
        <f>SUM(AB782:AC782)</f>
        <v>94126</v>
      </c>
      <c r="AF782" s="12"/>
      <c r="AG782" s="12"/>
      <c r="AH782" s="12"/>
      <c r="AI782" s="12">
        <f>SUM(AE782:AH782)</f>
        <v>94126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91">
        <f>C782+1</f>
        <v>7291</v>
      </c>
      <c r="D783" s="32">
        <f>8764+133</f>
        <v>8897</v>
      </c>
      <c r="E783" s="32"/>
      <c r="F783" s="32"/>
      <c r="G783" s="32">
        <f t="shared" si="215"/>
        <v>8897</v>
      </c>
      <c r="H783" s="12"/>
      <c r="I783" s="12"/>
      <c r="J783" s="12"/>
      <c r="K783" s="12">
        <f t="shared" si="216"/>
        <v>8897</v>
      </c>
      <c r="M783" s="10">
        <v>2</v>
      </c>
      <c r="N783" s="30" t="s">
        <v>81</v>
      </c>
      <c r="O783" s="31">
        <f>O782+1</f>
        <v>7221</v>
      </c>
      <c r="P783" s="32">
        <f>4382+229</f>
        <v>4611</v>
      </c>
      <c r="Q783" s="32"/>
      <c r="R783" s="32"/>
      <c r="S783" s="32">
        <f t="shared" ref="S783:S814" si="217">SUM(P783:Q783)</f>
        <v>4611</v>
      </c>
      <c r="T783" s="12"/>
      <c r="U783" s="12"/>
      <c r="V783" s="12"/>
      <c r="W783" s="12">
        <f t="shared" ref="W783:W823" si="218">SUM(S783:V783)</f>
        <v>4611</v>
      </c>
      <c r="Y783" s="10">
        <v>2</v>
      </c>
      <c r="Z783" s="30" t="s">
        <v>81</v>
      </c>
      <c r="AA783" s="31">
        <f>AA782+1</f>
        <v>7142</v>
      </c>
      <c r="AB783" s="32">
        <f>1252+229</f>
        <v>1481</v>
      </c>
      <c r="AC783" s="32"/>
      <c r="AD783" s="32"/>
      <c r="AE783" s="32">
        <f t="shared" ref="AE783:AE820" si="219">SUM(AB783:AC783)</f>
        <v>1481</v>
      </c>
      <c r="AF783" s="12"/>
      <c r="AG783" s="12"/>
      <c r="AH783" s="12"/>
      <c r="AI783" s="12">
        <f t="shared" ref="AI783:AI823" si="220">SUM(AE783:AH783)</f>
        <v>1481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91">
        <f t="shared" ref="C784:C787" si="221">C783+1</f>
        <v>7292</v>
      </c>
      <c r="D784" s="33">
        <f>6886+104.5</f>
        <v>6990.5</v>
      </c>
      <c r="E784" s="33"/>
      <c r="F784" s="33"/>
      <c r="G784" s="33">
        <f t="shared" si="215"/>
        <v>6990.5</v>
      </c>
      <c r="H784" s="34"/>
      <c r="I784" s="34"/>
      <c r="J784" s="34"/>
      <c r="K784" s="34">
        <f t="shared" si="216"/>
        <v>6990.5</v>
      </c>
      <c r="M784" s="10">
        <v>3</v>
      </c>
      <c r="N784" s="30" t="s">
        <v>81</v>
      </c>
      <c r="O784" s="31">
        <f t="shared" ref="O784" si="222">O783+1</f>
        <v>7222</v>
      </c>
      <c r="P784" s="32">
        <f>1252+19</f>
        <v>1271</v>
      </c>
      <c r="Q784" s="32"/>
      <c r="R784" s="32"/>
      <c r="S784" s="32">
        <f t="shared" si="217"/>
        <v>1271</v>
      </c>
      <c r="T784" s="12"/>
      <c r="U784" s="12">
        <v>111</v>
      </c>
      <c r="V784" s="12"/>
      <c r="W784" s="12">
        <f t="shared" si="218"/>
        <v>1382</v>
      </c>
      <c r="Y784" s="10">
        <v>3</v>
      </c>
      <c r="Z784" s="30" t="s">
        <v>81</v>
      </c>
      <c r="AA784" s="31">
        <f t="shared" ref="AA784:AA791" si="223">AA783+1</f>
        <v>7143</v>
      </c>
      <c r="AB784" s="33">
        <f>7512+614+832+114</f>
        <v>9072</v>
      </c>
      <c r="AC784" s="33"/>
      <c r="AD784" s="32"/>
      <c r="AE784" s="32">
        <f t="shared" si="219"/>
        <v>9072</v>
      </c>
      <c r="AF784" s="12"/>
      <c r="AG784" s="12">
        <v>33</v>
      </c>
      <c r="AH784" s="12"/>
      <c r="AI784" s="12">
        <f t="shared" si="220"/>
        <v>9105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91">
        <f t="shared" si="221"/>
        <v>7293</v>
      </c>
      <c r="D785" s="32">
        <f>6260+650</f>
        <v>6910</v>
      </c>
      <c r="E785" s="32"/>
      <c r="F785" s="32"/>
      <c r="G785" s="32">
        <f t="shared" si="215"/>
        <v>6910</v>
      </c>
      <c r="H785" s="12"/>
      <c r="I785" s="12"/>
      <c r="J785" s="12"/>
      <c r="K785" s="12">
        <f t="shared" si="216"/>
        <v>6910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17"/>
        <v>0</v>
      </c>
      <c r="T785" s="12"/>
      <c r="U785" s="12"/>
      <c r="V785" s="12"/>
      <c r="W785" s="12">
        <f t="shared" si="218"/>
        <v>0</v>
      </c>
      <c r="Y785" s="10">
        <v>4</v>
      </c>
      <c r="Z785" s="30" t="s">
        <v>81</v>
      </c>
      <c r="AA785" s="31">
        <f t="shared" si="223"/>
        <v>7144</v>
      </c>
      <c r="AB785" s="32">
        <f>6260+9.5*10</f>
        <v>6355</v>
      </c>
      <c r="AC785" s="32"/>
      <c r="AD785" s="32"/>
      <c r="AE785" s="32">
        <f t="shared" si="219"/>
        <v>6355</v>
      </c>
      <c r="AF785" s="12"/>
      <c r="AH785" s="12"/>
      <c r="AI785" s="12">
        <f t="shared" si="220"/>
        <v>6355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91">
        <f t="shared" si="221"/>
        <v>7294</v>
      </c>
      <c r="D786" s="32">
        <f>55693+4260+5025</f>
        <v>64978</v>
      </c>
      <c r="E786" s="32"/>
      <c r="F786" s="32"/>
      <c r="G786" s="32">
        <f t="shared" si="215"/>
        <v>64978</v>
      </c>
      <c r="H786" s="12"/>
      <c r="I786" s="12"/>
      <c r="J786" s="12"/>
      <c r="K786" s="12">
        <f t="shared" si="216"/>
        <v>64978</v>
      </c>
      <c r="M786" s="10">
        <v>5</v>
      </c>
      <c r="N786" s="30"/>
      <c r="O786" s="31"/>
      <c r="P786" s="32"/>
      <c r="Q786" s="32"/>
      <c r="R786" s="32"/>
      <c r="S786" s="32">
        <f t="shared" si="217"/>
        <v>0</v>
      </c>
      <c r="T786" s="12"/>
      <c r="U786" s="12"/>
      <c r="V786" s="12"/>
      <c r="W786" s="12">
        <f t="shared" si="218"/>
        <v>0</v>
      </c>
      <c r="Y786" s="10">
        <v>5</v>
      </c>
      <c r="Z786" s="30" t="s">
        <v>81</v>
      </c>
      <c r="AA786" s="31">
        <f t="shared" si="223"/>
        <v>7145</v>
      </c>
      <c r="AB786" s="32">
        <f>3130+596+229</f>
        <v>3955</v>
      </c>
      <c r="AC786" s="32"/>
      <c r="AD786" s="32"/>
      <c r="AE786" s="32">
        <f t="shared" si="219"/>
        <v>3955</v>
      </c>
      <c r="AF786" s="12"/>
      <c r="AG786" s="12"/>
      <c r="AH786" s="12"/>
      <c r="AI786" s="12">
        <f t="shared" si="220"/>
        <v>3955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91">
        <f t="shared" si="221"/>
        <v>7295</v>
      </c>
      <c r="D787" s="32"/>
      <c r="E787" s="32"/>
      <c r="F787" s="32"/>
      <c r="G787" s="32">
        <f t="shared" si="215"/>
        <v>0</v>
      </c>
      <c r="H787" s="12"/>
      <c r="I787" s="12">
        <v>8400</v>
      </c>
      <c r="J787" s="12"/>
      <c r="K787" s="12">
        <f t="shared" si="216"/>
        <v>8400</v>
      </c>
      <c r="M787" s="10">
        <v>6</v>
      </c>
      <c r="N787" s="30"/>
      <c r="O787" s="31"/>
      <c r="P787" s="32"/>
      <c r="Q787" s="32"/>
      <c r="R787" s="32"/>
      <c r="S787" s="32">
        <f t="shared" si="217"/>
        <v>0</v>
      </c>
      <c r="T787" s="12"/>
      <c r="U787" s="12"/>
      <c r="V787" s="10"/>
      <c r="W787" s="12">
        <f t="shared" si="218"/>
        <v>0</v>
      </c>
      <c r="Y787" s="10">
        <v>6</v>
      </c>
      <c r="Z787" s="30" t="s">
        <v>81</v>
      </c>
      <c r="AA787" s="31">
        <f t="shared" si="223"/>
        <v>7146</v>
      </c>
      <c r="AB787" s="32">
        <f>6260+95</f>
        <v>6355</v>
      </c>
      <c r="AC787" s="32"/>
      <c r="AD787" s="32"/>
      <c r="AE787" s="32">
        <f t="shared" si="219"/>
        <v>6355</v>
      </c>
      <c r="AF787" s="12"/>
      <c r="AG787" s="12"/>
      <c r="AH787" s="10"/>
      <c r="AI787" s="12">
        <f t="shared" si="220"/>
        <v>6355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11" t="s">
        <v>27</v>
      </c>
      <c r="D788" s="32"/>
      <c r="E788" s="32"/>
      <c r="F788" s="32"/>
      <c r="G788" s="32">
        <f t="shared" si="215"/>
        <v>0</v>
      </c>
      <c r="H788" s="12"/>
      <c r="I788" s="12"/>
      <c r="J788" s="12"/>
      <c r="K788" s="12">
        <f t="shared" si="216"/>
        <v>0</v>
      </c>
      <c r="M788" s="10">
        <v>7</v>
      </c>
      <c r="N788" s="30"/>
      <c r="O788" s="31"/>
      <c r="P788" s="32"/>
      <c r="Q788" s="32"/>
      <c r="R788" s="32"/>
      <c r="S788" s="32">
        <f t="shared" si="217"/>
        <v>0</v>
      </c>
      <c r="T788" s="12"/>
      <c r="U788" s="12"/>
      <c r="V788" s="12"/>
      <c r="W788" s="12">
        <f t="shared" si="218"/>
        <v>0</v>
      </c>
      <c r="Y788" s="10">
        <v>7</v>
      </c>
      <c r="Z788" s="30" t="s">
        <v>81</v>
      </c>
      <c r="AA788" s="31">
        <f t="shared" si="223"/>
        <v>7147</v>
      </c>
      <c r="AB788" s="32">
        <f>2504+502.5+416+38</f>
        <v>3460.5</v>
      </c>
      <c r="AC788" s="32"/>
      <c r="AD788" s="32"/>
      <c r="AE788" s="32">
        <f t="shared" si="219"/>
        <v>3460.5</v>
      </c>
      <c r="AF788" s="12"/>
      <c r="AG788" s="58"/>
      <c r="AH788" s="12"/>
      <c r="AI788" s="12">
        <f t="shared" si="220"/>
        <v>3460.5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91"/>
      <c r="D789" s="32"/>
      <c r="E789" s="32"/>
      <c r="F789" s="32"/>
      <c r="G789" s="32">
        <f t="shared" si="215"/>
        <v>0</v>
      </c>
      <c r="H789" s="12"/>
      <c r="I789" s="12"/>
      <c r="J789" s="12"/>
      <c r="K789" s="12">
        <f t="shared" si="216"/>
        <v>0</v>
      </c>
      <c r="M789" s="10">
        <v>8</v>
      </c>
      <c r="N789" s="30"/>
      <c r="P789" s="32"/>
      <c r="Q789" s="32"/>
      <c r="R789" s="32"/>
      <c r="S789" s="32">
        <f t="shared" si="217"/>
        <v>0</v>
      </c>
      <c r="T789" s="12"/>
      <c r="U789" s="12"/>
      <c r="V789" s="12"/>
      <c r="W789" s="12">
        <f t="shared" si="218"/>
        <v>0</v>
      </c>
      <c r="Y789" s="10">
        <v>8</v>
      </c>
      <c r="Z789" s="30" t="s">
        <v>81</v>
      </c>
      <c r="AA789" s="31">
        <f t="shared" si="223"/>
        <v>7148</v>
      </c>
      <c r="AB789" s="32">
        <f>1252+19</f>
        <v>1271</v>
      </c>
      <c r="AC789" s="32"/>
      <c r="AE789" s="32">
        <f t="shared" si="219"/>
        <v>1271</v>
      </c>
      <c r="AF789" s="12"/>
      <c r="AG789" s="12"/>
      <c r="AH789" s="12"/>
      <c r="AI789" s="12">
        <f t="shared" si="220"/>
        <v>1271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91"/>
      <c r="D790" s="32"/>
      <c r="E790" s="32"/>
      <c r="F790" s="32"/>
      <c r="G790" s="32">
        <f t="shared" si="215"/>
        <v>0</v>
      </c>
      <c r="H790" s="12"/>
      <c r="I790" s="12"/>
      <c r="J790" s="12"/>
      <c r="K790" s="12">
        <f t="shared" si="216"/>
        <v>0</v>
      </c>
      <c r="M790" s="10">
        <v>9</v>
      </c>
      <c r="N790" s="30"/>
      <c r="O790" s="31"/>
      <c r="P790" s="32"/>
      <c r="Q790" s="32"/>
      <c r="R790" s="32"/>
      <c r="S790" s="32">
        <f t="shared" si="217"/>
        <v>0</v>
      </c>
      <c r="T790" s="12"/>
      <c r="U790" s="12"/>
      <c r="V790" s="12"/>
      <c r="W790" s="12">
        <f t="shared" si="218"/>
        <v>0</v>
      </c>
      <c r="Y790" s="10">
        <v>9</v>
      </c>
      <c r="Z790" s="30" t="s">
        <v>81</v>
      </c>
      <c r="AA790" s="31">
        <f t="shared" si="223"/>
        <v>7149</v>
      </c>
      <c r="AB790" s="32">
        <f>4382+66.5</f>
        <v>4448.5</v>
      </c>
      <c r="AC790" s="32"/>
      <c r="AD790" s="32"/>
      <c r="AE790" s="32">
        <f t="shared" si="219"/>
        <v>4448.5</v>
      </c>
      <c r="AF790" s="12"/>
      <c r="AG790" s="58"/>
      <c r="AH790" s="12"/>
      <c r="AI790" s="12">
        <f t="shared" si="220"/>
        <v>4448.5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1"/>
      <c r="D791" s="32"/>
      <c r="E791" s="32"/>
      <c r="F791" s="32"/>
      <c r="G791" s="32">
        <f t="shared" si="215"/>
        <v>0</v>
      </c>
      <c r="H791" s="12"/>
      <c r="I791" s="12"/>
      <c r="J791" s="12"/>
      <c r="K791" s="12">
        <f t="shared" si="216"/>
        <v>0</v>
      </c>
      <c r="M791" s="10">
        <v>10</v>
      </c>
      <c r="N791" s="30"/>
      <c r="O791" s="31"/>
      <c r="P791" s="32"/>
      <c r="Q791" s="32"/>
      <c r="R791" s="32"/>
      <c r="S791" s="32">
        <f t="shared" si="217"/>
        <v>0</v>
      </c>
      <c r="T791" s="12"/>
      <c r="U791" s="12"/>
      <c r="V791" s="12"/>
      <c r="W791" s="12">
        <f t="shared" si="218"/>
        <v>0</v>
      </c>
      <c r="Y791" s="10">
        <v>10</v>
      </c>
      <c r="Z791" s="30" t="s">
        <v>81</v>
      </c>
      <c r="AA791" s="31">
        <f t="shared" si="223"/>
        <v>7150</v>
      </c>
      <c r="AB791" s="32">
        <f>13146</f>
        <v>13146</v>
      </c>
      <c r="AC791" s="32"/>
      <c r="AD791" s="32"/>
      <c r="AE791" s="32">
        <f t="shared" si="219"/>
        <v>13146</v>
      </c>
      <c r="AF791" s="12"/>
      <c r="AG791" s="12"/>
      <c r="AH791" s="12"/>
      <c r="AI791" s="12">
        <f t="shared" si="220"/>
        <v>13146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1"/>
      <c r="D792" s="32"/>
      <c r="E792" s="32"/>
      <c r="F792" s="32"/>
      <c r="G792" s="32">
        <f t="shared" si="215"/>
        <v>0</v>
      </c>
      <c r="H792" s="12"/>
      <c r="I792" s="12"/>
      <c r="J792" s="12"/>
      <c r="K792" s="12">
        <f t="shared" si="216"/>
        <v>0</v>
      </c>
      <c r="M792" s="10">
        <v>11</v>
      </c>
      <c r="N792" s="30"/>
      <c r="O792" s="31"/>
      <c r="P792" s="32"/>
      <c r="Q792" s="32"/>
      <c r="R792" s="32"/>
      <c r="S792" s="32">
        <f t="shared" si="217"/>
        <v>0</v>
      </c>
      <c r="T792" s="12"/>
      <c r="U792" s="12"/>
      <c r="V792" s="12"/>
      <c r="W792" s="12">
        <f t="shared" si="218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19"/>
        <v>0</v>
      </c>
      <c r="AF792" s="12"/>
      <c r="AG792" s="12"/>
      <c r="AH792" s="12"/>
      <c r="AI792" s="12">
        <f t="shared" si="220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1"/>
      <c r="D793" s="32"/>
      <c r="E793" s="32"/>
      <c r="F793" s="32"/>
      <c r="G793" s="32">
        <f t="shared" si="215"/>
        <v>0</v>
      </c>
      <c r="H793" s="12"/>
      <c r="I793" s="12"/>
      <c r="J793" s="10"/>
      <c r="K793" s="12">
        <f t="shared" si="216"/>
        <v>0</v>
      </c>
      <c r="M793" s="10">
        <v>12</v>
      </c>
      <c r="N793" s="30"/>
      <c r="O793" s="31"/>
      <c r="P793" s="32"/>
      <c r="Q793" s="32"/>
      <c r="R793" s="32"/>
      <c r="S793" s="32">
        <f t="shared" si="217"/>
        <v>0</v>
      </c>
      <c r="T793" s="12"/>
      <c r="U793" s="12"/>
      <c r="V793" s="12"/>
      <c r="W793" s="12">
        <f t="shared" si="218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9"/>
        <v>0</v>
      </c>
      <c r="AF793" s="12"/>
      <c r="AG793" s="12"/>
      <c r="AH793" s="12"/>
      <c r="AI793" s="12">
        <f t="shared" si="220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1"/>
      <c r="D794" s="32"/>
      <c r="E794" s="32"/>
      <c r="F794" s="32"/>
      <c r="G794" s="32">
        <f t="shared" si="215"/>
        <v>0</v>
      </c>
      <c r="H794" s="12"/>
      <c r="I794" s="12"/>
      <c r="J794" s="12"/>
      <c r="K794" s="12">
        <f t="shared" si="216"/>
        <v>0</v>
      </c>
      <c r="M794" s="10">
        <v>13</v>
      </c>
      <c r="N794" s="30"/>
      <c r="O794" s="31"/>
      <c r="P794" s="32"/>
      <c r="Q794" s="32"/>
      <c r="R794" s="32"/>
      <c r="S794" s="32">
        <f t="shared" si="217"/>
        <v>0</v>
      </c>
      <c r="T794" s="12"/>
      <c r="U794" s="12"/>
      <c r="V794" s="12"/>
      <c r="W794" s="12">
        <f t="shared" si="218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9"/>
        <v>0</v>
      </c>
      <c r="AF794" s="12"/>
      <c r="AG794" s="12"/>
      <c r="AH794" s="12"/>
      <c r="AI794" s="12">
        <f t="shared" si="220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1"/>
      <c r="D795" s="32"/>
      <c r="E795" s="32"/>
      <c r="F795" s="32"/>
      <c r="G795" s="32">
        <f t="shared" si="215"/>
        <v>0</v>
      </c>
      <c r="H795" s="12"/>
      <c r="I795" s="12"/>
      <c r="J795" s="12"/>
      <c r="K795" s="12">
        <f t="shared" si="216"/>
        <v>0</v>
      </c>
      <c r="M795" s="10">
        <v>14</v>
      </c>
      <c r="N795" s="30"/>
      <c r="O795" s="31"/>
      <c r="P795" s="32"/>
      <c r="Q795" s="32"/>
      <c r="R795" s="32"/>
      <c r="S795" s="32">
        <f t="shared" si="217"/>
        <v>0</v>
      </c>
      <c r="T795" s="12"/>
      <c r="U795" s="12"/>
      <c r="V795" s="12"/>
      <c r="W795" s="12">
        <f t="shared" si="218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9"/>
        <v>0</v>
      </c>
      <c r="AF795" s="12"/>
      <c r="AG795" s="12"/>
      <c r="AH795" s="12"/>
      <c r="AI795" s="12">
        <f t="shared" si="220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1"/>
      <c r="D796" s="32"/>
      <c r="E796" s="32"/>
      <c r="F796" s="32"/>
      <c r="G796" s="32">
        <f t="shared" si="215"/>
        <v>0</v>
      </c>
      <c r="H796" s="12"/>
      <c r="I796" s="12"/>
      <c r="J796" s="12"/>
      <c r="K796" s="12">
        <f t="shared" si="216"/>
        <v>0</v>
      </c>
      <c r="M796" s="10">
        <v>15</v>
      </c>
      <c r="N796" s="30"/>
      <c r="O796" s="31"/>
      <c r="P796" s="32"/>
      <c r="Q796" s="32"/>
      <c r="R796" s="32"/>
      <c r="S796" s="32">
        <f t="shared" si="217"/>
        <v>0</v>
      </c>
      <c r="T796" s="12"/>
      <c r="U796" s="12"/>
      <c r="V796" s="12"/>
      <c r="W796" s="12">
        <f t="shared" si="218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9"/>
        <v>0</v>
      </c>
      <c r="AF796" s="12"/>
      <c r="AG796" s="12"/>
      <c r="AH796" s="12"/>
      <c r="AI796" s="12">
        <f t="shared" si="220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1"/>
      <c r="D797" s="32"/>
      <c r="E797" s="32"/>
      <c r="F797" s="32"/>
      <c r="G797" s="32">
        <f t="shared" si="215"/>
        <v>0</v>
      </c>
      <c r="H797" s="12"/>
      <c r="I797" s="12"/>
      <c r="J797" s="12"/>
      <c r="K797" s="12">
        <f t="shared" si="216"/>
        <v>0</v>
      </c>
      <c r="M797" s="10">
        <v>16</v>
      </c>
      <c r="N797" s="30"/>
      <c r="O797" s="31"/>
      <c r="P797" s="32"/>
      <c r="Q797" s="32"/>
      <c r="R797" s="32"/>
      <c r="S797" s="32">
        <f t="shared" si="217"/>
        <v>0</v>
      </c>
      <c r="T797" s="12"/>
      <c r="U797" s="12"/>
      <c r="V797" s="12"/>
      <c r="W797" s="12">
        <f t="shared" si="218"/>
        <v>0</v>
      </c>
      <c r="Y797" s="10">
        <v>16</v>
      </c>
      <c r="Z797" s="30"/>
      <c r="AB797" s="32"/>
      <c r="AC797" s="32"/>
      <c r="AD797" s="32"/>
      <c r="AE797" s="32">
        <f t="shared" si="219"/>
        <v>0</v>
      </c>
      <c r="AF797" s="12"/>
      <c r="AG797" s="12"/>
      <c r="AH797" s="12"/>
      <c r="AI797" s="12">
        <f t="shared" si="220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1"/>
      <c r="D798" s="32"/>
      <c r="E798" s="32"/>
      <c r="F798" s="32"/>
      <c r="G798" s="32">
        <f t="shared" si="215"/>
        <v>0</v>
      </c>
      <c r="H798" s="12"/>
      <c r="I798" s="12"/>
      <c r="J798" s="12"/>
      <c r="K798" s="12">
        <f t="shared" si="216"/>
        <v>0</v>
      </c>
      <c r="M798" s="10">
        <v>17</v>
      </c>
      <c r="N798" s="30"/>
      <c r="O798" s="31"/>
      <c r="P798" s="35"/>
      <c r="Q798" s="32"/>
      <c r="R798" s="32"/>
      <c r="S798" s="32">
        <f t="shared" si="217"/>
        <v>0</v>
      </c>
      <c r="T798" s="12"/>
      <c r="U798" s="12"/>
      <c r="V798" s="12"/>
      <c r="W798" s="12">
        <f t="shared" si="218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9"/>
        <v>0</v>
      </c>
      <c r="AF798" s="12"/>
      <c r="AG798" s="12"/>
      <c r="AH798" s="12"/>
      <c r="AI798" s="12">
        <f t="shared" si="220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91"/>
      <c r="D799" s="32"/>
      <c r="E799" s="32"/>
      <c r="F799" s="32"/>
      <c r="G799" s="32">
        <f t="shared" si="215"/>
        <v>0</v>
      </c>
      <c r="H799" s="12"/>
      <c r="I799" s="12"/>
      <c r="J799" s="12"/>
      <c r="K799" s="12">
        <f t="shared" si="216"/>
        <v>0</v>
      </c>
      <c r="M799" s="10">
        <v>18</v>
      </c>
      <c r="N799" s="30"/>
      <c r="O799" s="31"/>
      <c r="P799" s="32"/>
      <c r="Q799" s="32"/>
      <c r="R799" s="32"/>
      <c r="S799" s="32">
        <f t="shared" si="217"/>
        <v>0</v>
      </c>
      <c r="T799" s="12"/>
      <c r="U799" s="12"/>
      <c r="V799" s="12"/>
      <c r="W799" s="12">
        <f t="shared" si="218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19"/>
        <v>0</v>
      </c>
      <c r="AF799" s="12"/>
      <c r="AG799" s="12"/>
      <c r="AH799" s="12"/>
      <c r="AI799" s="12">
        <f t="shared" si="220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1"/>
      <c r="D800" s="32"/>
      <c r="E800" s="32"/>
      <c r="F800" s="32"/>
      <c r="G800" s="32">
        <f t="shared" si="215"/>
        <v>0</v>
      </c>
      <c r="H800" s="12"/>
      <c r="I800" s="12"/>
      <c r="J800" s="12"/>
      <c r="K800" s="12">
        <f t="shared" si="216"/>
        <v>0</v>
      </c>
      <c r="M800" s="10">
        <v>19</v>
      </c>
      <c r="N800" s="30"/>
      <c r="O800" s="31"/>
      <c r="P800" s="32"/>
      <c r="Q800" s="32"/>
      <c r="R800" s="32"/>
      <c r="S800" s="32">
        <f t="shared" si="217"/>
        <v>0</v>
      </c>
      <c r="T800" s="12"/>
      <c r="U800" s="12"/>
      <c r="V800" s="12"/>
      <c r="W800" s="12">
        <f t="shared" si="218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9"/>
        <v>0</v>
      </c>
      <c r="AF800" s="12"/>
      <c r="AG800" s="12"/>
      <c r="AH800" s="12"/>
      <c r="AI800" s="12">
        <f t="shared" si="220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1"/>
      <c r="D801" s="32"/>
      <c r="E801" s="32"/>
      <c r="F801" s="32"/>
      <c r="G801" s="32">
        <f t="shared" si="215"/>
        <v>0</v>
      </c>
      <c r="H801" s="12"/>
      <c r="I801" s="12"/>
      <c r="J801" s="12"/>
      <c r="K801" s="12">
        <f t="shared" si="216"/>
        <v>0</v>
      </c>
      <c r="M801" s="10">
        <v>20</v>
      </c>
      <c r="N801" s="30"/>
      <c r="O801" s="31"/>
      <c r="P801" s="32"/>
      <c r="Q801" s="32"/>
      <c r="R801" s="32"/>
      <c r="S801" s="32">
        <f t="shared" si="217"/>
        <v>0</v>
      </c>
      <c r="T801" s="12"/>
      <c r="U801" s="12"/>
      <c r="V801" s="12"/>
      <c r="W801" s="12">
        <f t="shared" si="218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9"/>
        <v>0</v>
      </c>
      <c r="AF801" s="12"/>
      <c r="AG801" s="12"/>
      <c r="AH801" s="12"/>
      <c r="AI801" s="12">
        <f t="shared" si="220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1"/>
      <c r="D802" s="32"/>
      <c r="E802" s="32"/>
      <c r="F802" s="32"/>
      <c r="G802" s="32">
        <f t="shared" si="215"/>
        <v>0</v>
      </c>
      <c r="H802" s="10"/>
      <c r="I802" s="10"/>
      <c r="J802" s="10"/>
      <c r="K802" s="12">
        <f t="shared" si="216"/>
        <v>0</v>
      </c>
      <c r="M802" s="10">
        <v>21</v>
      </c>
      <c r="N802" s="30"/>
      <c r="O802" s="31"/>
      <c r="P802" s="46"/>
      <c r="Q802" s="31"/>
      <c r="R802" s="31"/>
      <c r="S802" s="32">
        <f t="shared" si="217"/>
        <v>0</v>
      </c>
      <c r="T802" s="10"/>
      <c r="U802" s="10"/>
      <c r="V802" s="10"/>
      <c r="W802" s="12">
        <f t="shared" si="218"/>
        <v>0</v>
      </c>
      <c r="Y802" s="10">
        <v>21</v>
      </c>
      <c r="Z802" s="30"/>
      <c r="AB802" s="46"/>
      <c r="AC802" s="31"/>
      <c r="AD802" s="31"/>
      <c r="AE802" s="32">
        <f t="shared" si="219"/>
        <v>0</v>
      </c>
      <c r="AF802" s="10"/>
      <c r="AG802" s="10"/>
      <c r="AH802" s="10"/>
      <c r="AI802" s="12">
        <f t="shared" si="220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1"/>
      <c r="D803" s="32"/>
      <c r="E803" s="32"/>
      <c r="F803" s="32"/>
      <c r="G803" s="32">
        <f t="shared" si="215"/>
        <v>0</v>
      </c>
      <c r="H803" s="10"/>
      <c r="I803" s="10"/>
      <c r="J803" s="10"/>
      <c r="K803" s="12">
        <f t="shared" si="216"/>
        <v>0</v>
      </c>
      <c r="M803" s="10">
        <v>22</v>
      </c>
      <c r="N803" s="30"/>
      <c r="P803" s="45"/>
      <c r="Q803" s="31"/>
      <c r="R803" s="31"/>
      <c r="S803" s="32">
        <f t="shared" si="217"/>
        <v>0</v>
      </c>
      <c r="T803" s="10"/>
      <c r="U803" s="10"/>
      <c r="V803" s="10"/>
      <c r="W803" s="12">
        <f t="shared" si="218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9"/>
        <v>0</v>
      </c>
      <c r="AF803" s="10"/>
      <c r="AG803" s="10"/>
      <c r="AH803" s="10"/>
      <c r="AI803" s="12">
        <f t="shared" si="220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15"/>
        <v>0</v>
      </c>
      <c r="H804" s="10"/>
      <c r="I804" s="10"/>
      <c r="J804" s="12"/>
      <c r="K804" s="12">
        <f t="shared" si="216"/>
        <v>0</v>
      </c>
      <c r="M804" s="10">
        <v>23</v>
      </c>
      <c r="N804" s="30"/>
      <c r="O804" s="31"/>
      <c r="P804" s="47"/>
      <c r="Q804" s="31"/>
      <c r="S804" s="32">
        <f t="shared" si="217"/>
        <v>0</v>
      </c>
      <c r="T804" s="10"/>
      <c r="U804" s="10"/>
      <c r="V804" s="10"/>
      <c r="W804" s="12">
        <f t="shared" si="218"/>
        <v>0</v>
      </c>
      <c r="Y804" s="10">
        <v>23</v>
      </c>
      <c r="Z804" s="30"/>
      <c r="AA804" s="31"/>
      <c r="AB804" s="47"/>
      <c r="AC804" s="31"/>
      <c r="AE804" s="32">
        <f t="shared" si="219"/>
        <v>0</v>
      </c>
      <c r="AF804" s="10"/>
      <c r="AG804" s="10"/>
      <c r="AH804" s="10"/>
      <c r="AI804" s="12">
        <f t="shared" si="220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91"/>
      <c r="D805" s="32"/>
      <c r="E805" s="32"/>
      <c r="F805" s="32"/>
      <c r="G805" s="32">
        <f t="shared" si="215"/>
        <v>0</v>
      </c>
      <c r="H805" s="10"/>
      <c r="I805" s="10"/>
      <c r="J805" s="10"/>
      <c r="K805" s="12">
        <f t="shared" si="216"/>
        <v>0</v>
      </c>
      <c r="M805" s="10">
        <v>24</v>
      </c>
      <c r="N805" s="30"/>
      <c r="O805" s="31"/>
      <c r="P805" s="47"/>
      <c r="Q805" s="31"/>
      <c r="R805" s="31"/>
      <c r="S805" s="32">
        <f t="shared" si="217"/>
        <v>0</v>
      </c>
      <c r="T805" s="10"/>
      <c r="U805" s="10"/>
      <c r="V805" s="10"/>
      <c r="W805" s="12">
        <f t="shared" si="218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9"/>
        <v>0</v>
      </c>
      <c r="AF805" s="10"/>
      <c r="AG805" s="10"/>
      <c r="AH805" s="10"/>
      <c r="AI805" s="12">
        <f t="shared" si="220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91"/>
      <c r="D806" s="32"/>
      <c r="E806" s="32"/>
      <c r="F806" s="32"/>
      <c r="G806" s="32">
        <f t="shared" si="215"/>
        <v>0</v>
      </c>
      <c r="H806" s="10"/>
      <c r="I806" s="10"/>
      <c r="J806" s="10"/>
      <c r="K806" s="12">
        <f t="shared" si="216"/>
        <v>0</v>
      </c>
      <c r="M806" s="10">
        <v>25</v>
      </c>
      <c r="N806" s="30"/>
      <c r="O806" s="31"/>
      <c r="P806" s="47"/>
      <c r="Q806" s="31"/>
      <c r="R806" s="31"/>
      <c r="S806" s="32">
        <f t="shared" si="217"/>
        <v>0</v>
      </c>
      <c r="T806" s="10"/>
      <c r="U806" s="10"/>
      <c r="V806" s="10"/>
      <c r="W806" s="12">
        <f t="shared" si="218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19"/>
        <v>0</v>
      </c>
      <c r="AF806" s="10"/>
      <c r="AG806" s="10"/>
      <c r="AH806" s="10"/>
      <c r="AI806" s="12">
        <f t="shared" si="220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91"/>
      <c r="D807" s="32"/>
      <c r="E807" s="32"/>
      <c r="F807" s="32"/>
      <c r="G807" s="32">
        <f t="shared" si="215"/>
        <v>0</v>
      </c>
      <c r="H807" s="10"/>
      <c r="I807" s="10"/>
      <c r="J807" s="10"/>
      <c r="K807" s="12">
        <f t="shared" si="216"/>
        <v>0</v>
      </c>
      <c r="M807" s="10">
        <v>26</v>
      </c>
      <c r="N807" s="30"/>
      <c r="O807" s="31"/>
      <c r="P807" s="47"/>
      <c r="Q807" s="31"/>
      <c r="R807" s="31"/>
      <c r="S807" s="32">
        <f t="shared" si="217"/>
        <v>0</v>
      </c>
      <c r="T807" s="10"/>
      <c r="U807" s="10"/>
      <c r="V807" s="10"/>
      <c r="W807" s="12">
        <f t="shared" si="218"/>
        <v>0</v>
      </c>
      <c r="Y807" s="10">
        <v>26</v>
      </c>
      <c r="Z807" s="30"/>
      <c r="AB807" s="47"/>
      <c r="AC807" s="31"/>
      <c r="AD807" s="31"/>
      <c r="AE807" s="32">
        <f t="shared" si="219"/>
        <v>0</v>
      </c>
      <c r="AF807" s="10"/>
      <c r="AG807" s="10"/>
      <c r="AH807" s="10"/>
      <c r="AI807" s="12">
        <f t="shared" si="220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91"/>
      <c r="D808" s="32"/>
      <c r="E808" s="32"/>
      <c r="F808" s="32"/>
      <c r="G808" s="32">
        <f t="shared" si="215"/>
        <v>0</v>
      </c>
      <c r="H808" s="10"/>
      <c r="I808" s="10"/>
      <c r="J808" s="10"/>
      <c r="K808" s="12">
        <f t="shared" si="216"/>
        <v>0</v>
      </c>
      <c r="M808" s="10">
        <v>27</v>
      </c>
      <c r="N808" s="30"/>
      <c r="O808" s="31"/>
      <c r="P808" s="47"/>
      <c r="Q808" s="31"/>
      <c r="R808" s="31"/>
      <c r="S808" s="32">
        <f t="shared" si="217"/>
        <v>0</v>
      </c>
      <c r="T808" s="10"/>
      <c r="U808" s="10"/>
      <c r="V808" s="10"/>
      <c r="W808" s="12">
        <f t="shared" si="218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9"/>
        <v>0</v>
      </c>
      <c r="AF808" s="10"/>
      <c r="AG808" s="10"/>
      <c r="AH808" s="10"/>
      <c r="AI808" s="12">
        <f t="shared" si="220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91"/>
      <c r="D809" s="32"/>
      <c r="E809" s="32"/>
      <c r="F809" s="32"/>
      <c r="G809" s="32">
        <f t="shared" si="215"/>
        <v>0</v>
      </c>
      <c r="H809" s="10"/>
      <c r="I809" s="10"/>
      <c r="J809" s="10"/>
      <c r="K809" s="12">
        <f t="shared" si="216"/>
        <v>0</v>
      </c>
      <c r="M809" s="10">
        <v>28</v>
      </c>
      <c r="N809" s="30"/>
      <c r="O809" s="31"/>
      <c r="P809" s="47"/>
      <c r="Q809" s="31"/>
      <c r="R809" s="31"/>
      <c r="S809" s="32">
        <f t="shared" si="217"/>
        <v>0</v>
      </c>
      <c r="T809" s="10"/>
      <c r="U809" s="10"/>
      <c r="V809" s="10"/>
      <c r="W809" s="12">
        <f t="shared" si="218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9"/>
        <v>0</v>
      </c>
      <c r="AF809" s="10"/>
      <c r="AG809" s="10"/>
      <c r="AH809" s="10"/>
      <c r="AI809" s="12">
        <f t="shared" si="220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91"/>
      <c r="D810" s="32"/>
      <c r="E810" s="32"/>
      <c r="F810" s="32"/>
      <c r="G810" s="32">
        <f t="shared" si="215"/>
        <v>0</v>
      </c>
      <c r="H810" s="10"/>
      <c r="I810" s="10"/>
      <c r="J810" s="10"/>
      <c r="K810" s="12">
        <f t="shared" si="216"/>
        <v>0</v>
      </c>
      <c r="M810" s="10">
        <v>29</v>
      </c>
      <c r="N810" s="30"/>
      <c r="O810" s="31"/>
      <c r="P810" s="47"/>
      <c r="Q810" s="31"/>
      <c r="R810" s="31"/>
      <c r="S810" s="32">
        <f t="shared" si="217"/>
        <v>0</v>
      </c>
      <c r="T810" s="10"/>
      <c r="U810" s="10"/>
      <c r="V810" s="10"/>
      <c r="W810" s="12">
        <f t="shared" si="218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9"/>
        <v>0</v>
      </c>
      <c r="AF810" s="10"/>
      <c r="AG810" s="10"/>
      <c r="AH810" s="10"/>
      <c r="AI810" s="12">
        <f t="shared" si="220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15"/>
        <v>0</v>
      </c>
      <c r="H811" s="10"/>
      <c r="I811" s="10"/>
      <c r="J811" s="10"/>
      <c r="K811" s="12">
        <f t="shared" si="216"/>
        <v>0</v>
      </c>
      <c r="M811" s="10">
        <v>30</v>
      </c>
      <c r="N811" s="30"/>
      <c r="P811" s="47"/>
      <c r="Q811" s="31"/>
      <c r="R811" s="31"/>
      <c r="S811" s="32">
        <f t="shared" si="217"/>
        <v>0</v>
      </c>
      <c r="T811" s="10"/>
      <c r="U811" s="10"/>
      <c r="V811" s="10"/>
      <c r="W811" s="12">
        <f t="shared" si="218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19"/>
        <v>0</v>
      </c>
      <c r="AF811" s="10"/>
      <c r="AG811" s="10"/>
      <c r="AH811" s="10"/>
      <c r="AI811" s="12">
        <f t="shared" si="220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15"/>
        <v>0</v>
      </c>
      <c r="H812" s="10"/>
      <c r="I812" s="10"/>
      <c r="J812" s="10"/>
      <c r="K812" s="12">
        <f t="shared" si="216"/>
        <v>0</v>
      </c>
      <c r="M812" s="10">
        <v>31</v>
      </c>
      <c r="N812" s="30"/>
      <c r="O812" s="31"/>
      <c r="P812" s="47"/>
      <c r="Q812" s="31"/>
      <c r="R812" s="31"/>
      <c r="S812" s="32">
        <f t="shared" si="217"/>
        <v>0</v>
      </c>
      <c r="T812" s="10"/>
      <c r="U812" s="10"/>
      <c r="V812" s="10"/>
      <c r="W812" s="12">
        <f t="shared" si="218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9"/>
        <v>0</v>
      </c>
      <c r="AF812" s="10"/>
      <c r="AG812" s="10"/>
      <c r="AH812" s="10"/>
      <c r="AI812" s="12">
        <f t="shared" si="220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91"/>
      <c r="D813" s="32"/>
      <c r="E813" s="32"/>
      <c r="F813" s="32"/>
      <c r="G813" s="32">
        <f t="shared" si="215"/>
        <v>0</v>
      </c>
      <c r="H813" s="10"/>
      <c r="I813" s="10"/>
      <c r="J813" s="10"/>
      <c r="K813" s="12">
        <f t="shared" si="216"/>
        <v>0</v>
      </c>
      <c r="M813" s="10">
        <v>32</v>
      </c>
      <c r="N813" s="30"/>
      <c r="O813" s="31"/>
      <c r="P813" s="47"/>
      <c r="Q813" s="31"/>
      <c r="R813" s="31"/>
      <c r="S813" s="32">
        <f t="shared" si="217"/>
        <v>0</v>
      </c>
      <c r="T813" s="10"/>
      <c r="U813" s="10"/>
      <c r="V813" s="10"/>
      <c r="W813" s="12">
        <f t="shared" si="218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9"/>
        <v>0</v>
      </c>
      <c r="AF813" s="10"/>
      <c r="AG813" s="10"/>
      <c r="AH813" s="10"/>
      <c r="AI813" s="12">
        <f t="shared" si="220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15"/>
        <v>0</v>
      </c>
      <c r="H814" s="10"/>
      <c r="I814" s="10"/>
      <c r="J814" s="10"/>
      <c r="K814" s="12">
        <f t="shared" si="216"/>
        <v>0</v>
      </c>
      <c r="M814" s="10">
        <v>33</v>
      </c>
      <c r="N814" s="30"/>
      <c r="O814" s="31"/>
      <c r="P814" s="47"/>
      <c r="Q814" s="31"/>
      <c r="R814" s="31"/>
      <c r="S814" s="32">
        <f t="shared" si="217"/>
        <v>0</v>
      </c>
      <c r="T814" s="10"/>
      <c r="U814" s="10"/>
      <c r="V814" s="10"/>
      <c r="W814" s="12">
        <f t="shared" si="218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9"/>
        <v>0</v>
      </c>
      <c r="AF814" s="10"/>
      <c r="AG814" s="10"/>
      <c r="AH814" s="10"/>
      <c r="AI814" s="12">
        <f t="shared" si="220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15"/>
        <v>0</v>
      </c>
      <c r="H815" s="10"/>
      <c r="I815" s="10"/>
      <c r="J815" s="10"/>
      <c r="K815" s="12">
        <f t="shared" si="216"/>
        <v>0</v>
      </c>
      <c r="M815" s="10">
        <v>34</v>
      </c>
      <c r="N815" s="30"/>
      <c r="P815" s="47"/>
      <c r="Q815" s="31"/>
      <c r="R815" s="31"/>
      <c r="S815" s="32">
        <f t="shared" ref="S815:S820" si="224">SUM(P815:Q815)</f>
        <v>0</v>
      </c>
      <c r="T815" s="10"/>
      <c r="U815" s="10"/>
      <c r="V815" s="10"/>
      <c r="W815" s="12">
        <f t="shared" si="218"/>
        <v>0</v>
      </c>
      <c r="Y815" s="10">
        <v>34</v>
      </c>
      <c r="Z815" s="30"/>
      <c r="AB815" s="47"/>
      <c r="AC815" s="31"/>
      <c r="AD815" s="31"/>
      <c r="AE815" s="32">
        <f t="shared" si="219"/>
        <v>0</v>
      </c>
      <c r="AF815" s="10"/>
      <c r="AG815" s="10"/>
      <c r="AH815" s="10"/>
      <c r="AI815" s="12">
        <f t="shared" si="220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24"/>
        <v>0</v>
      </c>
      <c r="T816" s="10"/>
      <c r="U816" s="10"/>
      <c r="V816" s="10"/>
      <c r="W816" s="12">
        <f t="shared" si="218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9"/>
        <v>0</v>
      </c>
      <c r="AF816" s="10"/>
      <c r="AG816" s="10"/>
      <c r="AH816" s="10"/>
      <c r="AI816" s="12">
        <f t="shared" si="22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24"/>
        <v>0</v>
      </c>
      <c r="T817" s="10"/>
      <c r="U817" s="10"/>
      <c r="V817" s="10"/>
      <c r="W817" s="12">
        <f t="shared" si="218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9"/>
        <v>0</v>
      </c>
      <c r="AF817" s="10"/>
      <c r="AG817" s="10"/>
      <c r="AH817" s="10"/>
      <c r="AI817" s="12">
        <f t="shared" si="22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24"/>
        <v>0</v>
      </c>
      <c r="T818" s="10"/>
      <c r="U818" s="10"/>
      <c r="V818" s="10"/>
      <c r="W818" s="12">
        <f t="shared" si="218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9"/>
        <v>0</v>
      </c>
      <c r="AF818" s="10"/>
      <c r="AG818" s="10"/>
      <c r="AH818" s="10"/>
      <c r="AI818" s="12">
        <f t="shared" si="22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24"/>
        <v>0</v>
      </c>
      <c r="T819" s="10"/>
      <c r="U819" s="10"/>
      <c r="V819" s="10"/>
      <c r="W819" s="12">
        <f t="shared" si="218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9"/>
        <v>0</v>
      </c>
      <c r="AF819" s="10"/>
      <c r="AG819" s="10"/>
      <c r="AH819" s="10"/>
      <c r="AI819" s="12">
        <f t="shared" si="22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24"/>
        <v>0</v>
      </c>
      <c r="T820" s="10"/>
      <c r="U820" s="10"/>
      <c r="V820" s="10"/>
      <c r="W820" s="12">
        <f t="shared" si="218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9"/>
        <v>0</v>
      </c>
      <c r="AF820" s="10"/>
      <c r="AG820" s="10"/>
      <c r="AH820" s="10"/>
      <c r="AI820" s="12">
        <f t="shared" si="22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8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2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5">SUM(D822:E822)</f>
        <v>0</v>
      </c>
      <c r="H822" s="10"/>
      <c r="I822" s="10"/>
      <c r="J822" s="10"/>
      <c r="K822" s="12">
        <f t="shared" ref="K822" si="226">SUM(G822:J822)</f>
        <v>0</v>
      </c>
      <c r="M822" s="10"/>
      <c r="N822" s="30"/>
      <c r="O822" s="31"/>
      <c r="P822" s="47"/>
      <c r="Q822" s="31"/>
      <c r="R822" s="31"/>
      <c r="S822" s="32">
        <f t="shared" ref="S822" si="227">SUM(P822:Q822)</f>
        <v>0</v>
      </c>
      <c r="T822" s="10"/>
      <c r="U822" s="10"/>
      <c r="V822" s="10"/>
      <c r="W822" s="12">
        <f t="shared" si="218"/>
        <v>0</v>
      </c>
      <c r="Y822" s="10"/>
      <c r="Z822" s="30"/>
      <c r="AA822" s="31"/>
      <c r="AB822" s="47"/>
      <c r="AC822" s="31"/>
      <c r="AD822" s="31"/>
      <c r="AE822" s="32">
        <f t="shared" ref="AE822" si="228">SUM(AB822:AC822)</f>
        <v>0</v>
      </c>
      <c r="AF822" s="10"/>
      <c r="AG822" s="10"/>
      <c r="AH822" s="10"/>
      <c r="AI822" s="12">
        <f t="shared" si="22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8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2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223321.5</v>
      </c>
      <c r="E825" s="38">
        <f t="shared" ref="E825:F825" si="229">SUM(E782:E822)</f>
        <v>-1692</v>
      </c>
      <c r="F825" s="38">
        <f t="shared" si="229"/>
        <v>0</v>
      </c>
      <c r="G825" s="38">
        <f>SUM(G782:G824)</f>
        <v>221629.5</v>
      </c>
      <c r="H825" s="4"/>
      <c r="I825" s="39">
        <f>SUM(I782:I824)</f>
        <v>8400</v>
      </c>
      <c r="J825" s="39">
        <f>SUM(J782:J824)</f>
        <v>-92733</v>
      </c>
      <c r="K825" s="40">
        <f>SUM(K782:K824)</f>
        <v>137296.5</v>
      </c>
      <c r="N825" s="57"/>
      <c r="O825" s="57"/>
      <c r="P825" s="38">
        <f>SUM(P782:P824)</f>
        <v>179557</v>
      </c>
      <c r="Q825" s="38">
        <f>SUM(Q782:Q806)</f>
        <v>-2583</v>
      </c>
      <c r="R825" s="38">
        <f>SUM(R782:R806)</f>
        <v>0</v>
      </c>
      <c r="S825" s="38">
        <f>SUM(S782:S824)</f>
        <v>176974</v>
      </c>
      <c r="T825" s="4"/>
      <c r="U825" s="41">
        <f>SUM(U782:U824)</f>
        <v>579</v>
      </c>
      <c r="V825" s="41">
        <f>SUM(V782:V806)</f>
        <v>-1892</v>
      </c>
      <c r="W825" s="42">
        <f>SUM(W782:W824)</f>
        <v>175661</v>
      </c>
      <c r="Z825" s="57"/>
      <c r="AA825" s="57"/>
      <c r="AB825" s="38">
        <f>SUM(AB782:AB824)</f>
        <v>144618</v>
      </c>
      <c r="AC825" s="38">
        <f>SUM(AC782:AC806)</f>
        <v>-948</v>
      </c>
      <c r="AD825" s="38">
        <f>SUM(AD782:AD806)</f>
        <v>0</v>
      </c>
      <c r="AE825" s="38">
        <f>SUM(AE782:AE824)</f>
        <v>143670</v>
      </c>
      <c r="AF825" s="4"/>
      <c r="AG825" s="41">
        <f>SUM(AG782:AG824)</f>
        <v>33</v>
      </c>
      <c r="AH825" s="41">
        <f>SUM(AH782:AH806)</f>
        <v>0</v>
      </c>
      <c r="AI825" s="42">
        <f>SUM(AI782:AI824)</f>
        <v>143703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19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83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Y833" s="21" t="s">
        <v>83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8" t="s">
        <v>17</v>
      </c>
      <c r="E835" s="118"/>
      <c r="F835" s="106"/>
      <c r="G835" s="27"/>
      <c r="I835" s="116" t="s">
        <v>18</v>
      </c>
      <c r="J835" s="117"/>
      <c r="K835" s="114" t="s">
        <v>19</v>
      </c>
      <c r="M835" s="62"/>
      <c r="N835" s="65"/>
      <c r="O835" s="89"/>
      <c r="P835" s="113"/>
      <c r="Q835" s="113"/>
      <c r="R835" s="89"/>
      <c r="S835" s="89"/>
      <c r="T835" s="62"/>
      <c r="U835" s="113"/>
      <c r="V835" s="113"/>
      <c r="W835" s="112"/>
      <c r="Z835" s="25"/>
      <c r="AA835" s="26"/>
      <c r="AB835" s="118" t="s">
        <v>17</v>
      </c>
      <c r="AC835" s="118"/>
      <c r="AD835" s="106"/>
      <c r="AE835" s="27"/>
      <c r="AG835" s="116" t="s">
        <v>18</v>
      </c>
      <c r="AH835" s="117"/>
      <c r="AI835" s="114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15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12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15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84</v>
      </c>
      <c r="C837" s="91">
        <v>7296</v>
      </c>
      <c r="D837" s="32">
        <f>1252+19</f>
        <v>1271</v>
      </c>
      <c r="E837" s="32"/>
      <c r="F837" s="32"/>
      <c r="G837" s="32">
        <f t="shared" ref="G837:G870" si="230">SUM(D837:E837)</f>
        <v>1271</v>
      </c>
      <c r="H837" s="12"/>
      <c r="I837" s="12"/>
      <c r="J837" s="12"/>
      <c r="K837" s="12">
        <f t="shared" ref="K837:K870" si="231">SUM(G837:J837)</f>
        <v>1271</v>
      </c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Y837" s="10">
        <v>1</v>
      </c>
      <c r="Z837" s="30" t="s">
        <v>84</v>
      </c>
      <c r="AA837" s="31">
        <v>7301</v>
      </c>
      <c r="AB837" s="32">
        <f>626*10+614+596*10+9.5*20</f>
        <v>13024</v>
      </c>
      <c r="AC837" s="32"/>
      <c r="AD837" s="32"/>
      <c r="AE837" s="32">
        <f>SUM(AB837:AC837)</f>
        <v>13024</v>
      </c>
      <c r="AF837" s="12"/>
      <c r="AG837" s="12"/>
      <c r="AH837" s="12"/>
      <c r="AI837" s="12">
        <f>SUM(AE837:AH837)</f>
        <v>13024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84</v>
      </c>
      <c r="C838" s="91">
        <f>C837+1</f>
        <v>7297</v>
      </c>
      <c r="D838" s="32">
        <f>98908+5960+1145</f>
        <v>106013</v>
      </c>
      <c r="E838" s="32"/>
      <c r="F838" s="32"/>
      <c r="G838" s="32">
        <f t="shared" si="230"/>
        <v>106013</v>
      </c>
      <c r="H838" s="12"/>
      <c r="I838" s="12"/>
      <c r="J838" s="12"/>
      <c r="K838" s="12">
        <f t="shared" si="231"/>
        <v>106013</v>
      </c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Y838" s="10">
        <v>2</v>
      </c>
      <c r="Z838" s="30" t="s">
        <v>84</v>
      </c>
      <c r="AA838" s="31">
        <f>AA837+1</f>
        <v>7302</v>
      </c>
      <c r="AB838" s="32">
        <f>50080+1228+2010+687</f>
        <v>54005</v>
      </c>
      <c r="AC838" s="32">
        <v>-522</v>
      </c>
      <c r="AD838" s="32"/>
      <c r="AE838" s="32">
        <f t="shared" ref="AE838:AE875" si="232">SUM(AB838:AC838)</f>
        <v>53483</v>
      </c>
      <c r="AF838" s="12"/>
      <c r="AG838" s="12"/>
      <c r="AH838" s="12"/>
      <c r="AI838" s="12">
        <f t="shared" ref="AI838:AI878" si="233">SUM(AE838:AH838)</f>
        <v>53483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84</v>
      </c>
      <c r="C839" s="91">
        <f t="shared" ref="C839" si="234">C838+1</f>
        <v>7298</v>
      </c>
      <c r="D839" s="33">
        <f>23162+351.5</f>
        <v>23513.5</v>
      </c>
      <c r="E839" s="33"/>
      <c r="F839" s="33"/>
      <c r="G839" s="33">
        <f t="shared" si="230"/>
        <v>23513.5</v>
      </c>
      <c r="H839" s="34"/>
      <c r="I839" s="34"/>
      <c r="J839" s="34"/>
      <c r="K839" s="34">
        <f t="shared" si="231"/>
        <v>23513.5</v>
      </c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Y839" s="10">
        <v>3</v>
      </c>
      <c r="Z839" s="30" t="s">
        <v>84</v>
      </c>
      <c r="AA839" s="31">
        <f t="shared" ref="AA839:AA846" si="235">AA838+1</f>
        <v>7303</v>
      </c>
      <c r="AB839" s="33">
        <f>21910+4298+8940+852+458</f>
        <v>36458</v>
      </c>
      <c r="AC839" s="33"/>
      <c r="AD839" s="32"/>
      <c r="AE839" s="32">
        <f t="shared" si="232"/>
        <v>36458</v>
      </c>
      <c r="AF839" s="12"/>
      <c r="AG839" s="12"/>
      <c r="AH839" s="12">
        <v>-78</v>
      </c>
      <c r="AI839" s="12">
        <f t="shared" si="233"/>
        <v>36380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30"/>
        <v>0</v>
      </c>
      <c r="H840" s="12"/>
      <c r="I840" s="12"/>
      <c r="J840" s="12"/>
      <c r="K840" s="12">
        <f t="shared" si="231"/>
        <v>0</v>
      </c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Y840" s="10">
        <v>4</v>
      </c>
      <c r="Z840" s="30" t="s">
        <v>84</v>
      </c>
      <c r="AA840" s="31">
        <f t="shared" si="235"/>
        <v>7304</v>
      </c>
      <c r="AB840" s="32">
        <f>6260+5960+190</f>
        <v>12410</v>
      </c>
      <c r="AC840" s="32"/>
      <c r="AD840" s="32"/>
      <c r="AE840" s="32">
        <f t="shared" si="232"/>
        <v>12410</v>
      </c>
      <c r="AF840" s="12"/>
      <c r="AH840" s="12"/>
      <c r="AI840" s="12">
        <f t="shared" si="233"/>
        <v>12410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91"/>
      <c r="D841" s="32"/>
      <c r="E841" s="32"/>
      <c r="F841" s="32"/>
      <c r="G841" s="32">
        <f t="shared" si="230"/>
        <v>0</v>
      </c>
      <c r="H841" s="12"/>
      <c r="I841" s="12"/>
      <c r="J841" s="12"/>
      <c r="K841" s="12">
        <f t="shared" si="231"/>
        <v>0</v>
      </c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Y841" s="10">
        <v>5</v>
      </c>
      <c r="Z841" s="30" t="s">
        <v>84</v>
      </c>
      <c r="AA841" s="31">
        <f t="shared" si="235"/>
        <v>7305</v>
      </c>
      <c r="AB841" s="32">
        <f>31926+4298+229</f>
        <v>36453</v>
      </c>
      <c r="AC841" s="32"/>
      <c r="AD841" s="32"/>
      <c r="AE841" s="32">
        <f t="shared" si="232"/>
        <v>36453</v>
      </c>
      <c r="AF841" s="12"/>
      <c r="AG841" s="12">
        <v>27</v>
      </c>
      <c r="AH841" s="12"/>
      <c r="AI841" s="12">
        <f t="shared" si="233"/>
        <v>36480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91"/>
      <c r="D842" s="32"/>
      <c r="E842" s="32"/>
      <c r="F842" s="32"/>
      <c r="G842" s="32">
        <f t="shared" si="230"/>
        <v>0</v>
      </c>
      <c r="H842" s="12"/>
      <c r="I842" s="12"/>
      <c r="J842" s="12"/>
      <c r="K842" s="12">
        <f t="shared" si="231"/>
        <v>0</v>
      </c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Y842" s="10">
        <v>6</v>
      </c>
      <c r="Z842" s="30" t="s">
        <v>84</v>
      </c>
      <c r="AA842" s="31">
        <f t="shared" si="235"/>
        <v>7306</v>
      </c>
      <c r="AB842" s="32">
        <f>12520+1842+229</f>
        <v>14591</v>
      </c>
      <c r="AC842" s="32"/>
      <c r="AD842" s="32"/>
      <c r="AE842" s="32">
        <f t="shared" si="232"/>
        <v>14591</v>
      </c>
      <c r="AF842" s="12"/>
      <c r="AG842" s="12">
        <v>135</v>
      </c>
      <c r="AH842" s="10"/>
      <c r="AI842" s="12">
        <f t="shared" si="233"/>
        <v>14726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D843" s="32"/>
      <c r="E843" s="32"/>
      <c r="F843" s="32"/>
      <c r="G843" s="32">
        <f t="shared" si="230"/>
        <v>0</v>
      </c>
      <c r="H843" s="12"/>
      <c r="I843" s="12"/>
      <c r="J843" s="12"/>
      <c r="K843" s="12">
        <f t="shared" si="231"/>
        <v>0</v>
      </c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Y843" s="10">
        <v>7</v>
      </c>
      <c r="Z843" s="30" t="s">
        <v>84</v>
      </c>
      <c r="AA843" s="31">
        <f t="shared" si="235"/>
        <v>7307</v>
      </c>
      <c r="AB843" s="32">
        <f>18780+2496+458</f>
        <v>21734</v>
      </c>
      <c r="AC843" s="32"/>
      <c r="AD843" s="32"/>
      <c r="AE843" s="32">
        <f t="shared" si="232"/>
        <v>21734</v>
      </c>
      <c r="AF843" s="12"/>
      <c r="AG843" s="58"/>
      <c r="AH843" s="12"/>
      <c r="AI843" s="12">
        <f t="shared" si="233"/>
        <v>21734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91"/>
      <c r="D844" s="32"/>
      <c r="E844" s="32"/>
      <c r="F844" s="32"/>
      <c r="G844" s="32">
        <f t="shared" si="230"/>
        <v>0</v>
      </c>
      <c r="H844" s="12"/>
      <c r="I844" s="12"/>
      <c r="J844" s="12"/>
      <c r="K844" s="12">
        <f t="shared" si="231"/>
        <v>0</v>
      </c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Y844" s="10">
        <v>8</v>
      </c>
      <c r="Z844" s="30" t="s">
        <v>84</v>
      </c>
      <c r="AA844" s="31">
        <f t="shared" si="235"/>
        <v>7308</v>
      </c>
      <c r="AB844" s="32">
        <f>9390+852+229</f>
        <v>10471</v>
      </c>
      <c r="AC844" s="32">
        <v>-102</v>
      </c>
      <c r="AE844" s="32">
        <f t="shared" si="232"/>
        <v>10369</v>
      </c>
      <c r="AF844" s="12"/>
      <c r="AG844" s="12">
        <v>90</v>
      </c>
      <c r="AH844" s="12"/>
      <c r="AI844" s="12">
        <f t="shared" si="233"/>
        <v>10459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91"/>
      <c r="D845" s="32"/>
      <c r="E845" s="32"/>
      <c r="F845" s="32"/>
      <c r="G845" s="32">
        <f t="shared" si="230"/>
        <v>0</v>
      </c>
      <c r="H845" s="12"/>
      <c r="I845" s="12"/>
      <c r="J845" s="12"/>
      <c r="K845" s="12">
        <f t="shared" si="231"/>
        <v>0</v>
      </c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Y845" s="10">
        <v>9</v>
      </c>
      <c r="Z845" s="30" t="s">
        <v>84</v>
      </c>
      <c r="AA845" s="31">
        <f t="shared" si="235"/>
        <v>7309</v>
      </c>
      <c r="AB845" s="32">
        <f>626*37+596*5+229</f>
        <v>26371</v>
      </c>
      <c r="AC845" s="32"/>
      <c r="AD845" s="32"/>
      <c r="AE845" s="32">
        <f t="shared" si="232"/>
        <v>26371</v>
      </c>
      <c r="AF845" s="12"/>
      <c r="AG845" s="58"/>
      <c r="AH845" s="12"/>
      <c r="AI845" s="12">
        <f t="shared" si="233"/>
        <v>26371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91"/>
      <c r="D846" s="32"/>
      <c r="E846" s="32"/>
      <c r="F846" s="32"/>
      <c r="G846" s="32">
        <f t="shared" si="230"/>
        <v>0</v>
      </c>
      <c r="H846" s="12"/>
      <c r="I846" s="12"/>
      <c r="J846" s="12"/>
      <c r="K846" s="12">
        <f t="shared" si="231"/>
        <v>0</v>
      </c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Y846" s="10">
        <v>10</v>
      </c>
      <c r="Z846" s="30" t="s">
        <v>84</v>
      </c>
      <c r="AA846" s="31">
        <f t="shared" si="235"/>
        <v>7310</v>
      </c>
      <c r="AB846" s="32">
        <f>31300+458</f>
        <v>31758</v>
      </c>
      <c r="AC846" s="32">
        <v>-312</v>
      </c>
      <c r="AD846" s="32"/>
      <c r="AE846" s="32">
        <f t="shared" si="232"/>
        <v>31446</v>
      </c>
      <c r="AF846" s="12"/>
      <c r="AG846" s="12"/>
      <c r="AH846" s="12">
        <f>-16983+-468</f>
        <v>-17451</v>
      </c>
      <c r="AI846" s="12">
        <f t="shared" si="233"/>
        <v>13995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91"/>
      <c r="D847" s="32"/>
      <c r="E847" s="32"/>
      <c r="F847" s="32"/>
      <c r="G847" s="32">
        <f t="shared" si="230"/>
        <v>0</v>
      </c>
      <c r="H847" s="12"/>
      <c r="I847" s="12"/>
      <c r="J847" s="12"/>
      <c r="K847" s="12">
        <f t="shared" si="231"/>
        <v>0</v>
      </c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32"/>
        <v>0</v>
      </c>
      <c r="AF847" s="12"/>
      <c r="AG847" s="12"/>
      <c r="AH847" s="12"/>
      <c r="AI847" s="12">
        <f t="shared" si="233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91"/>
      <c r="D848" s="32"/>
      <c r="E848" s="32"/>
      <c r="F848" s="32"/>
      <c r="G848" s="32">
        <f t="shared" si="230"/>
        <v>0</v>
      </c>
      <c r="H848" s="12"/>
      <c r="I848" s="12"/>
      <c r="J848" s="10"/>
      <c r="K848" s="12">
        <f t="shared" si="231"/>
        <v>0</v>
      </c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Y848" s="10">
        <v>12</v>
      </c>
      <c r="Z848" s="30"/>
      <c r="AA848" s="31"/>
      <c r="AB848" s="32"/>
      <c r="AC848" s="32"/>
      <c r="AD848" s="32"/>
      <c r="AE848" s="32">
        <f t="shared" si="232"/>
        <v>0</v>
      </c>
      <c r="AF848" s="12"/>
      <c r="AG848" s="12"/>
      <c r="AH848" s="12"/>
      <c r="AI848" s="12">
        <f t="shared" si="233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91"/>
      <c r="D849" s="32"/>
      <c r="E849" s="32"/>
      <c r="F849" s="32"/>
      <c r="G849" s="32">
        <f t="shared" si="230"/>
        <v>0</v>
      </c>
      <c r="H849" s="12"/>
      <c r="I849" s="12"/>
      <c r="J849" s="12"/>
      <c r="K849" s="12">
        <f t="shared" si="231"/>
        <v>0</v>
      </c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Y849" s="10">
        <v>13</v>
      </c>
      <c r="Z849" s="30"/>
      <c r="AA849" s="31"/>
      <c r="AB849" s="32"/>
      <c r="AC849" s="32"/>
      <c r="AD849" s="32"/>
      <c r="AE849" s="32">
        <f t="shared" si="232"/>
        <v>0</v>
      </c>
      <c r="AF849" s="12"/>
      <c r="AG849" s="12"/>
      <c r="AH849" s="12"/>
      <c r="AI849" s="12">
        <f t="shared" si="233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91"/>
      <c r="D850" s="32"/>
      <c r="E850" s="32"/>
      <c r="F850" s="32"/>
      <c r="G850" s="32">
        <f t="shared" si="230"/>
        <v>0</v>
      </c>
      <c r="H850" s="12"/>
      <c r="I850" s="12"/>
      <c r="J850" s="12"/>
      <c r="K850" s="12">
        <f t="shared" si="231"/>
        <v>0</v>
      </c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Y850" s="10">
        <v>14</v>
      </c>
      <c r="Z850" s="30"/>
      <c r="AA850" s="31"/>
      <c r="AB850" s="32"/>
      <c r="AC850" s="32"/>
      <c r="AD850" s="32"/>
      <c r="AE850" s="32">
        <f t="shared" si="232"/>
        <v>0</v>
      </c>
      <c r="AF850" s="12"/>
      <c r="AG850" s="12"/>
      <c r="AH850" s="12"/>
      <c r="AI850" s="12">
        <f t="shared" si="233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91"/>
      <c r="D851" s="32"/>
      <c r="E851" s="32"/>
      <c r="F851" s="32"/>
      <c r="G851" s="32">
        <f t="shared" si="230"/>
        <v>0</v>
      </c>
      <c r="H851" s="12"/>
      <c r="I851" s="12"/>
      <c r="J851" s="12"/>
      <c r="K851" s="12">
        <f t="shared" si="231"/>
        <v>0</v>
      </c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Y851" s="10">
        <v>15</v>
      </c>
      <c r="Z851" s="30"/>
      <c r="AA851" s="31"/>
      <c r="AB851" s="32"/>
      <c r="AC851" s="32"/>
      <c r="AD851" s="32"/>
      <c r="AE851" s="32">
        <f t="shared" si="232"/>
        <v>0</v>
      </c>
      <c r="AF851" s="12"/>
      <c r="AG851" s="12"/>
      <c r="AH851" s="12"/>
      <c r="AI851" s="12">
        <f t="shared" si="233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91"/>
      <c r="D852" s="32"/>
      <c r="E852" s="32"/>
      <c r="F852" s="32"/>
      <c r="G852" s="32">
        <f t="shared" si="230"/>
        <v>0</v>
      </c>
      <c r="H852" s="12"/>
      <c r="I852" s="12"/>
      <c r="J852" s="12"/>
      <c r="K852" s="12">
        <f t="shared" si="231"/>
        <v>0</v>
      </c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Y852" s="10">
        <v>16</v>
      </c>
      <c r="Z852" s="30"/>
      <c r="AB852" s="32"/>
      <c r="AC852" s="32"/>
      <c r="AD852" s="32"/>
      <c r="AE852" s="32">
        <f t="shared" si="232"/>
        <v>0</v>
      </c>
      <c r="AF852" s="12"/>
      <c r="AG852" s="12"/>
      <c r="AH852" s="12"/>
      <c r="AI852" s="12">
        <f t="shared" si="233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91"/>
      <c r="D853" s="32"/>
      <c r="E853" s="32"/>
      <c r="F853" s="32"/>
      <c r="G853" s="32">
        <f t="shared" si="230"/>
        <v>0</v>
      </c>
      <c r="H853" s="12"/>
      <c r="I853" s="12"/>
      <c r="J853" s="12"/>
      <c r="K853" s="12">
        <f t="shared" si="231"/>
        <v>0</v>
      </c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Y853" s="10">
        <v>17</v>
      </c>
      <c r="Z853" s="30"/>
      <c r="AA853" s="31"/>
      <c r="AB853" s="35"/>
      <c r="AC853" s="32"/>
      <c r="AD853" s="32"/>
      <c r="AE853" s="32">
        <f t="shared" si="232"/>
        <v>0</v>
      </c>
      <c r="AF853" s="12"/>
      <c r="AG853" s="12"/>
      <c r="AH853" s="12"/>
      <c r="AI853" s="12">
        <f t="shared" si="233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91"/>
      <c r="D854" s="32"/>
      <c r="E854" s="32"/>
      <c r="F854" s="32"/>
      <c r="G854" s="32">
        <f t="shared" si="230"/>
        <v>0</v>
      </c>
      <c r="H854" s="12"/>
      <c r="I854" s="12"/>
      <c r="J854" s="12"/>
      <c r="K854" s="12">
        <f t="shared" si="231"/>
        <v>0</v>
      </c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Y854" s="10">
        <v>18</v>
      </c>
      <c r="Z854" s="30"/>
      <c r="AA854" s="31"/>
      <c r="AB854" s="32"/>
      <c r="AC854" s="32"/>
      <c r="AD854" s="32"/>
      <c r="AE854" s="32">
        <f t="shared" si="232"/>
        <v>0</v>
      </c>
      <c r="AF854" s="12"/>
      <c r="AG854" s="12"/>
      <c r="AH854" s="12"/>
      <c r="AI854" s="12">
        <f t="shared" si="233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91"/>
      <c r="D855" s="32"/>
      <c r="E855" s="32"/>
      <c r="F855" s="32"/>
      <c r="G855" s="32">
        <f t="shared" si="230"/>
        <v>0</v>
      </c>
      <c r="H855" s="12"/>
      <c r="I855" s="12"/>
      <c r="J855" s="12"/>
      <c r="K855" s="12">
        <f t="shared" si="231"/>
        <v>0</v>
      </c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Y855" s="10">
        <v>19</v>
      </c>
      <c r="Z855" s="30"/>
      <c r="AA855" s="31"/>
      <c r="AB855" s="32"/>
      <c r="AC855" s="32"/>
      <c r="AD855" s="32"/>
      <c r="AE855" s="32">
        <f t="shared" si="232"/>
        <v>0</v>
      </c>
      <c r="AF855" s="12"/>
      <c r="AG855" s="12"/>
      <c r="AH855" s="12"/>
      <c r="AI855" s="12">
        <f t="shared" si="233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91"/>
      <c r="D856" s="32"/>
      <c r="E856" s="32"/>
      <c r="F856" s="32"/>
      <c r="G856" s="32">
        <f t="shared" si="230"/>
        <v>0</v>
      </c>
      <c r="H856" s="12"/>
      <c r="I856" s="12"/>
      <c r="J856" s="12"/>
      <c r="K856" s="12">
        <f t="shared" si="231"/>
        <v>0</v>
      </c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Y856" s="10">
        <v>20</v>
      </c>
      <c r="Z856" s="30"/>
      <c r="AA856" s="31"/>
      <c r="AB856" s="32"/>
      <c r="AC856" s="32"/>
      <c r="AD856" s="32"/>
      <c r="AE856" s="32">
        <f t="shared" si="232"/>
        <v>0</v>
      </c>
      <c r="AF856" s="12"/>
      <c r="AG856" s="12"/>
      <c r="AH856" s="12"/>
      <c r="AI856" s="12">
        <f t="shared" si="233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91"/>
      <c r="D857" s="32"/>
      <c r="E857" s="32"/>
      <c r="F857" s="32"/>
      <c r="G857" s="32">
        <f t="shared" si="230"/>
        <v>0</v>
      </c>
      <c r="H857" s="10"/>
      <c r="I857" s="10"/>
      <c r="J857" s="10"/>
      <c r="K857" s="12">
        <f t="shared" si="231"/>
        <v>0</v>
      </c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Y857" s="10">
        <v>21</v>
      </c>
      <c r="Z857" s="30"/>
      <c r="AB857" s="46"/>
      <c r="AC857" s="31"/>
      <c r="AD857" s="31"/>
      <c r="AE857" s="32">
        <f t="shared" si="232"/>
        <v>0</v>
      </c>
      <c r="AF857" s="10"/>
      <c r="AG857" s="10"/>
      <c r="AH857" s="10"/>
      <c r="AI857" s="12">
        <f t="shared" si="233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91"/>
      <c r="D858" s="32"/>
      <c r="E858" s="32"/>
      <c r="F858" s="32"/>
      <c r="G858" s="32">
        <f t="shared" si="230"/>
        <v>0</v>
      </c>
      <c r="H858" s="10"/>
      <c r="I858" s="10"/>
      <c r="J858" s="10"/>
      <c r="K858" s="12">
        <f t="shared" si="231"/>
        <v>0</v>
      </c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Y858" s="10">
        <v>22</v>
      </c>
      <c r="Z858" s="30"/>
      <c r="AA858" s="31"/>
      <c r="AB858" s="45"/>
      <c r="AC858" s="31"/>
      <c r="AD858" s="31"/>
      <c r="AE858" s="32">
        <f t="shared" si="232"/>
        <v>0</v>
      </c>
      <c r="AF858" s="10"/>
      <c r="AG858" s="10"/>
      <c r="AH858" s="10"/>
      <c r="AI858" s="12">
        <f t="shared" si="233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30"/>
        <v>0</v>
      </c>
      <c r="H859" s="10"/>
      <c r="I859" s="10"/>
      <c r="J859" s="12"/>
      <c r="K859" s="12">
        <f t="shared" si="231"/>
        <v>0</v>
      </c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Y859" s="10">
        <v>23</v>
      </c>
      <c r="Z859" s="30"/>
      <c r="AA859" s="31"/>
      <c r="AB859" s="47"/>
      <c r="AC859" s="31"/>
      <c r="AE859" s="32">
        <f t="shared" si="232"/>
        <v>0</v>
      </c>
      <c r="AF859" s="10"/>
      <c r="AG859" s="10"/>
      <c r="AH859" s="10"/>
      <c r="AI859" s="12">
        <f t="shared" si="233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91"/>
      <c r="D860" s="32"/>
      <c r="E860" s="32"/>
      <c r="F860" s="32"/>
      <c r="G860" s="32">
        <f t="shared" si="230"/>
        <v>0</v>
      </c>
      <c r="H860" s="10"/>
      <c r="I860" s="10"/>
      <c r="J860" s="10"/>
      <c r="K860" s="12">
        <f t="shared" si="231"/>
        <v>0</v>
      </c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Y860" s="10">
        <v>24</v>
      </c>
      <c r="Z860" s="30"/>
      <c r="AA860" s="31"/>
      <c r="AB860" s="47"/>
      <c r="AC860" s="31"/>
      <c r="AD860" s="31"/>
      <c r="AE860" s="32">
        <f t="shared" si="232"/>
        <v>0</v>
      </c>
      <c r="AF860" s="10"/>
      <c r="AG860" s="10"/>
      <c r="AH860" s="10"/>
      <c r="AI860" s="12">
        <f t="shared" si="233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91"/>
      <c r="D861" s="32"/>
      <c r="E861" s="32"/>
      <c r="F861" s="32"/>
      <c r="G861" s="32">
        <f t="shared" si="230"/>
        <v>0</v>
      </c>
      <c r="H861" s="10"/>
      <c r="I861" s="10"/>
      <c r="J861" s="10"/>
      <c r="K861" s="12">
        <f t="shared" si="231"/>
        <v>0</v>
      </c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Y861" s="10">
        <v>25</v>
      </c>
      <c r="Z861" s="30"/>
      <c r="AA861" s="11"/>
      <c r="AB861" s="47"/>
      <c r="AC861" s="31"/>
      <c r="AD861" s="31"/>
      <c r="AE861" s="32">
        <f t="shared" si="232"/>
        <v>0</v>
      </c>
      <c r="AF861" s="10"/>
      <c r="AG861" s="10"/>
      <c r="AH861" s="10"/>
      <c r="AI861" s="12">
        <f t="shared" si="233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91"/>
      <c r="D862" s="32"/>
      <c r="E862" s="32"/>
      <c r="F862" s="32"/>
      <c r="G862" s="32">
        <f t="shared" si="230"/>
        <v>0</v>
      </c>
      <c r="H862" s="10"/>
      <c r="I862" s="10"/>
      <c r="J862" s="10"/>
      <c r="K862" s="12">
        <f t="shared" si="231"/>
        <v>0</v>
      </c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Y862" s="10">
        <v>26</v>
      </c>
      <c r="Z862" s="30"/>
      <c r="AB862" s="47"/>
      <c r="AC862" s="31"/>
      <c r="AD862" s="31"/>
      <c r="AE862" s="32">
        <f t="shared" si="232"/>
        <v>0</v>
      </c>
      <c r="AF862" s="10"/>
      <c r="AG862" s="10"/>
      <c r="AH862" s="10"/>
      <c r="AI862" s="12">
        <f t="shared" si="233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91"/>
      <c r="D863" s="32"/>
      <c r="E863" s="32"/>
      <c r="F863" s="32"/>
      <c r="G863" s="32">
        <f t="shared" si="230"/>
        <v>0</v>
      </c>
      <c r="H863" s="10"/>
      <c r="I863" s="10"/>
      <c r="J863" s="10"/>
      <c r="K863" s="12">
        <f t="shared" si="231"/>
        <v>0</v>
      </c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Y863" s="10">
        <v>27</v>
      </c>
      <c r="Z863" s="30"/>
      <c r="AA863" s="31"/>
      <c r="AB863" s="47"/>
      <c r="AC863" s="31"/>
      <c r="AD863" s="31"/>
      <c r="AE863" s="32">
        <f t="shared" si="232"/>
        <v>0</v>
      </c>
      <c r="AF863" s="10"/>
      <c r="AG863" s="10"/>
      <c r="AH863" s="10"/>
      <c r="AI863" s="12">
        <f t="shared" si="233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91"/>
      <c r="D864" s="32"/>
      <c r="E864" s="32"/>
      <c r="F864" s="32"/>
      <c r="G864" s="32">
        <f t="shared" si="230"/>
        <v>0</v>
      </c>
      <c r="H864" s="10"/>
      <c r="I864" s="10"/>
      <c r="J864" s="10"/>
      <c r="K864" s="12">
        <f t="shared" si="231"/>
        <v>0</v>
      </c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Y864" s="10">
        <v>28</v>
      </c>
      <c r="Z864" s="30"/>
      <c r="AA864" s="31"/>
      <c r="AB864" s="47"/>
      <c r="AC864" s="31"/>
      <c r="AD864" s="31"/>
      <c r="AE864" s="32">
        <f t="shared" si="232"/>
        <v>0</v>
      </c>
      <c r="AF864" s="10"/>
      <c r="AG864" s="10"/>
      <c r="AH864" s="10"/>
      <c r="AI864" s="12">
        <f t="shared" si="233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91"/>
      <c r="D865" s="32"/>
      <c r="E865" s="32"/>
      <c r="F865" s="32"/>
      <c r="G865" s="32">
        <f t="shared" si="230"/>
        <v>0</v>
      </c>
      <c r="H865" s="10"/>
      <c r="I865" s="10"/>
      <c r="J865" s="10"/>
      <c r="K865" s="12">
        <f t="shared" si="231"/>
        <v>0</v>
      </c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Y865" s="10">
        <v>29</v>
      </c>
      <c r="Z865" s="30"/>
      <c r="AA865" s="31"/>
      <c r="AB865" s="47"/>
      <c r="AC865" s="31"/>
      <c r="AD865" s="31"/>
      <c r="AE865" s="32">
        <f t="shared" si="232"/>
        <v>0</v>
      </c>
      <c r="AF865" s="10"/>
      <c r="AG865" s="10"/>
      <c r="AH865" s="10"/>
      <c r="AI865" s="12">
        <f t="shared" si="233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30"/>
        <v>0</v>
      </c>
      <c r="H866" s="10"/>
      <c r="I866" s="10"/>
      <c r="J866" s="10"/>
      <c r="K866" s="12">
        <f t="shared" si="231"/>
        <v>0</v>
      </c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Y866" s="10">
        <v>30</v>
      </c>
      <c r="Z866" s="30"/>
      <c r="AA866" s="31"/>
      <c r="AB866" s="47"/>
      <c r="AC866" s="31"/>
      <c r="AD866" s="31"/>
      <c r="AE866" s="32">
        <f t="shared" si="232"/>
        <v>0</v>
      </c>
      <c r="AF866" s="10"/>
      <c r="AG866" s="10"/>
      <c r="AH866" s="10"/>
      <c r="AI866" s="12">
        <f t="shared" si="233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1"/>
      <c r="D867" s="32"/>
      <c r="E867" s="32"/>
      <c r="F867" s="32"/>
      <c r="G867" s="32">
        <f t="shared" si="230"/>
        <v>0</v>
      </c>
      <c r="H867" s="10"/>
      <c r="I867" s="10"/>
      <c r="J867" s="10"/>
      <c r="K867" s="12">
        <f t="shared" si="231"/>
        <v>0</v>
      </c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Y867" s="10">
        <v>31</v>
      </c>
      <c r="Z867" s="30"/>
      <c r="AA867" s="31"/>
      <c r="AB867" s="47"/>
      <c r="AC867" s="31"/>
      <c r="AD867" s="31"/>
      <c r="AE867" s="32">
        <f t="shared" si="232"/>
        <v>0</v>
      </c>
      <c r="AF867" s="10"/>
      <c r="AG867" s="10"/>
      <c r="AH867" s="10"/>
      <c r="AI867" s="12">
        <f t="shared" si="233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91"/>
      <c r="D868" s="32"/>
      <c r="E868" s="32"/>
      <c r="F868" s="32"/>
      <c r="G868" s="32">
        <f t="shared" si="230"/>
        <v>0</v>
      </c>
      <c r="H868" s="10"/>
      <c r="I868" s="10"/>
      <c r="J868" s="10"/>
      <c r="K868" s="12">
        <f t="shared" si="231"/>
        <v>0</v>
      </c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Y868" s="10">
        <v>32</v>
      </c>
      <c r="Z868" s="30"/>
      <c r="AA868" s="31"/>
      <c r="AB868" s="47"/>
      <c r="AC868" s="31"/>
      <c r="AD868" s="31"/>
      <c r="AE868" s="32">
        <f t="shared" si="232"/>
        <v>0</v>
      </c>
      <c r="AF868" s="10"/>
      <c r="AG868" s="10"/>
      <c r="AH868" s="10"/>
      <c r="AI868" s="12">
        <f t="shared" si="233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1"/>
      <c r="D869" s="32"/>
      <c r="E869" s="32"/>
      <c r="F869" s="32"/>
      <c r="G869" s="32">
        <f t="shared" si="230"/>
        <v>0</v>
      </c>
      <c r="H869" s="10"/>
      <c r="I869" s="10"/>
      <c r="J869" s="10"/>
      <c r="K869" s="12">
        <f t="shared" si="231"/>
        <v>0</v>
      </c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Y869" s="10">
        <v>33</v>
      </c>
      <c r="Z869" s="30"/>
      <c r="AA869" s="31"/>
      <c r="AB869" s="47"/>
      <c r="AC869" s="31"/>
      <c r="AD869" s="31"/>
      <c r="AE869" s="32">
        <f t="shared" si="232"/>
        <v>0</v>
      </c>
      <c r="AF869" s="10"/>
      <c r="AG869" s="10"/>
      <c r="AH869" s="10"/>
      <c r="AI869" s="12">
        <f t="shared" si="233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1"/>
      <c r="D870" s="32"/>
      <c r="E870" s="32"/>
      <c r="F870" s="32"/>
      <c r="G870" s="32">
        <f t="shared" si="230"/>
        <v>0</v>
      </c>
      <c r="H870" s="10"/>
      <c r="I870" s="10"/>
      <c r="J870" s="10"/>
      <c r="K870" s="12">
        <f t="shared" si="231"/>
        <v>0</v>
      </c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Y870" s="10">
        <v>34</v>
      </c>
      <c r="Z870" s="30"/>
      <c r="AB870" s="47"/>
      <c r="AC870" s="31"/>
      <c r="AD870" s="31"/>
      <c r="AE870" s="32">
        <f t="shared" si="232"/>
        <v>0</v>
      </c>
      <c r="AF870" s="10"/>
      <c r="AG870" s="10"/>
      <c r="AH870" s="10"/>
      <c r="AI870" s="12">
        <f t="shared" si="233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Y871" s="10">
        <v>35</v>
      </c>
      <c r="Z871" s="30"/>
      <c r="AA871" s="31"/>
      <c r="AB871" s="47"/>
      <c r="AC871" s="31"/>
      <c r="AD871" s="31"/>
      <c r="AE871" s="32">
        <f t="shared" si="232"/>
        <v>0</v>
      </c>
      <c r="AF871" s="10"/>
      <c r="AG871" s="10"/>
      <c r="AH871" s="10"/>
      <c r="AI871" s="12">
        <f t="shared" si="233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Y872" s="10">
        <v>36</v>
      </c>
      <c r="Z872" s="30"/>
      <c r="AA872" s="31"/>
      <c r="AB872" s="47"/>
      <c r="AC872" s="31"/>
      <c r="AD872" s="31"/>
      <c r="AE872" s="32">
        <f t="shared" si="232"/>
        <v>0</v>
      </c>
      <c r="AF872" s="10"/>
      <c r="AG872" s="10"/>
      <c r="AH872" s="10"/>
      <c r="AI872" s="12">
        <f t="shared" si="233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Y873" s="10">
        <v>37</v>
      </c>
      <c r="Z873" s="30"/>
      <c r="AA873" s="31"/>
      <c r="AB873" s="47"/>
      <c r="AC873" s="31"/>
      <c r="AD873" s="31"/>
      <c r="AE873" s="32">
        <f t="shared" si="232"/>
        <v>0</v>
      </c>
      <c r="AF873" s="10"/>
      <c r="AG873" s="10"/>
      <c r="AH873" s="10"/>
      <c r="AI873" s="12">
        <f t="shared" si="233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Y874" s="10">
        <v>38</v>
      </c>
      <c r="Z874" s="30"/>
      <c r="AA874" s="31"/>
      <c r="AB874" s="47"/>
      <c r="AC874" s="31"/>
      <c r="AD874" s="31"/>
      <c r="AE874" s="32">
        <f t="shared" si="232"/>
        <v>0</v>
      </c>
      <c r="AF874" s="10"/>
      <c r="AG874" s="10"/>
      <c r="AH874" s="10"/>
      <c r="AI874" s="12">
        <f t="shared" si="233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Y875" s="10">
        <v>39</v>
      </c>
      <c r="Z875" s="30"/>
      <c r="AA875" s="31"/>
      <c r="AB875" s="47"/>
      <c r="AC875" s="31"/>
      <c r="AD875" s="31"/>
      <c r="AE875" s="32">
        <f t="shared" si="232"/>
        <v>0</v>
      </c>
      <c r="AF875" s="10"/>
      <c r="AG875" s="10"/>
      <c r="AH875" s="10"/>
      <c r="AI875" s="12">
        <f t="shared" si="233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3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Y877" s="10"/>
      <c r="Z877" s="30"/>
      <c r="AA877" s="31"/>
      <c r="AB877" s="47"/>
      <c r="AC877" s="31"/>
      <c r="AD877" s="31"/>
      <c r="AE877" s="32">
        <f t="shared" ref="AE877" si="238">SUM(AB877:AC877)</f>
        <v>0</v>
      </c>
      <c r="AF877" s="10"/>
      <c r="AG877" s="10"/>
      <c r="AH877" s="10"/>
      <c r="AI877" s="12">
        <f t="shared" si="233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3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130797.5</v>
      </c>
      <c r="E880" s="38">
        <f t="shared" ref="E880:F880" si="239">SUM(E837:E877)</f>
        <v>0</v>
      </c>
      <c r="F880" s="38">
        <f t="shared" si="239"/>
        <v>0</v>
      </c>
      <c r="G880" s="38">
        <f>SUM(G837:G879)</f>
        <v>130797.5</v>
      </c>
      <c r="H880" s="4"/>
      <c r="I880" s="39">
        <f>SUM(I837:I879)</f>
        <v>0</v>
      </c>
      <c r="J880" s="39">
        <f>SUM(J837:J879)</f>
        <v>0</v>
      </c>
      <c r="K880" s="40">
        <f>SUM(K837:K879)</f>
        <v>130797.5</v>
      </c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Z880" s="57"/>
      <c r="AA880" s="57"/>
      <c r="AB880" s="38">
        <f>SUM(AB837:AB879)</f>
        <v>257275</v>
      </c>
      <c r="AC880" s="38">
        <f>SUM(AC837:AC861)</f>
        <v>-936</v>
      </c>
      <c r="AD880" s="38">
        <f>SUM(AD837:AD861)</f>
        <v>0</v>
      </c>
      <c r="AE880" s="38">
        <f>SUM(AE837:AE879)</f>
        <v>256339</v>
      </c>
      <c r="AF880" s="4"/>
      <c r="AG880" s="41">
        <f>SUM(AG837:AG879)</f>
        <v>252</v>
      </c>
      <c r="AH880" s="41">
        <f>SUM(AH837:AH861)</f>
        <v>-17529</v>
      </c>
      <c r="AI880" s="42">
        <f>SUM(AI837:AI879)</f>
        <v>239062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19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86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86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42</v>
      </c>
      <c r="W888" s="24"/>
      <c r="Y888" s="21" t="s">
        <v>86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8" t="s">
        <v>17</v>
      </c>
      <c r="E890" s="118"/>
      <c r="F890" s="107"/>
      <c r="G890" s="27"/>
      <c r="I890" s="116" t="s">
        <v>18</v>
      </c>
      <c r="J890" s="117"/>
      <c r="K890" s="114" t="s">
        <v>19</v>
      </c>
      <c r="N890" s="25"/>
      <c r="O890" s="26"/>
      <c r="P890" s="118" t="s">
        <v>17</v>
      </c>
      <c r="Q890" s="118"/>
      <c r="R890" s="107"/>
      <c r="S890" s="27"/>
      <c r="U890" s="116" t="s">
        <v>18</v>
      </c>
      <c r="V890" s="117"/>
      <c r="W890" s="114" t="s">
        <v>19</v>
      </c>
      <c r="Z890" s="25"/>
      <c r="AA890" s="26"/>
      <c r="AB890" s="118" t="s">
        <v>17</v>
      </c>
      <c r="AC890" s="118"/>
      <c r="AD890" s="107"/>
      <c r="AE890" s="27"/>
      <c r="AG890" s="116" t="s">
        <v>18</v>
      </c>
      <c r="AH890" s="117"/>
      <c r="AI890" s="114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15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15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15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91">
        <v>7267</v>
      </c>
      <c r="D892" s="32">
        <f>1878+614+229</f>
        <v>2721</v>
      </c>
      <c r="E892" s="32"/>
      <c r="F892" s="32"/>
      <c r="G892" s="32">
        <f t="shared" ref="G892:G936" si="240">SUM(D892:E892)</f>
        <v>2721</v>
      </c>
      <c r="H892" s="12"/>
      <c r="I892" s="12"/>
      <c r="J892" s="12"/>
      <c r="K892" s="12">
        <f t="shared" ref="K892:K936" si="241">SUM(G892:J892)</f>
        <v>2721</v>
      </c>
      <c r="M892" s="10">
        <v>1</v>
      </c>
      <c r="N892" s="30" t="s">
        <v>87</v>
      </c>
      <c r="O892" s="31">
        <v>7223</v>
      </c>
      <c r="P892" s="32">
        <f>1252+19</f>
        <v>1271</v>
      </c>
      <c r="Q892" s="32"/>
      <c r="R892" s="32"/>
      <c r="S892" s="32">
        <f>SUM(P892:Q892)</f>
        <v>1271</v>
      </c>
      <c r="T892" s="12"/>
      <c r="U892" s="12"/>
      <c r="V892" s="12"/>
      <c r="W892" s="12">
        <f>SUM(S892:V892)</f>
        <v>1271</v>
      </c>
      <c r="Y892" s="10">
        <v>1</v>
      </c>
      <c r="Z892" s="30" t="s">
        <v>87</v>
      </c>
      <c r="AA892" s="31">
        <v>7311</v>
      </c>
      <c r="AB892" s="32">
        <f>67608+64368+4160</f>
        <v>136136</v>
      </c>
      <c r="AC892" s="32">
        <v>-1326</v>
      </c>
      <c r="AD892" s="32"/>
      <c r="AE892" s="32">
        <f>SUM(AB892:AC892)</f>
        <v>134810</v>
      </c>
      <c r="AF892" s="12"/>
      <c r="AG892" s="12"/>
      <c r="AH892" s="12">
        <f>-168+-1848</f>
        <v>-2016</v>
      </c>
      <c r="AI892" s="12">
        <f>SUM(AE892:AH892)</f>
        <v>132794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91">
        <v>7299</v>
      </c>
      <c r="D893" s="32">
        <f>25040+1228+1192</f>
        <v>27460</v>
      </c>
      <c r="E893" s="32"/>
      <c r="F893" s="32"/>
      <c r="G893" s="32">
        <f t="shared" si="240"/>
        <v>27460</v>
      </c>
      <c r="H893" s="12"/>
      <c r="I893" s="12">
        <v>5</v>
      </c>
      <c r="J893" s="12"/>
      <c r="K893" s="12">
        <f t="shared" si="241"/>
        <v>27465</v>
      </c>
      <c r="M893" s="10">
        <v>2</v>
      </c>
      <c r="N893" s="30" t="s">
        <v>87</v>
      </c>
      <c r="O893" s="31">
        <f>O892+1</f>
        <v>7224</v>
      </c>
      <c r="P893" s="32">
        <f>1878+28.5</f>
        <v>1906.5</v>
      </c>
      <c r="Q893" s="32"/>
      <c r="R893" s="32"/>
      <c r="S893" s="32">
        <f t="shared" ref="S893:S924" si="242">SUM(P893:Q893)</f>
        <v>1906.5</v>
      </c>
      <c r="T893" s="12"/>
      <c r="U893" s="12"/>
      <c r="V893" s="12"/>
      <c r="W893" s="12">
        <f t="shared" ref="W893:W933" si="243">SUM(S893:V893)</f>
        <v>1906.5</v>
      </c>
      <c r="Y893" s="10">
        <v>2</v>
      </c>
      <c r="Z893" s="30" t="s">
        <v>87</v>
      </c>
      <c r="AA893" s="31">
        <f>AA892+1</f>
        <v>7312</v>
      </c>
      <c r="AB893" s="32">
        <f>3130+47.5</f>
        <v>3177.5</v>
      </c>
      <c r="AC893" s="32"/>
      <c r="AD893" s="32"/>
      <c r="AE893" s="32">
        <f t="shared" ref="AE893:AE936" si="244">SUM(AB893:AC893)</f>
        <v>3177.5</v>
      </c>
      <c r="AF893" s="12"/>
      <c r="AG893" s="12"/>
      <c r="AH893" s="12"/>
      <c r="AI893" s="12">
        <f t="shared" ref="AI893:AI936" si="245">SUM(AE893:AH893)</f>
        <v>3177.5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91">
        <f t="shared" ref="C894:C910" si="246">C893+1</f>
        <v>7300</v>
      </c>
      <c r="D894" s="33">
        <f>5008+614+674+502.5+416+85.5</f>
        <v>7300</v>
      </c>
      <c r="E894" s="33"/>
      <c r="F894" s="33"/>
      <c r="G894" s="33">
        <f t="shared" si="240"/>
        <v>7300</v>
      </c>
      <c r="H894" s="34"/>
      <c r="I894" s="34">
        <v>6</v>
      </c>
      <c r="J894" s="34"/>
      <c r="K894" s="34">
        <f t="shared" si="241"/>
        <v>7306</v>
      </c>
      <c r="M894" s="10">
        <v>3</v>
      </c>
      <c r="N894" s="30" t="s">
        <v>87</v>
      </c>
      <c r="O894" s="31">
        <f t="shared" ref="O894:O921" si="247">O893+1</f>
        <v>7225</v>
      </c>
      <c r="P894" s="32">
        <f>3130+47.5</f>
        <v>3177.5</v>
      </c>
      <c r="Q894" s="32"/>
      <c r="R894" s="32"/>
      <c r="S894" s="32">
        <f t="shared" si="242"/>
        <v>3177.5</v>
      </c>
      <c r="T894" s="12"/>
      <c r="U894" s="12"/>
      <c r="V894" s="12"/>
      <c r="W894" s="12">
        <f t="shared" si="243"/>
        <v>3177.5</v>
      </c>
      <c r="Y894" s="10">
        <v>3</v>
      </c>
      <c r="Z894" s="30" t="s">
        <v>87</v>
      </c>
      <c r="AA894" s="31">
        <f t="shared" ref="AA894:AA921" si="248">AA893+1</f>
        <v>7313</v>
      </c>
      <c r="AB894" s="33">
        <f>11268+614+1826</f>
        <v>13708</v>
      </c>
      <c r="AC894" s="33"/>
      <c r="AD894" s="32"/>
      <c r="AE894" s="32">
        <f t="shared" si="244"/>
        <v>13708</v>
      </c>
      <c r="AF894" s="12"/>
      <c r="AG894" s="12"/>
      <c r="AH894" s="12"/>
      <c r="AI894" s="12">
        <f t="shared" si="245"/>
        <v>13708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91">
        <v>7351</v>
      </c>
      <c r="D895" s="32">
        <f>1878+1192+47.5</f>
        <v>3117.5</v>
      </c>
      <c r="E895" s="32"/>
      <c r="F895" s="32"/>
      <c r="G895" s="32">
        <f t="shared" si="240"/>
        <v>3117.5</v>
      </c>
      <c r="H895" s="12"/>
      <c r="I895" s="12">
        <v>7</v>
      </c>
      <c r="J895" s="12"/>
      <c r="K895" s="12">
        <f t="shared" si="241"/>
        <v>3124.5</v>
      </c>
      <c r="M895" s="10">
        <v>4</v>
      </c>
      <c r="N895" s="30" t="s">
        <v>87</v>
      </c>
      <c r="O895" s="31">
        <f t="shared" si="247"/>
        <v>7226</v>
      </c>
      <c r="P895" s="32">
        <f>1252+19</f>
        <v>1271</v>
      </c>
      <c r="Q895" s="32"/>
      <c r="R895" s="32"/>
      <c r="S895" s="32">
        <f t="shared" si="242"/>
        <v>1271</v>
      </c>
      <c r="T895" s="12"/>
      <c r="U895" s="12"/>
      <c r="V895" s="12"/>
      <c r="W895" s="12">
        <f t="shared" si="243"/>
        <v>1271</v>
      </c>
      <c r="Y895" s="10">
        <v>4</v>
      </c>
      <c r="Z895" s="30" t="s">
        <v>87</v>
      </c>
      <c r="AA895" s="31">
        <f t="shared" si="248"/>
        <v>7314</v>
      </c>
      <c r="AB895" s="32">
        <f>9390+1228</f>
        <v>10618</v>
      </c>
      <c r="AC895" s="32"/>
      <c r="AD895" s="32"/>
      <c r="AE895" s="32">
        <f t="shared" si="244"/>
        <v>10618</v>
      </c>
      <c r="AF895" s="12"/>
      <c r="AH895" s="12">
        <v>-2109</v>
      </c>
      <c r="AI895" s="12">
        <f t="shared" si="245"/>
        <v>8509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91">
        <f t="shared" si="246"/>
        <v>7352</v>
      </c>
      <c r="D896" s="32">
        <f>7512+614+596+123.5</f>
        <v>8845.5</v>
      </c>
      <c r="E896" s="32"/>
      <c r="F896" s="32"/>
      <c r="G896" s="32">
        <f t="shared" si="240"/>
        <v>8845.5</v>
      </c>
      <c r="H896" s="12"/>
      <c r="I896" s="12">
        <f>12+144</f>
        <v>156</v>
      </c>
      <c r="J896" s="12"/>
      <c r="K896" s="12">
        <f t="shared" si="241"/>
        <v>9001.5</v>
      </c>
      <c r="M896" s="10">
        <v>5</v>
      </c>
      <c r="N896" s="30" t="s">
        <v>87</v>
      </c>
      <c r="O896" s="31">
        <f t="shared" si="247"/>
        <v>7227</v>
      </c>
      <c r="P896" s="32">
        <f>2504+38</f>
        <v>2542</v>
      </c>
      <c r="Q896" s="32"/>
      <c r="R896" s="32"/>
      <c r="S896" s="32">
        <f t="shared" si="242"/>
        <v>2542</v>
      </c>
      <c r="T896" s="12"/>
      <c r="U896" s="12">
        <v>4.5</v>
      </c>
      <c r="V896" s="12"/>
      <c r="W896" s="12">
        <f t="shared" si="243"/>
        <v>2546.5</v>
      </c>
      <c r="Y896" s="10">
        <v>5</v>
      </c>
      <c r="Z896" s="30" t="s">
        <v>87</v>
      </c>
      <c r="AA896" s="31">
        <f t="shared" si="248"/>
        <v>7315</v>
      </c>
      <c r="AB896" s="32">
        <f>1145+500</f>
        <v>1645</v>
      </c>
      <c r="AC896" s="32"/>
      <c r="AD896" s="32"/>
      <c r="AE896" s="32">
        <f t="shared" si="244"/>
        <v>1645</v>
      </c>
      <c r="AF896" s="12"/>
      <c r="AG896" s="12"/>
      <c r="AH896" s="12"/>
      <c r="AI896" s="12">
        <f t="shared" si="245"/>
        <v>1645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87</v>
      </c>
      <c r="C897" s="91">
        <f t="shared" si="246"/>
        <v>7353</v>
      </c>
      <c r="D897" s="32">
        <f>5634+614</f>
        <v>6248</v>
      </c>
      <c r="E897" s="32"/>
      <c r="F897" s="32"/>
      <c r="G897" s="32">
        <f t="shared" si="240"/>
        <v>6248</v>
      </c>
      <c r="H897" s="12"/>
      <c r="I897" s="12"/>
      <c r="J897" s="12"/>
      <c r="K897" s="12">
        <f t="shared" si="241"/>
        <v>6248</v>
      </c>
      <c r="M897" s="10">
        <v>6</v>
      </c>
      <c r="N897" s="30" t="s">
        <v>87</v>
      </c>
      <c r="O897" s="31">
        <f t="shared" si="247"/>
        <v>7228</v>
      </c>
      <c r="P897" s="32">
        <f>1878+28.5</f>
        <v>1906.5</v>
      </c>
      <c r="Q897" s="32"/>
      <c r="R897" s="32"/>
      <c r="S897" s="32">
        <f t="shared" si="242"/>
        <v>1906.5</v>
      </c>
      <c r="T897" s="12"/>
      <c r="U897" s="12"/>
      <c r="V897" s="10"/>
      <c r="W897" s="12">
        <f t="shared" si="243"/>
        <v>1906.5</v>
      </c>
      <c r="Y897" s="10">
        <v>6</v>
      </c>
      <c r="Z897" s="30" t="s">
        <v>87</v>
      </c>
      <c r="AA897" s="31">
        <f t="shared" si="248"/>
        <v>7316</v>
      </c>
      <c r="AB897" s="32">
        <f>1145</f>
        <v>1145</v>
      </c>
      <c r="AC897" s="32"/>
      <c r="AD897" s="32"/>
      <c r="AE897" s="32">
        <f t="shared" si="244"/>
        <v>1145</v>
      </c>
      <c r="AF897" s="12"/>
      <c r="AG897" s="12"/>
      <c r="AH897" s="10"/>
      <c r="AI897" s="12">
        <f t="shared" si="245"/>
        <v>1145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87</v>
      </c>
      <c r="C898" s="91">
        <f t="shared" si="246"/>
        <v>7354</v>
      </c>
      <c r="D898" s="32">
        <f>3756+913+1788+85.5</f>
        <v>6542.5</v>
      </c>
      <c r="E898" s="32"/>
      <c r="F898" s="32"/>
      <c r="G898" s="32">
        <f t="shared" si="240"/>
        <v>6542.5</v>
      </c>
      <c r="H898" s="12"/>
      <c r="I898" s="12"/>
      <c r="J898" s="12"/>
      <c r="K898" s="12">
        <f t="shared" si="241"/>
        <v>6542.5</v>
      </c>
      <c r="M898" s="10">
        <v>7</v>
      </c>
      <c r="N898" s="30" t="s">
        <v>87</v>
      </c>
      <c r="O898" s="31">
        <f t="shared" si="247"/>
        <v>7229</v>
      </c>
      <c r="P898" s="32">
        <f>2504+38</f>
        <v>2542</v>
      </c>
      <c r="Q898" s="32"/>
      <c r="R898" s="32"/>
      <c r="S898" s="32">
        <f t="shared" si="242"/>
        <v>2542</v>
      </c>
      <c r="T898" s="12"/>
      <c r="U898" s="12">
        <v>1.5</v>
      </c>
      <c r="V898" s="12"/>
      <c r="W898" s="12">
        <f t="shared" si="243"/>
        <v>2543.5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4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87</v>
      </c>
      <c r="C899" s="91">
        <f t="shared" si="246"/>
        <v>7355</v>
      </c>
      <c r="D899" s="32">
        <f>1252+19</f>
        <v>1271</v>
      </c>
      <c r="E899" s="32"/>
      <c r="F899" s="32"/>
      <c r="G899" s="32">
        <f t="shared" si="240"/>
        <v>1271</v>
      </c>
      <c r="H899" s="12"/>
      <c r="I899" s="12"/>
      <c r="J899" s="12"/>
      <c r="K899" s="12">
        <f t="shared" si="241"/>
        <v>1271</v>
      </c>
      <c r="M899" s="10">
        <v>8</v>
      </c>
      <c r="N899" s="30" t="s">
        <v>87</v>
      </c>
      <c r="O899" s="31">
        <f t="shared" si="247"/>
        <v>7230</v>
      </c>
      <c r="P899" s="32">
        <f>1252+596+28.5</f>
        <v>1876.5</v>
      </c>
      <c r="Q899" s="32"/>
      <c r="R899" s="32"/>
      <c r="S899" s="32">
        <f t="shared" si="242"/>
        <v>1876.5</v>
      </c>
      <c r="T899" s="12"/>
      <c r="U899" s="12"/>
      <c r="V899" s="12"/>
      <c r="W899" s="12">
        <f t="shared" si="243"/>
        <v>1876.5</v>
      </c>
      <c r="Y899" s="10">
        <v>8</v>
      </c>
      <c r="Z899" s="30"/>
      <c r="AA899" s="31"/>
      <c r="AB899" s="32"/>
      <c r="AC899" s="32"/>
      <c r="AE899" s="32">
        <f t="shared" si="244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87</v>
      </c>
      <c r="C900" s="91">
        <f t="shared" si="246"/>
        <v>7356</v>
      </c>
      <c r="D900" s="32">
        <f>3130+596+57</f>
        <v>3783</v>
      </c>
      <c r="E900" s="32"/>
      <c r="F900" s="32"/>
      <c r="G900" s="32">
        <f t="shared" si="240"/>
        <v>3783</v>
      </c>
      <c r="H900" s="12"/>
      <c r="I900" s="12"/>
      <c r="J900" s="12"/>
      <c r="K900" s="12">
        <f t="shared" si="241"/>
        <v>3783</v>
      </c>
      <c r="M900" s="10">
        <v>9</v>
      </c>
      <c r="N900" s="30" t="s">
        <v>87</v>
      </c>
      <c r="O900" s="31">
        <f t="shared" si="247"/>
        <v>7231</v>
      </c>
      <c r="P900" s="32">
        <f>5634+85.5</f>
        <v>5719.5</v>
      </c>
      <c r="Q900" s="32"/>
      <c r="R900" s="32"/>
      <c r="S900" s="32">
        <f t="shared" si="242"/>
        <v>5719.5</v>
      </c>
      <c r="T900" s="12"/>
      <c r="U900" s="12"/>
      <c r="V900" s="12">
        <f>-333+-252</f>
        <v>-585</v>
      </c>
      <c r="W900" s="12">
        <f t="shared" si="243"/>
        <v>5134.5</v>
      </c>
      <c r="Y900" s="10">
        <v>9</v>
      </c>
      <c r="Z900" s="30"/>
      <c r="AA900" s="31"/>
      <c r="AB900" s="32"/>
      <c r="AC900" s="32"/>
      <c r="AD900" s="32"/>
      <c r="AE900" s="32">
        <f t="shared" si="244"/>
        <v>0</v>
      </c>
      <c r="AF900" s="12"/>
      <c r="AG900" s="58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87</v>
      </c>
      <c r="C901" s="91">
        <f t="shared" si="246"/>
        <v>7357</v>
      </c>
      <c r="D901" s="32">
        <f>2504+38</f>
        <v>2542</v>
      </c>
      <c r="E901" s="32"/>
      <c r="F901" s="32"/>
      <c r="G901" s="32">
        <f t="shared" si="240"/>
        <v>2542</v>
      </c>
      <c r="H901" s="12"/>
      <c r="I901" s="12"/>
      <c r="J901" s="12"/>
      <c r="K901" s="12">
        <f t="shared" si="241"/>
        <v>2542</v>
      </c>
      <c r="M901" s="10">
        <v>10</v>
      </c>
      <c r="N901" s="30" t="s">
        <v>87</v>
      </c>
      <c r="O901" s="31">
        <f t="shared" si="247"/>
        <v>7232</v>
      </c>
      <c r="P901" s="32">
        <f>1252+614+19</f>
        <v>1885</v>
      </c>
      <c r="Q901" s="32"/>
      <c r="R901" s="32"/>
      <c r="S901" s="32">
        <f t="shared" si="242"/>
        <v>1885</v>
      </c>
      <c r="T901" s="12"/>
      <c r="U901" s="12"/>
      <c r="V901" s="12"/>
      <c r="W901" s="12">
        <f t="shared" si="243"/>
        <v>1885</v>
      </c>
      <c r="Y901" s="10">
        <v>10</v>
      </c>
      <c r="Z901" s="30"/>
      <c r="AA901" s="31"/>
      <c r="AB901" s="32"/>
      <c r="AC901" s="32"/>
      <c r="AD901" s="32"/>
      <c r="AE901" s="32">
        <f t="shared" si="244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87</v>
      </c>
      <c r="C902" s="91">
        <f t="shared" si="246"/>
        <v>7358</v>
      </c>
      <c r="D902" s="32">
        <f>3130+614</f>
        <v>3744</v>
      </c>
      <c r="E902" s="32"/>
      <c r="F902" s="32"/>
      <c r="G902" s="32">
        <f t="shared" si="240"/>
        <v>3744</v>
      </c>
      <c r="H902" s="12"/>
      <c r="I902" s="12"/>
      <c r="J902" s="12"/>
      <c r="K902" s="12">
        <f t="shared" si="241"/>
        <v>3744</v>
      </c>
      <c r="M902" s="10">
        <v>11</v>
      </c>
      <c r="N902" s="30" t="s">
        <v>87</v>
      </c>
      <c r="O902" s="31">
        <f t="shared" si="247"/>
        <v>7233</v>
      </c>
      <c r="P902" s="32">
        <f>3130+614+47.5</f>
        <v>3791.5</v>
      </c>
      <c r="Q902" s="32"/>
      <c r="R902" s="32"/>
      <c r="S902" s="32">
        <f t="shared" si="242"/>
        <v>3791.5</v>
      </c>
      <c r="T902" s="12"/>
      <c r="U902" s="12"/>
      <c r="V902" s="12"/>
      <c r="W902" s="12">
        <f t="shared" si="243"/>
        <v>3791.5</v>
      </c>
      <c r="Y902" s="10">
        <v>11</v>
      </c>
      <c r="Z902" s="30"/>
      <c r="AA902" s="31"/>
      <c r="AB902" s="32"/>
      <c r="AC902" s="32"/>
      <c r="AD902" s="32"/>
      <c r="AE902" s="32">
        <f t="shared" si="244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 t="s">
        <v>87</v>
      </c>
      <c r="O903" s="31">
        <f t="shared" si="247"/>
        <v>7234</v>
      </c>
      <c r="P903" s="32">
        <f>1252</f>
        <v>1252</v>
      </c>
      <c r="Q903" s="32"/>
      <c r="R903" s="32"/>
      <c r="S903" s="32">
        <f t="shared" si="242"/>
        <v>1252</v>
      </c>
      <c r="T903" s="12"/>
      <c r="U903" s="12"/>
      <c r="V903" s="12"/>
      <c r="W903" s="12">
        <f t="shared" si="243"/>
        <v>1252</v>
      </c>
      <c r="Y903" s="10">
        <v>12</v>
      </c>
      <c r="Z903" s="30"/>
      <c r="AA903" s="31"/>
      <c r="AB903" s="32"/>
      <c r="AC903" s="32"/>
      <c r="AD903" s="32"/>
      <c r="AE903" s="32">
        <f t="shared" si="244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91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 t="s">
        <v>87</v>
      </c>
      <c r="O904" s="31">
        <f t="shared" si="247"/>
        <v>7235</v>
      </c>
      <c r="P904" s="32">
        <f>2504+614+596+229</f>
        <v>3943</v>
      </c>
      <c r="Q904" s="32"/>
      <c r="R904" s="32"/>
      <c r="S904" s="32">
        <f t="shared" si="242"/>
        <v>3943</v>
      </c>
      <c r="T904" s="12"/>
      <c r="U904" s="12">
        <v>28.5</v>
      </c>
      <c r="V904" s="12"/>
      <c r="W904" s="12">
        <f t="shared" si="243"/>
        <v>3971.5</v>
      </c>
      <c r="Y904" s="10">
        <v>13</v>
      </c>
      <c r="Z904" s="30"/>
      <c r="AA904" s="31"/>
      <c r="AB904" s="32"/>
      <c r="AC904" s="32"/>
      <c r="AD904" s="32"/>
      <c r="AE904" s="32">
        <f t="shared" si="244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91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 t="s">
        <v>87</v>
      </c>
      <c r="O905" s="31">
        <f t="shared" si="247"/>
        <v>7236</v>
      </c>
      <c r="P905" s="32">
        <f>22536+458</f>
        <v>22994</v>
      </c>
      <c r="Q905" s="32"/>
      <c r="R905" s="32"/>
      <c r="S905" s="32">
        <f t="shared" si="242"/>
        <v>22994</v>
      </c>
      <c r="T905" s="12"/>
      <c r="U905" s="12">
        <v>72</v>
      </c>
      <c r="V905" s="12"/>
      <c r="W905" s="12">
        <f t="shared" si="243"/>
        <v>23066</v>
      </c>
      <c r="Y905" s="10">
        <v>14</v>
      </c>
      <c r="Z905" s="30"/>
      <c r="AA905" s="31"/>
      <c r="AB905" s="32"/>
      <c r="AC905" s="32"/>
      <c r="AD905" s="32"/>
      <c r="AE905" s="32">
        <f t="shared" si="244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91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 t="s">
        <v>87</v>
      </c>
      <c r="O906" s="31">
        <f t="shared" si="247"/>
        <v>7237</v>
      </c>
      <c r="P906" s="32">
        <f>1878+596+38</f>
        <v>2512</v>
      </c>
      <c r="Q906" s="32"/>
      <c r="R906" s="32"/>
      <c r="S906" s="32">
        <f t="shared" si="242"/>
        <v>2512</v>
      </c>
      <c r="T906" s="12"/>
      <c r="U906" s="12"/>
      <c r="V906" s="12"/>
      <c r="W906" s="12">
        <f t="shared" si="243"/>
        <v>2512</v>
      </c>
      <c r="Y906" s="10">
        <v>15</v>
      </c>
      <c r="Z906" s="30"/>
      <c r="AA906" s="31"/>
      <c r="AB906" s="32"/>
      <c r="AC906" s="32"/>
      <c r="AD906" s="32"/>
      <c r="AE906" s="32">
        <f t="shared" si="244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9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 t="s">
        <v>87</v>
      </c>
      <c r="O907" s="31">
        <f t="shared" si="247"/>
        <v>7238</v>
      </c>
      <c r="P907" s="32">
        <f>626+596+19</f>
        <v>1241</v>
      </c>
      <c r="Q907" s="32"/>
      <c r="R907" s="32"/>
      <c r="S907" s="32">
        <f t="shared" si="242"/>
        <v>1241</v>
      </c>
      <c r="T907" s="12"/>
      <c r="U907" s="12"/>
      <c r="V907" s="12">
        <v>-333</v>
      </c>
      <c r="W907" s="12">
        <f t="shared" si="243"/>
        <v>908</v>
      </c>
      <c r="Y907" s="10">
        <v>16</v>
      </c>
      <c r="Z907" s="30"/>
      <c r="AA907" s="31"/>
      <c r="AB907" s="32"/>
      <c r="AC907" s="32"/>
      <c r="AD907" s="32"/>
      <c r="AE907" s="32">
        <f t="shared" si="244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91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 t="s">
        <v>87</v>
      </c>
      <c r="O908" s="31">
        <f t="shared" si="247"/>
        <v>7239</v>
      </c>
      <c r="P908" s="35">
        <f>4382+66.5</f>
        <v>4448.5</v>
      </c>
      <c r="Q908" s="32"/>
      <c r="R908" s="32"/>
      <c r="S908" s="32">
        <f t="shared" si="242"/>
        <v>4448.5</v>
      </c>
      <c r="T908" s="12"/>
      <c r="U908" s="12"/>
      <c r="V908" s="12"/>
      <c r="W908" s="12">
        <f t="shared" si="243"/>
        <v>4448.5</v>
      </c>
      <c r="Y908" s="10">
        <v>17</v>
      </c>
      <c r="Z908" s="30"/>
      <c r="AA908" s="31"/>
      <c r="AB908" s="35"/>
      <c r="AC908" s="32"/>
      <c r="AD908" s="32"/>
      <c r="AE908" s="32">
        <f t="shared" si="244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91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 t="s">
        <v>87</v>
      </c>
      <c r="O909" s="31">
        <f t="shared" si="247"/>
        <v>7240</v>
      </c>
      <c r="P909" s="32">
        <f>5634</f>
        <v>5634</v>
      </c>
      <c r="Q909" s="32"/>
      <c r="R909" s="32"/>
      <c r="S909" s="32">
        <f t="shared" si="242"/>
        <v>5634</v>
      </c>
      <c r="T909" s="12"/>
      <c r="U909" s="12"/>
      <c r="V909" s="12"/>
      <c r="W909" s="12">
        <f t="shared" si="243"/>
        <v>5634</v>
      </c>
      <c r="Y909" s="10">
        <v>18</v>
      </c>
      <c r="Z909" s="30"/>
      <c r="AA909" s="31"/>
      <c r="AB909" s="32"/>
      <c r="AC909" s="32"/>
      <c r="AD909" s="32"/>
      <c r="AE909" s="32">
        <f t="shared" si="244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91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 t="s">
        <v>87</v>
      </c>
      <c r="O910" s="31">
        <f t="shared" si="247"/>
        <v>7241</v>
      </c>
      <c r="P910" s="32">
        <f>1252+596+28.5</f>
        <v>1876.5</v>
      </c>
      <c r="Q910" s="32"/>
      <c r="R910" s="32"/>
      <c r="S910" s="32">
        <f t="shared" si="242"/>
        <v>1876.5</v>
      </c>
      <c r="T910" s="12"/>
      <c r="U910" s="12">
        <v>22.5</v>
      </c>
      <c r="V910" s="12"/>
      <c r="W910" s="12">
        <f t="shared" si="243"/>
        <v>1899</v>
      </c>
      <c r="Y910" s="10">
        <v>19</v>
      </c>
      <c r="Z910" s="30"/>
      <c r="AA910" s="31"/>
      <c r="AB910" s="32"/>
      <c r="AC910" s="32"/>
      <c r="AD910" s="32"/>
      <c r="AE910" s="32">
        <f t="shared" si="244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 t="s">
        <v>87</v>
      </c>
      <c r="O911" s="31">
        <f t="shared" si="247"/>
        <v>7242</v>
      </c>
      <c r="P911" s="32">
        <f>9390+142.5</f>
        <v>9532.5</v>
      </c>
      <c r="Q911" s="32"/>
      <c r="R911" s="32"/>
      <c r="S911" s="32">
        <f t="shared" si="242"/>
        <v>9532.5</v>
      </c>
      <c r="T911" s="12"/>
      <c r="U911" s="12"/>
      <c r="V911" s="12"/>
      <c r="W911" s="12">
        <f t="shared" si="243"/>
        <v>9532.5</v>
      </c>
      <c r="Y911" s="10">
        <v>20</v>
      </c>
      <c r="Z911" s="30"/>
      <c r="AA911" s="31"/>
      <c r="AB911" s="32"/>
      <c r="AC911" s="32"/>
      <c r="AD911" s="32"/>
      <c r="AE911" s="32">
        <f t="shared" si="244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91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 t="s">
        <v>87</v>
      </c>
      <c r="O912" s="31">
        <f t="shared" si="247"/>
        <v>7243</v>
      </c>
      <c r="P912" s="46">
        <f>1252+19</f>
        <v>1271</v>
      </c>
      <c r="Q912" s="31"/>
      <c r="R912" s="31"/>
      <c r="S912" s="32">
        <f t="shared" si="242"/>
        <v>1271</v>
      </c>
      <c r="T912" s="10"/>
      <c r="U912" s="10"/>
      <c r="V912" s="10"/>
      <c r="W912" s="12">
        <f t="shared" si="243"/>
        <v>1271</v>
      </c>
      <c r="Y912" s="10">
        <v>21</v>
      </c>
      <c r="Z912" s="30"/>
      <c r="AA912" s="31"/>
      <c r="AB912" s="46"/>
      <c r="AC912" s="31"/>
      <c r="AD912" s="31"/>
      <c r="AE912" s="32">
        <f t="shared" si="244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91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 t="s">
        <v>87</v>
      </c>
      <c r="O913" s="31">
        <f t="shared" si="247"/>
        <v>7244</v>
      </c>
      <c r="P913" s="45">
        <f>5008+76</f>
        <v>5084</v>
      </c>
      <c r="Q913" s="31"/>
      <c r="R913" s="31"/>
      <c r="S913" s="32">
        <f t="shared" si="242"/>
        <v>5084</v>
      </c>
      <c r="T913" s="10"/>
      <c r="U913" s="10"/>
      <c r="V913" s="10"/>
      <c r="W913" s="12">
        <f t="shared" si="243"/>
        <v>5084</v>
      </c>
      <c r="Y913" s="10">
        <v>22</v>
      </c>
      <c r="Z913" s="30"/>
      <c r="AA913" s="31"/>
      <c r="AB913" s="45"/>
      <c r="AC913" s="31"/>
      <c r="AD913" s="31"/>
      <c r="AE913" s="32">
        <f t="shared" si="244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 t="s">
        <v>87</v>
      </c>
      <c r="O914" s="31">
        <f t="shared" si="247"/>
        <v>7245</v>
      </c>
      <c r="P914" s="47">
        <f>1252+19</f>
        <v>1271</v>
      </c>
      <c r="Q914" s="31"/>
      <c r="S914" s="32">
        <f t="shared" si="242"/>
        <v>1271</v>
      </c>
      <c r="T914" s="10"/>
      <c r="U914" s="10"/>
      <c r="V914" s="10"/>
      <c r="W914" s="12">
        <f t="shared" si="243"/>
        <v>1271</v>
      </c>
      <c r="Y914" s="10">
        <v>23</v>
      </c>
      <c r="Z914" s="30"/>
      <c r="AA914" s="31"/>
      <c r="AB914" s="47"/>
      <c r="AC914" s="31"/>
      <c r="AE914" s="32">
        <f t="shared" si="244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91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 t="s">
        <v>87</v>
      </c>
      <c r="O915" s="31">
        <f t="shared" si="247"/>
        <v>7246</v>
      </c>
      <c r="P915" s="47">
        <f>1878+28.5</f>
        <v>1906.5</v>
      </c>
      <c r="Q915" s="31"/>
      <c r="R915" s="31"/>
      <c r="S915" s="32">
        <f t="shared" si="242"/>
        <v>1906.5</v>
      </c>
      <c r="T915" s="10"/>
      <c r="U915" s="10">
        <v>4.5</v>
      </c>
      <c r="V915" s="10"/>
      <c r="W915" s="12">
        <f t="shared" si="243"/>
        <v>1911</v>
      </c>
      <c r="Y915" s="10">
        <v>24</v>
      </c>
      <c r="Z915" s="30"/>
      <c r="AA915" s="31"/>
      <c r="AB915" s="47"/>
      <c r="AC915" s="31"/>
      <c r="AD915" s="31"/>
      <c r="AE915" s="32">
        <f t="shared" si="244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91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 t="s">
        <v>87</v>
      </c>
      <c r="O916" s="31">
        <f t="shared" si="247"/>
        <v>7247</v>
      </c>
      <c r="P916" s="47">
        <f>1878+28.5</f>
        <v>1906.5</v>
      </c>
      <c r="Q916" s="31"/>
      <c r="R916" s="31"/>
      <c r="S916" s="32">
        <f t="shared" si="242"/>
        <v>1906.5</v>
      </c>
      <c r="T916" s="10"/>
      <c r="U916" s="10">
        <v>4.5</v>
      </c>
      <c r="V916" s="10"/>
      <c r="W916" s="12">
        <f t="shared" si="243"/>
        <v>1911</v>
      </c>
      <c r="Y916" s="10">
        <v>25</v>
      </c>
      <c r="Z916" s="30"/>
      <c r="AA916" s="31"/>
      <c r="AB916" s="47"/>
      <c r="AC916" s="31"/>
      <c r="AD916" s="31"/>
      <c r="AE916" s="32">
        <f t="shared" si="244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91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 t="s">
        <v>87</v>
      </c>
      <c r="O917" s="31">
        <f t="shared" si="247"/>
        <v>7248</v>
      </c>
      <c r="P917" s="47">
        <f>1252+19</f>
        <v>1271</v>
      </c>
      <c r="Q917" s="31"/>
      <c r="R917" s="31"/>
      <c r="S917" s="32">
        <f t="shared" si="242"/>
        <v>1271</v>
      </c>
      <c r="T917" s="10"/>
      <c r="U917" s="10">
        <v>4.5</v>
      </c>
      <c r="V917" s="10"/>
      <c r="W917" s="12">
        <f t="shared" si="243"/>
        <v>1275.5</v>
      </c>
      <c r="Y917" s="10">
        <v>26</v>
      </c>
      <c r="Z917" s="30"/>
      <c r="AA917" s="31"/>
      <c r="AB917" s="47"/>
      <c r="AC917" s="31"/>
      <c r="AD917" s="31"/>
      <c r="AE917" s="32">
        <f t="shared" si="244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91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 t="s">
        <v>87</v>
      </c>
      <c r="O918" s="31">
        <f t="shared" si="247"/>
        <v>7249</v>
      </c>
      <c r="P918" s="47">
        <f>1252+19</f>
        <v>1271</v>
      </c>
      <c r="Q918" s="31"/>
      <c r="R918" s="31"/>
      <c r="S918" s="32">
        <f t="shared" si="242"/>
        <v>1271</v>
      </c>
      <c r="T918" s="10"/>
      <c r="U918" s="10"/>
      <c r="V918" s="10"/>
      <c r="W918" s="12">
        <f t="shared" si="243"/>
        <v>1271</v>
      </c>
      <c r="Y918" s="10">
        <v>27</v>
      </c>
      <c r="Z918" s="30"/>
      <c r="AA918" s="31"/>
      <c r="AB918" s="47"/>
      <c r="AC918" s="31"/>
      <c r="AD918" s="31"/>
      <c r="AE918" s="32">
        <f t="shared" si="244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91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 t="s">
        <v>87</v>
      </c>
      <c r="O919" s="31">
        <f t="shared" si="247"/>
        <v>7250</v>
      </c>
      <c r="P919" s="47">
        <f>34430+3070+5960+458</f>
        <v>43918</v>
      </c>
      <c r="Q919" s="31"/>
      <c r="R919" s="31"/>
      <c r="S919" s="32">
        <f t="shared" si="242"/>
        <v>43918</v>
      </c>
      <c r="T919" s="10"/>
      <c r="U919" s="10">
        <v>1215</v>
      </c>
      <c r="V919" s="10"/>
      <c r="W919" s="12">
        <f t="shared" si="243"/>
        <v>45133</v>
      </c>
      <c r="Y919" s="10">
        <v>28</v>
      </c>
      <c r="Z919" s="30"/>
      <c r="AA919" s="31"/>
      <c r="AB919" s="47"/>
      <c r="AC919" s="31"/>
      <c r="AD919" s="31"/>
      <c r="AE919" s="32">
        <f t="shared" si="244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91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 t="s">
        <v>87</v>
      </c>
      <c r="O920" s="31">
        <v>7401</v>
      </c>
      <c r="P920" s="47">
        <f>3756+57</f>
        <v>3813</v>
      </c>
      <c r="Q920" s="31"/>
      <c r="R920" s="31"/>
      <c r="S920" s="32">
        <f t="shared" si="242"/>
        <v>3813</v>
      </c>
      <c r="T920" s="10"/>
      <c r="U920" s="10"/>
      <c r="V920" s="10"/>
      <c r="W920" s="12">
        <f t="shared" si="243"/>
        <v>3813</v>
      </c>
      <c r="Y920" s="10">
        <v>29</v>
      </c>
      <c r="Z920" s="30"/>
      <c r="AA920" s="31"/>
      <c r="AB920" s="47"/>
      <c r="AC920" s="31"/>
      <c r="AD920" s="31"/>
      <c r="AE920" s="32">
        <f t="shared" si="244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11" t="s">
        <v>27</v>
      </c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4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91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B922" s="47"/>
      <c r="AC922" s="31"/>
      <c r="AD922" s="31"/>
      <c r="AE922" s="32">
        <f t="shared" si="244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91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4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91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4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91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P925" s="47"/>
      <c r="Q925" s="31"/>
      <c r="R925" s="31"/>
      <c r="S925" s="32">
        <f t="shared" ref="S925:S930" si="249">SUM(P925:Q925)</f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B925" s="47"/>
      <c r="AC925" s="31"/>
      <c r="AD925" s="31"/>
      <c r="AE925" s="32">
        <f t="shared" si="244"/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9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44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9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44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9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44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9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44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9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44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73574.5</v>
      </c>
      <c r="E935" s="38">
        <f t="shared" ref="E935:G935" si="254">SUM(E892:E932)</f>
        <v>0</v>
      </c>
      <c r="F935" s="38">
        <f t="shared" si="254"/>
        <v>0</v>
      </c>
      <c r="G935" s="38">
        <f>SUM(G892:G934)</f>
        <v>73574.5</v>
      </c>
      <c r="H935" s="4"/>
      <c r="I935" s="39">
        <f>SUM(I892:I934)</f>
        <v>174</v>
      </c>
      <c r="J935" s="39">
        <f>SUM(J892:J934)</f>
        <v>0</v>
      </c>
      <c r="K935" s="40">
        <f>SUM(K892:K934)</f>
        <v>73748.5</v>
      </c>
      <c r="N935" s="57"/>
      <c r="O935" s="57"/>
      <c r="P935" s="38">
        <f>SUM(P892:P934)</f>
        <v>143034.5</v>
      </c>
      <c r="Q935" s="38">
        <f>SUM(Q892:Q916)</f>
        <v>0</v>
      </c>
      <c r="R935" s="38">
        <f>SUM(R892:R916)</f>
        <v>0</v>
      </c>
      <c r="S935" s="38">
        <f>SUM(S892:S934)</f>
        <v>143034.5</v>
      </c>
      <c r="T935" s="4"/>
      <c r="U935" s="41">
        <f>SUM(U892:U934)</f>
        <v>1357.5</v>
      </c>
      <c r="V935" s="41">
        <f>SUM(V892:V916)</f>
        <v>-918</v>
      </c>
      <c r="W935" s="42">
        <f>SUM(W892:W934)</f>
        <v>143474</v>
      </c>
      <c r="Z935" s="57"/>
      <c r="AA935" s="57"/>
      <c r="AB935" s="38">
        <f>SUM(AB892:AB934)</f>
        <v>166429.5</v>
      </c>
      <c r="AC935" s="38">
        <f>SUM(AC892:AC916)</f>
        <v>-1326</v>
      </c>
      <c r="AD935" s="38">
        <f>SUM(AD892:AD916)</f>
        <v>0</v>
      </c>
      <c r="AE935" s="38">
        <f>SUM(AE892:AE934)</f>
        <v>165103.5</v>
      </c>
      <c r="AF935" s="4"/>
      <c r="AG935" s="41">
        <f>SUM(AG892:AG934)</f>
        <v>0</v>
      </c>
      <c r="AH935" s="41">
        <f>SUM(AH892:AH916)</f>
        <v>-4125</v>
      </c>
      <c r="AI935" s="42">
        <f>SUM(AI892:AI934)</f>
        <v>160978.5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13"/>
      <c r="E945" s="113"/>
      <c r="F945" s="89"/>
      <c r="G945" s="89"/>
      <c r="H945" s="62"/>
      <c r="I945" s="113"/>
      <c r="J945" s="113"/>
      <c r="K945" s="112"/>
      <c r="L945" s="62"/>
      <c r="M945" s="62"/>
      <c r="N945" s="65"/>
      <c r="O945" s="89"/>
      <c r="P945" s="113"/>
      <c r="Q945" s="113"/>
      <c r="R945" s="89"/>
      <c r="S945" s="89"/>
      <c r="T945" s="62"/>
      <c r="U945" s="113"/>
      <c r="V945" s="113"/>
      <c r="W945" s="112"/>
      <c r="X945" s="62"/>
      <c r="Y945" s="62"/>
      <c r="Z945" s="65"/>
      <c r="AA945" s="89"/>
      <c r="AB945" s="113"/>
      <c r="AC945" s="113"/>
      <c r="AD945" s="89"/>
      <c r="AE945" s="89"/>
      <c r="AF945" s="62"/>
      <c r="AG945" s="113"/>
      <c r="AH945" s="113"/>
      <c r="AI945" s="112"/>
      <c r="AJ945" s="62"/>
      <c r="AK945" s="62"/>
      <c r="AL945" s="65"/>
      <c r="AM945" s="87"/>
      <c r="AN945" s="113"/>
      <c r="AO945" s="113"/>
      <c r="AP945" s="87"/>
      <c r="AQ945" s="84"/>
      <c r="AR945" s="62"/>
      <c r="AS945" s="113"/>
      <c r="AT945" s="113"/>
      <c r="AU945" s="112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112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112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112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2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13"/>
      <c r="E1000" s="113"/>
      <c r="F1000" s="89"/>
      <c r="G1000" s="89"/>
      <c r="H1000" s="62"/>
      <c r="I1000" s="113"/>
      <c r="J1000" s="113"/>
      <c r="K1000" s="112"/>
      <c r="L1000" s="62"/>
      <c r="M1000" s="62"/>
      <c r="N1000" s="65"/>
      <c r="O1000" s="89"/>
      <c r="P1000" s="113"/>
      <c r="Q1000" s="113"/>
      <c r="R1000" s="89"/>
      <c r="S1000" s="89"/>
      <c r="T1000" s="62"/>
      <c r="U1000" s="113"/>
      <c r="V1000" s="113"/>
      <c r="W1000" s="112"/>
      <c r="X1000" s="62"/>
      <c r="Y1000" s="62"/>
      <c r="Z1000" s="65"/>
      <c r="AA1000" s="89"/>
      <c r="AB1000" s="113"/>
      <c r="AC1000" s="113"/>
      <c r="AD1000" s="89"/>
      <c r="AE1000" s="89"/>
      <c r="AF1000" s="62"/>
      <c r="AG1000" s="113"/>
      <c r="AH1000" s="113"/>
      <c r="AI1000" s="112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12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12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12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13"/>
      <c r="E1055" s="113"/>
      <c r="F1055" s="89"/>
      <c r="G1055" s="89"/>
      <c r="H1055" s="62"/>
      <c r="I1055" s="113"/>
      <c r="J1055" s="113"/>
      <c r="K1055" s="112"/>
      <c r="L1055" s="62"/>
      <c r="M1055" s="62"/>
      <c r="N1055" s="65"/>
      <c r="O1055" s="89"/>
      <c r="P1055" s="113"/>
      <c r="Q1055" s="113"/>
      <c r="R1055" s="89"/>
      <c r="S1055" s="89"/>
      <c r="T1055" s="62"/>
      <c r="U1055" s="113"/>
      <c r="V1055" s="113"/>
      <c r="W1055" s="112"/>
      <c r="X1055" s="62"/>
      <c r="Y1055" s="62"/>
      <c r="Z1055" s="65"/>
      <c r="AA1055" s="89"/>
      <c r="AB1055" s="113"/>
      <c r="AC1055" s="113"/>
      <c r="AD1055" s="89"/>
      <c r="AE1055" s="89"/>
      <c r="AF1055" s="62"/>
      <c r="AG1055" s="113"/>
      <c r="AH1055" s="113"/>
      <c r="AI1055" s="11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12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12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12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13"/>
      <c r="E1110" s="113"/>
      <c r="F1110" s="89"/>
      <c r="G1110" s="89"/>
      <c r="H1110" s="62"/>
      <c r="I1110" s="113"/>
      <c r="J1110" s="113"/>
      <c r="K1110" s="112"/>
      <c r="L1110" s="62"/>
      <c r="M1110" s="62"/>
      <c r="N1110" s="65"/>
      <c r="O1110" s="89"/>
      <c r="P1110" s="113"/>
      <c r="Q1110" s="113"/>
      <c r="R1110" s="89"/>
      <c r="S1110" s="89"/>
      <c r="T1110" s="62"/>
      <c r="U1110" s="113"/>
      <c r="V1110" s="113"/>
      <c r="W1110" s="112"/>
      <c r="X1110" s="62"/>
      <c r="Y1110" s="62"/>
      <c r="Z1110" s="65"/>
      <c r="AA1110" s="89"/>
      <c r="AB1110" s="113"/>
      <c r="AC1110" s="113"/>
      <c r="AD1110" s="89"/>
      <c r="AE1110" s="89"/>
      <c r="AF1110" s="62"/>
      <c r="AG1110" s="113"/>
      <c r="AH1110" s="113"/>
      <c r="AI1110" s="112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12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12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12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3"/>
      <c r="E1165" s="113"/>
      <c r="F1165" s="89"/>
      <c r="G1165" s="89"/>
      <c r="H1165" s="62"/>
      <c r="I1165" s="113"/>
      <c r="J1165" s="113"/>
      <c r="K1165" s="112"/>
      <c r="L1165" s="62"/>
      <c r="M1165" s="62"/>
      <c r="N1165" s="65"/>
      <c r="O1165" s="89"/>
      <c r="P1165" s="113"/>
      <c r="Q1165" s="113"/>
      <c r="R1165" s="89"/>
      <c r="S1165" s="89"/>
      <c r="T1165" s="62"/>
      <c r="U1165" s="113"/>
      <c r="V1165" s="113"/>
      <c r="W1165" s="112"/>
      <c r="X1165" s="62"/>
      <c r="Y1165" s="62"/>
      <c r="Z1165" s="65"/>
      <c r="AA1165" s="89"/>
      <c r="AB1165" s="113"/>
      <c r="AC1165" s="113"/>
      <c r="AD1165" s="89"/>
      <c r="AE1165" s="89"/>
      <c r="AF1165" s="62"/>
      <c r="AG1165" s="113"/>
      <c r="AH1165" s="113"/>
      <c r="AI1165" s="11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2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2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3"/>
      <c r="E1221" s="113"/>
      <c r="F1221" s="87"/>
      <c r="G1221" s="87"/>
      <c r="H1221" s="62"/>
      <c r="I1221" s="113"/>
      <c r="J1221" s="113"/>
      <c r="K1221" s="112"/>
      <c r="L1221" s="62"/>
      <c r="M1221" s="62"/>
      <c r="N1221" s="65"/>
      <c r="O1221" s="87"/>
      <c r="P1221" s="113"/>
      <c r="Q1221" s="113"/>
      <c r="R1221" s="87"/>
      <c r="S1221" s="87"/>
      <c r="T1221" s="62"/>
      <c r="U1221" s="113"/>
      <c r="V1221" s="113"/>
      <c r="W1221" s="112"/>
      <c r="X1221" s="62"/>
      <c r="Y1221" s="62"/>
      <c r="Z1221" s="65"/>
      <c r="AA1221" s="87"/>
      <c r="AB1221" s="113"/>
      <c r="AC1221" s="113"/>
      <c r="AD1221" s="87"/>
      <c r="AE1221" s="87"/>
      <c r="AF1221" s="62"/>
      <c r="AG1221" s="113"/>
      <c r="AH1221" s="113"/>
      <c r="AI1221" s="112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2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2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2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3"/>
      <c r="E1283" s="113"/>
      <c r="F1283" s="84"/>
      <c r="G1283" s="84"/>
      <c r="H1283" s="62"/>
      <c r="I1283" s="113"/>
      <c r="J1283" s="113"/>
      <c r="K1283" s="112"/>
      <c r="L1283" s="62"/>
      <c r="M1283" s="62"/>
      <c r="N1283" s="65"/>
      <c r="O1283" s="84"/>
      <c r="P1283" s="113"/>
      <c r="Q1283" s="113"/>
      <c r="R1283" s="84"/>
      <c r="S1283" s="84"/>
      <c r="T1283" s="62"/>
      <c r="U1283" s="113"/>
      <c r="V1283" s="113"/>
      <c r="W1283" s="112"/>
      <c r="X1283" s="62"/>
      <c r="Y1283" s="62"/>
      <c r="Z1283" s="65"/>
      <c r="AA1283" s="84"/>
      <c r="AB1283" s="113"/>
      <c r="AC1283" s="113"/>
      <c r="AD1283" s="84"/>
      <c r="AE1283" s="84"/>
      <c r="AF1283" s="62"/>
      <c r="AG1283" s="113"/>
      <c r="AH1283" s="113"/>
      <c r="AI1283" s="11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2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2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2025-11-22T00:56:08Z</dcterms:modified>
</cp:coreProperties>
</file>