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8065621F-6B8A-408F-B28B-E456C5144CFB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NOVEMBER" sheetId="1" r:id="rId1"/>
    <sheet name="DSIS | NOVEMB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510" i="2" l="1"/>
  <c r="AB509" i="2"/>
  <c r="AB508" i="2"/>
  <c r="AG507" i="2"/>
  <c r="AB507" i="2"/>
  <c r="AE507" i="2"/>
  <c r="AI507" i="2" s="1"/>
  <c r="AA508" i="2"/>
  <c r="AE508" i="2"/>
  <c r="AI508" i="2" s="1"/>
  <c r="AA509" i="2"/>
  <c r="AA510" i="2" s="1"/>
  <c r="AE509" i="2"/>
  <c r="AI509" i="2" s="1"/>
  <c r="AB550" i="2"/>
  <c r="AE510" i="2"/>
  <c r="AI510" i="2" s="1"/>
  <c r="AE511" i="2"/>
  <c r="AI511" i="2"/>
  <c r="AE512" i="2"/>
  <c r="AI512" i="2" s="1"/>
  <c r="AE513" i="2"/>
  <c r="AI513" i="2" s="1"/>
  <c r="AE514" i="2"/>
  <c r="AI514" i="2"/>
  <c r="AE515" i="2"/>
  <c r="AI515" i="2" s="1"/>
  <c r="AE516" i="2"/>
  <c r="AI516" i="2"/>
  <c r="AE517" i="2"/>
  <c r="AI517" i="2" s="1"/>
  <c r="AE518" i="2"/>
  <c r="AI518" i="2" s="1"/>
  <c r="AE519" i="2"/>
  <c r="AI519" i="2" s="1"/>
  <c r="AE520" i="2"/>
  <c r="AI520" i="2"/>
  <c r="AE521" i="2"/>
  <c r="AI521" i="2"/>
  <c r="AE522" i="2"/>
  <c r="AI522" i="2"/>
  <c r="AE523" i="2"/>
  <c r="AI523" i="2" s="1"/>
  <c r="AE524" i="2"/>
  <c r="AI524" i="2" s="1"/>
  <c r="AE525" i="2"/>
  <c r="AI525" i="2"/>
  <c r="AE526" i="2"/>
  <c r="AI526" i="2"/>
  <c r="AE527" i="2"/>
  <c r="AI527" i="2" s="1"/>
  <c r="AE528" i="2"/>
  <c r="AI528" i="2"/>
  <c r="AE529" i="2"/>
  <c r="AI529" i="2"/>
  <c r="AE530" i="2"/>
  <c r="AI530" i="2"/>
  <c r="AE531" i="2"/>
  <c r="AI531" i="2"/>
  <c r="AE532" i="2"/>
  <c r="AI532" i="2"/>
  <c r="AE533" i="2"/>
  <c r="AI533" i="2"/>
  <c r="AE534" i="2"/>
  <c r="AI534" i="2"/>
  <c r="AE535" i="2"/>
  <c r="AI535" i="2" s="1"/>
  <c r="AE536" i="2"/>
  <c r="AI536" i="2" s="1"/>
  <c r="AE537" i="2"/>
  <c r="AI537" i="2"/>
  <c r="AE538" i="2"/>
  <c r="AI538" i="2"/>
  <c r="AE539" i="2"/>
  <c r="AI539" i="2"/>
  <c r="AE540" i="2"/>
  <c r="AI540" i="2" s="1"/>
  <c r="AE541" i="2"/>
  <c r="AI541" i="2"/>
  <c r="AE542" i="2"/>
  <c r="AI542" i="2"/>
  <c r="AE543" i="2"/>
  <c r="AI543" i="2" s="1"/>
  <c r="AE544" i="2"/>
  <c r="AI544" i="2" s="1"/>
  <c r="AE545" i="2"/>
  <c r="AI545" i="2"/>
  <c r="AI546" i="2"/>
  <c r="AE547" i="2"/>
  <c r="AI547" i="2"/>
  <c r="AI548" i="2"/>
  <c r="AC550" i="2"/>
  <c r="AD550" i="2"/>
  <c r="AG550" i="2"/>
  <c r="AH550" i="2"/>
  <c r="V518" i="2"/>
  <c r="U550" i="2"/>
  <c r="P518" i="2"/>
  <c r="P517" i="2"/>
  <c r="S517" i="2" s="1"/>
  <c r="W517" i="2" s="1"/>
  <c r="V516" i="2"/>
  <c r="V550" i="2" s="1"/>
  <c r="P516" i="2"/>
  <c r="P515" i="2"/>
  <c r="P514" i="2"/>
  <c r="S514" i="2" s="1"/>
  <c r="W514" i="2" s="1"/>
  <c r="P513" i="2"/>
  <c r="S513" i="2" s="1"/>
  <c r="W513" i="2" s="1"/>
  <c r="P512" i="2"/>
  <c r="S512" i="2" s="1"/>
  <c r="W512" i="2" s="1"/>
  <c r="O512" i="2"/>
  <c r="O513" i="2" s="1"/>
  <c r="O514" i="2" s="1"/>
  <c r="O515" i="2" s="1"/>
  <c r="O516" i="2" s="1"/>
  <c r="O517" i="2" s="1"/>
  <c r="O518" i="2" s="1"/>
  <c r="P511" i="2"/>
  <c r="P510" i="2"/>
  <c r="P509" i="2"/>
  <c r="S509" i="2" s="1"/>
  <c r="W509" i="2" s="1"/>
  <c r="P508" i="2"/>
  <c r="S508" i="2" s="1"/>
  <c r="W508" i="2" s="1"/>
  <c r="P507" i="2"/>
  <c r="O508" i="2"/>
  <c r="O509" i="2" s="1"/>
  <c r="O510" i="2" s="1"/>
  <c r="O511" i="2" s="1"/>
  <c r="S511" i="2"/>
  <c r="W511" i="2" s="1"/>
  <c r="S515" i="2"/>
  <c r="W515" i="2" s="1"/>
  <c r="S516" i="2"/>
  <c r="S518" i="2"/>
  <c r="W518" i="2" s="1"/>
  <c r="S519" i="2"/>
  <c r="W519" i="2"/>
  <c r="S520" i="2"/>
  <c r="W520" i="2" s="1"/>
  <c r="S521" i="2"/>
  <c r="W521" i="2" s="1"/>
  <c r="S522" i="2"/>
  <c r="W522" i="2"/>
  <c r="S523" i="2"/>
  <c r="W523" i="2"/>
  <c r="S524" i="2"/>
  <c r="W524" i="2"/>
  <c r="S525" i="2"/>
  <c r="W525" i="2"/>
  <c r="S526" i="2"/>
  <c r="W526" i="2" s="1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/>
  <c r="S534" i="2"/>
  <c r="W534" i="2" s="1"/>
  <c r="S535" i="2"/>
  <c r="W535" i="2"/>
  <c r="S536" i="2"/>
  <c r="W536" i="2"/>
  <c r="S537" i="2"/>
  <c r="W537" i="2" s="1"/>
  <c r="S538" i="2"/>
  <c r="W538" i="2"/>
  <c r="S539" i="2"/>
  <c r="W539" i="2"/>
  <c r="S540" i="2"/>
  <c r="W540" i="2"/>
  <c r="S541" i="2"/>
  <c r="W541" i="2" s="1"/>
  <c r="S542" i="2"/>
  <c r="W542" i="2" s="1"/>
  <c r="S543" i="2"/>
  <c r="W543" i="2"/>
  <c r="S544" i="2"/>
  <c r="W544" i="2"/>
  <c r="S545" i="2"/>
  <c r="W545" i="2"/>
  <c r="W546" i="2"/>
  <c r="S547" i="2"/>
  <c r="W547" i="2"/>
  <c r="W548" i="2"/>
  <c r="Q550" i="2"/>
  <c r="R550" i="2"/>
  <c r="AI550" i="2" l="1"/>
  <c r="AE550" i="2"/>
  <c r="W516" i="2"/>
  <c r="P550" i="2"/>
  <c r="S507" i="2"/>
  <c r="W507" i="2"/>
  <c r="S510" i="2"/>
  <c r="W510" i="2" s="1"/>
  <c r="AB463" i="2"/>
  <c r="AB462" i="2"/>
  <c r="AE462" i="2" s="1"/>
  <c r="AI462" i="2" s="1"/>
  <c r="AB461" i="2"/>
  <c r="AB460" i="2"/>
  <c r="AB459" i="2"/>
  <c r="AE459" i="2" s="1"/>
  <c r="AI459" i="2" s="1"/>
  <c r="AB458" i="2"/>
  <c r="AE458" i="2" s="1"/>
  <c r="AI458" i="2" s="1"/>
  <c r="AB457" i="2"/>
  <c r="AE457" i="2" s="1"/>
  <c r="AI457" i="2" s="1"/>
  <c r="AB456" i="2"/>
  <c r="AB455" i="2"/>
  <c r="AB454" i="2"/>
  <c r="AE454" i="2" s="1"/>
  <c r="AI454" i="2" s="1"/>
  <c r="AB453" i="2"/>
  <c r="AB452" i="2"/>
  <c r="AA453" i="2"/>
  <c r="AE453" i="2"/>
  <c r="AI453" i="2" s="1"/>
  <c r="AG495" i="2"/>
  <c r="AA454" i="2"/>
  <c r="AA455" i="2" s="1"/>
  <c r="AA456" i="2" s="1"/>
  <c r="AA457" i="2" s="1"/>
  <c r="AA458" i="2" s="1"/>
  <c r="AA459" i="2" s="1"/>
  <c r="AA460" i="2" s="1"/>
  <c r="AA461" i="2" s="1"/>
  <c r="AA462" i="2" s="1"/>
  <c r="AA463" i="2" s="1"/>
  <c r="AE455" i="2"/>
  <c r="AI455" i="2" s="1"/>
  <c r="AE456" i="2"/>
  <c r="AI456" i="2"/>
  <c r="AE460" i="2"/>
  <c r="AI460" i="2" s="1"/>
  <c r="AE461" i="2"/>
  <c r="AI461" i="2" s="1"/>
  <c r="AE463" i="2"/>
  <c r="AI463" i="2" s="1"/>
  <c r="AE464" i="2"/>
  <c r="AI464" i="2"/>
  <c r="AE465" i="2"/>
  <c r="AI465" i="2" s="1"/>
  <c r="AE466" i="2"/>
  <c r="AI466" i="2" s="1"/>
  <c r="AE467" i="2"/>
  <c r="AI467" i="2"/>
  <c r="AE468" i="2"/>
  <c r="AI468" i="2" s="1"/>
  <c r="AE469" i="2"/>
  <c r="AI469" i="2"/>
  <c r="AE470" i="2"/>
  <c r="AI470" i="2"/>
  <c r="AE471" i="2"/>
  <c r="AI471" i="2"/>
  <c r="AE472" i="2"/>
  <c r="AI472" i="2"/>
  <c r="AE473" i="2"/>
  <c r="AI473" i="2"/>
  <c r="AE474" i="2"/>
  <c r="AI474" i="2"/>
  <c r="AE475" i="2"/>
  <c r="AI475" i="2"/>
  <c r="AE476" i="2"/>
  <c r="AI476" i="2" s="1"/>
  <c r="AE477" i="2"/>
  <c r="AI477" i="2"/>
  <c r="AE478" i="2"/>
  <c r="AI478" i="2"/>
  <c r="AE479" i="2"/>
  <c r="AI479" i="2"/>
  <c r="AE480" i="2"/>
  <c r="AI480" i="2"/>
  <c r="AE481" i="2"/>
  <c r="AI481" i="2"/>
  <c r="AE482" i="2"/>
  <c r="AI482" i="2"/>
  <c r="AE483" i="2"/>
  <c r="AI483" i="2"/>
  <c r="AE484" i="2"/>
  <c r="AI484" i="2" s="1"/>
  <c r="AE485" i="2"/>
  <c r="AI485" i="2"/>
  <c r="AE486" i="2"/>
  <c r="AI486" i="2"/>
  <c r="AE487" i="2"/>
  <c r="AI487" i="2"/>
  <c r="AE488" i="2"/>
  <c r="AI488" i="2"/>
  <c r="AE489" i="2"/>
  <c r="AI489" i="2"/>
  <c r="AE490" i="2"/>
  <c r="AI490" i="2"/>
  <c r="AI491" i="2"/>
  <c r="AE492" i="2"/>
  <c r="AI492" i="2"/>
  <c r="AI493" i="2"/>
  <c r="AC495" i="2"/>
  <c r="AD495" i="2"/>
  <c r="AH495" i="2"/>
  <c r="P456" i="2"/>
  <c r="P455" i="2"/>
  <c r="S455" i="2" s="1"/>
  <c r="W455" i="2" s="1"/>
  <c r="P454" i="2"/>
  <c r="P453" i="2"/>
  <c r="U452" i="2"/>
  <c r="U495" i="2" s="1"/>
  <c r="P452" i="2"/>
  <c r="S452" i="2" s="1"/>
  <c r="O453" i="2"/>
  <c r="O454" i="2" s="1"/>
  <c r="O455" i="2" s="1"/>
  <c r="O456" i="2" s="1"/>
  <c r="V495" i="2"/>
  <c r="S453" i="2"/>
  <c r="W453" i="2" s="1"/>
  <c r="S454" i="2"/>
  <c r="W454" i="2"/>
  <c r="S456" i="2"/>
  <c r="W456" i="2"/>
  <c r="S457" i="2"/>
  <c r="W457" i="2"/>
  <c r="S458" i="2"/>
  <c r="W458" i="2" s="1"/>
  <c r="S459" i="2"/>
  <c r="W459" i="2" s="1"/>
  <c r="S460" i="2"/>
  <c r="W460" i="2"/>
  <c r="S461" i="2"/>
  <c r="W461" i="2" s="1"/>
  <c r="S462" i="2"/>
  <c r="W462" i="2"/>
  <c r="S463" i="2"/>
  <c r="W463" i="2" s="1"/>
  <c r="S464" i="2"/>
  <c r="W464" i="2"/>
  <c r="S465" i="2"/>
  <c r="W465" i="2"/>
  <c r="S466" i="2"/>
  <c r="W466" i="2"/>
  <c r="S467" i="2"/>
  <c r="W467" i="2" s="1"/>
  <c r="S468" i="2"/>
  <c r="W468" i="2"/>
  <c r="S469" i="2"/>
  <c r="W469" i="2"/>
  <c r="S470" i="2"/>
  <c r="W470" i="2"/>
  <c r="S471" i="2"/>
  <c r="W471" i="2" s="1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/>
  <c r="S479" i="2"/>
  <c r="W479" i="2" s="1"/>
  <c r="S480" i="2"/>
  <c r="W480" i="2"/>
  <c r="S481" i="2"/>
  <c r="W481" i="2"/>
  <c r="S482" i="2"/>
  <c r="W482" i="2"/>
  <c r="S483" i="2"/>
  <c r="W483" i="2" s="1"/>
  <c r="S484" i="2"/>
  <c r="W484" i="2"/>
  <c r="S485" i="2"/>
  <c r="W485" i="2" s="1"/>
  <c r="S486" i="2"/>
  <c r="W486" i="2"/>
  <c r="S487" i="2"/>
  <c r="W487" i="2" s="1"/>
  <c r="S488" i="2"/>
  <c r="W488" i="2" s="1"/>
  <c r="S489" i="2"/>
  <c r="W489" i="2"/>
  <c r="S490" i="2"/>
  <c r="W490" i="2"/>
  <c r="W491" i="2"/>
  <c r="S492" i="2"/>
  <c r="W492" i="2"/>
  <c r="W493" i="2"/>
  <c r="Q495" i="2"/>
  <c r="R495" i="2"/>
  <c r="D469" i="2"/>
  <c r="D467" i="2"/>
  <c r="G467" i="2" s="1"/>
  <c r="K467" i="2" s="1"/>
  <c r="I466" i="2"/>
  <c r="D466" i="2"/>
  <c r="G466" i="2" s="1"/>
  <c r="K466" i="2" s="1"/>
  <c r="D465" i="2"/>
  <c r="G465" i="2" s="1"/>
  <c r="K465" i="2" s="1"/>
  <c r="D464" i="2"/>
  <c r="G464" i="2" s="1"/>
  <c r="K464" i="2" s="1"/>
  <c r="D463" i="2"/>
  <c r="G463" i="2" s="1"/>
  <c r="K463" i="2" s="1"/>
  <c r="D462" i="2"/>
  <c r="G462" i="2" s="1"/>
  <c r="K462" i="2" s="1"/>
  <c r="D461" i="2"/>
  <c r="G461" i="2" s="1"/>
  <c r="K461" i="2" s="1"/>
  <c r="D460" i="2"/>
  <c r="G460" i="2" s="1"/>
  <c r="K460" i="2" s="1"/>
  <c r="D459" i="2"/>
  <c r="D458" i="2"/>
  <c r="G458" i="2" s="1"/>
  <c r="K458" i="2" s="1"/>
  <c r="D457" i="2"/>
  <c r="D456" i="2"/>
  <c r="G456" i="2" s="1"/>
  <c r="K456" i="2" s="1"/>
  <c r="I455" i="2"/>
  <c r="D455" i="2"/>
  <c r="G455" i="2" s="1"/>
  <c r="K455" i="2" s="1"/>
  <c r="D454" i="2"/>
  <c r="G454" i="2" s="1"/>
  <c r="K454" i="2" s="1"/>
  <c r="D453" i="2"/>
  <c r="G453" i="2" s="1"/>
  <c r="K453" i="2" s="1"/>
  <c r="D452" i="2"/>
  <c r="G452" i="2"/>
  <c r="C453" i="2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C468" i="2" s="1"/>
  <c r="C469" i="2" s="1"/>
  <c r="G457" i="2"/>
  <c r="K457" i="2" s="1"/>
  <c r="G459" i="2"/>
  <c r="K459" i="2"/>
  <c r="G468" i="2"/>
  <c r="K468" i="2" s="1"/>
  <c r="G469" i="2"/>
  <c r="K469" i="2" s="1"/>
  <c r="G470" i="2"/>
  <c r="K470" i="2" s="1"/>
  <c r="G471" i="2"/>
  <c r="K471" i="2" s="1"/>
  <c r="G472" i="2"/>
  <c r="K472" i="2" s="1"/>
  <c r="G473" i="2"/>
  <c r="K473" i="2"/>
  <c r="G474" i="2"/>
  <c r="K474" i="2"/>
  <c r="G475" i="2"/>
  <c r="K475" i="2"/>
  <c r="G476" i="2"/>
  <c r="K476" i="2"/>
  <c r="G477" i="2"/>
  <c r="K477" i="2"/>
  <c r="G478" i="2"/>
  <c r="K478" i="2"/>
  <c r="G479" i="2"/>
  <c r="K479" i="2" s="1"/>
  <c r="G480" i="2"/>
  <c r="K480" i="2"/>
  <c r="G481" i="2"/>
  <c r="K481" i="2"/>
  <c r="G482" i="2"/>
  <c r="K482" i="2"/>
  <c r="G483" i="2"/>
  <c r="K483" i="2"/>
  <c r="G484" i="2"/>
  <c r="K484" i="2"/>
  <c r="G485" i="2"/>
  <c r="K485" i="2"/>
  <c r="G492" i="2"/>
  <c r="K492" i="2"/>
  <c r="E495" i="2"/>
  <c r="F495" i="2"/>
  <c r="J495" i="2"/>
  <c r="S550" i="2" l="1"/>
  <c r="W550" i="2"/>
  <c r="AB495" i="2"/>
  <c r="AE452" i="2"/>
  <c r="AI452" i="2" s="1"/>
  <c r="AE495" i="2"/>
  <c r="AI495" i="2"/>
  <c r="P495" i="2"/>
  <c r="W452" i="2"/>
  <c r="W495" i="2" s="1"/>
  <c r="S495" i="2"/>
  <c r="I495" i="2"/>
  <c r="D495" i="2"/>
  <c r="K452" i="2"/>
  <c r="K495" i="2" s="1"/>
  <c r="G495" i="2"/>
  <c r="AB401" i="2"/>
  <c r="AE401" i="2" s="1"/>
  <c r="AI401" i="2" s="1"/>
  <c r="AB400" i="2"/>
  <c r="AE400" i="2" s="1"/>
  <c r="AI400" i="2" s="1"/>
  <c r="AB399" i="2"/>
  <c r="AE399" i="2" s="1"/>
  <c r="AI399" i="2" s="1"/>
  <c r="AG398" i="2"/>
  <c r="AG440" i="2" s="1"/>
  <c r="AB398" i="2"/>
  <c r="AE398" i="2" s="1"/>
  <c r="AB397" i="2"/>
  <c r="AE397" i="2"/>
  <c r="AA398" i="2"/>
  <c r="AA399" i="2"/>
  <c r="AA400" i="2" s="1"/>
  <c r="AA401" i="2" s="1"/>
  <c r="AE402" i="2"/>
  <c r="AI402" i="2" s="1"/>
  <c r="AE403" i="2"/>
  <c r="AI403" i="2"/>
  <c r="AE404" i="2"/>
  <c r="AI404" i="2" s="1"/>
  <c r="AE405" i="2"/>
  <c r="AI405" i="2"/>
  <c r="AE406" i="2"/>
  <c r="AI406" i="2" s="1"/>
  <c r="AE407" i="2"/>
  <c r="AI407" i="2" s="1"/>
  <c r="AE408" i="2"/>
  <c r="AI408" i="2"/>
  <c r="AE409" i="2"/>
  <c r="AI409" i="2"/>
  <c r="AE410" i="2"/>
  <c r="AI410" i="2"/>
  <c r="AE411" i="2"/>
  <c r="AI411" i="2"/>
  <c r="AE412" i="2"/>
  <c r="AI412" i="2"/>
  <c r="AE413" i="2"/>
  <c r="AI413" i="2"/>
  <c r="AE414" i="2"/>
  <c r="AI414" i="2" s="1"/>
  <c r="AE415" i="2"/>
  <c r="AI415" i="2" s="1"/>
  <c r="AE416" i="2"/>
  <c r="AI416" i="2"/>
  <c r="AE417" i="2"/>
  <c r="AI417" i="2"/>
  <c r="AE418" i="2"/>
  <c r="AI418" i="2"/>
  <c r="AE419" i="2"/>
  <c r="AI419" i="2"/>
  <c r="AE420" i="2"/>
  <c r="AI420" i="2"/>
  <c r="AE421" i="2"/>
  <c r="AI421" i="2"/>
  <c r="AE422" i="2"/>
  <c r="AI422" i="2" s="1"/>
  <c r="AE423" i="2"/>
  <c r="AI423" i="2" s="1"/>
  <c r="AE424" i="2"/>
  <c r="AI424" i="2"/>
  <c r="AE425" i="2"/>
  <c r="AI425" i="2"/>
  <c r="AE426" i="2"/>
  <c r="AI426" i="2"/>
  <c r="AE427" i="2"/>
  <c r="AI427" i="2"/>
  <c r="AE428" i="2"/>
  <c r="AI428" i="2"/>
  <c r="AE429" i="2"/>
  <c r="AI429" i="2"/>
  <c r="AE430" i="2"/>
  <c r="AI430" i="2"/>
  <c r="AE431" i="2"/>
  <c r="AI431" i="2" s="1"/>
  <c r="AE432" i="2"/>
  <c r="AI432" i="2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AH440" i="2"/>
  <c r="U397" i="2"/>
  <c r="V397" i="2"/>
  <c r="P397" i="2"/>
  <c r="S397" i="2" s="1"/>
  <c r="S398" i="2"/>
  <c r="W398" i="2" s="1"/>
  <c r="S399" i="2"/>
  <c r="W399" i="2" s="1"/>
  <c r="S400" i="2"/>
  <c r="W400" i="2" s="1"/>
  <c r="S401" i="2"/>
  <c r="W401" i="2" s="1"/>
  <c r="S402" i="2"/>
  <c r="W402" i="2"/>
  <c r="S403" i="2"/>
  <c r="W403" i="2" s="1"/>
  <c r="S404" i="2"/>
  <c r="W404" i="2" s="1"/>
  <c r="S405" i="2"/>
  <c r="W405" i="2" s="1"/>
  <c r="S406" i="2"/>
  <c r="W406" i="2" s="1"/>
  <c r="S407" i="2"/>
  <c r="W407" i="2" s="1"/>
  <c r="S408" i="2"/>
  <c r="W408" i="2" s="1"/>
  <c r="S409" i="2"/>
  <c r="W409" i="2" s="1"/>
  <c r="S410" i="2"/>
  <c r="W410" i="2"/>
  <c r="S411" i="2"/>
  <c r="W411" i="2" s="1"/>
  <c r="S412" i="2"/>
  <c r="W412" i="2" s="1"/>
  <c r="S413" i="2"/>
  <c r="W413" i="2" s="1"/>
  <c r="S414" i="2"/>
  <c r="W414" i="2" s="1"/>
  <c r="S415" i="2"/>
  <c r="W415" i="2" s="1"/>
  <c r="S416" i="2"/>
  <c r="W416" i="2"/>
  <c r="S417" i="2"/>
  <c r="W417" i="2" s="1"/>
  <c r="S418" i="2"/>
  <c r="W418" i="2" s="1"/>
  <c r="S419" i="2"/>
  <c r="W419" i="2" s="1"/>
  <c r="S420" i="2"/>
  <c r="W420" i="2"/>
  <c r="S421" i="2"/>
  <c r="W421" i="2" s="1"/>
  <c r="S422" i="2"/>
  <c r="W422" i="2"/>
  <c r="S423" i="2"/>
  <c r="W423" i="2" s="1"/>
  <c r="S424" i="2"/>
  <c r="W424" i="2" s="1"/>
  <c r="S425" i="2"/>
  <c r="W425" i="2" s="1"/>
  <c r="S426" i="2"/>
  <c r="W426" i="2"/>
  <c r="S427" i="2"/>
  <c r="W427" i="2" s="1"/>
  <c r="S428" i="2"/>
  <c r="W428" i="2"/>
  <c r="S429" i="2"/>
  <c r="W429" i="2" s="1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U440" i="2"/>
  <c r="V440" i="2"/>
  <c r="D418" i="2"/>
  <c r="D417" i="2"/>
  <c r="G417" i="2" s="1"/>
  <c r="K417" i="2" s="1"/>
  <c r="D416" i="2"/>
  <c r="G416" i="2" s="1"/>
  <c r="K416" i="2" s="1"/>
  <c r="D415" i="2"/>
  <c r="D414" i="2"/>
  <c r="D413" i="2"/>
  <c r="G413" i="2" s="1"/>
  <c r="K413" i="2" s="1"/>
  <c r="D412" i="2"/>
  <c r="G412" i="2" s="1"/>
  <c r="K412" i="2" s="1"/>
  <c r="D411" i="2"/>
  <c r="D410" i="2"/>
  <c r="G410" i="2" s="1"/>
  <c r="K410" i="2" s="1"/>
  <c r="D409" i="2"/>
  <c r="G409" i="2" s="1"/>
  <c r="K409" i="2" s="1"/>
  <c r="D408" i="2"/>
  <c r="G408" i="2" s="1"/>
  <c r="K408" i="2" s="1"/>
  <c r="D407" i="2"/>
  <c r="G407" i="2" s="1"/>
  <c r="K407" i="2" s="1"/>
  <c r="D406" i="2"/>
  <c r="D405" i="2"/>
  <c r="D404" i="2"/>
  <c r="D403" i="2"/>
  <c r="G403" i="2" s="1"/>
  <c r="K403" i="2" s="1"/>
  <c r="D402" i="2"/>
  <c r="D401" i="2"/>
  <c r="D400" i="2"/>
  <c r="G400" i="2" s="1"/>
  <c r="K400" i="2" s="1"/>
  <c r="D399" i="2"/>
  <c r="D398" i="2"/>
  <c r="D397" i="2"/>
  <c r="G397" i="2"/>
  <c r="K397" i="2" s="1"/>
  <c r="C398" i="2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1" i="2" s="1"/>
  <c r="C412" i="2" s="1"/>
  <c r="C413" i="2" s="1"/>
  <c r="C414" i="2" s="1"/>
  <c r="C415" i="2" s="1"/>
  <c r="C416" i="2" s="1"/>
  <c r="C417" i="2" s="1"/>
  <c r="C418" i="2" s="1"/>
  <c r="G398" i="2"/>
  <c r="G399" i="2"/>
  <c r="K399" i="2" s="1"/>
  <c r="I440" i="2"/>
  <c r="G401" i="2"/>
  <c r="K401" i="2"/>
  <c r="G402" i="2"/>
  <c r="K402" i="2" s="1"/>
  <c r="G404" i="2"/>
  <c r="K404" i="2" s="1"/>
  <c r="G405" i="2"/>
  <c r="K405" i="2" s="1"/>
  <c r="G406" i="2"/>
  <c r="K406" i="2" s="1"/>
  <c r="G411" i="2"/>
  <c r="K411" i="2" s="1"/>
  <c r="G414" i="2"/>
  <c r="K414" i="2" s="1"/>
  <c r="G415" i="2"/>
  <c r="K415" i="2" s="1"/>
  <c r="G418" i="2"/>
  <c r="K418" i="2" s="1"/>
  <c r="G419" i="2"/>
  <c r="K419" i="2"/>
  <c r="G420" i="2"/>
  <c r="K420" i="2"/>
  <c r="G421" i="2"/>
  <c r="K421" i="2" s="1"/>
  <c r="G422" i="2"/>
  <c r="K422" i="2" s="1"/>
  <c r="G423" i="2"/>
  <c r="K423" i="2"/>
  <c r="G424" i="2"/>
  <c r="K424" i="2" s="1"/>
  <c r="G425" i="2"/>
  <c r="K425" i="2" s="1"/>
  <c r="G426" i="2"/>
  <c r="K426" i="2"/>
  <c r="G427" i="2"/>
  <c r="K427" i="2"/>
  <c r="G428" i="2"/>
  <c r="K428" i="2"/>
  <c r="G429" i="2"/>
  <c r="K429" i="2"/>
  <c r="G430" i="2"/>
  <c r="K430" i="2"/>
  <c r="G437" i="2"/>
  <c r="K437" i="2"/>
  <c r="E440" i="2"/>
  <c r="F440" i="2"/>
  <c r="J440" i="2"/>
  <c r="AI398" i="2" l="1"/>
  <c r="AI397" i="2"/>
  <c r="AI440" i="2" s="1"/>
  <c r="AE440" i="2"/>
  <c r="AB440" i="2"/>
  <c r="W397" i="2"/>
  <c r="W440" i="2" s="1"/>
  <c r="S440" i="2"/>
  <c r="P440" i="2"/>
  <c r="D440" i="2"/>
  <c r="G440" i="2"/>
  <c r="K398" i="2"/>
  <c r="K440" i="2" s="1"/>
  <c r="AB349" i="2"/>
  <c r="AB348" i="2"/>
  <c r="AE348" i="2" s="1"/>
  <c r="AI348" i="2" s="1"/>
  <c r="AB347" i="2"/>
  <c r="AE347" i="2" s="1"/>
  <c r="AI347" i="2" s="1"/>
  <c r="AB346" i="2"/>
  <c r="AB345" i="2"/>
  <c r="AB344" i="2"/>
  <c r="AE344" i="2" s="1"/>
  <c r="AI344" i="2" s="1"/>
  <c r="AB343" i="2"/>
  <c r="AG342" i="2"/>
  <c r="AB342" i="2"/>
  <c r="AA347" i="2"/>
  <c r="AA348" i="2" s="1"/>
  <c r="AA349" i="2" s="1"/>
  <c r="AE342" i="2"/>
  <c r="AI342" i="2" s="1"/>
  <c r="AA343" i="2"/>
  <c r="AA344" i="2"/>
  <c r="AG385" i="2"/>
  <c r="AA345" i="2"/>
  <c r="AE345" i="2"/>
  <c r="AE346" i="2"/>
  <c r="AI346" i="2" s="1"/>
  <c r="AE349" i="2"/>
  <c r="AI349" i="2"/>
  <c r="AE350" i="2"/>
  <c r="AI350" i="2"/>
  <c r="AE351" i="2"/>
  <c r="AI351" i="2" s="1"/>
  <c r="AE352" i="2"/>
  <c r="AI352" i="2" s="1"/>
  <c r="AE353" i="2"/>
  <c r="AI353" i="2" s="1"/>
  <c r="AE354" i="2"/>
  <c r="AI354" i="2"/>
  <c r="AE355" i="2"/>
  <c r="AI355" i="2" s="1"/>
  <c r="AE356" i="2"/>
  <c r="AI356" i="2"/>
  <c r="AE357" i="2"/>
  <c r="AI357" i="2"/>
  <c r="AE358" i="2"/>
  <c r="AI358" i="2"/>
  <c r="AE359" i="2"/>
  <c r="AI359" i="2"/>
  <c r="AE360" i="2"/>
  <c r="AI360" i="2"/>
  <c r="AE361" i="2"/>
  <c r="AI361" i="2" s="1"/>
  <c r="AE362" i="2"/>
  <c r="AI362" i="2"/>
  <c r="AE363" i="2"/>
  <c r="AI363" i="2"/>
  <c r="AE364" i="2"/>
  <c r="AI364" i="2"/>
  <c r="AE365" i="2"/>
  <c r="AI365" i="2"/>
  <c r="AE366" i="2"/>
  <c r="AI366" i="2"/>
  <c r="AE367" i="2"/>
  <c r="AI367" i="2"/>
  <c r="AE368" i="2"/>
  <c r="AI368" i="2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C385" i="2"/>
  <c r="AD385" i="2"/>
  <c r="AH385" i="2"/>
  <c r="P374" i="2"/>
  <c r="P373" i="2"/>
  <c r="S373" i="2" s="1"/>
  <c r="W373" i="2" s="1"/>
  <c r="P372" i="2"/>
  <c r="P371" i="2"/>
  <c r="P370" i="2"/>
  <c r="P369" i="2"/>
  <c r="P368" i="2"/>
  <c r="S368" i="2" s="1"/>
  <c r="W368" i="2" s="1"/>
  <c r="P367" i="2"/>
  <c r="P366" i="2"/>
  <c r="S366" i="2" s="1"/>
  <c r="W366" i="2" s="1"/>
  <c r="P365" i="2"/>
  <c r="S365" i="2" s="1"/>
  <c r="W365" i="2" s="1"/>
  <c r="P364" i="2"/>
  <c r="P363" i="2"/>
  <c r="P362" i="2"/>
  <c r="S362" i="2" s="1"/>
  <c r="W362" i="2" s="1"/>
  <c r="O362" i="2"/>
  <c r="O363" i="2" s="1"/>
  <c r="O364" i="2" s="1"/>
  <c r="O365" i="2" s="1"/>
  <c r="O366" i="2" s="1"/>
  <c r="O367" i="2" s="1"/>
  <c r="O368" i="2" s="1"/>
  <c r="O369" i="2" s="1"/>
  <c r="O370" i="2" s="1"/>
  <c r="O371" i="2" s="1"/>
  <c r="O372" i="2" s="1"/>
  <c r="O373" i="2" s="1"/>
  <c r="O374" i="2" s="1"/>
  <c r="P361" i="2"/>
  <c r="S361" i="2" s="1"/>
  <c r="W361" i="2" s="1"/>
  <c r="P360" i="2"/>
  <c r="P359" i="2"/>
  <c r="P358" i="2"/>
  <c r="P357" i="2"/>
  <c r="S357" i="2" s="1"/>
  <c r="W357" i="2" s="1"/>
  <c r="P356" i="2"/>
  <c r="S356" i="2" s="1"/>
  <c r="W356" i="2" s="1"/>
  <c r="P354" i="2"/>
  <c r="P353" i="2"/>
  <c r="S353" i="2" s="1"/>
  <c r="W353" i="2" s="1"/>
  <c r="P352" i="2"/>
  <c r="P351" i="2"/>
  <c r="P350" i="2"/>
  <c r="P349" i="2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P344" i="2"/>
  <c r="U343" i="2"/>
  <c r="P343" i="2"/>
  <c r="S343" i="2" s="1"/>
  <c r="W343" i="2" s="1"/>
  <c r="P342" i="2"/>
  <c r="S342" i="2"/>
  <c r="W342" i="2" s="1"/>
  <c r="O343" i="2"/>
  <c r="O344" i="2"/>
  <c r="S344" i="2"/>
  <c r="O346" i="2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S349" i="2"/>
  <c r="W349" i="2" s="1"/>
  <c r="S350" i="2"/>
  <c r="W350" i="2" s="1"/>
  <c r="S351" i="2"/>
  <c r="W351" i="2"/>
  <c r="S352" i="2"/>
  <c r="W352" i="2"/>
  <c r="S354" i="2"/>
  <c r="W354" i="2" s="1"/>
  <c r="S355" i="2"/>
  <c r="W355" i="2"/>
  <c r="S358" i="2"/>
  <c r="W358" i="2" s="1"/>
  <c r="S359" i="2"/>
  <c r="W359" i="2" s="1"/>
  <c r="S360" i="2"/>
  <c r="W360" i="2"/>
  <c r="S363" i="2"/>
  <c r="W363" i="2"/>
  <c r="S364" i="2"/>
  <c r="W364" i="2" s="1"/>
  <c r="S367" i="2"/>
  <c r="W367" i="2" s="1"/>
  <c r="S369" i="2"/>
  <c r="W369" i="2" s="1"/>
  <c r="S370" i="2"/>
  <c r="W370" i="2"/>
  <c r="S371" i="2"/>
  <c r="W371" i="2" s="1"/>
  <c r="S372" i="2"/>
  <c r="W372" i="2" s="1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/>
  <c r="W381" i="2"/>
  <c r="S382" i="2"/>
  <c r="W382" i="2" s="1"/>
  <c r="W383" i="2"/>
  <c r="Q385" i="2"/>
  <c r="R385" i="2"/>
  <c r="U385" i="2"/>
  <c r="V385" i="2"/>
  <c r="D354" i="2"/>
  <c r="G354" i="2" s="1"/>
  <c r="K354" i="2" s="1"/>
  <c r="D353" i="2"/>
  <c r="D352" i="2"/>
  <c r="G352" i="2" s="1"/>
  <c r="K352" i="2" s="1"/>
  <c r="D351" i="2"/>
  <c r="G351" i="2" s="1"/>
  <c r="K351" i="2" s="1"/>
  <c r="D350" i="2"/>
  <c r="G350" i="2" s="1"/>
  <c r="K350" i="2" s="1"/>
  <c r="D349" i="2"/>
  <c r="G349" i="2" s="1"/>
  <c r="K349" i="2" s="1"/>
  <c r="D348" i="2"/>
  <c r="G348" i="2" s="1"/>
  <c r="K348" i="2" s="1"/>
  <c r="D347" i="2"/>
  <c r="G347" i="2" s="1"/>
  <c r="K347" i="2" s="1"/>
  <c r="D346" i="2"/>
  <c r="G346" i="2" s="1"/>
  <c r="K346" i="2" s="1"/>
  <c r="I345" i="2"/>
  <c r="I385" i="2" s="1"/>
  <c r="D345" i="2"/>
  <c r="G345" i="2" s="1"/>
  <c r="K345" i="2" s="1"/>
  <c r="D344" i="2"/>
  <c r="D342" i="2"/>
  <c r="C344" i="2"/>
  <c r="C345" i="2" s="1"/>
  <c r="C346" i="2" s="1"/>
  <c r="C347" i="2" s="1"/>
  <c r="C348" i="2" s="1"/>
  <c r="C349" i="2" s="1"/>
  <c r="C350" i="2" s="1"/>
  <c r="C351" i="2" s="1"/>
  <c r="C352" i="2" s="1"/>
  <c r="C353" i="2" s="1"/>
  <c r="C354" i="2" s="1"/>
  <c r="G344" i="2"/>
  <c r="G343" i="2"/>
  <c r="K343" i="2" s="1"/>
  <c r="G342" i="2"/>
  <c r="K342" i="2" s="1"/>
  <c r="C343" i="2"/>
  <c r="J385" i="2"/>
  <c r="G353" i="2"/>
  <c r="K353" i="2"/>
  <c r="G355" i="2"/>
  <c r="K355" i="2"/>
  <c r="G356" i="2"/>
  <c r="K356" i="2" s="1"/>
  <c r="G357" i="2"/>
  <c r="K357" i="2"/>
  <c r="G358" i="2"/>
  <c r="K358" i="2"/>
  <c r="G359" i="2"/>
  <c r="K359" i="2"/>
  <c r="G360" i="2"/>
  <c r="K360" i="2"/>
  <c r="G361" i="2"/>
  <c r="K361" i="2"/>
  <c r="G362" i="2"/>
  <c r="K362" i="2"/>
  <c r="G363" i="2"/>
  <c r="K363" i="2"/>
  <c r="G364" i="2"/>
  <c r="K364" i="2" s="1"/>
  <c r="G365" i="2"/>
  <c r="K365" i="2"/>
  <c r="G366" i="2"/>
  <c r="K366" i="2"/>
  <c r="G367" i="2"/>
  <c r="K367" i="2"/>
  <c r="G368" i="2"/>
  <c r="K368" i="2"/>
  <c r="G369" i="2"/>
  <c r="K369" i="2"/>
  <c r="G370" i="2"/>
  <c r="K370" i="2"/>
  <c r="G371" i="2"/>
  <c r="K371" i="2"/>
  <c r="G372" i="2"/>
  <c r="K372" i="2" s="1"/>
  <c r="G373" i="2"/>
  <c r="K373" i="2"/>
  <c r="G374" i="2"/>
  <c r="K374" i="2"/>
  <c r="G375" i="2"/>
  <c r="K375" i="2"/>
  <c r="G382" i="2"/>
  <c r="K382" i="2"/>
  <c r="E385" i="2"/>
  <c r="F385" i="2"/>
  <c r="AB385" i="2" l="1"/>
  <c r="AE343" i="2"/>
  <c r="AI343" i="2" s="1"/>
  <c r="AE385" i="2"/>
  <c r="AI345" i="2"/>
  <c r="AI385" i="2" s="1"/>
  <c r="P385" i="2"/>
  <c r="S385" i="2"/>
  <c r="W344" i="2"/>
  <c r="W385" i="2" s="1"/>
  <c r="K344" i="2"/>
  <c r="G385" i="2"/>
  <c r="K385" i="2"/>
  <c r="D385" i="2"/>
  <c r="AB291" i="2"/>
  <c r="AB290" i="2"/>
  <c r="AG289" i="2"/>
  <c r="AB289" i="2"/>
  <c r="AB288" i="2"/>
  <c r="AB287" i="2"/>
  <c r="AE287" i="2" l="1"/>
  <c r="AI287" i="2" s="1"/>
  <c r="AA288" i="2"/>
  <c r="AA289" i="2" s="1"/>
  <c r="AA290" i="2" s="1"/>
  <c r="AA291" i="2" s="1"/>
  <c r="AE288" i="2"/>
  <c r="AI288" i="2" s="1"/>
  <c r="AE289" i="2"/>
  <c r="AI289" i="2"/>
  <c r="AB330" i="2"/>
  <c r="AE290" i="2"/>
  <c r="AI290" i="2" s="1"/>
  <c r="AE291" i="2"/>
  <c r="AI291" i="2" s="1"/>
  <c r="AE292" i="2"/>
  <c r="AI292" i="2" s="1"/>
  <c r="AE293" i="2"/>
  <c r="AI293" i="2"/>
  <c r="AE294" i="2"/>
  <c r="AI294" i="2" s="1"/>
  <c r="AE295" i="2"/>
  <c r="AI295" i="2"/>
  <c r="AE296" i="2"/>
  <c r="AI296" i="2"/>
  <c r="AE297" i="2"/>
  <c r="AI297" i="2" s="1"/>
  <c r="AE298" i="2"/>
  <c r="AI298" i="2" s="1"/>
  <c r="AE299" i="2"/>
  <c r="AI299" i="2"/>
  <c r="AE300" i="2"/>
  <c r="AI300" i="2" s="1"/>
  <c r="AE301" i="2"/>
  <c r="AI301" i="2"/>
  <c r="AE302" i="2"/>
  <c r="AI302" i="2" s="1"/>
  <c r="AE303" i="2"/>
  <c r="AI303" i="2"/>
  <c r="AE304" i="2"/>
  <c r="AI304" i="2"/>
  <c r="AE305" i="2"/>
  <c r="AI305" i="2"/>
  <c r="AE306" i="2"/>
  <c r="AI306" i="2" s="1"/>
  <c r="AE307" i="2"/>
  <c r="AI307" i="2" s="1"/>
  <c r="AE308" i="2"/>
  <c r="AI308" i="2" s="1"/>
  <c r="AE309" i="2"/>
  <c r="AI309" i="2"/>
  <c r="AE310" i="2"/>
  <c r="AI310" i="2" s="1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 s="1"/>
  <c r="AE317" i="2"/>
  <c r="AI317" i="2"/>
  <c r="AE318" i="2"/>
  <c r="AI318" i="2" s="1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 s="1"/>
  <c r="AE325" i="2"/>
  <c r="AI325" i="2"/>
  <c r="AI326" i="2"/>
  <c r="AE327" i="2"/>
  <c r="AI327" i="2"/>
  <c r="AI328" i="2"/>
  <c r="AC330" i="2"/>
  <c r="AD330" i="2"/>
  <c r="AG330" i="2"/>
  <c r="AH330" i="2"/>
  <c r="P295" i="2"/>
  <c r="S295" i="2" s="1"/>
  <c r="W295" i="2" s="1"/>
  <c r="P294" i="2"/>
  <c r="P293" i="2"/>
  <c r="V292" i="2"/>
  <c r="P292" i="2"/>
  <c r="P291" i="2"/>
  <c r="P290" i="2"/>
  <c r="P289" i="2"/>
  <c r="P288" i="2"/>
  <c r="P287" i="2"/>
  <c r="S287" i="2" s="1"/>
  <c r="V330" i="2"/>
  <c r="R330" i="2"/>
  <c r="Q330" i="2"/>
  <c r="W328" i="2"/>
  <c r="W327" i="2"/>
  <c r="S327" i="2"/>
  <c r="W326" i="2"/>
  <c r="W325" i="2"/>
  <c r="S325" i="2"/>
  <c r="W324" i="2"/>
  <c r="S324" i="2"/>
  <c r="S323" i="2"/>
  <c r="W323" i="2" s="1"/>
  <c r="S322" i="2"/>
  <c r="W322" i="2" s="1"/>
  <c r="S321" i="2"/>
  <c r="W321" i="2" s="1"/>
  <c r="S320" i="2"/>
  <c r="W320" i="2" s="1"/>
  <c r="S319" i="2"/>
  <c r="W319" i="2" s="1"/>
  <c r="S318" i="2"/>
  <c r="W318" i="2" s="1"/>
  <c r="W317" i="2"/>
  <c r="S317" i="2"/>
  <c r="W316" i="2"/>
  <c r="S316" i="2"/>
  <c r="S315" i="2"/>
  <c r="W315" i="2" s="1"/>
  <c r="S314" i="2"/>
  <c r="W314" i="2" s="1"/>
  <c r="S313" i="2"/>
  <c r="W313" i="2" s="1"/>
  <c r="S312" i="2"/>
  <c r="W312" i="2" s="1"/>
  <c r="S311" i="2"/>
  <c r="W311" i="2" s="1"/>
  <c r="S310" i="2"/>
  <c r="W310" i="2" s="1"/>
  <c r="W309" i="2"/>
  <c r="S309" i="2"/>
  <c r="W308" i="2"/>
  <c r="S308" i="2"/>
  <c r="S307" i="2"/>
  <c r="W307" i="2" s="1"/>
  <c r="S306" i="2"/>
  <c r="W306" i="2" s="1"/>
  <c r="S305" i="2"/>
  <c r="W305" i="2" s="1"/>
  <c r="S304" i="2"/>
  <c r="W304" i="2" s="1"/>
  <c r="S303" i="2"/>
  <c r="W303" i="2" s="1"/>
  <c r="S302" i="2"/>
  <c r="W302" i="2" s="1"/>
  <c r="S301" i="2"/>
  <c r="W301" i="2" s="1"/>
  <c r="W300" i="2"/>
  <c r="S300" i="2"/>
  <c r="S299" i="2"/>
  <c r="W299" i="2" s="1"/>
  <c r="S298" i="2"/>
  <c r="W298" i="2" s="1"/>
  <c r="S297" i="2"/>
  <c r="W297" i="2" s="1"/>
  <c r="S296" i="2"/>
  <c r="W296" i="2" s="1"/>
  <c r="U330" i="2"/>
  <c r="S294" i="2"/>
  <c r="W294" i="2" s="1"/>
  <c r="S293" i="2"/>
  <c r="W293" i="2" s="1"/>
  <c r="S292" i="2"/>
  <c r="W292" i="2" s="1"/>
  <c r="S291" i="2"/>
  <c r="W291" i="2" s="1"/>
  <c r="S290" i="2"/>
  <c r="W290" i="2" s="1"/>
  <c r="S289" i="2"/>
  <c r="W289" i="2" s="1"/>
  <c r="S288" i="2"/>
  <c r="W288" i="2" s="1"/>
  <c r="O288" i="2"/>
  <c r="O289" i="2" s="1"/>
  <c r="O290" i="2" s="1"/>
  <c r="O291" i="2" s="1"/>
  <c r="O292" i="2" s="1"/>
  <c r="O293" i="2" s="1"/>
  <c r="O294" i="2" s="1"/>
  <c r="O295" i="2" s="1"/>
  <c r="G290" i="2"/>
  <c r="K290" i="2" s="1"/>
  <c r="D289" i="2"/>
  <c r="G289" i="2" s="1"/>
  <c r="K289" i="2" s="1"/>
  <c r="J288" i="2"/>
  <c r="I288" i="2"/>
  <c r="D288" i="2"/>
  <c r="G288" i="2" s="1"/>
  <c r="K288" i="2" s="1"/>
  <c r="D287" i="2"/>
  <c r="G287" i="2"/>
  <c r="C288" i="2"/>
  <c r="C289" i="2" s="1"/>
  <c r="G291" i="2"/>
  <c r="K291" i="2" s="1"/>
  <c r="G292" i="2"/>
  <c r="K292" i="2" s="1"/>
  <c r="G293" i="2"/>
  <c r="K293" i="2" s="1"/>
  <c r="G294" i="2"/>
  <c r="K294" i="2"/>
  <c r="G295" i="2"/>
  <c r="K295" i="2" s="1"/>
  <c r="G296" i="2"/>
  <c r="K296" i="2"/>
  <c r="G297" i="2"/>
  <c r="K297" i="2" s="1"/>
  <c r="G298" i="2"/>
  <c r="K298" i="2"/>
  <c r="G299" i="2"/>
  <c r="K299" i="2" s="1"/>
  <c r="G300" i="2"/>
  <c r="K300" i="2"/>
  <c r="G301" i="2"/>
  <c r="K301" i="2" s="1"/>
  <c r="G302" i="2"/>
  <c r="K302" i="2"/>
  <c r="G303" i="2"/>
  <c r="K303" i="2" s="1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 s="1"/>
  <c r="G311" i="2"/>
  <c r="K311" i="2" s="1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 s="1"/>
  <c r="G319" i="2"/>
  <c r="K319" i="2" s="1"/>
  <c r="G320" i="2"/>
  <c r="K320" i="2"/>
  <c r="G327" i="2"/>
  <c r="K327" i="2"/>
  <c r="E330" i="2"/>
  <c r="F330" i="2"/>
  <c r="I330" i="2"/>
  <c r="J330" i="2"/>
  <c r="AI330" i="2" l="1"/>
  <c r="AE330" i="2"/>
  <c r="P330" i="2"/>
  <c r="S330" i="2"/>
  <c r="W287" i="2"/>
  <c r="W330" i="2" s="1"/>
  <c r="D330" i="2"/>
  <c r="K287" i="2"/>
  <c r="K330" i="2" s="1"/>
  <c r="G330" i="2"/>
  <c r="AB236" i="2"/>
  <c r="AE236" i="2" s="1"/>
  <c r="AI236" i="2" s="1"/>
  <c r="AB235" i="2"/>
  <c r="AB234" i="2"/>
  <c r="AB233" i="2"/>
  <c r="AE233" i="2" s="1"/>
  <c r="AB232" i="2"/>
  <c r="AA233" i="2"/>
  <c r="AA234" i="2" s="1"/>
  <c r="AA235" i="2" s="1"/>
  <c r="AA236" i="2" s="1"/>
  <c r="AE234" i="2"/>
  <c r="AI234" i="2"/>
  <c r="AE237" i="2"/>
  <c r="AI237" i="2" s="1"/>
  <c r="AE238" i="2"/>
  <c r="AI238" i="2" s="1"/>
  <c r="AE239" i="2"/>
  <c r="AI239" i="2" s="1"/>
  <c r="AE240" i="2"/>
  <c r="AI240" i="2"/>
  <c r="AE241" i="2"/>
  <c r="AI241" i="2" s="1"/>
  <c r="AE242" i="2"/>
  <c r="AI242" i="2"/>
  <c r="AE243" i="2"/>
  <c r="AI243" i="2" s="1"/>
  <c r="AE244" i="2"/>
  <c r="AI244" i="2"/>
  <c r="AE245" i="2"/>
  <c r="AI245" i="2"/>
  <c r="AE246" i="2"/>
  <c r="AI246" i="2" s="1"/>
  <c r="AE247" i="2"/>
  <c r="AI247" i="2" s="1"/>
  <c r="AE248" i="2"/>
  <c r="AI248" i="2"/>
  <c r="AE249" i="2"/>
  <c r="AI249" i="2"/>
  <c r="AE250" i="2"/>
  <c r="AI250" i="2" s="1"/>
  <c r="AE251" i="2"/>
  <c r="AI251" i="2" s="1"/>
  <c r="AE252" i="2"/>
  <c r="AI252" i="2"/>
  <c r="AE253" i="2"/>
  <c r="AI253" i="2"/>
  <c r="AE254" i="2"/>
  <c r="AI254" i="2"/>
  <c r="AE255" i="2"/>
  <c r="AI255" i="2" s="1"/>
  <c r="AE256" i="2"/>
  <c r="AI256" i="2"/>
  <c r="AE257" i="2"/>
  <c r="AI257" i="2"/>
  <c r="AE258" i="2"/>
  <c r="AI258" i="2"/>
  <c r="AE259" i="2"/>
  <c r="AI259" i="2" s="1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 s="1"/>
  <c r="AE268" i="2"/>
  <c r="AI268" i="2"/>
  <c r="AE269" i="2"/>
  <c r="AI269" i="2"/>
  <c r="AE270" i="2"/>
  <c r="AI270" i="2"/>
  <c r="AI271" i="2"/>
  <c r="AE272" i="2"/>
  <c r="AI272" i="2"/>
  <c r="AI273" i="2"/>
  <c r="AC275" i="2"/>
  <c r="AD275" i="2"/>
  <c r="AG275" i="2"/>
  <c r="AH275" i="2"/>
  <c r="D248" i="2"/>
  <c r="G248" i="2"/>
  <c r="K248" i="2" s="1"/>
  <c r="D247" i="2"/>
  <c r="G247" i="2" s="1"/>
  <c r="K247" i="2" s="1"/>
  <c r="D246" i="2"/>
  <c r="D245" i="2"/>
  <c r="G245" i="2" s="1"/>
  <c r="K245" i="2" s="1"/>
  <c r="D244" i="2"/>
  <c r="D243" i="2"/>
  <c r="D242" i="2"/>
  <c r="D241" i="2"/>
  <c r="D240" i="2"/>
  <c r="G240" i="2" s="1"/>
  <c r="K240" i="2" s="1"/>
  <c r="D239" i="2"/>
  <c r="G239" i="2" s="1"/>
  <c r="K239" i="2" s="1"/>
  <c r="D238" i="2"/>
  <c r="G238" i="2" s="1"/>
  <c r="K238" i="2" s="1"/>
  <c r="D237" i="2"/>
  <c r="G237" i="2" s="1"/>
  <c r="K237" i="2" s="1"/>
  <c r="D236" i="2"/>
  <c r="D235" i="2"/>
  <c r="D234" i="2"/>
  <c r="D233" i="2"/>
  <c r="G233" i="2" s="1"/>
  <c r="K233" i="2" s="1"/>
  <c r="D232" i="2"/>
  <c r="C233" i="2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G234" i="2"/>
  <c r="K234" i="2" s="1"/>
  <c r="G235" i="2"/>
  <c r="K235" i="2" s="1"/>
  <c r="I275" i="2"/>
  <c r="G236" i="2"/>
  <c r="K236" i="2" s="1"/>
  <c r="G241" i="2"/>
  <c r="K241" i="2" s="1"/>
  <c r="G242" i="2"/>
  <c r="K242" i="2" s="1"/>
  <c r="G243" i="2"/>
  <c r="K243" i="2"/>
  <c r="G244" i="2"/>
  <c r="K244" i="2" s="1"/>
  <c r="G246" i="2"/>
  <c r="K246" i="2" s="1"/>
  <c r="G249" i="2"/>
  <c r="K249" i="2" s="1"/>
  <c r="G250" i="2"/>
  <c r="K250" i="2" s="1"/>
  <c r="G251" i="2"/>
  <c r="K251" i="2" s="1"/>
  <c r="G252" i="2"/>
  <c r="K252" i="2"/>
  <c r="G253" i="2"/>
  <c r="K253" i="2"/>
  <c r="G254" i="2"/>
  <c r="K254" i="2"/>
  <c r="G255" i="2"/>
  <c r="K255" i="2"/>
  <c r="G256" i="2"/>
  <c r="K256" i="2"/>
  <c r="G257" i="2"/>
  <c r="K257" i="2" s="1"/>
  <c r="G258" i="2"/>
  <c r="K258" i="2" s="1"/>
  <c r="G259" i="2"/>
  <c r="K259" i="2"/>
  <c r="G260" i="2"/>
  <c r="K260" i="2"/>
  <c r="G261" i="2"/>
  <c r="K261" i="2"/>
  <c r="G262" i="2"/>
  <c r="K262" i="2"/>
  <c r="G263" i="2"/>
  <c r="K263" i="2"/>
  <c r="G264" i="2"/>
  <c r="K264" i="2"/>
  <c r="G265" i="2"/>
  <c r="K265" i="2" s="1"/>
  <c r="G272" i="2"/>
  <c r="K272" i="2" s="1"/>
  <c r="E275" i="2"/>
  <c r="F275" i="2"/>
  <c r="J275" i="2"/>
  <c r="AB275" i="2" l="1"/>
  <c r="AE232" i="2"/>
  <c r="AI232" i="2" s="1"/>
  <c r="AI233" i="2"/>
  <c r="AE235" i="2"/>
  <c r="AI235" i="2" s="1"/>
  <c r="D275" i="2"/>
  <c r="G232" i="2"/>
  <c r="AB181" i="2"/>
  <c r="AB180" i="2"/>
  <c r="AB179" i="2"/>
  <c r="AB178" i="2"/>
  <c r="AB177" i="2"/>
  <c r="AB220" i="2"/>
  <c r="AA178" i="2"/>
  <c r="AA179" i="2" s="1"/>
  <c r="AA180" i="2" s="1"/>
  <c r="AA181" i="2" s="1"/>
  <c r="AE178" i="2"/>
  <c r="AI178" i="2" s="1"/>
  <c r="AE179" i="2"/>
  <c r="AI179" i="2" s="1"/>
  <c r="AE180" i="2"/>
  <c r="AI180" i="2" s="1"/>
  <c r="AE181" i="2"/>
  <c r="AI181" i="2" s="1"/>
  <c r="AE182" i="2"/>
  <c r="AI182" i="2" s="1"/>
  <c r="AE183" i="2"/>
  <c r="AI183" i="2"/>
  <c r="AE184" i="2"/>
  <c r="AI184" i="2" s="1"/>
  <c r="AE185" i="2"/>
  <c r="AI185" i="2" s="1"/>
  <c r="AE186" i="2"/>
  <c r="AI186" i="2"/>
  <c r="AE187" i="2"/>
  <c r="AI187" i="2"/>
  <c r="AE188" i="2"/>
  <c r="AI188" i="2" s="1"/>
  <c r="AE189" i="2"/>
  <c r="AI189" i="2" s="1"/>
  <c r="AE190" i="2"/>
  <c r="AI190" i="2"/>
  <c r="AE191" i="2"/>
  <c r="AI191" i="2"/>
  <c r="AE192" i="2"/>
  <c r="AI192" i="2"/>
  <c r="AE193" i="2"/>
  <c r="AI193" i="2"/>
  <c r="AE194" i="2"/>
  <c r="AI194" i="2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/>
  <c r="AE211" i="2"/>
  <c r="AI211" i="2"/>
  <c r="AE212" i="2"/>
  <c r="AI212" i="2"/>
  <c r="AE213" i="2"/>
  <c r="AI213" i="2"/>
  <c r="AE214" i="2"/>
  <c r="AI214" i="2"/>
  <c r="AE215" i="2"/>
  <c r="AI215" i="2"/>
  <c r="AI216" i="2"/>
  <c r="AE217" i="2"/>
  <c r="AI217" i="2" s="1"/>
  <c r="AI218" i="2"/>
  <c r="AC220" i="2"/>
  <c r="AD220" i="2"/>
  <c r="AG220" i="2"/>
  <c r="AH220" i="2"/>
  <c r="P188" i="2"/>
  <c r="S188" i="2" s="1"/>
  <c r="W188" i="2" s="1"/>
  <c r="P187" i="2"/>
  <c r="S187" i="2" s="1"/>
  <c r="W187" i="2" s="1"/>
  <c r="P186" i="2"/>
  <c r="P185" i="2"/>
  <c r="S185" i="2" s="1"/>
  <c r="W185" i="2" s="1"/>
  <c r="U184" i="2"/>
  <c r="W184" i="2" s="1"/>
  <c r="P184" i="2"/>
  <c r="P183" i="2"/>
  <c r="P182" i="2"/>
  <c r="S182" i="2" s="1"/>
  <c r="W182" i="2" s="1"/>
  <c r="P181" i="2"/>
  <c r="P180" i="2"/>
  <c r="P179" i="2"/>
  <c r="P178" i="2"/>
  <c r="P177" i="2"/>
  <c r="S177" i="2"/>
  <c r="W177" i="2" s="1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S178" i="2"/>
  <c r="W178" i="2" s="1"/>
  <c r="S179" i="2"/>
  <c r="S180" i="2"/>
  <c r="W180" i="2" s="1"/>
  <c r="S181" i="2"/>
  <c r="W181" i="2"/>
  <c r="S183" i="2"/>
  <c r="W183" i="2" s="1"/>
  <c r="S184" i="2"/>
  <c r="S186" i="2"/>
  <c r="W186" i="2" s="1"/>
  <c r="S189" i="2"/>
  <c r="W189" i="2" s="1"/>
  <c r="S190" i="2"/>
  <c r="W190" i="2"/>
  <c r="S191" i="2"/>
  <c r="W191" i="2"/>
  <c r="S192" i="2"/>
  <c r="W192" i="2"/>
  <c r="S193" i="2"/>
  <c r="W193" i="2" s="1"/>
  <c r="S194" i="2"/>
  <c r="W194" i="2" s="1"/>
  <c r="S195" i="2"/>
  <c r="W195" i="2" s="1"/>
  <c r="S196" i="2"/>
  <c r="W196" i="2" s="1"/>
  <c r="S197" i="2"/>
  <c r="W197" i="2"/>
  <c r="S198" i="2"/>
  <c r="W198" i="2"/>
  <c r="S199" i="2"/>
  <c r="W199" i="2"/>
  <c r="S200" i="2"/>
  <c r="W200" i="2"/>
  <c r="S201" i="2"/>
  <c r="W201" i="2"/>
  <c r="S202" i="2"/>
  <c r="W202" i="2" s="1"/>
  <c r="S203" i="2"/>
  <c r="W203" i="2"/>
  <c r="S204" i="2"/>
  <c r="W204" i="2" s="1"/>
  <c r="S205" i="2"/>
  <c r="W205" i="2"/>
  <c r="S206" i="2"/>
  <c r="W206" i="2"/>
  <c r="S207" i="2"/>
  <c r="W207" i="2"/>
  <c r="S208" i="2"/>
  <c r="W208" i="2"/>
  <c r="S209" i="2"/>
  <c r="W209" i="2"/>
  <c r="S210" i="2"/>
  <c r="W210" i="2" s="1"/>
  <c r="S211" i="2"/>
  <c r="W211" i="2"/>
  <c r="S212" i="2"/>
  <c r="W212" i="2" s="1"/>
  <c r="S213" i="2"/>
  <c r="W213" i="2"/>
  <c r="S214" i="2"/>
  <c r="W214" i="2"/>
  <c r="S215" i="2"/>
  <c r="W215" i="2"/>
  <c r="W216" i="2"/>
  <c r="S217" i="2"/>
  <c r="W217" i="2"/>
  <c r="W218" i="2"/>
  <c r="Q220" i="2"/>
  <c r="R220" i="2"/>
  <c r="V220" i="2"/>
  <c r="D185" i="2"/>
  <c r="G185" i="2" s="1"/>
  <c r="K185" i="2" s="1"/>
  <c r="D184" i="2"/>
  <c r="G184" i="2" s="1"/>
  <c r="K184" i="2" s="1"/>
  <c r="D183" i="2"/>
  <c r="G183" i="2" s="1"/>
  <c r="K183" i="2" s="1"/>
  <c r="D182" i="2"/>
  <c r="D181" i="2"/>
  <c r="I180" i="2"/>
  <c r="I220" i="2" s="1"/>
  <c r="D180" i="2"/>
  <c r="G180" i="2" s="1"/>
  <c r="D179" i="2"/>
  <c r="D178" i="2"/>
  <c r="D177" i="2"/>
  <c r="G177" i="2" s="1"/>
  <c r="C178" i="2"/>
  <c r="C179" i="2" s="1"/>
  <c r="C180" i="2" s="1"/>
  <c r="C181" i="2" s="1"/>
  <c r="C182" i="2" s="1"/>
  <c r="C183" i="2" s="1"/>
  <c r="C184" i="2" s="1"/>
  <c r="C185" i="2" s="1"/>
  <c r="G179" i="2"/>
  <c r="K179" i="2" s="1"/>
  <c r="G181" i="2"/>
  <c r="K181" i="2" s="1"/>
  <c r="G182" i="2"/>
  <c r="K182" i="2" s="1"/>
  <c r="G186" i="2"/>
  <c r="K186" i="2"/>
  <c r="G187" i="2"/>
  <c r="K187" i="2" s="1"/>
  <c r="G188" i="2"/>
  <c r="K188" i="2" s="1"/>
  <c r="G189" i="2"/>
  <c r="K189" i="2" s="1"/>
  <c r="G190" i="2"/>
  <c r="K190" i="2"/>
  <c r="G191" i="2"/>
  <c r="K191" i="2" s="1"/>
  <c r="G192" i="2"/>
  <c r="K192" i="2" s="1"/>
  <c r="G193" i="2"/>
  <c r="K193" i="2" s="1"/>
  <c r="G194" i="2"/>
  <c r="K194" i="2"/>
  <c r="G195" i="2"/>
  <c r="K195" i="2" s="1"/>
  <c r="G196" i="2"/>
  <c r="K196" i="2" s="1"/>
  <c r="G197" i="2"/>
  <c r="K197" i="2" s="1"/>
  <c r="G198" i="2"/>
  <c r="K198" i="2"/>
  <c r="G199" i="2"/>
  <c r="K199" i="2" s="1"/>
  <c r="G200" i="2"/>
  <c r="K200" i="2" s="1"/>
  <c r="G201" i="2"/>
  <c r="K201" i="2"/>
  <c r="G202" i="2"/>
  <c r="K202" i="2"/>
  <c r="G203" i="2"/>
  <c r="K203" i="2"/>
  <c r="G204" i="2"/>
  <c r="K204" i="2"/>
  <c r="G205" i="2"/>
  <c r="K205" i="2" s="1"/>
  <c r="G206" i="2"/>
  <c r="K206" i="2" s="1"/>
  <c r="G207" i="2"/>
  <c r="K207" i="2"/>
  <c r="G208" i="2"/>
  <c r="K208" i="2" s="1"/>
  <c r="G209" i="2"/>
  <c r="K209" i="2"/>
  <c r="G210" i="2"/>
  <c r="K210" i="2"/>
  <c r="G217" i="2"/>
  <c r="K217" i="2"/>
  <c r="E220" i="2"/>
  <c r="F220" i="2"/>
  <c r="J220" i="2"/>
  <c r="AI275" i="2" l="1"/>
  <c r="AE275" i="2"/>
  <c r="K232" i="2"/>
  <c r="K275" i="2" s="1"/>
  <c r="G275" i="2"/>
  <c r="AE177" i="2"/>
  <c r="AI177" i="2" s="1"/>
  <c r="AI220" i="2" s="1"/>
  <c r="U220" i="2"/>
  <c r="P220" i="2"/>
  <c r="S220" i="2"/>
  <c r="W179" i="2"/>
  <c r="W220" i="2" s="1"/>
  <c r="K180" i="2"/>
  <c r="D220" i="2"/>
  <c r="K177" i="2"/>
  <c r="G178" i="2"/>
  <c r="K178" i="2" s="1"/>
  <c r="AG165" i="2"/>
  <c r="AB129" i="2"/>
  <c r="AE129" i="2" s="1"/>
  <c r="AI129" i="2" s="1"/>
  <c r="AB128" i="2"/>
  <c r="AE128" i="2" s="1"/>
  <c r="AI128" i="2" s="1"/>
  <c r="AB127" i="2"/>
  <c r="AB126" i="2"/>
  <c r="AE126" i="2" s="1"/>
  <c r="AI126" i="2" s="1"/>
  <c r="AB125" i="2"/>
  <c r="AB124" i="2"/>
  <c r="AB123" i="2"/>
  <c r="AB122" i="2"/>
  <c r="AE122" i="2"/>
  <c r="AA123" i="2"/>
  <c r="AE123" i="2"/>
  <c r="AI123" i="2" s="1"/>
  <c r="AA124" i="2"/>
  <c r="AA125" i="2" s="1"/>
  <c r="AA126" i="2" s="1"/>
  <c r="AA127" i="2" s="1"/>
  <c r="AA128" i="2" s="1"/>
  <c r="AA129" i="2" s="1"/>
  <c r="AA130" i="2" s="1"/>
  <c r="AE124" i="2"/>
  <c r="AI124" i="2" s="1"/>
  <c r="AE125" i="2"/>
  <c r="AI125" i="2" s="1"/>
  <c r="AE127" i="2"/>
  <c r="AI127" i="2" s="1"/>
  <c r="AE130" i="2"/>
  <c r="AE131" i="2"/>
  <c r="AI131" i="2"/>
  <c r="AE132" i="2"/>
  <c r="AI132" i="2" s="1"/>
  <c r="AE133" i="2"/>
  <c r="AI133" i="2" s="1"/>
  <c r="AE134" i="2"/>
  <c r="AI134" i="2"/>
  <c r="AE135" i="2"/>
  <c r="AI135" i="2"/>
  <c r="AE136" i="2"/>
  <c r="AI136" i="2" s="1"/>
  <c r="AE137" i="2"/>
  <c r="AI137" i="2"/>
  <c r="AE138" i="2"/>
  <c r="AI138" i="2"/>
  <c r="AE139" i="2"/>
  <c r="AI139" i="2"/>
  <c r="AE140" i="2"/>
  <c r="AI140" i="2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/>
  <c r="AE147" i="2"/>
  <c r="AI147" i="2"/>
  <c r="AE148" i="2"/>
  <c r="AI148" i="2"/>
  <c r="AE149" i="2"/>
  <c r="AI149" i="2"/>
  <c r="AE150" i="2"/>
  <c r="AI150" i="2"/>
  <c r="AE151" i="2"/>
  <c r="AI151" i="2"/>
  <c r="AE152" i="2"/>
  <c r="AI152" i="2" s="1"/>
  <c r="AE153" i="2"/>
  <c r="AI153" i="2"/>
  <c r="AE154" i="2"/>
  <c r="AI154" i="2"/>
  <c r="AE155" i="2"/>
  <c r="AI155" i="2"/>
  <c r="AE156" i="2"/>
  <c r="AI156" i="2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U127" i="2"/>
  <c r="P127" i="2"/>
  <c r="U126" i="2"/>
  <c r="U165" i="2" s="1"/>
  <c r="P126" i="2"/>
  <c r="P125" i="2"/>
  <c r="S125" i="2" s="1"/>
  <c r="W125" i="2" s="1"/>
  <c r="P124" i="2"/>
  <c r="S124" i="2" s="1"/>
  <c r="W124" i="2" s="1"/>
  <c r="P123" i="2"/>
  <c r="P122" i="2"/>
  <c r="S122" i="2" s="1"/>
  <c r="W122" i="2" s="1"/>
  <c r="O123" i="2"/>
  <c r="S123" i="2"/>
  <c r="W123" i="2" s="1"/>
  <c r="O124" i="2"/>
  <c r="O125" i="2" s="1"/>
  <c r="O126" i="2" s="1"/>
  <c r="O127" i="2" s="1"/>
  <c r="S126" i="2"/>
  <c r="S127" i="2"/>
  <c r="W127" i="2" s="1"/>
  <c r="S128" i="2"/>
  <c r="W128" i="2" s="1"/>
  <c r="S129" i="2"/>
  <c r="W129" i="2" s="1"/>
  <c r="S130" i="2"/>
  <c r="W130" i="2" s="1"/>
  <c r="S131" i="2"/>
  <c r="W131" i="2" s="1"/>
  <c r="S132" i="2"/>
  <c r="W132" i="2" s="1"/>
  <c r="S133" i="2"/>
  <c r="W133" i="2"/>
  <c r="S134" i="2"/>
  <c r="W134" i="2" s="1"/>
  <c r="S135" i="2"/>
  <c r="W135" i="2" s="1"/>
  <c r="S136" i="2"/>
  <c r="W136" i="2" s="1"/>
  <c r="S137" i="2"/>
  <c r="W137" i="2" s="1"/>
  <c r="S138" i="2"/>
  <c r="W138" i="2" s="1"/>
  <c r="S139" i="2"/>
  <c r="W139" i="2" s="1"/>
  <c r="S140" i="2"/>
  <c r="W140" i="2" s="1"/>
  <c r="S141" i="2"/>
  <c r="W141" i="2" s="1"/>
  <c r="S142" i="2"/>
  <c r="W142" i="2" s="1"/>
  <c r="S143" i="2"/>
  <c r="W143" i="2"/>
  <c r="S144" i="2"/>
  <c r="W144" i="2"/>
  <c r="S145" i="2"/>
  <c r="W145" i="2" s="1"/>
  <c r="S146" i="2"/>
  <c r="W146" i="2" s="1"/>
  <c r="S147" i="2"/>
  <c r="W147" i="2"/>
  <c r="S148" i="2"/>
  <c r="W148" i="2"/>
  <c r="S149" i="2"/>
  <c r="W149" i="2"/>
  <c r="S150" i="2"/>
  <c r="W150" i="2" s="1"/>
  <c r="S151" i="2"/>
  <c r="W151" i="2"/>
  <c r="S152" i="2"/>
  <c r="W152" i="2"/>
  <c r="S153" i="2"/>
  <c r="W153" i="2" s="1"/>
  <c r="S154" i="2"/>
  <c r="W154" i="2" s="1"/>
  <c r="S155" i="2"/>
  <c r="W155" i="2"/>
  <c r="S156" i="2"/>
  <c r="W156" i="2"/>
  <c r="S157" i="2"/>
  <c r="W157" i="2"/>
  <c r="S158" i="2"/>
  <c r="W158" i="2" s="1"/>
  <c r="S159" i="2"/>
  <c r="W159" i="2"/>
  <c r="S160" i="2"/>
  <c r="W160" i="2"/>
  <c r="W161" i="2"/>
  <c r="S162" i="2"/>
  <c r="W162" i="2"/>
  <c r="W163" i="2"/>
  <c r="Q165" i="2"/>
  <c r="R165" i="2"/>
  <c r="V165" i="2"/>
  <c r="D145" i="2"/>
  <c r="D144" i="2"/>
  <c r="G144" i="2" s="1"/>
  <c r="K144" i="2" s="1"/>
  <c r="D143" i="2"/>
  <c r="G143" i="2" s="1"/>
  <c r="K143" i="2" s="1"/>
  <c r="D142" i="2"/>
  <c r="D141" i="2"/>
  <c r="G141" i="2" s="1"/>
  <c r="K141" i="2" s="1"/>
  <c r="D140" i="2"/>
  <c r="G140" i="2" s="1"/>
  <c r="K140" i="2" s="1"/>
  <c r="D139" i="2"/>
  <c r="G139" i="2" s="1"/>
  <c r="K139" i="2" s="1"/>
  <c r="D138" i="2"/>
  <c r="G138" i="2" s="1"/>
  <c r="K138" i="2" s="1"/>
  <c r="D137" i="2"/>
  <c r="G137" i="2" s="1"/>
  <c r="K137" i="2" s="1"/>
  <c r="D136" i="2"/>
  <c r="D135" i="2"/>
  <c r="D134" i="2"/>
  <c r="G134" i="2" s="1"/>
  <c r="K134" i="2" s="1"/>
  <c r="D133" i="2"/>
  <c r="G133" i="2"/>
  <c r="K133" i="2" s="1"/>
  <c r="D132" i="2"/>
  <c r="D131" i="2"/>
  <c r="G131" i="2" s="1"/>
  <c r="K131" i="2" s="1"/>
  <c r="D130" i="2"/>
  <c r="G130" i="2" s="1"/>
  <c r="K130" i="2" s="1"/>
  <c r="D129" i="2"/>
  <c r="G129" i="2" s="1"/>
  <c r="K129" i="2" s="1"/>
  <c r="I128" i="2"/>
  <c r="I165" i="2" s="1"/>
  <c r="D128" i="2"/>
  <c r="G128" i="2" s="1"/>
  <c r="K128" i="2" s="1"/>
  <c r="D127" i="2"/>
  <c r="G127" i="2" s="1"/>
  <c r="K127" i="2" s="1"/>
  <c r="D126" i="2"/>
  <c r="G126" i="2" s="1"/>
  <c r="K126" i="2" s="1"/>
  <c r="D125" i="2"/>
  <c r="G125" i="2" s="1"/>
  <c r="K125" i="2" s="1"/>
  <c r="D124" i="2"/>
  <c r="G124" i="2" s="1"/>
  <c r="K124" i="2" s="1"/>
  <c r="D123" i="2"/>
  <c r="D122" i="2"/>
  <c r="C124" i="2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G122" i="2"/>
  <c r="J165" i="2"/>
  <c r="C123" i="2"/>
  <c r="G123" i="2"/>
  <c r="K123" i="2" s="1"/>
  <c r="G132" i="2"/>
  <c r="K132" i="2"/>
  <c r="G135" i="2"/>
  <c r="K135" i="2" s="1"/>
  <c r="G136" i="2"/>
  <c r="K136" i="2" s="1"/>
  <c r="G142" i="2"/>
  <c r="K142" i="2"/>
  <c r="G145" i="2"/>
  <c r="K145" i="2" s="1"/>
  <c r="G146" i="2"/>
  <c r="K146" i="2" s="1"/>
  <c r="G147" i="2"/>
  <c r="K147" i="2" s="1"/>
  <c r="G148" i="2"/>
  <c r="K148" i="2"/>
  <c r="G149" i="2"/>
  <c r="K149" i="2"/>
  <c r="G150" i="2"/>
  <c r="K150" i="2"/>
  <c r="G151" i="2"/>
  <c r="K151" i="2"/>
  <c r="G152" i="2"/>
  <c r="K152" i="2" s="1"/>
  <c r="G153" i="2"/>
  <c r="K153" i="2"/>
  <c r="G154" i="2"/>
  <c r="K154" i="2"/>
  <c r="G155" i="2"/>
  <c r="K155" i="2" s="1"/>
  <c r="G162" i="2"/>
  <c r="K162" i="2"/>
  <c r="E165" i="2"/>
  <c r="F165" i="2"/>
  <c r="AE220" i="2" l="1"/>
  <c r="G220" i="2"/>
  <c r="K220" i="2"/>
  <c r="AI130" i="2"/>
  <c r="AB165" i="2"/>
  <c r="AI122" i="2"/>
  <c r="AI165" i="2" s="1"/>
  <c r="AE165" i="2"/>
  <c r="W126" i="2"/>
  <c r="P165" i="2"/>
  <c r="W165" i="2"/>
  <c r="S165" i="2"/>
  <c r="K122" i="2"/>
  <c r="K165" i="2" s="1"/>
  <c r="G165" i="2"/>
  <c r="D165" i="2"/>
  <c r="J13" i="1"/>
  <c r="AB70" i="2"/>
  <c r="AE70" i="2" s="1"/>
  <c r="AI70" i="2" s="1"/>
  <c r="AA70" i="2"/>
  <c r="AB69" i="2"/>
  <c r="AB68" i="2"/>
  <c r="AE68" i="2" s="1"/>
  <c r="AI68" i="2" s="1"/>
  <c r="AH67" i="2"/>
  <c r="AH110" i="2" s="1"/>
  <c r="AB67" i="2"/>
  <c r="AE67" i="2"/>
  <c r="AI67" i="2" s="1"/>
  <c r="AA68" i="2"/>
  <c r="AA69" i="2" s="1"/>
  <c r="AE71" i="2"/>
  <c r="AI71" i="2" s="1"/>
  <c r="AE72" i="2"/>
  <c r="AI72" i="2"/>
  <c r="AE73" i="2"/>
  <c r="AI73" i="2"/>
  <c r="AE74" i="2"/>
  <c r="AI74" i="2"/>
  <c r="AE75" i="2"/>
  <c r="AI75" i="2"/>
  <c r="AE76" i="2"/>
  <c r="AI76" i="2"/>
  <c r="AE77" i="2"/>
  <c r="AI77" i="2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V69" i="2"/>
  <c r="V110" i="2"/>
  <c r="P69" i="2"/>
  <c r="S69" i="2" s="1"/>
  <c r="U68" i="2"/>
  <c r="U110" i="2" s="1"/>
  <c r="P68" i="2"/>
  <c r="P67" i="2"/>
  <c r="S67" i="2" s="1"/>
  <c r="O68" i="2"/>
  <c r="O69" i="2" s="1"/>
  <c r="S68" i="2"/>
  <c r="S70" i="2"/>
  <c r="W70" i="2" s="1"/>
  <c r="S71" i="2"/>
  <c r="W71" i="2"/>
  <c r="S72" i="2"/>
  <c r="W72" i="2" s="1"/>
  <c r="S73" i="2"/>
  <c r="W73" i="2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/>
  <c r="S87" i="2"/>
  <c r="W87" i="2"/>
  <c r="S88" i="2"/>
  <c r="W88" i="2" s="1"/>
  <c r="S89" i="2"/>
  <c r="W89" i="2"/>
  <c r="S90" i="2"/>
  <c r="W90" i="2" s="1"/>
  <c r="S91" i="2"/>
  <c r="W91" i="2"/>
  <c r="S92" i="2"/>
  <c r="W92" i="2"/>
  <c r="S93" i="2"/>
  <c r="W93" i="2"/>
  <c r="S94" i="2"/>
  <c r="W94" i="2"/>
  <c r="S95" i="2"/>
  <c r="W95" i="2" s="1"/>
  <c r="S96" i="2"/>
  <c r="W96" i="2" s="1"/>
  <c r="S97" i="2"/>
  <c r="W97" i="2"/>
  <c r="S98" i="2"/>
  <c r="W98" i="2" s="1"/>
  <c r="S99" i="2"/>
  <c r="W99" i="2"/>
  <c r="S100" i="2"/>
  <c r="W100" i="2"/>
  <c r="S101" i="2"/>
  <c r="W101" i="2"/>
  <c r="S102" i="2"/>
  <c r="W102" i="2"/>
  <c r="S103" i="2"/>
  <c r="W103" i="2"/>
  <c r="S104" i="2"/>
  <c r="W104" i="2" s="1"/>
  <c r="S105" i="2"/>
  <c r="W105" i="2"/>
  <c r="W106" i="2"/>
  <c r="S107" i="2"/>
  <c r="W107" i="2"/>
  <c r="W108" i="2"/>
  <c r="Q110" i="2"/>
  <c r="R110" i="2"/>
  <c r="D68" i="2"/>
  <c r="J67" i="2"/>
  <c r="J110" i="2" s="1"/>
  <c r="D67" i="2"/>
  <c r="G67" i="2"/>
  <c r="C68" i="2"/>
  <c r="G68" i="2"/>
  <c r="K68" i="2" s="1"/>
  <c r="G69" i="2"/>
  <c r="K69" i="2" s="1"/>
  <c r="G70" i="2"/>
  <c r="K70" i="2" s="1"/>
  <c r="G71" i="2"/>
  <c r="K71" i="2" s="1"/>
  <c r="G72" i="2"/>
  <c r="K72" i="2" s="1"/>
  <c r="G73" i="2"/>
  <c r="K73" i="2" s="1"/>
  <c r="G74" i="2"/>
  <c r="K74" i="2"/>
  <c r="G75" i="2"/>
  <c r="K75" i="2" s="1"/>
  <c r="G76" i="2"/>
  <c r="K76" i="2"/>
  <c r="G77" i="2"/>
  <c r="K77" i="2" s="1"/>
  <c r="G78" i="2"/>
  <c r="K78" i="2" s="1"/>
  <c r="G79" i="2"/>
  <c r="K79" i="2" s="1"/>
  <c r="G80" i="2"/>
  <c r="K80" i="2"/>
  <c r="G81" i="2"/>
  <c r="K81" i="2" s="1"/>
  <c r="G82" i="2"/>
  <c r="K82" i="2"/>
  <c r="G83" i="2"/>
  <c r="K83" i="2" s="1"/>
  <c r="G84" i="2"/>
  <c r="K84" i="2" s="1"/>
  <c r="G85" i="2"/>
  <c r="K85" i="2" s="1"/>
  <c r="G86" i="2"/>
  <c r="K86" i="2"/>
  <c r="G87" i="2"/>
  <c r="K87" i="2"/>
  <c r="G88" i="2"/>
  <c r="K88" i="2"/>
  <c r="G89" i="2"/>
  <c r="K89" i="2" s="1"/>
  <c r="G90" i="2"/>
  <c r="K90" i="2"/>
  <c r="G91" i="2"/>
  <c r="K91" i="2" s="1"/>
  <c r="G92" i="2"/>
  <c r="K92" i="2"/>
  <c r="G93" i="2"/>
  <c r="K93" i="2" s="1"/>
  <c r="G94" i="2"/>
  <c r="K94" i="2"/>
  <c r="G95" i="2"/>
  <c r="K95" i="2"/>
  <c r="G96" i="2"/>
  <c r="K96" i="2"/>
  <c r="G97" i="2"/>
  <c r="K97" i="2" s="1"/>
  <c r="G98" i="2"/>
  <c r="K98" i="2"/>
  <c r="G99" i="2"/>
  <c r="K99" i="2" s="1"/>
  <c r="G100" i="2"/>
  <c r="K100" i="2"/>
  <c r="G107" i="2"/>
  <c r="K107" i="2" s="1"/>
  <c r="E110" i="2"/>
  <c r="F110" i="2"/>
  <c r="I110" i="2"/>
  <c r="AB110" i="2" l="1"/>
  <c r="AE69" i="2"/>
  <c r="W69" i="2"/>
  <c r="W68" i="2"/>
  <c r="W67" i="2"/>
  <c r="S110" i="2"/>
  <c r="P110" i="2"/>
  <c r="K67" i="2"/>
  <c r="K110" i="2" s="1"/>
  <c r="G110" i="2"/>
  <c r="D110" i="2"/>
  <c r="AH14" i="2"/>
  <c r="AB14" i="2"/>
  <c r="AB13" i="2"/>
  <c r="AB12" i="2"/>
  <c r="P15" i="2"/>
  <c r="P14" i="2"/>
  <c r="P13" i="2"/>
  <c r="P12" i="2"/>
  <c r="O14" i="2"/>
  <c r="O15" i="2" s="1"/>
  <c r="D30" i="2"/>
  <c r="D29" i="2"/>
  <c r="I28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C15" i="2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13" i="2"/>
  <c r="AI69" i="2" l="1"/>
  <c r="AI110" i="2" s="1"/>
  <c r="AE110" i="2"/>
  <c r="W110" i="2"/>
  <c r="J35" i="1"/>
  <c r="D35" i="1" s="1"/>
  <c r="J36" i="1"/>
  <c r="D36" i="1" s="1"/>
  <c r="J37" i="1"/>
  <c r="J27" i="1"/>
  <c r="J28" i="1"/>
  <c r="J29" i="1"/>
  <c r="J30" i="1"/>
  <c r="J20" i="1"/>
  <c r="D20" i="1" s="1"/>
  <c r="J21" i="1"/>
  <c r="D21" i="1" s="1"/>
  <c r="J22" i="1"/>
  <c r="D22" i="1" s="1"/>
  <c r="J23" i="1"/>
  <c r="D23" i="1" s="1"/>
  <c r="J24" i="1"/>
  <c r="J14" i="1"/>
  <c r="D14" i="1" s="1"/>
  <c r="J15" i="1"/>
  <c r="J16" i="1"/>
  <c r="J17" i="1"/>
  <c r="D38" i="1"/>
  <c r="D37" i="1"/>
  <c r="D34" i="1"/>
  <c r="D33" i="1"/>
  <c r="D31" i="1"/>
  <c r="D30" i="1"/>
  <c r="D29" i="1"/>
  <c r="D28" i="1"/>
  <c r="D27" i="1"/>
  <c r="D26" i="1"/>
  <c r="D24" i="1"/>
  <c r="D10" i="1"/>
  <c r="D16" i="1" l="1"/>
  <c r="D17" i="1"/>
  <c r="J19" i="1"/>
  <c r="D19" i="1" s="1"/>
  <c r="J31" i="1"/>
  <c r="J38" i="1"/>
  <c r="J33" i="1" l="1"/>
  <c r="J34" i="1"/>
  <c r="J26" i="1"/>
  <c r="J12" i="1"/>
  <c r="D12" i="1" s="1"/>
  <c r="D13" i="1"/>
  <c r="D15" i="1"/>
  <c r="J10" i="1" l="1"/>
  <c r="AA13" i="2" l="1"/>
  <c r="AA14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O13" i="2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  <c r="D4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93709BCB-34EB-4ED0-A48D-81EA5CAD15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12" authorId="0" shapeId="0" xr:uid="{B3C86E52-8849-450F-89CA-F1E81A1F5B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A12" authorId="0" shapeId="0" xr:uid="{B5D232D8-3FAF-4014-A1CB-DA5B89C0AE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MERIAM APDOHAN
CANAWAN, SALUG</t>
        </r>
      </text>
    </comment>
    <comment ref="C13" authorId="0" shapeId="0" xr:uid="{EA1F9226-68ED-42B0-BBA7-ED4138B37F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13" authorId="0" shapeId="0" xr:uid="{F1C9E566-9A2E-4ED2-900D-D24A50C05F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3" authorId="0" shapeId="0" xr:uid="{A2C8137E-5671-4BA8-B67C-C05A0DAD2E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14" authorId="0" shapeId="0" xr:uid="{7516EF2E-FCCD-4F5E-9978-48B637C369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4" authorId="0" shapeId="0" xr:uid="{6F98CB71-96CB-489E-B17A-6EB4705EA7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
POB, SINDANGAN</t>
        </r>
      </text>
    </comment>
    <comment ref="AA14" authorId="0" shapeId="0" xr:uid="{635CCE8A-292B-498A-BA0E-3EA0558217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5" authorId="0" shapeId="0" xr:uid="{286C3BE7-BE69-40FD-B988-595916638B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SORIA-MORIA STORE
DAPAON, SINDANGAN</t>
        </r>
      </text>
    </comment>
    <comment ref="O15" authorId="0" shapeId="0" xr:uid="{D9AFBC77-F04B-4532-B8E1-76FE69A6C3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C16" authorId="0" shapeId="0" xr:uid="{5226D3CB-56DE-4C39-A337-C437981424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SNHS
DAPAON, SINDANGAN</t>
        </r>
      </text>
    </comment>
    <comment ref="C17" authorId="0" shapeId="0" xr:uid="{8AE4F6FC-027F-430E-A0CC-16D52159CA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
RM, SINDANGAN</t>
        </r>
      </text>
    </comment>
    <comment ref="C18" authorId="0" shapeId="0" xr:uid="{0432C3D9-C32D-43A0-AFA7-4A8C9F6BC9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VILLAESPIN
DISUD, SINDANGAN</t>
        </r>
      </text>
    </comment>
    <comment ref="C19" authorId="0" shapeId="0" xr:uid="{DE0B6DD5-5C68-4DBB-9C5C-774399A449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DAMONSONG STORE
RM, SINDANGAN</t>
        </r>
      </text>
    </comment>
    <comment ref="C20" authorId="0" shapeId="0" xr:uid="{76C5FB28-8843-41B7-8F2E-77B2C109BA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MANGO LODGE
RM, SINDANGAN</t>
        </r>
      </text>
    </comment>
    <comment ref="C21" authorId="0" shapeId="0" xr:uid="{D3493E21-0C6D-426F-991B-CFB26744B9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C22" authorId="0" shapeId="0" xr:uid="{5812B6E1-3762-422E-86AE-68A28CCA07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C23" authorId="0" shapeId="0" xr:uid="{1FF0DF9C-0CA1-474C-B604-6D9C9F2EC0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
DISUD, SINDANGAN</t>
        </r>
      </text>
    </comment>
    <comment ref="C24" authorId="0" shapeId="0" xr:uid="{EF33A903-2C53-4EE8-AE34-B78BE41CA6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C25" authorId="0" shapeId="0" xr:uid="{41EB5DBC-1C8C-4D12-B232-95C8BEFDBE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C26" authorId="0" shapeId="0" xr:uid="{33D98D1B-2B72-4D2B-A833-31244B80B7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C27" authorId="0" shapeId="0" xr:uid="{7BED3591-1233-463F-A985-814D1BDFD1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MCS STORE
DAPAON, SINDANGAN</t>
        </r>
      </text>
    </comment>
    <comment ref="C28" authorId="0" shapeId="0" xr:uid="{C8F622A4-FDCD-4CC2-9EA4-8154B1D0E3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C29" authorId="0" shapeId="0" xr:uid="{0E026FA1-0321-4525-8C7C-9BF689B6FE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CAMION
LABAKID, SINDANGAN</t>
        </r>
      </text>
    </comment>
    <comment ref="C30" authorId="0" shapeId="0" xr:uid="{0DACC015-7318-40F5-A8CC-0CC3784A92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ANETA VILLALUNA
LABAKID, SINDANGAN</t>
        </r>
      </text>
    </comment>
    <comment ref="C67" authorId="0" shapeId="0" xr:uid="{E9C0F351-FB04-468C-A9CB-63D51B0D7E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O67" authorId="0" shapeId="0" xr:uid="{4602D5DD-14F6-4CCF-BA78-7DF1E3EA9B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AA67" authorId="0" shapeId="0" xr:uid="{F73B087B-94AD-4C48-9D8B-6029DA9E7F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BAYBAY, LILOY</t>
        </r>
      </text>
    </comment>
    <comment ref="C68" authorId="0" shapeId="0" xr:uid="{7BB46FD0-00CC-447B-9E3A-E05F561E29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
POB, BACUNGAN</t>
        </r>
      </text>
    </comment>
    <comment ref="O68" authorId="0" shapeId="0" xr:uid="{67E2D13C-18E9-48C1-B3FF-F2826D4E62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ROWENA INSONG
BAYBAY, LILOY</t>
        </r>
      </text>
    </comment>
    <comment ref="AA68" authorId="0" shapeId="0" xr:uid="{D37177AB-9BCD-4463-962C-55249384E3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69" authorId="0" shapeId="0" xr:uid="{0BBF0F4F-B4D3-4CAB-AAA0-3114FB107E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AA69" authorId="0" shapeId="0" xr:uid="{94E8CCCB-4C9A-41A8-8295-8AC4EE085B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JASSY STORE
KAYOK, LILOY</t>
        </r>
      </text>
    </comment>
    <comment ref="AA70" authorId="0" shapeId="0" xr:uid="{01170594-B57A-4077-8D46-82A0057624C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NELMIN STORE
KAYOK, LILOY</t>
        </r>
      </text>
    </comment>
    <comment ref="C122" authorId="0" shapeId="0" xr:uid="{23BF89F3-90CD-416A-9991-47139A8B0F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122" authorId="0" shapeId="0" xr:uid="{41DB04E0-0B1D-4A75-B952-09DF4A0CEA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
DATU TANGKILAN, SINDANGAN</t>
        </r>
      </text>
    </comment>
    <comment ref="AA122" authorId="0" shapeId="0" xr:uid="{A9627BBF-C837-4F4C-98DE-12610C1B41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OLAMA STORE
CARACOL, SALUG</t>
        </r>
      </text>
    </comment>
    <comment ref="C123" authorId="0" shapeId="0" xr:uid="{D16BF743-93BA-421A-8EE5-2BF4FC9C7E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SENYA BERTUCIO
PIAO, SINDANGAN</t>
        </r>
      </text>
    </comment>
    <comment ref="O123" authorId="0" shapeId="0" xr:uid="{D3CCC508-242E-45C5-AE2C-D089CEB6BE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123" authorId="0" shapeId="0" xr:uid="{C69FBB4B-35D2-4BB7-9BAA-A5FD7E1D98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VIDAL STORE
POB, SALUG</t>
        </r>
      </text>
    </comment>
    <comment ref="C124" authorId="0" shapeId="0" xr:uid="{DF52F99A-09DD-4257-8E7A-A0B58BFFD7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STORE
PIAO, SINDANGAN</t>
        </r>
      </text>
    </comment>
    <comment ref="O124" authorId="0" shapeId="0" xr:uid="{BD7DA21C-3ED8-4DFD-A015-491ECF2F0CF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AVILES LEVY
?</t>
        </r>
      </text>
    </comment>
    <comment ref="AA124" authorId="0" shapeId="0" xr:uid="{C8758DFA-D232-4132-A404-880AD201D6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BAGSICAN
POB, SALUG</t>
        </r>
      </text>
    </comment>
    <comment ref="C125" authorId="0" shapeId="0" xr:uid="{3725A43C-3C96-435C-8703-68FEA02544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125" authorId="0" shapeId="0" xr:uid="{E1628940-9AD4-4B94-BCA8-578095841B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LBP</t>
        </r>
      </text>
    </comment>
    <comment ref="AA125" authorId="0" shapeId="0" xr:uid="{06944F55-B251-4610-833F-910BB04AFF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AJAY SAPIHI
POB, SALUG</t>
        </r>
      </text>
    </comment>
    <comment ref="C126" authorId="0" shapeId="0" xr:uid="{01D7CBAC-8BD9-4006-9177-9FFB486677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126" authorId="0" shapeId="0" xr:uid="{55AFCA13-70F5-4453-A317-3350CC1845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
TALINGA, LBP</t>
        </r>
      </text>
    </comment>
    <comment ref="AA126" authorId="0" shapeId="0" xr:uid="{F5D088A5-884A-4BFF-8B77-425B252DBC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JUVY PACARO
POB, SALUG</t>
        </r>
      </text>
    </comment>
    <comment ref="C127" authorId="0" shapeId="0" xr:uid="{8C48BA28-E3A4-4B50-B7C9-5819B3B92E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ROGGER BALOS
LAGAG, SINDANGAN</t>
        </r>
      </text>
    </comment>
    <comment ref="O127" authorId="0" shapeId="0" xr:uid="{5C53C879-A46F-4085-B210-00FE07B9C4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
POB, SINDANGAN</t>
        </r>
      </text>
    </comment>
    <comment ref="AA127" authorId="0" shapeId="0" xr:uid="{86DEF991-08D9-4E06-A903-85096EC27B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28" authorId="0" shapeId="0" xr:uid="{6E2935E3-A502-45BB-AEFE-4002C26C41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MAGWATE
LAGAG, SINDANGAN</t>
        </r>
      </text>
    </comment>
    <comment ref="AA128" authorId="0" shapeId="0" xr:uid="{B88F362E-4AD3-42D2-9843-30D8B8F440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129" authorId="0" shapeId="0" xr:uid="{1F7D840C-AADA-414D-AD56-148F7523D5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EVELYN MAGWATE
LAGAG, SINDANGAN</t>
        </r>
      </text>
    </comment>
    <comment ref="AA129" authorId="0" shapeId="0" xr:uid="{303A3429-E865-4F2D-90D1-9D4D60D726F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MAÑOZA ZENAIDA
POB, SALUG</t>
        </r>
      </text>
    </comment>
    <comment ref="C130" authorId="0" shapeId="0" xr:uid="{2B55AD85-7D74-4BD0-8E9E-9160E024E7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LEDAMA STORE
LAGAG, SINDANGAN</t>
        </r>
      </text>
    </comment>
    <comment ref="AA130" authorId="0" shapeId="0" xr:uid="{AA086BCF-7BDA-4448-888C-088C32E519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
POB, SALUG</t>
        </r>
      </text>
    </comment>
    <comment ref="C131" authorId="0" shapeId="0" xr:uid="{F11BA564-52AF-43B1-AE4C-05EDE1B9BA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VILLALON STORE
LAGAG, SINDANGAN</t>
        </r>
      </text>
    </comment>
    <comment ref="C132" authorId="0" shapeId="0" xr:uid="{A715AFED-8F4A-4AA9-A3F3-3070A80550F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ILAGAN STORE
DENOYAN, SIAYAN</t>
        </r>
      </text>
    </comment>
    <comment ref="C133" authorId="0" shapeId="0" xr:uid="{C1B8AD88-FE29-450C-8DBC-F96709DBA0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CJ VAR. STORE
DENOYAN, SIAYAN</t>
        </r>
      </text>
    </comment>
    <comment ref="C134" authorId="0" shapeId="0" xr:uid="{C820B68B-C878-4BE9-A28A-CA54C1842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CATH &amp; SHE VAR. STORE
DENOYAN, SIAYAN</t>
        </r>
      </text>
    </comment>
    <comment ref="C135" authorId="0" shapeId="0" xr:uid="{D9A54DB6-5F1E-4034-90DB-4FE3D24650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JOE CATUBAY STORE
UPPER DENOYAN, SIAYAN</t>
        </r>
      </text>
    </comment>
    <comment ref="C136" authorId="0" shapeId="0" xr:uid="{0C86CB14-78F6-441C-B738-60D6483FC1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
DENOYAN, SIAYAN</t>
        </r>
      </text>
    </comment>
    <comment ref="C137" authorId="0" shapeId="0" xr:uid="{C4461BD6-6518-434A-A2EA-4037642A9D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 I
POB, SIAYAN</t>
        </r>
      </text>
    </comment>
    <comment ref="C138" authorId="0" shapeId="0" xr:uid="{E0AF2C9A-1D74-4189-8BA3-239B4D73EF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139" authorId="0" shapeId="0" xr:uid="{508D3E8B-AC9A-4AC7-973B-563B437439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C140" authorId="0" shapeId="0" xr:uid="{C55AE229-9082-48CA-B72A-703301BBF0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 B
DAGAO, SIAYAN</t>
        </r>
      </text>
    </comment>
    <comment ref="C141" authorId="0" shapeId="0" xr:uid="{A4953B27-CBD7-4966-A920-DC9B6F5CDE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142" authorId="0" shapeId="0" xr:uid="{F1F9E87E-8252-4CFB-8DBD-8B587802CC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CAMILLION GUILLERMA
POLAYO, SIAYAN</t>
        </r>
      </text>
    </comment>
    <comment ref="C143" authorId="0" shapeId="0" xr:uid="{E477E72A-6B92-4D6F-91E2-EA6D1B46A1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LEDIA DOMAY STORE
POLAYO, SIAYAN</t>
        </r>
      </text>
    </comment>
    <comment ref="C144" authorId="0" shapeId="0" xr:uid="{57EE78B3-28FF-40A7-B1FD-213CF22966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PRINCESS STORE
LAGAG, SINDANGAN</t>
        </r>
      </text>
    </comment>
    <comment ref="C145" authorId="0" shapeId="0" xr:uid="{D6F755D7-74CD-43BC-A3F4-72A0BDE9BAC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 GAS STATION
POB, SINDANGAN</t>
        </r>
      </text>
    </comment>
    <comment ref="C177" authorId="0" shapeId="0" xr:uid="{B42FF7DC-22EE-4680-A19D-80975B7D63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177" authorId="0" shapeId="0" xr:uid="{A14C1213-6331-4467-A686-11C03339C7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77" authorId="0" shapeId="0" xr:uid="{971F6B1A-E2B2-44A7-902D-35E75F98E3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78" authorId="0" shapeId="0" xr:uid="{912DFF9E-E344-4A3C-8DC3-E11DF276A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178" authorId="0" shapeId="0" xr:uid="{A1B5DCD6-E44B-48CA-B495-474DAE0F78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78" authorId="0" shapeId="0" xr:uid="{24A08253-B8AE-4CED-BA0F-66D9CA528F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179" authorId="0" shapeId="0" xr:uid="{D17E010D-1FF3-4391-B5F7-CEB691849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RODRIGUEZ
GUNYAN, SIAYAN</t>
        </r>
      </text>
    </comment>
    <comment ref="O179" authorId="0" shapeId="0" xr:uid="{30350350-2A9C-4EDC-AFF2-72074EB158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
POB, BACUNGAN</t>
        </r>
      </text>
    </comment>
    <comment ref="AA179" authorId="0" shapeId="0" xr:uid="{08E40288-2F6B-4260-8F2D-B6900C3473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180" authorId="0" shapeId="0" xr:uid="{7320EA13-812D-4983-A304-BAEF2A85E1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ROSALINDA DALANGAN
GUNYAN, SIAYAN</t>
        </r>
      </text>
    </comment>
    <comment ref="O180" authorId="0" shapeId="0" xr:uid="{6DCECD44-0256-4AED-89D2-0F33F4E116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SAPAL
TALINGA, BACUNGAN</t>
        </r>
      </text>
    </comment>
    <comment ref="AA180" authorId="0" shapeId="0" xr:uid="{C0127818-7AB6-457E-AE3A-36697F55A4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VIP RESAN
BAYBAY, LILOY</t>
        </r>
      </text>
    </comment>
    <comment ref="C181" authorId="0" shapeId="0" xr:uid="{8B5746AE-6CB1-4BFA-AF27-96B2789D27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SUNGCO NELISA STORE
SUGILON, SIAYAN</t>
        </r>
      </text>
    </comment>
    <comment ref="O181" authorId="0" shapeId="0" xr:uid="{553A11DA-2F9E-4597-BE7E-7653DB70A7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BACUNGAN</t>
        </r>
      </text>
    </comment>
    <comment ref="AA181" authorId="0" shapeId="0" xr:uid="{5AEBD2D9-4F40-4CEF-AF4A-3E32B64906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
BACONG, SALUG</t>
        </r>
      </text>
    </comment>
    <comment ref="C182" authorId="0" shapeId="0" xr:uid="{FB8AD677-0DEB-45FE-9E26-A43F5D0CD2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RENEBOY ENTRINA
GUNYAN, SIAYAN</t>
        </r>
      </text>
    </comment>
    <comment ref="O182" authorId="0" shapeId="0" xr:uid="{3C4FD447-3FA1-4884-B5B5-19417C832F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C183" authorId="0" shapeId="0" xr:uid="{CF0204EC-9F77-40A3-92DA-1E055AC9CB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MADULA STORE
POB, SIAYAN</t>
        </r>
      </text>
    </comment>
    <comment ref="O183" authorId="0" shapeId="0" xr:uid="{2A6F66E2-6698-4653-A08D-6E0E94A2B0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C184" authorId="0" shapeId="0" xr:uid="{63A2DAAE-E253-46F1-A102-FDEDF96955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DAVID FRANCIS MINIMART
DAGAO, SIAYAN</t>
        </r>
      </text>
    </comment>
    <comment ref="O184" authorId="0" shapeId="0" xr:uid="{234C21F6-2CAB-46E5-8A06-D9CAFEA790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C185" authorId="0" shapeId="0" xr:uid="{8D67D9A0-7E10-48CD-A768-30EBC44C03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PANDIC STORE
MUÑOZ, SIAYAN</t>
        </r>
      </text>
    </comment>
    <comment ref="O185" authorId="0" shapeId="0" xr:uid="{813B48AE-B724-4CC9-8093-7221E8A0C1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SANOPAO
MARAS, SINDANGAN</t>
        </r>
      </text>
    </comment>
    <comment ref="O186" authorId="0" shapeId="0" xr:uid="{6060B7D9-A23C-4C70-8A83-568FBC7CEF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VALLECER STORE
MARAS, SINDANGAN</t>
        </r>
      </text>
    </comment>
    <comment ref="O187" authorId="0" shapeId="0" xr:uid="{69F61B34-9B92-42DB-9C0C-65212AC4A4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UPPER INUMAN, SINDANGAN</t>
        </r>
      </text>
    </comment>
    <comment ref="O188" authorId="0" shapeId="0" xr:uid="{BFBE0F1F-6D4F-4F02-9059-A7CA1E9652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 EATERY
INUMAN, SINDANGAN</t>
        </r>
      </text>
    </comment>
    <comment ref="C232" authorId="0" shapeId="0" xr:uid="{B92C8508-00BA-422A-ACCF-0031A772D0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232" authorId="0" shapeId="0" xr:uid="{4527315C-F08C-4C10-9FD6-90C8AAB17A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233" authorId="0" shapeId="0" xr:uid="{9713D280-A92C-4B83-949D-188A12B247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SAPIHI STORE
RM, SALUG</t>
        </r>
      </text>
    </comment>
    <comment ref="AA233" authorId="0" shapeId="0" xr:uid="{7F829C02-895C-4374-B985-AE0FD47F71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NOEL BALBUENA/RJC STORE
POB, SALUG</t>
        </r>
      </text>
    </comment>
    <comment ref="C234" authorId="0" shapeId="0" xr:uid="{5CC7450A-F76B-485F-8DA9-E995430680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EYAH STORE
PALANDOK, SALUG</t>
        </r>
      </text>
    </comment>
    <comment ref="AA234" authorId="0" shapeId="0" xr:uid="{7874B42D-E49B-44FF-B370-296B2EB699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COMM.
POB, SALUG</t>
        </r>
      </text>
    </comment>
    <comment ref="C235" authorId="0" shapeId="0" xr:uid="{F748E3C1-1249-4E4A-A6ED-1ED3801DE4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SALABIDRA
BUGABONGAN, BACUNGAN</t>
        </r>
      </text>
    </comment>
    <comment ref="AA235" authorId="0" shapeId="0" xr:uid="{AC080B6B-BDF4-45C8-82CF-60261FB735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C236" authorId="0" shapeId="0" xr:uid="{B018A830-6097-45C3-A17B-F84A5A3894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JENIAS STORE
BOGABONGAN, BACUNGAN</t>
        </r>
      </text>
    </comment>
    <comment ref="AA236" authorId="0" shapeId="0" xr:uid="{7A683D58-D695-44F7-B30C-91AF8BFCEC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
BACONG, SALUG</t>
        </r>
      </text>
    </comment>
    <comment ref="C237" authorId="0" shapeId="0" xr:uid="{4725EC54-4D90-4E0F-9054-D3E05BD0C6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JALILUB
BOGABONGAN, BACUNGAN</t>
        </r>
      </text>
    </comment>
    <comment ref="C238" authorId="0" shapeId="0" xr:uid="{377191D8-38AD-4126-9F26-E38EAF13A2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C239" authorId="0" shapeId="0" xr:uid="{18B4082A-3587-4BAB-8E10-FF712BD37E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GERIAN
GOLEO, SINDANGAN</t>
        </r>
      </text>
    </comment>
    <comment ref="C240" authorId="0" shapeId="0" xr:uid="{BEFEA82A-6D67-449D-96A6-14E3F459E6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C241" authorId="0" shapeId="0" xr:uid="{A7D4F047-4216-4271-B7EA-FD9DBB8AD4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C242" authorId="0" shapeId="0" xr:uid="{520645C1-2F98-4D6B-891D-C1D65BF1C1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 STORE
DISUD, SINDANGAN</t>
        </r>
      </text>
    </comment>
    <comment ref="C243" authorId="0" shapeId="0" xr:uid="{962F1333-8FD5-4FE8-AAD4-4C86ECB535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STORE
DAPAON, SINDANGAN</t>
        </r>
      </text>
    </comment>
    <comment ref="C244" authorId="0" shapeId="0" xr:uid="{DF6276D5-B253-4B6E-A5A4-B36C823774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C245" authorId="0" shapeId="0" xr:uid="{1949558C-F3F9-4398-A66D-7750B81F43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C246" authorId="0" shapeId="0" xr:uid="{D3C43E2B-979F-4E00-A280-93C365BA3D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C247" authorId="0" shapeId="0" xr:uid="{BE958C8C-B325-4701-806D-8C2FB21892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PALMA STORE
GOLEO, SINDANGAN</t>
        </r>
      </text>
    </comment>
    <comment ref="C248" authorId="0" shapeId="0" xr:uid="{D1BA9B14-6B00-4A22-AEF9-E7FB5C511A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C287" authorId="0" shapeId="0" xr:uid="{D0B4A393-02AA-42DA-AE4D-F60CAE3595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CAMILION GUILLERMA
POLAYO, SIAYAN</t>
        </r>
      </text>
    </comment>
    <comment ref="O287" authorId="0" shapeId="0" xr:uid="{A215B503-ABE8-46BE-BA4C-E037545CAD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287" authorId="0" shapeId="0" xr:uid="{2A38EA30-2105-4791-9B21-8EC1E2D12D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HAJAN
BAYBAY, LILOY</t>
        </r>
      </text>
    </comment>
    <comment ref="C288" authorId="0" shapeId="0" xr:uid="{617F081D-F216-4897-8E36-6765CB377D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CATIG
GUNYAN, SIAYAN</t>
        </r>
      </text>
    </comment>
    <comment ref="O288" authorId="0" shapeId="0" xr:uid="{80F63509-E986-4023-A6A2-C65F70E8BC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ALVINA BAGAT
UPPER INUMAN, SINDANGAN</t>
        </r>
      </text>
    </comment>
    <comment ref="AA288" authorId="0" shapeId="0" xr:uid="{1DCEB184-71AD-4E01-BE58-89D7BE956C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89" authorId="0" shapeId="0" xr:uid="{6283D6BA-BF9D-4B24-999D-5A4FFCCF16B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289" authorId="0" shapeId="0" xr:uid="{8AD75330-F927-48EA-914E-CC97950ACD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BOGANOTAN
INUMAN, SINDANGAN</t>
        </r>
      </text>
    </comment>
    <comment ref="AA289" authorId="0" shapeId="0" xr:uid="{69B3749F-0838-439D-A6BB-FBE1AD9257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TAN STORE
BAYBAY, LILOY</t>
        </r>
      </text>
    </comment>
    <comment ref="C290" authorId="0" shapeId="0" xr:uid="{CF1DE1BA-A6E3-4137-8A36-2B1699E160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
POB, SINDANGAN</t>
        </r>
      </text>
    </comment>
    <comment ref="O290" authorId="0" shapeId="0" xr:uid="{8651B41C-C85D-4A52-B9F2-58464A04067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GLORY TUANDA
INUMAN, SINDANGAN</t>
        </r>
      </text>
    </comment>
    <comment ref="AA290" authorId="0" shapeId="0" xr:uid="{741C2867-3181-4F53-9D8D-E44EABB038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291" authorId="0" shapeId="0" xr:uid="{FD688325-62A2-4280-8FDD-9F0085B53E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
INUMAN, SINDANGAN</t>
        </r>
      </text>
    </comment>
    <comment ref="AA291" authorId="0" shapeId="0" xr:uid="{C9BF7DA3-C2EE-4E93-B42B-6B87D0A48B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O292" authorId="0" shapeId="0" xr:uid="{9073A3D3-4DA5-494F-94E8-5CFDB0906B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TERESITA ESPAÑOLA
LOWER INUMAN, SINDANGAN</t>
        </r>
      </text>
    </comment>
    <comment ref="O293" authorId="0" shapeId="0" xr:uid="{410389B9-BD82-46C9-B94B-0411AFD04A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XYBIL CANSAY</t>
        </r>
      </text>
    </comment>
    <comment ref="O294" authorId="0" shapeId="0" xr:uid="{912BD28A-CD34-4D60-AF34-979056D848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LEONICIA RAGO
LOWER INUMAN, SINDANGAN</t>
        </r>
      </text>
    </comment>
    <comment ref="O295" authorId="0" shapeId="0" xr:uid="{38778B9E-A38A-4004-A2C8-20E3C13933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MARCELO SABACOS
GOLEO, SINDANGAN</t>
        </r>
      </text>
    </comment>
    <comment ref="C342" authorId="0" shapeId="0" xr:uid="{EB011333-CE04-46EE-AA83-72A9A57B94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342" authorId="0" shapeId="0" xr:uid="{4D3A0B61-FCB6-4BB3-93D0-7F616737FB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EDUARDO CAÑETE
GOLEO, SINDANGAN</t>
        </r>
      </text>
    </comment>
    <comment ref="AA342" authorId="0" shapeId="0" xr:uid="{4D49E2C5-DBF9-401C-89D5-B4610BA5EE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O343" authorId="0" shapeId="0" xr:uid="{E5AB0715-0282-4AF1-B08A-1C0E37FE0A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343" authorId="0" shapeId="0" xr:uid="{F60546D3-B888-47C6-B806-AE61C06C2B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UY
POB, SALUG</t>
        </r>
      </text>
    </comment>
    <comment ref="C344" authorId="0" shapeId="0" xr:uid="{36E1163B-8E9D-4B98-BD19-59E5955E55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344" authorId="0" shapeId="0" xr:uid="{7059EEB5-1235-477A-9A88-7A4666D96E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SAMBAN STORE
POB, BACUNGAN</t>
        </r>
      </text>
    </comment>
    <comment ref="AA344" authorId="0" shapeId="0" xr:uid="{CFE7E053-9F2B-4CF2-B7EF-37780F74AB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 STORE
BAYBAY, LILOY</t>
        </r>
      </text>
    </comment>
    <comment ref="C345" authorId="0" shapeId="0" xr:uid="{4E2AB039-117E-43B8-8951-DEDDB94F4C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345" authorId="0" shapeId="0" xr:uid="{35984201-8F7B-4664-A962-38E7BB885B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ASHLEY STORE
POB, BACUNGAN</t>
        </r>
      </text>
    </comment>
    <comment ref="AA345" authorId="0" shapeId="0" xr:uid="{F43EA685-99E4-4C51-912B-FF8E9D7106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CLARK BUHIAN
POB, SALUG</t>
        </r>
      </text>
    </comment>
    <comment ref="C346" authorId="0" shapeId="0" xr:uid="{E3A288DF-1515-4751-BB76-77BB325626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ORAIZ
DAPAON, SINDANGAN</t>
        </r>
      </text>
    </comment>
    <comment ref="O346" authorId="0" shapeId="0" xr:uid="{27A0AF72-5269-4A4F-B8A7-06D6DD154D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POB, BACUNGAN</t>
        </r>
      </text>
    </comment>
    <comment ref="AA346" authorId="0" shapeId="0" xr:uid="{BF945895-0079-431A-A76D-906D212C48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TEQUIL
CANAWAN, SALUG</t>
        </r>
      </text>
    </comment>
    <comment ref="C347" authorId="0" shapeId="0" xr:uid="{15FEA609-594F-4E8D-ADF6-33953C35BB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
RM, SINDANGAN</t>
        </r>
      </text>
    </comment>
    <comment ref="O347" authorId="0" shapeId="0" xr:uid="{2F76B029-3EAD-40FF-A2F9-468356D271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
POB, BACUNGAN</t>
        </r>
      </text>
    </comment>
    <comment ref="AA347" authorId="0" shapeId="0" xr:uid="{583DD4A5-CC59-4E46-B762-F418D8563F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ANN LIPAYO
CANAWAN, SALUG</t>
        </r>
      </text>
    </comment>
    <comment ref="C348" authorId="0" shapeId="0" xr:uid="{9D4BB44D-9133-4716-9B61-69BAAB0469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
DISUD, SINDANGAN</t>
        </r>
      </text>
    </comment>
    <comment ref="O348" authorId="0" shapeId="0" xr:uid="{892F35F7-1B1F-41ED-B18F-1A6DB7C082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348" authorId="0" shapeId="0" xr:uid="{0BCA216F-F34B-488F-9A91-A998CE85C7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LAGDAMIN STORE
CANAWAN, SALUG</t>
        </r>
      </text>
    </comment>
    <comment ref="C349" authorId="0" shapeId="0" xr:uid="{C52F982F-5F58-47EC-8221-609B100481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349" authorId="0" shapeId="0" xr:uid="{7AE9DE9D-4706-45C1-89FE-15609954CC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ANADEO
POB, BACUNGAN</t>
        </r>
      </text>
    </comment>
    <comment ref="AA349" authorId="0" shapeId="0" xr:uid="{D447D768-4E43-4086-8C76-F4FD0B1529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ROWENA COCKPIT
CARACOL, SALUG</t>
        </r>
      </text>
    </comment>
    <comment ref="C350" authorId="0" shapeId="0" xr:uid="{6E65AAFB-23DC-4D82-AA3A-550C663069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350" authorId="0" shapeId="0" xr:uid="{B1E47682-E79B-4BDB-9516-9DD4A0896C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351" authorId="0" shapeId="0" xr:uid="{6915FBED-3CEC-4129-AB37-4C6D2BD25D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351" authorId="0" shapeId="0" xr:uid="{07049C8A-843B-41A1-9899-F29B675374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LIANA SIBAY
POB, BACUNGAN</t>
        </r>
      </text>
    </comment>
    <comment ref="C352" authorId="0" shapeId="0" xr:uid="{469F825F-FB23-4DCD-B1D3-54665D939A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352" authorId="0" shapeId="0" xr:uid="{A32C1C58-5C97-40F0-BD68-98BE22F443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BAGUIOSO STORE
TALINGA, BACUNGAN</t>
        </r>
      </text>
    </comment>
    <comment ref="C353" authorId="0" shapeId="0" xr:uid="{1B41CEA1-57BB-4F53-ABB9-AD01DF4048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353" authorId="0" shapeId="0" xr:uid="{BF0C596F-3598-4FAE-9D4D-7166464186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BAID STORE
TALINGA, BACUNGAN</t>
        </r>
      </text>
    </comment>
    <comment ref="C354" authorId="0" shapeId="0" xr:uid="{00EAF45B-077F-4FD4-9C58-F4792498F0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O354" authorId="0" shapeId="0" xr:uid="{D0F450EB-51A8-4551-B18F-4A4D8F8C1F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ELVIRA SANGHILAN
TALINGA, BACUNGAN</t>
        </r>
      </text>
    </comment>
    <comment ref="O355" authorId="0" shapeId="0" xr:uid="{B35AFC22-4429-4C4A-BF85-41B12AF702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56" authorId="0" shapeId="0" xr:uid="{9ACE4B17-1AA6-402D-9C0E-4F7B535896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OCEAN GREY RESORT
TALINGA, SINDANGAN</t>
        </r>
      </text>
    </comment>
    <comment ref="O357" authorId="0" shapeId="0" xr:uid="{ABFC615C-6AD2-4C07-BEF6-46C93A13FA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LIMBAG STORE
TALINGA, BACUNGAN</t>
        </r>
      </text>
    </comment>
    <comment ref="O358" authorId="0" shapeId="0" xr:uid="{193B7BB0-A995-4E1B-B40A-BCA1074C61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FLOR BASTA
TALINGA, BACUNGAN</t>
        </r>
      </text>
    </comment>
    <comment ref="O359" authorId="0" shapeId="0" xr:uid="{7A56FC06-7EB6-45B5-9D3E-36463D9FEC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
TALINGA, BACUNGAN</t>
        </r>
      </text>
    </comment>
    <comment ref="O360" authorId="0" shapeId="0" xr:uid="{877BC3BF-C5E5-4149-84B5-A2FFA47BB1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GOSIM
TALINGA, BACUNGAN</t>
        </r>
      </text>
    </comment>
    <comment ref="O361" authorId="0" shapeId="0" xr:uid="{C6D1A501-5A01-48C2-B606-D57AEB041E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O362" authorId="0" shapeId="0" xr:uid="{ACF959D3-01B4-46AB-800F-B7B620E8C4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O363" authorId="0" shapeId="0" xr:uid="{2F49104D-6FB6-4FDA-BEEE-2D16F2B5DD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O364" authorId="0" shapeId="0" xr:uid="{2CFA6DFE-224A-4E9C-AC44-54F8AAEE2E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O365" authorId="0" shapeId="0" xr:uid="{F7599AFF-79D9-4BD1-8436-7AA8E23249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JOY GERMATA
MARAS, SINDANGAN</t>
        </r>
      </text>
    </comment>
    <comment ref="O366" authorId="0" shapeId="0" xr:uid="{2F92E4BA-4FEC-47D5-A0BB-542C2A2921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CHRISTIAN ADARDO
MARAS, SINDANGAN</t>
        </r>
      </text>
    </comment>
    <comment ref="O367" authorId="0" shapeId="0" xr:uid="{C57ED048-2884-4CB5-8E02-9E10FA7701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CHRISTINE STORE
INUMAN, SINDANGAN</t>
        </r>
      </text>
    </comment>
    <comment ref="O368" authorId="0" shapeId="0" xr:uid="{2697B658-EB45-4FB7-815A-7DA2DA3816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RIOLA
ILAYA,INUMAN, SINDANGAN</t>
        </r>
      </text>
    </comment>
    <comment ref="O369" authorId="0" shapeId="0" xr:uid="{B108DF8C-0FD3-4A41-B8C2-FF3DFDEBCA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PATERNA STORE
INUMAN, SINDANGAN</t>
        </r>
      </text>
    </comment>
    <comment ref="O370" authorId="0" shapeId="0" xr:uid="{26828E2F-AB33-4C0F-B091-40C3986F03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MANDIH, SINDANGAN</t>
        </r>
      </text>
    </comment>
    <comment ref="O371" authorId="0" shapeId="0" xr:uid="{28FE1308-60DC-4011-9D06-1EE4FD2892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JR PADILLA
MANDIH, SINDANGAN</t>
        </r>
      </text>
    </comment>
    <comment ref="O372" authorId="0" shapeId="0" xr:uid="{DA15D5C3-2FA6-44C3-BF8B-3FB869D409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GLENN BUSCA
MANDIH, SINDANGAN</t>
        </r>
      </text>
    </comment>
    <comment ref="O373" authorId="0" shapeId="0" xr:uid="{280D1401-143F-4882-B770-641B54D0BA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O374" authorId="0" shapeId="0" xr:uid="{A5B3ACEA-FA93-4A53-82E6-122096BC98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 HIGHWAY
POB, SINDANGAN</t>
        </r>
      </text>
    </comment>
    <comment ref="C397" authorId="0" shapeId="0" xr:uid="{8D176F71-953D-42F7-8D74-8247F3CE6B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MEJORADA
PIAO, SINDANGAN</t>
        </r>
      </text>
    </comment>
    <comment ref="O397" authorId="0" shapeId="0" xr:uid="{507D9349-412D-41E3-ABC5-460FA67AEF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AA397" authorId="0" shapeId="0" xr:uid="{E06A2225-99C2-4D0A-B59E-930656CEB4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GUIBANG GUIBANG
KAYOK, LILOY</t>
        </r>
      </text>
    </comment>
    <comment ref="C398" authorId="0" shapeId="0" xr:uid="{9E24C2B2-C869-43F6-BD82-8262914864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AA398" authorId="0" shapeId="0" xr:uid="{5B653A2D-C56C-42B7-8638-D1BA09F2EE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SHEILA GUIBANG GUIBANG
KAYOK, LILOY</t>
        </r>
      </text>
    </comment>
    <comment ref="C399" authorId="0" shapeId="0" xr:uid="{05B5454E-C9CB-4867-9183-9BBED6CBEC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AA399" authorId="0" shapeId="0" xr:uid="{1D7CA5AD-40F3-42EF-B819-A9F11CF15D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400" authorId="0" shapeId="0" xr:uid="{5D56F083-ED03-492F-84A4-606B67F4FB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STORE
BALOK, SINDANGAN</t>
        </r>
      </text>
    </comment>
    <comment ref="AA400" authorId="0" shapeId="0" xr:uid="{2C0A8C9B-0EC5-4CA4-B88E-D903770A36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401" authorId="0" shapeId="0" xr:uid="{ADDE1C59-3936-4497-8FEC-DEA735E7E8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LENE LEDAMA
LAGAG, SINDANGAN</t>
        </r>
      </text>
    </comment>
    <comment ref="AA401" authorId="0" shapeId="0" xr:uid="{C52DE9B8-BE14-41B5-BEB5-9FB9278142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402" authorId="0" shapeId="0" xr:uid="{75CD6221-B08C-4476-BB31-28C39B4F48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VILLALON STORE
LAGAG, SINDANGAN</t>
        </r>
      </text>
    </comment>
    <comment ref="C403" authorId="0" shapeId="0" xr:uid="{31275F34-0AB9-4172-A384-B214701686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 STORE
DENOYAN, SIAYAN</t>
        </r>
      </text>
    </comment>
    <comment ref="C404" authorId="0" shapeId="0" xr:uid="{5F08681F-1FF9-4E6D-A292-8A267009D4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3CI VARIETY STORE
DENOYAN, SIAYAN</t>
        </r>
      </text>
    </comment>
    <comment ref="C405" authorId="0" shapeId="0" xr:uid="{65ED7D4F-EC4E-492C-8CBA-66A2976FC4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WILSON VILLARUBIA
DENOYAN, SIAYAN</t>
        </r>
      </text>
    </comment>
    <comment ref="C406" authorId="0" shapeId="0" xr:uid="{27C66078-C5A7-4916-9FB2-82EC8B5B59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CATH &amp; SHE VAR. STORE
DENOYAN, SIAYAN</t>
        </r>
      </text>
    </comment>
    <comment ref="C407" authorId="0" shapeId="0" xr:uid="{22E57936-9484-4554-B4F4-C36ABBE576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C408" authorId="0" shapeId="0" xr:uid="{7026E2F8-2E9F-4419-A391-607C5BE285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JANETH UTAK STORE
POLAYO, SIAYAN</t>
        </r>
      </text>
    </comment>
    <comment ref="C409" authorId="0" shapeId="0" xr:uid="{3747C301-DA4A-483A-BE4E-2C720111F3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C410" authorId="0" shapeId="0" xr:uid="{6FF792AF-1064-436B-8503-0CD45A20F5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411" authorId="0" shapeId="0" xr:uid="{09D9E70C-AF96-4207-9882-3086E4DFB5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C412" authorId="0" shapeId="0" xr:uid="{67D4D9E7-717C-45D6-AD72-1966941C26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413" authorId="0" shapeId="0" xr:uid="{49C1ADD4-4696-4755-8674-1E55A06A56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414" authorId="0" shapeId="0" xr:uid="{0A7EE558-1E9B-420F-BBAE-30D943161E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</t>
        </r>
      </text>
    </comment>
    <comment ref="C415" authorId="0" shapeId="0" xr:uid="{7D13EADC-FE07-41D0-8DA8-AB321C55B2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ALIA'S STORE
POB, SIAYAN</t>
        </r>
      </text>
    </comment>
    <comment ref="C416" authorId="0" shapeId="0" xr:uid="{1E02EB4B-C4A2-4958-BF2B-ADD75D9426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SIAYAN MOTORPARTS
POB, SIAYAN</t>
        </r>
      </text>
    </comment>
    <comment ref="C417" authorId="0" shapeId="0" xr:uid="{02868D91-420E-4C74-8960-BCB32C3B12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418" authorId="0" shapeId="0" xr:uid="{1F887867-BC2A-45FF-ADF5-0C9066342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C452" authorId="0" shapeId="0" xr:uid="{CA255AC5-1CA6-439C-BF8F-16088D7CF8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ANETA VILLALUNA
LABAKID, SINDANGAN</t>
        </r>
      </text>
    </comment>
    <comment ref="O452" authorId="0" shapeId="0" xr:uid="{B82B673A-E3F6-4D25-93A6-67FD61B39E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452" authorId="0" shapeId="0" xr:uid="{946E743D-8270-4A66-9365-8C7A968B09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C453" authorId="0" shapeId="0" xr:uid="{FF86587E-F4A8-4D70-AECF-B1588DB960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453" authorId="0" shapeId="0" xr:uid="{49C48E10-1673-44B9-996A-346B442B28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ALBOFERA
GOLEO, SINDANGAN</t>
        </r>
      </text>
    </comment>
    <comment ref="AA453" authorId="0" shapeId="0" xr:uid="{0892A5A2-16CA-4C42-9E23-FF23F2A8B7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RYAN JAMILI
BACONG, SALUG</t>
        </r>
      </text>
    </comment>
    <comment ref="C454" authorId="0" shapeId="0" xr:uid="{4AF1B7CC-B162-4B8A-AC58-397FB0D47C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JOSEFEL AMOD
LABAKID, SINDANGAN</t>
        </r>
      </text>
    </comment>
    <comment ref="O454" authorId="0" shapeId="0" xr:uid="{61996139-0088-4886-AECF-BD69291B03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L STORE
MAWAL, BACUNGAN</t>
        </r>
      </text>
    </comment>
    <comment ref="AA454" authorId="0" shapeId="0" xr:uid="{8AE21EB9-0CC3-4BF5-868B-26C518F78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C455" authorId="0" shapeId="0" xr:uid="{85AB1375-C8AE-4316-8BE8-B0A666F348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O455" authorId="0" shapeId="0" xr:uid="{57AFD954-F29A-45F0-8F15-402D785430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PAJUAY STORE
MAWAL, BACUNGAN</t>
        </r>
      </text>
    </comment>
    <comment ref="AA455" authorId="0" shapeId="0" xr:uid="{5C9E08C4-1D5F-4351-B552-BFDD6B2FB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FEDELA DUBDUBAN
ST., SALUG</t>
        </r>
      </text>
    </comment>
    <comment ref="C456" authorId="0" shapeId="0" xr:uid="{B1F1FA85-A296-4B1C-AECB-B9507CF588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TANILON STORE
LABAKID, SINDANGAN</t>
        </r>
      </text>
    </comment>
    <comment ref="O456" authorId="0" shapeId="0" xr:uid="{F588E546-820C-49E2-B288-5C5306D3D6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456" authorId="0" shapeId="0" xr:uid="{74159B89-0632-4258-AE75-73B31781B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4JS BAKESHOP
BACONG, SALUG</t>
        </r>
      </text>
    </comment>
    <comment ref="C457" authorId="0" shapeId="0" xr:uid="{CC792681-003B-4C23-973D-A26D60A6AE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MARILOU PEÑERO
LABAKID, SINDANGAN</t>
        </r>
      </text>
    </comment>
    <comment ref="AA457" authorId="0" shapeId="0" xr:uid="{B5C364EA-56B1-4864-83DF-FDF0EFC57A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BAYAWA, ROSILA
BACONG, SALUG</t>
        </r>
      </text>
    </comment>
    <comment ref="C458" authorId="0" shapeId="0" xr:uid="{95898B66-7396-4364-903F-BA0DD3014B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SALVACION FABILLAR
LABAKID, SINDANGAN</t>
        </r>
      </text>
    </comment>
    <comment ref="AA458" authorId="0" shapeId="0" xr:uid="{7AE3EAEA-EB8D-4092-B7DB-9F7829603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459" authorId="0" shapeId="0" xr:uid="{5519BA82-67EB-4425-BF81-1E1222B268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FLORDELIS OTTO
DICUYONG, SINDANGAN</t>
        </r>
      </text>
    </comment>
    <comment ref="AA459" authorId="0" shapeId="0" xr:uid="{3BDE972D-B396-4CCF-B342-8F6B63880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NAONG
BACONG, SALUG</t>
        </r>
      </text>
    </comment>
    <comment ref="C460" authorId="0" shapeId="0" xr:uid="{65FF384D-5AAE-4353-B1C5-CABA02EA12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ELJUN SUMINGGIT
DICUYONG, SINDANGAN</t>
        </r>
      </text>
    </comment>
    <comment ref="AA460" authorId="0" shapeId="0" xr:uid="{5C551BCB-E218-411E-A005-F5AB446C90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PAMEL TESS
BACONG, SALUG</t>
        </r>
      </text>
    </comment>
    <comment ref="C461" authorId="0" shapeId="0" xr:uid="{AD258446-0378-4D34-9A39-D0702E977E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DANESA MOLAS
DICUYONG, SINDANGAN</t>
        </r>
      </text>
    </comment>
    <comment ref="AA461" authorId="0" shapeId="0" xr:uid="{31D100D4-1586-43F7-B09D-5648FC1D8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ELIZABETH
BACONG, SALUG</t>
        </r>
      </text>
    </comment>
    <comment ref="C462" authorId="0" shapeId="0" xr:uid="{AD394709-29F9-408A-BD2E-ACEACF2D31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PRECHIJOY STORE
DICUYONG, SINDANGAN</t>
        </r>
      </text>
    </comment>
    <comment ref="AA462" authorId="0" shapeId="0" xr:uid="{471D1889-363F-476D-9C7C-C8F289BD83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POB, SALUG</t>
        </r>
      </text>
    </comment>
    <comment ref="C463" authorId="0" shapeId="0" xr:uid="{7751C57B-D037-4141-BE46-2F91EDBD84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TACO JUANA
DICUYONG, SINDANGAN</t>
        </r>
      </text>
    </comment>
    <comment ref="AA463" authorId="0" shapeId="0" xr:uid="{90D9C85E-B425-4AAE-90E7-66EC6AAD7E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NATIONAL HIGH SCHOOL/LAGARE
POB, SALUG</t>
        </r>
      </text>
    </comment>
    <comment ref="C464" authorId="0" shapeId="0" xr:uid="{CED2A4B8-8374-47CC-B1BE-5EC9742C9D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SAGAYSAY/TERISITA
DICUYONG, SINDANGAN</t>
        </r>
      </text>
    </comment>
    <comment ref="C465" authorId="0" shapeId="0" xr:uid="{480B71D4-A975-4A08-BA29-CD4EE2960B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CRISTINA DEPOSA
DICUYONG, SINDANGAN</t>
        </r>
      </text>
    </comment>
    <comment ref="C466" authorId="0" shapeId="0" xr:uid="{0D21375D-C089-4823-BBF8-9EBBE3EB63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STORE
DISUD, SINDANGAN</t>
        </r>
      </text>
    </comment>
    <comment ref="C467" authorId="0" shapeId="0" xr:uid="{4EA19F43-7CDF-4D8F-89E2-E8766800DD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C468" authorId="0" shapeId="0" xr:uid="{867DAA90-150D-4AF6-9EC7-3A67ADF258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469" authorId="0" shapeId="0" xr:uid="{51078374-3702-4C1E-8ECB-603CAC0447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CALTEX
POB, SINDANGAN</t>
        </r>
      </text>
    </comment>
    <comment ref="O507" authorId="0" shapeId="0" xr:uid="{F5931E16-E7BF-4F3B-9F89-3595CD793F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LOLITH SILVANO
</t>
        </r>
      </text>
    </comment>
    <comment ref="AA507" authorId="0" shapeId="0" xr:uid="{F1ABFBD9-F3EC-4F08-BE0E-BC4BFFC2BE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STORE/ALBERT TAN
BAYBAY, LILOY</t>
        </r>
      </text>
    </comment>
    <comment ref="O508" authorId="0" shapeId="0" xr:uid="{A7626ED4-EF8B-4E33-94D3-2FF1052F3B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RICHARD DADAN
KALAWIT, TINAPLAN, SINDANGAN</t>
        </r>
      </text>
    </comment>
    <comment ref="AA508" authorId="0" shapeId="0" xr:uid="{90E2FBA9-FA0D-4F2A-BCBC-51F9014B1F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509" authorId="0" shapeId="0" xr:uid="{D26632E7-9E4F-41A6-9FB8-B997C40736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NELIA ANTAG
KALAWIT, TINAPLAN, SINDANGAN</t>
        </r>
      </text>
    </comment>
    <comment ref="AA509" authorId="0" shapeId="0" xr:uid="{08C99521-D1AA-4E96-9184-99048EDBC9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O510" authorId="0" shapeId="0" xr:uid="{024789F9-B9D7-4258-B2A6-E7816E4EFF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TOP MOUNTAIN RESORT
TINAPLAN, SINDANGAN</t>
        </r>
      </text>
    </comment>
    <comment ref="AA510" authorId="0" shapeId="0" xr:uid="{E726F9EF-7A61-499C-B7CA-EE7654ED86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O511" authorId="0" shapeId="0" xr:uid="{6FD9632D-97DB-4BEA-9B74-E8AE38EE6C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512" authorId="0" shapeId="0" xr:uid="{5D3A0519-536B-40EB-ABF4-9555824265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STORE
TINAPLAN, SINDANGAN</t>
        </r>
      </text>
    </comment>
    <comment ref="O513" authorId="0" shapeId="0" xr:uid="{987B765B-2790-41DF-927E-DDB3601344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MARIFE ATOC
DAGOHOY, SINDANGAN</t>
        </r>
      </text>
    </comment>
    <comment ref="O514" authorId="0" shapeId="0" xr:uid="{DBECF5ED-6DD3-4ED8-ABD9-25635F1134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CALIPAYAN STORE
TALINGA, SINDANGAN</t>
        </r>
      </text>
    </comment>
    <comment ref="O515" authorId="0" shapeId="0" xr:uid="{6BA8180C-B2BB-4CCB-A946-8B012C5EC4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CAMPOY
TALINGA, SINDANGAN</t>
        </r>
      </text>
    </comment>
    <comment ref="O516" authorId="0" shapeId="0" xr:uid="{AD4C6629-A290-460E-BBFC-C774C092ED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KYRO RESORT
CALUAN, SINDANGAN</t>
        </r>
      </text>
    </comment>
    <comment ref="O517" authorId="0" shapeId="0" xr:uid="{25542884-E6DC-4369-B41B-5A7C8391D6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</t>
        </r>
      </text>
    </comment>
    <comment ref="O518" authorId="0" shapeId="0" xr:uid="{94750A7A-B40C-42C4-8BA8-C4510C3FA2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STORE/ALDRIN TOBIAS
MANDIH, SINDANGAN</t>
        </r>
      </text>
    </comment>
  </commentList>
</comments>
</file>

<file path=xl/sharedStrings.xml><?xml version="1.0" encoding="utf-8"?>
<sst xmlns="http://schemas.openxmlformats.org/spreadsheetml/2006/main" count="640" uniqueCount="67">
  <si>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</si>
  <si>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</si>
  <si>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</si>
  <si>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</si>
  <si>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</si>
  <si>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</si>
  <si>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</si>
  <si>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</si>
  <si>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</si>
  <si>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</si>
  <si>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</si>
  <si>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</si>
  <si>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</si>
  <si>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</si>
  <si>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</si>
  <si>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</si>
  <si>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</si>
  <si>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</si>
  <si>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</si>
  <si>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</si>
  <si>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</si>
  <si>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</si>
  <si>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</si>
  <si>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</si>
  <si>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</si>
  <si>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</si>
  <si>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</si>
  <si>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</si>
  <si>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</si>
  <si>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</si>
  <si>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</si>
  <si>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</si>
  <si>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</si>
  <si>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</si>
  <si>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SATURDAY</t>
  </si>
  <si>
    <t>MONDAY</t>
  </si>
  <si>
    <t>NOVEMBER 2025</t>
  </si>
  <si>
    <t>NOVEMBER 03, 2025</t>
  </si>
  <si>
    <t>MOCOY, JULIET</t>
  </si>
  <si>
    <t>6699-6700,6901-6917/6823-6826/6867-6869</t>
  </si>
  <si>
    <t>TUESDAY</t>
  </si>
  <si>
    <t>NOVEMBER 04, 2025</t>
  </si>
  <si>
    <t>GICA, GRACE</t>
  </si>
  <si>
    <t>3A</t>
  </si>
  <si>
    <t>R3A</t>
  </si>
  <si>
    <t>R3B</t>
  </si>
  <si>
    <t>6828-6829/6870-6872/6918-6921</t>
  </si>
  <si>
    <t>WEDNESDAY</t>
  </si>
  <si>
    <t>NOVEMBER 05, 2025</t>
  </si>
  <si>
    <t>6922-6945/6830-6835/6873-6881</t>
  </si>
  <si>
    <t>THURSDAY</t>
  </si>
  <si>
    <t>NOVEMBER 06, 2025</t>
  </si>
  <si>
    <t>FRIDAY</t>
  </si>
  <si>
    <t>NOVEMBER 07, 2025</t>
  </si>
  <si>
    <t>6946-6954/6836-6847/6882-6886</t>
  </si>
  <si>
    <t>6955-6971//6887-6891</t>
  </si>
  <si>
    <t>NOVEMBER 08, 2025</t>
  </si>
  <si>
    <t>2972-6976/7001-7009/6892-6896</t>
  </si>
  <si>
    <t>NOVEMBER 10, 2025</t>
  </si>
  <si>
    <t>6975-6987/6848-6850,7010-7039/6897-6900,7101-7104</t>
  </si>
  <si>
    <t>NOVEMBER 11, 2025</t>
  </si>
  <si>
    <t>6988-7059/7041/7105-7109</t>
  </si>
  <si>
    <t>NOVEMBER 12, 2025</t>
  </si>
  <si>
    <t>7060-7077/7042-7046/7110-7121</t>
  </si>
  <si>
    <t>NOVEMBER 13, 2025</t>
  </si>
  <si>
    <t>11/13/2025</t>
  </si>
  <si>
    <t>/7151-7162/7122-7125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</si>
</sst>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zoomScaleNormal="100" workbookViewId="0">
      <selection activeCell="H22" sqref="H22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1" t="s">
        <v>36</v>
      </c>
      <c r="B6" s="101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44</v>
      </c>
      <c r="I8" s="52" t="s">
        <v>45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34</v>
      </c>
      <c r="C10" s="12"/>
      <c r="D10" s="16">
        <f t="shared" ref="D10:D17" si="0">J10</f>
        <v>0</v>
      </c>
      <c r="F10" s="14"/>
      <c r="G10" s="14"/>
      <c r="H10" s="14"/>
      <c r="I10" s="14"/>
      <c r="J10" s="17">
        <f t="shared" ref="J10:J38" si="1">F10+G10+H10</f>
        <v>0</v>
      </c>
    </row>
    <row r="11" spans="1:10" x14ac:dyDescent="0.25">
      <c r="A11" s="10">
        <f>A10+1</f>
        <v>2</v>
      </c>
      <c r="B11" s="13" t="s">
        <v>6</v>
      </c>
      <c r="C11" s="44" t="s">
        <v>29</v>
      </c>
      <c r="D11" s="55" t="s">
        <v>29</v>
      </c>
      <c r="F11" s="14"/>
      <c r="G11" s="14"/>
      <c r="H11" s="14"/>
      <c r="I11" s="14"/>
      <c r="J11" s="59"/>
    </row>
    <row r="12" spans="1:10" x14ac:dyDescent="0.25">
      <c r="A12" s="10">
        <f t="shared" ref="A12:A39" si="2">A11+1</f>
        <v>3</v>
      </c>
      <c r="B12" s="11" t="s">
        <v>7</v>
      </c>
      <c r="C12" s="12" t="s">
        <v>39</v>
      </c>
      <c r="D12" s="16">
        <f t="shared" si="0"/>
        <v>560363</v>
      </c>
      <c r="F12" s="14">
        <v>148665</v>
      </c>
      <c r="G12" s="14">
        <v>212392</v>
      </c>
      <c r="H12" s="14">
        <v>199306</v>
      </c>
      <c r="I12" s="14"/>
      <c r="J12" s="17">
        <f t="shared" si="1"/>
        <v>560363</v>
      </c>
    </row>
    <row r="13" spans="1:10" x14ac:dyDescent="0.25">
      <c r="A13" s="10">
        <f t="shared" si="2"/>
        <v>4</v>
      </c>
      <c r="B13" s="43" t="s">
        <v>8</v>
      </c>
      <c r="C13" s="12" t="s">
        <v>46</v>
      </c>
      <c r="D13" s="16">
        <f t="shared" si="0"/>
        <v>941921</v>
      </c>
      <c r="F13" s="14"/>
      <c r="G13" s="14">
        <v>250502</v>
      </c>
      <c r="H13" s="14">
        <v>549104</v>
      </c>
      <c r="I13" s="14">
        <v>142315</v>
      </c>
      <c r="J13" s="17">
        <f>F13+G13+H13+I13</f>
        <v>941921</v>
      </c>
    </row>
    <row r="14" spans="1:10" x14ac:dyDescent="0.25">
      <c r="A14" s="10">
        <f t="shared" si="2"/>
        <v>5</v>
      </c>
      <c r="B14" s="56" t="s">
        <v>9</v>
      </c>
      <c r="C14" s="12" t="s">
        <v>49</v>
      </c>
      <c r="D14" s="16">
        <f t="shared" si="0"/>
        <v>570318.5</v>
      </c>
      <c r="F14" s="14">
        <v>201469</v>
      </c>
      <c r="G14" s="14">
        <v>201221.5</v>
      </c>
      <c r="H14" s="14">
        <v>167628</v>
      </c>
      <c r="I14" s="14"/>
      <c r="J14" s="17">
        <f t="shared" si="1"/>
        <v>570318.5</v>
      </c>
    </row>
    <row r="15" spans="1:10" x14ac:dyDescent="0.25">
      <c r="A15" s="10">
        <f t="shared" si="2"/>
        <v>6</v>
      </c>
      <c r="B15" s="11" t="s">
        <v>30</v>
      </c>
      <c r="C15" s="12" t="s">
        <v>54</v>
      </c>
      <c r="D15" s="16">
        <f t="shared" si="0"/>
        <v>773664</v>
      </c>
      <c r="F15" s="14">
        <v>89328</v>
      </c>
      <c r="G15" s="14">
        <v>133080</v>
      </c>
      <c r="H15" s="14">
        <v>551256</v>
      </c>
      <c r="I15" s="14"/>
      <c r="J15" s="17">
        <f t="shared" si="1"/>
        <v>773664</v>
      </c>
    </row>
    <row r="16" spans="1:10" x14ac:dyDescent="0.25">
      <c r="A16" s="10">
        <f t="shared" si="2"/>
        <v>7</v>
      </c>
      <c r="B16" s="43" t="s">
        <v>4</v>
      </c>
      <c r="C16" s="12" t="s">
        <v>55</v>
      </c>
      <c r="D16" s="16">
        <f t="shared" si="0"/>
        <v>421756.5</v>
      </c>
      <c r="F16" s="14">
        <v>203772</v>
      </c>
      <c r="G16" s="14"/>
      <c r="H16" s="14">
        <v>217984.5</v>
      </c>
      <c r="I16" s="14"/>
      <c r="J16" s="17">
        <f t="shared" si="1"/>
        <v>421756.5</v>
      </c>
    </row>
    <row r="17" spans="1:10" x14ac:dyDescent="0.25">
      <c r="A17" s="10">
        <f t="shared" si="2"/>
        <v>8</v>
      </c>
      <c r="B17" s="56" t="s">
        <v>5</v>
      </c>
      <c r="C17" s="12" t="s">
        <v>57</v>
      </c>
      <c r="D17" s="16">
        <f t="shared" si="0"/>
        <v>738742</v>
      </c>
      <c r="F17" s="14">
        <v>399714</v>
      </c>
      <c r="G17" s="14">
        <v>92786</v>
      </c>
      <c r="H17" s="14">
        <v>246242</v>
      </c>
      <c r="I17" s="14"/>
      <c r="J17" s="17">
        <f t="shared" si="1"/>
        <v>738742</v>
      </c>
    </row>
    <row r="18" spans="1:10" x14ac:dyDescent="0.25">
      <c r="A18" s="10">
        <f t="shared" si="2"/>
        <v>9</v>
      </c>
      <c r="B18" s="13" t="s">
        <v>6</v>
      </c>
      <c r="C18" s="44" t="s">
        <v>29</v>
      </c>
      <c r="D18" s="55" t="s">
        <v>29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1" t="s">
        <v>7</v>
      </c>
      <c r="C19" s="12" t="s">
        <v>59</v>
      </c>
      <c r="D19" s="16">
        <f t="shared" ref="D19:D24" si="3">J19</f>
        <v>429000</v>
      </c>
      <c r="F19" s="14">
        <v>80920</v>
      </c>
      <c r="G19" s="14">
        <v>128949.5</v>
      </c>
      <c r="H19" s="14">
        <v>219130.5</v>
      </c>
      <c r="I19" s="14"/>
      <c r="J19" s="17">
        <f t="shared" si="1"/>
        <v>429000</v>
      </c>
    </row>
    <row r="20" spans="1:10" x14ac:dyDescent="0.25">
      <c r="A20" s="10">
        <f t="shared" si="2"/>
        <v>11</v>
      </c>
      <c r="B20" s="43" t="s">
        <v>8</v>
      </c>
      <c r="C20" s="12" t="s">
        <v>61</v>
      </c>
      <c r="D20" s="16">
        <f t="shared" si="3"/>
        <v>764445</v>
      </c>
      <c r="F20" s="14">
        <v>214536</v>
      </c>
      <c r="G20" s="14">
        <v>367316.5</v>
      </c>
      <c r="H20" s="14">
        <v>182592.5</v>
      </c>
      <c r="I20" s="14"/>
      <c r="J20" s="17">
        <f t="shared" si="1"/>
        <v>764445</v>
      </c>
    </row>
    <row r="21" spans="1:10" x14ac:dyDescent="0.25">
      <c r="A21" s="10">
        <f t="shared" si="2"/>
        <v>12</v>
      </c>
      <c r="B21" s="56" t="s">
        <v>9</v>
      </c>
      <c r="C21" s="12" t="s">
        <v>63</v>
      </c>
      <c r="D21" s="16">
        <f t="shared" si="3"/>
        <v>425975</v>
      </c>
      <c r="F21" s="14">
        <v>157979</v>
      </c>
      <c r="G21" s="14">
        <v>135672.5</v>
      </c>
      <c r="H21" s="14">
        <v>132323.5</v>
      </c>
      <c r="I21" s="14"/>
      <c r="J21" s="17">
        <f t="shared" si="1"/>
        <v>425975</v>
      </c>
    </row>
    <row r="22" spans="1:10" x14ac:dyDescent="0.25">
      <c r="A22" s="10">
        <f t="shared" si="2"/>
        <v>13</v>
      </c>
      <c r="B22" s="11" t="s">
        <v>30</v>
      </c>
      <c r="C22" s="12" t="s">
        <v>66</v>
      </c>
      <c r="D22" s="16">
        <f t="shared" si="3"/>
        <v>384629.5</v>
      </c>
      <c r="F22" s="14"/>
      <c r="G22" s="14">
        <v>160258.5</v>
      </c>
      <c r="H22" s="14">
        <v>224371</v>
      </c>
      <c r="I22" s="14"/>
      <c r="J22" s="17">
        <f t="shared" si="1"/>
        <v>384629.5</v>
      </c>
    </row>
    <row r="23" spans="1:10" x14ac:dyDescent="0.25">
      <c r="A23" s="10">
        <f t="shared" si="2"/>
        <v>14</v>
      </c>
      <c r="B23" s="43" t="s">
        <v>4</v>
      </c>
      <c r="C23" s="12"/>
      <c r="D23" s="16">
        <f t="shared" si="3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56" t="s">
        <v>5</v>
      </c>
      <c r="C24" s="12"/>
      <c r="D24" s="16">
        <f t="shared" si="3"/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13" t="s">
        <v>6</v>
      </c>
      <c r="C25" s="44" t="s">
        <v>29</v>
      </c>
      <c r="D25" s="55" t="s">
        <v>29</v>
      </c>
      <c r="F25" s="14"/>
      <c r="G25" s="14"/>
      <c r="H25" s="14"/>
      <c r="I25" s="14"/>
      <c r="J25" s="59"/>
    </row>
    <row r="26" spans="1:10" x14ac:dyDescent="0.25">
      <c r="A26" s="10">
        <f t="shared" si="2"/>
        <v>17</v>
      </c>
      <c r="B26" s="11" t="s">
        <v>7</v>
      </c>
      <c r="C26" s="12"/>
      <c r="D26" s="16">
        <f t="shared" ref="D26:D31" si="4">J26</f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43" t="s">
        <v>8</v>
      </c>
      <c r="C27" s="12"/>
      <c r="D27" s="16">
        <f t="shared" si="4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56" t="s">
        <v>9</v>
      </c>
      <c r="C28" s="12"/>
      <c r="D28" s="16">
        <f t="shared" si="4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11" t="s">
        <v>30</v>
      </c>
      <c r="C29" s="12"/>
      <c r="D29" s="16">
        <f t="shared" si="4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4</v>
      </c>
      <c r="C30" s="12"/>
      <c r="D30" s="16">
        <f t="shared" si="4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5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3" t="s">
        <v>6</v>
      </c>
      <c r="C32" s="44" t="s">
        <v>29</v>
      </c>
      <c r="D32" s="55" t="s">
        <v>29</v>
      </c>
      <c r="E32" s="15"/>
      <c r="F32" s="15"/>
      <c r="G32" s="14"/>
      <c r="H32" s="54"/>
      <c r="I32" s="54"/>
      <c r="J32" s="59"/>
    </row>
    <row r="33" spans="1:10" x14ac:dyDescent="0.25">
      <c r="A33" s="10">
        <f t="shared" si="2"/>
        <v>24</v>
      </c>
      <c r="B33" s="11" t="s">
        <v>7</v>
      </c>
      <c r="C33" s="12"/>
      <c r="D33" s="16">
        <f t="shared" ref="D33:D38" si="5">J33</f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43" t="s">
        <v>8</v>
      </c>
      <c r="C34" s="12"/>
      <c r="D34" s="16">
        <f t="shared" si="5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56" t="s">
        <v>9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11" t="s">
        <v>30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43" t="s">
        <v>4</v>
      </c>
      <c r="C37" s="12"/>
      <c r="D37" s="16">
        <f t="shared" si="5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5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3" t="s">
        <v>6</v>
      </c>
      <c r="C39" s="44" t="s">
        <v>29</v>
      </c>
      <c r="D39" s="55" t="s">
        <v>29</v>
      </c>
      <c r="E39" s="14"/>
      <c r="F39" s="14"/>
      <c r="G39" s="14"/>
      <c r="H39" s="14"/>
      <c r="I39" s="14"/>
      <c r="J39" s="59"/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51"/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2" t="s">
        <v>10</v>
      </c>
      <c r="B42" s="103"/>
      <c r="C42" s="104"/>
      <c r="D42" s="48">
        <f>SUM(D2:D39)</f>
        <v>6010814.5</v>
      </c>
      <c r="J42" s="49">
        <f>SUM(J10:J41)</f>
        <v>6010814.5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opLeftCell="A495" zoomScaleNormal="100" workbookViewId="0">
      <selection activeCell="B496" sqref="B496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1" width="13.28515625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35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35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35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38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1" t="s">
        <v>17</v>
      </c>
      <c r="E10" s="111"/>
      <c r="F10" s="77"/>
      <c r="G10" s="27"/>
      <c r="I10" s="109" t="s">
        <v>18</v>
      </c>
      <c r="J10" s="110"/>
      <c r="K10" s="107" t="s">
        <v>19</v>
      </c>
      <c r="N10" s="25"/>
      <c r="O10" s="26"/>
      <c r="P10" s="111" t="s">
        <v>17</v>
      </c>
      <c r="Q10" s="111"/>
      <c r="R10" s="77"/>
      <c r="S10" s="27"/>
      <c r="U10" s="109" t="s">
        <v>18</v>
      </c>
      <c r="V10" s="110"/>
      <c r="W10" s="107" t="s">
        <v>19</v>
      </c>
      <c r="Z10" s="25"/>
      <c r="AA10" s="26"/>
      <c r="AB10" s="111" t="s">
        <v>17</v>
      </c>
      <c r="AC10" s="111"/>
      <c r="AD10" s="77"/>
      <c r="AE10" s="27"/>
      <c r="AG10" s="109" t="s">
        <v>18</v>
      </c>
      <c r="AH10" s="110"/>
      <c r="AI10" s="107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08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08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08"/>
    </row>
    <row r="12" spans="1:35" x14ac:dyDescent="0.25">
      <c r="A12" s="10">
        <v>1</v>
      </c>
      <c r="B12" s="30">
        <v>45727</v>
      </c>
      <c r="C12" s="91">
        <v>6699</v>
      </c>
      <c r="D12" s="32">
        <f>16902+1788</f>
        <v>18690</v>
      </c>
      <c r="E12" s="32"/>
      <c r="F12" s="32"/>
      <c r="G12" s="32">
        <f t="shared" ref="G12:G45" si="0">SUM(D12:E12)</f>
        <v>18690</v>
      </c>
      <c r="H12" s="12"/>
      <c r="I12" s="12"/>
      <c r="J12" s="12"/>
      <c r="K12" s="12">
        <f t="shared" ref="K12:K45" si="1">SUM(G12:J12)</f>
        <v>18690</v>
      </c>
      <c r="M12" s="10">
        <v>1</v>
      </c>
      <c r="N12" s="30">
        <v>45727</v>
      </c>
      <c r="O12" s="31">
        <v>6823</v>
      </c>
      <c r="P12" s="32">
        <f>135216+1374</f>
        <v>136590</v>
      </c>
      <c r="Q12" s="32">
        <v>-1998</v>
      </c>
      <c r="R12" s="32"/>
      <c r="S12" s="32">
        <f>SUM(P12:Q12)</f>
        <v>134592</v>
      </c>
      <c r="T12" s="12"/>
      <c r="U12" s="12">
        <v>216</v>
      </c>
      <c r="V12" s="12">
        <v>-48</v>
      </c>
      <c r="W12" s="12">
        <f>SUM(S12:V12)</f>
        <v>134760</v>
      </c>
      <c r="Y12" s="10">
        <v>1</v>
      </c>
      <c r="Z12" s="30">
        <v>45727</v>
      </c>
      <c r="AA12" s="31">
        <v>6867</v>
      </c>
      <c r="AB12" s="32">
        <f>9390+2980</f>
        <v>12370</v>
      </c>
      <c r="AC12" s="32"/>
      <c r="AD12" s="32"/>
      <c r="AE12" s="32">
        <f>SUM(AB12:AC12)</f>
        <v>12370</v>
      </c>
      <c r="AF12" s="12"/>
      <c r="AG12" s="12"/>
      <c r="AH12" s="12"/>
      <c r="AI12" s="12">
        <f>SUM(AE12:AH12)</f>
        <v>12370</v>
      </c>
    </row>
    <row r="13" spans="1:35" x14ac:dyDescent="0.25">
      <c r="A13" s="10">
        <v>2</v>
      </c>
      <c r="B13" s="30">
        <v>45727</v>
      </c>
      <c r="C13" s="91">
        <f>C12+1</f>
        <v>6700</v>
      </c>
      <c r="D13" s="32">
        <f>34430+2980</f>
        <v>37410</v>
      </c>
      <c r="E13" s="32"/>
      <c r="F13" s="32"/>
      <c r="G13" s="32">
        <f t="shared" si="0"/>
        <v>37410</v>
      </c>
      <c r="H13" s="12"/>
      <c r="I13" s="12"/>
      <c r="J13" s="12"/>
      <c r="K13" s="12">
        <f t="shared" si="1"/>
        <v>37410</v>
      </c>
      <c r="M13" s="10">
        <v>2</v>
      </c>
      <c r="N13" s="30">
        <v>45727</v>
      </c>
      <c r="O13" s="31">
        <f>O12+1</f>
        <v>6824</v>
      </c>
      <c r="P13" s="32">
        <f>63852+7748+916</f>
        <v>72516</v>
      </c>
      <c r="Q13" s="32">
        <v>-1071</v>
      </c>
      <c r="R13" s="32"/>
      <c r="S13" s="32">
        <f t="shared" ref="S13:S44" si="2">SUM(P13:Q13)</f>
        <v>71445</v>
      </c>
      <c r="T13" s="12"/>
      <c r="U13" s="12"/>
      <c r="V13" s="12"/>
      <c r="W13" s="12">
        <f t="shared" ref="W13:W44" si="3">SUM(S13:V13)</f>
        <v>71445</v>
      </c>
      <c r="Y13" s="10">
        <v>2</v>
      </c>
      <c r="Z13" s="30">
        <v>45727</v>
      </c>
      <c r="AA13" s="31">
        <f>AA12+1</f>
        <v>6868</v>
      </c>
      <c r="AB13" s="32">
        <f>62600+3070+16688+852+1005+1145</f>
        <v>85360</v>
      </c>
      <c r="AC13" s="32">
        <v>-840</v>
      </c>
      <c r="AD13" s="32"/>
      <c r="AE13" s="32">
        <f t="shared" ref="AE13:AE44" si="4">SUM(AB13:AC13)</f>
        <v>84520</v>
      </c>
      <c r="AF13" s="12"/>
      <c r="AG13" s="12"/>
      <c r="AH13" s="12"/>
      <c r="AI13" s="12">
        <f t="shared" ref="AI13:AI44" si="5">SUM(AE13:AH13)</f>
        <v>84520</v>
      </c>
    </row>
    <row r="14" spans="1:35" x14ac:dyDescent="0.25">
      <c r="A14" s="10">
        <v>3</v>
      </c>
      <c r="B14" s="30">
        <v>45727</v>
      </c>
      <c r="C14" s="91">
        <v>6901</v>
      </c>
      <c r="D14" s="33">
        <f>2504+1228+913+674+38</f>
        <v>5357</v>
      </c>
      <c r="E14" s="33"/>
      <c r="F14" s="33"/>
      <c r="G14" s="33">
        <f t="shared" si="0"/>
        <v>5357</v>
      </c>
      <c r="H14" s="34"/>
      <c r="I14" s="34"/>
      <c r="J14" s="34"/>
      <c r="K14" s="34">
        <f t="shared" si="1"/>
        <v>5357</v>
      </c>
      <c r="M14" s="10">
        <v>3</v>
      </c>
      <c r="N14" s="30">
        <v>45727</v>
      </c>
      <c r="O14" s="31">
        <f t="shared" ref="O14:O15" si="6">O13+1</f>
        <v>6825</v>
      </c>
      <c r="P14" s="32">
        <f>626+9.5</f>
        <v>635.5</v>
      </c>
      <c r="Q14" s="32"/>
      <c r="R14" s="32"/>
      <c r="S14" s="32">
        <f t="shared" si="2"/>
        <v>635.5</v>
      </c>
      <c r="T14" s="12"/>
      <c r="U14" s="12">
        <v>1.5</v>
      </c>
      <c r="V14" s="12"/>
      <c r="W14" s="12">
        <f t="shared" si="3"/>
        <v>637</v>
      </c>
      <c r="Y14" s="10">
        <v>3</v>
      </c>
      <c r="Z14" s="30">
        <v>45727</v>
      </c>
      <c r="AA14" s="31">
        <f t="shared" ref="AA14" si="7">AA13+1</f>
        <v>6869</v>
      </c>
      <c r="AB14" s="33">
        <f>92648+3370+6556+832</f>
        <v>103406</v>
      </c>
      <c r="AC14" s="33">
        <v>-990</v>
      </c>
      <c r="AD14" s="32"/>
      <c r="AE14" s="32">
        <f t="shared" si="4"/>
        <v>102416</v>
      </c>
      <c r="AF14" s="12"/>
      <c r="AG14" s="12"/>
      <c r="AH14" s="12">
        <f>-480+-555</f>
        <v>-1035</v>
      </c>
      <c r="AI14" s="12">
        <f t="shared" si="5"/>
        <v>101381</v>
      </c>
    </row>
    <row r="15" spans="1:35" x14ac:dyDescent="0.25">
      <c r="A15" s="10">
        <v>4</v>
      </c>
      <c r="B15" s="30">
        <v>45727</v>
      </c>
      <c r="C15" s="91">
        <f t="shared" ref="C15:C30" si="8">C14+1</f>
        <v>6902</v>
      </c>
      <c r="D15" s="32">
        <f>626+500</f>
        <v>1126</v>
      </c>
      <c r="E15" s="32"/>
      <c r="F15" s="32"/>
      <c r="G15" s="32">
        <f t="shared" si="0"/>
        <v>1126</v>
      </c>
      <c r="H15" s="12"/>
      <c r="I15" s="12"/>
      <c r="J15" s="12"/>
      <c r="K15" s="12">
        <f t="shared" si="1"/>
        <v>1126</v>
      </c>
      <c r="M15" s="10">
        <v>4</v>
      </c>
      <c r="N15" s="30">
        <v>45727</v>
      </c>
      <c r="O15" s="31">
        <f t="shared" si="6"/>
        <v>6826</v>
      </c>
      <c r="P15" s="32">
        <f>5634+85.5</f>
        <v>5719.5</v>
      </c>
      <c r="Q15" s="32"/>
      <c r="R15" s="32"/>
      <c r="S15" s="32">
        <f t="shared" si="2"/>
        <v>5719.5</v>
      </c>
      <c r="T15" s="12"/>
      <c r="U15" s="12"/>
      <c r="V15" s="12"/>
      <c r="W15" s="12">
        <f t="shared" si="3"/>
        <v>5719.5</v>
      </c>
      <c r="Y15" s="10">
        <v>4</v>
      </c>
      <c r="Z15" s="30"/>
      <c r="AA15" s="11" t="s">
        <v>27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45727</v>
      </c>
      <c r="C16" s="91">
        <f t="shared" si="8"/>
        <v>6903</v>
      </c>
      <c r="D16" s="32">
        <f>1145</f>
        <v>1145</v>
      </c>
      <c r="E16" s="32"/>
      <c r="F16" s="32"/>
      <c r="G16" s="32">
        <f t="shared" si="0"/>
        <v>1145</v>
      </c>
      <c r="H16" s="12"/>
      <c r="I16" s="12"/>
      <c r="J16" s="12"/>
      <c r="K16" s="12">
        <f t="shared" si="1"/>
        <v>1145</v>
      </c>
      <c r="M16" s="10">
        <v>5</v>
      </c>
      <c r="N16" s="30"/>
      <c r="O16" s="11" t="s">
        <v>27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/>
      <c r="AA16" s="31"/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45727</v>
      </c>
      <c r="C17" s="91">
        <f t="shared" si="8"/>
        <v>6904</v>
      </c>
      <c r="D17" s="32">
        <f>5634+614+596+95</f>
        <v>6939</v>
      </c>
      <c r="E17" s="32"/>
      <c r="F17" s="32"/>
      <c r="G17" s="32">
        <f t="shared" si="0"/>
        <v>6939</v>
      </c>
      <c r="H17" s="12"/>
      <c r="I17" s="12">
        <v>130</v>
      </c>
      <c r="J17" s="12"/>
      <c r="K17" s="12">
        <f t="shared" si="1"/>
        <v>7069</v>
      </c>
      <c r="M17" s="10">
        <v>6</v>
      </c>
      <c r="N17" s="30"/>
      <c r="O17" s="31"/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/>
      <c r="AA17" s="31"/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45727</v>
      </c>
      <c r="C18" s="91">
        <f t="shared" si="8"/>
        <v>6905</v>
      </c>
      <c r="D18" s="32">
        <f>3756+1842+596+67</f>
        <v>6261</v>
      </c>
      <c r="E18" s="32"/>
      <c r="F18" s="32"/>
      <c r="G18" s="32">
        <f t="shared" si="0"/>
        <v>6261</v>
      </c>
      <c r="H18" s="12"/>
      <c r="I18" s="12"/>
      <c r="J18" s="12"/>
      <c r="K18" s="12">
        <f t="shared" si="1"/>
        <v>6261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31"/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45727</v>
      </c>
      <c r="C19" s="91">
        <f t="shared" si="8"/>
        <v>6906</v>
      </c>
      <c r="D19" s="32">
        <f>1252+19</f>
        <v>1271</v>
      </c>
      <c r="E19" s="32"/>
      <c r="F19" s="32"/>
      <c r="G19" s="32">
        <f t="shared" si="0"/>
        <v>1271</v>
      </c>
      <c r="H19" s="12"/>
      <c r="I19" s="12"/>
      <c r="J19" s="12"/>
      <c r="K19" s="12">
        <f t="shared" si="1"/>
        <v>1271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45727</v>
      </c>
      <c r="C20" s="91">
        <f t="shared" si="8"/>
        <v>6907</v>
      </c>
      <c r="D20" s="32">
        <f>3130+1228+48</f>
        <v>4406</v>
      </c>
      <c r="E20" s="32"/>
      <c r="F20" s="32"/>
      <c r="G20" s="32">
        <f t="shared" si="0"/>
        <v>4406</v>
      </c>
      <c r="H20" s="12"/>
      <c r="I20" s="12"/>
      <c r="J20" s="12"/>
      <c r="K20" s="12">
        <f t="shared" si="1"/>
        <v>4406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45727</v>
      </c>
      <c r="C21" s="91">
        <f t="shared" si="8"/>
        <v>6908</v>
      </c>
      <c r="D21" s="32">
        <f>6260+95</f>
        <v>6355</v>
      </c>
      <c r="E21" s="32"/>
      <c r="F21" s="32"/>
      <c r="G21" s="32">
        <f t="shared" si="0"/>
        <v>6355</v>
      </c>
      <c r="H21" s="12"/>
      <c r="I21" s="12"/>
      <c r="J21" s="12"/>
      <c r="K21" s="12">
        <f t="shared" si="1"/>
        <v>6355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45727</v>
      </c>
      <c r="C22" s="91">
        <f t="shared" si="8"/>
        <v>6909</v>
      </c>
      <c r="D22" s="32">
        <f>3130+614+48</f>
        <v>3792</v>
      </c>
      <c r="E22" s="32"/>
      <c r="F22" s="32"/>
      <c r="G22" s="32">
        <f t="shared" si="0"/>
        <v>3792</v>
      </c>
      <c r="H22" s="12"/>
      <c r="I22" s="12"/>
      <c r="J22" s="12"/>
      <c r="K22" s="12">
        <f t="shared" si="1"/>
        <v>3792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45727</v>
      </c>
      <c r="C23" s="91">
        <f t="shared" si="8"/>
        <v>6910</v>
      </c>
      <c r="D23" s="32">
        <f>2504+38</f>
        <v>2542</v>
      </c>
      <c r="E23" s="32"/>
      <c r="F23" s="32"/>
      <c r="G23" s="32">
        <f t="shared" si="0"/>
        <v>2542</v>
      </c>
      <c r="H23" s="12"/>
      <c r="I23" s="12"/>
      <c r="J23" s="10"/>
      <c r="K23" s="12">
        <f t="shared" si="1"/>
        <v>2542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>
        <v>45727</v>
      </c>
      <c r="C24" s="91">
        <f t="shared" si="8"/>
        <v>6911</v>
      </c>
      <c r="D24" s="32">
        <f>1878+614</f>
        <v>2492</v>
      </c>
      <c r="E24" s="32"/>
      <c r="F24" s="32"/>
      <c r="G24" s="32">
        <f t="shared" si="0"/>
        <v>2492</v>
      </c>
      <c r="H24" s="12"/>
      <c r="I24" s="12"/>
      <c r="J24" s="12"/>
      <c r="K24" s="12">
        <f t="shared" si="1"/>
        <v>2492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>
        <v>45727</v>
      </c>
      <c r="C25" s="91">
        <f t="shared" si="8"/>
        <v>6912</v>
      </c>
      <c r="D25" s="32">
        <f>3130+48</f>
        <v>3178</v>
      </c>
      <c r="E25" s="32"/>
      <c r="F25" s="32"/>
      <c r="G25" s="32">
        <f t="shared" si="0"/>
        <v>3178</v>
      </c>
      <c r="H25" s="12"/>
      <c r="I25" s="12"/>
      <c r="J25" s="12"/>
      <c r="K25" s="12">
        <f t="shared" si="1"/>
        <v>3178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>
        <v>45727</v>
      </c>
      <c r="C26" s="91">
        <f t="shared" si="8"/>
        <v>6913</v>
      </c>
      <c r="D26" s="32">
        <f>1878+596</f>
        <v>2474</v>
      </c>
      <c r="E26" s="32"/>
      <c r="F26" s="32"/>
      <c r="G26" s="32">
        <f t="shared" si="0"/>
        <v>2474</v>
      </c>
      <c r="H26" s="12"/>
      <c r="I26" s="12"/>
      <c r="J26" s="12"/>
      <c r="K26" s="12">
        <f t="shared" si="1"/>
        <v>2474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>
        <v>45727</v>
      </c>
      <c r="C27" s="91">
        <f t="shared" si="8"/>
        <v>6914</v>
      </c>
      <c r="D27" s="32">
        <f>2504+38</f>
        <v>2542</v>
      </c>
      <c r="E27" s="32"/>
      <c r="F27" s="32"/>
      <c r="G27" s="32">
        <f t="shared" si="0"/>
        <v>2542</v>
      </c>
      <c r="H27" s="12"/>
      <c r="I27" s="12">
        <v>14</v>
      </c>
      <c r="J27" s="12"/>
      <c r="K27" s="12">
        <f t="shared" si="1"/>
        <v>2556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>
        <v>45727</v>
      </c>
      <c r="C28" s="91">
        <f t="shared" si="8"/>
        <v>6915</v>
      </c>
      <c r="D28" s="32">
        <f>6886+1005+3306+1664+2600+1175</f>
        <v>16636</v>
      </c>
      <c r="E28" s="32"/>
      <c r="F28" s="32"/>
      <c r="G28" s="32">
        <f t="shared" si="0"/>
        <v>16636</v>
      </c>
      <c r="H28" s="12"/>
      <c r="I28" s="12">
        <f>4.5+55.5</f>
        <v>60</v>
      </c>
      <c r="J28" s="12"/>
      <c r="K28" s="12">
        <f t="shared" si="1"/>
        <v>16696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>
        <v>45727</v>
      </c>
      <c r="C29" s="91">
        <f t="shared" si="8"/>
        <v>6916</v>
      </c>
      <c r="D29" s="32">
        <f>16276+5960</f>
        <v>22236</v>
      </c>
      <c r="E29" s="32"/>
      <c r="F29" s="32"/>
      <c r="G29" s="32">
        <f t="shared" si="0"/>
        <v>22236</v>
      </c>
      <c r="H29" s="12"/>
      <c r="I29" s="12"/>
      <c r="J29" s="12"/>
      <c r="K29" s="12">
        <f t="shared" si="1"/>
        <v>22236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>
        <v>45727</v>
      </c>
      <c r="C30" s="91">
        <f t="shared" si="8"/>
        <v>6917</v>
      </c>
      <c r="D30" s="32">
        <f>3756+57</f>
        <v>3813</v>
      </c>
      <c r="E30" s="32"/>
      <c r="F30" s="32"/>
      <c r="G30" s="32">
        <f t="shared" si="0"/>
        <v>3813</v>
      </c>
      <c r="H30" s="12"/>
      <c r="I30" s="12"/>
      <c r="J30" s="12"/>
      <c r="K30" s="12">
        <f t="shared" si="1"/>
        <v>3813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11" t="s">
        <v>27</v>
      </c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148665</v>
      </c>
      <c r="E55" s="38">
        <f t="shared" ref="E55:F55" si="18">SUM(E12:E52)</f>
        <v>0</v>
      </c>
      <c r="F55" s="38">
        <f t="shared" si="18"/>
        <v>0</v>
      </c>
      <c r="G55" s="38">
        <f>SUM(G12:G54)</f>
        <v>148665</v>
      </c>
      <c r="H55" s="4"/>
      <c r="I55" s="39">
        <f>SUM(I12:I54)</f>
        <v>204</v>
      </c>
      <c r="J55" s="39">
        <f>SUM(J12:J54)</f>
        <v>0</v>
      </c>
      <c r="K55" s="40">
        <f>SUM(K12:K54)</f>
        <v>148869</v>
      </c>
      <c r="N55" s="57"/>
      <c r="O55" s="57"/>
      <c r="P55" s="38">
        <f>SUM(P12:P54)</f>
        <v>215461</v>
      </c>
      <c r="Q55" s="38">
        <f>SUM(Q12:Q36)</f>
        <v>-3069</v>
      </c>
      <c r="R55" s="38">
        <f>SUM(R12:R36)</f>
        <v>0</v>
      </c>
      <c r="S55" s="38">
        <f>SUM(S12:S54)</f>
        <v>212392</v>
      </c>
      <c r="T55" s="4"/>
      <c r="U55" s="41">
        <f>SUM(U12:U54)</f>
        <v>217.5</v>
      </c>
      <c r="V55" s="41">
        <f>SUM(V12:V36)</f>
        <v>-48</v>
      </c>
      <c r="W55" s="42">
        <f>SUM(W12:W54)</f>
        <v>212561.5</v>
      </c>
      <c r="Z55" s="57"/>
      <c r="AA55" s="57"/>
      <c r="AB55" s="38">
        <f>SUM(AB12:AB54)</f>
        <v>201136</v>
      </c>
      <c r="AC55" s="38">
        <f>SUM(AC12:AC36)</f>
        <v>-1830</v>
      </c>
      <c r="AD55" s="38">
        <f>SUM(AD12:AD36)</f>
        <v>0</v>
      </c>
      <c r="AE55" s="38">
        <f>SUM(AE12:AE54)</f>
        <v>199306</v>
      </c>
      <c r="AF55" s="4"/>
      <c r="AG55" s="41">
        <f>SUM(AG12:AG54)</f>
        <v>0</v>
      </c>
      <c r="AH55" s="41">
        <f>SUM(AH12:AH36)</f>
        <v>-1035</v>
      </c>
      <c r="AI55" s="42">
        <f>SUM(AI12:AI54)</f>
        <v>198271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40</v>
      </c>
      <c r="B62" s="57"/>
      <c r="C62" s="57"/>
      <c r="D62" s="57"/>
      <c r="E62" s="57"/>
      <c r="G62" s="57"/>
      <c r="I62" s="57" t="s">
        <v>15</v>
      </c>
      <c r="J62" s="19">
        <v>2</v>
      </c>
      <c r="M62" t="s">
        <v>40</v>
      </c>
      <c r="N62" s="57"/>
      <c r="O62" s="57"/>
      <c r="P62" s="57"/>
      <c r="Q62" s="57"/>
      <c r="R62" s="57"/>
      <c r="S62" s="57"/>
      <c r="U62" s="57" t="s">
        <v>15</v>
      </c>
      <c r="V62" s="19" t="s">
        <v>43</v>
      </c>
      <c r="Y62" t="s">
        <v>40</v>
      </c>
      <c r="Z62" s="57"/>
      <c r="AA62" s="57"/>
      <c r="AB62" s="57"/>
      <c r="AC62" s="57"/>
      <c r="AD62" s="57"/>
      <c r="AE62" s="57"/>
      <c r="AG62" s="57" t="s">
        <v>15</v>
      </c>
      <c r="AH62" s="19" t="s">
        <v>43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42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31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B65" s="25"/>
      <c r="C65" s="26"/>
      <c r="D65" s="111" t="s">
        <v>17</v>
      </c>
      <c r="E65" s="111"/>
      <c r="F65" s="92"/>
      <c r="G65" s="27"/>
      <c r="I65" s="109" t="s">
        <v>18</v>
      </c>
      <c r="J65" s="110"/>
      <c r="K65" s="107" t="s">
        <v>19</v>
      </c>
      <c r="N65" s="25"/>
      <c r="O65" s="26"/>
      <c r="P65" s="111" t="s">
        <v>17</v>
      </c>
      <c r="Q65" s="111"/>
      <c r="R65" s="92"/>
      <c r="S65" s="27"/>
      <c r="U65" s="109" t="s">
        <v>18</v>
      </c>
      <c r="V65" s="110"/>
      <c r="W65" s="107" t="s">
        <v>19</v>
      </c>
      <c r="Z65" s="25"/>
      <c r="AA65" s="26"/>
      <c r="AB65" s="111" t="s">
        <v>17</v>
      </c>
      <c r="AC65" s="111"/>
      <c r="AD65" s="92"/>
      <c r="AE65" s="27"/>
      <c r="AG65" s="109" t="s">
        <v>18</v>
      </c>
      <c r="AH65" s="110"/>
      <c r="AI65" s="107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08"/>
      <c r="N66" s="28" t="s">
        <v>20</v>
      </c>
      <c r="O66" s="28" t="s">
        <v>21</v>
      </c>
      <c r="P66" s="79" t="s">
        <v>22</v>
      </c>
      <c r="Q66" s="80" t="s">
        <v>23</v>
      </c>
      <c r="R66" s="80" t="s">
        <v>32</v>
      </c>
      <c r="S66" s="80" t="s">
        <v>24</v>
      </c>
      <c r="U66" s="29" t="s">
        <v>25</v>
      </c>
      <c r="V66" s="29" t="s">
        <v>26</v>
      </c>
      <c r="W66" s="108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08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45758</v>
      </c>
      <c r="C67" s="91">
        <v>6828</v>
      </c>
      <c r="D67" s="32">
        <f>202824+6140+29800+229*15</f>
        <v>242199</v>
      </c>
      <c r="E67" s="32">
        <v>-3591</v>
      </c>
      <c r="F67" s="32"/>
      <c r="G67" s="32">
        <f t="shared" ref="G67:G100" si="19">SUM(D67:E67)</f>
        <v>238608</v>
      </c>
      <c r="H67" s="12"/>
      <c r="I67" s="12">
        <v>780</v>
      </c>
      <c r="J67" s="12">
        <f>-666+-2100+-1302</f>
        <v>-4068</v>
      </c>
      <c r="K67" s="12">
        <f t="shared" ref="K67:K100" si="20">SUM(G67:J67)</f>
        <v>235320</v>
      </c>
      <c r="M67" s="10">
        <v>1</v>
      </c>
      <c r="N67" s="30">
        <v>45758</v>
      </c>
      <c r="O67" s="31">
        <v>6870</v>
      </c>
      <c r="P67" s="32">
        <f>142102+1826+30396+1704+3015+2496+2519</f>
        <v>184058</v>
      </c>
      <c r="Q67" s="32">
        <v>-1794</v>
      </c>
      <c r="R67" s="32"/>
      <c r="S67" s="32">
        <f>SUM(P67:Q67)</f>
        <v>182264</v>
      </c>
      <c r="T67" s="12"/>
      <c r="U67" s="12">
        <v>324</v>
      </c>
      <c r="V67" s="12"/>
      <c r="W67" s="12">
        <f>SUM(S67:V67)</f>
        <v>182588</v>
      </c>
      <c r="Y67" s="10">
        <v>1</v>
      </c>
      <c r="Z67" s="30">
        <v>45758</v>
      </c>
      <c r="AA67" s="31">
        <v>6918</v>
      </c>
      <c r="AB67" s="32">
        <f>93900+1374</f>
        <v>95274</v>
      </c>
      <c r="AC67" s="32">
        <v>-936</v>
      </c>
      <c r="AD67" s="32"/>
      <c r="AE67" s="32">
        <f>SUM(AB67:AC67)</f>
        <v>94338</v>
      </c>
      <c r="AF67" s="12"/>
      <c r="AG67" s="12">
        <v>156</v>
      </c>
      <c r="AH67" s="12">
        <f>-333+-6327</f>
        <v>-6660</v>
      </c>
      <c r="AI67" s="12">
        <f>SUM(AE67:AH67)</f>
        <v>87834</v>
      </c>
      <c r="AK67" s="62"/>
      <c r="AL67" s="65"/>
      <c r="AM67" s="87"/>
      <c r="AN67" s="106"/>
      <c r="AO67" s="106"/>
      <c r="AP67" s="87"/>
      <c r="AQ67" s="62"/>
      <c r="AR67" s="106"/>
      <c r="AS67" s="106"/>
      <c r="AT67" s="105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45758</v>
      </c>
      <c r="C68" s="91">
        <f>C67+1</f>
        <v>6829</v>
      </c>
      <c r="D68" s="32">
        <f>11894</f>
        <v>11894</v>
      </c>
      <c r="E68" s="32"/>
      <c r="F68" s="32"/>
      <c r="G68" s="32">
        <f t="shared" si="19"/>
        <v>11894</v>
      </c>
      <c r="H68" s="12"/>
      <c r="I68" s="12"/>
      <c r="J68" s="12"/>
      <c r="K68" s="12">
        <f t="shared" si="20"/>
        <v>11894</v>
      </c>
      <c r="M68" s="10">
        <v>2</v>
      </c>
      <c r="N68" s="30">
        <v>45758</v>
      </c>
      <c r="O68" s="31">
        <f>O67+1</f>
        <v>6871</v>
      </c>
      <c r="P68" s="32">
        <f>626*396+614*16+596*68+229*20</f>
        <v>302828</v>
      </c>
      <c r="Q68" s="32">
        <v>-3000</v>
      </c>
      <c r="R68" s="32"/>
      <c r="S68" s="32">
        <f t="shared" ref="S68:S99" si="21">SUM(P68:Q68)</f>
        <v>299828</v>
      </c>
      <c r="T68" s="12"/>
      <c r="U68" s="12">
        <f>1998+546</f>
        <v>2544</v>
      </c>
      <c r="V68" s="12"/>
      <c r="W68" s="12">
        <f t="shared" ref="W68:W99" si="22">SUM(S68:V68)</f>
        <v>302372</v>
      </c>
      <c r="Y68" s="10">
        <v>2</v>
      </c>
      <c r="Z68" s="30">
        <v>45758</v>
      </c>
      <c r="AA68" s="31">
        <f>AA67+1</f>
        <v>6919</v>
      </c>
      <c r="AB68" s="32">
        <f>28170+1842+2980+229</f>
        <v>33221</v>
      </c>
      <c r="AC68" s="32">
        <v>-324</v>
      </c>
      <c r="AD68" s="32"/>
      <c r="AE68" s="32">
        <f t="shared" ref="AE68:AE70" si="23">SUM(AB68:AC68)</f>
        <v>32897</v>
      </c>
      <c r="AF68" s="12"/>
      <c r="AG68" s="12">
        <v>36</v>
      </c>
      <c r="AH68" s="12"/>
      <c r="AI68" s="12">
        <f t="shared" ref="AI68:AI99" si="24">SUM(AE68:AH68)</f>
        <v>32933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05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/>
      <c r="C69" s="11" t="s">
        <v>27</v>
      </c>
      <c r="D69" s="33"/>
      <c r="E69" s="33"/>
      <c r="F69" s="33"/>
      <c r="G69" s="33">
        <f t="shared" si="19"/>
        <v>0</v>
      </c>
      <c r="H69" s="34"/>
      <c r="I69" s="34"/>
      <c r="J69" s="34"/>
      <c r="K69" s="34">
        <f t="shared" si="20"/>
        <v>0</v>
      </c>
      <c r="M69" s="10">
        <v>3</v>
      </c>
      <c r="N69" s="30">
        <v>45758</v>
      </c>
      <c r="O69" s="31">
        <f t="shared" ref="O69" si="25">O68+1</f>
        <v>6872</v>
      </c>
      <c r="P69" s="32">
        <f>626*80+596*28+229*4</f>
        <v>67684</v>
      </c>
      <c r="Q69" s="32">
        <v>-672</v>
      </c>
      <c r="R69" s="32"/>
      <c r="S69" s="32">
        <f t="shared" si="21"/>
        <v>67012</v>
      </c>
      <c r="T69" s="12"/>
      <c r="U69" s="12"/>
      <c r="V69" s="12">
        <f>-13320+-336</f>
        <v>-13656</v>
      </c>
      <c r="W69" s="12">
        <f t="shared" si="22"/>
        <v>53356</v>
      </c>
      <c r="Y69" s="10">
        <v>3</v>
      </c>
      <c r="Z69" s="30">
        <v>45758</v>
      </c>
      <c r="AA69" s="31">
        <f t="shared" ref="AA69:AA70" si="26">AA68+1</f>
        <v>6920</v>
      </c>
      <c r="AB69" s="33">
        <f>6260+614+2980+142</f>
        <v>9996</v>
      </c>
      <c r="AC69" s="33"/>
      <c r="AD69" s="32"/>
      <c r="AE69" s="32">
        <f t="shared" si="23"/>
        <v>9996</v>
      </c>
      <c r="AF69" s="12"/>
      <c r="AG69" s="12">
        <v>4</v>
      </c>
      <c r="AH69" s="12"/>
      <c r="AI69" s="12">
        <f t="shared" si="24"/>
        <v>10000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/>
      <c r="C70" s="91"/>
      <c r="D70" s="32"/>
      <c r="E70" s="32"/>
      <c r="F70" s="32"/>
      <c r="G70" s="32">
        <f t="shared" si="19"/>
        <v>0</v>
      </c>
      <c r="H70" s="12"/>
      <c r="I70" s="12"/>
      <c r="J70" s="12"/>
      <c r="K70" s="12">
        <f t="shared" si="20"/>
        <v>0</v>
      </c>
      <c r="M70" s="10">
        <v>4</v>
      </c>
      <c r="N70" s="30"/>
      <c r="O70" s="11" t="s">
        <v>27</v>
      </c>
      <c r="P70" s="32"/>
      <c r="Q70" s="32"/>
      <c r="R70" s="32"/>
      <c r="S70" s="32">
        <f t="shared" si="21"/>
        <v>0</v>
      </c>
      <c r="T70" s="12"/>
      <c r="U70" s="12"/>
      <c r="V70" s="12"/>
      <c r="W70" s="12">
        <f t="shared" si="22"/>
        <v>0</v>
      </c>
      <c r="Y70" s="10">
        <v>4</v>
      </c>
      <c r="Z70" s="30">
        <v>45758</v>
      </c>
      <c r="AA70" s="31">
        <f t="shared" si="26"/>
        <v>6921</v>
      </c>
      <c r="AB70" s="32">
        <f>5008+76</f>
        <v>5084</v>
      </c>
      <c r="AC70" s="32"/>
      <c r="AD70" s="32"/>
      <c r="AE70" s="32">
        <f t="shared" si="23"/>
        <v>5084</v>
      </c>
      <c r="AF70" s="12"/>
      <c r="AH70" s="12"/>
      <c r="AI70" s="12">
        <f t="shared" si="24"/>
        <v>5084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/>
      <c r="C71" s="91"/>
      <c r="D71" s="32"/>
      <c r="E71" s="32"/>
      <c r="F71" s="32"/>
      <c r="G71" s="32">
        <f t="shared" si="19"/>
        <v>0</v>
      </c>
      <c r="H71" s="12"/>
      <c r="I71" s="12"/>
      <c r="J71" s="12"/>
      <c r="K71" s="12">
        <f t="shared" si="20"/>
        <v>0</v>
      </c>
      <c r="M71" s="10">
        <v>5</v>
      </c>
      <c r="N71" s="30"/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/>
      <c r="AA71" s="11" t="s">
        <v>27</v>
      </c>
      <c r="AB71" s="32"/>
      <c r="AC71" s="32"/>
      <c r="AD71" s="32"/>
      <c r="AE71" s="32">
        <f t="shared" ref="AE71:AE76" si="27">SUM(AB71:AC71)</f>
        <v>0</v>
      </c>
      <c r="AF71" s="12"/>
      <c r="AG71" s="12"/>
      <c r="AH71" s="12"/>
      <c r="AI71" s="12">
        <f t="shared" si="24"/>
        <v>0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/>
      <c r="C72" s="91"/>
      <c r="D72" s="32"/>
      <c r="E72" s="32"/>
      <c r="F72" s="32"/>
      <c r="G72" s="32">
        <f t="shared" si="19"/>
        <v>0</v>
      </c>
      <c r="H72" s="12"/>
      <c r="I72" s="12"/>
      <c r="J72" s="12"/>
      <c r="K72" s="12">
        <f t="shared" si="20"/>
        <v>0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31"/>
      <c r="AB72" s="32"/>
      <c r="AC72" s="32"/>
      <c r="AD72" s="32"/>
      <c r="AE72" s="32">
        <f t="shared" si="27"/>
        <v>0</v>
      </c>
      <c r="AF72" s="12"/>
      <c r="AG72" s="12"/>
      <c r="AH72" s="10"/>
      <c r="AI72" s="12">
        <f t="shared" si="24"/>
        <v>0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/>
      <c r="C73" s="91"/>
      <c r="D73" s="32"/>
      <c r="E73" s="32"/>
      <c r="F73" s="32"/>
      <c r="G73" s="32">
        <f t="shared" si="19"/>
        <v>0</v>
      </c>
      <c r="H73" s="12"/>
      <c r="I73" s="12"/>
      <c r="J73" s="12"/>
      <c r="K73" s="12">
        <f t="shared" si="20"/>
        <v>0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7"/>
        <v>0</v>
      </c>
      <c r="AF73" s="12"/>
      <c r="AG73" s="58"/>
      <c r="AH73" s="12"/>
      <c r="AI73" s="12">
        <f t="shared" si="24"/>
        <v>0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91"/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7"/>
        <v>0</v>
      </c>
      <c r="AF74" s="12"/>
      <c r="AG74" s="12"/>
      <c r="AH74" s="12"/>
      <c r="AI74" s="12">
        <f t="shared" si="24"/>
        <v>0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91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7"/>
        <v>0</v>
      </c>
      <c r="AF75" s="12"/>
      <c r="AH75" s="12"/>
      <c r="AI75" s="12">
        <f t="shared" si="24"/>
        <v>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91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7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9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B77" s="32"/>
      <c r="AC77" s="32"/>
      <c r="AD77" s="32"/>
      <c r="AE77" s="32">
        <f t="shared" ref="AE77:AE99" si="28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91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8"/>
        <v>0</v>
      </c>
      <c r="AF78" s="12"/>
      <c r="AG78" s="12"/>
      <c r="AH78" s="12"/>
      <c r="AI78" s="12">
        <f t="shared" si="24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9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8"/>
        <v>0</v>
      </c>
      <c r="AF79" s="12"/>
      <c r="AG79" s="12"/>
      <c r="AH79" s="12"/>
      <c r="AI79" s="12">
        <f t="shared" si="24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91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8"/>
        <v>0</v>
      </c>
      <c r="AF80" s="12"/>
      <c r="AG80" s="12"/>
      <c r="AH80" s="12"/>
      <c r="AI80" s="12">
        <f t="shared" si="24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91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8"/>
        <v>0</v>
      </c>
      <c r="AF81" s="12"/>
      <c r="AG81" s="12"/>
      <c r="AH81" s="12"/>
      <c r="AI81" s="12">
        <f t="shared" si="24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91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8"/>
        <v>0</v>
      </c>
      <c r="AF82" s="12"/>
      <c r="AG82" s="12"/>
      <c r="AH82" s="12"/>
      <c r="AI82" s="12">
        <f t="shared" si="24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91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8"/>
        <v>0</v>
      </c>
      <c r="AF83" s="12"/>
      <c r="AG83" s="12"/>
      <c r="AH83" s="12"/>
      <c r="AI83" s="12">
        <f t="shared" si="24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91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8"/>
        <v>0</v>
      </c>
      <c r="AF84" s="12"/>
      <c r="AG84" s="12"/>
      <c r="AH84" s="12"/>
      <c r="AI84" s="12">
        <f t="shared" si="24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8"/>
        <v>0</v>
      </c>
      <c r="AF85" s="12"/>
      <c r="AG85" s="12"/>
      <c r="AH85" s="12"/>
      <c r="AI85" s="12">
        <f t="shared" si="24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8"/>
        <v>0</v>
      </c>
      <c r="AF86" s="12"/>
      <c r="AG86" s="12"/>
      <c r="AH86" s="12"/>
      <c r="AI86" s="12">
        <f t="shared" si="24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57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8"/>
        <v>0</v>
      </c>
      <c r="AF87" s="10"/>
      <c r="AG87" s="10"/>
      <c r="AH87" s="10"/>
      <c r="AI87" s="12">
        <f t="shared" si="24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3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8"/>
        <v>0</v>
      </c>
      <c r="AF88" s="10"/>
      <c r="AG88" s="10"/>
      <c r="AH88" s="10"/>
      <c r="AI88" s="12">
        <f t="shared" si="24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5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8"/>
        <v>0</v>
      </c>
      <c r="AF89" s="10"/>
      <c r="AG89" s="10"/>
      <c r="AH89" s="10"/>
      <c r="AI89" s="12">
        <f t="shared" si="24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3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1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8"/>
        <v>0</v>
      </c>
      <c r="AF90" s="10"/>
      <c r="AG90" s="10"/>
      <c r="AH90" s="10"/>
      <c r="AI90" s="12">
        <f t="shared" si="24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3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11"/>
      <c r="AB91" s="47"/>
      <c r="AC91" s="31"/>
      <c r="AD91" s="31"/>
      <c r="AE91" s="32">
        <f t="shared" si="28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1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B92" s="47"/>
      <c r="AC92" s="31"/>
      <c r="AD92" s="31"/>
      <c r="AE92" s="32">
        <f t="shared" si="28"/>
        <v>0</v>
      </c>
      <c r="AF92" s="10"/>
      <c r="AG92" s="10"/>
      <c r="AH92" s="10"/>
      <c r="AI92" s="12">
        <f t="shared" si="24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5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8"/>
        <v>0</v>
      </c>
      <c r="AF93" s="10"/>
      <c r="AG93" s="10"/>
      <c r="AH93" s="10"/>
      <c r="AI93" s="12">
        <f t="shared" si="24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3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8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3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8"/>
        <v>0</v>
      </c>
      <c r="AF95" s="10"/>
      <c r="AG95" s="10"/>
      <c r="AH95" s="10"/>
      <c r="AI95" s="12">
        <f t="shared" si="24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5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B96" s="47"/>
      <c r="AC96" s="31"/>
      <c r="AD96" s="31"/>
      <c r="AE96" s="32">
        <f t="shared" si="28"/>
        <v>0</v>
      </c>
      <c r="AF96" s="10"/>
      <c r="AG96" s="10"/>
      <c r="AH96" s="10"/>
      <c r="AI96" s="12">
        <f t="shared" si="24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5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B97" s="47"/>
      <c r="AC97" s="31"/>
      <c r="AD97" s="31"/>
      <c r="AE97" s="32">
        <f t="shared" si="28"/>
        <v>0</v>
      </c>
      <c r="AF97" s="10"/>
      <c r="AG97" s="10"/>
      <c r="AH97" s="10"/>
      <c r="AI97" s="12">
        <f t="shared" si="24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3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8"/>
        <v>0</v>
      </c>
      <c r="AF98" s="10"/>
      <c r="AG98" s="10"/>
      <c r="AH98" s="10"/>
      <c r="AI98" s="12">
        <f t="shared" si="24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5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8"/>
        <v>0</v>
      </c>
      <c r="AF99" s="10"/>
      <c r="AG99" s="10"/>
      <c r="AH99" s="10"/>
      <c r="AI99" s="12">
        <f t="shared" si="24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5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29">SUM(P100:Q100)</f>
        <v>0</v>
      </c>
      <c r="T100" s="10"/>
      <c r="U100" s="10"/>
      <c r="V100" s="10"/>
      <c r="W100" s="12">
        <f t="shared" ref="W100:W108" si="30">SUM(S100:V100)</f>
        <v>0</v>
      </c>
      <c r="Y100" s="10">
        <v>34</v>
      </c>
      <c r="Z100" s="30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31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29"/>
        <v>0</v>
      </c>
      <c r="T101" s="10"/>
      <c r="U101" s="10"/>
      <c r="V101" s="10"/>
      <c r="W101" s="12">
        <f t="shared" si="30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31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29"/>
        <v>0</v>
      </c>
      <c r="T102" s="10"/>
      <c r="U102" s="10"/>
      <c r="V102" s="10"/>
      <c r="W102" s="12">
        <f t="shared" si="30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29"/>
        <v>0</v>
      </c>
      <c r="T103" s="10"/>
      <c r="U103" s="10"/>
      <c r="V103" s="10"/>
      <c r="W103" s="12">
        <f t="shared" si="30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29"/>
        <v>0</v>
      </c>
      <c r="T104" s="10"/>
      <c r="U104" s="10"/>
      <c r="V104" s="10"/>
      <c r="W104" s="12">
        <f t="shared" si="30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29"/>
        <v>0</v>
      </c>
      <c r="T105" s="10"/>
      <c r="U105" s="10"/>
      <c r="V105" s="10"/>
      <c r="W105" s="12">
        <f t="shared" si="30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0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30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0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254093</v>
      </c>
      <c r="E110" s="38">
        <f t="shared" ref="E110:F110" si="37">SUM(E67:E107)</f>
        <v>-3591</v>
      </c>
      <c r="F110" s="38">
        <f t="shared" si="37"/>
        <v>0</v>
      </c>
      <c r="G110" s="38">
        <f>SUM(G67:G109)</f>
        <v>250502</v>
      </c>
      <c r="H110" s="4"/>
      <c r="I110" s="39">
        <f>SUM(I67:I109)</f>
        <v>780</v>
      </c>
      <c r="J110" s="39">
        <f>SUM(J67:J109)</f>
        <v>-4068</v>
      </c>
      <c r="K110" s="40">
        <f>SUM(K67:K109)</f>
        <v>247214</v>
      </c>
      <c r="N110" s="57"/>
      <c r="O110" s="57"/>
      <c r="P110" s="38">
        <f>SUM(P67:P109)</f>
        <v>554570</v>
      </c>
      <c r="Q110" s="38">
        <f>SUM(Q67:Q91)</f>
        <v>-5466</v>
      </c>
      <c r="R110" s="38">
        <f>SUM(R67:R91)</f>
        <v>0</v>
      </c>
      <c r="S110" s="38">
        <f>SUM(S67:S109)</f>
        <v>549104</v>
      </c>
      <c r="T110" s="4"/>
      <c r="U110" s="41">
        <f>SUM(U67:U109)</f>
        <v>2868</v>
      </c>
      <c r="V110" s="41">
        <f>SUM(V67:V91)</f>
        <v>-13656</v>
      </c>
      <c r="W110" s="42">
        <f>SUM(W67:W109)</f>
        <v>538316</v>
      </c>
      <c r="Z110" s="57"/>
      <c r="AA110" s="57"/>
      <c r="AB110" s="38">
        <f>SUM(AB67:AB109)</f>
        <v>143575</v>
      </c>
      <c r="AC110" s="38">
        <f>SUM(AC67:AC91)</f>
        <v>-1260</v>
      </c>
      <c r="AD110" s="38">
        <f>SUM(AD67:AD91)</f>
        <v>0</v>
      </c>
      <c r="AE110" s="38">
        <f>SUM(AE67:AE109)</f>
        <v>142315</v>
      </c>
      <c r="AF110" s="4"/>
      <c r="AG110" s="41">
        <f>SUM(AG67:AG109)</f>
        <v>196</v>
      </c>
      <c r="AH110" s="41">
        <f>SUM(AH67:AH91)</f>
        <v>-6660</v>
      </c>
      <c r="AI110" s="42">
        <f>SUM(AI67:AI109)</f>
        <v>135851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47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47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47</v>
      </c>
      <c r="Z117" s="57"/>
      <c r="AA117" s="57"/>
      <c r="AB117" s="57"/>
      <c r="AC117" s="57"/>
      <c r="AD117" s="57"/>
      <c r="AE117" s="57"/>
      <c r="AG117" s="57" t="s">
        <v>15</v>
      </c>
      <c r="AH117" s="19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48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48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42</v>
      </c>
      <c r="W118" s="24"/>
      <c r="Y118" s="21" t="s">
        <v>48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1" t="s">
        <v>17</v>
      </c>
      <c r="E120" s="111"/>
      <c r="F120" s="93"/>
      <c r="G120" s="27"/>
      <c r="I120" s="109" t="s">
        <v>18</v>
      </c>
      <c r="J120" s="110"/>
      <c r="K120" s="107" t="s">
        <v>19</v>
      </c>
      <c r="N120" s="25"/>
      <c r="O120" s="26"/>
      <c r="P120" s="111" t="s">
        <v>17</v>
      </c>
      <c r="Q120" s="111"/>
      <c r="R120" s="93"/>
      <c r="S120" s="27"/>
      <c r="U120" s="109" t="s">
        <v>18</v>
      </c>
      <c r="V120" s="110"/>
      <c r="W120" s="107" t="s">
        <v>19</v>
      </c>
      <c r="Z120" s="25"/>
      <c r="AA120" s="26"/>
      <c r="AB120" s="111" t="s">
        <v>17</v>
      </c>
      <c r="AC120" s="111"/>
      <c r="AD120" s="93"/>
      <c r="AE120" s="27"/>
      <c r="AG120" s="109" t="s">
        <v>18</v>
      </c>
      <c r="AH120" s="110"/>
      <c r="AI120" s="107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08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08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08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45788</v>
      </c>
      <c r="C122" s="91">
        <v>6922</v>
      </c>
      <c r="D122" s="32">
        <f>2504+38</f>
        <v>2542</v>
      </c>
      <c r="E122" s="32"/>
      <c r="F122" s="32"/>
      <c r="G122" s="32">
        <f t="shared" ref="G122:G155" si="38">SUM(D122:E122)</f>
        <v>2542</v>
      </c>
      <c r="H122" s="12"/>
      <c r="I122" s="12"/>
      <c r="J122" s="12"/>
      <c r="K122" s="12">
        <f t="shared" ref="K122:K155" si="39">SUM(G122:J122)</f>
        <v>2542</v>
      </c>
      <c r="M122" s="10">
        <v>1</v>
      </c>
      <c r="N122" s="30">
        <v>45788</v>
      </c>
      <c r="O122" s="31">
        <v>6830</v>
      </c>
      <c r="P122" s="32">
        <f>6260+614+2980+142.5+650</f>
        <v>10646.5</v>
      </c>
      <c r="Q122" s="32"/>
      <c r="R122" s="32"/>
      <c r="S122" s="32">
        <f>SUM(P122:Q122)</f>
        <v>10646.5</v>
      </c>
      <c r="T122" s="12"/>
      <c r="U122" s="12"/>
      <c r="V122" s="12"/>
      <c r="W122" s="12">
        <f>SUM(S122:V122)</f>
        <v>10646.5</v>
      </c>
      <c r="Y122" s="10">
        <v>1</v>
      </c>
      <c r="Z122" s="30">
        <v>45788</v>
      </c>
      <c r="AA122" s="31">
        <v>6873</v>
      </c>
      <c r="AB122" s="32">
        <f>1832</f>
        <v>1832</v>
      </c>
      <c r="AC122" s="32"/>
      <c r="AD122" s="32"/>
      <c r="AE122" s="32">
        <f>SUM(AB122:AC122)</f>
        <v>1832</v>
      </c>
      <c r="AF122" s="12"/>
      <c r="AG122" s="12"/>
      <c r="AH122" s="12"/>
      <c r="AI122" s="12">
        <f>SUM(AE122:AH122)</f>
        <v>1832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45788</v>
      </c>
      <c r="C123" s="91">
        <f>C122+1</f>
        <v>6923</v>
      </c>
      <c r="D123" s="32">
        <f>2504</f>
        <v>2504</v>
      </c>
      <c r="E123" s="32"/>
      <c r="F123" s="32"/>
      <c r="G123" s="32">
        <f t="shared" si="38"/>
        <v>2504</v>
      </c>
      <c r="H123" s="12"/>
      <c r="I123" s="12"/>
      <c r="J123" s="12"/>
      <c r="K123" s="12">
        <f t="shared" si="39"/>
        <v>2504</v>
      </c>
      <c r="M123" s="10">
        <v>2</v>
      </c>
      <c r="N123" s="30">
        <v>45788</v>
      </c>
      <c r="O123" s="31">
        <f>O122+1</f>
        <v>6831</v>
      </c>
      <c r="P123" s="32">
        <f>31300+458</f>
        <v>31758</v>
      </c>
      <c r="Q123" s="32"/>
      <c r="R123" s="32"/>
      <c r="S123" s="32">
        <f t="shared" ref="S123:S154" si="40">SUM(P123:Q123)</f>
        <v>31758</v>
      </c>
      <c r="T123" s="12"/>
      <c r="U123" s="12"/>
      <c r="V123" s="12"/>
      <c r="W123" s="12">
        <f t="shared" ref="W123:W154" si="41">SUM(S123:V123)</f>
        <v>31758</v>
      </c>
      <c r="Y123" s="10">
        <v>2</v>
      </c>
      <c r="Z123" s="30">
        <v>45788</v>
      </c>
      <c r="AA123" s="31">
        <f>AA122+1</f>
        <v>6874</v>
      </c>
      <c r="AB123" s="32">
        <f>1252+1192+38</f>
        <v>2482</v>
      </c>
      <c r="AC123" s="32"/>
      <c r="AD123" s="32"/>
      <c r="AE123" s="32">
        <f t="shared" ref="AE123:AE125" si="42">SUM(AB123:AC123)</f>
        <v>2482</v>
      </c>
      <c r="AF123" s="12"/>
      <c r="AG123" s="12">
        <v>36</v>
      </c>
      <c r="AH123" s="12"/>
      <c r="AI123" s="12">
        <f t="shared" ref="AI123:AI154" si="43">SUM(AE123:AH123)</f>
        <v>2518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45788</v>
      </c>
      <c r="C124" s="91">
        <f t="shared" ref="C124:C145" si="44">C123+1</f>
        <v>6924</v>
      </c>
      <c r="D124" s="33">
        <f>4382</f>
        <v>4382</v>
      </c>
      <c r="E124" s="33"/>
      <c r="F124" s="33"/>
      <c r="G124" s="33">
        <f t="shared" si="38"/>
        <v>4382</v>
      </c>
      <c r="H124" s="34"/>
      <c r="I124" s="34"/>
      <c r="J124" s="34"/>
      <c r="K124" s="34">
        <f t="shared" si="39"/>
        <v>4382</v>
      </c>
      <c r="M124" s="10">
        <v>3</v>
      </c>
      <c r="N124" s="30">
        <v>45788</v>
      </c>
      <c r="O124" s="31">
        <f t="shared" ref="O124:O127" si="45">O123+1</f>
        <v>6832</v>
      </c>
      <c r="P124" s="32">
        <f>626+9.5</f>
        <v>635.5</v>
      </c>
      <c r="Q124" s="32"/>
      <c r="R124" s="32"/>
      <c r="S124" s="32">
        <f t="shared" si="40"/>
        <v>635.5</v>
      </c>
      <c r="T124" s="12"/>
      <c r="U124" s="12"/>
      <c r="V124" s="12"/>
      <c r="W124" s="12">
        <f t="shared" si="41"/>
        <v>635.5</v>
      </c>
      <c r="Y124" s="10">
        <v>3</v>
      </c>
      <c r="Z124" s="30">
        <v>45788</v>
      </c>
      <c r="AA124" s="31">
        <f t="shared" ref="AA124:AA130" si="46">AA123+1</f>
        <v>6875</v>
      </c>
      <c r="AB124" s="33">
        <f>6886+1228+229</f>
        <v>8343</v>
      </c>
      <c r="AC124" s="33"/>
      <c r="AD124" s="32"/>
      <c r="AE124" s="32">
        <f t="shared" si="42"/>
        <v>8343</v>
      </c>
      <c r="AF124" s="12"/>
      <c r="AG124" s="12">
        <v>1443</v>
      </c>
      <c r="AH124" s="12"/>
      <c r="AI124" s="12">
        <f t="shared" si="43"/>
        <v>9786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45788</v>
      </c>
      <c r="C125" s="91">
        <f t="shared" si="44"/>
        <v>6925</v>
      </c>
      <c r="D125" s="32">
        <f>626*14+596*6</f>
        <v>12340</v>
      </c>
      <c r="E125" s="32"/>
      <c r="F125" s="32"/>
      <c r="G125" s="32">
        <f t="shared" si="38"/>
        <v>12340</v>
      </c>
      <c r="H125" s="12"/>
      <c r="I125" s="12"/>
      <c r="J125" s="12"/>
      <c r="K125" s="12">
        <f t="shared" si="39"/>
        <v>12340</v>
      </c>
      <c r="M125" s="10">
        <v>4</v>
      </c>
      <c r="N125" s="30">
        <v>45788</v>
      </c>
      <c r="O125" s="31">
        <f t="shared" si="45"/>
        <v>6833</v>
      </c>
      <c r="P125" s="32">
        <f>6886+9.5*11+650</f>
        <v>7640.5</v>
      </c>
      <c r="Q125" s="32"/>
      <c r="R125" s="32"/>
      <c r="S125" s="32">
        <f t="shared" si="40"/>
        <v>7640.5</v>
      </c>
      <c r="T125" s="12"/>
      <c r="U125" s="12"/>
      <c r="V125" s="12"/>
      <c r="W125" s="12">
        <f t="shared" si="41"/>
        <v>7640.5</v>
      </c>
      <c r="Y125" s="10">
        <v>4</v>
      </c>
      <c r="Z125" s="30">
        <v>45788</v>
      </c>
      <c r="AA125" s="31">
        <f t="shared" si="46"/>
        <v>6876</v>
      </c>
      <c r="AB125" s="32">
        <f>15024+229</f>
        <v>15253</v>
      </c>
      <c r="AC125" s="32"/>
      <c r="AD125" s="32"/>
      <c r="AE125" s="32">
        <f t="shared" si="42"/>
        <v>15253</v>
      </c>
      <c r="AF125" s="12"/>
      <c r="AG125">
        <v>27</v>
      </c>
      <c r="AH125" s="12"/>
      <c r="AI125" s="12">
        <f t="shared" si="43"/>
        <v>15280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45788</v>
      </c>
      <c r="C126" s="91">
        <f t="shared" si="44"/>
        <v>6926</v>
      </c>
      <c r="D126" s="32">
        <f>6260+1228+95</f>
        <v>7583</v>
      </c>
      <c r="E126" s="32"/>
      <c r="F126" s="32"/>
      <c r="G126" s="32">
        <f t="shared" si="38"/>
        <v>7583</v>
      </c>
      <c r="H126" s="12"/>
      <c r="I126" s="12">
        <v>15</v>
      </c>
      <c r="J126" s="12"/>
      <c r="K126" s="12">
        <f t="shared" si="39"/>
        <v>7598</v>
      </c>
      <c r="M126" s="10">
        <v>5</v>
      </c>
      <c r="N126" s="30">
        <v>45788</v>
      </c>
      <c r="O126" s="31">
        <f t="shared" si="45"/>
        <v>6834</v>
      </c>
      <c r="P126" s="32">
        <f>21910+832+229</f>
        <v>22971</v>
      </c>
      <c r="Q126" s="32"/>
      <c r="R126" s="32"/>
      <c r="S126" s="32">
        <f t="shared" si="40"/>
        <v>22971</v>
      </c>
      <c r="T126" s="12"/>
      <c r="U126" s="12">
        <f>4.5*4</f>
        <v>18</v>
      </c>
      <c r="V126" s="12"/>
      <c r="W126" s="12">
        <f t="shared" si="41"/>
        <v>22989</v>
      </c>
      <c r="Y126" s="10">
        <v>5</v>
      </c>
      <c r="Z126" s="30">
        <v>45788</v>
      </c>
      <c r="AA126" s="31">
        <f t="shared" si="46"/>
        <v>6877</v>
      </c>
      <c r="AB126" s="32">
        <f>3756+614+1192+76</f>
        <v>5638</v>
      </c>
      <c r="AC126" s="32"/>
      <c r="AD126" s="32"/>
      <c r="AE126" s="32">
        <f t="shared" ref="AE126:AE131" si="47">SUM(AB126:AC126)</f>
        <v>5638</v>
      </c>
      <c r="AF126" s="12"/>
      <c r="AG126" s="12">
        <v>18</v>
      </c>
      <c r="AH126" s="12"/>
      <c r="AI126" s="12">
        <f t="shared" si="43"/>
        <v>5656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45788</v>
      </c>
      <c r="C127" s="91">
        <f t="shared" si="44"/>
        <v>6927</v>
      </c>
      <c r="D127" s="32">
        <f>1252+19</f>
        <v>1271</v>
      </c>
      <c r="E127" s="32"/>
      <c r="F127" s="32"/>
      <c r="G127" s="32">
        <f t="shared" si="38"/>
        <v>1271</v>
      </c>
      <c r="H127" s="12"/>
      <c r="I127" s="12">
        <v>9</v>
      </c>
      <c r="J127" s="12"/>
      <c r="K127" s="12">
        <f t="shared" si="39"/>
        <v>1280</v>
      </c>
      <c r="M127" s="10">
        <v>6</v>
      </c>
      <c r="N127" s="30">
        <v>45788</v>
      </c>
      <c r="O127" s="31">
        <f t="shared" si="45"/>
        <v>6835</v>
      </c>
      <c r="P127" s="32">
        <f>100160+3070+5960+4160+1603+14300</f>
        <v>129253</v>
      </c>
      <c r="Q127" s="32">
        <v>-1683</v>
      </c>
      <c r="R127" s="32"/>
      <c r="S127" s="32">
        <f t="shared" si="40"/>
        <v>127570</v>
      </c>
      <c r="T127" s="12"/>
      <c r="U127" s="12">
        <f>546+120*5</f>
        <v>1146</v>
      </c>
      <c r="V127" s="10">
        <v>-26529</v>
      </c>
      <c r="W127" s="12">
        <f t="shared" si="41"/>
        <v>102187</v>
      </c>
      <c r="Y127" s="10">
        <v>6</v>
      </c>
      <c r="Z127" s="30">
        <v>45788</v>
      </c>
      <c r="AA127" s="31">
        <f t="shared" si="46"/>
        <v>6878</v>
      </c>
      <c r="AB127" s="32">
        <f>87014+1005+916</f>
        <v>88935</v>
      </c>
      <c r="AC127" s="32">
        <v>-864</v>
      </c>
      <c r="AD127" s="32"/>
      <c r="AE127" s="32">
        <f t="shared" si="47"/>
        <v>88071</v>
      </c>
      <c r="AF127" s="12"/>
      <c r="AG127" s="12">
        <v>4218</v>
      </c>
      <c r="AH127" s="10">
        <v>-156</v>
      </c>
      <c r="AI127" s="12">
        <f t="shared" si="43"/>
        <v>92133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45788</v>
      </c>
      <c r="C128" s="91">
        <f t="shared" si="44"/>
        <v>6928</v>
      </c>
      <c r="D128" s="32">
        <f>1878+614+596+38</f>
        <v>3126</v>
      </c>
      <c r="E128" s="32"/>
      <c r="F128" s="32"/>
      <c r="G128" s="32">
        <f t="shared" si="38"/>
        <v>3126</v>
      </c>
      <c r="H128" s="12"/>
      <c r="I128" s="12">
        <f>9+4</f>
        <v>13</v>
      </c>
      <c r="J128" s="12"/>
      <c r="K128" s="12">
        <f t="shared" si="39"/>
        <v>3139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>
        <v>45788</v>
      </c>
      <c r="AA128" s="31">
        <f t="shared" si="46"/>
        <v>6879</v>
      </c>
      <c r="AB128" s="32">
        <f>16902+457+416</f>
        <v>17775</v>
      </c>
      <c r="AC128" s="32"/>
      <c r="AD128" s="32"/>
      <c r="AE128" s="32">
        <f t="shared" si="47"/>
        <v>17775</v>
      </c>
      <c r="AF128" s="12"/>
      <c r="AG128" s="58">
        <v>2997</v>
      </c>
      <c r="AH128" s="12"/>
      <c r="AI128" s="12">
        <f t="shared" si="43"/>
        <v>20772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45788</v>
      </c>
      <c r="C129" s="91">
        <f t="shared" si="44"/>
        <v>6929</v>
      </c>
      <c r="D129" s="32">
        <f>5008+76</f>
        <v>5084</v>
      </c>
      <c r="E129" s="32"/>
      <c r="F129" s="32"/>
      <c r="G129" s="32">
        <f t="shared" si="38"/>
        <v>5084</v>
      </c>
      <c r="H129" s="12"/>
      <c r="I129" s="12"/>
      <c r="J129" s="12"/>
      <c r="K129" s="12">
        <f t="shared" si="39"/>
        <v>5084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>
        <v>45788</v>
      </c>
      <c r="AA129" s="31">
        <f t="shared" si="46"/>
        <v>6880</v>
      </c>
      <c r="AB129" s="32">
        <f>6260+596*15</f>
        <v>15200</v>
      </c>
      <c r="AC129" s="32"/>
      <c r="AE129" s="32">
        <f t="shared" si="47"/>
        <v>15200</v>
      </c>
      <c r="AF129" s="12"/>
      <c r="AG129" s="12">
        <v>2775</v>
      </c>
      <c r="AH129" s="12"/>
      <c r="AI129" s="12">
        <f t="shared" si="43"/>
        <v>17975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45788</v>
      </c>
      <c r="C130" s="91">
        <f t="shared" si="44"/>
        <v>6930</v>
      </c>
      <c r="D130" s="32">
        <f>2504+38</f>
        <v>2542</v>
      </c>
      <c r="E130" s="32"/>
      <c r="F130" s="32"/>
      <c r="G130" s="32">
        <f t="shared" si="38"/>
        <v>2542</v>
      </c>
      <c r="H130" s="12"/>
      <c r="I130" s="12"/>
      <c r="J130" s="12"/>
      <c r="K130" s="12">
        <f t="shared" si="39"/>
        <v>2542</v>
      </c>
      <c r="M130" s="10">
        <v>9</v>
      </c>
      <c r="N130" s="30"/>
      <c r="O130" s="3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>
        <v>45788</v>
      </c>
      <c r="AA130" s="31">
        <f t="shared" si="46"/>
        <v>6881</v>
      </c>
      <c r="AB130" s="32">
        <v>13034</v>
      </c>
      <c r="AC130" s="32"/>
      <c r="AD130" s="32"/>
      <c r="AE130" s="32">
        <f t="shared" si="47"/>
        <v>13034</v>
      </c>
      <c r="AF130" s="12"/>
      <c r="AG130" s="58">
        <v>2109</v>
      </c>
      <c r="AH130" s="12"/>
      <c r="AI130" s="12">
        <f t="shared" si="43"/>
        <v>15143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45788</v>
      </c>
      <c r="C131" s="91">
        <f t="shared" si="44"/>
        <v>6931</v>
      </c>
      <c r="D131" s="32">
        <f>1878+28</f>
        <v>1906</v>
      </c>
      <c r="E131" s="32"/>
      <c r="F131" s="32"/>
      <c r="G131" s="32">
        <f t="shared" si="38"/>
        <v>1906</v>
      </c>
      <c r="H131" s="12"/>
      <c r="I131" s="12"/>
      <c r="J131" s="12"/>
      <c r="K131" s="12">
        <f t="shared" si="39"/>
        <v>1906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 t="s">
        <v>27</v>
      </c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45788</v>
      </c>
      <c r="C132" s="91">
        <f t="shared" si="44"/>
        <v>6932</v>
      </c>
      <c r="D132" s="32">
        <f>31300+229</f>
        <v>31529</v>
      </c>
      <c r="E132" s="32"/>
      <c r="F132" s="32"/>
      <c r="G132" s="32">
        <f t="shared" si="38"/>
        <v>31529</v>
      </c>
      <c r="H132" s="12"/>
      <c r="I132" s="12"/>
      <c r="J132" s="12"/>
      <c r="K132" s="12">
        <f t="shared" si="39"/>
        <v>31529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60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>
        <v>45788</v>
      </c>
      <c r="C133" s="91">
        <f t="shared" si="44"/>
        <v>6933</v>
      </c>
      <c r="D133" s="32">
        <f>1878+614+28</f>
        <v>2520</v>
      </c>
      <c r="E133" s="32"/>
      <c r="F133" s="32"/>
      <c r="G133" s="32">
        <f t="shared" si="38"/>
        <v>2520</v>
      </c>
      <c r="H133" s="12"/>
      <c r="I133" s="12"/>
      <c r="J133" s="10"/>
      <c r="K133" s="12">
        <f t="shared" si="39"/>
        <v>2520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>
        <v>45788</v>
      </c>
      <c r="C134" s="91">
        <f t="shared" si="44"/>
        <v>6934</v>
      </c>
      <c r="D134" s="32">
        <f>1252+19</f>
        <v>1271</v>
      </c>
      <c r="E134" s="32"/>
      <c r="F134" s="32"/>
      <c r="G134" s="32">
        <f t="shared" si="38"/>
        <v>1271</v>
      </c>
      <c r="H134" s="12"/>
      <c r="I134" s="12"/>
      <c r="J134" s="12"/>
      <c r="K134" s="12">
        <f t="shared" si="39"/>
        <v>1271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>
        <v>45788</v>
      </c>
      <c r="C135" s="91">
        <f t="shared" si="44"/>
        <v>6935</v>
      </c>
      <c r="D135" s="32">
        <f>1878+28</f>
        <v>1906</v>
      </c>
      <c r="E135" s="32"/>
      <c r="F135" s="32"/>
      <c r="G135" s="32">
        <f t="shared" si="38"/>
        <v>1906</v>
      </c>
      <c r="H135" s="12"/>
      <c r="I135" s="12"/>
      <c r="J135" s="12"/>
      <c r="K135" s="12">
        <f t="shared" si="39"/>
        <v>1906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>
        <v>45788</v>
      </c>
      <c r="C136" s="91">
        <f t="shared" si="44"/>
        <v>6936</v>
      </c>
      <c r="D136" s="32">
        <f>1878+28</f>
        <v>1906</v>
      </c>
      <c r="E136" s="32"/>
      <c r="F136" s="32"/>
      <c r="G136" s="32">
        <f t="shared" si="38"/>
        <v>1906</v>
      </c>
      <c r="H136" s="12"/>
      <c r="I136" s="12"/>
      <c r="J136" s="12"/>
      <c r="K136" s="12">
        <f t="shared" si="39"/>
        <v>1906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>
        <v>45788</v>
      </c>
      <c r="C137" s="91">
        <f t="shared" si="44"/>
        <v>6937</v>
      </c>
      <c r="D137" s="32">
        <f>3756+596+66</f>
        <v>4418</v>
      </c>
      <c r="E137" s="32"/>
      <c r="F137" s="32"/>
      <c r="G137" s="32">
        <f t="shared" si="38"/>
        <v>4418</v>
      </c>
      <c r="H137" s="12"/>
      <c r="I137" s="12"/>
      <c r="J137" s="12"/>
      <c r="K137" s="12">
        <f t="shared" si="39"/>
        <v>4418</v>
      </c>
      <c r="M137" s="10">
        <v>16</v>
      </c>
      <c r="N137" s="30"/>
      <c r="O137" s="31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>
        <v>45788</v>
      </c>
      <c r="C138" s="91">
        <f t="shared" si="44"/>
        <v>6938</v>
      </c>
      <c r="D138" s="32">
        <f>42568+8940</f>
        <v>51508</v>
      </c>
      <c r="E138" s="32"/>
      <c r="F138" s="32"/>
      <c r="G138" s="32">
        <f t="shared" si="38"/>
        <v>51508</v>
      </c>
      <c r="H138" s="12"/>
      <c r="I138" s="12"/>
      <c r="J138" s="12"/>
      <c r="K138" s="12">
        <f t="shared" si="39"/>
        <v>51508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>
        <v>45788</v>
      </c>
      <c r="C139" s="91">
        <f t="shared" si="44"/>
        <v>6939</v>
      </c>
      <c r="D139" s="32">
        <f>12520+1348</f>
        <v>13868</v>
      </c>
      <c r="E139" s="32"/>
      <c r="F139" s="32"/>
      <c r="G139" s="32">
        <f t="shared" si="38"/>
        <v>13868</v>
      </c>
      <c r="H139" s="12"/>
      <c r="I139" s="12"/>
      <c r="J139" s="12"/>
      <c r="K139" s="12">
        <f t="shared" si="39"/>
        <v>13868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>
        <v>45788</v>
      </c>
      <c r="C140" s="91">
        <f t="shared" si="44"/>
        <v>6940</v>
      </c>
      <c r="D140" s="32">
        <f>3756+614+57</f>
        <v>4427</v>
      </c>
      <c r="E140" s="32"/>
      <c r="F140" s="32"/>
      <c r="G140" s="32">
        <f t="shared" si="38"/>
        <v>4427</v>
      </c>
      <c r="H140" s="12"/>
      <c r="I140" s="12"/>
      <c r="J140" s="12"/>
      <c r="K140" s="12">
        <f t="shared" si="39"/>
        <v>4427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>
        <v>45788</v>
      </c>
      <c r="C141" s="91">
        <f t="shared" si="44"/>
        <v>6941</v>
      </c>
      <c r="D141" s="32">
        <f>31926+229</f>
        <v>32155</v>
      </c>
      <c r="E141" s="32"/>
      <c r="F141" s="32"/>
      <c r="G141" s="32">
        <f t="shared" si="38"/>
        <v>32155</v>
      </c>
      <c r="H141" s="12"/>
      <c r="I141" s="12"/>
      <c r="J141" s="12"/>
      <c r="K141" s="12">
        <f t="shared" si="39"/>
        <v>32155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>
        <v>45788</v>
      </c>
      <c r="C142" s="91">
        <f t="shared" si="44"/>
        <v>6942</v>
      </c>
      <c r="D142" s="32">
        <f>6260+95</f>
        <v>6355</v>
      </c>
      <c r="E142" s="32"/>
      <c r="F142" s="32"/>
      <c r="G142" s="32">
        <f t="shared" si="38"/>
        <v>6355</v>
      </c>
      <c r="H142" s="10"/>
      <c r="I142" s="10"/>
      <c r="J142" s="10"/>
      <c r="K142" s="12">
        <f t="shared" si="39"/>
        <v>6355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>
        <v>45788</v>
      </c>
      <c r="C143" s="91">
        <f t="shared" si="44"/>
        <v>6943</v>
      </c>
      <c r="D143" s="32">
        <f>2504+38</f>
        <v>2542</v>
      </c>
      <c r="E143" s="32"/>
      <c r="F143" s="32"/>
      <c r="G143" s="32">
        <f t="shared" si="38"/>
        <v>2542</v>
      </c>
      <c r="H143" s="10"/>
      <c r="I143" s="10"/>
      <c r="J143" s="10"/>
      <c r="K143" s="12">
        <f t="shared" si="39"/>
        <v>2542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>
        <v>45788</v>
      </c>
      <c r="C144" s="91">
        <f t="shared" si="44"/>
        <v>6944</v>
      </c>
      <c r="D144" s="32">
        <f>1878+28</f>
        <v>1906</v>
      </c>
      <c r="E144" s="32"/>
      <c r="F144" s="32"/>
      <c r="G144" s="32">
        <f t="shared" si="38"/>
        <v>1906</v>
      </c>
      <c r="H144" s="10"/>
      <c r="I144" s="10"/>
      <c r="J144" s="12"/>
      <c r="K144" s="12">
        <f t="shared" si="39"/>
        <v>1906</v>
      </c>
      <c r="M144" s="10">
        <v>23</v>
      </c>
      <c r="N144" s="30"/>
      <c r="O144" s="31"/>
      <c r="P144" s="47"/>
      <c r="Q144" s="31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C144" s="31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>
        <v>45788</v>
      </c>
      <c r="C145" s="91">
        <f t="shared" si="44"/>
        <v>6945</v>
      </c>
      <c r="D145" s="32">
        <f>1878</f>
        <v>1878</v>
      </c>
      <c r="E145" s="32"/>
      <c r="F145" s="32"/>
      <c r="G145" s="32">
        <f t="shared" si="38"/>
        <v>1878</v>
      </c>
      <c r="H145" s="10"/>
      <c r="I145" s="10"/>
      <c r="J145" s="10"/>
      <c r="K145" s="12">
        <f t="shared" si="39"/>
        <v>1878</v>
      </c>
      <c r="M145" s="10">
        <v>24</v>
      </c>
      <c r="N145" s="30"/>
      <c r="O145" s="1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11" t="s">
        <v>27</v>
      </c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1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91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91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91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91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91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91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91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91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91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Y155" s="10">
        <v>34</v>
      </c>
      <c r="Z155" s="30"/>
      <c r="AB155" s="47"/>
      <c r="AC155" s="31"/>
      <c r="AD155" s="31"/>
      <c r="AE155" s="32">
        <f t="shared" si="48"/>
        <v>0</v>
      </c>
      <c r="AF155" s="10"/>
      <c r="AG155" s="10"/>
      <c r="AH155" s="10"/>
      <c r="AI155" s="12">
        <f t="shared" ref="AI155:AI163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8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8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8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8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8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201469</v>
      </c>
      <c r="E165" s="38">
        <f t="shared" ref="E165:F165" si="56">SUM(E122:E162)</f>
        <v>0</v>
      </c>
      <c r="F165" s="38">
        <f t="shared" si="56"/>
        <v>0</v>
      </c>
      <c r="G165" s="38">
        <f>SUM(G122:G164)</f>
        <v>201469</v>
      </c>
      <c r="H165" s="4"/>
      <c r="I165" s="39">
        <f>SUM(I122:I164)</f>
        <v>37</v>
      </c>
      <c r="J165" s="39">
        <f>SUM(J122:J164)</f>
        <v>0</v>
      </c>
      <c r="K165" s="40">
        <f>SUM(K122:K164)</f>
        <v>201506</v>
      </c>
      <c r="N165" s="57"/>
      <c r="O165" s="57"/>
      <c r="P165" s="38">
        <f>SUM(P122:P164)</f>
        <v>202904.5</v>
      </c>
      <c r="Q165" s="38">
        <f>SUM(Q122:Q146)</f>
        <v>-1683</v>
      </c>
      <c r="R165" s="38">
        <f>SUM(R122:R146)</f>
        <v>0</v>
      </c>
      <c r="S165" s="38">
        <f>SUM(S122:S164)</f>
        <v>201221.5</v>
      </c>
      <c r="T165" s="4"/>
      <c r="U165" s="41">
        <f>SUM(U122:U164)</f>
        <v>1164</v>
      </c>
      <c r="V165" s="41">
        <f>SUM(V122:V146)</f>
        <v>-26529</v>
      </c>
      <c r="W165" s="42">
        <f>SUM(W122:W164)</f>
        <v>175856.5</v>
      </c>
      <c r="Z165" s="57"/>
      <c r="AA165" s="57"/>
      <c r="AB165" s="38">
        <f>SUM(AB122:AB164)</f>
        <v>168492</v>
      </c>
      <c r="AC165" s="38">
        <f>SUM(AC122:AC146)</f>
        <v>-864</v>
      </c>
      <c r="AD165" s="38">
        <f>SUM(AD122:AD146)</f>
        <v>0</v>
      </c>
      <c r="AE165" s="38">
        <f>SUM(AE122:AE164)</f>
        <v>167628</v>
      </c>
      <c r="AF165" s="4"/>
      <c r="AG165" s="41">
        <f>SUM(AG122:AG164)</f>
        <v>13623</v>
      </c>
      <c r="AH165" s="41">
        <f>SUM(AH122:AH146)</f>
        <v>-156</v>
      </c>
      <c r="AI165" s="42">
        <f>SUM(AI122:AI164)</f>
        <v>181095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50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50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50</v>
      </c>
      <c r="Z172" s="57"/>
      <c r="AA172" s="57"/>
      <c r="AB172" s="57"/>
      <c r="AC172" s="57"/>
      <c r="AD172" s="57"/>
      <c r="AE172" s="57"/>
      <c r="AG172" s="57" t="s">
        <v>15</v>
      </c>
      <c r="AH172" s="19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51</v>
      </c>
      <c r="B173" s="20"/>
      <c r="C173" s="57"/>
      <c r="D173" s="57"/>
      <c r="E173" s="57"/>
      <c r="G173" s="57"/>
      <c r="I173" s="22" t="s">
        <v>16</v>
      </c>
      <c r="J173" s="23" t="s">
        <v>33</v>
      </c>
      <c r="K173" s="24"/>
      <c r="M173" s="21" t="s">
        <v>51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42</v>
      </c>
      <c r="W173" s="24"/>
      <c r="Y173" s="21" t="s">
        <v>51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1" t="s">
        <v>17</v>
      </c>
      <c r="E175" s="111"/>
      <c r="F175" s="94"/>
      <c r="G175" s="27"/>
      <c r="I175" s="109" t="s">
        <v>18</v>
      </c>
      <c r="J175" s="110"/>
      <c r="K175" s="107" t="s">
        <v>19</v>
      </c>
      <c r="N175" s="25"/>
      <c r="O175" s="26"/>
      <c r="P175" s="111" t="s">
        <v>17</v>
      </c>
      <c r="Q175" s="111"/>
      <c r="R175" s="94"/>
      <c r="S175" s="27"/>
      <c r="U175" s="109" t="s">
        <v>18</v>
      </c>
      <c r="V175" s="110"/>
      <c r="W175" s="107" t="s">
        <v>19</v>
      </c>
      <c r="Z175" s="25"/>
      <c r="AA175" s="26"/>
      <c r="AB175" s="111" t="s">
        <v>17</v>
      </c>
      <c r="AC175" s="111"/>
      <c r="AD175" s="94"/>
      <c r="AE175" s="27"/>
      <c r="AG175" s="109" t="s">
        <v>18</v>
      </c>
      <c r="AH175" s="110"/>
      <c r="AI175" s="107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9" t="s">
        <v>22</v>
      </c>
      <c r="E176" s="78" t="s">
        <v>23</v>
      </c>
      <c r="F176" s="80" t="s">
        <v>32</v>
      </c>
      <c r="G176" s="80" t="s">
        <v>24</v>
      </c>
      <c r="I176" s="29" t="s">
        <v>25</v>
      </c>
      <c r="J176" s="29" t="s">
        <v>26</v>
      </c>
      <c r="K176" s="108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08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08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45819</v>
      </c>
      <c r="C177" s="91">
        <v>6946</v>
      </c>
      <c r="D177" s="32">
        <f>6260+500</f>
        <v>6760</v>
      </c>
      <c r="E177" s="32"/>
      <c r="F177" s="32"/>
      <c r="G177" s="32">
        <f t="shared" ref="G177:G210" si="57">SUM(D177:E177)</f>
        <v>6760</v>
      </c>
      <c r="H177" s="12"/>
      <c r="I177" s="12">
        <v>444</v>
      </c>
      <c r="J177" s="12"/>
      <c r="K177" s="12">
        <f t="shared" ref="K177:K210" si="58">SUM(G177:J177)</f>
        <v>7204</v>
      </c>
      <c r="M177" s="10">
        <v>1</v>
      </c>
      <c r="N177" s="30">
        <v>45819</v>
      </c>
      <c r="O177" s="31">
        <v>6836</v>
      </c>
      <c r="P177" s="32">
        <f>28170+2980+229</f>
        <v>31379</v>
      </c>
      <c r="Q177" s="32"/>
      <c r="R177" s="32"/>
      <c r="S177" s="32">
        <f>SUM(P177:Q177)</f>
        <v>31379</v>
      </c>
      <c r="T177" s="12"/>
      <c r="U177" s="12"/>
      <c r="V177" s="12"/>
      <c r="W177" s="12">
        <f>SUM(S177:V177)</f>
        <v>31379</v>
      </c>
      <c r="Y177" s="10">
        <v>1</v>
      </c>
      <c r="Z177" s="30">
        <v>45819</v>
      </c>
      <c r="AA177" s="31">
        <v>6882</v>
      </c>
      <c r="AB177" s="32">
        <f>131*626+614*5+596*80+229*9</f>
        <v>134817</v>
      </c>
      <c r="AC177" s="32"/>
      <c r="AD177" s="32"/>
      <c r="AE177" s="32">
        <f>SUM(AB177:AC177)</f>
        <v>134817</v>
      </c>
      <c r="AF177" s="12"/>
      <c r="AG177" s="12">
        <v>12876</v>
      </c>
      <c r="AH177" s="12"/>
      <c r="AI177" s="12">
        <f>SUM(AE177:AH177)</f>
        <v>147693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45819</v>
      </c>
      <c r="C178" s="91">
        <f>C177+1</f>
        <v>6947</v>
      </c>
      <c r="D178" s="32">
        <f>20658+229</f>
        <v>20887</v>
      </c>
      <c r="E178" s="32"/>
      <c r="F178" s="32"/>
      <c r="G178" s="32">
        <f t="shared" si="57"/>
        <v>20887</v>
      </c>
      <c r="H178" s="12"/>
      <c r="I178" s="12"/>
      <c r="J178" s="12"/>
      <c r="K178" s="12">
        <f t="shared" si="58"/>
        <v>20887</v>
      </c>
      <c r="M178" s="10">
        <v>2</v>
      </c>
      <c r="N178" s="30">
        <v>45819</v>
      </c>
      <c r="O178" s="31">
        <f>O177+1</f>
        <v>6837</v>
      </c>
      <c r="P178" s="32">
        <f>50706+229</f>
        <v>50935</v>
      </c>
      <c r="Q178" s="32">
        <v>-656</v>
      </c>
      <c r="R178" s="32"/>
      <c r="S178" s="32">
        <f t="shared" ref="S178:S209" si="59">SUM(P178:Q178)</f>
        <v>50279</v>
      </c>
      <c r="T178" s="12"/>
      <c r="U178" s="12">
        <v>54</v>
      </c>
      <c r="V178" s="12"/>
      <c r="W178" s="12">
        <f t="shared" ref="W178:W209" si="60">SUM(S178:V178)</f>
        <v>50333</v>
      </c>
      <c r="Y178" s="10">
        <v>2</v>
      </c>
      <c r="Z178" s="30">
        <v>45819</v>
      </c>
      <c r="AA178" s="31">
        <f>AA177+1</f>
        <v>6883</v>
      </c>
      <c r="AB178" s="32">
        <f>197190+614*15+17880+3435</f>
        <v>227715</v>
      </c>
      <c r="AC178" s="32">
        <v>-2250</v>
      </c>
      <c r="AD178" s="32"/>
      <c r="AE178" s="32">
        <f t="shared" ref="AE178:AE180" si="61">SUM(AB178:AC178)</f>
        <v>225465</v>
      </c>
      <c r="AF178" s="12"/>
      <c r="AG178" s="12">
        <v>540</v>
      </c>
      <c r="AH178" s="12"/>
      <c r="AI178" s="12">
        <f t="shared" ref="AI178:AI209" si="62">SUM(AE178:AH178)</f>
        <v>226005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45819</v>
      </c>
      <c r="C179" s="91">
        <f t="shared" ref="C179:C185" si="63">C178+1</f>
        <v>6948</v>
      </c>
      <c r="D179" s="33">
        <f>2504+1788+67</f>
        <v>4359</v>
      </c>
      <c r="E179" s="33"/>
      <c r="F179" s="33"/>
      <c r="G179" s="33">
        <f t="shared" si="57"/>
        <v>4359</v>
      </c>
      <c r="H179" s="34"/>
      <c r="I179" s="34"/>
      <c r="J179" s="34"/>
      <c r="K179" s="34">
        <f t="shared" si="58"/>
        <v>4359</v>
      </c>
      <c r="M179" s="10">
        <v>3</v>
      </c>
      <c r="N179" s="30">
        <v>45819</v>
      </c>
      <c r="O179" s="31">
        <f t="shared" ref="O179:O188" si="64">O178+1</f>
        <v>6838</v>
      </c>
      <c r="P179" s="32">
        <f>626*33+229</f>
        <v>20887</v>
      </c>
      <c r="Q179" s="32"/>
      <c r="R179" s="32"/>
      <c r="S179" s="32">
        <f t="shared" si="59"/>
        <v>20887</v>
      </c>
      <c r="T179" s="12"/>
      <c r="U179" s="12">
        <v>67.5</v>
      </c>
      <c r="V179" s="12"/>
      <c r="W179" s="12">
        <f t="shared" si="60"/>
        <v>20954.5</v>
      </c>
      <c r="Y179" s="10">
        <v>3</v>
      </c>
      <c r="Z179" s="30">
        <v>45819</v>
      </c>
      <c r="AA179" s="31">
        <f t="shared" ref="AA179:AA181" si="65">AA178+1</f>
        <v>6884</v>
      </c>
      <c r="AB179" s="33">
        <f>626*58+596*2</f>
        <v>37500</v>
      </c>
      <c r="AC179" s="33">
        <v>-360</v>
      </c>
      <c r="AD179" s="32"/>
      <c r="AE179" s="32">
        <f t="shared" si="61"/>
        <v>37140</v>
      </c>
      <c r="AF179" s="12"/>
      <c r="AG179" s="12">
        <v>4884</v>
      </c>
      <c r="AH179" s="12"/>
      <c r="AI179" s="12">
        <f t="shared" si="62"/>
        <v>42024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45819</v>
      </c>
      <c r="C180" s="91">
        <f t="shared" si="63"/>
        <v>6949</v>
      </c>
      <c r="D180" s="32">
        <f>3130+1788+76</f>
        <v>4994</v>
      </c>
      <c r="E180" s="32"/>
      <c r="F180" s="32"/>
      <c r="G180" s="32">
        <f t="shared" si="57"/>
        <v>4994</v>
      </c>
      <c r="H180" s="12"/>
      <c r="I180" s="12">
        <f>222+252</f>
        <v>474</v>
      </c>
      <c r="J180" s="12"/>
      <c r="K180" s="12">
        <f t="shared" si="58"/>
        <v>5468</v>
      </c>
      <c r="M180" s="10">
        <v>4</v>
      </c>
      <c r="N180" s="30">
        <v>45819</v>
      </c>
      <c r="O180" s="31">
        <f t="shared" si="64"/>
        <v>6839</v>
      </c>
      <c r="P180" s="32">
        <f>1878+28.5</f>
        <v>1906.5</v>
      </c>
      <c r="Q180" s="32"/>
      <c r="R180" s="32"/>
      <c r="S180" s="32">
        <f t="shared" si="59"/>
        <v>1906.5</v>
      </c>
      <c r="T180" s="12"/>
      <c r="U180" s="12"/>
      <c r="V180" s="12"/>
      <c r="W180" s="12">
        <f t="shared" si="60"/>
        <v>1906.5</v>
      </c>
      <c r="Y180" s="10">
        <v>4</v>
      </c>
      <c r="Z180" s="30">
        <v>45819</v>
      </c>
      <c r="AA180" s="31">
        <f t="shared" si="65"/>
        <v>6885</v>
      </c>
      <c r="AB180" s="32">
        <f>626*18+913+1704+2010+1664+458+1000</f>
        <v>19017</v>
      </c>
      <c r="AC180" s="32"/>
      <c r="AD180" s="32"/>
      <c r="AE180" s="32">
        <f t="shared" si="61"/>
        <v>19017</v>
      </c>
      <c r="AF180" s="12"/>
      <c r="AH180" s="12"/>
      <c r="AI180" s="12">
        <f t="shared" si="62"/>
        <v>19017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45819</v>
      </c>
      <c r="C181" s="91">
        <f t="shared" si="63"/>
        <v>6950</v>
      </c>
      <c r="D181" s="32">
        <f>3130+47</f>
        <v>3177</v>
      </c>
      <c r="E181" s="32"/>
      <c r="F181" s="32"/>
      <c r="G181" s="32">
        <f t="shared" si="57"/>
        <v>3177</v>
      </c>
      <c r="H181" s="12"/>
      <c r="I181" s="12"/>
      <c r="J181" s="12"/>
      <c r="K181" s="12">
        <f t="shared" si="58"/>
        <v>3177</v>
      </c>
      <c r="M181" s="10">
        <v>5</v>
      </c>
      <c r="N181" s="30">
        <v>45819</v>
      </c>
      <c r="O181" s="31">
        <f t="shared" si="64"/>
        <v>6840</v>
      </c>
      <c r="P181" s="32">
        <f>2504+614+674+596+47.5</f>
        <v>4435.5</v>
      </c>
      <c r="Q181" s="32"/>
      <c r="R181" s="32"/>
      <c r="S181" s="32">
        <f t="shared" si="59"/>
        <v>4435.5</v>
      </c>
      <c r="T181" s="12"/>
      <c r="U181" s="12">
        <v>4.5</v>
      </c>
      <c r="V181" s="12"/>
      <c r="W181" s="12">
        <f t="shared" si="60"/>
        <v>4440</v>
      </c>
      <c r="Y181" s="10">
        <v>5</v>
      </c>
      <c r="Z181" s="30">
        <v>45819</v>
      </c>
      <c r="AA181" s="31">
        <f t="shared" si="65"/>
        <v>6886</v>
      </c>
      <c r="AB181" s="32">
        <f>626*131+614*5+596*80+229*9</f>
        <v>134817</v>
      </c>
      <c r="AC181" s="32"/>
      <c r="AD181" s="32"/>
      <c r="AE181" s="32">
        <f t="shared" ref="AE181:AE215" si="66">SUM(AB181:AC181)</f>
        <v>134817</v>
      </c>
      <c r="AF181" s="12"/>
      <c r="AG181" s="12">
        <v>12876</v>
      </c>
      <c r="AH181" s="12"/>
      <c r="AI181" s="12">
        <f t="shared" si="62"/>
        <v>147693</v>
      </c>
      <c r="AK181" s="62"/>
      <c r="AL181" s="65"/>
      <c r="AM181" s="87"/>
      <c r="AN181" s="106"/>
      <c r="AO181" s="106"/>
      <c r="AP181" s="87"/>
      <c r="AQ181" s="62"/>
      <c r="AR181" s="106"/>
      <c r="AS181" s="106"/>
      <c r="AT181" s="105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45819</v>
      </c>
      <c r="C182" s="91">
        <f t="shared" si="63"/>
        <v>6951</v>
      </c>
      <c r="D182" s="32">
        <f>3130+47</f>
        <v>3177</v>
      </c>
      <c r="E182" s="32"/>
      <c r="F182" s="32"/>
      <c r="G182" s="32">
        <f t="shared" si="57"/>
        <v>3177</v>
      </c>
      <c r="H182" s="12"/>
      <c r="I182" s="12"/>
      <c r="J182" s="12"/>
      <c r="K182" s="12">
        <f t="shared" si="58"/>
        <v>3177</v>
      </c>
      <c r="M182" s="10">
        <v>6</v>
      </c>
      <c r="N182" s="30">
        <v>45819</v>
      </c>
      <c r="O182" s="31">
        <f t="shared" si="64"/>
        <v>6841</v>
      </c>
      <c r="P182" s="32">
        <f>626+614+9.5</f>
        <v>1249.5</v>
      </c>
      <c r="Q182" s="32"/>
      <c r="R182" s="32"/>
      <c r="S182" s="32">
        <f t="shared" si="59"/>
        <v>1249.5</v>
      </c>
      <c r="T182" s="12"/>
      <c r="U182" s="12"/>
      <c r="V182" s="10"/>
      <c r="W182" s="12">
        <f t="shared" si="60"/>
        <v>1249.5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6"/>
        <v>0</v>
      </c>
      <c r="AF182" s="12"/>
      <c r="AG182" s="12"/>
      <c r="AH182" s="10"/>
      <c r="AI182" s="12">
        <f t="shared" si="62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05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45819</v>
      </c>
      <c r="C183" s="91">
        <f t="shared" si="63"/>
        <v>6952</v>
      </c>
      <c r="D183" s="32">
        <f>9390+142</f>
        <v>9532</v>
      </c>
      <c r="E183" s="32"/>
      <c r="F183" s="32"/>
      <c r="G183" s="32">
        <f t="shared" si="57"/>
        <v>9532</v>
      </c>
      <c r="H183" s="12"/>
      <c r="I183" s="12"/>
      <c r="J183" s="12"/>
      <c r="K183" s="12">
        <f t="shared" si="58"/>
        <v>9532</v>
      </c>
      <c r="M183" s="10">
        <v>7</v>
      </c>
      <c r="N183" s="30">
        <v>45819</v>
      </c>
      <c r="O183" s="31">
        <f t="shared" si="64"/>
        <v>6842</v>
      </c>
      <c r="P183" s="32">
        <f>614</f>
        <v>614</v>
      </c>
      <c r="Q183" s="32"/>
      <c r="R183" s="32"/>
      <c r="S183" s="32">
        <f t="shared" si="59"/>
        <v>614</v>
      </c>
      <c r="T183" s="12"/>
      <c r="U183" s="12"/>
      <c r="V183" s="12"/>
      <c r="W183" s="12">
        <f t="shared" si="60"/>
        <v>614</v>
      </c>
      <c r="Y183" s="10">
        <v>7</v>
      </c>
      <c r="Z183" s="30"/>
      <c r="AA183" s="31"/>
      <c r="AB183" s="32"/>
      <c r="AC183" s="32"/>
      <c r="AD183" s="32"/>
      <c r="AE183" s="32">
        <f t="shared" si="66"/>
        <v>0</v>
      </c>
      <c r="AF183" s="12"/>
      <c r="AG183" s="58"/>
      <c r="AH183" s="12"/>
      <c r="AI183" s="12">
        <f t="shared" si="62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45819</v>
      </c>
      <c r="C184" s="91">
        <f t="shared" si="63"/>
        <v>6953</v>
      </c>
      <c r="D184" s="32">
        <f>32552+1348</f>
        <v>33900</v>
      </c>
      <c r="E184" s="32"/>
      <c r="F184" s="32"/>
      <c r="G184" s="32">
        <f t="shared" si="57"/>
        <v>33900</v>
      </c>
      <c r="H184" s="12"/>
      <c r="I184" s="12"/>
      <c r="J184" s="12"/>
      <c r="K184" s="12">
        <f t="shared" si="58"/>
        <v>33900</v>
      </c>
      <c r="M184" s="10">
        <v>8</v>
      </c>
      <c r="N184" s="30">
        <v>45819</v>
      </c>
      <c r="O184" s="31">
        <f t="shared" si="64"/>
        <v>6843</v>
      </c>
      <c r="P184" s="32">
        <f>2504+596+47.5</f>
        <v>3147.5</v>
      </c>
      <c r="Q184" s="32"/>
      <c r="R184" s="32"/>
      <c r="S184" s="32">
        <f t="shared" si="59"/>
        <v>3147.5</v>
      </c>
      <c r="T184" s="12"/>
      <c r="U184" s="12">
        <f>27+6</f>
        <v>33</v>
      </c>
      <c r="V184" s="12"/>
      <c r="W184" s="12">
        <f t="shared" si="60"/>
        <v>3180.5</v>
      </c>
      <c r="Y184" s="10">
        <v>8</v>
      </c>
      <c r="Z184" s="30"/>
      <c r="AA184" s="31"/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45819</v>
      </c>
      <c r="C185" s="91">
        <f t="shared" si="63"/>
        <v>6954</v>
      </c>
      <c r="D185" s="32">
        <f>2504+38</f>
        <v>2542</v>
      </c>
      <c r="E185" s="32"/>
      <c r="F185" s="32"/>
      <c r="G185" s="32">
        <f t="shared" si="57"/>
        <v>2542</v>
      </c>
      <c r="H185" s="12"/>
      <c r="I185" s="12"/>
      <c r="J185" s="12"/>
      <c r="K185" s="12">
        <f t="shared" si="58"/>
        <v>2542</v>
      </c>
      <c r="M185" s="10">
        <v>9</v>
      </c>
      <c r="N185" s="30">
        <v>45819</v>
      </c>
      <c r="O185" s="31">
        <f t="shared" si="64"/>
        <v>6844</v>
      </c>
      <c r="P185" s="32">
        <f>1252+596+28.5</f>
        <v>1876.5</v>
      </c>
      <c r="Q185" s="32"/>
      <c r="R185" s="32"/>
      <c r="S185" s="32">
        <f t="shared" si="59"/>
        <v>1876.5</v>
      </c>
      <c r="T185" s="12"/>
      <c r="U185" s="12"/>
      <c r="V185" s="12"/>
      <c r="W185" s="12">
        <f t="shared" si="60"/>
        <v>1876.5</v>
      </c>
      <c r="Y185" s="10">
        <v>9</v>
      </c>
      <c r="Z185" s="30"/>
      <c r="AA185" s="31"/>
      <c r="AB185" s="32"/>
      <c r="AC185" s="32"/>
      <c r="AD185" s="32"/>
      <c r="AE185" s="32">
        <f t="shared" si="66"/>
        <v>0</v>
      </c>
      <c r="AF185" s="12"/>
      <c r="AG185" s="58"/>
      <c r="AH185" s="12"/>
      <c r="AI185" s="12">
        <f t="shared" si="62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11" t="s">
        <v>27</v>
      </c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M186" s="10">
        <v>10</v>
      </c>
      <c r="N186" s="30">
        <v>45819</v>
      </c>
      <c r="O186" s="31">
        <f t="shared" si="64"/>
        <v>6845</v>
      </c>
      <c r="P186" s="32">
        <f>9390+852+1005+832+142.5</f>
        <v>12221.5</v>
      </c>
      <c r="Q186" s="32"/>
      <c r="R186" s="32"/>
      <c r="S186" s="32">
        <f t="shared" si="59"/>
        <v>12221.5</v>
      </c>
      <c r="T186" s="12"/>
      <c r="U186" s="12"/>
      <c r="V186" s="12"/>
      <c r="W186" s="12">
        <f t="shared" si="60"/>
        <v>12221.5</v>
      </c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91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M187" s="10">
        <v>11</v>
      </c>
      <c r="N187" s="30">
        <v>45819</v>
      </c>
      <c r="O187" s="31">
        <f t="shared" si="64"/>
        <v>6846</v>
      </c>
      <c r="P187" s="32">
        <f>1252+19</f>
        <v>1271</v>
      </c>
      <c r="Q187" s="32"/>
      <c r="R187" s="32"/>
      <c r="S187" s="32">
        <f t="shared" si="59"/>
        <v>1271</v>
      </c>
      <c r="T187" s="12"/>
      <c r="U187" s="12"/>
      <c r="V187" s="12"/>
      <c r="W187" s="12">
        <f t="shared" si="60"/>
        <v>1271</v>
      </c>
      <c r="Y187" s="10">
        <v>11</v>
      </c>
      <c r="Z187" s="30"/>
      <c r="AA187" s="31"/>
      <c r="AB187" s="32"/>
      <c r="AC187" s="32"/>
      <c r="AD187" s="32"/>
      <c r="AE187" s="32">
        <f t="shared" si="66"/>
        <v>0</v>
      </c>
      <c r="AF187" s="12"/>
      <c r="AG187" s="12"/>
      <c r="AH187" s="12"/>
      <c r="AI187" s="12">
        <f t="shared" si="62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91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M188" s="10">
        <v>12</v>
      </c>
      <c r="N188" s="30">
        <v>45819</v>
      </c>
      <c r="O188" s="31">
        <f t="shared" si="64"/>
        <v>6847</v>
      </c>
      <c r="P188" s="32">
        <f>3756+57</f>
        <v>3813</v>
      </c>
      <c r="Q188" s="32"/>
      <c r="R188" s="32"/>
      <c r="S188" s="32">
        <f t="shared" si="59"/>
        <v>3813</v>
      </c>
      <c r="T188" s="12"/>
      <c r="U188" s="12"/>
      <c r="V188" s="12"/>
      <c r="W188" s="12">
        <f t="shared" si="60"/>
        <v>3813</v>
      </c>
      <c r="Y188" s="10">
        <v>12</v>
      </c>
      <c r="Z188" s="30"/>
      <c r="AA188" s="31"/>
      <c r="AB188" s="32"/>
      <c r="AC188" s="32"/>
      <c r="AD188" s="32"/>
      <c r="AE188" s="32">
        <f t="shared" si="66"/>
        <v>0</v>
      </c>
      <c r="AF188" s="12"/>
      <c r="AG188" s="12"/>
      <c r="AH188" s="12"/>
      <c r="AI188" s="12">
        <f t="shared" si="62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91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M189" s="10">
        <v>13</v>
      </c>
      <c r="N189" s="30"/>
      <c r="O189" s="11" t="s">
        <v>27</v>
      </c>
      <c r="P189" s="32"/>
      <c r="Q189" s="32"/>
      <c r="R189" s="32"/>
      <c r="S189" s="32">
        <f t="shared" si="59"/>
        <v>0</v>
      </c>
      <c r="T189" s="12"/>
      <c r="U189" s="12"/>
      <c r="V189" s="12"/>
      <c r="W189" s="12">
        <f t="shared" si="60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6"/>
        <v>0</v>
      </c>
      <c r="AF189" s="12"/>
      <c r="AG189" s="12"/>
      <c r="AH189" s="12"/>
      <c r="AI189" s="12">
        <f t="shared" si="62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91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M190" s="10">
        <v>14</v>
      </c>
      <c r="N190" s="30"/>
      <c r="O190" s="31"/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6"/>
        <v>0</v>
      </c>
      <c r="AF190" s="12"/>
      <c r="AG190" s="12"/>
      <c r="AH190" s="12"/>
      <c r="AI190" s="12">
        <f t="shared" si="62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91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6"/>
        <v>0</v>
      </c>
      <c r="AF191" s="12"/>
      <c r="AG191" s="12"/>
      <c r="AH191" s="12"/>
      <c r="AI191" s="12">
        <f t="shared" si="62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91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M192" s="10">
        <v>16</v>
      </c>
      <c r="N192" s="30"/>
      <c r="O192" s="3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Y192" s="10">
        <v>16</v>
      </c>
      <c r="Z192" s="30"/>
      <c r="AB192" s="32"/>
      <c r="AC192" s="32"/>
      <c r="AD192" s="32"/>
      <c r="AE192" s="32">
        <f t="shared" si="66"/>
        <v>0</v>
      </c>
      <c r="AF192" s="12"/>
      <c r="AG192" s="12"/>
      <c r="AH192" s="12"/>
      <c r="AI192" s="12">
        <f t="shared" si="62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91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6"/>
        <v>0</v>
      </c>
      <c r="AF193" s="12"/>
      <c r="AG193" s="12"/>
      <c r="AH193" s="12"/>
      <c r="AI193" s="12">
        <f t="shared" si="62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91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6"/>
        <v>0</v>
      </c>
      <c r="AF194" s="12"/>
      <c r="AG194" s="12"/>
      <c r="AH194" s="12"/>
      <c r="AI194" s="12">
        <f t="shared" si="62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91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6"/>
        <v>0</v>
      </c>
      <c r="AF195" s="12"/>
      <c r="AG195" s="12"/>
      <c r="AH195" s="12"/>
      <c r="AI195" s="12">
        <f t="shared" si="62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91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Y196" s="10">
        <v>20</v>
      </c>
      <c r="Z196" s="30"/>
      <c r="AB196" s="32"/>
      <c r="AC196" s="32"/>
      <c r="AD196" s="32"/>
      <c r="AE196" s="32">
        <f t="shared" si="66"/>
        <v>0</v>
      </c>
      <c r="AF196" s="12"/>
      <c r="AG196" s="12"/>
      <c r="AH196" s="12"/>
      <c r="AI196" s="12">
        <f t="shared" si="62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91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M197" s="10">
        <v>21</v>
      </c>
      <c r="N197" s="30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6"/>
        <v>0</v>
      </c>
      <c r="AF197" s="10"/>
      <c r="AG197" s="10"/>
      <c r="AH197" s="10"/>
      <c r="AI197" s="12">
        <f t="shared" si="62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91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6"/>
        <v>0</v>
      </c>
      <c r="AF198" s="10"/>
      <c r="AG198" s="10"/>
      <c r="AH198" s="10"/>
      <c r="AI198" s="12">
        <f t="shared" si="62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91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M199" s="10">
        <v>23</v>
      </c>
      <c r="N199" s="30"/>
      <c r="O199" s="31"/>
      <c r="P199" s="47"/>
      <c r="Q199" s="31"/>
      <c r="S199" s="32">
        <f t="shared" si="59"/>
        <v>0</v>
      </c>
      <c r="T199" s="10"/>
      <c r="U199" s="10"/>
      <c r="V199" s="10"/>
      <c r="W199" s="12">
        <f t="shared" si="60"/>
        <v>0</v>
      </c>
      <c r="Y199" s="10">
        <v>23</v>
      </c>
      <c r="Z199" s="30"/>
      <c r="AA199" s="31"/>
      <c r="AB199" s="47"/>
      <c r="AC199" s="31"/>
      <c r="AE199" s="32">
        <f t="shared" si="66"/>
        <v>0</v>
      </c>
      <c r="AF199" s="10"/>
      <c r="AG199" s="10"/>
      <c r="AH199" s="10"/>
      <c r="AI199" s="12">
        <f t="shared" si="62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91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M200" s="10">
        <v>24</v>
      </c>
      <c r="N200" s="30"/>
      <c r="O200" s="1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6"/>
        <v>0</v>
      </c>
      <c r="AF200" s="10"/>
      <c r="AG200" s="10"/>
      <c r="AH200" s="10"/>
      <c r="AI200" s="12">
        <f t="shared" si="62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Y201" s="10">
        <v>25</v>
      </c>
      <c r="Z201" s="30"/>
      <c r="AA201" s="11"/>
      <c r="AB201" s="47"/>
      <c r="AC201" s="31"/>
      <c r="AD201" s="31"/>
      <c r="AE201" s="32">
        <f t="shared" si="66"/>
        <v>0</v>
      </c>
      <c r="AF201" s="10"/>
      <c r="AG201" s="10"/>
      <c r="AH201" s="10"/>
      <c r="AI201" s="12">
        <f t="shared" si="62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91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Y202" s="10">
        <v>26</v>
      </c>
      <c r="Z202" s="30"/>
      <c r="AB202" s="47"/>
      <c r="AC202" s="31"/>
      <c r="AD202" s="31"/>
      <c r="AE202" s="32">
        <f t="shared" si="66"/>
        <v>0</v>
      </c>
      <c r="AF202" s="10"/>
      <c r="AG202" s="10"/>
      <c r="AH202" s="10"/>
      <c r="AI202" s="12">
        <f t="shared" si="62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91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6"/>
        <v>0</v>
      </c>
      <c r="AF203" s="10"/>
      <c r="AG203" s="10"/>
      <c r="AH203" s="10"/>
      <c r="AI203" s="12">
        <f t="shared" si="62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91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6"/>
        <v>0</v>
      </c>
      <c r="AF204" s="10"/>
      <c r="AG204" s="10"/>
      <c r="AH204" s="10"/>
      <c r="AI204" s="12">
        <f t="shared" si="62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91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M205" s="10">
        <v>29</v>
      </c>
      <c r="N205" s="30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6"/>
        <v>0</v>
      </c>
      <c r="AF205" s="10"/>
      <c r="AG205" s="10"/>
      <c r="AH205" s="10"/>
      <c r="AI205" s="12">
        <f t="shared" si="62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91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M206" s="10">
        <v>30</v>
      </c>
      <c r="N206" s="30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6"/>
        <v>0</v>
      </c>
      <c r="AF206" s="10"/>
      <c r="AG206" s="10"/>
      <c r="AH206" s="10"/>
      <c r="AI206" s="12">
        <f t="shared" si="62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91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6"/>
        <v>0</v>
      </c>
      <c r="AF207" s="10"/>
      <c r="AG207" s="10"/>
      <c r="AH207" s="10"/>
      <c r="AI207" s="12">
        <f t="shared" si="62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91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M208" s="10">
        <v>32</v>
      </c>
      <c r="N208" s="30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6"/>
        <v>0</v>
      </c>
      <c r="AF208" s="10"/>
      <c r="AG208" s="10"/>
      <c r="AH208" s="10"/>
      <c r="AI208" s="12">
        <f t="shared" si="62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91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6"/>
        <v>0</v>
      </c>
      <c r="AF209" s="10"/>
      <c r="AG209" s="10"/>
      <c r="AH209" s="10"/>
      <c r="AI209" s="12">
        <f t="shared" si="62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91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7">SUM(P210:Q210)</f>
        <v>0</v>
      </c>
      <c r="T210" s="10"/>
      <c r="U210" s="10"/>
      <c r="V210" s="10"/>
      <c r="W210" s="12">
        <f t="shared" ref="W210:W218" si="68">SUM(S210:V210)</f>
        <v>0</v>
      </c>
      <c r="Y210" s="10">
        <v>34</v>
      </c>
      <c r="Z210" s="30"/>
      <c r="AB210" s="47"/>
      <c r="AC210" s="31"/>
      <c r="AD210" s="31"/>
      <c r="AE210" s="32">
        <f t="shared" si="66"/>
        <v>0</v>
      </c>
      <c r="AF210" s="10"/>
      <c r="AG210" s="10"/>
      <c r="AH210" s="10"/>
      <c r="AI210" s="12">
        <f t="shared" ref="AI210:AI218" si="69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31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7"/>
        <v>0</v>
      </c>
      <c r="T211" s="10"/>
      <c r="U211" s="10"/>
      <c r="V211" s="10"/>
      <c r="W211" s="12">
        <f t="shared" si="68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6"/>
        <v>0</v>
      </c>
      <c r="AF211" s="10"/>
      <c r="AG211" s="10"/>
      <c r="AH211" s="10"/>
      <c r="AI211" s="12">
        <f t="shared" si="69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31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7"/>
        <v>0</v>
      </c>
      <c r="T212" s="10"/>
      <c r="U212" s="10"/>
      <c r="V212" s="10"/>
      <c r="W212" s="12">
        <f t="shared" si="68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6"/>
        <v>0</v>
      </c>
      <c r="AF212" s="10"/>
      <c r="AG212" s="10"/>
      <c r="AH212" s="10"/>
      <c r="AI212" s="12">
        <f t="shared" si="69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7"/>
        <v>0</v>
      </c>
      <c r="T213" s="10"/>
      <c r="U213" s="10"/>
      <c r="V213" s="10"/>
      <c r="W213" s="12">
        <f t="shared" si="68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6"/>
        <v>0</v>
      </c>
      <c r="AF213" s="10"/>
      <c r="AG213" s="10"/>
      <c r="AH213" s="10"/>
      <c r="AI213" s="12">
        <f t="shared" si="69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7"/>
        <v>0</v>
      </c>
      <c r="T214" s="10"/>
      <c r="U214" s="10"/>
      <c r="V214" s="10"/>
      <c r="W214" s="12">
        <f t="shared" si="68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6"/>
        <v>0</v>
      </c>
      <c r="AF214" s="10"/>
      <c r="AG214" s="10"/>
      <c r="AH214" s="10"/>
      <c r="AI214" s="12">
        <f t="shared" si="69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7"/>
        <v>0</v>
      </c>
      <c r="T215" s="10"/>
      <c r="U215" s="10"/>
      <c r="V215" s="10"/>
      <c r="W215" s="12">
        <f t="shared" si="68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6"/>
        <v>0</v>
      </c>
      <c r="AF215" s="10"/>
      <c r="AG215" s="10"/>
      <c r="AH215" s="10"/>
      <c r="AI215" s="12">
        <f t="shared" si="69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8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8"/>
        <v>0</v>
      </c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8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89328</v>
      </c>
      <c r="E220" s="38">
        <f t="shared" ref="E220:F220" si="74">SUM(E177:E217)</f>
        <v>0</v>
      </c>
      <c r="F220" s="38">
        <f t="shared" si="74"/>
        <v>0</v>
      </c>
      <c r="G220" s="38">
        <f>SUM(G177:G219)</f>
        <v>89328</v>
      </c>
      <c r="H220" s="4"/>
      <c r="I220" s="39">
        <f>SUM(I177:I219)</f>
        <v>918</v>
      </c>
      <c r="J220" s="39">
        <f>SUM(J177:J219)</f>
        <v>0</v>
      </c>
      <c r="K220" s="40">
        <f>SUM(K177:K219)</f>
        <v>90246</v>
      </c>
      <c r="N220" s="57"/>
      <c r="O220" s="57"/>
      <c r="P220" s="38">
        <f>SUM(P177:P219)</f>
        <v>133736</v>
      </c>
      <c r="Q220" s="38">
        <f>SUM(Q177:Q201)</f>
        <v>-656</v>
      </c>
      <c r="R220" s="38">
        <f>SUM(R177:R201)</f>
        <v>0</v>
      </c>
      <c r="S220" s="38">
        <f>SUM(S177:S219)</f>
        <v>133080</v>
      </c>
      <c r="T220" s="4"/>
      <c r="U220" s="41">
        <f>SUM(U177:U219)</f>
        <v>159</v>
      </c>
      <c r="V220" s="41">
        <f>SUM(V177:V201)</f>
        <v>0</v>
      </c>
      <c r="W220" s="42">
        <f>SUM(W177:W219)</f>
        <v>133239</v>
      </c>
      <c r="Z220" s="57"/>
      <c r="AA220" s="57"/>
      <c r="AB220" s="38">
        <f>SUM(AB177:AB219)</f>
        <v>553866</v>
      </c>
      <c r="AC220" s="38">
        <f>SUM(AC177:AC201)</f>
        <v>-2610</v>
      </c>
      <c r="AD220" s="38">
        <f>SUM(AD177:AD201)</f>
        <v>0</v>
      </c>
      <c r="AE220" s="38">
        <f>SUM(AE177:AE219)</f>
        <v>551256</v>
      </c>
      <c r="AF220" s="4"/>
      <c r="AG220" s="41">
        <f>SUM(AG177:AG219)</f>
        <v>31176</v>
      </c>
      <c r="AH220" s="41">
        <f>SUM(AH177:AH201)</f>
        <v>0</v>
      </c>
      <c r="AI220" s="42">
        <f>SUM(AI177:AI219)</f>
        <v>582432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s="62"/>
      <c r="N222" s="89"/>
      <c r="O222" s="89"/>
      <c r="P222" s="89"/>
      <c r="Q222" s="89"/>
      <c r="R222" s="89"/>
      <c r="S222" s="89"/>
      <c r="T222" s="62"/>
      <c r="U222" s="62"/>
      <c r="V222" s="62"/>
      <c r="W222" s="62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s="62"/>
      <c r="N223" s="89"/>
      <c r="O223" s="89"/>
      <c r="P223" s="89"/>
      <c r="Q223" s="89"/>
      <c r="R223" s="89"/>
      <c r="S223" s="89"/>
      <c r="T223" s="62"/>
      <c r="U223" s="62"/>
      <c r="V223" s="62"/>
      <c r="W223" s="62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M224" s="62"/>
      <c r="N224" s="89"/>
      <c r="O224" s="89"/>
      <c r="P224" s="89"/>
      <c r="Q224" s="89"/>
      <c r="R224" s="89"/>
      <c r="S224" s="89"/>
      <c r="T224" s="62"/>
      <c r="U224" s="62"/>
      <c r="V224" s="62"/>
      <c r="W224" s="62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63"/>
      <c r="N225" s="89"/>
      <c r="O225" s="89"/>
      <c r="P225" s="89"/>
      <c r="Q225" s="89"/>
      <c r="R225" s="89"/>
      <c r="S225" s="89"/>
      <c r="T225" s="62"/>
      <c r="U225" s="62"/>
      <c r="V225" s="62"/>
      <c r="W225" s="62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M226" s="62"/>
      <c r="N226" s="89"/>
      <c r="O226" s="89"/>
      <c r="P226" s="89"/>
      <c r="Q226" s="89"/>
      <c r="R226" s="89"/>
      <c r="S226" s="89"/>
      <c r="T226" s="62"/>
      <c r="U226" s="62"/>
      <c r="V226" s="62"/>
      <c r="W226" s="62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52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s="62"/>
      <c r="N227" s="89"/>
      <c r="O227" s="89"/>
      <c r="P227" s="89"/>
      <c r="Q227" s="89"/>
      <c r="R227" s="89"/>
      <c r="S227" s="89"/>
      <c r="T227" s="62"/>
      <c r="U227" s="89"/>
      <c r="V227" s="74"/>
      <c r="W227" s="62"/>
      <c r="Y227" t="s">
        <v>52</v>
      </c>
      <c r="Z227" s="57"/>
      <c r="AA227" s="57"/>
      <c r="AB227" s="57"/>
      <c r="AC227" s="57"/>
      <c r="AD227" s="57"/>
      <c r="AE227" s="57"/>
      <c r="AG227" s="57" t="s">
        <v>15</v>
      </c>
      <c r="AH227" s="19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53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64"/>
      <c r="N228" s="89"/>
      <c r="O228" s="89"/>
      <c r="P228" s="89"/>
      <c r="Q228" s="89"/>
      <c r="R228" s="89"/>
      <c r="S228" s="89"/>
      <c r="T228" s="62"/>
      <c r="U228" s="65"/>
      <c r="V228" s="65"/>
      <c r="W228" s="62"/>
      <c r="Y228" s="21" t="s">
        <v>53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M229" s="62"/>
      <c r="N229" s="89"/>
      <c r="O229" s="89"/>
      <c r="P229" s="89"/>
      <c r="Q229" s="89"/>
      <c r="R229" s="89"/>
      <c r="S229" s="89"/>
      <c r="T229" s="62"/>
      <c r="U229" s="62"/>
      <c r="V229" s="62"/>
      <c r="W229" s="62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1" t="s">
        <v>17</v>
      </c>
      <c r="E230" s="111"/>
      <c r="F230" s="95"/>
      <c r="G230" s="27"/>
      <c r="I230" s="109" t="s">
        <v>18</v>
      </c>
      <c r="J230" s="110"/>
      <c r="K230" s="107" t="s">
        <v>19</v>
      </c>
      <c r="M230" s="62"/>
      <c r="N230" s="65"/>
      <c r="O230" s="89"/>
      <c r="P230" s="106"/>
      <c r="Q230" s="106"/>
      <c r="R230" s="89"/>
      <c r="S230" s="89"/>
      <c r="T230" s="62"/>
      <c r="U230" s="106"/>
      <c r="V230" s="106"/>
      <c r="W230" s="105"/>
      <c r="Z230" s="25"/>
      <c r="AA230" s="26"/>
      <c r="AB230" s="111" t="s">
        <v>17</v>
      </c>
      <c r="AC230" s="111"/>
      <c r="AD230" s="95"/>
      <c r="AE230" s="27"/>
      <c r="AG230" s="109" t="s">
        <v>18</v>
      </c>
      <c r="AH230" s="110"/>
      <c r="AI230" s="107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08"/>
      <c r="M231" s="62"/>
      <c r="N231" s="89"/>
      <c r="O231" s="89"/>
      <c r="P231" s="81"/>
      <c r="Q231" s="83"/>
      <c r="R231" s="83"/>
      <c r="S231" s="83"/>
      <c r="T231" s="62"/>
      <c r="U231" s="88"/>
      <c r="V231" s="88"/>
      <c r="W231" s="105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08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45849</v>
      </c>
      <c r="C232" s="91">
        <v>6955</v>
      </c>
      <c r="D232" s="32">
        <f>626*38+229</f>
        <v>24017</v>
      </c>
      <c r="E232" s="32"/>
      <c r="F232" s="32"/>
      <c r="G232" s="32">
        <f t="shared" ref="G232:G265" si="75">SUM(D232:E232)</f>
        <v>24017</v>
      </c>
      <c r="H232" s="12"/>
      <c r="I232" s="12">
        <v>36</v>
      </c>
      <c r="J232" s="12"/>
      <c r="K232" s="12">
        <f t="shared" ref="K232:K265" si="76">SUM(G232:J232)</f>
        <v>24053</v>
      </c>
      <c r="M232" s="62"/>
      <c r="N232" s="66"/>
      <c r="O232" s="89"/>
      <c r="P232" s="60"/>
      <c r="Q232" s="60"/>
      <c r="R232" s="60"/>
      <c r="S232" s="60"/>
      <c r="T232" s="61"/>
      <c r="U232" s="61"/>
      <c r="V232" s="61"/>
      <c r="W232" s="61"/>
      <c r="Y232" s="10">
        <v>1</v>
      </c>
      <c r="Z232" s="30">
        <v>45849</v>
      </c>
      <c r="AA232" s="31">
        <v>6887</v>
      </c>
      <c r="AB232" s="32">
        <f>626*158+596*108+2*1005</f>
        <v>165286</v>
      </c>
      <c r="AC232" s="32">
        <v>-1608</v>
      </c>
      <c r="AD232" s="32"/>
      <c r="AE232" s="32">
        <f>SUM(AB232:AC232)</f>
        <v>163678</v>
      </c>
      <c r="AF232" s="12"/>
      <c r="AG232" s="12"/>
      <c r="AH232" s="12"/>
      <c r="AI232" s="12">
        <f>SUM(AE232:AH232)</f>
        <v>163678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45849</v>
      </c>
      <c r="C233" s="91">
        <f>C232+1</f>
        <v>6956</v>
      </c>
      <c r="D233" s="32">
        <f>626*5+614*2+48</f>
        <v>4406</v>
      </c>
      <c r="E233" s="32"/>
      <c r="F233" s="32"/>
      <c r="G233" s="32">
        <f t="shared" si="75"/>
        <v>4406</v>
      </c>
      <c r="H233" s="12"/>
      <c r="I233" s="12"/>
      <c r="J233" s="12"/>
      <c r="K233" s="12">
        <f t="shared" si="76"/>
        <v>4406</v>
      </c>
      <c r="M233" s="62"/>
      <c r="N233" s="66"/>
      <c r="O233" s="89"/>
      <c r="P233" s="60"/>
      <c r="Q233" s="60"/>
      <c r="R233" s="60"/>
      <c r="S233" s="60"/>
      <c r="T233" s="61"/>
      <c r="U233" s="61"/>
      <c r="V233" s="61"/>
      <c r="W233" s="61"/>
      <c r="Y233" s="10">
        <v>2</v>
      </c>
      <c r="Z233" s="30">
        <v>45849</v>
      </c>
      <c r="AA233" s="31">
        <f>AA232+1</f>
        <v>6888</v>
      </c>
      <c r="AB233" s="32">
        <f>626*5+614+47.5</f>
        <v>3791.5</v>
      </c>
      <c r="AC233" s="32"/>
      <c r="AD233" s="32"/>
      <c r="AE233" s="32">
        <f t="shared" ref="AE233:AE235" si="77">SUM(AB233:AC233)</f>
        <v>3791.5</v>
      </c>
      <c r="AF233" s="12"/>
      <c r="AG233" s="12"/>
      <c r="AH233" s="12"/>
      <c r="AI233" s="12">
        <f t="shared" ref="AI233:AI264" si="78">SUM(AE233:AH233)</f>
        <v>3791.5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45849</v>
      </c>
      <c r="C234" s="91">
        <f t="shared" ref="C234:C248" si="79">C233+1</f>
        <v>6957</v>
      </c>
      <c r="D234" s="33">
        <f>1252+19</f>
        <v>1271</v>
      </c>
      <c r="E234" s="33"/>
      <c r="F234" s="33"/>
      <c r="G234" s="33">
        <f t="shared" si="75"/>
        <v>1271</v>
      </c>
      <c r="H234" s="34"/>
      <c r="I234" s="34"/>
      <c r="J234" s="34"/>
      <c r="K234" s="34">
        <f t="shared" si="76"/>
        <v>1271</v>
      </c>
      <c r="M234" s="62"/>
      <c r="N234" s="66"/>
      <c r="O234" s="89"/>
      <c r="P234" s="60"/>
      <c r="Q234" s="60"/>
      <c r="R234" s="60"/>
      <c r="S234" s="60"/>
      <c r="T234" s="61"/>
      <c r="U234" s="61"/>
      <c r="V234" s="61"/>
      <c r="W234" s="61"/>
      <c r="Y234" s="10">
        <v>3</v>
      </c>
      <c r="Z234" s="30">
        <v>45849</v>
      </c>
      <c r="AA234" s="31">
        <f t="shared" ref="AA234:AA236" si="80">AA233+1</f>
        <v>6889</v>
      </c>
      <c r="AB234" s="33">
        <f>626*38+596*10+832</f>
        <v>30580</v>
      </c>
      <c r="AC234" s="33"/>
      <c r="AD234" s="32"/>
      <c r="AE234" s="32">
        <f t="shared" si="77"/>
        <v>30580</v>
      </c>
      <c r="AF234" s="12"/>
      <c r="AG234" s="12">
        <v>5328</v>
      </c>
      <c r="AH234" s="12"/>
      <c r="AI234" s="12">
        <f t="shared" si="78"/>
        <v>35908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45849</v>
      </c>
      <c r="C235" s="91">
        <f t="shared" si="79"/>
        <v>6958</v>
      </c>
      <c r="D235" s="32">
        <f>2504+38</f>
        <v>2542</v>
      </c>
      <c r="E235" s="32"/>
      <c r="F235" s="32"/>
      <c r="G235" s="32">
        <f t="shared" si="75"/>
        <v>2542</v>
      </c>
      <c r="H235" s="12"/>
      <c r="I235" s="12"/>
      <c r="J235" s="12"/>
      <c r="K235" s="12">
        <f t="shared" si="76"/>
        <v>2542</v>
      </c>
      <c r="M235" s="62"/>
      <c r="N235" s="66"/>
      <c r="O235" s="65"/>
      <c r="P235" s="60"/>
      <c r="Q235" s="60"/>
      <c r="R235" s="60"/>
      <c r="S235" s="60"/>
      <c r="T235" s="61"/>
      <c r="U235" s="61"/>
      <c r="V235" s="61"/>
      <c r="W235" s="61"/>
      <c r="Y235" s="10">
        <v>4</v>
      </c>
      <c r="Z235" s="30">
        <v>45849</v>
      </c>
      <c r="AA235" s="31">
        <f t="shared" si="80"/>
        <v>6890</v>
      </c>
      <c r="AB235" s="32">
        <f>7512+614+4768+852+229</f>
        <v>13975</v>
      </c>
      <c r="AC235" s="32"/>
      <c r="AD235" s="32"/>
      <c r="AE235" s="32">
        <f t="shared" si="77"/>
        <v>13975</v>
      </c>
      <c r="AF235" s="12"/>
      <c r="AH235" s="12">
        <v>-2109</v>
      </c>
      <c r="AI235" s="12">
        <f t="shared" si="78"/>
        <v>11866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45849</v>
      </c>
      <c r="C236" s="91">
        <f t="shared" si="79"/>
        <v>6959</v>
      </c>
      <c r="D236" s="32">
        <f>3756+596+57</f>
        <v>4409</v>
      </c>
      <c r="E236" s="32"/>
      <c r="F236" s="32"/>
      <c r="G236" s="32">
        <f t="shared" si="75"/>
        <v>4409</v>
      </c>
      <c r="H236" s="12"/>
      <c r="I236" s="12"/>
      <c r="J236" s="12"/>
      <c r="K236" s="12">
        <f t="shared" si="76"/>
        <v>4409</v>
      </c>
      <c r="M236" s="62"/>
      <c r="N236" s="66"/>
      <c r="O236" s="89"/>
      <c r="P236" s="60"/>
      <c r="Q236" s="60"/>
      <c r="R236" s="60"/>
      <c r="S236" s="60"/>
      <c r="T236" s="61"/>
      <c r="U236" s="61"/>
      <c r="V236" s="61"/>
      <c r="W236" s="61"/>
      <c r="Y236" s="10">
        <v>5</v>
      </c>
      <c r="Z236" s="30">
        <v>45849</v>
      </c>
      <c r="AA236" s="31">
        <f t="shared" si="80"/>
        <v>6891</v>
      </c>
      <c r="AB236" s="32">
        <f>5960</f>
        <v>5960</v>
      </c>
      <c r="AC236" s="32"/>
      <c r="AD236" s="32"/>
      <c r="AE236" s="32">
        <f t="shared" ref="AE236:AE270" si="81">SUM(AB236:AC236)</f>
        <v>5960</v>
      </c>
      <c r="AF236" s="12"/>
      <c r="AG236" s="12"/>
      <c r="AH236" s="12"/>
      <c r="AI236" s="12">
        <f t="shared" si="78"/>
        <v>5960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45849</v>
      </c>
      <c r="C237" s="91">
        <f t="shared" si="79"/>
        <v>6960</v>
      </c>
      <c r="D237" s="32">
        <f>1878+28</f>
        <v>1906</v>
      </c>
      <c r="E237" s="32"/>
      <c r="F237" s="32"/>
      <c r="G237" s="32">
        <f t="shared" si="75"/>
        <v>1906</v>
      </c>
      <c r="H237" s="12"/>
      <c r="I237" s="12"/>
      <c r="J237" s="12"/>
      <c r="K237" s="12">
        <f t="shared" si="76"/>
        <v>1906</v>
      </c>
      <c r="M237" s="62"/>
      <c r="N237" s="66"/>
      <c r="O237" s="89"/>
      <c r="P237" s="60"/>
      <c r="Q237" s="60"/>
      <c r="R237" s="60"/>
      <c r="S237" s="60"/>
      <c r="T237" s="61"/>
      <c r="U237" s="61"/>
      <c r="V237" s="62"/>
      <c r="W237" s="61"/>
      <c r="Y237" s="10">
        <v>6</v>
      </c>
      <c r="Z237" s="30"/>
      <c r="AA237" s="11" t="s">
        <v>27</v>
      </c>
      <c r="AB237" s="32"/>
      <c r="AC237" s="32"/>
      <c r="AD237" s="32"/>
      <c r="AE237" s="32">
        <f t="shared" si="81"/>
        <v>0</v>
      </c>
      <c r="AF237" s="12"/>
      <c r="AG237" s="12"/>
      <c r="AH237" s="10"/>
      <c r="AI237" s="12">
        <f t="shared" si="78"/>
        <v>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45849</v>
      </c>
      <c r="C238" s="91">
        <f t="shared" si="79"/>
        <v>6961</v>
      </c>
      <c r="D238" s="32">
        <f>19406+614+7748</f>
        <v>27768</v>
      </c>
      <c r="E238" s="32"/>
      <c r="F238" s="32"/>
      <c r="G238" s="32">
        <f t="shared" si="75"/>
        <v>27768</v>
      </c>
      <c r="H238" s="12"/>
      <c r="I238" s="12"/>
      <c r="J238" s="12">
        <v>-1110</v>
      </c>
      <c r="K238" s="12">
        <f t="shared" si="76"/>
        <v>26658</v>
      </c>
      <c r="M238" s="62"/>
      <c r="N238" s="66"/>
      <c r="O238" s="89"/>
      <c r="P238" s="60"/>
      <c r="Q238" s="60"/>
      <c r="R238" s="60"/>
      <c r="S238" s="60"/>
      <c r="T238" s="61"/>
      <c r="U238" s="61"/>
      <c r="V238" s="61"/>
      <c r="W238" s="61"/>
      <c r="Y238" s="10">
        <v>7</v>
      </c>
      <c r="Z238" s="30"/>
      <c r="AA238" s="31"/>
      <c r="AB238" s="32"/>
      <c r="AC238" s="32"/>
      <c r="AD238" s="32"/>
      <c r="AE238" s="32">
        <f t="shared" si="81"/>
        <v>0</v>
      </c>
      <c r="AF238" s="12"/>
      <c r="AG238" s="58"/>
      <c r="AH238" s="12"/>
      <c r="AI238" s="12">
        <f t="shared" si="7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45849</v>
      </c>
      <c r="C239" s="91">
        <f t="shared" si="79"/>
        <v>6962</v>
      </c>
      <c r="D239" s="32">
        <f>3756+1192</f>
        <v>4948</v>
      </c>
      <c r="E239" s="32"/>
      <c r="F239" s="32"/>
      <c r="G239" s="32">
        <f t="shared" si="75"/>
        <v>4948</v>
      </c>
      <c r="H239" s="12"/>
      <c r="I239" s="12">
        <v>888</v>
      </c>
      <c r="J239" s="12"/>
      <c r="K239" s="12">
        <f t="shared" si="76"/>
        <v>5836</v>
      </c>
      <c r="M239" s="62"/>
      <c r="N239" s="66"/>
      <c r="O239" s="89"/>
      <c r="P239" s="60"/>
      <c r="Q239" s="60"/>
      <c r="R239" s="60"/>
      <c r="S239" s="60"/>
      <c r="T239" s="61"/>
      <c r="U239" s="61"/>
      <c r="V239" s="61"/>
      <c r="W239" s="61"/>
      <c r="Y239" s="10">
        <v>8</v>
      </c>
      <c r="Z239" s="30"/>
      <c r="AA239" s="31"/>
      <c r="AB239" s="32"/>
      <c r="AC239" s="32"/>
      <c r="AE239" s="32">
        <f t="shared" si="81"/>
        <v>0</v>
      </c>
      <c r="AF239" s="12"/>
      <c r="AG239" s="12"/>
      <c r="AH239" s="12"/>
      <c r="AI239" s="12">
        <f t="shared" si="7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45849</v>
      </c>
      <c r="C240" s="91">
        <f t="shared" si="79"/>
        <v>6963</v>
      </c>
      <c r="D240" s="32">
        <f>6260+614+1788+123</f>
        <v>8785</v>
      </c>
      <c r="E240" s="32"/>
      <c r="F240" s="32"/>
      <c r="G240" s="32">
        <f t="shared" si="75"/>
        <v>8785</v>
      </c>
      <c r="H240" s="12"/>
      <c r="I240" s="12"/>
      <c r="J240" s="12"/>
      <c r="K240" s="12">
        <f t="shared" si="76"/>
        <v>8785</v>
      </c>
      <c r="M240" s="62"/>
      <c r="N240" s="66"/>
      <c r="O240" s="62"/>
      <c r="P240" s="60"/>
      <c r="Q240" s="60"/>
      <c r="R240" s="60"/>
      <c r="S240" s="60"/>
      <c r="T240" s="61"/>
      <c r="U240" s="61"/>
      <c r="V240" s="61"/>
      <c r="W240" s="61"/>
      <c r="Y240" s="10">
        <v>9</v>
      </c>
      <c r="Z240" s="30"/>
      <c r="AA240" s="31"/>
      <c r="AB240" s="32"/>
      <c r="AC240" s="32"/>
      <c r="AD240" s="32"/>
      <c r="AE240" s="32">
        <f t="shared" si="81"/>
        <v>0</v>
      </c>
      <c r="AF240" s="12"/>
      <c r="AG240" s="58"/>
      <c r="AH240" s="12"/>
      <c r="AI240" s="12">
        <f t="shared" si="7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45849</v>
      </c>
      <c r="C241" s="91">
        <f t="shared" si="79"/>
        <v>6964</v>
      </c>
      <c r="D241" s="32">
        <f>1252+19</f>
        <v>1271</v>
      </c>
      <c r="E241" s="32"/>
      <c r="F241" s="32"/>
      <c r="G241" s="32">
        <f t="shared" si="75"/>
        <v>1271</v>
      </c>
      <c r="H241" s="12"/>
      <c r="I241" s="12">
        <v>12</v>
      </c>
      <c r="J241" s="12"/>
      <c r="K241" s="12">
        <f t="shared" si="76"/>
        <v>1283</v>
      </c>
      <c r="M241" s="62"/>
      <c r="N241" s="66"/>
      <c r="O241" s="89"/>
      <c r="P241" s="60"/>
      <c r="Q241" s="60"/>
      <c r="R241" s="60"/>
      <c r="S241" s="60"/>
      <c r="T241" s="61"/>
      <c r="U241" s="61"/>
      <c r="V241" s="61"/>
      <c r="W241" s="61"/>
      <c r="Y241" s="10">
        <v>10</v>
      </c>
      <c r="Z241" s="30"/>
      <c r="AA241" s="31"/>
      <c r="AB241" s="32"/>
      <c r="AC241" s="32"/>
      <c r="AD241" s="32"/>
      <c r="AE241" s="32">
        <f t="shared" si="81"/>
        <v>0</v>
      </c>
      <c r="AF241" s="12"/>
      <c r="AG241" s="12"/>
      <c r="AH241" s="12"/>
      <c r="AI241" s="12">
        <f t="shared" si="7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>
        <v>45849</v>
      </c>
      <c r="C242" s="91">
        <f t="shared" si="79"/>
        <v>6965</v>
      </c>
      <c r="D242" s="32">
        <f>43820+614+1826+4768+852+6740+1664+1145+1300</f>
        <v>62729</v>
      </c>
      <c r="E242" s="32"/>
      <c r="F242" s="32"/>
      <c r="G242" s="32">
        <f t="shared" si="75"/>
        <v>62729</v>
      </c>
      <c r="H242" s="12"/>
      <c r="I242" s="12">
        <v>240</v>
      </c>
      <c r="J242" s="12"/>
      <c r="K242" s="12">
        <f t="shared" si="76"/>
        <v>62969</v>
      </c>
      <c r="M242" s="62"/>
      <c r="N242" s="66"/>
      <c r="O242" s="89"/>
      <c r="P242" s="60"/>
      <c r="Q242" s="60"/>
      <c r="R242" s="60"/>
      <c r="S242" s="60"/>
      <c r="T242" s="61"/>
      <c r="U242" s="61"/>
      <c r="V242" s="61"/>
      <c r="W242" s="61"/>
      <c r="Y242" s="10">
        <v>11</v>
      </c>
      <c r="Z242" s="30"/>
      <c r="AA242" s="31"/>
      <c r="AB242" s="32"/>
      <c r="AC242" s="32"/>
      <c r="AD242" s="32"/>
      <c r="AE242" s="32">
        <f t="shared" si="81"/>
        <v>0</v>
      </c>
      <c r="AF242" s="12"/>
      <c r="AG242" s="12"/>
      <c r="AH242" s="12"/>
      <c r="AI242" s="12">
        <f t="shared" si="7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>
        <v>45849</v>
      </c>
      <c r="C243" s="91">
        <f t="shared" si="79"/>
        <v>6966</v>
      </c>
      <c r="D243" s="32">
        <f>12520+614+2980+229</f>
        <v>16343</v>
      </c>
      <c r="E243" s="32"/>
      <c r="F243" s="32"/>
      <c r="G243" s="32">
        <f t="shared" si="75"/>
        <v>16343</v>
      </c>
      <c r="H243" s="12"/>
      <c r="I243" s="12">
        <v>36</v>
      </c>
      <c r="J243" s="10"/>
      <c r="K243" s="12">
        <f t="shared" si="76"/>
        <v>16379</v>
      </c>
      <c r="M243" s="62"/>
      <c r="N243" s="66"/>
      <c r="O243" s="89"/>
      <c r="P243" s="60"/>
      <c r="Q243" s="60"/>
      <c r="R243" s="60"/>
      <c r="S243" s="60"/>
      <c r="T243" s="61"/>
      <c r="U243" s="61"/>
      <c r="V243" s="61"/>
      <c r="W243" s="61"/>
      <c r="Y243" s="10">
        <v>12</v>
      </c>
      <c r="Z243" s="30"/>
      <c r="AA243" s="31"/>
      <c r="AB243" s="32"/>
      <c r="AC243" s="32"/>
      <c r="AD243" s="32"/>
      <c r="AE243" s="32">
        <f t="shared" si="81"/>
        <v>0</v>
      </c>
      <c r="AF243" s="12"/>
      <c r="AG243" s="12"/>
      <c r="AH243" s="12"/>
      <c r="AI243" s="12">
        <f t="shared" si="7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>
        <v>45849</v>
      </c>
      <c r="C244" s="91">
        <f t="shared" si="79"/>
        <v>6967</v>
      </c>
      <c r="D244" s="32">
        <f>10016+1842+852+832</f>
        <v>13542</v>
      </c>
      <c r="E244" s="32"/>
      <c r="F244" s="32"/>
      <c r="G244" s="32">
        <f t="shared" si="75"/>
        <v>13542</v>
      </c>
      <c r="H244" s="12"/>
      <c r="I244" s="12">
        <v>51</v>
      </c>
      <c r="J244" s="12"/>
      <c r="K244" s="12">
        <f t="shared" si="76"/>
        <v>13593</v>
      </c>
      <c r="M244" s="62"/>
      <c r="N244" s="66"/>
      <c r="O244" s="89"/>
      <c r="P244" s="60"/>
      <c r="Q244" s="60"/>
      <c r="R244" s="60"/>
      <c r="S244" s="60"/>
      <c r="T244" s="61"/>
      <c r="U244" s="61"/>
      <c r="V244" s="61"/>
      <c r="W244" s="61"/>
      <c r="Y244" s="10">
        <v>13</v>
      </c>
      <c r="Z244" s="30"/>
      <c r="AA244" s="31"/>
      <c r="AB244" s="32"/>
      <c r="AC244" s="32"/>
      <c r="AD244" s="32"/>
      <c r="AE244" s="32">
        <f t="shared" si="81"/>
        <v>0</v>
      </c>
      <c r="AF244" s="12"/>
      <c r="AG244" s="12"/>
      <c r="AH244" s="12"/>
      <c r="AI244" s="12">
        <f t="shared" si="7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>
        <v>45849</v>
      </c>
      <c r="C245" s="91">
        <f t="shared" si="79"/>
        <v>6968</v>
      </c>
      <c r="D245" s="32">
        <f>3130+2739</f>
        <v>5869</v>
      </c>
      <c r="E245" s="32"/>
      <c r="F245" s="32"/>
      <c r="G245" s="32">
        <f t="shared" si="75"/>
        <v>5869</v>
      </c>
      <c r="H245" s="12"/>
      <c r="I245" s="12"/>
      <c r="J245" s="12"/>
      <c r="K245" s="12">
        <f t="shared" si="76"/>
        <v>5869</v>
      </c>
      <c r="M245" s="62"/>
      <c r="N245" s="66"/>
      <c r="O245" s="62"/>
      <c r="P245" s="60"/>
      <c r="Q245" s="60"/>
      <c r="R245" s="60"/>
      <c r="S245" s="60"/>
      <c r="T245" s="61"/>
      <c r="U245" s="61"/>
      <c r="V245" s="61"/>
      <c r="W245" s="61"/>
      <c r="Y245" s="10">
        <v>14</v>
      </c>
      <c r="Z245" s="30"/>
      <c r="AA245" s="31"/>
      <c r="AB245" s="32"/>
      <c r="AC245" s="32"/>
      <c r="AD245" s="32"/>
      <c r="AE245" s="32">
        <f t="shared" si="81"/>
        <v>0</v>
      </c>
      <c r="AF245" s="12"/>
      <c r="AG245" s="12"/>
      <c r="AH245" s="12"/>
      <c r="AI245" s="12">
        <f t="shared" si="7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>
        <v>45849</v>
      </c>
      <c r="C246" s="91">
        <f t="shared" si="79"/>
        <v>6969</v>
      </c>
      <c r="D246" s="32">
        <f>2504</f>
        <v>2504</v>
      </c>
      <c r="E246" s="32"/>
      <c r="F246" s="32"/>
      <c r="G246" s="32">
        <f t="shared" si="75"/>
        <v>2504</v>
      </c>
      <c r="H246" s="12"/>
      <c r="I246" s="12"/>
      <c r="J246" s="12"/>
      <c r="K246" s="12">
        <f t="shared" si="76"/>
        <v>2504</v>
      </c>
      <c r="M246" s="62"/>
      <c r="N246" s="66"/>
      <c r="O246" s="89"/>
      <c r="P246" s="60"/>
      <c r="Q246" s="60"/>
      <c r="R246" s="60"/>
      <c r="S246" s="60"/>
      <c r="T246" s="61"/>
      <c r="U246" s="61"/>
      <c r="V246" s="61"/>
      <c r="W246" s="61"/>
      <c r="Y246" s="10">
        <v>15</v>
      </c>
      <c r="Z246" s="30"/>
      <c r="AA246" s="31"/>
      <c r="AB246" s="32"/>
      <c r="AC246" s="32"/>
      <c r="AD246" s="32"/>
      <c r="AE246" s="32">
        <f t="shared" si="81"/>
        <v>0</v>
      </c>
      <c r="AF246" s="12"/>
      <c r="AG246" s="12"/>
      <c r="AH246" s="12"/>
      <c r="AI246" s="12">
        <f t="shared" si="7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>
        <v>45849</v>
      </c>
      <c r="C247" s="91">
        <f t="shared" si="79"/>
        <v>6970</v>
      </c>
      <c r="D247" s="32">
        <f>12520+190</f>
        <v>12710</v>
      </c>
      <c r="E247" s="32"/>
      <c r="F247" s="32"/>
      <c r="G247" s="32">
        <f t="shared" si="75"/>
        <v>12710</v>
      </c>
      <c r="H247" s="12"/>
      <c r="I247" s="12"/>
      <c r="J247" s="12"/>
      <c r="K247" s="12">
        <f t="shared" si="76"/>
        <v>12710</v>
      </c>
      <c r="M247" s="62"/>
      <c r="N247" s="66"/>
      <c r="O247" s="89"/>
      <c r="P247" s="60"/>
      <c r="Q247" s="60"/>
      <c r="R247" s="60"/>
      <c r="S247" s="60"/>
      <c r="T247" s="61"/>
      <c r="U247" s="61"/>
      <c r="V247" s="61"/>
      <c r="W247" s="61"/>
      <c r="Y247" s="10">
        <v>16</v>
      </c>
      <c r="Z247" s="30"/>
      <c r="AB247" s="32"/>
      <c r="AC247" s="32"/>
      <c r="AD247" s="32"/>
      <c r="AE247" s="32">
        <f t="shared" si="81"/>
        <v>0</v>
      </c>
      <c r="AF247" s="12"/>
      <c r="AG247" s="12"/>
      <c r="AH247" s="12"/>
      <c r="AI247" s="12">
        <f t="shared" si="7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>
        <v>45849</v>
      </c>
      <c r="C248" s="91">
        <f t="shared" si="79"/>
        <v>6971</v>
      </c>
      <c r="D248" s="32">
        <f>8138+614</f>
        <v>8752</v>
      </c>
      <c r="E248" s="32"/>
      <c r="F248" s="32"/>
      <c r="G248" s="32">
        <f t="shared" si="75"/>
        <v>8752</v>
      </c>
      <c r="H248" s="12"/>
      <c r="I248" s="12"/>
      <c r="J248" s="12"/>
      <c r="K248" s="12">
        <f t="shared" si="76"/>
        <v>8752</v>
      </c>
      <c r="M248" s="62"/>
      <c r="N248" s="66"/>
      <c r="O248" s="89"/>
      <c r="P248" s="60"/>
      <c r="Q248" s="60"/>
      <c r="R248" s="60"/>
      <c r="S248" s="60"/>
      <c r="T248" s="61"/>
      <c r="U248" s="61"/>
      <c r="V248" s="61"/>
      <c r="W248" s="61"/>
      <c r="Y248" s="10">
        <v>17</v>
      </c>
      <c r="Z248" s="30"/>
      <c r="AA248" s="31"/>
      <c r="AB248" s="35"/>
      <c r="AC248" s="32"/>
      <c r="AD248" s="32"/>
      <c r="AE248" s="32">
        <f t="shared" si="81"/>
        <v>0</v>
      </c>
      <c r="AF248" s="12"/>
      <c r="AG248" s="12"/>
      <c r="AH248" s="12"/>
      <c r="AI248" s="12">
        <f t="shared" si="7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11" t="s">
        <v>27</v>
      </c>
      <c r="D249" s="32"/>
      <c r="E249" s="32"/>
      <c r="F249" s="32"/>
      <c r="G249" s="32">
        <f t="shared" si="75"/>
        <v>0</v>
      </c>
      <c r="H249" s="12"/>
      <c r="I249" s="12"/>
      <c r="J249" s="12"/>
      <c r="K249" s="12">
        <f t="shared" si="76"/>
        <v>0</v>
      </c>
      <c r="M249" s="62"/>
      <c r="N249" s="66"/>
      <c r="O249" s="89"/>
      <c r="P249" s="60"/>
      <c r="Q249" s="60"/>
      <c r="R249" s="60"/>
      <c r="S249" s="60"/>
      <c r="T249" s="61"/>
      <c r="U249" s="61"/>
      <c r="V249" s="61"/>
      <c r="W249" s="61"/>
      <c r="Y249" s="10">
        <v>18</v>
      </c>
      <c r="Z249" s="30"/>
      <c r="AA249" s="31"/>
      <c r="AB249" s="32"/>
      <c r="AC249" s="32"/>
      <c r="AD249" s="32"/>
      <c r="AE249" s="32">
        <f t="shared" si="81"/>
        <v>0</v>
      </c>
      <c r="AF249" s="12"/>
      <c r="AG249" s="12"/>
      <c r="AH249" s="12"/>
      <c r="AI249" s="12">
        <f t="shared" si="7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5"/>
        <v>0</v>
      </c>
      <c r="H250" s="12"/>
      <c r="I250" s="12"/>
      <c r="J250" s="12"/>
      <c r="K250" s="12">
        <f t="shared" si="76"/>
        <v>0</v>
      </c>
      <c r="M250" s="62"/>
      <c r="N250" s="66"/>
      <c r="O250" s="89"/>
      <c r="P250" s="60"/>
      <c r="Q250" s="60"/>
      <c r="R250" s="60"/>
      <c r="S250" s="60"/>
      <c r="T250" s="61"/>
      <c r="U250" s="61"/>
      <c r="V250" s="61"/>
      <c r="W250" s="61"/>
      <c r="Y250" s="10">
        <v>19</v>
      </c>
      <c r="Z250" s="30"/>
      <c r="AA250" s="31"/>
      <c r="AB250" s="32"/>
      <c r="AC250" s="32"/>
      <c r="AD250" s="32"/>
      <c r="AE250" s="32">
        <f t="shared" si="81"/>
        <v>0</v>
      </c>
      <c r="AF250" s="12"/>
      <c r="AG250" s="12"/>
      <c r="AH250" s="12"/>
      <c r="AI250" s="12">
        <f t="shared" si="7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91"/>
      <c r="D251" s="32"/>
      <c r="E251" s="32"/>
      <c r="F251" s="32"/>
      <c r="G251" s="32">
        <f t="shared" si="75"/>
        <v>0</v>
      </c>
      <c r="H251" s="12"/>
      <c r="I251" s="12"/>
      <c r="J251" s="12"/>
      <c r="K251" s="12">
        <f t="shared" si="76"/>
        <v>0</v>
      </c>
      <c r="M251" s="62"/>
      <c r="N251" s="66"/>
      <c r="O251" s="89"/>
      <c r="P251" s="60"/>
      <c r="Q251" s="60"/>
      <c r="R251" s="60"/>
      <c r="S251" s="60"/>
      <c r="T251" s="61"/>
      <c r="U251" s="61"/>
      <c r="V251" s="61"/>
      <c r="W251" s="61"/>
      <c r="Y251" s="10">
        <v>20</v>
      </c>
      <c r="Z251" s="30"/>
      <c r="AB251" s="32"/>
      <c r="AC251" s="32"/>
      <c r="AD251" s="32"/>
      <c r="AE251" s="32">
        <f t="shared" si="81"/>
        <v>0</v>
      </c>
      <c r="AF251" s="12"/>
      <c r="AG251" s="12"/>
      <c r="AH251" s="12"/>
      <c r="AI251" s="12">
        <f t="shared" si="7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D252" s="32"/>
      <c r="E252" s="32"/>
      <c r="F252" s="32"/>
      <c r="G252" s="32">
        <f t="shared" si="75"/>
        <v>0</v>
      </c>
      <c r="H252" s="10"/>
      <c r="I252" s="10"/>
      <c r="J252" s="10"/>
      <c r="K252" s="12">
        <f t="shared" si="76"/>
        <v>0</v>
      </c>
      <c r="M252" s="62"/>
      <c r="N252" s="66"/>
      <c r="O252" s="89"/>
      <c r="P252" s="67"/>
      <c r="Q252" s="89"/>
      <c r="R252" s="89"/>
      <c r="S252" s="60"/>
      <c r="T252" s="62"/>
      <c r="U252" s="62"/>
      <c r="V252" s="62"/>
      <c r="W252" s="61"/>
      <c r="Y252" s="10">
        <v>21</v>
      </c>
      <c r="Z252" s="30"/>
      <c r="AB252" s="46"/>
      <c r="AC252" s="31"/>
      <c r="AD252" s="31"/>
      <c r="AE252" s="32">
        <f t="shared" si="81"/>
        <v>0</v>
      </c>
      <c r="AF252" s="10"/>
      <c r="AG252" s="10"/>
      <c r="AH252" s="10"/>
      <c r="AI252" s="12">
        <f t="shared" si="7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5"/>
        <v>0</v>
      </c>
      <c r="H253" s="10"/>
      <c r="I253" s="10"/>
      <c r="J253" s="10"/>
      <c r="K253" s="12">
        <f t="shared" si="76"/>
        <v>0</v>
      </c>
      <c r="M253" s="62"/>
      <c r="N253" s="66"/>
      <c r="O253" s="89"/>
      <c r="P253" s="68"/>
      <c r="Q253" s="89"/>
      <c r="R253" s="89"/>
      <c r="S253" s="60"/>
      <c r="T253" s="62"/>
      <c r="U253" s="62"/>
      <c r="V253" s="62"/>
      <c r="W253" s="61"/>
      <c r="Y253" s="10">
        <v>22</v>
      </c>
      <c r="Z253" s="30"/>
      <c r="AA253" s="31"/>
      <c r="AB253" s="45"/>
      <c r="AC253" s="31"/>
      <c r="AD253" s="31"/>
      <c r="AE253" s="32">
        <f t="shared" si="81"/>
        <v>0</v>
      </c>
      <c r="AF253" s="10"/>
      <c r="AG253" s="10"/>
      <c r="AH253" s="10"/>
      <c r="AI253" s="12">
        <f t="shared" si="7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91"/>
      <c r="D254" s="32"/>
      <c r="E254" s="32"/>
      <c r="F254" s="32"/>
      <c r="G254" s="32">
        <f t="shared" si="75"/>
        <v>0</v>
      </c>
      <c r="H254" s="10"/>
      <c r="I254" s="10"/>
      <c r="J254" s="12"/>
      <c r="K254" s="12">
        <f t="shared" si="76"/>
        <v>0</v>
      </c>
      <c r="M254" s="62"/>
      <c r="N254" s="66"/>
      <c r="O254" s="89"/>
      <c r="P254" s="69"/>
      <c r="Q254" s="62"/>
      <c r="R254" s="62"/>
      <c r="S254" s="60"/>
      <c r="T254" s="62"/>
      <c r="U254" s="62"/>
      <c r="V254" s="62"/>
      <c r="W254" s="61"/>
      <c r="Y254" s="10">
        <v>23</v>
      </c>
      <c r="Z254" s="30"/>
      <c r="AA254" s="31"/>
      <c r="AB254" s="47"/>
      <c r="AC254" s="31"/>
      <c r="AE254" s="32">
        <f t="shared" si="81"/>
        <v>0</v>
      </c>
      <c r="AF254" s="10"/>
      <c r="AG254" s="10"/>
      <c r="AH254" s="10"/>
      <c r="AI254" s="12">
        <f t="shared" si="7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91"/>
      <c r="D255" s="32"/>
      <c r="E255" s="32"/>
      <c r="F255" s="32"/>
      <c r="G255" s="32">
        <f t="shared" si="75"/>
        <v>0</v>
      </c>
      <c r="H255" s="10"/>
      <c r="I255" s="10"/>
      <c r="J255" s="10"/>
      <c r="K255" s="12">
        <f t="shared" si="76"/>
        <v>0</v>
      </c>
      <c r="M255" s="62"/>
      <c r="N255" s="66"/>
      <c r="O255" s="89"/>
      <c r="P255" s="69"/>
      <c r="Q255" s="89"/>
      <c r="R255" s="89"/>
      <c r="S255" s="60"/>
      <c r="T255" s="62"/>
      <c r="U255" s="62"/>
      <c r="V255" s="62"/>
      <c r="W255" s="61"/>
      <c r="Y255" s="10">
        <v>24</v>
      </c>
      <c r="Z255" s="30"/>
      <c r="AA255" s="31"/>
      <c r="AB255" s="47"/>
      <c r="AC255" s="31"/>
      <c r="AD255" s="31"/>
      <c r="AE255" s="32">
        <f t="shared" si="81"/>
        <v>0</v>
      </c>
      <c r="AF255" s="10"/>
      <c r="AG255" s="10"/>
      <c r="AH255" s="10"/>
      <c r="AI255" s="12">
        <f t="shared" si="7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57"/>
      <c r="D256" s="32"/>
      <c r="E256" s="32"/>
      <c r="F256" s="32"/>
      <c r="G256" s="32">
        <f t="shared" si="75"/>
        <v>0</v>
      </c>
      <c r="H256" s="10"/>
      <c r="I256" s="10"/>
      <c r="J256" s="10"/>
      <c r="K256" s="12">
        <f t="shared" si="76"/>
        <v>0</v>
      </c>
      <c r="M256" s="62"/>
      <c r="N256" s="66"/>
      <c r="O256" s="89"/>
      <c r="P256" s="69"/>
      <c r="Q256" s="89"/>
      <c r="R256" s="89"/>
      <c r="S256" s="60"/>
      <c r="T256" s="62"/>
      <c r="U256" s="62"/>
      <c r="V256" s="62"/>
      <c r="W256" s="61"/>
      <c r="Y256" s="10">
        <v>25</v>
      </c>
      <c r="Z256" s="30"/>
      <c r="AA256" s="11"/>
      <c r="AB256" s="47"/>
      <c r="AC256" s="31"/>
      <c r="AD256" s="31"/>
      <c r="AE256" s="32">
        <f t="shared" si="81"/>
        <v>0</v>
      </c>
      <c r="AF256" s="10"/>
      <c r="AG256" s="10"/>
      <c r="AH256" s="10"/>
      <c r="AI256" s="12">
        <f t="shared" si="7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91"/>
      <c r="D257" s="32"/>
      <c r="E257" s="32"/>
      <c r="F257" s="32"/>
      <c r="G257" s="32">
        <f t="shared" si="75"/>
        <v>0</v>
      </c>
      <c r="H257" s="10"/>
      <c r="I257" s="10"/>
      <c r="J257" s="10"/>
      <c r="K257" s="12">
        <f t="shared" si="76"/>
        <v>0</v>
      </c>
      <c r="M257" s="62"/>
      <c r="N257" s="66"/>
      <c r="O257" s="89"/>
      <c r="P257" s="69"/>
      <c r="Q257" s="89"/>
      <c r="R257" s="89"/>
      <c r="S257" s="60"/>
      <c r="T257" s="62"/>
      <c r="U257" s="62"/>
      <c r="V257" s="62"/>
      <c r="W257" s="61"/>
      <c r="Y257" s="10">
        <v>26</v>
      </c>
      <c r="Z257" s="30"/>
      <c r="AB257" s="47"/>
      <c r="AC257" s="31"/>
      <c r="AD257" s="31"/>
      <c r="AE257" s="32">
        <f t="shared" si="81"/>
        <v>0</v>
      </c>
      <c r="AF257" s="10"/>
      <c r="AG257" s="10"/>
      <c r="AH257" s="10"/>
      <c r="AI257" s="12">
        <f t="shared" si="7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91"/>
      <c r="D258" s="32"/>
      <c r="E258" s="32"/>
      <c r="F258" s="32"/>
      <c r="G258" s="32">
        <f t="shared" si="75"/>
        <v>0</v>
      </c>
      <c r="H258" s="10"/>
      <c r="I258" s="10"/>
      <c r="J258" s="10"/>
      <c r="K258" s="12">
        <f t="shared" si="76"/>
        <v>0</v>
      </c>
      <c r="M258" s="62"/>
      <c r="N258" s="66"/>
      <c r="O258" s="89"/>
      <c r="P258" s="69"/>
      <c r="Q258" s="89"/>
      <c r="R258" s="89"/>
      <c r="S258" s="60"/>
      <c r="T258" s="62"/>
      <c r="U258" s="62"/>
      <c r="V258" s="62"/>
      <c r="W258" s="61"/>
      <c r="Y258" s="10">
        <v>27</v>
      </c>
      <c r="Z258" s="30"/>
      <c r="AA258" s="31"/>
      <c r="AB258" s="47"/>
      <c r="AC258" s="31"/>
      <c r="AD258" s="31"/>
      <c r="AE258" s="32">
        <f t="shared" si="81"/>
        <v>0</v>
      </c>
      <c r="AF258" s="10"/>
      <c r="AG258" s="10"/>
      <c r="AH258" s="10"/>
      <c r="AI258" s="12">
        <f t="shared" si="7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91"/>
      <c r="D259" s="32"/>
      <c r="E259" s="32"/>
      <c r="F259" s="32"/>
      <c r="G259" s="32">
        <f t="shared" si="75"/>
        <v>0</v>
      </c>
      <c r="H259" s="10"/>
      <c r="I259" s="10"/>
      <c r="J259" s="10"/>
      <c r="K259" s="12">
        <f t="shared" si="76"/>
        <v>0</v>
      </c>
      <c r="M259" s="62"/>
      <c r="N259" s="66"/>
      <c r="O259" s="89"/>
      <c r="P259" s="69"/>
      <c r="Q259" s="89"/>
      <c r="R259" s="89"/>
      <c r="S259" s="60"/>
      <c r="T259" s="62"/>
      <c r="U259" s="62"/>
      <c r="V259" s="62"/>
      <c r="W259" s="61"/>
      <c r="Y259" s="10">
        <v>28</v>
      </c>
      <c r="Z259" s="30"/>
      <c r="AA259" s="31"/>
      <c r="AB259" s="47"/>
      <c r="AC259" s="31"/>
      <c r="AD259" s="31"/>
      <c r="AE259" s="32">
        <f t="shared" si="81"/>
        <v>0</v>
      </c>
      <c r="AF259" s="10"/>
      <c r="AG259" s="10"/>
      <c r="AH259" s="10"/>
      <c r="AI259" s="12">
        <f t="shared" si="7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91"/>
      <c r="D260" s="32"/>
      <c r="E260" s="32"/>
      <c r="F260" s="32"/>
      <c r="G260" s="32">
        <f t="shared" si="75"/>
        <v>0</v>
      </c>
      <c r="H260" s="10"/>
      <c r="I260" s="10"/>
      <c r="J260" s="10"/>
      <c r="K260" s="12">
        <f t="shared" si="76"/>
        <v>0</v>
      </c>
      <c r="M260" s="62"/>
      <c r="N260" s="66"/>
      <c r="O260" s="62"/>
      <c r="P260" s="69"/>
      <c r="Q260" s="89"/>
      <c r="R260" s="89"/>
      <c r="S260" s="60"/>
      <c r="T260" s="62"/>
      <c r="U260" s="62"/>
      <c r="V260" s="62"/>
      <c r="W260" s="61"/>
      <c r="Y260" s="10">
        <v>29</v>
      </c>
      <c r="Z260" s="30"/>
      <c r="AA260" s="31"/>
      <c r="AB260" s="47"/>
      <c r="AC260" s="31"/>
      <c r="AD260" s="31"/>
      <c r="AE260" s="32">
        <f t="shared" si="81"/>
        <v>0</v>
      </c>
      <c r="AF260" s="10"/>
      <c r="AG260" s="10"/>
      <c r="AH260" s="10"/>
      <c r="AI260" s="12">
        <f t="shared" si="7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91"/>
      <c r="D261" s="32"/>
      <c r="E261" s="32"/>
      <c r="F261" s="32"/>
      <c r="G261" s="32">
        <f t="shared" si="75"/>
        <v>0</v>
      </c>
      <c r="H261" s="10"/>
      <c r="I261" s="10"/>
      <c r="J261" s="10"/>
      <c r="K261" s="12">
        <f t="shared" si="76"/>
        <v>0</v>
      </c>
      <c r="M261" s="62"/>
      <c r="N261" s="66"/>
      <c r="O261" s="62"/>
      <c r="P261" s="69"/>
      <c r="Q261" s="89"/>
      <c r="R261" s="89"/>
      <c r="S261" s="60"/>
      <c r="T261" s="62"/>
      <c r="U261" s="62"/>
      <c r="V261" s="62"/>
      <c r="W261" s="61"/>
      <c r="Y261" s="10">
        <v>30</v>
      </c>
      <c r="Z261" s="30"/>
      <c r="AA261" s="31"/>
      <c r="AB261" s="47"/>
      <c r="AC261" s="31"/>
      <c r="AD261" s="31"/>
      <c r="AE261" s="32">
        <f t="shared" si="81"/>
        <v>0</v>
      </c>
      <c r="AF261" s="10"/>
      <c r="AG261" s="10"/>
      <c r="AH261" s="10"/>
      <c r="AI261" s="12">
        <f t="shared" si="7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91"/>
      <c r="D262" s="32"/>
      <c r="E262" s="32"/>
      <c r="F262" s="32"/>
      <c r="G262" s="32">
        <f t="shared" si="75"/>
        <v>0</v>
      </c>
      <c r="H262" s="10"/>
      <c r="I262" s="10"/>
      <c r="J262" s="10"/>
      <c r="K262" s="12">
        <f t="shared" si="76"/>
        <v>0</v>
      </c>
      <c r="M262" s="62"/>
      <c r="N262" s="66"/>
      <c r="O262" s="89"/>
      <c r="P262" s="69"/>
      <c r="Q262" s="89"/>
      <c r="R262" s="89"/>
      <c r="S262" s="60"/>
      <c r="T262" s="62"/>
      <c r="U262" s="62"/>
      <c r="V262" s="62"/>
      <c r="W262" s="61"/>
      <c r="Y262" s="10">
        <v>31</v>
      </c>
      <c r="Z262" s="30"/>
      <c r="AA262" s="31"/>
      <c r="AB262" s="47"/>
      <c r="AC262" s="31"/>
      <c r="AD262" s="31"/>
      <c r="AE262" s="32">
        <f t="shared" si="81"/>
        <v>0</v>
      </c>
      <c r="AF262" s="10"/>
      <c r="AG262" s="10"/>
      <c r="AH262" s="10"/>
      <c r="AI262" s="12">
        <f t="shared" si="7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91"/>
      <c r="D263" s="32"/>
      <c r="E263" s="32"/>
      <c r="F263" s="32"/>
      <c r="G263" s="32">
        <f t="shared" si="75"/>
        <v>0</v>
      </c>
      <c r="H263" s="10"/>
      <c r="I263" s="10"/>
      <c r="J263" s="10"/>
      <c r="K263" s="12">
        <f t="shared" si="76"/>
        <v>0</v>
      </c>
      <c r="M263" s="62"/>
      <c r="N263" s="66"/>
      <c r="O263" s="62"/>
      <c r="P263" s="69"/>
      <c r="Q263" s="89"/>
      <c r="R263" s="89"/>
      <c r="S263" s="60"/>
      <c r="T263" s="62"/>
      <c r="U263" s="62"/>
      <c r="V263" s="62"/>
      <c r="W263" s="61"/>
      <c r="Y263" s="10">
        <v>32</v>
      </c>
      <c r="Z263" s="30"/>
      <c r="AA263" s="31"/>
      <c r="AB263" s="47"/>
      <c r="AC263" s="31"/>
      <c r="AD263" s="31"/>
      <c r="AE263" s="32">
        <f t="shared" si="81"/>
        <v>0</v>
      </c>
      <c r="AF263" s="10"/>
      <c r="AG263" s="10"/>
      <c r="AH263" s="10"/>
      <c r="AI263" s="12">
        <f t="shared" si="7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91"/>
      <c r="D264" s="32"/>
      <c r="E264" s="32"/>
      <c r="F264" s="32"/>
      <c r="G264" s="32">
        <f t="shared" si="75"/>
        <v>0</v>
      </c>
      <c r="H264" s="10"/>
      <c r="I264" s="10"/>
      <c r="J264" s="10"/>
      <c r="K264" s="12">
        <f t="shared" si="76"/>
        <v>0</v>
      </c>
      <c r="M264" s="62"/>
      <c r="N264" s="66"/>
      <c r="O264" s="89"/>
      <c r="P264" s="69"/>
      <c r="Q264" s="89"/>
      <c r="R264" s="89"/>
      <c r="S264" s="60"/>
      <c r="T264" s="62"/>
      <c r="U264" s="62"/>
      <c r="V264" s="62"/>
      <c r="W264" s="61"/>
      <c r="Y264" s="10">
        <v>33</v>
      </c>
      <c r="Z264" s="30"/>
      <c r="AA264" s="31"/>
      <c r="AB264" s="47"/>
      <c r="AC264" s="31"/>
      <c r="AD264" s="31"/>
      <c r="AE264" s="32">
        <f t="shared" si="81"/>
        <v>0</v>
      </c>
      <c r="AF264" s="10"/>
      <c r="AG264" s="10"/>
      <c r="AH264" s="10"/>
      <c r="AI264" s="12">
        <f t="shared" si="7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91"/>
      <c r="D265" s="32"/>
      <c r="E265" s="32"/>
      <c r="F265" s="32"/>
      <c r="G265" s="32">
        <f t="shared" si="75"/>
        <v>0</v>
      </c>
      <c r="H265" s="10"/>
      <c r="I265" s="10"/>
      <c r="J265" s="10"/>
      <c r="K265" s="12">
        <f t="shared" si="76"/>
        <v>0</v>
      </c>
      <c r="M265" s="62"/>
      <c r="N265" s="66"/>
      <c r="O265" s="89"/>
      <c r="P265" s="69"/>
      <c r="Q265" s="89"/>
      <c r="R265" s="89"/>
      <c r="S265" s="60"/>
      <c r="T265" s="62"/>
      <c r="U265" s="62"/>
      <c r="V265" s="62"/>
      <c r="W265" s="61"/>
      <c r="Y265" s="10">
        <v>34</v>
      </c>
      <c r="Z265" s="30"/>
      <c r="AB265" s="47"/>
      <c r="AC265" s="31"/>
      <c r="AD265" s="31"/>
      <c r="AE265" s="32">
        <f t="shared" si="81"/>
        <v>0</v>
      </c>
      <c r="AF265" s="10"/>
      <c r="AG265" s="10"/>
      <c r="AH265" s="10"/>
      <c r="AI265" s="12">
        <f t="shared" ref="AI265:AI273" si="82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31"/>
      <c r="D266" s="32"/>
      <c r="E266" s="32"/>
      <c r="F266" s="32"/>
      <c r="G266" s="32"/>
      <c r="H266" s="10"/>
      <c r="I266" s="10"/>
      <c r="J266" s="10"/>
      <c r="K266" s="12"/>
      <c r="M266" s="62"/>
      <c r="N266" s="66"/>
      <c r="O266" s="89"/>
      <c r="P266" s="69"/>
      <c r="Q266" s="89"/>
      <c r="R266" s="89"/>
      <c r="S266" s="60"/>
      <c r="T266" s="62"/>
      <c r="U266" s="62"/>
      <c r="V266" s="62"/>
      <c r="W266" s="61"/>
      <c r="Y266" s="10">
        <v>35</v>
      </c>
      <c r="Z266" s="30"/>
      <c r="AA266" s="31"/>
      <c r="AB266" s="47"/>
      <c r="AC266" s="31"/>
      <c r="AD266" s="31"/>
      <c r="AE266" s="32">
        <f t="shared" si="81"/>
        <v>0</v>
      </c>
      <c r="AF266" s="10"/>
      <c r="AG266" s="10"/>
      <c r="AH266" s="10"/>
      <c r="AI266" s="12">
        <f t="shared" si="82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31"/>
      <c r="D267" s="32"/>
      <c r="E267" s="32"/>
      <c r="F267" s="32"/>
      <c r="G267" s="32"/>
      <c r="H267" s="10"/>
      <c r="I267" s="10"/>
      <c r="J267" s="10"/>
      <c r="K267" s="12"/>
      <c r="M267" s="62"/>
      <c r="N267" s="66"/>
      <c r="O267" s="89"/>
      <c r="P267" s="69"/>
      <c r="Q267" s="89"/>
      <c r="R267" s="89"/>
      <c r="S267" s="60"/>
      <c r="T267" s="62"/>
      <c r="U267" s="62"/>
      <c r="V267" s="62"/>
      <c r="W267" s="61"/>
      <c r="Y267" s="10">
        <v>36</v>
      </c>
      <c r="Z267" s="30"/>
      <c r="AA267" s="31"/>
      <c r="AB267" s="47"/>
      <c r="AC267" s="31"/>
      <c r="AD267" s="31"/>
      <c r="AE267" s="32">
        <f t="shared" si="81"/>
        <v>0</v>
      </c>
      <c r="AF267" s="10"/>
      <c r="AG267" s="10"/>
      <c r="AH267" s="10"/>
      <c r="AI267" s="12">
        <f t="shared" si="82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62"/>
      <c r="N268" s="66"/>
      <c r="O268" s="62"/>
      <c r="P268" s="69"/>
      <c r="Q268" s="89"/>
      <c r="R268" s="89"/>
      <c r="S268" s="60"/>
      <c r="T268" s="62"/>
      <c r="U268" s="62"/>
      <c r="V268" s="62"/>
      <c r="W268" s="61"/>
      <c r="Y268" s="10">
        <v>37</v>
      </c>
      <c r="Z268" s="30"/>
      <c r="AA268" s="31"/>
      <c r="AB268" s="47"/>
      <c r="AC268" s="31"/>
      <c r="AD268" s="31"/>
      <c r="AE268" s="32">
        <f t="shared" si="81"/>
        <v>0</v>
      </c>
      <c r="AF268" s="10"/>
      <c r="AG268" s="10"/>
      <c r="AH268" s="10"/>
      <c r="AI268" s="12">
        <f t="shared" si="82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62"/>
      <c r="N269" s="66"/>
      <c r="O269" s="89"/>
      <c r="P269" s="69"/>
      <c r="Q269" s="89"/>
      <c r="R269" s="89"/>
      <c r="S269" s="60"/>
      <c r="T269" s="62"/>
      <c r="U269" s="62"/>
      <c r="V269" s="62"/>
      <c r="W269" s="61"/>
      <c r="Y269" s="10">
        <v>38</v>
      </c>
      <c r="Z269" s="30"/>
      <c r="AA269" s="31"/>
      <c r="AB269" s="47"/>
      <c r="AC269" s="31"/>
      <c r="AD269" s="31"/>
      <c r="AE269" s="32">
        <f t="shared" si="81"/>
        <v>0</v>
      </c>
      <c r="AF269" s="10"/>
      <c r="AG269" s="10"/>
      <c r="AH269" s="10"/>
      <c r="AI269" s="12">
        <f t="shared" si="82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62"/>
      <c r="N270" s="66"/>
      <c r="O270" s="89"/>
      <c r="P270" s="69"/>
      <c r="Q270" s="89"/>
      <c r="R270" s="89"/>
      <c r="S270" s="60"/>
      <c r="T270" s="62"/>
      <c r="U270" s="62"/>
      <c r="V270" s="62"/>
      <c r="W270" s="61"/>
      <c r="Y270" s="10">
        <v>39</v>
      </c>
      <c r="Z270" s="30"/>
      <c r="AA270" s="31"/>
      <c r="AB270" s="47"/>
      <c r="AC270" s="31"/>
      <c r="AD270" s="31"/>
      <c r="AE270" s="32">
        <f t="shared" si="81"/>
        <v>0</v>
      </c>
      <c r="AF270" s="10"/>
      <c r="AG270" s="10"/>
      <c r="AH270" s="10"/>
      <c r="AI270" s="12">
        <f t="shared" si="82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62"/>
      <c r="N271" s="66"/>
      <c r="O271" s="62"/>
      <c r="P271" s="69"/>
      <c r="Q271" s="89"/>
      <c r="R271" s="89"/>
      <c r="S271" s="60"/>
      <c r="T271" s="62"/>
      <c r="U271" s="62"/>
      <c r="V271" s="62"/>
      <c r="W271" s="61"/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2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3">SUM(D272:E272)</f>
        <v>0</v>
      </c>
      <c r="H272" s="10"/>
      <c r="I272" s="10"/>
      <c r="J272" s="10"/>
      <c r="K272" s="12">
        <f t="shared" ref="K272" si="84">SUM(G272:J272)</f>
        <v>0</v>
      </c>
      <c r="M272" s="62"/>
      <c r="N272" s="66"/>
      <c r="O272" s="89"/>
      <c r="P272" s="69"/>
      <c r="Q272" s="89"/>
      <c r="R272" s="89"/>
      <c r="S272" s="60"/>
      <c r="T272" s="62"/>
      <c r="U272" s="62"/>
      <c r="V272" s="62"/>
      <c r="W272" s="61"/>
      <c r="Y272" s="10"/>
      <c r="Z272" s="30"/>
      <c r="AA272" s="31"/>
      <c r="AB272" s="47"/>
      <c r="AC272" s="31"/>
      <c r="AD272" s="31"/>
      <c r="AE272" s="32">
        <f t="shared" ref="AE272" si="85">SUM(AB272:AC272)</f>
        <v>0</v>
      </c>
      <c r="AF272" s="10"/>
      <c r="AG272" s="10"/>
      <c r="AH272" s="10"/>
      <c r="AI272" s="12">
        <f t="shared" si="82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62"/>
      <c r="N273" s="89"/>
      <c r="O273" s="89"/>
      <c r="P273" s="89"/>
      <c r="Q273" s="89"/>
      <c r="R273" s="89"/>
      <c r="S273" s="89"/>
      <c r="T273" s="62"/>
      <c r="U273" s="62"/>
      <c r="V273" s="62"/>
      <c r="W273" s="61"/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2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M274" s="62"/>
      <c r="N274" s="89"/>
      <c r="O274" s="89"/>
      <c r="P274" s="89"/>
      <c r="Q274" s="89"/>
      <c r="R274" s="89"/>
      <c r="S274" s="89"/>
      <c r="T274" s="62"/>
      <c r="U274" s="62"/>
      <c r="V274" s="62"/>
      <c r="W274" s="62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203772</v>
      </c>
      <c r="E275" s="38">
        <f t="shared" ref="E275:F275" si="86">SUM(E232:E272)</f>
        <v>0</v>
      </c>
      <c r="F275" s="38">
        <f t="shared" si="86"/>
        <v>0</v>
      </c>
      <c r="G275" s="38">
        <f>SUM(G232:G274)</f>
        <v>203772</v>
      </c>
      <c r="H275" s="4"/>
      <c r="I275" s="39">
        <f>SUM(I232:I274)</f>
        <v>1263</v>
      </c>
      <c r="J275" s="39">
        <f>SUM(J232:J274)</f>
        <v>-1110</v>
      </c>
      <c r="K275" s="40">
        <f>SUM(K232:K274)</f>
        <v>203925</v>
      </c>
      <c r="M275" s="62"/>
      <c r="N275" s="89"/>
      <c r="O275" s="89"/>
      <c r="P275" s="70"/>
      <c r="Q275" s="70"/>
      <c r="R275" s="70"/>
      <c r="S275" s="70"/>
      <c r="T275" s="63"/>
      <c r="U275" s="71"/>
      <c r="V275" s="71"/>
      <c r="W275" s="71"/>
      <c r="Z275" s="57"/>
      <c r="AA275" s="57"/>
      <c r="AB275" s="38">
        <f>SUM(AB232:AB274)</f>
        <v>219592.5</v>
      </c>
      <c r="AC275" s="38">
        <f>SUM(AC232:AC256)</f>
        <v>-1608</v>
      </c>
      <c r="AD275" s="38">
        <f>SUM(AD232:AD256)</f>
        <v>0</v>
      </c>
      <c r="AE275" s="38">
        <f>SUM(AE232:AE274)</f>
        <v>217984.5</v>
      </c>
      <c r="AF275" s="4"/>
      <c r="AG275" s="41">
        <f>SUM(AG232:AG274)</f>
        <v>5328</v>
      </c>
      <c r="AH275" s="41">
        <f>SUM(AH232:AH256)</f>
        <v>-2109</v>
      </c>
      <c r="AI275" s="42">
        <f>SUM(AI232:AI274)</f>
        <v>221203.5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34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34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34</v>
      </c>
      <c r="Z282" s="57"/>
      <c r="AA282" s="57"/>
      <c r="AB282" s="57"/>
      <c r="AC282" s="57"/>
      <c r="AD282" s="57"/>
      <c r="AE282" s="57"/>
      <c r="AG282" s="57" t="s">
        <v>15</v>
      </c>
      <c r="AH282" s="19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56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56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42</v>
      </c>
      <c r="W283" s="24"/>
      <c r="Y283" s="21" t="s">
        <v>56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1" t="s">
        <v>17</v>
      </c>
      <c r="E285" s="111"/>
      <c r="F285" s="96"/>
      <c r="G285" s="27"/>
      <c r="I285" s="109" t="s">
        <v>18</v>
      </c>
      <c r="J285" s="110"/>
      <c r="K285" s="107" t="s">
        <v>19</v>
      </c>
      <c r="N285" s="25"/>
      <c r="O285" s="26"/>
      <c r="P285" s="111" t="s">
        <v>17</v>
      </c>
      <c r="Q285" s="111"/>
      <c r="R285" s="96"/>
      <c r="S285" s="27"/>
      <c r="U285" s="109" t="s">
        <v>18</v>
      </c>
      <c r="V285" s="110"/>
      <c r="W285" s="107" t="s">
        <v>19</v>
      </c>
      <c r="Z285" s="25"/>
      <c r="AA285" s="26"/>
      <c r="AB285" s="111" t="s">
        <v>17</v>
      </c>
      <c r="AC285" s="111"/>
      <c r="AD285" s="96"/>
      <c r="AE285" s="27"/>
      <c r="AG285" s="109" t="s">
        <v>18</v>
      </c>
      <c r="AH285" s="110"/>
      <c r="AI285" s="107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08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08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08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45880</v>
      </c>
      <c r="C287" s="91">
        <v>6972</v>
      </c>
      <c r="D287" s="32">
        <f>6260+95</f>
        <v>6355</v>
      </c>
      <c r="E287" s="32"/>
      <c r="F287" s="32"/>
      <c r="G287" s="32">
        <f t="shared" ref="G287:G320" si="87">SUM(D287:E287)</f>
        <v>6355</v>
      </c>
      <c r="H287" s="12"/>
      <c r="I287" s="12"/>
      <c r="J287" s="12">
        <v>-1110</v>
      </c>
      <c r="K287" s="12">
        <f t="shared" ref="K287:K320" si="88">SUM(G287:J287)</f>
        <v>5245</v>
      </c>
      <c r="M287" s="10">
        <v>1</v>
      </c>
      <c r="N287" s="30">
        <v>45880</v>
      </c>
      <c r="O287" s="31">
        <v>7001</v>
      </c>
      <c r="P287" s="32">
        <f>56340+3070+5960+1664+458</f>
        <v>67492</v>
      </c>
      <c r="Q287" s="32"/>
      <c r="R287" s="32"/>
      <c r="S287" s="32">
        <f>SUM(P287:Q287)</f>
        <v>67492</v>
      </c>
      <c r="T287" s="12"/>
      <c r="U287" s="12">
        <v>324</v>
      </c>
      <c r="V287" s="12"/>
      <c r="W287" s="12">
        <f>SUM(S287:V287)</f>
        <v>67816</v>
      </c>
      <c r="Y287" s="10">
        <v>1</v>
      </c>
      <c r="Z287" s="30">
        <v>45880</v>
      </c>
      <c r="AA287" s="31">
        <v>6892</v>
      </c>
      <c r="AB287" s="32">
        <f>15650+614*3+458</f>
        <v>17950</v>
      </c>
      <c r="AC287" s="32"/>
      <c r="AD287" s="32"/>
      <c r="AE287" s="32">
        <f>SUM(AB287:AC287)</f>
        <v>17950</v>
      </c>
      <c r="AF287" s="12"/>
      <c r="AG287" s="12">
        <v>103.5</v>
      </c>
      <c r="AH287" s="12"/>
      <c r="AI287" s="12">
        <f>SUM(AE287:AH287)</f>
        <v>18053.5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45880</v>
      </c>
      <c r="C288" s="91">
        <f>C287+1</f>
        <v>6973</v>
      </c>
      <c r="D288" s="32">
        <f>313000+17880+5038</f>
        <v>335918</v>
      </c>
      <c r="E288" s="32">
        <v>-4968</v>
      </c>
      <c r="F288" s="32"/>
      <c r="G288" s="32">
        <f t="shared" si="87"/>
        <v>330950</v>
      </c>
      <c r="H288" s="12"/>
      <c r="I288" s="12">
        <f>111*173+78*20</f>
        <v>20763</v>
      </c>
      <c r="J288" s="12">
        <f>-588+-252</f>
        <v>-840</v>
      </c>
      <c r="K288" s="12">
        <f t="shared" si="88"/>
        <v>350873</v>
      </c>
      <c r="M288" s="10">
        <v>2</v>
      </c>
      <c r="N288" s="30">
        <v>45880</v>
      </c>
      <c r="O288" s="31">
        <f>O287+1</f>
        <v>7002</v>
      </c>
      <c r="P288" s="32">
        <f>3756+57</f>
        <v>3813</v>
      </c>
      <c r="Q288" s="32"/>
      <c r="R288" s="32"/>
      <c r="S288" s="32">
        <f t="shared" ref="S288:S319" si="89">SUM(P288:Q288)</f>
        <v>3813</v>
      </c>
      <c r="T288" s="12"/>
      <c r="U288" s="12"/>
      <c r="V288" s="12"/>
      <c r="W288" s="12">
        <f t="shared" ref="W288:W319" si="90">SUM(S288:V288)</f>
        <v>3813</v>
      </c>
      <c r="Y288" s="10">
        <v>2</v>
      </c>
      <c r="Z288" s="30">
        <v>45880</v>
      </c>
      <c r="AA288" s="31">
        <f>AA287+1</f>
        <v>6893</v>
      </c>
      <c r="AB288" s="32">
        <f>81380+9210+596*25+229+650*2</f>
        <v>107019</v>
      </c>
      <c r="AC288" s="32">
        <v>-1080</v>
      </c>
      <c r="AD288" s="32"/>
      <c r="AE288" s="32">
        <f t="shared" ref="AE288:AE290" si="91">SUM(AB288:AC288)</f>
        <v>105939</v>
      </c>
      <c r="AF288" s="12"/>
      <c r="AG288" s="12">
        <v>4218</v>
      </c>
      <c r="AH288" s="12"/>
      <c r="AI288" s="12">
        <f t="shared" ref="AI288:AI319" si="92">SUM(AE288:AH288)</f>
        <v>110157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45880</v>
      </c>
      <c r="C289" s="91">
        <f t="shared" ref="C289" si="93">C288+1</f>
        <v>6974</v>
      </c>
      <c r="D289" s="33">
        <f>51958+3070+5960+229</f>
        <v>61217</v>
      </c>
      <c r="E289" s="33"/>
      <c r="F289" s="33"/>
      <c r="G289" s="33">
        <f t="shared" si="87"/>
        <v>61217</v>
      </c>
      <c r="H289" s="34"/>
      <c r="I289" s="34">
        <v>27</v>
      </c>
      <c r="J289" s="34"/>
      <c r="K289" s="34">
        <f t="shared" si="88"/>
        <v>61244</v>
      </c>
      <c r="M289" s="10">
        <v>3</v>
      </c>
      <c r="N289" s="30">
        <v>45880</v>
      </c>
      <c r="O289" s="31">
        <f t="shared" ref="O289:O295" si="94">O288+1</f>
        <v>7003</v>
      </c>
      <c r="P289" s="32">
        <f>3130+2980+95</f>
        <v>6205</v>
      </c>
      <c r="Q289" s="32"/>
      <c r="R289" s="32"/>
      <c r="S289" s="32">
        <f t="shared" si="89"/>
        <v>6205</v>
      </c>
      <c r="T289" s="12"/>
      <c r="U289" s="12"/>
      <c r="V289" s="12"/>
      <c r="W289" s="12">
        <f t="shared" si="90"/>
        <v>6205</v>
      </c>
      <c r="Y289" s="10">
        <v>3</v>
      </c>
      <c r="Z289" s="30">
        <v>45880</v>
      </c>
      <c r="AA289" s="31">
        <f t="shared" ref="AA289:AA291" si="95">AA288+1</f>
        <v>6894</v>
      </c>
      <c r="AB289" s="33">
        <f>62600+11020+832+916</f>
        <v>75368</v>
      </c>
      <c r="AC289" s="33">
        <v>-690</v>
      </c>
      <c r="AD289" s="32"/>
      <c r="AE289" s="32">
        <f t="shared" si="91"/>
        <v>74678</v>
      </c>
      <c r="AF289" s="12"/>
      <c r="AG289" s="12">
        <f>2220+144+4.5*54</f>
        <v>2607</v>
      </c>
      <c r="AH289" s="12">
        <v>-84</v>
      </c>
      <c r="AI289" s="12">
        <f t="shared" si="92"/>
        <v>77201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45880</v>
      </c>
      <c r="C290" s="91">
        <v>6976</v>
      </c>
      <c r="D290" s="32">
        <v>1192</v>
      </c>
      <c r="E290" s="32"/>
      <c r="F290" s="32"/>
      <c r="G290" s="32">
        <f t="shared" si="87"/>
        <v>1192</v>
      </c>
      <c r="H290" s="12"/>
      <c r="I290" s="12"/>
      <c r="J290" s="12"/>
      <c r="K290" s="12">
        <f t="shared" si="88"/>
        <v>1192</v>
      </c>
      <c r="M290" s="10">
        <v>4</v>
      </c>
      <c r="N290" s="30">
        <v>45880</v>
      </c>
      <c r="O290" s="31">
        <f t="shared" si="94"/>
        <v>7004</v>
      </c>
      <c r="P290" s="32">
        <f>626+596+19</f>
        <v>1241</v>
      </c>
      <c r="Q290" s="32"/>
      <c r="R290" s="32"/>
      <c r="S290" s="32">
        <f t="shared" si="89"/>
        <v>1241</v>
      </c>
      <c r="T290" s="12"/>
      <c r="U290" s="12"/>
      <c r="V290" s="12"/>
      <c r="W290" s="12">
        <f t="shared" si="90"/>
        <v>1241</v>
      </c>
      <c r="Y290" s="10">
        <v>4</v>
      </c>
      <c r="Z290" s="30">
        <v>45880</v>
      </c>
      <c r="AA290" s="31">
        <f t="shared" si="95"/>
        <v>6895</v>
      </c>
      <c r="AB290" s="32">
        <f>25040+5960+229</f>
        <v>31229</v>
      </c>
      <c r="AC290" s="32">
        <v>-306</v>
      </c>
      <c r="AD290" s="32"/>
      <c r="AE290" s="32">
        <f t="shared" si="91"/>
        <v>30923</v>
      </c>
      <c r="AF290" s="12"/>
      <c r="AH290" s="12"/>
      <c r="AI290" s="12">
        <f t="shared" si="92"/>
        <v>30923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/>
      <c r="C291" s="11" t="s">
        <v>27</v>
      </c>
      <c r="D291" s="32"/>
      <c r="E291" s="32"/>
      <c r="F291" s="32"/>
      <c r="G291" s="32">
        <f t="shared" si="87"/>
        <v>0</v>
      </c>
      <c r="H291" s="12"/>
      <c r="I291" s="12"/>
      <c r="J291" s="12"/>
      <c r="K291" s="12">
        <f t="shared" si="88"/>
        <v>0</v>
      </c>
      <c r="M291" s="10">
        <v>5</v>
      </c>
      <c r="N291" s="30">
        <v>45880</v>
      </c>
      <c r="O291" s="31">
        <f t="shared" si="94"/>
        <v>7005</v>
      </c>
      <c r="P291" s="32">
        <f>1878+28.5</f>
        <v>1906.5</v>
      </c>
      <c r="Q291" s="32"/>
      <c r="R291" s="32"/>
      <c r="S291" s="32">
        <f t="shared" si="89"/>
        <v>1906.5</v>
      </c>
      <c r="T291" s="12"/>
      <c r="U291" s="12"/>
      <c r="V291" s="12"/>
      <c r="W291" s="12">
        <f t="shared" si="90"/>
        <v>1906.5</v>
      </c>
      <c r="Y291" s="10">
        <v>5</v>
      </c>
      <c r="Z291" s="30">
        <v>45849</v>
      </c>
      <c r="AA291" s="31">
        <f t="shared" si="95"/>
        <v>6896</v>
      </c>
      <c r="AB291" s="32">
        <f>13772+2980</f>
        <v>16752</v>
      </c>
      <c r="AC291" s="32"/>
      <c r="AD291" s="32"/>
      <c r="AE291" s="32">
        <f t="shared" ref="AE291:AE325" si="96">SUM(AB291:AC291)</f>
        <v>16752</v>
      </c>
      <c r="AF291" s="12"/>
      <c r="AG291" s="12"/>
      <c r="AH291" s="12"/>
      <c r="AI291" s="12">
        <f t="shared" si="92"/>
        <v>16752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91"/>
      <c r="D292" s="32"/>
      <c r="E292" s="32"/>
      <c r="F292" s="32"/>
      <c r="G292" s="32">
        <f t="shared" si="87"/>
        <v>0</v>
      </c>
      <c r="H292" s="12"/>
      <c r="I292" s="12"/>
      <c r="J292" s="12"/>
      <c r="K292" s="12">
        <f t="shared" si="88"/>
        <v>0</v>
      </c>
      <c r="M292" s="10">
        <v>6</v>
      </c>
      <c r="N292" s="30">
        <v>45880</v>
      </c>
      <c r="O292" s="31">
        <f t="shared" si="94"/>
        <v>7006</v>
      </c>
      <c r="P292" s="32">
        <f>5634+596+229</f>
        <v>6459</v>
      </c>
      <c r="Q292" s="32"/>
      <c r="R292" s="32"/>
      <c r="S292" s="32">
        <f t="shared" si="89"/>
        <v>6459</v>
      </c>
      <c r="T292" s="12"/>
      <c r="U292" s="12"/>
      <c r="V292" s="10">
        <f>-420+-78</f>
        <v>-498</v>
      </c>
      <c r="W292" s="12">
        <f t="shared" si="90"/>
        <v>5961</v>
      </c>
      <c r="Y292" s="10">
        <v>6</v>
      </c>
      <c r="Z292" s="30"/>
      <c r="AA292" s="11" t="s">
        <v>27</v>
      </c>
      <c r="AB292" s="32"/>
      <c r="AC292" s="32"/>
      <c r="AD292" s="32"/>
      <c r="AE292" s="32">
        <f t="shared" si="96"/>
        <v>0</v>
      </c>
      <c r="AF292" s="12"/>
      <c r="AG292" s="12"/>
      <c r="AH292" s="10"/>
      <c r="AI292" s="12">
        <f t="shared" si="92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91"/>
      <c r="D293" s="32"/>
      <c r="E293" s="32"/>
      <c r="F293" s="32"/>
      <c r="G293" s="32">
        <f t="shared" si="87"/>
        <v>0</v>
      </c>
      <c r="H293" s="12"/>
      <c r="I293" s="12"/>
      <c r="J293" s="12"/>
      <c r="K293" s="12">
        <f t="shared" si="88"/>
        <v>0</v>
      </c>
      <c r="M293" s="10">
        <v>7</v>
      </c>
      <c r="N293" s="30">
        <v>45880</v>
      </c>
      <c r="O293" s="31">
        <f t="shared" si="94"/>
        <v>7007</v>
      </c>
      <c r="P293" s="32">
        <f>626+9.5</f>
        <v>635.5</v>
      </c>
      <c r="Q293" s="32"/>
      <c r="R293" s="32"/>
      <c r="S293" s="32">
        <f t="shared" si="89"/>
        <v>635.5</v>
      </c>
      <c r="T293" s="12"/>
      <c r="U293" s="12">
        <v>1.5</v>
      </c>
      <c r="V293" s="12"/>
      <c r="W293" s="12">
        <f t="shared" si="90"/>
        <v>637</v>
      </c>
      <c r="Y293" s="10">
        <v>7</v>
      </c>
      <c r="Z293" s="30"/>
      <c r="AA293" s="31"/>
      <c r="AB293" s="32"/>
      <c r="AC293" s="32"/>
      <c r="AD293" s="32"/>
      <c r="AE293" s="32">
        <f t="shared" si="96"/>
        <v>0</v>
      </c>
      <c r="AF293" s="12"/>
      <c r="AG293" s="58"/>
      <c r="AH293" s="12"/>
      <c r="AI293" s="12">
        <f t="shared" si="92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91"/>
      <c r="D294" s="32"/>
      <c r="E294" s="32"/>
      <c r="F294" s="32"/>
      <c r="G294" s="32">
        <f t="shared" si="87"/>
        <v>0</v>
      </c>
      <c r="H294" s="12"/>
      <c r="I294" s="12"/>
      <c r="J294" s="12"/>
      <c r="K294" s="12">
        <f t="shared" si="88"/>
        <v>0</v>
      </c>
      <c r="M294" s="10">
        <v>8</v>
      </c>
      <c r="N294" s="30">
        <v>45880</v>
      </c>
      <c r="O294" s="31">
        <f t="shared" si="94"/>
        <v>7008</v>
      </c>
      <c r="P294" s="32">
        <f>2504+38</f>
        <v>2542</v>
      </c>
      <c r="Q294" s="32"/>
      <c r="R294" s="32"/>
      <c r="S294" s="32">
        <f t="shared" si="89"/>
        <v>2542</v>
      </c>
      <c r="T294" s="12"/>
      <c r="U294" s="12"/>
      <c r="V294" s="12"/>
      <c r="W294" s="12">
        <f t="shared" si="90"/>
        <v>2542</v>
      </c>
      <c r="Y294" s="10">
        <v>8</v>
      </c>
      <c r="Z294" s="30"/>
      <c r="AA294" s="31"/>
      <c r="AB294" s="32"/>
      <c r="AC294" s="32"/>
      <c r="AE294" s="32">
        <f t="shared" si="96"/>
        <v>0</v>
      </c>
      <c r="AF294" s="12"/>
      <c r="AG294" s="12"/>
      <c r="AH294" s="12"/>
      <c r="AI294" s="12">
        <f t="shared" si="92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91"/>
      <c r="D295" s="32"/>
      <c r="E295" s="32"/>
      <c r="F295" s="32"/>
      <c r="G295" s="32">
        <f t="shared" si="87"/>
        <v>0</v>
      </c>
      <c r="H295" s="12"/>
      <c r="I295" s="12"/>
      <c r="J295" s="12"/>
      <c r="K295" s="12">
        <f t="shared" si="88"/>
        <v>0</v>
      </c>
      <c r="M295" s="10">
        <v>9</v>
      </c>
      <c r="N295" s="30">
        <v>45880</v>
      </c>
      <c r="O295" s="31">
        <f t="shared" si="94"/>
        <v>7009</v>
      </c>
      <c r="P295" s="32">
        <f>614*3+650</f>
        <v>2492</v>
      </c>
      <c r="Q295" s="32"/>
      <c r="R295" s="32"/>
      <c r="S295" s="32">
        <f t="shared" si="89"/>
        <v>2492</v>
      </c>
      <c r="T295" s="12"/>
      <c r="U295" s="12">
        <v>333</v>
      </c>
      <c r="V295" s="12"/>
      <c r="W295" s="12">
        <f t="shared" si="90"/>
        <v>2825</v>
      </c>
      <c r="Y295" s="10">
        <v>9</v>
      </c>
      <c r="Z295" s="30"/>
      <c r="AA295" s="31"/>
      <c r="AB295" s="32"/>
      <c r="AC295" s="32"/>
      <c r="AD295" s="32"/>
      <c r="AE295" s="32">
        <f t="shared" si="96"/>
        <v>0</v>
      </c>
      <c r="AF295" s="12"/>
      <c r="AG295" s="58"/>
      <c r="AH295" s="12"/>
      <c r="AI295" s="12">
        <f t="shared" si="92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91"/>
      <c r="D296" s="32"/>
      <c r="E296" s="32"/>
      <c r="F296" s="32"/>
      <c r="G296" s="32">
        <f t="shared" si="87"/>
        <v>0</v>
      </c>
      <c r="H296" s="12"/>
      <c r="I296" s="12"/>
      <c r="J296" s="12"/>
      <c r="K296" s="12">
        <f t="shared" si="88"/>
        <v>0</v>
      </c>
      <c r="M296" s="10">
        <v>10</v>
      </c>
      <c r="N296" s="30"/>
      <c r="O296" s="11" t="s">
        <v>27</v>
      </c>
      <c r="P296" s="32"/>
      <c r="Q296" s="32"/>
      <c r="R296" s="32"/>
      <c r="S296" s="32">
        <f t="shared" si="89"/>
        <v>0</v>
      </c>
      <c r="T296" s="12"/>
      <c r="U296" s="12"/>
      <c r="V296" s="12"/>
      <c r="W296" s="12">
        <f t="shared" si="90"/>
        <v>0</v>
      </c>
      <c r="Y296" s="10">
        <v>10</v>
      </c>
      <c r="Z296" s="30"/>
      <c r="AA296" s="31"/>
      <c r="AB296" s="32"/>
      <c r="AC296" s="32"/>
      <c r="AD296" s="32"/>
      <c r="AE296" s="32">
        <f t="shared" si="96"/>
        <v>0</v>
      </c>
      <c r="AF296" s="12"/>
      <c r="AG296" s="12"/>
      <c r="AH296" s="12"/>
      <c r="AI296" s="12">
        <f t="shared" si="92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91"/>
      <c r="D297" s="32"/>
      <c r="E297" s="32"/>
      <c r="F297" s="32"/>
      <c r="G297" s="32">
        <f t="shared" si="87"/>
        <v>0</v>
      </c>
      <c r="H297" s="12"/>
      <c r="I297" s="12"/>
      <c r="J297" s="12"/>
      <c r="K297" s="12">
        <f t="shared" si="88"/>
        <v>0</v>
      </c>
      <c r="M297" s="10">
        <v>11</v>
      </c>
      <c r="N297" s="30"/>
      <c r="O297" s="31"/>
      <c r="P297" s="32"/>
      <c r="Q297" s="32"/>
      <c r="R297" s="32"/>
      <c r="S297" s="32">
        <f t="shared" si="89"/>
        <v>0</v>
      </c>
      <c r="T297" s="12"/>
      <c r="U297" s="12"/>
      <c r="V297" s="12"/>
      <c r="W297" s="12">
        <f t="shared" si="90"/>
        <v>0</v>
      </c>
      <c r="Y297" s="10">
        <v>11</v>
      </c>
      <c r="Z297" s="30"/>
      <c r="AA297" s="31"/>
      <c r="AB297" s="32"/>
      <c r="AC297" s="32"/>
      <c r="AD297" s="32"/>
      <c r="AE297" s="32">
        <f t="shared" si="96"/>
        <v>0</v>
      </c>
      <c r="AF297" s="12"/>
      <c r="AG297" s="12"/>
      <c r="AH297" s="12"/>
      <c r="AI297" s="12">
        <f t="shared" si="92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91"/>
      <c r="D298" s="32"/>
      <c r="E298" s="32"/>
      <c r="F298" s="32"/>
      <c r="G298" s="32">
        <f t="shared" si="87"/>
        <v>0</v>
      </c>
      <c r="H298" s="12"/>
      <c r="I298" s="12"/>
      <c r="J298" s="10"/>
      <c r="K298" s="12">
        <f t="shared" si="88"/>
        <v>0</v>
      </c>
      <c r="M298" s="10">
        <v>12</v>
      </c>
      <c r="N298" s="30"/>
      <c r="O298" s="31"/>
      <c r="P298" s="32"/>
      <c r="Q298" s="32"/>
      <c r="R298" s="32"/>
      <c r="S298" s="32">
        <f t="shared" si="89"/>
        <v>0</v>
      </c>
      <c r="T298" s="12"/>
      <c r="U298" s="12"/>
      <c r="V298" s="12"/>
      <c r="W298" s="12">
        <f t="shared" si="90"/>
        <v>0</v>
      </c>
      <c r="Y298" s="10">
        <v>12</v>
      </c>
      <c r="Z298" s="30"/>
      <c r="AA298" s="31"/>
      <c r="AB298" s="32"/>
      <c r="AC298" s="32"/>
      <c r="AD298" s="32"/>
      <c r="AE298" s="32">
        <f t="shared" si="96"/>
        <v>0</v>
      </c>
      <c r="AF298" s="12"/>
      <c r="AG298" s="12"/>
      <c r="AH298" s="12"/>
      <c r="AI298" s="12">
        <f t="shared" si="92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87"/>
        <v>0</v>
      </c>
      <c r="H299" s="12"/>
      <c r="I299" s="12"/>
      <c r="J299" s="12"/>
      <c r="K299" s="12">
        <f t="shared" si="88"/>
        <v>0</v>
      </c>
      <c r="M299" s="10">
        <v>13</v>
      </c>
      <c r="N299" s="30"/>
      <c r="P299" s="32"/>
      <c r="Q299" s="32"/>
      <c r="R299" s="32"/>
      <c r="S299" s="32">
        <f t="shared" si="89"/>
        <v>0</v>
      </c>
      <c r="T299" s="12"/>
      <c r="U299" s="12"/>
      <c r="V299" s="12"/>
      <c r="W299" s="12">
        <f t="shared" si="90"/>
        <v>0</v>
      </c>
      <c r="Y299" s="10">
        <v>13</v>
      </c>
      <c r="Z299" s="30"/>
      <c r="AA299" s="31"/>
      <c r="AB299" s="32"/>
      <c r="AC299" s="32"/>
      <c r="AD299" s="32"/>
      <c r="AE299" s="32">
        <f t="shared" si="96"/>
        <v>0</v>
      </c>
      <c r="AF299" s="12"/>
      <c r="AG299" s="12"/>
      <c r="AH299" s="12"/>
      <c r="AI299" s="12">
        <f t="shared" si="92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87"/>
        <v>0</v>
      </c>
      <c r="H300" s="12"/>
      <c r="I300" s="12"/>
      <c r="J300" s="12"/>
      <c r="K300" s="12">
        <f t="shared" si="88"/>
        <v>0</v>
      </c>
      <c r="M300" s="10">
        <v>14</v>
      </c>
      <c r="N300" s="30"/>
      <c r="O300" s="31"/>
      <c r="P300" s="32"/>
      <c r="Q300" s="32"/>
      <c r="R300" s="32"/>
      <c r="S300" s="32">
        <f t="shared" si="89"/>
        <v>0</v>
      </c>
      <c r="T300" s="12"/>
      <c r="U300" s="12"/>
      <c r="V300" s="12"/>
      <c r="W300" s="12">
        <f t="shared" si="90"/>
        <v>0</v>
      </c>
      <c r="Y300" s="10">
        <v>14</v>
      </c>
      <c r="Z300" s="30"/>
      <c r="AA300" s="31"/>
      <c r="AB300" s="32"/>
      <c r="AC300" s="32"/>
      <c r="AD300" s="32"/>
      <c r="AE300" s="32">
        <f t="shared" si="96"/>
        <v>0</v>
      </c>
      <c r="AF300" s="12"/>
      <c r="AG300" s="12"/>
      <c r="AH300" s="12"/>
      <c r="AI300" s="12">
        <f t="shared" si="92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87"/>
        <v>0</v>
      </c>
      <c r="H301" s="12"/>
      <c r="I301" s="12"/>
      <c r="J301" s="12"/>
      <c r="K301" s="12">
        <f t="shared" si="88"/>
        <v>0</v>
      </c>
      <c r="M301" s="10">
        <v>15</v>
      </c>
      <c r="N301" s="30"/>
      <c r="O301" s="31"/>
      <c r="P301" s="32"/>
      <c r="Q301" s="32"/>
      <c r="R301" s="32"/>
      <c r="S301" s="32">
        <f t="shared" si="89"/>
        <v>0</v>
      </c>
      <c r="T301" s="12"/>
      <c r="U301" s="12"/>
      <c r="V301" s="12"/>
      <c r="W301" s="12">
        <f t="shared" si="90"/>
        <v>0</v>
      </c>
      <c r="Y301" s="10">
        <v>15</v>
      </c>
      <c r="Z301" s="30"/>
      <c r="AA301" s="31"/>
      <c r="AB301" s="32"/>
      <c r="AC301" s="32"/>
      <c r="AD301" s="32"/>
      <c r="AE301" s="32">
        <f t="shared" si="96"/>
        <v>0</v>
      </c>
      <c r="AF301" s="12"/>
      <c r="AG301" s="12"/>
      <c r="AH301" s="12"/>
      <c r="AI301" s="12">
        <f t="shared" si="92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91"/>
      <c r="D302" s="32"/>
      <c r="E302" s="32"/>
      <c r="F302" s="32"/>
      <c r="G302" s="32">
        <f t="shared" si="87"/>
        <v>0</v>
      </c>
      <c r="H302" s="12"/>
      <c r="I302" s="12"/>
      <c r="J302" s="12"/>
      <c r="K302" s="12">
        <f t="shared" si="88"/>
        <v>0</v>
      </c>
      <c r="M302" s="10">
        <v>16</v>
      </c>
      <c r="N302" s="30"/>
      <c r="O302" s="31"/>
      <c r="P302" s="32"/>
      <c r="Q302" s="32"/>
      <c r="R302" s="32"/>
      <c r="S302" s="32">
        <f t="shared" si="89"/>
        <v>0</v>
      </c>
      <c r="T302" s="12"/>
      <c r="U302" s="12"/>
      <c r="V302" s="12"/>
      <c r="W302" s="12">
        <f t="shared" si="90"/>
        <v>0</v>
      </c>
      <c r="Y302" s="10">
        <v>16</v>
      </c>
      <c r="Z302" s="30"/>
      <c r="AB302" s="32"/>
      <c r="AC302" s="32"/>
      <c r="AD302" s="32"/>
      <c r="AE302" s="32">
        <f t="shared" si="96"/>
        <v>0</v>
      </c>
      <c r="AF302" s="12"/>
      <c r="AG302" s="12"/>
      <c r="AH302" s="12"/>
      <c r="AI302" s="12">
        <f t="shared" si="92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91"/>
      <c r="D303" s="32"/>
      <c r="E303" s="32"/>
      <c r="F303" s="32"/>
      <c r="G303" s="32">
        <f t="shared" si="87"/>
        <v>0</v>
      </c>
      <c r="H303" s="12"/>
      <c r="I303" s="12"/>
      <c r="J303" s="12"/>
      <c r="K303" s="12">
        <f t="shared" si="88"/>
        <v>0</v>
      </c>
      <c r="M303" s="10">
        <v>17</v>
      </c>
      <c r="N303" s="30"/>
      <c r="O303" s="31"/>
      <c r="P303" s="35"/>
      <c r="Q303" s="32"/>
      <c r="R303" s="32"/>
      <c r="S303" s="32">
        <f t="shared" si="89"/>
        <v>0</v>
      </c>
      <c r="T303" s="12"/>
      <c r="U303" s="12"/>
      <c r="V303" s="12"/>
      <c r="W303" s="12">
        <f t="shared" si="90"/>
        <v>0</v>
      </c>
      <c r="Y303" s="10">
        <v>17</v>
      </c>
      <c r="Z303" s="30"/>
      <c r="AA303" s="31"/>
      <c r="AB303" s="35"/>
      <c r="AC303" s="32"/>
      <c r="AD303" s="32"/>
      <c r="AE303" s="32">
        <f t="shared" si="96"/>
        <v>0</v>
      </c>
      <c r="AF303" s="12"/>
      <c r="AG303" s="12"/>
      <c r="AH303" s="12"/>
      <c r="AI303" s="12">
        <f t="shared" si="92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D304" s="32"/>
      <c r="E304" s="32"/>
      <c r="F304" s="32"/>
      <c r="G304" s="32">
        <f t="shared" si="87"/>
        <v>0</v>
      </c>
      <c r="H304" s="12"/>
      <c r="I304" s="12"/>
      <c r="J304" s="12"/>
      <c r="K304" s="12">
        <f t="shared" si="88"/>
        <v>0</v>
      </c>
      <c r="M304" s="10">
        <v>18</v>
      </c>
      <c r="N304" s="30"/>
      <c r="O304" s="31"/>
      <c r="P304" s="32"/>
      <c r="Q304" s="32"/>
      <c r="R304" s="32"/>
      <c r="S304" s="32">
        <f t="shared" si="89"/>
        <v>0</v>
      </c>
      <c r="T304" s="12"/>
      <c r="U304" s="12"/>
      <c r="V304" s="12"/>
      <c r="W304" s="12">
        <f t="shared" si="90"/>
        <v>0</v>
      </c>
      <c r="Y304" s="10">
        <v>18</v>
      </c>
      <c r="Z304" s="30"/>
      <c r="AA304" s="31"/>
      <c r="AB304" s="32"/>
      <c r="AC304" s="32"/>
      <c r="AD304" s="32"/>
      <c r="AE304" s="32">
        <f t="shared" si="96"/>
        <v>0</v>
      </c>
      <c r="AF304" s="12"/>
      <c r="AG304" s="12"/>
      <c r="AH304" s="12"/>
      <c r="AI304" s="12">
        <f t="shared" si="92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87"/>
        <v>0</v>
      </c>
      <c r="H305" s="12"/>
      <c r="I305" s="12"/>
      <c r="J305" s="12"/>
      <c r="K305" s="12">
        <f t="shared" si="88"/>
        <v>0</v>
      </c>
      <c r="M305" s="10">
        <v>19</v>
      </c>
      <c r="N305" s="30"/>
      <c r="O305" s="31"/>
      <c r="P305" s="32"/>
      <c r="Q305" s="32"/>
      <c r="R305" s="32"/>
      <c r="S305" s="32">
        <f t="shared" si="89"/>
        <v>0</v>
      </c>
      <c r="T305" s="12"/>
      <c r="U305" s="12"/>
      <c r="V305" s="12"/>
      <c r="W305" s="12">
        <f t="shared" si="90"/>
        <v>0</v>
      </c>
      <c r="Y305" s="10">
        <v>19</v>
      </c>
      <c r="Z305" s="30"/>
      <c r="AA305" s="31"/>
      <c r="AB305" s="32"/>
      <c r="AC305" s="32"/>
      <c r="AD305" s="32"/>
      <c r="AE305" s="32">
        <f t="shared" si="96"/>
        <v>0</v>
      </c>
      <c r="AF305" s="12"/>
      <c r="AG305" s="12"/>
      <c r="AH305" s="12"/>
      <c r="AI305" s="12">
        <f t="shared" si="92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91"/>
      <c r="D306" s="32"/>
      <c r="E306" s="32"/>
      <c r="F306" s="32"/>
      <c r="G306" s="32">
        <f t="shared" si="87"/>
        <v>0</v>
      </c>
      <c r="H306" s="12"/>
      <c r="I306" s="12"/>
      <c r="J306" s="12"/>
      <c r="K306" s="12">
        <f t="shared" si="88"/>
        <v>0</v>
      </c>
      <c r="M306" s="10">
        <v>20</v>
      </c>
      <c r="N306" s="30"/>
      <c r="O306" s="31"/>
      <c r="P306" s="32"/>
      <c r="Q306" s="32"/>
      <c r="R306" s="32"/>
      <c r="S306" s="32">
        <f t="shared" si="89"/>
        <v>0</v>
      </c>
      <c r="T306" s="12"/>
      <c r="U306" s="12"/>
      <c r="V306" s="12"/>
      <c r="W306" s="12">
        <f t="shared" si="90"/>
        <v>0</v>
      </c>
      <c r="Y306" s="10">
        <v>20</v>
      </c>
      <c r="Z306" s="30"/>
      <c r="AB306" s="32"/>
      <c r="AC306" s="32"/>
      <c r="AD306" s="32"/>
      <c r="AE306" s="32">
        <f t="shared" si="96"/>
        <v>0</v>
      </c>
      <c r="AF306" s="12"/>
      <c r="AG306" s="12"/>
      <c r="AH306" s="12"/>
      <c r="AI306" s="12">
        <f t="shared" si="92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57"/>
      <c r="D307" s="32"/>
      <c r="E307" s="32"/>
      <c r="F307" s="32"/>
      <c r="G307" s="32">
        <f t="shared" si="87"/>
        <v>0</v>
      </c>
      <c r="H307" s="10"/>
      <c r="I307" s="10"/>
      <c r="J307" s="10"/>
      <c r="K307" s="12">
        <f t="shared" si="88"/>
        <v>0</v>
      </c>
      <c r="M307" s="10">
        <v>21</v>
      </c>
      <c r="N307" s="30"/>
      <c r="P307" s="46"/>
      <c r="Q307" s="31"/>
      <c r="R307" s="31"/>
      <c r="S307" s="32">
        <f t="shared" si="89"/>
        <v>0</v>
      </c>
      <c r="T307" s="10"/>
      <c r="U307" s="10"/>
      <c r="V307" s="10"/>
      <c r="W307" s="12">
        <f t="shared" si="90"/>
        <v>0</v>
      </c>
      <c r="Y307" s="10">
        <v>21</v>
      </c>
      <c r="Z307" s="30"/>
      <c r="AB307" s="46"/>
      <c r="AC307" s="31"/>
      <c r="AD307" s="31"/>
      <c r="AE307" s="32">
        <f t="shared" si="96"/>
        <v>0</v>
      </c>
      <c r="AF307" s="10"/>
      <c r="AG307" s="10"/>
      <c r="AH307" s="10"/>
      <c r="AI307" s="12">
        <f t="shared" si="92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87"/>
        <v>0</v>
      </c>
      <c r="H308" s="10"/>
      <c r="I308" s="10"/>
      <c r="J308" s="10"/>
      <c r="K308" s="12">
        <f t="shared" si="88"/>
        <v>0</v>
      </c>
      <c r="M308" s="10">
        <v>22</v>
      </c>
      <c r="N308" s="30"/>
      <c r="O308" s="31"/>
      <c r="P308" s="45"/>
      <c r="Q308" s="31"/>
      <c r="R308" s="31"/>
      <c r="S308" s="32">
        <f t="shared" si="89"/>
        <v>0</v>
      </c>
      <c r="T308" s="10"/>
      <c r="U308" s="10"/>
      <c r="V308" s="10"/>
      <c r="W308" s="12">
        <f t="shared" si="90"/>
        <v>0</v>
      </c>
      <c r="Y308" s="10">
        <v>22</v>
      </c>
      <c r="Z308" s="30"/>
      <c r="AA308" s="31"/>
      <c r="AB308" s="45"/>
      <c r="AC308" s="31"/>
      <c r="AD308" s="31"/>
      <c r="AE308" s="32">
        <f t="shared" si="96"/>
        <v>0</v>
      </c>
      <c r="AF308" s="10"/>
      <c r="AG308" s="10"/>
      <c r="AH308" s="10"/>
      <c r="AI308" s="12">
        <f t="shared" si="92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91"/>
      <c r="D309" s="32"/>
      <c r="E309" s="32"/>
      <c r="F309" s="32"/>
      <c r="G309" s="32">
        <f t="shared" si="87"/>
        <v>0</v>
      </c>
      <c r="H309" s="10"/>
      <c r="I309" s="10"/>
      <c r="J309" s="12"/>
      <c r="K309" s="12">
        <f t="shared" si="88"/>
        <v>0</v>
      </c>
      <c r="M309" s="10">
        <v>23</v>
      </c>
      <c r="N309" s="30"/>
      <c r="O309" s="31"/>
      <c r="P309" s="47"/>
      <c r="Q309" s="31"/>
      <c r="S309" s="32">
        <f t="shared" si="89"/>
        <v>0</v>
      </c>
      <c r="T309" s="10"/>
      <c r="U309" s="10"/>
      <c r="V309" s="10"/>
      <c r="W309" s="12">
        <f t="shared" si="90"/>
        <v>0</v>
      </c>
      <c r="Y309" s="10">
        <v>23</v>
      </c>
      <c r="Z309" s="30"/>
      <c r="AA309" s="31"/>
      <c r="AB309" s="47"/>
      <c r="AC309" s="31"/>
      <c r="AE309" s="32">
        <f t="shared" si="96"/>
        <v>0</v>
      </c>
      <c r="AF309" s="10"/>
      <c r="AG309" s="10"/>
      <c r="AH309" s="10"/>
      <c r="AI309" s="12">
        <f t="shared" si="92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91"/>
      <c r="D310" s="32"/>
      <c r="E310" s="32"/>
      <c r="F310" s="32"/>
      <c r="G310" s="32">
        <f t="shared" si="87"/>
        <v>0</v>
      </c>
      <c r="H310" s="10"/>
      <c r="I310" s="10"/>
      <c r="J310" s="10"/>
      <c r="K310" s="12">
        <f t="shared" si="88"/>
        <v>0</v>
      </c>
      <c r="M310" s="10">
        <v>24</v>
      </c>
      <c r="N310" s="30"/>
      <c r="O310" s="11"/>
      <c r="P310" s="47"/>
      <c r="Q310" s="31"/>
      <c r="R310" s="31"/>
      <c r="S310" s="32">
        <f t="shared" si="89"/>
        <v>0</v>
      </c>
      <c r="T310" s="10"/>
      <c r="U310" s="10"/>
      <c r="V310" s="10"/>
      <c r="W310" s="12">
        <f t="shared" si="90"/>
        <v>0</v>
      </c>
      <c r="Y310" s="10">
        <v>24</v>
      </c>
      <c r="Z310" s="30"/>
      <c r="AA310" s="31"/>
      <c r="AB310" s="47"/>
      <c r="AC310" s="31"/>
      <c r="AD310" s="31"/>
      <c r="AE310" s="32">
        <f t="shared" si="96"/>
        <v>0</v>
      </c>
      <c r="AF310" s="10"/>
      <c r="AG310" s="10"/>
      <c r="AH310" s="10"/>
      <c r="AI310" s="12">
        <f t="shared" si="92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57"/>
      <c r="D311" s="32"/>
      <c r="E311" s="32"/>
      <c r="F311" s="32"/>
      <c r="G311" s="32">
        <f t="shared" si="87"/>
        <v>0</v>
      </c>
      <c r="H311" s="10"/>
      <c r="I311" s="10"/>
      <c r="J311" s="10"/>
      <c r="K311" s="12">
        <f t="shared" si="88"/>
        <v>0</v>
      </c>
      <c r="M311" s="10">
        <v>25</v>
      </c>
      <c r="N311" s="30"/>
      <c r="O311" s="31"/>
      <c r="P311" s="47"/>
      <c r="Q311" s="31"/>
      <c r="R311" s="31"/>
      <c r="S311" s="32">
        <f t="shared" si="89"/>
        <v>0</v>
      </c>
      <c r="T311" s="10"/>
      <c r="U311" s="10"/>
      <c r="V311" s="10"/>
      <c r="W311" s="12">
        <f t="shared" si="90"/>
        <v>0</v>
      </c>
      <c r="Y311" s="10">
        <v>25</v>
      </c>
      <c r="Z311" s="30"/>
      <c r="AA311" s="11"/>
      <c r="AB311" s="47"/>
      <c r="AC311" s="31"/>
      <c r="AD311" s="31"/>
      <c r="AE311" s="32">
        <f t="shared" si="96"/>
        <v>0</v>
      </c>
      <c r="AF311" s="10"/>
      <c r="AG311" s="10"/>
      <c r="AH311" s="10"/>
      <c r="AI311" s="12">
        <f t="shared" si="92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91"/>
      <c r="D312" s="32"/>
      <c r="E312" s="32"/>
      <c r="F312" s="32"/>
      <c r="G312" s="32">
        <f t="shared" si="87"/>
        <v>0</v>
      </c>
      <c r="H312" s="10"/>
      <c r="I312" s="10"/>
      <c r="J312" s="10"/>
      <c r="K312" s="12">
        <f t="shared" si="88"/>
        <v>0</v>
      </c>
      <c r="M312" s="10">
        <v>26</v>
      </c>
      <c r="N312" s="30"/>
      <c r="O312" s="31"/>
      <c r="P312" s="47"/>
      <c r="Q312" s="31"/>
      <c r="R312" s="31"/>
      <c r="S312" s="32">
        <f t="shared" si="89"/>
        <v>0</v>
      </c>
      <c r="T312" s="10"/>
      <c r="U312" s="10"/>
      <c r="V312" s="10"/>
      <c r="W312" s="12">
        <f t="shared" si="90"/>
        <v>0</v>
      </c>
      <c r="Y312" s="10">
        <v>26</v>
      </c>
      <c r="Z312" s="30"/>
      <c r="AB312" s="47"/>
      <c r="AC312" s="31"/>
      <c r="AD312" s="31"/>
      <c r="AE312" s="32">
        <f t="shared" si="96"/>
        <v>0</v>
      </c>
      <c r="AF312" s="10"/>
      <c r="AG312" s="10"/>
      <c r="AH312" s="10"/>
      <c r="AI312" s="12">
        <f t="shared" si="92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91"/>
      <c r="D313" s="32"/>
      <c r="E313" s="32"/>
      <c r="F313" s="32"/>
      <c r="G313" s="32">
        <f t="shared" si="87"/>
        <v>0</v>
      </c>
      <c r="H313" s="10"/>
      <c r="I313" s="10"/>
      <c r="J313" s="10"/>
      <c r="K313" s="12">
        <f t="shared" si="88"/>
        <v>0</v>
      </c>
      <c r="M313" s="10">
        <v>27</v>
      </c>
      <c r="N313" s="30"/>
      <c r="O313" s="31"/>
      <c r="P313" s="47"/>
      <c r="Q313" s="31"/>
      <c r="R313" s="31"/>
      <c r="S313" s="32">
        <f t="shared" si="89"/>
        <v>0</v>
      </c>
      <c r="T313" s="10"/>
      <c r="U313" s="10"/>
      <c r="V313" s="10"/>
      <c r="W313" s="12">
        <f t="shared" si="90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6"/>
        <v>0</v>
      </c>
      <c r="AF313" s="10"/>
      <c r="AG313" s="10"/>
      <c r="AH313" s="10"/>
      <c r="AI313" s="12">
        <f t="shared" si="92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91"/>
      <c r="D314" s="32"/>
      <c r="E314" s="32"/>
      <c r="F314" s="32"/>
      <c r="G314" s="32">
        <f t="shared" si="87"/>
        <v>0</v>
      </c>
      <c r="H314" s="10"/>
      <c r="I314" s="10"/>
      <c r="J314" s="10"/>
      <c r="K314" s="12">
        <f t="shared" si="88"/>
        <v>0</v>
      </c>
      <c r="M314" s="10">
        <v>28</v>
      </c>
      <c r="N314" s="30"/>
      <c r="O314" s="31"/>
      <c r="P314" s="47"/>
      <c r="Q314" s="31"/>
      <c r="R314" s="31"/>
      <c r="S314" s="32">
        <f t="shared" si="89"/>
        <v>0</v>
      </c>
      <c r="T314" s="10"/>
      <c r="U314" s="10"/>
      <c r="V314" s="10"/>
      <c r="W314" s="12">
        <f t="shared" si="90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6"/>
        <v>0</v>
      </c>
      <c r="AF314" s="10"/>
      <c r="AG314" s="10"/>
      <c r="AH314" s="10"/>
      <c r="AI314" s="12">
        <f t="shared" si="92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91"/>
      <c r="D315" s="32"/>
      <c r="E315" s="32"/>
      <c r="F315" s="32"/>
      <c r="G315" s="32">
        <f t="shared" si="87"/>
        <v>0</v>
      </c>
      <c r="H315" s="10"/>
      <c r="I315" s="10"/>
      <c r="J315" s="10"/>
      <c r="K315" s="12">
        <f t="shared" si="88"/>
        <v>0</v>
      </c>
      <c r="M315" s="10">
        <v>29</v>
      </c>
      <c r="N315" s="30"/>
      <c r="P315" s="47"/>
      <c r="Q315" s="31"/>
      <c r="R315" s="31"/>
      <c r="S315" s="32">
        <f t="shared" si="89"/>
        <v>0</v>
      </c>
      <c r="T315" s="10"/>
      <c r="U315" s="10"/>
      <c r="V315" s="10"/>
      <c r="W315" s="12">
        <f t="shared" si="90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6"/>
        <v>0</v>
      </c>
      <c r="AF315" s="10"/>
      <c r="AG315" s="10"/>
      <c r="AH315" s="10"/>
      <c r="AI315" s="12">
        <f t="shared" si="92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91"/>
      <c r="D316" s="32"/>
      <c r="E316" s="32"/>
      <c r="F316" s="32"/>
      <c r="G316" s="32">
        <f t="shared" si="87"/>
        <v>0</v>
      </c>
      <c r="H316" s="10"/>
      <c r="I316" s="10"/>
      <c r="J316" s="10"/>
      <c r="K316" s="12">
        <f t="shared" si="88"/>
        <v>0</v>
      </c>
      <c r="M316" s="10">
        <v>30</v>
      </c>
      <c r="N316" s="30"/>
      <c r="P316" s="47"/>
      <c r="Q316" s="31"/>
      <c r="R316" s="31"/>
      <c r="S316" s="32">
        <f t="shared" si="89"/>
        <v>0</v>
      </c>
      <c r="T316" s="10"/>
      <c r="U316" s="10"/>
      <c r="V316" s="10"/>
      <c r="W316" s="12">
        <f t="shared" si="90"/>
        <v>0</v>
      </c>
      <c r="Y316" s="10">
        <v>30</v>
      </c>
      <c r="Z316" s="30"/>
      <c r="AA316" s="31"/>
      <c r="AB316" s="47"/>
      <c r="AC316" s="31"/>
      <c r="AD316" s="31"/>
      <c r="AE316" s="32">
        <f t="shared" si="96"/>
        <v>0</v>
      </c>
      <c r="AF316" s="10"/>
      <c r="AG316" s="10"/>
      <c r="AH316" s="10"/>
      <c r="AI316" s="12">
        <f t="shared" si="92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91"/>
      <c r="D317" s="32"/>
      <c r="E317" s="32"/>
      <c r="F317" s="32"/>
      <c r="G317" s="32">
        <f t="shared" si="87"/>
        <v>0</v>
      </c>
      <c r="H317" s="10"/>
      <c r="I317" s="10"/>
      <c r="J317" s="10"/>
      <c r="K317" s="12">
        <f t="shared" si="88"/>
        <v>0</v>
      </c>
      <c r="M317" s="10">
        <v>31</v>
      </c>
      <c r="N317" s="30"/>
      <c r="O317" s="31"/>
      <c r="P317" s="47"/>
      <c r="Q317" s="31"/>
      <c r="R317" s="31"/>
      <c r="S317" s="32">
        <f t="shared" si="89"/>
        <v>0</v>
      </c>
      <c r="T317" s="10"/>
      <c r="U317" s="10"/>
      <c r="V317" s="10"/>
      <c r="W317" s="12">
        <f t="shared" si="90"/>
        <v>0</v>
      </c>
      <c r="Y317" s="10">
        <v>31</v>
      </c>
      <c r="Z317" s="30"/>
      <c r="AA317" s="31"/>
      <c r="AB317" s="47"/>
      <c r="AC317" s="31"/>
      <c r="AD317" s="31"/>
      <c r="AE317" s="32">
        <f t="shared" si="96"/>
        <v>0</v>
      </c>
      <c r="AF317" s="10"/>
      <c r="AG317" s="10"/>
      <c r="AH317" s="10"/>
      <c r="AI317" s="12">
        <f t="shared" si="92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91"/>
      <c r="D318" s="32"/>
      <c r="E318" s="32"/>
      <c r="F318" s="32"/>
      <c r="G318" s="32">
        <f t="shared" si="87"/>
        <v>0</v>
      </c>
      <c r="H318" s="10"/>
      <c r="I318" s="10"/>
      <c r="J318" s="10"/>
      <c r="K318" s="12">
        <f t="shared" si="88"/>
        <v>0</v>
      </c>
      <c r="M318" s="10">
        <v>32</v>
      </c>
      <c r="N318" s="30"/>
      <c r="P318" s="47"/>
      <c r="Q318" s="31"/>
      <c r="R318" s="31"/>
      <c r="S318" s="32">
        <f t="shared" si="89"/>
        <v>0</v>
      </c>
      <c r="T318" s="10"/>
      <c r="U318" s="10"/>
      <c r="V318" s="10"/>
      <c r="W318" s="12">
        <f t="shared" si="90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6"/>
        <v>0</v>
      </c>
      <c r="AF318" s="10"/>
      <c r="AG318" s="10"/>
      <c r="AH318" s="10"/>
      <c r="AI318" s="12">
        <f t="shared" si="92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91"/>
      <c r="D319" s="32"/>
      <c r="E319" s="32"/>
      <c r="F319" s="32"/>
      <c r="G319" s="32">
        <f t="shared" si="87"/>
        <v>0</v>
      </c>
      <c r="H319" s="10"/>
      <c r="I319" s="10"/>
      <c r="J319" s="10"/>
      <c r="K319" s="12">
        <f t="shared" si="88"/>
        <v>0</v>
      </c>
      <c r="M319" s="10">
        <v>33</v>
      </c>
      <c r="N319" s="30"/>
      <c r="O319" s="31"/>
      <c r="P319" s="47"/>
      <c r="Q319" s="31"/>
      <c r="R319" s="31"/>
      <c r="S319" s="32">
        <f t="shared" si="89"/>
        <v>0</v>
      </c>
      <c r="T319" s="10"/>
      <c r="U319" s="10"/>
      <c r="V319" s="10"/>
      <c r="W319" s="12">
        <f t="shared" si="90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6"/>
        <v>0</v>
      </c>
      <c r="AF319" s="10"/>
      <c r="AG319" s="10"/>
      <c r="AH319" s="10"/>
      <c r="AI319" s="12">
        <f t="shared" si="92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91"/>
      <c r="D320" s="32"/>
      <c r="E320" s="32"/>
      <c r="F320" s="32"/>
      <c r="G320" s="32">
        <f t="shared" si="87"/>
        <v>0</v>
      </c>
      <c r="H320" s="10"/>
      <c r="I320" s="10"/>
      <c r="J320" s="10"/>
      <c r="K320" s="12">
        <f t="shared" si="88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97">SUM(P320:Q320)</f>
        <v>0</v>
      </c>
      <c r="T320" s="10"/>
      <c r="U320" s="10"/>
      <c r="V320" s="10"/>
      <c r="W320" s="12">
        <f t="shared" ref="W320:W328" si="98">SUM(S320:V320)</f>
        <v>0</v>
      </c>
      <c r="Y320" s="10">
        <v>34</v>
      </c>
      <c r="Z320" s="30"/>
      <c r="AB320" s="47"/>
      <c r="AC320" s="31"/>
      <c r="AD320" s="31"/>
      <c r="AE320" s="32">
        <f t="shared" si="96"/>
        <v>0</v>
      </c>
      <c r="AF320" s="10"/>
      <c r="AG320" s="10"/>
      <c r="AH320" s="10"/>
      <c r="AI320" s="12">
        <f t="shared" ref="AI320:AI328" si="99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3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7"/>
        <v>0</v>
      </c>
      <c r="T321" s="10"/>
      <c r="U321" s="10"/>
      <c r="V321" s="10"/>
      <c r="W321" s="12">
        <f t="shared" si="98"/>
        <v>0</v>
      </c>
      <c r="Y321" s="10">
        <v>35</v>
      </c>
      <c r="Z321" s="30"/>
      <c r="AA321" s="31"/>
      <c r="AB321" s="47"/>
      <c r="AC321" s="31"/>
      <c r="AD321" s="31"/>
      <c r="AE321" s="32">
        <f t="shared" si="96"/>
        <v>0</v>
      </c>
      <c r="AF321" s="10"/>
      <c r="AG321" s="10"/>
      <c r="AH321" s="10"/>
      <c r="AI321" s="12">
        <f t="shared" si="99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3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7"/>
        <v>0</v>
      </c>
      <c r="T322" s="10"/>
      <c r="U322" s="10"/>
      <c r="V322" s="10"/>
      <c r="W322" s="12">
        <f t="shared" si="98"/>
        <v>0</v>
      </c>
      <c r="Y322" s="10">
        <v>36</v>
      </c>
      <c r="Z322" s="30"/>
      <c r="AA322" s="31"/>
      <c r="AB322" s="47"/>
      <c r="AC322" s="31"/>
      <c r="AD322" s="31"/>
      <c r="AE322" s="32">
        <f t="shared" si="96"/>
        <v>0</v>
      </c>
      <c r="AF322" s="10"/>
      <c r="AG322" s="10"/>
      <c r="AH322" s="10"/>
      <c r="AI322" s="12">
        <f t="shared" si="99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7"/>
        <v>0</v>
      </c>
      <c r="T323" s="10"/>
      <c r="U323" s="10"/>
      <c r="V323" s="10"/>
      <c r="W323" s="12">
        <f t="shared" si="98"/>
        <v>0</v>
      </c>
      <c r="Y323" s="10">
        <v>37</v>
      </c>
      <c r="Z323" s="30"/>
      <c r="AA323" s="31"/>
      <c r="AB323" s="47"/>
      <c r="AC323" s="31"/>
      <c r="AD323" s="31"/>
      <c r="AE323" s="32">
        <f t="shared" si="96"/>
        <v>0</v>
      </c>
      <c r="AF323" s="10"/>
      <c r="AG323" s="10"/>
      <c r="AH323" s="10"/>
      <c r="AI323" s="12">
        <f t="shared" si="99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7"/>
        <v>0</v>
      </c>
      <c r="T324" s="10"/>
      <c r="U324" s="10"/>
      <c r="V324" s="10"/>
      <c r="W324" s="12">
        <f t="shared" si="98"/>
        <v>0</v>
      </c>
      <c r="Y324" s="10">
        <v>38</v>
      </c>
      <c r="Z324" s="30"/>
      <c r="AA324" s="31"/>
      <c r="AB324" s="47"/>
      <c r="AC324" s="31"/>
      <c r="AD324" s="31"/>
      <c r="AE324" s="32">
        <f t="shared" si="96"/>
        <v>0</v>
      </c>
      <c r="AF324" s="10"/>
      <c r="AG324" s="10"/>
      <c r="AH324" s="10"/>
      <c r="AI324" s="12">
        <f t="shared" si="99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7"/>
        <v>0</v>
      </c>
      <c r="T325" s="10"/>
      <c r="U325" s="10"/>
      <c r="V325" s="10"/>
      <c r="W325" s="12">
        <f t="shared" si="98"/>
        <v>0</v>
      </c>
      <c r="Y325" s="10">
        <v>39</v>
      </c>
      <c r="Z325" s="30"/>
      <c r="AA325" s="31"/>
      <c r="AB325" s="47"/>
      <c r="AC325" s="31"/>
      <c r="AD325" s="31"/>
      <c r="AE325" s="32">
        <f t="shared" si="96"/>
        <v>0</v>
      </c>
      <c r="AF325" s="10"/>
      <c r="AG325" s="10"/>
      <c r="AH325" s="10"/>
      <c r="AI325" s="12">
        <f t="shared" si="99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8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99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0">SUM(D327:E327)</f>
        <v>0</v>
      </c>
      <c r="H327" s="10"/>
      <c r="I327" s="10"/>
      <c r="J327" s="10"/>
      <c r="K327" s="12">
        <f t="shared" ref="K327" si="101">SUM(G327:J327)</f>
        <v>0</v>
      </c>
      <c r="M327" s="10"/>
      <c r="N327" s="30"/>
      <c r="O327" s="31"/>
      <c r="P327" s="47"/>
      <c r="Q327" s="31"/>
      <c r="R327" s="31"/>
      <c r="S327" s="32">
        <f t="shared" ref="S327" si="102">SUM(P327:Q327)</f>
        <v>0</v>
      </c>
      <c r="T327" s="10"/>
      <c r="U327" s="10"/>
      <c r="V327" s="10"/>
      <c r="W327" s="12">
        <f t="shared" si="98"/>
        <v>0</v>
      </c>
      <c r="Y327" s="10"/>
      <c r="Z327" s="30"/>
      <c r="AA327" s="31"/>
      <c r="AB327" s="47"/>
      <c r="AC327" s="31"/>
      <c r="AD327" s="31"/>
      <c r="AE327" s="32">
        <f t="shared" ref="AE327" si="103">SUM(AB327:AC327)</f>
        <v>0</v>
      </c>
      <c r="AF327" s="10"/>
      <c r="AG327" s="10"/>
      <c r="AH327" s="10"/>
      <c r="AI327" s="12">
        <f t="shared" si="99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8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99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404682</v>
      </c>
      <c r="E330" s="38">
        <f t="shared" ref="E330:F330" si="104">SUM(E287:E327)</f>
        <v>-4968</v>
      </c>
      <c r="F330" s="38">
        <f t="shared" si="104"/>
        <v>0</v>
      </c>
      <c r="G330" s="38">
        <f>SUM(G287:G329)</f>
        <v>399714</v>
      </c>
      <c r="H330" s="4"/>
      <c r="I330" s="39">
        <f>SUM(I287:I329)</f>
        <v>20790</v>
      </c>
      <c r="J330" s="39">
        <f>SUM(J287:J329)</f>
        <v>-1950</v>
      </c>
      <c r="K330" s="40">
        <f>SUM(K287:K329)</f>
        <v>418554</v>
      </c>
      <c r="N330" s="57"/>
      <c r="O330" s="57"/>
      <c r="P330" s="38">
        <f>SUM(P287:P329)</f>
        <v>92786</v>
      </c>
      <c r="Q330" s="38">
        <f>SUM(Q287:Q311)</f>
        <v>0</v>
      </c>
      <c r="R330" s="38">
        <f>SUM(R287:R311)</f>
        <v>0</v>
      </c>
      <c r="S330" s="38">
        <f>SUM(S287:S329)</f>
        <v>92786</v>
      </c>
      <c r="T330" s="4"/>
      <c r="U330" s="41">
        <f>SUM(U287:U329)</f>
        <v>658.5</v>
      </c>
      <c r="V330" s="41">
        <f>SUM(V287:V311)</f>
        <v>-498</v>
      </c>
      <c r="W330" s="42">
        <f>SUM(W287:W329)</f>
        <v>92946.5</v>
      </c>
      <c r="Z330" s="57"/>
      <c r="AA330" s="57"/>
      <c r="AB330" s="38">
        <f>SUM(AB287:AB329)</f>
        <v>248318</v>
      </c>
      <c r="AC330" s="38">
        <f>SUM(AC287:AC311)</f>
        <v>-2076</v>
      </c>
      <c r="AD330" s="38">
        <f>SUM(AD287:AD311)</f>
        <v>0</v>
      </c>
      <c r="AE330" s="38">
        <f>SUM(AE287:AE329)</f>
        <v>246242</v>
      </c>
      <c r="AF330" s="4"/>
      <c r="AG330" s="41">
        <f>SUM(AG287:AG329)</f>
        <v>6928.5</v>
      </c>
      <c r="AH330" s="41">
        <f>SUM(AH287:AH311)</f>
        <v>-84</v>
      </c>
      <c r="AI330" s="42">
        <f>SUM(AI287:AI329)</f>
        <v>253086.5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35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35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35</v>
      </c>
      <c r="Z337" s="57"/>
      <c r="AA337" s="57"/>
      <c r="AB337" s="57"/>
      <c r="AC337" s="57"/>
      <c r="AD337" s="57"/>
      <c r="AE337" s="57"/>
      <c r="AG337" s="57" t="s">
        <v>15</v>
      </c>
      <c r="AH337" s="19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58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58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42</v>
      </c>
      <c r="W338" s="24"/>
      <c r="Y338" s="21" t="s">
        <v>58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1" t="s">
        <v>17</v>
      </c>
      <c r="E340" s="111"/>
      <c r="F340" s="97"/>
      <c r="G340" s="27"/>
      <c r="I340" s="109" t="s">
        <v>18</v>
      </c>
      <c r="J340" s="110"/>
      <c r="K340" s="107" t="s">
        <v>19</v>
      </c>
      <c r="N340" s="25"/>
      <c r="O340" s="26"/>
      <c r="P340" s="111" t="s">
        <v>17</v>
      </c>
      <c r="Q340" s="111"/>
      <c r="R340" s="97"/>
      <c r="S340" s="27"/>
      <c r="U340" s="109" t="s">
        <v>18</v>
      </c>
      <c r="V340" s="110"/>
      <c r="W340" s="107" t="s">
        <v>19</v>
      </c>
      <c r="Z340" s="25"/>
      <c r="AA340" s="26"/>
      <c r="AB340" s="111" t="s">
        <v>17</v>
      </c>
      <c r="AC340" s="111"/>
      <c r="AD340" s="97"/>
      <c r="AE340" s="27"/>
      <c r="AG340" s="109" t="s">
        <v>18</v>
      </c>
      <c r="AH340" s="110"/>
      <c r="AI340" s="107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08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08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08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45941</v>
      </c>
      <c r="C342" s="91">
        <v>6975</v>
      </c>
      <c r="D342" s="32">
        <f>3130+47</f>
        <v>3177</v>
      </c>
      <c r="E342" s="32"/>
      <c r="F342" s="32"/>
      <c r="G342" s="32">
        <f t="shared" ref="G342:G375" si="105">SUM(D342:E342)</f>
        <v>3177</v>
      </c>
      <c r="H342" s="12"/>
      <c r="I342" s="12"/>
      <c r="J342" s="12"/>
      <c r="K342" s="12">
        <f t="shared" ref="K342:K375" si="106">SUM(G342:J342)</f>
        <v>3177</v>
      </c>
      <c r="M342" s="10">
        <v>1</v>
      </c>
      <c r="N342" s="30">
        <v>45941</v>
      </c>
      <c r="O342" s="31">
        <v>6848</v>
      </c>
      <c r="P342" s="32">
        <f>4382+614+66.5</f>
        <v>5062.5</v>
      </c>
      <c r="Q342" s="32"/>
      <c r="R342" s="32"/>
      <c r="S342" s="32">
        <f>SUM(P342:Q342)</f>
        <v>5062.5</v>
      </c>
      <c r="T342" s="12"/>
      <c r="U342" s="12"/>
      <c r="V342" s="12"/>
      <c r="W342" s="12">
        <f>SUM(S342:V342)</f>
        <v>5062.5</v>
      </c>
      <c r="Y342" s="10">
        <v>1</v>
      </c>
      <c r="Z342" s="30">
        <v>45941</v>
      </c>
      <c r="AA342" s="31">
        <v>6897</v>
      </c>
      <c r="AB342" s="32">
        <f>3015+6656+1500</f>
        <v>11171</v>
      </c>
      <c r="AC342" s="32"/>
      <c r="AD342" s="32"/>
      <c r="AE342" s="32">
        <f>SUM(AB342:AC342)</f>
        <v>11171</v>
      </c>
      <c r="AF342" s="12"/>
      <c r="AG342" s="12">
        <f>360+396</f>
        <v>756</v>
      </c>
      <c r="AH342" s="12"/>
      <c r="AI342" s="12">
        <f>SUM(AE342:AH342)</f>
        <v>11927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45941</v>
      </c>
      <c r="C343" s="91">
        <f>C342+1</f>
        <v>6976</v>
      </c>
      <c r="D343" s="32"/>
      <c r="E343" s="32"/>
      <c r="F343" s="32"/>
      <c r="G343" s="32">
        <f t="shared" si="105"/>
        <v>0</v>
      </c>
      <c r="H343" s="12"/>
      <c r="I343" s="12"/>
      <c r="J343" s="12"/>
      <c r="K343" s="12">
        <f t="shared" si="106"/>
        <v>0</v>
      </c>
      <c r="M343" s="10">
        <v>2</v>
      </c>
      <c r="N343" s="30">
        <v>45941</v>
      </c>
      <c r="O343" s="31">
        <f>O342+1</f>
        <v>6849</v>
      </c>
      <c r="P343" s="32">
        <f>9390+614+2980+832+190</f>
        <v>14006</v>
      </c>
      <c r="Q343" s="32"/>
      <c r="R343" s="32"/>
      <c r="S343" s="32">
        <f t="shared" ref="S343:S374" si="107">SUM(P343:Q343)</f>
        <v>14006</v>
      </c>
      <c r="T343" s="12"/>
      <c r="U343" s="12">
        <f>40.5</f>
        <v>40.5</v>
      </c>
      <c r="V343" s="12"/>
      <c r="W343" s="12">
        <f t="shared" ref="W343:W383" si="108">SUM(S343:V343)</f>
        <v>14046.5</v>
      </c>
      <c r="Y343" s="10">
        <v>2</v>
      </c>
      <c r="Z343" s="30">
        <v>45941</v>
      </c>
      <c r="AA343" s="31">
        <f>AA342+1</f>
        <v>6898</v>
      </c>
      <c r="AB343" s="32">
        <f>31300+29800+916</f>
        <v>62016</v>
      </c>
      <c r="AC343" s="32"/>
      <c r="AD343" s="32"/>
      <c r="AE343" s="32">
        <f t="shared" ref="AE343:AE345" si="109">SUM(AB343:AC343)</f>
        <v>62016</v>
      </c>
      <c r="AF343" s="12"/>
      <c r="AG343" s="12"/>
      <c r="AH343" s="12">
        <v>-5550</v>
      </c>
      <c r="AI343" s="12">
        <f t="shared" ref="AI343:AI374" si="110">SUM(AE343:AH343)</f>
        <v>56466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45941</v>
      </c>
      <c r="C344" s="91">
        <f t="shared" ref="C344:C354" si="111">C343+1</f>
        <v>6977</v>
      </c>
      <c r="D344" s="33">
        <f>21910+1228</f>
        <v>23138</v>
      </c>
      <c r="E344" s="33"/>
      <c r="F344" s="33"/>
      <c r="G344" s="33">
        <f t="shared" si="105"/>
        <v>23138</v>
      </c>
      <c r="H344" s="34"/>
      <c r="I344" s="34">
        <v>117</v>
      </c>
      <c r="J344" s="34"/>
      <c r="K344" s="34">
        <f t="shared" si="106"/>
        <v>23255</v>
      </c>
      <c r="M344" s="10">
        <v>3</v>
      </c>
      <c r="N344" s="30">
        <v>45941</v>
      </c>
      <c r="O344" s="31">
        <f t="shared" ref="O344:O374" si="112">O343+1</f>
        <v>6850</v>
      </c>
      <c r="P344" s="32">
        <f>1878+596+38</f>
        <v>2512</v>
      </c>
      <c r="Q344" s="32"/>
      <c r="R344" s="32"/>
      <c r="S344" s="32">
        <f t="shared" si="107"/>
        <v>2512</v>
      </c>
      <c r="T344" s="12"/>
      <c r="U344" s="12"/>
      <c r="V344" s="12"/>
      <c r="W344" s="12">
        <f t="shared" si="108"/>
        <v>2512</v>
      </c>
      <c r="Y344" s="10">
        <v>3</v>
      </c>
      <c r="Z344" s="30">
        <v>45941</v>
      </c>
      <c r="AA344" s="31">
        <f t="shared" ref="AA344:AA349" si="113">AA343+1</f>
        <v>6899</v>
      </c>
      <c r="AB344" s="33">
        <f>112680+11920+1832</f>
        <v>126432</v>
      </c>
      <c r="AC344" s="33">
        <v>-1248</v>
      </c>
      <c r="AD344" s="32"/>
      <c r="AE344" s="32">
        <f t="shared" si="109"/>
        <v>125184</v>
      </c>
      <c r="AF344" s="12"/>
      <c r="AG344" s="12"/>
      <c r="AH344" s="12"/>
      <c r="AI344" s="12">
        <f t="shared" si="110"/>
        <v>125184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45941</v>
      </c>
      <c r="C345" s="91">
        <f t="shared" si="111"/>
        <v>6978</v>
      </c>
      <c r="D345" s="32">
        <f>4382+1228+913+1192+852+832+1000</f>
        <v>10399</v>
      </c>
      <c r="E345" s="32"/>
      <c r="F345" s="32"/>
      <c r="G345" s="32">
        <f t="shared" si="105"/>
        <v>10399</v>
      </c>
      <c r="H345" s="12"/>
      <c r="I345" s="12">
        <f>337</f>
        <v>337</v>
      </c>
      <c r="J345" s="12"/>
      <c r="K345" s="12">
        <f t="shared" si="106"/>
        <v>10736</v>
      </c>
      <c r="M345" s="10">
        <v>4</v>
      </c>
      <c r="N345" s="30">
        <v>45941</v>
      </c>
      <c r="O345" s="31">
        <v>7010</v>
      </c>
      <c r="P345" s="32">
        <f>2504+38</f>
        <v>2542</v>
      </c>
      <c r="Q345" s="32"/>
      <c r="R345" s="32"/>
      <c r="S345" s="32">
        <f t="shared" si="107"/>
        <v>2542</v>
      </c>
      <c r="T345" s="12"/>
      <c r="U345" s="12">
        <v>22.5</v>
      </c>
      <c r="V345" s="12"/>
      <c r="W345" s="12">
        <f t="shared" si="108"/>
        <v>2564.5</v>
      </c>
      <c r="Y345" s="10">
        <v>4</v>
      </c>
      <c r="Z345" s="30">
        <v>45941</v>
      </c>
      <c r="AA345" s="31">
        <f t="shared" si="113"/>
        <v>6900</v>
      </c>
      <c r="AB345" s="32">
        <f>7512</f>
        <v>7512</v>
      </c>
      <c r="AC345" s="32"/>
      <c r="AD345" s="32"/>
      <c r="AE345" s="32">
        <f t="shared" si="109"/>
        <v>7512</v>
      </c>
      <c r="AF345" s="12"/>
      <c r="AH345" s="12"/>
      <c r="AI345" s="12">
        <f t="shared" si="110"/>
        <v>7512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45941</v>
      </c>
      <c r="C346" s="91">
        <f t="shared" si="111"/>
        <v>6979</v>
      </c>
      <c r="D346" s="32">
        <f>2504+596+47</f>
        <v>3147</v>
      </c>
      <c r="E346" s="32"/>
      <c r="F346" s="32"/>
      <c r="G346" s="32">
        <f t="shared" si="105"/>
        <v>3147</v>
      </c>
      <c r="H346" s="12"/>
      <c r="I346" s="12"/>
      <c r="J346" s="12"/>
      <c r="K346" s="12">
        <f t="shared" si="106"/>
        <v>3147</v>
      </c>
      <c r="M346" s="10">
        <v>5</v>
      </c>
      <c r="N346" s="30">
        <v>45941</v>
      </c>
      <c r="O346" s="31">
        <f t="shared" si="112"/>
        <v>7011</v>
      </c>
      <c r="P346" s="32">
        <f>3130+47.5</f>
        <v>3177.5</v>
      </c>
      <c r="Q346" s="32"/>
      <c r="R346" s="32"/>
      <c r="S346" s="32">
        <f t="shared" si="107"/>
        <v>3177.5</v>
      </c>
      <c r="T346" s="12"/>
      <c r="U346" s="12"/>
      <c r="V346" s="12"/>
      <c r="W346" s="12">
        <f t="shared" si="108"/>
        <v>3177.5</v>
      </c>
      <c r="Y346" s="10">
        <v>5</v>
      </c>
      <c r="Z346" s="30">
        <v>45941</v>
      </c>
      <c r="AA346" s="31">
        <v>7101</v>
      </c>
      <c r="AB346" s="32">
        <f>626*7+596*2+85.5</f>
        <v>5659.5</v>
      </c>
      <c r="AC346" s="32"/>
      <c r="AD346" s="32"/>
      <c r="AE346" s="32">
        <f t="shared" ref="AE346:AE380" si="114">SUM(AB346:AC346)</f>
        <v>5659.5</v>
      </c>
      <c r="AF346" s="12"/>
      <c r="AG346" s="12"/>
      <c r="AH346" s="12"/>
      <c r="AI346" s="12">
        <f t="shared" si="110"/>
        <v>5659.5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45941</v>
      </c>
      <c r="C347" s="91">
        <f t="shared" si="111"/>
        <v>6980</v>
      </c>
      <c r="D347" s="32">
        <f>3130+1228+47</f>
        <v>4405</v>
      </c>
      <c r="E347" s="32"/>
      <c r="F347" s="32"/>
      <c r="G347" s="32">
        <f t="shared" si="105"/>
        <v>4405</v>
      </c>
      <c r="H347" s="12"/>
      <c r="I347" s="12">
        <v>53</v>
      </c>
      <c r="J347" s="12"/>
      <c r="K347" s="12">
        <f t="shared" si="106"/>
        <v>4458</v>
      </c>
      <c r="M347" s="10">
        <v>6</v>
      </c>
      <c r="N347" s="30">
        <v>45941</v>
      </c>
      <c r="O347" s="31">
        <f t="shared" si="112"/>
        <v>7012</v>
      </c>
      <c r="P347" s="32">
        <f>832</f>
        <v>832</v>
      </c>
      <c r="Q347" s="32"/>
      <c r="R347" s="32"/>
      <c r="S347" s="32">
        <f t="shared" si="107"/>
        <v>832</v>
      </c>
      <c r="T347" s="12"/>
      <c r="U347" s="12"/>
      <c r="V347" s="10"/>
      <c r="W347" s="12">
        <f t="shared" si="108"/>
        <v>832</v>
      </c>
      <c r="Y347" s="10">
        <v>6</v>
      </c>
      <c r="Z347" s="30">
        <v>45941</v>
      </c>
      <c r="AA347" s="31">
        <f t="shared" si="113"/>
        <v>7102</v>
      </c>
      <c r="AB347" s="32">
        <f>5008+76</f>
        <v>5084</v>
      </c>
      <c r="AC347" s="32"/>
      <c r="AD347" s="32"/>
      <c r="AE347" s="32">
        <f t="shared" si="114"/>
        <v>5084</v>
      </c>
      <c r="AF347" s="12"/>
      <c r="AG347" s="12"/>
      <c r="AH347" s="10"/>
      <c r="AI347" s="12">
        <f t="shared" si="110"/>
        <v>5084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45941</v>
      </c>
      <c r="C348" s="91">
        <f t="shared" si="111"/>
        <v>6981</v>
      </c>
      <c r="D348" s="32">
        <f>626+1192+28</f>
        <v>1846</v>
      </c>
      <c r="E348" s="32"/>
      <c r="F348" s="32"/>
      <c r="G348" s="32">
        <f t="shared" si="105"/>
        <v>1846</v>
      </c>
      <c r="H348" s="12"/>
      <c r="I348" s="12"/>
      <c r="J348" s="12"/>
      <c r="K348" s="12">
        <f t="shared" si="106"/>
        <v>1846</v>
      </c>
      <c r="M348" s="10">
        <v>7</v>
      </c>
      <c r="N348" s="30">
        <v>45941</v>
      </c>
      <c r="O348" s="31">
        <f t="shared" si="112"/>
        <v>7013</v>
      </c>
      <c r="P348" s="32">
        <f>15650+2980</f>
        <v>18630</v>
      </c>
      <c r="Q348" s="32"/>
      <c r="R348" s="32"/>
      <c r="S348" s="32">
        <f t="shared" si="107"/>
        <v>18630</v>
      </c>
      <c r="T348" s="12"/>
      <c r="U348" s="12">
        <v>27</v>
      </c>
      <c r="V348" s="12"/>
      <c r="W348" s="12">
        <f t="shared" si="108"/>
        <v>18657</v>
      </c>
      <c r="Y348" s="10">
        <v>7</v>
      </c>
      <c r="Z348" s="30">
        <v>45941</v>
      </c>
      <c r="AA348" s="31">
        <f t="shared" si="113"/>
        <v>7103</v>
      </c>
      <c r="AB348" s="32">
        <f>1252</f>
        <v>1252</v>
      </c>
      <c r="AC348" s="32"/>
      <c r="AD348" s="32"/>
      <c r="AE348" s="32">
        <f t="shared" si="114"/>
        <v>1252</v>
      </c>
      <c r="AF348" s="12"/>
      <c r="AG348" s="58"/>
      <c r="AH348" s="12"/>
      <c r="AI348" s="12">
        <f t="shared" si="110"/>
        <v>1252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45941</v>
      </c>
      <c r="C349" s="91">
        <f t="shared" si="111"/>
        <v>6982</v>
      </c>
      <c r="D349" s="32">
        <f>5008+614+76</f>
        <v>5698</v>
      </c>
      <c r="E349" s="32"/>
      <c r="F349" s="32"/>
      <c r="G349" s="32">
        <f t="shared" si="105"/>
        <v>5698</v>
      </c>
      <c r="H349" s="12"/>
      <c r="I349" s="12"/>
      <c r="J349" s="12"/>
      <c r="K349" s="12">
        <f t="shared" si="106"/>
        <v>5698</v>
      </c>
      <c r="M349" s="10">
        <v>8</v>
      </c>
      <c r="N349" s="30">
        <v>45941</v>
      </c>
      <c r="O349" s="31">
        <f t="shared" si="112"/>
        <v>7014</v>
      </c>
      <c r="P349" s="32">
        <f>2504+38</f>
        <v>2542</v>
      </c>
      <c r="Q349" s="32"/>
      <c r="R349" s="32"/>
      <c r="S349" s="32">
        <f t="shared" si="107"/>
        <v>2542</v>
      </c>
      <c r="T349" s="12"/>
      <c r="U349" s="12"/>
      <c r="V349" s="12"/>
      <c r="W349" s="12">
        <f t="shared" si="108"/>
        <v>2542</v>
      </c>
      <c r="Y349" s="10">
        <v>8</v>
      </c>
      <c r="Z349" s="30">
        <v>45941</v>
      </c>
      <c r="AA349" s="31">
        <f t="shared" si="113"/>
        <v>7104</v>
      </c>
      <c r="AB349" s="32">
        <f>1252</f>
        <v>1252</v>
      </c>
      <c r="AC349" s="32"/>
      <c r="AE349" s="32">
        <f t="shared" si="114"/>
        <v>1252</v>
      </c>
      <c r="AF349" s="12"/>
      <c r="AG349" s="12"/>
      <c r="AH349" s="12">
        <v>-222</v>
      </c>
      <c r="AI349" s="12">
        <f t="shared" si="110"/>
        <v>1030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45941</v>
      </c>
      <c r="C350" s="91">
        <f t="shared" si="111"/>
        <v>6983</v>
      </c>
      <c r="D350" s="32">
        <f>2504+596+47</f>
        <v>3147</v>
      </c>
      <c r="E350" s="32"/>
      <c r="F350" s="32"/>
      <c r="G350" s="32">
        <f t="shared" si="105"/>
        <v>3147</v>
      </c>
      <c r="H350" s="12"/>
      <c r="I350" s="12"/>
      <c r="J350" s="12"/>
      <c r="K350" s="12">
        <f t="shared" si="106"/>
        <v>3147</v>
      </c>
      <c r="M350" s="10">
        <v>9</v>
      </c>
      <c r="N350" s="30">
        <v>45941</v>
      </c>
      <c r="O350" s="31">
        <f t="shared" si="112"/>
        <v>7015</v>
      </c>
      <c r="P350" s="32">
        <f>1878+28.5</f>
        <v>1906.5</v>
      </c>
      <c r="Q350" s="32"/>
      <c r="R350" s="32"/>
      <c r="S350" s="32">
        <f t="shared" si="107"/>
        <v>1906.5</v>
      </c>
      <c r="T350" s="12"/>
      <c r="U350" s="12">
        <v>4.5</v>
      </c>
      <c r="V350" s="12"/>
      <c r="W350" s="12">
        <f t="shared" si="108"/>
        <v>1911</v>
      </c>
      <c r="Y350" s="10">
        <v>9</v>
      </c>
      <c r="Z350" s="30"/>
      <c r="AA350" s="11" t="s">
        <v>27</v>
      </c>
      <c r="AB350" s="32"/>
      <c r="AC350" s="32"/>
      <c r="AD350" s="32"/>
      <c r="AE350" s="32">
        <f t="shared" si="114"/>
        <v>0</v>
      </c>
      <c r="AF350" s="12"/>
      <c r="AG350" s="58"/>
      <c r="AH350" s="12"/>
      <c r="AI350" s="12">
        <f t="shared" si="110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45941</v>
      </c>
      <c r="C351" s="91">
        <f t="shared" si="111"/>
        <v>6984</v>
      </c>
      <c r="D351" s="32">
        <f>1252+19</f>
        <v>1271</v>
      </c>
      <c r="E351" s="32"/>
      <c r="F351" s="32"/>
      <c r="G351" s="32">
        <f t="shared" si="105"/>
        <v>1271</v>
      </c>
      <c r="H351" s="12"/>
      <c r="I351" s="12"/>
      <c r="J351" s="12"/>
      <c r="K351" s="12">
        <f t="shared" si="106"/>
        <v>1271</v>
      </c>
      <c r="M351" s="10">
        <v>10</v>
      </c>
      <c r="N351" s="30">
        <v>45941</v>
      </c>
      <c r="O351" s="31">
        <f t="shared" si="112"/>
        <v>7016</v>
      </c>
      <c r="P351" s="32">
        <f>1878+28.5</f>
        <v>1906.5</v>
      </c>
      <c r="Q351" s="32"/>
      <c r="R351" s="32"/>
      <c r="S351" s="32">
        <f t="shared" si="107"/>
        <v>1906.5</v>
      </c>
      <c r="T351" s="12"/>
      <c r="U351" s="12"/>
      <c r="V351" s="12"/>
      <c r="W351" s="12">
        <f t="shared" si="108"/>
        <v>1906.5</v>
      </c>
      <c r="Y351" s="10">
        <v>10</v>
      </c>
      <c r="Z351" s="30"/>
      <c r="AA351" s="31"/>
      <c r="AB351" s="32"/>
      <c r="AC351" s="32"/>
      <c r="AD351" s="32"/>
      <c r="AE351" s="32">
        <f t="shared" si="114"/>
        <v>0</v>
      </c>
      <c r="AF351" s="12"/>
      <c r="AG351" s="12"/>
      <c r="AH351" s="12"/>
      <c r="AI351" s="12">
        <f t="shared" si="110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45941</v>
      </c>
      <c r="C352" s="91">
        <f t="shared" si="111"/>
        <v>6985</v>
      </c>
      <c r="D352" s="32">
        <f>1878+614</f>
        <v>2492</v>
      </c>
      <c r="E352" s="32"/>
      <c r="F352" s="32"/>
      <c r="G352" s="32">
        <f t="shared" si="105"/>
        <v>2492</v>
      </c>
      <c r="H352" s="12"/>
      <c r="I352" s="12">
        <v>9</v>
      </c>
      <c r="J352" s="12"/>
      <c r="K352" s="12">
        <f t="shared" si="106"/>
        <v>2501</v>
      </c>
      <c r="M352" s="10">
        <v>11</v>
      </c>
      <c r="N352" s="30">
        <v>45941</v>
      </c>
      <c r="O352" s="31">
        <f t="shared" si="112"/>
        <v>7017</v>
      </c>
      <c r="P352" s="32">
        <f>626+9.5</f>
        <v>635.5</v>
      </c>
      <c r="Q352" s="32"/>
      <c r="R352" s="32"/>
      <c r="S352" s="32">
        <f t="shared" si="107"/>
        <v>635.5</v>
      </c>
      <c r="T352" s="12"/>
      <c r="U352" s="12"/>
      <c r="V352" s="12"/>
      <c r="W352" s="12">
        <f t="shared" si="108"/>
        <v>635.5</v>
      </c>
      <c r="Y352" s="10">
        <v>11</v>
      </c>
      <c r="Z352" s="30"/>
      <c r="AA352" s="31"/>
      <c r="AB352" s="32"/>
      <c r="AC352" s="32"/>
      <c r="AD352" s="32"/>
      <c r="AE352" s="32">
        <f t="shared" si="114"/>
        <v>0</v>
      </c>
      <c r="AF352" s="12"/>
      <c r="AG352" s="12"/>
      <c r="AH352" s="12"/>
      <c r="AI352" s="12">
        <f t="shared" si="110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45941</v>
      </c>
      <c r="C353" s="91">
        <f t="shared" si="111"/>
        <v>6986</v>
      </c>
      <c r="D353" s="32">
        <f>913+852+1005+650</f>
        <v>3420</v>
      </c>
      <c r="E353" s="32"/>
      <c r="F353" s="32"/>
      <c r="G353" s="32">
        <f t="shared" si="105"/>
        <v>3420</v>
      </c>
      <c r="H353" s="12"/>
      <c r="I353" s="12"/>
      <c r="J353" s="10"/>
      <c r="K353" s="12">
        <f t="shared" si="106"/>
        <v>3420</v>
      </c>
      <c r="M353" s="10">
        <v>12</v>
      </c>
      <c r="N353" s="30">
        <v>45941</v>
      </c>
      <c r="O353" s="31">
        <f t="shared" si="112"/>
        <v>7018</v>
      </c>
      <c r="P353" s="32">
        <f>1878+1192+47.5</f>
        <v>3117.5</v>
      </c>
      <c r="Q353" s="32"/>
      <c r="R353" s="32"/>
      <c r="S353" s="32">
        <f t="shared" si="107"/>
        <v>3117.5</v>
      </c>
      <c r="T353" s="12"/>
      <c r="U353" s="12"/>
      <c r="V353" s="12"/>
      <c r="W353" s="12">
        <f t="shared" si="108"/>
        <v>3117.5</v>
      </c>
      <c r="Y353" s="10">
        <v>12</v>
      </c>
      <c r="Z353" s="30"/>
      <c r="AA353" s="31"/>
      <c r="AB353" s="32"/>
      <c r="AC353" s="32"/>
      <c r="AD353" s="32"/>
      <c r="AE353" s="32">
        <f t="shared" si="114"/>
        <v>0</v>
      </c>
      <c r="AF353" s="12"/>
      <c r="AG353" s="12"/>
      <c r="AH353" s="12"/>
      <c r="AI353" s="12">
        <f t="shared" si="110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45941</v>
      </c>
      <c r="C354" s="91">
        <f t="shared" si="111"/>
        <v>6987</v>
      </c>
      <c r="D354" s="32">
        <f>18780</f>
        <v>18780</v>
      </c>
      <c r="E354" s="32"/>
      <c r="F354" s="32"/>
      <c r="G354" s="32">
        <f t="shared" si="105"/>
        <v>18780</v>
      </c>
      <c r="H354" s="12"/>
      <c r="I354" s="12"/>
      <c r="J354" s="12"/>
      <c r="K354" s="12">
        <f t="shared" si="106"/>
        <v>18780</v>
      </c>
      <c r="M354" s="10">
        <v>13</v>
      </c>
      <c r="N354" s="30">
        <v>45941</v>
      </c>
      <c r="O354" s="31">
        <f t="shared" si="112"/>
        <v>7019</v>
      </c>
      <c r="P354" s="32">
        <f>6260+614</f>
        <v>6874</v>
      </c>
      <c r="Q354" s="32"/>
      <c r="R354" s="32"/>
      <c r="S354" s="32">
        <f t="shared" si="107"/>
        <v>6874</v>
      </c>
      <c r="T354" s="12"/>
      <c r="U354" s="12"/>
      <c r="V354" s="12">
        <v>-111</v>
      </c>
      <c r="W354" s="12">
        <f t="shared" si="108"/>
        <v>6763</v>
      </c>
      <c r="Y354" s="10">
        <v>13</v>
      </c>
      <c r="Z354" s="30"/>
      <c r="AA354" s="31"/>
      <c r="AB354" s="32"/>
      <c r="AC354" s="32"/>
      <c r="AD354" s="32"/>
      <c r="AE354" s="32">
        <f t="shared" si="114"/>
        <v>0</v>
      </c>
      <c r="AF354" s="12"/>
      <c r="AG354" s="12"/>
      <c r="AH354" s="12"/>
      <c r="AI354" s="12">
        <f t="shared" si="110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11" t="s">
        <v>27</v>
      </c>
      <c r="D355" s="32"/>
      <c r="E355" s="32"/>
      <c r="F355" s="32"/>
      <c r="G355" s="32">
        <f t="shared" si="105"/>
        <v>0</v>
      </c>
      <c r="H355" s="12"/>
      <c r="I355" s="12"/>
      <c r="J355" s="12"/>
      <c r="K355" s="12">
        <f t="shared" si="106"/>
        <v>0</v>
      </c>
      <c r="M355" s="10">
        <v>14</v>
      </c>
      <c r="N355" s="30">
        <v>45941</v>
      </c>
      <c r="O355" s="31">
        <f t="shared" si="112"/>
        <v>7020</v>
      </c>
      <c r="P355" s="32"/>
      <c r="Q355" s="32"/>
      <c r="R355" s="32"/>
      <c r="S355" s="32">
        <f t="shared" si="107"/>
        <v>0</v>
      </c>
      <c r="T355" s="12"/>
      <c r="U355" s="12"/>
      <c r="V355" s="12"/>
      <c r="W355" s="12">
        <f t="shared" si="108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4"/>
        <v>0</v>
      </c>
      <c r="AF355" s="12"/>
      <c r="AG355" s="12"/>
      <c r="AH355" s="12"/>
      <c r="AI355" s="12">
        <f t="shared" si="110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91"/>
      <c r="D356" s="32"/>
      <c r="E356" s="32"/>
      <c r="F356" s="32"/>
      <c r="G356" s="32">
        <f t="shared" si="105"/>
        <v>0</v>
      </c>
      <c r="H356" s="12"/>
      <c r="I356" s="12"/>
      <c r="J356" s="12"/>
      <c r="K356" s="12">
        <f t="shared" si="106"/>
        <v>0</v>
      </c>
      <c r="M356" s="10">
        <v>15</v>
      </c>
      <c r="N356" s="30">
        <v>45941</v>
      </c>
      <c r="O356" s="31">
        <f t="shared" si="112"/>
        <v>7021</v>
      </c>
      <c r="P356" s="32">
        <f>2504+1192+66.5</f>
        <v>3762.5</v>
      </c>
      <c r="Q356" s="32"/>
      <c r="R356" s="32"/>
      <c r="S356" s="32">
        <f t="shared" si="107"/>
        <v>3762.5</v>
      </c>
      <c r="T356" s="12"/>
      <c r="U356" s="12"/>
      <c r="V356" s="12"/>
      <c r="W356" s="12">
        <f t="shared" si="108"/>
        <v>3762.5</v>
      </c>
      <c r="Y356" s="10">
        <v>15</v>
      </c>
      <c r="Z356" s="30"/>
      <c r="AA356" s="31"/>
      <c r="AB356" s="32"/>
      <c r="AC356" s="32"/>
      <c r="AD356" s="32"/>
      <c r="AE356" s="32">
        <f t="shared" si="114"/>
        <v>0</v>
      </c>
      <c r="AF356" s="12"/>
      <c r="AG356" s="12"/>
      <c r="AH356" s="12"/>
      <c r="AI356" s="12">
        <f t="shared" si="110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91"/>
      <c r="D357" s="32"/>
      <c r="E357" s="32"/>
      <c r="F357" s="32"/>
      <c r="G357" s="32">
        <f t="shared" si="105"/>
        <v>0</v>
      </c>
      <c r="H357" s="12"/>
      <c r="I357" s="12"/>
      <c r="J357" s="12"/>
      <c r="K357" s="12">
        <f t="shared" si="106"/>
        <v>0</v>
      </c>
      <c r="M357" s="10">
        <v>16</v>
      </c>
      <c r="N357" s="30">
        <v>45941</v>
      </c>
      <c r="O357" s="31">
        <f t="shared" si="112"/>
        <v>7022</v>
      </c>
      <c r="P357" s="32">
        <f>9390+142.5</f>
        <v>9532.5</v>
      </c>
      <c r="Q357" s="32"/>
      <c r="R357" s="32"/>
      <c r="S357" s="32">
        <f t="shared" si="107"/>
        <v>9532.5</v>
      </c>
      <c r="T357" s="12"/>
      <c r="U357" s="12">
        <v>9</v>
      </c>
      <c r="V357" s="12"/>
      <c r="W357" s="12">
        <f t="shared" si="108"/>
        <v>9541.5</v>
      </c>
      <c r="Y357" s="10">
        <v>16</v>
      </c>
      <c r="Z357" s="30"/>
      <c r="AA357" s="31"/>
      <c r="AB357" s="32"/>
      <c r="AC357" s="32"/>
      <c r="AD357" s="32"/>
      <c r="AE357" s="32">
        <f t="shared" si="114"/>
        <v>0</v>
      </c>
      <c r="AF357" s="12"/>
      <c r="AG357" s="12"/>
      <c r="AH357" s="12"/>
      <c r="AI357" s="12">
        <f t="shared" si="110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91"/>
      <c r="D358" s="32"/>
      <c r="E358" s="32"/>
      <c r="F358" s="32"/>
      <c r="G358" s="32">
        <f t="shared" si="105"/>
        <v>0</v>
      </c>
      <c r="H358" s="12"/>
      <c r="I358" s="12"/>
      <c r="J358" s="12"/>
      <c r="K358" s="12">
        <f t="shared" si="106"/>
        <v>0</v>
      </c>
      <c r="M358" s="10">
        <v>17</v>
      </c>
      <c r="N358" s="30">
        <v>45941</v>
      </c>
      <c r="O358" s="31">
        <f t="shared" si="112"/>
        <v>7023</v>
      </c>
      <c r="P358" s="35">
        <f>3756+57</f>
        <v>3813</v>
      </c>
      <c r="Q358" s="32"/>
      <c r="R358" s="32"/>
      <c r="S358" s="32">
        <f t="shared" si="107"/>
        <v>3813</v>
      </c>
      <c r="T358" s="12"/>
      <c r="U358" s="12"/>
      <c r="V358" s="12"/>
      <c r="W358" s="12">
        <f t="shared" si="108"/>
        <v>3813</v>
      </c>
      <c r="Y358" s="10">
        <v>17</v>
      </c>
      <c r="Z358" s="30"/>
      <c r="AA358" s="31"/>
      <c r="AB358" s="35"/>
      <c r="AC358" s="32"/>
      <c r="AD358" s="32"/>
      <c r="AE358" s="32">
        <f t="shared" si="114"/>
        <v>0</v>
      </c>
      <c r="AF358" s="12"/>
      <c r="AG358" s="12"/>
      <c r="AH358" s="12"/>
      <c r="AI358" s="12">
        <f t="shared" si="110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91"/>
      <c r="D359" s="32"/>
      <c r="E359" s="32"/>
      <c r="F359" s="32"/>
      <c r="G359" s="32">
        <f t="shared" si="105"/>
        <v>0</v>
      </c>
      <c r="H359" s="12"/>
      <c r="I359" s="12"/>
      <c r="J359" s="12"/>
      <c r="K359" s="12">
        <f t="shared" si="106"/>
        <v>0</v>
      </c>
      <c r="M359" s="10">
        <v>18</v>
      </c>
      <c r="N359" s="30">
        <v>45941</v>
      </c>
      <c r="O359" s="31">
        <f t="shared" si="112"/>
        <v>7024</v>
      </c>
      <c r="P359" s="32">
        <f>8764+1192+152</f>
        <v>10108</v>
      </c>
      <c r="Q359" s="32"/>
      <c r="R359" s="32"/>
      <c r="S359" s="32">
        <f t="shared" si="107"/>
        <v>10108</v>
      </c>
      <c r="T359" s="12"/>
      <c r="U359" s="12">
        <v>54</v>
      </c>
      <c r="V359" s="12"/>
      <c r="W359" s="12">
        <f t="shared" si="108"/>
        <v>10162</v>
      </c>
      <c r="Y359" s="10">
        <v>18</v>
      </c>
      <c r="Z359" s="30"/>
      <c r="AA359" s="31"/>
      <c r="AB359" s="32"/>
      <c r="AC359" s="32"/>
      <c r="AD359" s="32"/>
      <c r="AE359" s="32">
        <f t="shared" si="114"/>
        <v>0</v>
      </c>
      <c r="AF359" s="12"/>
      <c r="AG359" s="12"/>
      <c r="AH359" s="12"/>
      <c r="AI359" s="12">
        <f t="shared" si="110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91"/>
      <c r="D360" s="32"/>
      <c r="E360" s="32"/>
      <c r="F360" s="32"/>
      <c r="G360" s="32">
        <f t="shared" si="105"/>
        <v>0</v>
      </c>
      <c r="H360" s="12"/>
      <c r="I360" s="12"/>
      <c r="J360" s="12"/>
      <c r="K360" s="12">
        <f t="shared" si="106"/>
        <v>0</v>
      </c>
      <c r="M360" s="10">
        <v>19</v>
      </c>
      <c r="N360" s="30">
        <v>45941</v>
      </c>
      <c r="O360" s="31">
        <f t="shared" si="112"/>
        <v>7025</v>
      </c>
      <c r="P360" s="32">
        <f>614</f>
        <v>614</v>
      </c>
      <c r="Q360" s="32"/>
      <c r="R360" s="32"/>
      <c r="S360" s="32">
        <f t="shared" si="107"/>
        <v>614</v>
      </c>
      <c r="T360" s="12"/>
      <c r="U360" s="12"/>
      <c r="V360" s="12"/>
      <c r="W360" s="12">
        <f t="shared" si="108"/>
        <v>614</v>
      </c>
      <c r="Y360" s="10">
        <v>19</v>
      </c>
      <c r="Z360" s="30"/>
      <c r="AA360" s="31"/>
      <c r="AB360" s="32"/>
      <c r="AC360" s="32"/>
      <c r="AD360" s="32"/>
      <c r="AE360" s="32">
        <f t="shared" si="114"/>
        <v>0</v>
      </c>
      <c r="AF360" s="12"/>
      <c r="AG360" s="12"/>
      <c r="AH360" s="12"/>
      <c r="AI360" s="12">
        <f t="shared" si="110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91"/>
      <c r="D361" s="32"/>
      <c r="E361" s="32"/>
      <c r="F361" s="32"/>
      <c r="G361" s="32">
        <f t="shared" si="105"/>
        <v>0</v>
      </c>
      <c r="H361" s="12"/>
      <c r="I361" s="12"/>
      <c r="J361" s="12"/>
      <c r="K361" s="12">
        <f t="shared" si="106"/>
        <v>0</v>
      </c>
      <c r="M361" s="10">
        <v>20</v>
      </c>
      <c r="N361" s="30">
        <v>45941</v>
      </c>
      <c r="O361" s="31">
        <f t="shared" si="112"/>
        <v>7026</v>
      </c>
      <c r="P361" s="32">
        <f>1878+28.5</f>
        <v>1906.5</v>
      </c>
      <c r="Q361" s="32"/>
      <c r="R361" s="32"/>
      <c r="S361" s="32">
        <f t="shared" si="107"/>
        <v>1906.5</v>
      </c>
      <c r="T361" s="12"/>
      <c r="U361" s="12"/>
      <c r="V361" s="12"/>
      <c r="W361" s="12">
        <f t="shared" si="108"/>
        <v>1906.5</v>
      </c>
      <c r="Y361" s="10">
        <v>20</v>
      </c>
      <c r="Z361" s="30"/>
      <c r="AA361" s="31"/>
      <c r="AB361" s="32"/>
      <c r="AC361" s="32"/>
      <c r="AD361" s="32"/>
      <c r="AE361" s="32">
        <f t="shared" si="114"/>
        <v>0</v>
      </c>
      <c r="AF361" s="12"/>
      <c r="AG361" s="12"/>
      <c r="AH361" s="12"/>
      <c r="AI361" s="12">
        <f t="shared" si="110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D362" s="32"/>
      <c r="E362" s="32"/>
      <c r="F362" s="32"/>
      <c r="G362" s="32">
        <f t="shared" si="105"/>
        <v>0</v>
      </c>
      <c r="H362" s="10"/>
      <c r="I362" s="10"/>
      <c r="J362" s="10"/>
      <c r="K362" s="12">
        <f t="shared" si="106"/>
        <v>0</v>
      </c>
      <c r="M362" s="10">
        <v>21</v>
      </c>
      <c r="N362" s="30">
        <v>45941</v>
      </c>
      <c r="O362" s="31">
        <f t="shared" si="112"/>
        <v>7027</v>
      </c>
      <c r="P362" s="46">
        <f>1252+19</f>
        <v>1271</v>
      </c>
      <c r="Q362" s="31"/>
      <c r="R362" s="31"/>
      <c r="S362" s="32">
        <f t="shared" si="107"/>
        <v>1271</v>
      </c>
      <c r="T362" s="10"/>
      <c r="U362" s="10"/>
      <c r="V362" s="10"/>
      <c r="W362" s="12">
        <f t="shared" si="108"/>
        <v>1271</v>
      </c>
      <c r="Y362" s="10">
        <v>21</v>
      </c>
      <c r="Z362" s="30"/>
      <c r="AA362" s="31"/>
      <c r="AB362" s="46"/>
      <c r="AC362" s="31"/>
      <c r="AD362" s="31"/>
      <c r="AE362" s="32">
        <f t="shared" si="114"/>
        <v>0</v>
      </c>
      <c r="AF362" s="10"/>
      <c r="AG362" s="10"/>
      <c r="AH362" s="10"/>
      <c r="AI362" s="12">
        <f t="shared" si="110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1"/>
      <c r="D363" s="32"/>
      <c r="E363" s="32"/>
      <c r="F363" s="32"/>
      <c r="G363" s="32">
        <f t="shared" si="105"/>
        <v>0</v>
      </c>
      <c r="H363" s="10"/>
      <c r="I363" s="10"/>
      <c r="J363" s="10"/>
      <c r="K363" s="12">
        <f t="shared" si="106"/>
        <v>0</v>
      </c>
      <c r="M363" s="10">
        <v>22</v>
      </c>
      <c r="N363" s="30">
        <v>45941</v>
      </c>
      <c r="O363" s="31">
        <f t="shared" si="112"/>
        <v>7028</v>
      </c>
      <c r="P363" s="45">
        <f>1878+28.5</f>
        <v>1906.5</v>
      </c>
      <c r="Q363" s="31"/>
      <c r="R363" s="31"/>
      <c r="S363" s="32">
        <f t="shared" si="107"/>
        <v>1906.5</v>
      </c>
      <c r="T363" s="10"/>
      <c r="U363" s="10"/>
      <c r="V363" s="10"/>
      <c r="W363" s="12">
        <f t="shared" si="108"/>
        <v>1906.5</v>
      </c>
      <c r="Y363" s="10">
        <v>22</v>
      </c>
      <c r="Z363" s="30"/>
      <c r="AA363" s="31"/>
      <c r="AB363" s="45"/>
      <c r="AC363" s="31"/>
      <c r="AD363" s="31"/>
      <c r="AE363" s="32">
        <f t="shared" si="114"/>
        <v>0</v>
      </c>
      <c r="AF363" s="10"/>
      <c r="AG363" s="10"/>
      <c r="AH363" s="10"/>
      <c r="AI363" s="12">
        <f t="shared" si="110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91"/>
      <c r="D364" s="32"/>
      <c r="E364" s="32"/>
      <c r="F364" s="32"/>
      <c r="G364" s="32">
        <f t="shared" si="105"/>
        <v>0</v>
      </c>
      <c r="H364" s="10"/>
      <c r="I364" s="10"/>
      <c r="J364" s="12"/>
      <c r="K364" s="12">
        <f t="shared" si="106"/>
        <v>0</v>
      </c>
      <c r="M364" s="10">
        <v>23</v>
      </c>
      <c r="N364" s="30">
        <v>45941</v>
      </c>
      <c r="O364" s="31">
        <f t="shared" si="112"/>
        <v>7029</v>
      </c>
      <c r="P364" s="47">
        <f>3756+57</f>
        <v>3813</v>
      </c>
      <c r="Q364" s="31"/>
      <c r="S364" s="32">
        <f t="shared" si="107"/>
        <v>3813</v>
      </c>
      <c r="T364" s="10"/>
      <c r="U364" s="10"/>
      <c r="V364" s="10"/>
      <c r="W364" s="12">
        <f t="shared" si="108"/>
        <v>3813</v>
      </c>
      <c r="Y364" s="10">
        <v>23</v>
      </c>
      <c r="Z364" s="30"/>
      <c r="AA364" s="31"/>
      <c r="AB364" s="47"/>
      <c r="AC364" s="31"/>
      <c r="AE364" s="32">
        <f t="shared" si="114"/>
        <v>0</v>
      </c>
      <c r="AF364" s="10"/>
      <c r="AG364" s="10"/>
      <c r="AH364" s="10"/>
      <c r="AI364" s="12">
        <f t="shared" si="110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91"/>
      <c r="D365" s="32"/>
      <c r="E365" s="32"/>
      <c r="F365" s="32"/>
      <c r="G365" s="32">
        <f t="shared" si="105"/>
        <v>0</v>
      </c>
      <c r="H365" s="10"/>
      <c r="I365" s="10"/>
      <c r="J365" s="10"/>
      <c r="K365" s="12">
        <f t="shared" si="106"/>
        <v>0</v>
      </c>
      <c r="M365" s="10">
        <v>24</v>
      </c>
      <c r="N365" s="30">
        <v>45941</v>
      </c>
      <c r="O365" s="31">
        <f t="shared" si="112"/>
        <v>7030</v>
      </c>
      <c r="P365" s="47">
        <f>3130+596+57</f>
        <v>3783</v>
      </c>
      <c r="Q365" s="31"/>
      <c r="R365" s="31"/>
      <c r="S365" s="32">
        <f t="shared" si="107"/>
        <v>3783</v>
      </c>
      <c r="T365" s="10"/>
      <c r="U365" s="10"/>
      <c r="V365" s="10"/>
      <c r="W365" s="12">
        <f t="shared" si="108"/>
        <v>3783</v>
      </c>
      <c r="Y365" s="10">
        <v>24</v>
      </c>
      <c r="Z365" s="30"/>
      <c r="AA365" s="31"/>
      <c r="AB365" s="47"/>
      <c r="AC365" s="31"/>
      <c r="AD365" s="31"/>
      <c r="AE365" s="32">
        <f t="shared" si="114"/>
        <v>0</v>
      </c>
      <c r="AF365" s="10"/>
      <c r="AG365" s="10"/>
      <c r="AH365" s="10"/>
      <c r="AI365" s="12">
        <f t="shared" si="110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57"/>
      <c r="D366" s="32"/>
      <c r="E366" s="32"/>
      <c r="F366" s="32"/>
      <c r="G366" s="32">
        <f t="shared" si="105"/>
        <v>0</v>
      </c>
      <c r="H366" s="10"/>
      <c r="I366" s="10"/>
      <c r="J366" s="10"/>
      <c r="K366" s="12">
        <f t="shared" si="106"/>
        <v>0</v>
      </c>
      <c r="M366" s="10">
        <v>25</v>
      </c>
      <c r="N366" s="30">
        <v>45941</v>
      </c>
      <c r="O366" s="31">
        <f t="shared" si="112"/>
        <v>7031</v>
      </c>
      <c r="P366" s="47">
        <f>626+596+19</f>
        <v>1241</v>
      </c>
      <c r="Q366" s="31"/>
      <c r="R366" s="31"/>
      <c r="S366" s="32">
        <f t="shared" si="107"/>
        <v>1241</v>
      </c>
      <c r="T366" s="10"/>
      <c r="U366" s="10"/>
      <c r="V366" s="10"/>
      <c r="W366" s="12">
        <f t="shared" si="108"/>
        <v>1241</v>
      </c>
      <c r="Y366" s="10">
        <v>25</v>
      </c>
      <c r="Z366" s="30"/>
      <c r="AA366" s="11"/>
      <c r="AB366" s="47"/>
      <c r="AC366" s="31"/>
      <c r="AD366" s="31"/>
      <c r="AE366" s="32">
        <f t="shared" si="114"/>
        <v>0</v>
      </c>
      <c r="AF366" s="10"/>
      <c r="AG366" s="10"/>
      <c r="AH366" s="10"/>
      <c r="AI366" s="12">
        <f t="shared" si="110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91"/>
      <c r="D367" s="32"/>
      <c r="E367" s="32"/>
      <c r="F367" s="32"/>
      <c r="G367" s="32">
        <f t="shared" si="105"/>
        <v>0</v>
      </c>
      <c r="H367" s="10"/>
      <c r="I367" s="10"/>
      <c r="J367" s="10"/>
      <c r="K367" s="12">
        <f t="shared" si="106"/>
        <v>0</v>
      </c>
      <c r="M367" s="10">
        <v>26</v>
      </c>
      <c r="N367" s="30">
        <v>45941</v>
      </c>
      <c r="O367" s="31">
        <f t="shared" si="112"/>
        <v>7032</v>
      </c>
      <c r="P367" s="47">
        <f>626+9.5</f>
        <v>635.5</v>
      </c>
      <c r="Q367" s="31"/>
      <c r="R367" s="31"/>
      <c r="S367" s="32">
        <f t="shared" si="107"/>
        <v>635.5</v>
      </c>
      <c r="T367" s="10"/>
      <c r="U367" s="10"/>
      <c r="V367" s="10"/>
      <c r="W367" s="12">
        <f t="shared" si="108"/>
        <v>635.5</v>
      </c>
      <c r="Y367" s="10">
        <v>26</v>
      </c>
      <c r="Z367" s="30"/>
      <c r="AB367" s="47"/>
      <c r="AC367" s="31"/>
      <c r="AD367" s="31"/>
      <c r="AE367" s="32">
        <f t="shared" si="114"/>
        <v>0</v>
      </c>
      <c r="AF367" s="10"/>
      <c r="AG367" s="10"/>
      <c r="AH367" s="10"/>
      <c r="AI367" s="12">
        <f t="shared" si="110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91"/>
      <c r="D368" s="32"/>
      <c r="E368" s="32"/>
      <c r="F368" s="32"/>
      <c r="G368" s="32">
        <f t="shared" si="105"/>
        <v>0</v>
      </c>
      <c r="H368" s="10"/>
      <c r="I368" s="10"/>
      <c r="J368" s="10"/>
      <c r="K368" s="12">
        <f t="shared" si="106"/>
        <v>0</v>
      </c>
      <c r="M368" s="10">
        <v>27</v>
      </c>
      <c r="N368" s="30">
        <v>45941</v>
      </c>
      <c r="O368" s="31">
        <f t="shared" si="112"/>
        <v>7033</v>
      </c>
      <c r="P368" s="47">
        <f>7512</f>
        <v>7512</v>
      </c>
      <c r="Q368" s="31"/>
      <c r="R368" s="31"/>
      <c r="S368" s="32">
        <f t="shared" si="107"/>
        <v>7512</v>
      </c>
      <c r="T368" s="10"/>
      <c r="U368" s="10"/>
      <c r="V368" s="10"/>
      <c r="W368" s="12">
        <f t="shared" si="108"/>
        <v>7512</v>
      </c>
      <c r="Y368" s="10">
        <v>27</v>
      </c>
      <c r="Z368" s="30"/>
      <c r="AA368" s="31"/>
      <c r="AB368" s="47"/>
      <c r="AC368" s="31"/>
      <c r="AD368" s="31"/>
      <c r="AE368" s="32">
        <f t="shared" si="114"/>
        <v>0</v>
      </c>
      <c r="AF368" s="10"/>
      <c r="AG368" s="10"/>
      <c r="AH368" s="10"/>
      <c r="AI368" s="12">
        <f t="shared" si="110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91"/>
      <c r="D369" s="32"/>
      <c r="E369" s="32"/>
      <c r="F369" s="32"/>
      <c r="G369" s="32">
        <f t="shared" si="105"/>
        <v>0</v>
      </c>
      <c r="H369" s="10"/>
      <c r="I369" s="10"/>
      <c r="J369" s="10"/>
      <c r="K369" s="12">
        <f t="shared" si="106"/>
        <v>0</v>
      </c>
      <c r="M369" s="10">
        <v>28</v>
      </c>
      <c r="N369" s="30">
        <v>45941</v>
      </c>
      <c r="O369" s="31">
        <f t="shared" si="112"/>
        <v>7034</v>
      </c>
      <c r="P369" s="47">
        <f>1878+28.5</f>
        <v>1906.5</v>
      </c>
      <c r="Q369" s="31"/>
      <c r="R369" s="31"/>
      <c r="S369" s="32">
        <f t="shared" si="107"/>
        <v>1906.5</v>
      </c>
      <c r="T369" s="10"/>
      <c r="U369" s="10"/>
      <c r="V369" s="10"/>
      <c r="W369" s="12">
        <f t="shared" si="108"/>
        <v>1906.5</v>
      </c>
      <c r="Y369" s="10">
        <v>28</v>
      </c>
      <c r="Z369" s="30"/>
      <c r="AA369" s="31"/>
      <c r="AB369" s="47"/>
      <c r="AC369" s="31"/>
      <c r="AD369" s="31"/>
      <c r="AE369" s="32">
        <f t="shared" si="114"/>
        <v>0</v>
      </c>
      <c r="AF369" s="10"/>
      <c r="AG369" s="10"/>
      <c r="AH369" s="10"/>
      <c r="AI369" s="12">
        <f t="shared" si="110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91"/>
      <c r="D370" s="32"/>
      <c r="E370" s="32"/>
      <c r="F370" s="32"/>
      <c r="G370" s="32">
        <f t="shared" si="105"/>
        <v>0</v>
      </c>
      <c r="H370" s="10"/>
      <c r="I370" s="10"/>
      <c r="J370" s="10"/>
      <c r="K370" s="12">
        <f t="shared" si="106"/>
        <v>0</v>
      </c>
      <c r="M370" s="10">
        <v>29</v>
      </c>
      <c r="N370" s="30">
        <v>45941</v>
      </c>
      <c r="O370" s="31">
        <f t="shared" si="112"/>
        <v>7035</v>
      </c>
      <c r="P370" s="47">
        <f>3130+832+47.5</f>
        <v>4009.5</v>
      </c>
      <c r="Q370" s="31"/>
      <c r="R370" s="31"/>
      <c r="S370" s="32">
        <f t="shared" si="107"/>
        <v>4009.5</v>
      </c>
      <c r="T370" s="10"/>
      <c r="U370" s="10"/>
      <c r="V370" s="10"/>
      <c r="W370" s="12">
        <f t="shared" si="108"/>
        <v>4009.5</v>
      </c>
      <c r="Y370" s="10">
        <v>29</v>
      </c>
      <c r="Z370" s="30"/>
      <c r="AA370" s="31"/>
      <c r="AB370" s="47"/>
      <c r="AC370" s="31"/>
      <c r="AD370" s="31"/>
      <c r="AE370" s="32">
        <f t="shared" si="114"/>
        <v>0</v>
      </c>
      <c r="AF370" s="10"/>
      <c r="AG370" s="10"/>
      <c r="AH370" s="10"/>
      <c r="AI370" s="12">
        <f t="shared" si="110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91"/>
      <c r="D371" s="32"/>
      <c r="E371" s="32"/>
      <c r="F371" s="32"/>
      <c r="G371" s="32">
        <f t="shared" si="105"/>
        <v>0</v>
      </c>
      <c r="H371" s="10"/>
      <c r="I371" s="10"/>
      <c r="J371" s="10"/>
      <c r="K371" s="12">
        <f t="shared" si="106"/>
        <v>0</v>
      </c>
      <c r="M371" s="10">
        <v>30</v>
      </c>
      <c r="N371" s="30">
        <v>45941</v>
      </c>
      <c r="O371" s="31">
        <f t="shared" si="112"/>
        <v>7036</v>
      </c>
      <c r="P371" s="47">
        <f>2504+38</f>
        <v>2542</v>
      </c>
      <c r="Q371" s="31"/>
      <c r="R371" s="31"/>
      <c r="S371" s="32">
        <f t="shared" si="107"/>
        <v>2542</v>
      </c>
      <c r="T371" s="10"/>
      <c r="U371" s="10"/>
      <c r="V371" s="10"/>
      <c r="W371" s="12">
        <f t="shared" si="108"/>
        <v>2542</v>
      </c>
      <c r="Y371" s="10">
        <v>30</v>
      </c>
      <c r="Z371" s="30"/>
      <c r="AA371" s="31"/>
      <c r="AB371" s="47"/>
      <c r="AC371" s="31"/>
      <c r="AD371" s="31"/>
      <c r="AE371" s="32">
        <f t="shared" si="114"/>
        <v>0</v>
      </c>
      <c r="AF371" s="10"/>
      <c r="AG371" s="10"/>
      <c r="AH371" s="10"/>
      <c r="AI371" s="12">
        <f t="shared" si="110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91"/>
      <c r="D372" s="32"/>
      <c r="E372" s="32"/>
      <c r="F372" s="32"/>
      <c r="G372" s="32">
        <f t="shared" si="105"/>
        <v>0</v>
      </c>
      <c r="H372" s="10"/>
      <c r="I372" s="10"/>
      <c r="J372" s="10"/>
      <c r="K372" s="12">
        <f t="shared" si="106"/>
        <v>0</v>
      </c>
      <c r="M372" s="10">
        <v>31</v>
      </c>
      <c r="N372" s="30">
        <v>45941</v>
      </c>
      <c r="O372" s="31">
        <f t="shared" si="112"/>
        <v>7037</v>
      </c>
      <c r="P372" s="47">
        <f>2504+614+38</f>
        <v>3156</v>
      </c>
      <c r="Q372" s="31"/>
      <c r="R372" s="31"/>
      <c r="S372" s="32">
        <f t="shared" si="107"/>
        <v>3156</v>
      </c>
      <c r="T372" s="10"/>
      <c r="U372" s="10"/>
      <c r="V372" s="10"/>
      <c r="W372" s="12">
        <f t="shared" si="108"/>
        <v>3156</v>
      </c>
      <c r="Y372" s="10">
        <v>31</v>
      </c>
      <c r="Z372" s="30"/>
      <c r="AA372" s="31"/>
      <c r="AB372" s="47"/>
      <c r="AC372" s="31"/>
      <c r="AD372" s="31"/>
      <c r="AE372" s="32">
        <f t="shared" si="114"/>
        <v>0</v>
      </c>
      <c r="AF372" s="10"/>
      <c r="AG372" s="10"/>
      <c r="AH372" s="10"/>
      <c r="AI372" s="12">
        <f t="shared" si="110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91"/>
      <c r="D373" s="32"/>
      <c r="E373" s="32"/>
      <c r="F373" s="32"/>
      <c r="G373" s="32">
        <f t="shared" si="105"/>
        <v>0</v>
      </c>
      <c r="H373" s="10"/>
      <c r="I373" s="10"/>
      <c r="J373" s="10"/>
      <c r="K373" s="12">
        <f t="shared" si="106"/>
        <v>0</v>
      </c>
      <c r="M373" s="10">
        <v>32</v>
      </c>
      <c r="N373" s="30">
        <v>45941</v>
      </c>
      <c r="O373" s="31">
        <f t="shared" si="112"/>
        <v>7038</v>
      </c>
      <c r="P373" s="47">
        <f>1252+596+28.5</f>
        <v>1876.5</v>
      </c>
      <c r="Q373" s="31"/>
      <c r="R373" s="31"/>
      <c r="S373" s="32">
        <f t="shared" si="107"/>
        <v>1876.5</v>
      </c>
      <c r="T373" s="10"/>
      <c r="U373" s="10"/>
      <c r="V373" s="10"/>
      <c r="W373" s="12">
        <f t="shared" si="108"/>
        <v>1876.5</v>
      </c>
      <c r="Y373" s="10">
        <v>32</v>
      </c>
      <c r="Z373" s="30"/>
      <c r="AA373" s="31"/>
      <c r="AB373" s="47"/>
      <c r="AC373" s="31"/>
      <c r="AD373" s="31"/>
      <c r="AE373" s="32">
        <f t="shared" si="114"/>
        <v>0</v>
      </c>
      <c r="AF373" s="10"/>
      <c r="AG373" s="10"/>
      <c r="AH373" s="10"/>
      <c r="AI373" s="12">
        <f t="shared" si="110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91"/>
      <c r="D374" s="32"/>
      <c r="E374" s="32"/>
      <c r="F374" s="32"/>
      <c r="G374" s="32">
        <f t="shared" si="105"/>
        <v>0</v>
      </c>
      <c r="H374" s="10"/>
      <c r="I374" s="10"/>
      <c r="J374" s="10"/>
      <c r="K374" s="12">
        <f t="shared" si="106"/>
        <v>0</v>
      </c>
      <c r="M374" s="10">
        <v>33</v>
      </c>
      <c r="N374" s="30">
        <v>45941</v>
      </c>
      <c r="O374" s="31">
        <f t="shared" si="112"/>
        <v>7039</v>
      </c>
      <c r="P374" s="47">
        <f>1788+28.5</f>
        <v>1816.5</v>
      </c>
      <c r="Q374" s="31"/>
      <c r="R374" s="31"/>
      <c r="S374" s="32">
        <f t="shared" si="107"/>
        <v>1816.5</v>
      </c>
      <c r="T374" s="10"/>
      <c r="U374" s="10"/>
      <c r="V374" s="10"/>
      <c r="W374" s="12">
        <f t="shared" si="108"/>
        <v>1816.5</v>
      </c>
      <c r="Y374" s="10">
        <v>33</v>
      </c>
      <c r="Z374" s="30"/>
      <c r="AA374" s="31"/>
      <c r="AB374" s="47"/>
      <c r="AC374" s="31"/>
      <c r="AD374" s="31"/>
      <c r="AE374" s="32">
        <f t="shared" si="114"/>
        <v>0</v>
      </c>
      <c r="AF374" s="10"/>
      <c r="AG374" s="10"/>
      <c r="AH374" s="10"/>
      <c r="AI374" s="12">
        <f t="shared" si="110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91"/>
      <c r="D375" s="32"/>
      <c r="E375" s="32"/>
      <c r="F375" s="32"/>
      <c r="G375" s="32">
        <f t="shared" si="105"/>
        <v>0</v>
      </c>
      <c r="H375" s="10"/>
      <c r="I375" s="10"/>
      <c r="J375" s="10"/>
      <c r="K375" s="12">
        <f t="shared" si="106"/>
        <v>0</v>
      </c>
      <c r="M375" s="10">
        <v>34</v>
      </c>
      <c r="N375" s="30"/>
      <c r="O375" s="11" t="s">
        <v>27</v>
      </c>
      <c r="P375" s="47"/>
      <c r="Q375" s="31"/>
      <c r="R375" s="31"/>
      <c r="S375" s="32">
        <f t="shared" ref="S375:S380" si="115">SUM(P375:Q375)</f>
        <v>0</v>
      </c>
      <c r="T375" s="10"/>
      <c r="U375" s="10"/>
      <c r="V375" s="10"/>
      <c r="W375" s="12">
        <f t="shared" si="108"/>
        <v>0</v>
      </c>
      <c r="Y375" s="10">
        <v>34</v>
      </c>
      <c r="Z375" s="30"/>
      <c r="AB375" s="47"/>
      <c r="AC375" s="31"/>
      <c r="AD375" s="31"/>
      <c r="AE375" s="32">
        <f t="shared" si="114"/>
        <v>0</v>
      </c>
      <c r="AF375" s="10"/>
      <c r="AG375" s="10"/>
      <c r="AH375" s="10"/>
      <c r="AI375" s="12">
        <f t="shared" ref="AI375:AI383" si="116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3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5"/>
        <v>0</v>
      </c>
      <c r="T376" s="10"/>
      <c r="U376" s="10"/>
      <c r="V376" s="10"/>
      <c r="W376" s="12">
        <f t="shared" si="108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4"/>
        <v>0</v>
      </c>
      <c r="AF376" s="10"/>
      <c r="AG376" s="10"/>
      <c r="AH376" s="10"/>
      <c r="AI376" s="12">
        <f t="shared" si="116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3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5"/>
        <v>0</v>
      </c>
      <c r="T377" s="10"/>
      <c r="U377" s="10"/>
      <c r="V377" s="10"/>
      <c r="W377" s="12">
        <f t="shared" si="108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4"/>
        <v>0</v>
      </c>
      <c r="AF377" s="10"/>
      <c r="AG377" s="10"/>
      <c r="AH377" s="10"/>
      <c r="AI377" s="12">
        <f t="shared" si="116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5"/>
        <v>0</v>
      </c>
      <c r="T378" s="10"/>
      <c r="U378" s="10"/>
      <c r="V378" s="10"/>
      <c r="W378" s="12">
        <f t="shared" si="108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4"/>
        <v>0</v>
      </c>
      <c r="AF378" s="10"/>
      <c r="AG378" s="10"/>
      <c r="AH378" s="10"/>
      <c r="AI378" s="12">
        <f t="shared" si="116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5"/>
        <v>0</v>
      </c>
      <c r="T379" s="10"/>
      <c r="U379" s="10"/>
      <c r="V379" s="10"/>
      <c r="W379" s="12">
        <f t="shared" si="108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4"/>
        <v>0</v>
      </c>
      <c r="AF379" s="10"/>
      <c r="AG379" s="10"/>
      <c r="AH379" s="10"/>
      <c r="AI379" s="12">
        <f t="shared" si="116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5"/>
        <v>0</v>
      </c>
      <c r="T380" s="10"/>
      <c r="U380" s="10"/>
      <c r="V380" s="10"/>
      <c r="W380" s="12">
        <f t="shared" si="108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4"/>
        <v>0</v>
      </c>
      <c r="AF380" s="10"/>
      <c r="AG380" s="10"/>
      <c r="AH380" s="10"/>
      <c r="AI380" s="12">
        <f t="shared" si="116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08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6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7">SUM(D382:E382)</f>
        <v>0</v>
      </c>
      <c r="H382" s="10"/>
      <c r="I382" s="10"/>
      <c r="J382" s="10"/>
      <c r="K382" s="12">
        <f t="shared" ref="K382" si="118">SUM(G382:J382)</f>
        <v>0</v>
      </c>
      <c r="M382" s="10"/>
      <c r="N382" s="30"/>
      <c r="O382" s="31"/>
      <c r="P382" s="47"/>
      <c r="Q382" s="31"/>
      <c r="R382" s="31"/>
      <c r="S382" s="32">
        <f t="shared" ref="S382" si="119">SUM(P382:Q382)</f>
        <v>0</v>
      </c>
      <c r="T382" s="10"/>
      <c r="U382" s="10"/>
      <c r="V382" s="10"/>
      <c r="W382" s="12">
        <f t="shared" si="108"/>
        <v>0</v>
      </c>
      <c r="Y382" s="10"/>
      <c r="Z382" s="30"/>
      <c r="AA382" s="31"/>
      <c r="AB382" s="47"/>
      <c r="AC382" s="31"/>
      <c r="AD382" s="31"/>
      <c r="AE382" s="32">
        <f t="shared" ref="AE382" si="120">SUM(AB382:AC382)</f>
        <v>0</v>
      </c>
      <c r="AF382" s="10"/>
      <c r="AG382" s="10"/>
      <c r="AH382" s="10"/>
      <c r="AI382" s="12">
        <f t="shared" si="116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08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6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80920</v>
      </c>
      <c r="E385" s="38">
        <f t="shared" ref="E385:F385" si="121">SUM(E342:E382)</f>
        <v>0</v>
      </c>
      <c r="F385" s="38">
        <f t="shared" si="121"/>
        <v>0</v>
      </c>
      <c r="G385" s="38">
        <f>SUM(G342:G384)</f>
        <v>80920</v>
      </c>
      <c r="H385" s="4"/>
      <c r="I385" s="39">
        <f>SUM(I342:I384)</f>
        <v>516</v>
      </c>
      <c r="J385" s="39">
        <f>SUM(J342:J384)</f>
        <v>0</v>
      </c>
      <c r="K385" s="40">
        <f>SUM(K342:K384)</f>
        <v>81436</v>
      </c>
      <c r="N385" s="57"/>
      <c r="O385" s="57"/>
      <c r="P385" s="38">
        <f>SUM(P342:P384)</f>
        <v>128949.5</v>
      </c>
      <c r="Q385" s="38">
        <f>SUM(Q342:Q366)</f>
        <v>0</v>
      </c>
      <c r="R385" s="38">
        <f>SUM(R342:R366)</f>
        <v>0</v>
      </c>
      <c r="S385" s="38">
        <f>SUM(S342:S384)</f>
        <v>128949.5</v>
      </c>
      <c r="T385" s="4"/>
      <c r="U385" s="41">
        <f>SUM(U342:U384)</f>
        <v>157.5</v>
      </c>
      <c r="V385" s="41">
        <f>SUM(V342:V366)</f>
        <v>-111</v>
      </c>
      <c r="W385" s="42">
        <f>SUM(W342:W384)</f>
        <v>128996</v>
      </c>
      <c r="Z385" s="57"/>
      <c r="AA385" s="57"/>
      <c r="AB385" s="38">
        <f>SUM(AB342:AB384)</f>
        <v>220378.5</v>
      </c>
      <c r="AC385" s="38">
        <f>SUM(AC342:AC366)</f>
        <v>-1248</v>
      </c>
      <c r="AD385" s="38">
        <f>SUM(AD342:AD366)</f>
        <v>0</v>
      </c>
      <c r="AE385" s="38">
        <f>SUM(AE342:AE384)</f>
        <v>219130.5</v>
      </c>
      <c r="AF385" s="4"/>
      <c r="AG385" s="41">
        <f>SUM(AG342:AG384)</f>
        <v>756</v>
      </c>
      <c r="AH385" s="41">
        <f>SUM(AH342:AH366)</f>
        <v>-5772</v>
      </c>
      <c r="AI385" s="42">
        <f>SUM(AI342:AI384)</f>
        <v>214114.5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40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40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40</v>
      </c>
      <c r="Z392" s="57"/>
      <c r="AA392" s="57"/>
      <c r="AB392" s="57"/>
      <c r="AC392" s="57"/>
      <c r="AD392" s="57"/>
      <c r="AE392" s="57"/>
      <c r="AG392" s="57" t="s">
        <v>15</v>
      </c>
      <c r="AH392" s="19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60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60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42</v>
      </c>
      <c r="W393" s="24"/>
      <c r="Y393" s="21" t="s">
        <v>60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1" t="s">
        <v>17</v>
      </c>
      <c r="E395" s="111"/>
      <c r="F395" s="98"/>
      <c r="G395" s="27"/>
      <c r="I395" s="109" t="s">
        <v>18</v>
      </c>
      <c r="J395" s="110"/>
      <c r="K395" s="107" t="s">
        <v>19</v>
      </c>
      <c r="N395" s="25"/>
      <c r="O395" s="26"/>
      <c r="P395" s="111" t="s">
        <v>17</v>
      </c>
      <c r="Q395" s="111"/>
      <c r="R395" s="98"/>
      <c r="S395" s="27"/>
      <c r="U395" s="109" t="s">
        <v>18</v>
      </c>
      <c r="V395" s="110"/>
      <c r="W395" s="107" t="s">
        <v>19</v>
      </c>
      <c r="Z395" s="25"/>
      <c r="AA395" s="26"/>
      <c r="AB395" s="111" t="s">
        <v>17</v>
      </c>
      <c r="AC395" s="111"/>
      <c r="AD395" s="98"/>
      <c r="AE395" s="27"/>
      <c r="AG395" s="109" t="s">
        <v>18</v>
      </c>
      <c r="AH395" s="110"/>
      <c r="AI395" s="107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08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08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08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45972</v>
      </c>
      <c r="C397" s="91">
        <v>6988</v>
      </c>
      <c r="D397" s="32">
        <f>626+596+19</f>
        <v>1241</v>
      </c>
      <c r="E397" s="32"/>
      <c r="F397" s="32"/>
      <c r="G397" s="32">
        <f t="shared" ref="G397:G430" si="122">SUM(D397:E397)</f>
        <v>1241</v>
      </c>
      <c r="H397" s="12"/>
      <c r="I397" s="12"/>
      <c r="J397" s="12"/>
      <c r="K397" s="12">
        <f t="shared" ref="K397:K430" si="123">SUM(G397:J397)</f>
        <v>1241</v>
      </c>
      <c r="M397" s="10">
        <v>1</v>
      </c>
      <c r="N397" s="30">
        <v>45972</v>
      </c>
      <c r="O397" s="31">
        <v>7041</v>
      </c>
      <c r="P397" s="32">
        <f>626*539+596*50+5619.5</f>
        <v>372833.5</v>
      </c>
      <c r="Q397" s="32">
        <v>-5517</v>
      </c>
      <c r="R397" s="32"/>
      <c r="S397" s="32">
        <f>SUM(P397:Q397)</f>
        <v>367316.5</v>
      </c>
      <c r="T397" s="12"/>
      <c r="U397" s="12">
        <f>1716+5550</f>
        <v>7266</v>
      </c>
      <c r="V397" s="12">
        <f>-240+-420+-420</f>
        <v>-1080</v>
      </c>
      <c r="W397" s="12">
        <f>SUM(S397:V397)</f>
        <v>373502.5</v>
      </c>
      <c r="Y397" s="10">
        <v>1</v>
      </c>
      <c r="Z397" s="30">
        <v>45972</v>
      </c>
      <c r="AA397" s="31">
        <v>7105</v>
      </c>
      <c r="AB397" s="32">
        <f>1878+1192+47.5</f>
        <v>3117.5</v>
      </c>
      <c r="AC397" s="32"/>
      <c r="AD397" s="32"/>
      <c r="AE397" s="32">
        <f>SUM(AB397:AC397)</f>
        <v>3117.5</v>
      </c>
      <c r="AF397" s="12"/>
      <c r="AG397" s="12"/>
      <c r="AH397" s="12"/>
      <c r="AI397" s="12">
        <f>SUM(AE397:AH397)</f>
        <v>3117.5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45972</v>
      </c>
      <c r="C398" s="91">
        <f>C397+1</f>
        <v>6989</v>
      </c>
      <c r="D398" s="32">
        <f>3756+614</f>
        <v>4370</v>
      </c>
      <c r="E398" s="32"/>
      <c r="F398" s="32"/>
      <c r="G398" s="32">
        <f t="shared" si="122"/>
        <v>4370</v>
      </c>
      <c r="H398" s="12"/>
      <c r="I398" s="12"/>
      <c r="J398" s="12"/>
      <c r="K398" s="12">
        <f t="shared" si="123"/>
        <v>4370</v>
      </c>
      <c r="M398" s="10">
        <v>2</v>
      </c>
      <c r="N398" s="30"/>
      <c r="O398" s="11" t="s">
        <v>27</v>
      </c>
      <c r="P398" s="32"/>
      <c r="Q398" s="32"/>
      <c r="R398" s="32"/>
      <c r="S398" s="32">
        <f t="shared" ref="S398:S429" si="124">SUM(P398:Q398)</f>
        <v>0</v>
      </c>
      <c r="T398" s="12"/>
      <c r="U398" s="12"/>
      <c r="V398" s="12"/>
      <c r="W398" s="12">
        <f t="shared" ref="W398:W438" si="125">SUM(S398:V398)</f>
        <v>0</v>
      </c>
      <c r="Y398" s="10">
        <v>2</v>
      </c>
      <c r="Z398" s="30">
        <v>45972</v>
      </c>
      <c r="AA398" s="31">
        <f>AA397+1</f>
        <v>7106</v>
      </c>
      <c r="AB398" s="32">
        <f>626*17+614+596*5+229</f>
        <v>14465</v>
      </c>
      <c r="AC398" s="32"/>
      <c r="AD398" s="32"/>
      <c r="AE398" s="32">
        <f t="shared" ref="AE398:AE435" si="126">SUM(AB398:AC398)</f>
        <v>14465</v>
      </c>
      <c r="AF398" s="12"/>
      <c r="AG398" s="12">
        <f>19.5+126</f>
        <v>145.5</v>
      </c>
      <c r="AH398" s="12"/>
      <c r="AI398" s="12">
        <f t="shared" ref="AI398:AI438" si="127">SUM(AE398:AH398)</f>
        <v>14610.5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45972</v>
      </c>
      <c r="C399" s="91">
        <f t="shared" ref="C399:C418" si="128">C398+1</f>
        <v>6990</v>
      </c>
      <c r="D399" s="33">
        <f>3756+614</f>
        <v>4370</v>
      </c>
      <c r="E399" s="33"/>
      <c r="F399" s="33"/>
      <c r="G399" s="33">
        <f t="shared" si="122"/>
        <v>4370</v>
      </c>
      <c r="H399" s="34"/>
      <c r="I399" s="34"/>
      <c r="J399" s="34"/>
      <c r="K399" s="34">
        <f t="shared" si="123"/>
        <v>4370</v>
      </c>
      <c r="M399" s="10">
        <v>3</v>
      </c>
      <c r="N399" s="30"/>
      <c r="O399" s="31"/>
      <c r="P399" s="32"/>
      <c r="Q399" s="32"/>
      <c r="R399" s="32"/>
      <c r="S399" s="32">
        <f t="shared" si="124"/>
        <v>0</v>
      </c>
      <c r="T399" s="12"/>
      <c r="U399" s="12"/>
      <c r="V399" s="12"/>
      <c r="W399" s="12">
        <f t="shared" si="125"/>
        <v>0</v>
      </c>
      <c r="Y399" s="10">
        <v>3</v>
      </c>
      <c r="Z399" s="30">
        <v>45972</v>
      </c>
      <c r="AA399" s="31">
        <f t="shared" ref="AA399:AA401" si="129">AA398+1</f>
        <v>7107</v>
      </c>
      <c r="AB399" s="33">
        <f>87640+596*14+1374</f>
        <v>97358</v>
      </c>
      <c r="AC399" s="33">
        <v>-960</v>
      </c>
      <c r="AD399" s="32"/>
      <c r="AE399" s="32">
        <f t="shared" si="126"/>
        <v>96398</v>
      </c>
      <c r="AF399" s="12"/>
      <c r="AG399" s="12">
        <v>11988</v>
      </c>
      <c r="AH399" s="12"/>
      <c r="AI399" s="12">
        <f t="shared" si="127"/>
        <v>108386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45972</v>
      </c>
      <c r="C400" s="91">
        <f t="shared" si="128"/>
        <v>6991</v>
      </c>
      <c r="D400" s="32">
        <f>626*9+674+95</f>
        <v>6403</v>
      </c>
      <c r="E400" s="32"/>
      <c r="F400" s="32"/>
      <c r="G400" s="32">
        <f t="shared" si="122"/>
        <v>6403</v>
      </c>
      <c r="H400" s="12"/>
      <c r="I400" s="12"/>
      <c r="J400" s="12"/>
      <c r="K400" s="12">
        <f t="shared" si="123"/>
        <v>6403</v>
      </c>
      <c r="M400" s="10">
        <v>4</v>
      </c>
      <c r="N400" s="30"/>
      <c r="O400" s="31"/>
      <c r="P400" s="32"/>
      <c r="Q400" s="32"/>
      <c r="R400" s="32"/>
      <c r="S400" s="32">
        <f t="shared" si="124"/>
        <v>0</v>
      </c>
      <c r="T400" s="12"/>
      <c r="U400" s="12"/>
      <c r="V400" s="12"/>
      <c r="W400" s="12">
        <f t="shared" si="125"/>
        <v>0</v>
      </c>
      <c r="Y400" s="10">
        <v>4</v>
      </c>
      <c r="Z400" s="30">
        <v>45972</v>
      </c>
      <c r="AA400" s="31">
        <f t="shared" si="129"/>
        <v>7108</v>
      </c>
      <c r="AB400" s="32">
        <f>31300+614*10+596*5+229*2</f>
        <v>40878</v>
      </c>
      <c r="AC400" s="32">
        <v>-402</v>
      </c>
      <c r="AD400" s="32"/>
      <c r="AE400" s="32">
        <f t="shared" si="126"/>
        <v>40476</v>
      </c>
      <c r="AF400" s="12"/>
      <c r="AH400" s="12"/>
      <c r="AI400" s="12">
        <f t="shared" si="127"/>
        <v>40476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45972</v>
      </c>
      <c r="C401" s="91">
        <f t="shared" si="128"/>
        <v>6992</v>
      </c>
      <c r="D401" s="32">
        <f>4382+66.5</f>
        <v>4448.5</v>
      </c>
      <c r="E401" s="32"/>
      <c r="F401" s="32"/>
      <c r="G401" s="32">
        <f t="shared" si="122"/>
        <v>4448.5</v>
      </c>
      <c r="H401" s="12"/>
      <c r="I401" s="12"/>
      <c r="J401" s="12"/>
      <c r="K401" s="12">
        <f t="shared" si="123"/>
        <v>4448.5</v>
      </c>
      <c r="M401" s="10">
        <v>5</v>
      </c>
      <c r="N401" s="30"/>
      <c r="O401" s="31"/>
      <c r="P401" s="32"/>
      <c r="Q401" s="32"/>
      <c r="R401" s="32"/>
      <c r="S401" s="32">
        <f t="shared" si="124"/>
        <v>0</v>
      </c>
      <c r="T401" s="12"/>
      <c r="U401" s="12"/>
      <c r="V401" s="12"/>
      <c r="W401" s="12">
        <f t="shared" si="125"/>
        <v>0</v>
      </c>
      <c r="Y401" s="10">
        <v>5</v>
      </c>
      <c r="Z401" s="30">
        <v>45972</v>
      </c>
      <c r="AA401" s="31">
        <f t="shared" si="129"/>
        <v>7109</v>
      </c>
      <c r="AB401" s="32">
        <f>21910+3070+2980+458</f>
        <v>28418</v>
      </c>
      <c r="AC401" s="32">
        <v>-282</v>
      </c>
      <c r="AD401" s="32"/>
      <c r="AE401" s="32">
        <f t="shared" si="126"/>
        <v>28136</v>
      </c>
      <c r="AF401" s="12"/>
      <c r="AG401" s="12"/>
      <c r="AH401" s="12"/>
      <c r="AI401" s="12">
        <f t="shared" si="127"/>
        <v>28136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45972</v>
      </c>
      <c r="C402" s="91">
        <f t="shared" si="128"/>
        <v>6993</v>
      </c>
      <c r="D402" s="32">
        <f>1252+19</f>
        <v>1271</v>
      </c>
      <c r="E402" s="32"/>
      <c r="F402" s="32"/>
      <c r="G402" s="32">
        <f t="shared" si="122"/>
        <v>1271</v>
      </c>
      <c r="H402" s="12"/>
      <c r="I402" s="12"/>
      <c r="J402" s="12"/>
      <c r="K402" s="12">
        <f t="shared" si="123"/>
        <v>1271</v>
      </c>
      <c r="M402" s="10">
        <v>6</v>
      </c>
      <c r="N402" s="30"/>
      <c r="O402" s="31"/>
      <c r="P402" s="32"/>
      <c r="Q402" s="32"/>
      <c r="R402" s="32"/>
      <c r="S402" s="32">
        <f t="shared" si="124"/>
        <v>0</v>
      </c>
      <c r="T402" s="12"/>
      <c r="U402" s="12"/>
      <c r="V402" s="10"/>
      <c r="W402" s="12">
        <f t="shared" si="125"/>
        <v>0</v>
      </c>
      <c r="Y402" s="10">
        <v>6</v>
      </c>
      <c r="Z402" s="30"/>
      <c r="AA402" s="11" t="s">
        <v>27</v>
      </c>
      <c r="AB402" s="32"/>
      <c r="AC402" s="32"/>
      <c r="AD402" s="32"/>
      <c r="AE402" s="32">
        <f t="shared" si="126"/>
        <v>0</v>
      </c>
      <c r="AF402" s="12"/>
      <c r="AG402" s="12"/>
      <c r="AH402" s="10"/>
      <c r="AI402" s="12">
        <f t="shared" si="127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45972</v>
      </c>
      <c r="C403" s="91">
        <f t="shared" si="128"/>
        <v>6994</v>
      </c>
      <c r="D403" s="32">
        <f>31300+229</f>
        <v>31529</v>
      </c>
      <c r="E403" s="32"/>
      <c r="F403" s="32"/>
      <c r="G403" s="32">
        <f t="shared" si="122"/>
        <v>31529</v>
      </c>
      <c r="H403" s="12"/>
      <c r="I403" s="12"/>
      <c r="J403" s="12"/>
      <c r="K403" s="12">
        <f t="shared" si="123"/>
        <v>31529</v>
      </c>
      <c r="M403" s="10">
        <v>7</v>
      </c>
      <c r="N403" s="30"/>
      <c r="O403" s="31"/>
      <c r="P403" s="32"/>
      <c r="Q403" s="32"/>
      <c r="R403" s="32"/>
      <c r="S403" s="32">
        <f t="shared" si="124"/>
        <v>0</v>
      </c>
      <c r="T403" s="12"/>
      <c r="U403" s="12"/>
      <c r="V403" s="12"/>
      <c r="W403" s="12">
        <f t="shared" si="125"/>
        <v>0</v>
      </c>
      <c r="Y403" s="10">
        <v>7</v>
      </c>
      <c r="Z403" s="30"/>
      <c r="AA403" s="31"/>
      <c r="AB403" s="32"/>
      <c r="AC403" s="32"/>
      <c r="AD403" s="32"/>
      <c r="AE403" s="32">
        <f t="shared" si="126"/>
        <v>0</v>
      </c>
      <c r="AF403" s="12"/>
      <c r="AG403" s="58"/>
      <c r="AH403" s="12"/>
      <c r="AI403" s="12">
        <f t="shared" si="127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45972</v>
      </c>
      <c r="C404" s="91">
        <f t="shared" si="128"/>
        <v>6995</v>
      </c>
      <c r="D404" s="32">
        <f>3130+47.5</f>
        <v>3177.5</v>
      </c>
      <c r="E404" s="32"/>
      <c r="F404" s="32"/>
      <c r="G404" s="32">
        <f t="shared" si="122"/>
        <v>3177.5</v>
      </c>
      <c r="H404" s="12"/>
      <c r="I404" s="12"/>
      <c r="J404" s="12"/>
      <c r="K404" s="12">
        <f t="shared" si="123"/>
        <v>3177.5</v>
      </c>
      <c r="M404" s="10">
        <v>8</v>
      </c>
      <c r="N404" s="30"/>
      <c r="O404" s="31"/>
      <c r="P404" s="32"/>
      <c r="Q404" s="32"/>
      <c r="R404" s="32"/>
      <c r="S404" s="32">
        <f t="shared" si="124"/>
        <v>0</v>
      </c>
      <c r="T404" s="12"/>
      <c r="U404" s="12"/>
      <c r="V404" s="12"/>
      <c r="W404" s="12">
        <f t="shared" si="125"/>
        <v>0</v>
      </c>
      <c r="Y404" s="10">
        <v>8</v>
      </c>
      <c r="Z404" s="30"/>
      <c r="AA404" s="31"/>
      <c r="AB404" s="32"/>
      <c r="AC404" s="32"/>
      <c r="AE404" s="32">
        <f t="shared" si="126"/>
        <v>0</v>
      </c>
      <c r="AF404" s="12"/>
      <c r="AG404" s="12"/>
      <c r="AH404" s="12"/>
      <c r="AI404" s="12">
        <f t="shared" si="127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45972</v>
      </c>
      <c r="C405" s="91">
        <f t="shared" si="128"/>
        <v>6996</v>
      </c>
      <c r="D405" s="32">
        <f>1878+596+38</f>
        <v>2512</v>
      </c>
      <c r="E405" s="32"/>
      <c r="F405" s="32"/>
      <c r="G405" s="32">
        <f t="shared" si="122"/>
        <v>2512</v>
      </c>
      <c r="H405" s="12"/>
      <c r="I405" s="12"/>
      <c r="J405" s="12"/>
      <c r="K405" s="12">
        <f t="shared" si="123"/>
        <v>2512</v>
      </c>
      <c r="M405" s="10">
        <v>9</v>
      </c>
      <c r="N405" s="30"/>
      <c r="O405" s="31"/>
      <c r="P405" s="32"/>
      <c r="Q405" s="32"/>
      <c r="R405" s="32"/>
      <c r="S405" s="32">
        <f t="shared" si="124"/>
        <v>0</v>
      </c>
      <c r="T405" s="12"/>
      <c r="U405" s="12"/>
      <c r="V405" s="12"/>
      <c r="W405" s="12">
        <f t="shared" si="125"/>
        <v>0</v>
      </c>
      <c r="Y405" s="10">
        <v>9</v>
      </c>
      <c r="Z405" s="30"/>
      <c r="AA405" s="31"/>
      <c r="AB405" s="32"/>
      <c r="AC405" s="32"/>
      <c r="AD405" s="32"/>
      <c r="AE405" s="32">
        <f t="shared" si="126"/>
        <v>0</v>
      </c>
      <c r="AF405" s="12"/>
      <c r="AG405" s="58"/>
      <c r="AH405" s="12"/>
      <c r="AI405" s="12">
        <f t="shared" si="127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45972</v>
      </c>
      <c r="C406" s="91">
        <f t="shared" si="128"/>
        <v>6997</v>
      </c>
      <c r="D406" s="32">
        <f>2504+38</f>
        <v>2542</v>
      </c>
      <c r="E406" s="32"/>
      <c r="F406" s="32"/>
      <c r="G406" s="32">
        <f t="shared" si="122"/>
        <v>2542</v>
      </c>
      <c r="H406" s="12"/>
      <c r="I406" s="12"/>
      <c r="J406" s="12"/>
      <c r="K406" s="12">
        <f t="shared" si="123"/>
        <v>2542</v>
      </c>
      <c r="M406" s="10">
        <v>10</v>
      </c>
      <c r="N406" s="30"/>
      <c r="O406" s="31"/>
      <c r="P406" s="32"/>
      <c r="Q406" s="32"/>
      <c r="R406" s="32"/>
      <c r="S406" s="32">
        <f t="shared" si="124"/>
        <v>0</v>
      </c>
      <c r="T406" s="12"/>
      <c r="U406" s="12"/>
      <c r="V406" s="12"/>
      <c r="W406" s="12">
        <f t="shared" si="125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26"/>
        <v>0</v>
      </c>
      <c r="AF406" s="12"/>
      <c r="AG406" s="12"/>
      <c r="AH406" s="12"/>
      <c r="AI406" s="12">
        <f t="shared" si="127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45972</v>
      </c>
      <c r="C407" s="91">
        <f t="shared" si="128"/>
        <v>6998</v>
      </c>
      <c r="D407" s="32">
        <f>3130+1788+76</f>
        <v>4994</v>
      </c>
      <c r="E407" s="32"/>
      <c r="F407" s="32"/>
      <c r="G407" s="32">
        <f t="shared" si="122"/>
        <v>4994</v>
      </c>
      <c r="H407" s="12"/>
      <c r="I407" s="12">
        <v>111</v>
      </c>
      <c r="J407" s="12"/>
      <c r="K407" s="12">
        <f t="shared" si="123"/>
        <v>5105</v>
      </c>
      <c r="M407" s="10">
        <v>11</v>
      </c>
      <c r="N407" s="30"/>
      <c r="O407" s="31"/>
      <c r="P407" s="32"/>
      <c r="Q407" s="32"/>
      <c r="R407" s="32"/>
      <c r="S407" s="32">
        <f t="shared" si="124"/>
        <v>0</v>
      </c>
      <c r="T407" s="12"/>
      <c r="U407" s="12"/>
      <c r="V407" s="12"/>
      <c r="W407" s="12">
        <f t="shared" si="125"/>
        <v>0</v>
      </c>
      <c r="Y407" s="10">
        <v>11</v>
      </c>
      <c r="Z407" s="30"/>
      <c r="AB407" s="32"/>
      <c r="AC407" s="32"/>
      <c r="AD407" s="32"/>
      <c r="AE407" s="32">
        <f t="shared" si="126"/>
        <v>0</v>
      </c>
      <c r="AF407" s="12"/>
      <c r="AG407" s="12"/>
      <c r="AH407" s="12"/>
      <c r="AI407" s="12">
        <f t="shared" si="127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45972</v>
      </c>
      <c r="C408" s="91">
        <f t="shared" si="128"/>
        <v>6999</v>
      </c>
      <c r="D408" s="32">
        <f>2504+38</f>
        <v>2542</v>
      </c>
      <c r="E408" s="32"/>
      <c r="F408" s="32"/>
      <c r="G408" s="32">
        <f t="shared" si="122"/>
        <v>2542</v>
      </c>
      <c r="H408" s="12"/>
      <c r="I408" s="12"/>
      <c r="J408" s="10"/>
      <c r="K408" s="12">
        <f t="shared" si="123"/>
        <v>2542</v>
      </c>
      <c r="M408" s="10">
        <v>12</v>
      </c>
      <c r="N408" s="30"/>
      <c r="O408" s="31"/>
      <c r="P408" s="32"/>
      <c r="Q408" s="32"/>
      <c r="R408" s="32"/>
      <c r="S408" s="32">
        <f t="shared" si="124"/>
        <v>0</v>
      </c>
      <c r="T408" s="12"/>
      <c r="U408" s="12"/>
      <c r="V408" s="12"/>
      <c r="W408" s="12">
        <f t="shared" si="125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26"/>
        <v>0</v>
      </c>
      <c r="AF408" s="12"/>
      <c r="AG408" s="12"/>
      <c r="AH408" s="12"/>
      <c r="AI408" s="12">
        <f t="shared" si="127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45972</v>
      </c>
      <c r="C409" s="91">
        <f t="shared" si="128"/>
        <v>7000</v>
      </c>
      <c r="D409" s="32">
        <f>2504+614+38</f>
        <v>3156</v>
      </c>
      <c r="E409" s="32"/>
      <c r="F409" s="32"/>
      <c r="G409" s="32">
        <f t="shared" si="122"/>
        <v>3156</v>
      </c>
      <c r="H409" s="12"/>
      <c r="I409" s="12"/>
      <c r="J409" s="12"/>
      <c r="K409" s="12">
        <f t="shared" si="123"/>
        <v>3156</v>
      </c>
      <c r="M409" s="10">
        <v>13</v>
      </c>
      <c r="N409" s="30"/>
      <c r="O409" s="31"/>
      <c r="P409" s="32"/>
      <c r="Q409" s="32"/>
      <c r="R409" s="32"/>
      <c r="S409" s="32">
        <f t="shared" si="124"/>
        <v>0</v>
      </c>
      <c r="T409" s="12"/>
      <c r="U409" s="12"/>
      <c r="V409" s="12"/>
      <c r="W409" s="12">
        <f t="shared" si="125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26"/>
        <v>0</v>
      </c>
      <c r="AF409" s="12"/>
      <c r="AG409" s="12"/>
      <c r="AH409" s="12"/>
      <c r="AI409" s="12">
        <f t="shared" si="127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45972</v>
      </c>
      <c r="C410" s="91">
        <v>7051</v>
      </c>
      <c r="D410" s="32">
        <f>12520+1192+1005+209</f>
        <v>14926</v>
      </c>
      <c r="E410" s="32"/>
      <c r="F410" s="32"/>
      <c r="G410" s="32">
        <f t="shared" si="122"/>
        <v>14926</v>
      </c>
      <c r="H410" s="12"/>
      <c r="I410" s="12">
        <v>9</v>
      </c>
      <c r="J410" s="12"/>
      <c r="K410" s="12">
        <f t="shared" si="123"/>
        <v>14935</v>
      </c>
      <c r="M410" s="10">
        <v>14</v>
      </c>
      <c r="N410" s="30"/>
      <c r="O410" s="31"/>
      <c r="P410" s="32"/>
      <c r="Q410" s="32"/>
      <c r="R410" s="32"/>
      <c r="S410" s="32">
        <f t="shared" si="124"/>
        <v>0</v>
      </c>
      <c r="T410" s="12"/>
      <c r="U410" s="12"/>
      <c r="V410" s="12"/>
      <c r="W410" s="12">
        <f t="shared" si="125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26"/>
        <v>0</v>
      </c>
      <c r="AF410" s="12"/>
      <c r="AG410" s="12"/>
      <c r="AH410" s="12"/>
      <c r="AI410" s="12">
        <f t="shared" si="127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45972</v>
      </c>
      <c r="C411" s="91">
        <f t="shared" si="128"/>
        <v>7052</v>
      </c>
      <c r="D411" s="32">
        <f>9390+2980</f>
        <v>12370</v>
      </c>
      <c r="E411" s="32"/>
      <c r="F411" s="32"/>
      <c r="G411" s="32">
        <f t="shared" si="122"/>
        <v>12370</v>
      </c>
      <c r="H411" s="12"/>
      <c r="I411" s="12">
        <v>555</v>
      </c>
      <c r="J411" s="12"/>
      <c r="K411" s="12">
        <f t="shared" si="123"/>
        <v>12925</v>
      </c>
      <c r="M411" s="10">
        <v>15</v>
      </c>
      <c r="N411" s="30"/>
      <c r="O411" s="31"/>
      <c r="P411" s="32"/>
      <c r="Q411" s="32"/>
      <c r="R411" s="32"/>
      <c r="S411" s="32">
        <f t="shared" si="124"/>
        <v>0</v>
      </c>
      <c r="T411" s="12"/>
      <c r="U411" s="12"/>
      <c r="V411" s="12"/>
      <c r="W411" s="12">
        <f t="shared" si="125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26"/>
        <v>0</v>
      </c>
      <c r="AF411" s="12"/>
      <c r="AG411" s="12"/>
      <c r="AH411" s="12"/>
      <c r="AI411" s="12">
        <f t="shared" si="127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>
        <v>45972</v>
      </c>
      <c r="C412" s="91">
        <f t="shared" si="128"/>
        <v>7053</v>
      </c>
      <c r="D412" s="32">
        <f>9390+1348+1788</f>
        <v>12526</v>
      </c>
      <c r="E412" s="32"/>
      <c r="F412" s="32"/>
      <c r="G412" s="32">
        <f t="shared" si="122"/>
        <v>12526</v>
      </c>
      <c r="H412" s="12"/>
      <c r="I412" s="12"/>
      <c r="J412" s="12"/>
      <c r="K412" s="12">
        <f t="shared" si="123"/>
        <v>12526</v>
      </c>
      <c r="M412" s="10">
        <v>16</v>
      </c>
      <c r="N412" s="30"/>
      <c r="O412" s="31"/>
      <c r="P412" s="32"/>
      <c r="Q412" s="32"/>
      <c r="R412" s="32"/>
      <c r="S412" s="32">
        <f t="shared" si="124"/>
        <v>0</v>
      </c>
      <c r="T412" s="12"/>
      <c r="U412" s="12"/>
      <c r="V412" s="12"/>
      <c r="W412" s="12">
        <f t="shared" si="125"/>
        <v>0</v>
      </c>
      <c r="Y412" s="10">
        <v>16</v>
      </c>
      <c r="Z412" s="30"/>
      <c r="AA412" s="31"/>
      <c r="AB412" s="32"/>
      <c r="AC412" s="32"/>
      <c r="AD412" s="32"/>
      <c r="AE412" s="32">
        <f t="shared" si="126"/>
        <v>0</v>
      </c>
      <c r="AF412" s="12"/>
      <c r="AG412" s="12"/>
      <c r="AH412" s="12"/>
      <c r="AI412" s="12">
        <f t="shared" si="127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>
        <v>45972</v>
      </c>
      <c r="C413" s="91">
        <f t="shared" si="128"/>
        <v>7054</v>
      </c>
      <c r="D413" s="32">
        <f>32552+4298</f>
        <v>36850</v>
      </c>
      <c r="E413" s="32"/>
      <c r="F413" s="32"/>
      <c r="G413" s="32">
        <f t="shared" si="122"/>
        <v>36850</v>
      </c>
      <c r="H413" s="12"/>
      <c r="I413" s="12">
        <v>27</v>
      </c>
      <c r="J413" s="12"/>
      <c r="K413" s="12">
        <f t="shared" si="123"/>
        <v>36877</v>
      </c>
      <c r="M413" s="10">
        <v>17</v>
      </c>
      <c r="N413" s="30"/>
      <c r="O413" s="31"/>
      <c r="P413" s="35"/>
      <c r="Q413" s="32"/>
      <c r="R413" s="32"/>
      <c r="S413" s="32">
        <f t="shared" si="124"/>
        <v>0</v>
      </c>
      <c r="T413" s="12"/>
      <c r="U413" s="12"/>
      <c r="V413" s="12"/>
      <c r="W413" s="12">
        <f t="shared" si="125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26"/>
        <v>0</v>
      </c>
      <c r="AF413" s="12"/>
      <c r="AG413" s="12"/>
      <c r="AH413" s="12"/>
      <c r="AI413" s="12">
        <f t="shared" si="127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>
        <v>45972</v>
      </c>
      <c r="C414" s="91">
        <f t="shared" si="128"/>
        <v>7055</v>
      </c>
      <c r="D414" s="32">
        <f>8138+614+2384+426+832+1000</f>
        <v>13394</v>
      </c>
      <c r="E414" s="32"/>
      <c r="F414" s="32"/>
      <c r="G414" s="32">
        <f t="shared" si="122"/>
        <v>13394</v>
      </c>
      <c r="H414" s="12"/>
      <c r="I414" s="12"/>
      <c r="J414" s="12"/>
      <c r="K414" s="12">
        <f t="shared" si="123"/>
        <v>13394</v>
      </c>
      <c r="M414" s="10">
        <v>18</v>
      </c>
      <c r="N414" s="30"/>
      <c r="O414" s="31"/>
      <c r="P414" s="32"/>
      <c r="Q414" s="32"/>
      <c r="R414" s="32"/>
      <c r="S414" s="32">
        <f t="shared" si="124"/>
        <v>0</v>
      </c>
      <c r="T414" s="12"/>
      <c r="U414" s="12"/>
      <c r="V414" s="12"/>
      <c r="W414" s="12">
        <f t="shared" si="125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26"/>
        <v>0</v>
      </c>
      <c r="AF414" s="12"/>
      <c r="AG414" s="12"/>
      <c r="AH414" s="12"/>
      <c r="AI414" s="12">
        <f t="shared" si="127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>
        <v>45972</v>
      </c>
      <c r="C415" s="91">
        <f t="shared" si="128"/>
        <v>7056</v>
      </c>
      <c r="D415" s="32">
        <f>23788+1192+1005+832*2+229</f>
        <v>27878</v>
      </c>
      <c r="E415" s="32"/>
      <c r="F415" s="32"/>
      <c r="G415" s="32">
        <f t="shared" si="122"/>
        <v>27878</v>
      </c>
      <c r="H415" s="12"/>
      <c r="I415" s="12"/>
      <c r="J415" s="12"/>
      <c r="K415" s="12">
        <f t="shared" si="123"/>
        <v>27878</v>
      </c>
      <c r="M415" s="10">
        <v>19</v>
      </c>
      <c r="N415" s="30"/>
      <c r="O415" s="31"/>
      <c r="P415" s="32"/>
      <c r="Q415" s="32"/>
      <c r="R415" s="32"/>
      <c r="S415" s="32">
        <f t="shared" si="124"/>
        <v>0</v>
      </c>
      <c r="T415" s="12"/>
      <c r="U415" s="12"/>
      <c r="V415" s="12"/>
      <c r="W415" s="12">
        <f t="shared" si="125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26"/>
        <v>0</v>
      </c>
      <c r="AF415" s="12"/>
      <c r="AG415" s="12"/>
      <c r="AH415" s="12"/>
      <c r="AI415" s="12">
        <f t="shared" si="127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>
        <v>45972</v>
      </c>
      <c r="C416" s="91">
        <f t="shared" si="128"/>
        <v>7057</v>
      </c>
      <c r="D416" s="32">
        <f>1252+19</f>
        <v>1271</v>
      </c>
      <c r="E416" s="32"/>
      <c r="F416" s="32"/>
      <c r="G416" s="32">
        <f t="shared" si="122"/>
        <v>1271</v>
      </c>
      <c r="H416" s="12"/>
      <c r="I416" s="12"/>
      <c r="J416" s="12"/>
      <c r="K416" s="12">
        <f t="shared" si="123"/>
        <v>1271</v>
      </c>
      <c r="M416" s="10">
        <v>20</v>
      </c>
      <c r="N416" s="30"/>
      <c r="O416" s="31"/>
      <c r="P416" s="32"/>
      <c r="Q416" s="32"/>
      <c r="R416" s="32"/>
      <c r="S416" s="32">
        <f t="shared" si="124"/>
        <v>0</v>
      </c>
      <c r="T416" s="12"/>
      <c r="U416" s="12"/>
      <c r="V416" s="12"/>
      <c r="W416" s="12">
        <f t="shared" si="125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26"/>
        <v>0</v>
      </c>
      <c r="AF416" s="12"/>
      <c r="AG416" s="12"/>
      <c r="AH416" s="12"/>
      <c r="AI416" s="12">
        <f t="shared" si="127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>
        <v>45972</v>
      </c>
      <c r="C417" s="91">
        <f t="shared" si="128"/>
        <v>7058</v>
      </c>
      <c r="D417" s="32">
        <f>18780+229</f>
        <v>19009</v>
      </c>
      <c r="E417" s="32"/>
      <c r="F417" s="32"/>
      <c r="G417" s="32">
        <f t="shared" si="122"/>
        <v>19009</v>
      </c>
      <c r="H417" s="10"/>
      <c r="I417" s="10">
        <v>81</v>
      </c>
      <c r="J417" s="10"/>
      <c r="K417" s="12">
        <f t="shared" si="123"/>
        <v>19090</v>
      </c>
      <c r="M417" s="10">
        <v>21</v>
      </c>
      <c r="N417" s="30"/>
      <c r="O417" s="31"/>
      <c r="P417" s="46"/>
      <c r="Q417" s="31"/>
      <c r="R417" s="31"/>
      <c r="S417" s="32">
        <f t="shared" si="124"/>
        <v>0</v>
      </c>
      <c r="T417" s="10"/>
      <c r="U417" s="10"/>
      <c r="V417" s="10"/>
      <c r="W417" s="12">
        <f t="shared" si="125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26"/>
        <v>0</v>
      </c>
      <c r="AF417" s="10"/>
      <c r="AG417" s="10"/>
      <c r="AH417" s="10"/>
      <c r="AI417" s="12">
        <f t="shared" si="127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>
        <v>45972</v>
      </c>
      <c r="C418" s="91">
        <f t="shared" si="128"/>
        <v>7059</v>
      </c>
      <c r="D418" s="32">
        <f>3756</f>
        <v>3756</v>
      </c>
      <c r="E418" s="32"/>
      <c r="F418" s="32"/>
      <c r="G418" s="32">
        <f t="shared" si="122"/>
        <v>3756</v>
      </c>
      <c r="H418" s="10"/>
      <c r="I418" s="10"/>
      <c r="J418" s="10"/>
      <c r="K418" s="12">
        <f t="shared" si="123"/>
        <v>3756</v>
      </c>
      <c r="M418" s="10">
        <v>22</v>
      </c>
      <c r="N418" s="30"/>
      <c r="O418" s="31"/>
      <c r="P418" s="45"/>
      <c r="Q418" s="31"/>
      <c r="R418" s="31"/>
      <c r="S418" s="32">
        <f t="shared" si="124"/>
        <v>0</v>
      </c>
      <c r="T418" s="10"/>
      <c r="U418" s="10"/>
      <c r="V418" s="10"/>
      <c r="W418" s="12">
        <f t="shared" si="125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26"/>
        <v>0</v>
      </c>
      <c r="AF418" s="10"/>
      <c r="AG418" s="10"/>
      <c r="AH418" s="10"/>
      <c r="AI418" s="12">
        <f t="shared" si="127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11" t="s">
        <v>27</v>
      </c>
      <c r="D419" s="32"/>
      <c r="E419" s="32"/>
      <c r="F419" s="32"/>
      <c r="G419" s="32">
        <f t="shared" si="122"/>
        <v>0</v>
      </c>
      <c r="H419" s="10"/>
      <c r="I419" s="10"/>
      <c r="J419" s="12"/>
      <c r="K419" s="12">
        <f t="shared" si="123"/>
        <v>0</v>
      </c>
      <c r="M419" s="10">
        <v>23</v>
      </c>
      <c r="N419" s="30"/>
      <c r="O419" s="31"/>
      <c r="P419" s="47"/>
      <c r="Q419" s="31"/>
      <c r="S419" s="32">
        <f t="shared" si="124"/>
        <v>0</v>
      </c>
      <c r="T419" s="10"/>
      <c r="U419" s="10"/>
      <c r="V419" s="10"/>
      <c r="W419" s="12">
        <f t="shared" si="125"/>
        <v>0</v>
      </c>
      <c r="Y419" s="10">
        <v>23</v>
      </c>
      <c r="Z419" s="30"/>
      <c r="AA419" s="31"/>
      <c r="AB419" s="47"/>
      <c r="AC419" s="31"/>
      <c r="AE419" s="32">
        <f t="shared" si="126"/>
        <v>0</v>
      </c>
      <c r="AF419" s="10"/>
      <c r="AG419" s="10"/>
      <c r="AH419" s="10"/>
      <c r="AI419" s="12">
        <f t="shared" si="127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91"/>
      <c r="D420" s="32"/>
      <c r="E420" s="32"/>
      <c r="F420" s="32"/>
      <c r="G420" s="32">
        <f t="shared" si="122"/>
        <v>0</v>
      </c>
      <c r="H420" s="10"/>
      <c r="I420" s="10"/>
      <c r="J420" s="10"/>
      <c r="K420" s="12">
        <f t="shared" si="123"/>
        <v>0</v>
      </c>
      <c r="M420" s="10">
        <v>24</v>
      </c>
      <c r="N420" s="30"/>
      <c r="O420" s="31"/>
      <c r="P420" s="47"/>
      <c r="Q420" s="31"/>
      <c r="R420" s="31"/>
      <c r="S420" s="32">
        <f t="shared" si="124"/>
        <v>0</v>
      </c>
      <c r="T420" s="10"/>
      <c r="U420" s="10"/>
      <c r="V420" s="10"/>
      <c r="W420" s="12">
        <f t="shared" si="125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26"/>
        <v>0</v>
      </c>
      <c r="AF420" s="10"/>
      <c r="AG420" s="10"/>
      <c r="AH420" s="10"/>
      <c r="AI420" s="12">
        <f t="shared" si="127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91"/>
      <c r="D421" s="32"/>
      <c r="E421" s="32"/>
      <c r="F421" s="32"/>
      <c r="G421" s="32">
        <f t="shared" si="122"/>
        <v>0</v>
      </c>
      <c r="H421" s="10"/>
      <c r="I421" s="10"/>
      <c r="J421" s="10"/>
      <c r="K421" s="12">
        <f t="shared" si="123"/>
        <v>0</v>
      </c>
      <c r="M421" s="10">
        <v>25</v>
      </c>
      <c r="N421" s="30"/>
      <c r="O421" s="31"/>
      <c r="P421" s="47"/>
      <c r="Q421" s="31"/>
      <c r="R421" s="31"/>
      <c r="S421" s="32">
        <f t="shared" si="124"/>
        <v>0</v>
      </c>
      <c r="T421" s="10"/>
      <c r="U421" s="10"/>
      <c r="V421" s="10"/>
      <c r="W421" s="12">
        <f t="shared" si="125"/>
        <v>0</v>
      </c>
      <c r="Y421" s="10">
        <v>25</v>
      </c>
      <c r="Z421" s="30"/>
      <c r="AA421" s="11"/>
      <c r="AB421" s="47"/>
      <c r="AC421" s="31"/>
      <c r="AD421" s="31"/>
      <c r="AE421" s="32">
        <f t="shared" si="126"/>
        <v>0</v>
      </c>
      <c r="AF421" s="10"/>
      <c r="AG421" s="10"/>
      <c r="AH421" s="10"/>
      <c r="AI421" s="12">
        <f t="shared" si="127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91"/>
      <c r="D422" s="32"/>
      <c r="E422" s="32"/>
      <c r="F422" s="32"/>
      <c r="G422" s="32">
        <f t="shared" si="122"/>
        <v>0</v>
      </c>
      <c r="H422" s="10"/>
      <c r="I422" s="10"/>
      <c r="J422" s="10"/>
      <c r="K422" s="12">
        <f t="shared" si="123"/>
        <v>0</v>
      </c>
      <c r="M422" s="10">
        <v>26</v>
      </c>
      <c r="N422" s="30"/>
      <c r="O422" s="31"/>
      <c r="P422" s="47"/>
      <c r="Q422" s="31"/>
      <c r="R422" s="31"/>
      <c r="S422" s="32">
        <f t="shared" si="124"/>
        <v>0</v>
      </c>
      <c r="T422" s="10"/>
      <c r="U422" s="10"/>
      <c r="V422" s="10"/>
      <c r="W422" s="12">
        <f t="shared" si="125"/>
        <v>0</v>
      </c>
      <c r="Y422" s="10">
        <v>26</v>
      </c>
      <c r="Z422" s="30"/>
      <c r="AB422" s="47"/>
      <c r="AC422" s="31"/>
      <c r="AD422" s="31"/>
      <c r="AE422" s="32">
        <f t="shared" si="126"/>
        <v>0</v>
      </c>
      <c r="AF422" s="10"/>
      <c r="AG422" s="10"/>
      <c r="AH422" s="10"/>
      <c r="AI422" s="12">
        <f t="shared" si="127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91"/>
      <c r="D423" s="32"/>
      <c r="E423" s="32"/>
      <c r="F423" s="32"/>
      <c r="G423" s="32">
        <f t="shared" si="122"/>
        <v>0</v>
      </c>
      <c r="H423" s="10"/>
      <c r="I423" s="10"/>
      <c r="J423" s="10"/>
      <c r="K423" s="12">
        <f t="shared" si="123"/>
        <v>0</v>
      </c>
      <c r="M423" s="10">
        <v>27</v>
      </c>
      <c r="N423" s="30"/>
      <c r="O423" s="31"/>
      <c r="P423" s="47"/>
      <c r="Q423" s="31"/>
      <c r="R423" s="31"/>
      <c r="S423" s="32">
        <f t="shared" si="124"/>
        <v>0</v>
      </c>
      <c r="T423" s="10"/>
      <c r="U423" s="10"/>
      <c r="V423" s="10"/>
      <c r="W423" s="12">
        <f t="shared" si="125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26"/>
        <v>0</v>
      </c>
      <c r="AF423" s="10"/>
      <c r="AG423" s="10"/>
      <c r="AH423" s="10"/>
      <c r="AI423" s="12">
        <f t="shared" si="127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91"/>
      <c r="D424" s="32"/>
      <c r="E424" s="32"/>
      <c r="F424" s="32"/>
      <c r="G424" s="32">
        <f t="shared" si="122"/>
        <v>0</v>
      </c>
      <c r="H424" s="10"/>
      <c r="I424" s="10"/>
      <c r="J424" s="10"/>
      <c r="K424" s="12">
        <f t="shared" si="123"/>
        <v>0</v>
      </c>
      <c r="M424" s="10">
        <v>28</v>
      </c>
      <c r="N424" s="30"/>
      <c r="O424" s="31"/>
      <c r="P424" s="47"/>
      <c r="Q424" s="31"/>
      <c r="R424" s="31"/>
      <c r="S424" s="32">
        <f t="shared" si="124"/>
        <v>0</v>
      </c>
      <c r="T424" s="10"/>
      <c r="U424" s="10"/>
      <c r="V424" s="10"/>
      <c r="W424" s="12">
        <f t="shared" si="125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26"/>
        <v>0</v>
      </c>
      <c r="AF424" s="10"/>
      <c r="AG424" s="10"/>
      <c r="AH424" s="10"/>
      <c r="AI424" s="12">
        <f t="shared" si="127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91"/>
      <c r="D425" s="32"/>
      <c r="E425" s="32"/>
      <c r="F425" s="32"/>
      <c r="G425" s="32">
        <f t="shared" si="122"/>
        <v>0</v>
      </c>
      <c r="H425" s="10"/>
      <c r="I425" s="10"/>
      <c r="J425" s="10"/>
      <c r="K425" s="12">
        <f t="shared" si="123"/>
        <v>0</v>
      </c>
      <c r="M425" s="10">
        <v>29</v>
      </c>
      <c r="N425" s="30"/>
      <c r="O425" s="31"/>
      <c r="P425" s="47"/>
      <c r="Q425" s="31"/>
      <c r="R425" s="31"/>
      <c r="S425" s="32">
        <f t="shared" si="124"/>
        <v>0</v>
      </c>
      <c r="T425" s="10"/>
      <c r="U425" s="10"/>
      <c r="V425" s="10"/>
      <c r="W425" s="12">
        <f t="shared" si="125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26"/>
        <v>0</v>
      </c>
      <c r="AF425" s="10"/>
      <c r="AG425" s="10"/>
      <c r="AH425" s="10"/>
      <c r="AI425" s="12">
        <f t="shared" si="127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D426" s="32"/>
      <c r="E426" s="32"/>
      <c r="F426" s="32"/>
      <c r="G426" s="32">
        <f t="shared" si="122"/>
        <v>0</v>
      </c>
      <c r="H426" s="10"/>
      <c r="I426" s="10"/>
      <c r="J426" s="10"/>
      <c r="K426" s="12">
        <f t="shared" si="123"/>
        <v>0</v>
      </c>
      <c r="M426" s="10">
        <v>30</v>
      </c>
      <c r="N426" s="30"/>
      <c r="O426" s="31"/>
      <c r="P426" s="47"/>
      <c r="Q426" s="31"/>
      <c r="R426" s="31"/>
      <c r="S426" s="32">
        <f t="shared" si="124"/>
        <v>0</v>
      </c>
      <c r="T426" s="10"/>
      <c r="U426" s="10"/>
      <c r="V426" s="10"/>
      <c r="W426" s="12">
        <f t="shared" si="125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26"/>
        <v>0</v>
      </c>
      <c r="AF426" s="10"/>
      <c r="AG426" s="10"/>
      <c r="AH426" s="10"/>
      <c r="AI426" s="12">
        <f t="shared" si="127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91"/>
      <c r="D427" s="32"/>
      <c r="E427" s="32"/>
      <c r="F427" s="32"/>
      <c r="G427" s="32">
        <f t="shared" si="122"/>
        <v>0</v>
      </c>
      <c r="H427" s="10"/>
      <c r="I427" s="10"/>
      <c r="J427" s="10"/>
      <c r="K427" s="12">
        <f t="shared" si="123"/>
        <v>0</v>
      </c>
      <c r="M427" s="10">
        <v>31</v>
      </c>
      <c r="N427" s="30"/>
      <c r="O427" s="31"/>
      <c r="P427" s="47"/>
      <c r="Q427" s="31"/>
      <c r="R427" s="31"/>
      <c r="S427" s="32">
        <f t="shared" si="124"/>
        <v>0</v>
      </c>
      <c r="T427" s="10"/>
      <c r="U427" s="10"/>
      <c r="V427" s="10"/>
      <c r="W427" s="12">
        <f t="shared" si="125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26"/>
        <v>0</v>
      </c>
      <c r="AF427" s="10"/>
      <c r="AG427" s="10"/>
      <c r="AH427" s="10"/>
      <c r="AI427" s="12">
        <f t="shared" si="127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91"/>
      <c r="D428" s="32"/>
      <c r="E428" s="32"/>
      <c r="F428" s="32"/>
      <c r="G428" s="32">
        <f t="shared" si="122"/>
        <v>0</v>
      </c>
      <c r="H428" s="10"/>
      <c r="I428" s="10"/>
      <c r="J428" s="10"/>
      <c r="K428" s="12">
        <f t="shared" si="123"/>
        <v>0</v>
      </c>
      <c r="M428" s="10">
        <v>32</v>
      </c>
      <c r="N428" s="30"/>
      <c r="O428" s="31"/>
      <c r="P428" s="47"/>
      <c r="Q428" s="31"/>
      <c r="R428" s="31"/>
      <c r="S428" s="32">
        <f t="shared" si="124"/>
        <v>0</v>
      </c>
      <c r="T428" s="10"/>
      <c r="U428" s="10"/>
      <c r="V428" s="10"/>
      <c r="W428" s="12">
        <f t="shared" si="125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26"/>
        <v>0</v>
      </c>
      <c r="AF428" s="10"/>
      <c r="AG428" s="10"/>
      <c r="AH428" s="10"/>
      <c r="AI428" s="12">
        <f t="shared" si="127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91"/>
      <c r="D429" s="32"/>
      <c r="E429" s="32"/>
      <c r="F429" s="32"/>
      <c r="G429" s="32">
        <f t="shared" si="122"/>
        <v>0</v>
      </c>
      <c r="H429" s="10"/>
      <c r="I429" s="10"/>
      <c r="J429" s="10"/>
      <c r="K429" s="12">
        <f t="shared" si="123"/>
        <v>0</v>
      </c>
      <c r="M429" s="10">
        <v>33</v>
      </c>
      <c r="N429" s="30"/>
      <c r="O429" s="31"/>
      <c r="P429" s="47"/>
      <c r="Q429" s="31"/>
      <c r="R429" s="31"/>
      <c r="S429" s="32">
        <f t="shared" si="124"/>
        <v>0</v>
      </c>
      <c r="T429" s="10"/>
      <c r="U429" s="10"/>
      <c r="V429" s="10"/>
      <c r="W429" s="12">
        <f t="shared" si="125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26"/>
        <v>0</v>
      </c>
      <c r="AF429" s="10"/>
      <c r="AG429" s="10"/>
      <c r="AH429" s="10"/>
      <c r="AI429" s="12">
        <f t="shared" si="127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91"/>
      <c r="D430" s="32"/>
      <c r="E430" s="32"/>
      <c r="F430" s="32"/>
      <c r="G430" s="32">
        <f t="shared" si="122"/>
        <v>0</v>
      </c>
      <c r="H430" s="10"/>
      <c r="I430" s="10"/>
      <c r="J430" s="10"/>
      <c r="K430" s="12">
        <f t="shared" si="123"/>
        <v>0</v>
      </c>
      <c r="M430" s="10">
        <v>34</v>
      </c>
      <c r="N430" s="30"/>
      <c r="P430" s="47"/>
      <c r="Q430" s="31"/>
      <c r="R430" s="31"/>
      <c r="S430" s="32">
        <f t="shared" ref="S430:S435" si="130">SUM(P430:Q430)</f>
        <v>0</v>
      </c>
      <c r="T430" s="10"/>
      <c r="U430" s="10"/>
      <c r="V430" s="10"/>
      <c r="W430" s="12">
        <f t="shared" si="125"/>
        <v>0</v>
      </c>
      <c r="Y430" s="10">
        <v>34</v>
      </c>
      <c r="Z430" s="30"/>
      <c r="AB430" s="47"/>
      <c r="AC430" s="31"/>
      <c r="AD430" s="31"/>
      <c r="AE430" s="32">
        <f t="shared" si="126"/>
        <v>0</v>
      </c>
      <c r="AF430" s="10"/>
      <c r="AG430" s="10"/>
      <c r="AH430" s="10"/>
      <c r="AI430" s="12">
        <f t="shared" si="127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31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30"/>
        <v>0</v>
      </c>
      <c r="T431" s="10"/>
      <c r="U431" s="10"/>
      <c r="V431" s="10"/>
      <c r="W431" s="12">
        <f t="shared" si="125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26"/>
        <v>0</v>
      </c>
      <c r="AF431" s="10"/>
      <c r="AG431" s="10"/>
      <c r="AH431" s="10"/>
      <c r="AI431" s="12">
        <f t="shared" si="127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31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30"/>
        <v>0</v>
      </c>
      <c r="T432" s="10"/>
      <c r="U432" s="10"/>
      <c r="V432" s="10"/>
      <c r="W432" s="12">
        <f t="shared" si="125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26"/>
        <v>0</v>
      </c>
      <c r="AF432" s="10"/>
      <c r="AG432" s="10"/>
      <c r="AH432" s="10"/>
      <c r="AI432" s="12">
        <f t="shared" si="127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30"/>
        <v>0</v>
      </c>
      <c r="T433" s="10"/>
      <c r="U433" s="10"/>
      <c r="V433" s="10"/>
      <c r="W433" s="12">
        <f t="shared" si="125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26"/>
        <v>0</v>
      </c>
      <c r="AF433" s="10"/>
      <c r="AG433" s="10"/>
      <c r="AH433" s="10"/>
      <c r="AI433" s="12">
        <f t="shared" si="127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30"/>
        <v>0</v>
      </c>
      <c r="T434" s="10"/>
      <c r="U434" s="10"/>
      <c r="V434" s="10"/>
      <c r="W434" s="12">
        <f t="shared" si="125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26"/>
        <v>0</v>
      </c>
      <c r="AF434" s="10"/>
      <c r="AG434" s="10"/>
      <c r="AH434" s="10"/>
      <c r="AI434" s="12">
        <f t="shared" si="127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30"/>
        <v>0</v>
      </c>
      <c r="T435" s="10"/>
      <c r="U435" s="10"/>
      <c r="V435" s="10"/>
      <c r="W435" s="12">
        <f t="shared" si="125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26"/>
        <v>0</v>
      </c>
      <c r="AF435" s="10"/>
      <c r="AG435" s="10"/>
      <c r="AH435" s="10"/>
      <c r="AI435" s="12">
        <f t="shared" si="127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5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27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1">SUM(D437:E437)</f>
        <v>0</v>
      </c>
      <c r="H437" s="10"/>
      <c r="I437" s="10"/>
      <c r="J437" s="10"/>
      <c r="K437" s="12">
        <f t="shared" ref="K437" si="132">SUM(G437:J437)</f>
        <v>0</v>
      </c>
      <c r="M437" s="10"/>
      <c r="N437" s="30"/>
      <c r="O437" s="31"/>
      <c r="P437" s="47"/>
      <c r="Q437" s="31"/>
      <c r="R437" s="31"/>
      <c r="S437" s="32">
        <f t="shared" ref="S437" si="133">SUM(P437:Q437)</f>
        <v>0</v>
      </c>
      <c r="T437" s="10"/>
      <c r="U437" s="10"/>
      <c r="V437" s="10"/>
      <c r="W437" s="12">
        <f t="shared" si="125"/>
        <v>0</v>
      </c>
      <c r="Y437" s="10"/>
      <c r="Z437" s="30"/>
      <c r="AA437" s="31"/>
      <c r="AB437" s="47"/>
      <c r="AC437" s="31"/>
      <c r="AD437" s="31"/>
      <c r="AE437" s="32">
        <f t="shared" ref="AE437" si="134">SUM(AB437:AC437)</f>
        <v>0</v>
      </c>
      <c r="AF437" s="10"/>
      <c r="AG437" s="10"/>
      <c r="AH437" s="10"/>
      <c r="AI437" s="12">
        <f t="shared" si="127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5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27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214536</v>
      </c>
      <c r="E440" s="38">
        <f t="shared" ref="E440:F440" si="135">SUM(E397:E437)</f>
        <v>0</v>
      </c>
      <c r="F440" s="38">
        <f t="shared" si="135"/>
        <v>0</v>
      </c>
      <c r="G440" s="38">
        <f>SUM(G397:G439)</f>
        <v>214536</v>
      </c>
      <c r="H440" s="4"/>
      <c r="I440" s="39">
        <f>SUM(I397:I439)</f>
        <v>783</v>
      </c>
      <c r="J440" s="39">
        <f>SUM(J397:J439)</f>
        <v>0</v>
      </c>
      <c r="K440" s="40">
        <f>SUM(K397:K439)</f>
        <v>215319</v>
      </c>
      <c r="N440" s="57"/>
      <c r="O440" s="57"/>
      <c r="P440" s="38">
        <f>SUM(P397:P439)</f>
        <v>372833.5</v>
      </c>
      <c r="Q440" s="38">
        <f>SUM(Q397:Q421)</f>
        <v>-5517</v>
      </c>
      <c r="R440" s="38">
        <f>SUM(R397:R421)</f>
        <v>0</v>
      </c>
      <c r="S440" s="38">
        <f>SUM(S397:S439)</f>
        <v>367316.5</v>
      </c>
      <c r="T440" s="4"/>
      <c r="U440" s="41">
        <f>SUM(U397:U439)</f>
        <v>7266</v>
      </c>
      <c r="V440" s="41">
        <f>SUM(V397:V421)</f>
        <v>-1080</v>
      </c>
      <c r="W440" s="42">
        <f>SUM(W397:W439)</f>
        <v>373502.5</v>
      </c>
      <c r="Z440" s="57"/>
      <c r="AA440" s="57"/>
      <c r="AB440" s="38">
        <f>SUM(AB397:AB439)</f>
        <v>184236.5</v>
      </c>
      <c r="AC440" s="38">
        <f>SUM(AC397:AC421)</f>
        <v>-1644</v>
      </c>
      <c r="AD440" s="38">
        <f>SUM(AD397:AD421)</f>
        <v>0</v>
      </c>
      <c r="AE440" s="38">
        <f>SUM(AE397:AE439)</f>
        <v>182592.5</v>
      </c>
      <c r="AF440" s="4"/>
      <c r="AG440" s="41">
        <f>SUM(AG397:AG439)</f>
        <v>12133.5</v>
      </c>
      <c r="AH440" s="41">
        <f>SUM(AH397:AH421)</f>
        <v>0</v>
      </c>
      <c r="AI440" s="42">
        <f>SUM(AI397:AI439)</f>
        <v>194726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47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47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47</v>
      </c>
      <c r="Z447" s="57"/>
      <c r="AA447" s="57"/>
      <c r="AB447" s="57"/>
      <c r="AC447" s="57"/>
      <c r="AD447" s="57"/>
      <c r="AE447" s="57"/>
      <c r="AG447" s="57" t="s">
        <v>15</v>
      </c>
      <c r="AH447" s="19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62</v>
      </c>
      <c r="B448" s="20"/>
      <c r="C448" s="57"/>
      <c r="D448" s="57"/>
      <c r="E448" s="57"/>
      <c r="G448" s="57"/>
      <c r="I448" s="22" t="s">
        <v>16</v>
      </c>
      <c r="J448" s="23" t="s">
        <v>33</v>
      </c>
      <c r="K448" s="24"/>
      <c r="M448" s="21" t="s">
        <v>62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42</v>
      </c>
      <c r="W448" s="24"/>
      <c r="Y448" s="21" t="s">
        <v>62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1" t="s">
        <v>17</v>
      </c>
      <c r="E450" s="111"/>
      <c r="F450" s="99"/>
      <c r="G450" s="27"/>
      <c r="I450" s="109" t="s">
        <v>18</v>
      </c>
      <c r="J450" s="110"/>
      <c r="K450" s="107" t="s">
        <v>19</v>
      </c>
      <c r="N450" s="25"/>
      <c r="O450" s="26"/>
      <c r="P450" s="111" t="s">
        <v>17</v>
      </c>
      <c r="Q450" s="111"/>
      <c r="R450" s="99"/>
      <c r="S450" s="27"/>
      <c r="U450" s="109" t="s">
        <v>18</v>
      </c>
      <c r="V450" s="110"/>
      <c r="W450" s="107" t="s">
        <v>19</v>
      </c>
      <c r="Z450" s="25"/>
      <c r="AA450" s="26"/>
      <c r="AB450" s="111" t="s">
        <v>17</v>
      </c>
      <c r="AC450" s="111"/>
      <c r="AD450" s="99"/>
      <c r="AE450" s="27"/>
      <c r="AG450" s="109" t="s">
        <v>18</v>
      </c>
      <c r="AH450" s="110"/>
      <c r="AI450" s="107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9" t="s">
        <v>22</v>
      </c>
      <c r="E451" s="78" t="s">
        <v>23</v>
      </c>
      <c r="F451" s="80" t="s">
        <v>32</v>
      </c>
      <c r="G451" s="80" t="s">
        <v>24</v>
      </c>
      <c r="I451" s="29" t="s">
        <v>25</v>
      </c>
      <c r="J451" s="29" t="s">
        <v>26</v>
      </c>
      <c r="K451" s="108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08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08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46002</v>
      </c>
      <c r="C452" s="91">
        <v>7060</v>
      </c>
      <c r="D452" s="32">
        <f>1252+19</f>
        <v>1271</v>
      </c>
      <c r="E452" s="32"/>
      <c r="F452" s="32"/>
      <c r="G452" s="32">
        <f t="shared" ref="G452:G485" si="136">SUM(D452:E452)</f>
        <v>1271</v>
      </c>
      <c r="H452" s="12"/>
      <c r="I452" s="12">
        <v>9</v>
      </c>
      <c r="J452" s="12"/>
      <c r="K452" s="12">
        <f t="shared" ref="K452:K485" si="137">SUM(G452:J452)</f>
        <v>1280</v>
      </c>
      <c r="M452" s="10">
        <v>1</v>
      </c>
      <c r="N452" s="30">
        <v>46002</v>
      </c>
      <c r="O452" s="31">
        <v>7042</v>
      </c>
      <c r="P452" s="32">
        <f>118940+5960+1603</f>
        <v>126503</v>
      </c>
      <c r="Q452" s="32">
        <v>-1863</v>
      </c>
      <c r="R452" s="32"/>
      <c r="S452" s="32">
        <f>SUM(P452:Q452)</f>
        <v>124640</v>
      </c>
      <c r="T452" s="12"/>
      <c r="U452" s="12">
        <f>3108+546</f>
        <v>3654</v>
      </c>
      <c r="V452" s="12"/>
      <c r="W452" s="12">
        <f>SUM(S452:V452)</f>
        <v>128294</v>
      </c>
      <c r="Y452" s="10">
        <v>1</v>
      </c>
      <c r="Z452" s="30">
        <v>46002</v>
      </c>
      <c r="AA452" s="31">
        <v>7110</v>
      </c>
      <c r="AB452" s="32">
        <f>7512+614+1788+229</f>
        <v>10143</v>
      </c>
      <c r="AC452" s="32"/>
      <c r="AD452" s="32"/>
      <c r="AE452" s="32">
        <f>SUM(AB452:AC452)</f>
        <v>10143</v>
      </c>
      <c r="AF452" s="12"/>
      <c r="AG452" s="12"/>
      <c r="AH452" s="12"/>
      <c r="AI452" s="12">
        <f>SUM(AE452:AH452)</f>
        <v>10143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46002</v>
      </c>
      <c r="C453" s="91">
        <f>C452+1</f>
        <v>7061</v>
      </c>
      <c r="D453" s="32">
        <f>11894+1228</f>
        <v>13122</v>
      </c>
      <c r="E453" s="32"/>
      <c r="F453" s="32"/>
      <c r="G453" s="32">
        <f t="shared" si="136"/>
        <v>13122</v>
      </c>
      <c r="H453" s="12"/>
      <c r="I453" s="12"/>
      <c r="J453" s="12">
        <v>-333</v>
      </c>
      <c r="K453" s="12">
        <f t="shared" si="137"/>
        <v>12789</v>
      </c>
      <c r="M453" s="10">
        <v>2</v>
      </c>
      <c r="N453" s="30">
        <v>46002</v>
      </c>
      <c r="O453" s="31">
        <f>O452+1</f>
        <v>7043</v>
      </c>
      <c r="P453" s="32">
        <f>2504+9.5*4</f>
        <v>2542</v>
      </c>
      <c r="Q453" s="32"/>
      <c r="R453" s="32"/>
      <c r="S453" s="32">
        <f t="shared" ref="S453:S484" si="138">SUM(P453:Q453)</f>
        <v>2542</v>
      </c>
      <c r="T453" s="12"/>
      <c r="U453" s="12"/>
      <c r="V453" s="12"/>
      <c r="W453" s="12">
        <f t="shared" ref="W453:W493" si="139">SUM(S453:V453)</f>
        <v>2542</v>
      </c>
      <c r="Y453" s="10">
        <v>2</v>
      </c>
      <c r="Z453" s="30">
        <v>46002</v>
      </c>
      <c r="AA453" s="31">
        <f>AA452+1</f>
        <v>7111</v>
      </c>
      <c r="AB453" s="32">
        <f>2504+38</f>
        <v>2542</v>
      </c>
      <c r="AC453" s="32"/>
      <c r="AD453" s="32"/>
      <c r="AE453" s="32">
        <f t="shared" ref="AE453:AE490" si="140">SUM(AB453:AC453)</f>
        <v>2542</v>
      </c>
      <c r="AF453" s="12"/>
      <c r="AG453" s="12"/>
      <c r="AH453" s="12"/>
      <c r="AI453" s="12">
        <f t="shared" ref="AI453:AI493" si="141">SUM(AE453:AH453)</f>
        <v>2542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46002</v>
      </c>
      <c r="C454" s="91">
        <f t="shared" ref="C454:C469" si="142">C453+1</f>
        <v>7062</v>
      </c>
      <c r="D454" s="33">
        <f>5008+76</f>
        <v>5084</v>
      </c>
      <c r="E454" s="33"/>
      <c r="F454" s="33"/>
      <c r="G454" s="33">
        <f t="shared" si="136"/>
        <v>5084</v>
      </c>
      <c r="H454" s="34"/>
      <c r="I454" s="34"/>
      <c r="J454" s="34"/>
      <c r="K454" s="34">
        <f t="shared" si="137"/>
        <v>5084</v>
      </c>
      <c r="M454" s="10">
        <v>3</v>
      </c>
      <c r="N454" s="30">
        <v>46002</v>
      </c>
      <c r="O454" s="31">
        <f t="shared" ref="O454:O456" si="143">O453+1</f>
        <v>7044</v>
      </c>
      <c r="P454" s="32">
        <f>3130+47.5</f>
        <v>3177.5</v>
      </c>
      <c r="Q454" s="32"/>
      <c r="R454" s="32"/>
      <c r="S454" s="32">
        <f t="shared" si="138"/>
        <v>3177.5</v>
      </c>
      <c r="T454" s="12"/>
      <c r="U454" s="12"/>
      <c r="V454" s="12"/>
      <c r="W454" s="12">
        <f t="shared" si="139"/>
        <v>3177.5</v>
      </c>
      <c r="Y454" s="10">
        <v>3</v>
      </c>
      <c r="Z454" s="30">
        <v>46002</v>
      </c>
      <c r="AA454" s="31">
        <f t="shared" ref="AA454:AA463" si="144">AA453+1</f>
        <v>7112</v>
      </c>
      <c r="AB454" s="33">
        <f>11268+2980+229</f>
        <v>14477</v>
      </c>
      <c r="AC454" s="33"/>
      <c r="AD454" s="32"/>
      <c r="AE454" s="32">
        <f t="shared" si="140"/>
        <v>14477</v>
      </c>
      <c r="AF454" s="12"/>
      <c r="AG454" s="12"/>
      <c r="AH454" s="12"/>
      <c r="AI454" s="12">
        <f t="shared" si="141"/>
        <v>14477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46002</v>
      </c>
      <c r="C455" s="91">
        <f t="shared" si="142"/>
        <v>7063</v>
      </c>
      <c r="D455" s="32">
        <f>4382+674+1788+650</f>
        <v>7494</v>
      </c>
      <c r="E455" s="32"/>
      <c r="F455" s="32"/>
      <c r="G455" s="32">
        <f t="shared" si="136"/>
        <v>7494</v>
      </c>
      <c r="H455" s="12"/>
      <c r="I455" s="12">
        <f>222+94</f>
        <v>316</v>
      </c>
      <c r="J455" s="12"/>
      <c r="K455" s="12">
        <f t="shared" si="137"/>
        <v>7810</v>
      </c>
      <c r="M455" s="10">
        <v>4</v>
      </c>
      <c r="N455" s="30">
        <v>46002</v>
      </c>
      <c r="O455" s="31">
        <f t="shared" si="143"/>
        <v>7045</v>
      </c>
      <c r="P455" s="32">
        <f>5008+76</f>
        <v>5084</v>
      </c>
      <c r="Q455" s="32"/>
      <c r="R455" s="32"/>
      <c r="S455" s="32">
        <f t="shared" si="138"/>
        <v>5084</v>
      </c>
      <c r="T455" s="12"/>
      <c r="U455" s="12"/>
      <c r="V455" s="12">
        <v>-333</v>
      </c>
      <c r="W455" s="12">
        <f t="shared" si="139"/>
        <v>4751</v>
      </c>
      <c r="Y455" s="10">
        <v>4</v>
      </c>
      <c r="Z455" s="30">
        <v>46002</v>
      </c>
      <c r="AA455" s="31">
        <f t="shared" si="144"/>
        <v>7113</v>
      </c>
      <c r="AB455" s="32">
        <f>5634+85.5</f>
        <v>5719.5</v>
      </c>
      <c r="AC455" s="32"/>
      <c r="AD455" s="32"/>
      <c r="AE455" s="32">
        <f t="shared" si="140"/>
        <v>5719.5</v>
      </c>
      <c r="AF455" s="12"/>
      <c r="AH455" s="12"/>
      <c r="AI455" s="12">
        <f t="shared" si="141"/>
        <v>5719.5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46002</v>
      </c>
      <c r="C456" s="91">
        <f t="shared" si="142"/>
        <v>7064</v>
      </c>
      <c r="D456" s="32">
        <f>1252+19</f>
        <v>1271</v>
      </c>
      <c r="E456" s="32"/>
      <c r="F456" s="32"/>
      <c r="G456" s="32">
        <f t="shared" si="136"/>
        <v>1271</v>
      </c>
      <c r="H456" s="12"/>
      <c r="I456" s="12"/>
      <c r="J456" s="12"/>
      <c r="K456" s="12">
        <f t="shared" si="137"/>
        <v>1271</v>
      </c>
      <c r="M456" s="10">
        <v>5</v>
      </c>
      <c r="N456" s="30">
        <v>46002</v>
      </c>
      <c r="O456" s="31">
        <f t="shared" si="143"/>
        <v>7046</v>
      </c>
      <c r="P456" s="32">
        <f>229</f>
        <v>229</v>
      </c>
      <c r="Q456" s="32"/>
      <c r="R456" s="32"/>
      <c r="S456" s="32">
        <f t="shared" si="138"/>
        <v>229</v>
      </c>
      <c r="T456" s="12"/>
      <c r="U456" s="12">
        <v>78</v>
      </c>
      <c r="V456" s="12"/>
      <c r="W456" s="12">
        <f t="shared" si="139"/>
        <v>307</v>
      </c>
      <c r="Y456" s="10">
        <v>5</v>
      </c>
      <c r="Z456" s="30">
        <v>46002</v>
      </c>
      <c r="AA456" s="31">
        <f t="shared" si="144"/>
        <v>7114</v>
      </c>
      <c r="AB456" s="32">
        <f>3756+614+596+832+66.5</f>
        <v>5864.5</v>
      </c>
      <c r="AC456" s="32"/>
      <c r="AD456" s="32"/>
      <c r="AE456" s="32">
        <f t="shared" si="140"/>
        <v>5864.5</v>
      </c>
      <c r="AF456" s="12"/>
      <c r="AG456" s="12"/>
      <c r="AH456" s="12"/>
      <c r="AI456" s="12">
        <f t="shared" si="141"/>
        <v>5864.5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46002</v>
      </c>
      <c r="C457" s="91">
        <f t="shared" si="142"/>
        <v>7065</v>
      </c>
      <c r="D457" s="32">
        <f>3756+1788+9.5*9</f>
        <v>5629.5</v>
      </c>
      <c r="E457" s="32"/>
      <c r="F457" s="32"/>
      <c r="G457" s="32">
        <f t="shared" si="136"/>
        <v>5629.5</v>
      </c>
      <c r="H457" s="12"/>
      <c r="I457" s="12"/>
      <c r="J457" s="12"/>
      <c r="K457" s="12">
        <f t="shared" si="137"/>
        <v>5629.5</v>
      </c>
      <c r="M457" s="10">
        <v>6</v>
      </c>
      <c r="N457" s="30"/>
      <c r="O457" s="11" t="s">
        <v>27</v>
      </c>
      <c r="P457" s="32"/>
      <c r="Q457" s="32"/>
      <c r="R457" s="32"/>
      <c r="S457" s="32">
        <f t="shared" si="138"/>
        <v>0</v>
      </c>
      <c r="T457" s="12"/>
      <c r="U457" s="12"/>
      <c r="V457" s="10"/>
      <c r="W457" s="12">
        <f t="shared" si="139"/>
        <v>0</v>
      </c>
      <c r="Y457" s="10">
        <v>6</v>
      </c>
      <c r="Z457" s="30">
        <v>46002</v>
      </c>
      <c r="AA457" s="31">
        <f t="shared" si="144"/>
        <v>7115</v>
      </c>
      <c r="AB457" s="32">
        <f>1252+1228+596+38</f>
        <v>3114</v>
      </c>
      <c r="AC457" s="32"/>
      <c r="AD457" s="32"/>
      <c r="AE457" s="32">
        <f t="shared" si="140"/>
        <v>3114</v>
      </c>
      <c r="AF457" s="12"/>
      <c r="AG457" s="12"/>
      <c r="AH457" s="10"/>
      <c r="AI457" s="12">
        <f t="shared" si="141"/>
        <v>3114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46002</v>
      </c>
      <c r="C458" s="91">
        <f t="shared" si="142"/>
        <v>7066</v>
      </c>
      <c r="D458" s="32">
        <f>3130+47.5</f>
        <v>3177.5</v>
      </c>
      <c r="E458" s="32"/>
      <c r="F458" s="32"/>
      <c r="G458" s="32">
        <f t="shared" si="136"/>
        <v>3177.5</v>
      </c>
      <c r="H458" s="12"/>
      <c r="I458" s="12"/>
      <c r="J458" s="12"/>
      <c r="K458" s="12">
        <f t="shared" si="137"/>
        <v>3177.5</v>
      </c>
      <c r="M458" s="10">
        <v>7</v>
      </c>
      <c r="N458" s="30"/>
      <c r="O458" s="31"/>
      <c r="P458" s="32"/>
      <c r="Q458" s="32"/>
      <c r="R458" s="32"/>
      <c r="S458" s="32">
        <f t="shared" si="138"/>
        <v>0</v>
      </c>
      <c r="T458" s="12"/>
      <c r="U458" s="12"/>
      <c r="V458" s="12"/>
      <c r="W458" s="12">
        <f t="shared" si="139"/>
        <v>0</v>
      </c>
      <c r="Y458" s="10">
        <v>7</v>
      </c>
      <c r="Z458" s="30">
        <v>46002</v>
      </c>
      <c r="AA458" s="31">
        <f t="shared" si="144"/>
        <v>7116</v>
      </c>
      <c r="AB458" s="32">
        <f>12520+614+1788+832+500</f>
        <v>16254</v>
      </c>
      <c r="AC458" s="32"/>
      <c r="AD458" s="32"/>
      <c r="AE458" s="32">
        <f t="shared" si="140"/>
        <v>16254</v>
      </c>
      <c r="AF458" s="12"/>
      <c r="AG458" s="58"/>
      <c r="AH458" s="12"/>
      <c r="AI458" s="12">
        <f t="shared" si="141"/>
        <v>16254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>
        <v>46002</v>
      </c>
      <c r="C459" s="91">
        <f t="shared" si="142"/>
        <v>7067</v>
      </c>
      <c r="D459" s="32">
        <f>1878+28.5</f>
        <v>1906.5</v>
      </c>
      <c r="E459" s="32"/>
      <c r="F459" s="32"/>
      <c r="G459" s="32">
        <f t="shared" si="136"/>
        <v>1906.5</v>
      </c>
      <c r="H459" s="12"/>
      <c r="I459" s="12"/>
      <c r="J459" s="12"/>
      <c r="K459" s="12">
        <f t="shared" si="137"/>
        <v>1906.5</v>
      </c>
      <c r="M459" s="10">
        <v>8</v>
      </c>
      <c r="N459" s="30"/>
      <c r="O459" s="31"/>
      <c r="P459" s="32"/>
      <c r="Q459" s="32"/>
      <c r="R459" s="32"/>
      <c r="S459" s="32">
        <f t="shared" si="138"/>
        <v>0</v>
      </c>
      <c r="T459" s="12"/>
      <c r="U459" s="12"/>
      <c r="V459" s="12"/>
      <c r="W459" s="12">
        <f t="shared" si="139"/>
        <v>0</v>
      </c>
      <c r="Y459" s="10">
        <v>8</v>
      </c>
      <c r="Z459" s="30">
        <v>46002</v>
      </c>
      <c r="AA459" s="31">
        <f t="shared" si="144"/>
        <v>7117</v>
      </c>
      <c r="AB459" s="32">
        <f>1252+19</f>
        <v>1271</v>
      </c>
      <c r="AC459" s="32"/>
      <c r="AE459" s="32">
        <f t="shared" si="140"/>
        <v>1271</v>
      </c>
      <c r="AF459" s="12"/>
      <c r="AG459" s="12"/>
      <c r="AH459" s="12"/>
      <c r="AI459" s="12">
        <f t="shared" si="141"/>
        <v>1271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>
        <v>46002</v>
      </c>
      <c r="C460" s="91">
        <f t="shared" si="142"/>
        <v>7068</v>
      </c>
      <c r="D460" s="32">
        <f>9390+1228+1788</f>
        <v>12406</v>
      </c>
      <c r="E460" s="32"/>
      <c r="F460" s="32"/>
      <c r="G460" s="32">
        <f t="shared" si="136"/>
        <v>12406</v>
      </c>
      <c r="H460" s="12"/>
      <c r="I460" s="12"/>
      <c r="J460" s="12">
        <v>-444</v>
      </c>
      <c r="K460" s="12">
        <f t="shared" si="137"/>
        <v>11962</v>
      </c>
      <c r="M460" s="10">
        <v>9</v>
      </c>
      <c r="N460" s="30"/>
      <c r="O460" s="31"/>
      <c r="P460" s="32"/>
      <c r="Q460" s="32"/>
      <c r="R460" s="32"/>
      <c r="S460" s="32">
        <f t="shared" si="138"/>
        <v>0</v>
      </c>
      <c r="T460" s="12"/>
      <c r="U460" s="12"/>
      <c r="V460" s="12"/>
      <c r="W460" s="12">
        <f t="shared" si="139"/>
        <v>0</v>
      </c>
      <c r="Y460" s="10">
        <v>9</v>
      </c>
      <c r="Z460" s="30">
        <v>46002</v>
      </c>
      <c r="AA460" s="31">
        <f t="shared" si="144"/>
        <v>7118</v>
      </c>
      <c r="AB460" s="32">
        <f>1252+614+456.5+596+416+19</f>
        <v>3353.5</v>
      </c>
      <c r="AC460" s="32"/>
      <c r="AD460" s="32"/>
      <c r="AE460" s="32">
        <f t="shared" si="140"/>
        <v>3353.5</v>
      </c>
      <c r="AF460" s="12"/>
      <c r="AG460" s="58"/>
      <c r="AH460" s="12">
        <v>-624</v>
      </c>
      <c r="AI460" s="12">
        <f t="shared" si="141"/>
        <v>2729.5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>
        <v>46002</v>
      </c>
      <c r="C461" s="91">
        <f t="shared" si="142"/>
        <v>7069</v>
      </c>
      <c r="D461" s="32">
        <f>13146+3576+256</f>
        <v>16978</v>
      </c>
      <c r="E461" s="32"/>
      <c r="F461" s="32"/>
      <c r="G461" s="32">
        <f t="shared" si="136"/>
        <v>16978</v>
      </c>
      <c r="H461" s="12"/>
      <c r="I461" s="12"/>
      <c r="J461" s="12"/>
      <c r="K461" s="12">
        <f t="shared" si="137"/>
        <v>16978</v>
      </c>
      <c r="M461" s="10">
        <v>10</v>
      </c>
      <c r="N461" s="30"/>
      <c r="O461" s="31"/>
      <c r="P461" s="32"/>
      <c r="Q461" s="32"/>
      <c r="R461" s="32"/>
      <c r="S461" s="32">
        <f t="shared" si="138"/>
        <v>0</v>
      </c>
      <c r="T461" s="12"/>
      <c r="U461" s="12"/>
      <c r="V461" s="12"/>
      <c r="W461" s="12">
        <f t="shared" si="139"/>
        <v>0</v>
      </c>
      <c r="Y461" s="10">
        <v>10</v>
      </c>
      <c r="Z461" s="30">
        <v>46002</v>
      </c>
      <c r="AA461" s="31">
        <f t="shared" si="144"/>
        <v>7119</v>
      </c>
      <c r="AB461" s="32">
        <f>626*46+674*4+229*2</f>
        <v>31950</v>
      </c>
      <c r="AC461" s="32">
        <v>-312</v>
      </c>
      <c r="AD461" s="32"/>
      <c r="AE461" s="32">
        <f t="shared" si="140"/>
        <v>31638</v>
      </c>
      <c r="AF461" s="12"/>
      <c r="AG461" s="12"/>
      <c r="AH461" s="12">
        <v>-11100</v>
      </c>
      <c r="AI461" s="12">
        <f t="shared" si="141"/>
        <v>20538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>
        <v>46002</v>
      </c>
      <c r="C462" s="91">
        <f t="shared" si="142"/>
        <v>7070</v>
      </c>
      <c r="D462" s="32">
        <f>6260+1228+1788</f>
        <v>9276</v>
      </c>
      <c r="E462" s="32"/>
      <c r="F462" s="32"/>
      <c r="G462" s="32">
        <f t="shared" si="136"/>
        <v>9276</v>
      </c>
      <c r="H462" s="12"/>
      <c r="I462" s="12"/>
      <c r="J462" s="12"/>
      <c r="K462" s="12">
        <f t="shared" si="137"/>
        <v>9276</v>
      </c>
      <c r="M462" s="10">
        <v>11</v>
      </c>
      <c r="N462" s="30"/>
      <c r="O462" s="31"/>
      <c r="P462" s="32"/>
      <c r="Q462" s="32"/>
      <c r="R462" s="32"/>
      <c r="S462" s="32">
        <f t="shared" si="138"/>
        <v>0</v>
      </c>
      <c r="T462" s="12"/>
      <c r="U462" s="12"/>
      <c r="V462" s="12"/>
      <c r="W462" s="12">
        <f t="shared" si="139"/>
        <v>0</v>
      </c>
      <c r="Y462" s="10">
        <v>11</v>
      </c>
      <c r="Z462" s="30">
        <v>46002</v>
      </c>
      <c r="AA462" s="31">
        <f t="shared" si="144"/>
        <v>7120</v>
      </c>
      <c r="AB462" s="32">
        <f>31300+5960+458</f>
        <v>37718</v>
      </c>
      <c r="AC462" s="32"/>
      <c r="AD462" s="32"/>
      <c r="AE462" s="32">
        <f t="shared" si="140"/>
        <v>37718</v>
      </c>
      <c r="AF462" s="12"/>
      <c r="AG462" s="12">
        <v>54</v>
      </c>
      <c r="AH462" s="12"/>
      <c r="AI462" s="12">
        <f t="shared" si="141"/>
        <v>37772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>
        <v>46002</v>
      </c>
      <c r="C463" s="91">
        <f t="shared" si="142"/>
        <v>7071</v>
      </c>
      <c r="D463" s="32">
        <f>4382+67</f>
        <v>4449</v>
      </c>
      <c r="E463" s="32"/>
      <c r="F463" s="32"/>
      <c r="G463" s="32">
        <f t="shared" si="136"/>
        <v>4449</v>
      </c>
      <c r="H463" s="12"/>
      <c r="I463" s="12"/>
      <c r="J463" s="10"/>
      <c r="K463" s="12">
        <f t="shared" si="137"/>
        <v>4449</v>
      </c>
      <c r="M463" s="10">
        <v>12</v>
      </c>
      <c r="N463" s="30"/>
      <c r="O463" s="31"/>
      <c r="P463" s="32"/>
      <c r="Q463" s="32"/>
      <c r="R463" s="32"/>
      <c r="S463" s="32">
        <f t="shared" si="138"/>
        <v>0</v>
      </c>
      <c r="T463" s="12"/>
      <c r="U463" s="12"/>
      <c r="V463" s="12"/>
      <c r="W463" s="12">
        <f t="shared" si="139"/>
        <v>0</v>
      </c>
      <c r="Y463" s="10">
        <v>12</v>
      </c>
      <c r="Z463" s="30">
        <v>46002</v>
      </c>
      <c r="AA463" s="31">
        <f t="shared" si="144"/>
        <v>7121</v>
      </c>
      <c r="AB463" s="32">
        <f>229</f>
        <v>229</v>
      </c>
      <c r="AC463" s="32"/>
      <c r="AD463" s="32"/>
      <c r="AE463" s="32">
        <f t="shared" si="140"/>
        <v>229</v>
      </c>
      <c r="AF463" s="12"/>
      <c r="AG463" s="12"/>
      <c r="AH463" s="12"/>
      <c r="AI463" s="12">
        <f t="shared" si="141"/>
        <v>229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>
        <v>46002</v>
      </c>
      <c r="C464" s="91">
        <f t="shared" si="142"/>
        <v>7072</v>
      </c>
      <c r="D464" s="32">
        <f>1878+596+38</f>
        <v>2512</v>
      </c>
      <c r="E464" s="32"/>
      <c r="F464" s="32"/>
      <c r="G464" s="32">
        <f t="shared" si="136"/>
        <v>2512</v>
      </c>
      <c r="H464" s="12"/>
      <c r="I464" s="12"/>
      <c r="J464" s="12"/>
      <c r="K464" s="12">
        <f t="shared" si="137"/>
        <v>2512</v>
      </c>
      <c r="M464" s="10">
        <v>13</v>
      </c>
      <c r="N464" s="30"/>
      <c r="O464" s="31"/>
      <c r="P464" s="32"/>
      <c r="Q464" s="32"/>
      <c r="R464" s="32"/>
      <c r="S464" s="32">
        <f t="shared" si="138"/>
        <v>0</v>
      </c>
      <c r="T464" s="12"/>
      <c r="U464" s="12"/>
      <c r="V464" s="12"/>
      <c r="W464" s="12">
        <f t="shared" si="139"/>
        <v>0</v>
      </c>
      <c r="Y464" s="10">
        <v>13</v>
      </c>
      <c r="Z464" s="30"/>
      <c r="AA464" s="11" t="s">
        <v>27</v>
      </c>
      <c r="AB464" s="32"/>
      <c r="AC464" s="32"/>
      <c r="AD464" s="32"/>
      <c r="AE464" s="32">
        <f t="shared" si="140"/>
        <v>0</v>
      </c>
      <c r="AF464" s="12"/>
      <c r="AG464" s="12"/>
      <c r="AH464" s="12"/>
      <c r="AI464" s="12">
        <f t="shared" si="141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>
        <v>46002</v>
      </c>
      <c r="C465" s="91">
        <f t="shared" si="142"/>
        <v>7073</v>
      </c>
      <c r="D465" s="32">
        <f>3130+614+47.5</f>
        <v>3791.5</v>
      </c>
      <c r="E465" s="32"/>
      <c r="F465" s="32"/>
      <c r="G465" s="32">
        <f t="shared" si="136"/>
        <v>3791.5</v>
      </c>
      <c r="H465" s="12"/>
      <c r="I465" s="12"/>
      <c r="J465" s="12"/>
      <c r="K465" s="12">
        <f t="shared" si="137"/>
        <v>3791.5</v>
      </c>
      <c r="M465" s="10">
        <v>14</v>
      </c>
      <c r="N465" s="30"/>
      <c r="O465" s="31"/>
      <c r="P465" s="32"/>
      <c r="Q465" s="32"/>
      <c r="R465" s="32"/>
      <c r="S465" s="32">
        <f t="shared" si="138"/>
        <v>0</v>
      </c>
      <c r="T465" s="12"/>
      <c r="U465" s="12"/>
      <c r="V465" s="12"/>
      <c r="W465" s="12">
        <f t="shared" si="139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0"/>
        <v>0</v>
      </c>
      <c r="AF465" s="12"/>
      <c r="AG465" s="12"/>
      <c r="AH465" s="12"/>
      <c r="AI465" s="12">
        <f t="shared" si="141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>
        <v>46002</v>
      </c>
      <c r="C466" s="91">
        <f t="shared" si="142"/>
        <v>7074</v>
      </c>
      <c r="D466" s="32">
        <f>59470+1842+913+852+1005+1832+500</f>
        <v>66414</v>
      </c>
      <c r="E466" s="32"/>
      <c r="F466" s="32"/>
      <c r="G466" s="32">
        <f t="shared" si="136"/>
        <v>66414</v>
      </c>
      <c r="H466" s="12"/>
      <c r="I466" s="12">
        <f>240+90</f>
        <v>330</v>
      </c>
      <c r="J466" s="12"/>
      <c r="K466" s="12">
        <f t="shared" si="137"/>
        <v>66744</v>
      </c>
      <c r="M466" s="10">
        <v>15</v>
      </c>
      <c r="N466" s="30"/>
      <c r="O466" s="31"/>
      <c r="P466" s="32"/>
      <c r="Q466" s="32"/>
      <c r="R466" s="32"/>
      <c r="S466" s="32">
        <f t="shared" si="138"/>
        <v>0</v>
      </c>
      <c r="T466" s="12"/>
      <c r="U466" s="12"/>
      <c r="V466" s="12"/>
      <c r="W466" s="12">
        <f t="shared" si="139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0"/>
        <v>0</v>
      </c>
      <c r="AF466" s="12"/>
      <c r="AG466" s="12"/>
      <c r="AH466" s="12"/>
      <c r="AI466" s="12">
        <f t="shared" si="141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>
        <v>46002</v>
      </c>
      <c r="C467" s="91">
        <f t="shared" si="142"/>
        <v>7075</v>
      </c>
      <c r="D467" s="32">
        <f>1252+674</f>
        <v>1926</v>
      </c>
      <c r="E467" s="32"/>
      <c r="F467" s="32"/>
      <c r="G467" s="32">
        <f t="shared" si="136"/>
        <v>1926</v>
      </c>
      <c r="H467" s="12"/>
      <c r="I467" s="12"/>
      <c r="J467" s="12"/>
      <c r="K467" s="12">
        <f t="shared" si="137"/>
        <v>1926</v>
      </c>
      <c r="M467" s="10">
        <v>16</v>
      </c>
      <c r="N467" s="30"/>
      <c r="O467" s="31"/>
      <c r="P467" s="32"/>
      <c r="Q467" s="32"/>
      <c r="R467" s="32"/>
      <c r="S467" s="32">
        <f t="shared" si="138"/>
        <v>0</v>
      </c>
      <c r="T467" s="12"/>
      <c r="U467" s="12"/>
      <c r="V467" s="12"/>
      <c r="W467" s="12">
        <f t="shared" si="139"/>
        <v>0</v>
      </c>
      <c r="Y467" s="10">
        <v>16</v>
      </c>
      <c r="Z467" s="30"/>
      <c r="AB467" s="32"/>
      <c r="AC467" s="32"/>
      <c r="AD467" s="32"/>
      <c r="AE467" s="32">
        <f t="shared" si="140"/>
        <v>0</v>
      </c>
      <c r="AF467" s="12"/>
      <c r="AG467" s="12"/>
      <c r="AH467" s="12"/>
      <c r="AI467" s="12">
        <f t="shared" si="141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>
        <v>46002</v>
      </c>
      <c r="C468" s="91">
        <f t="shared" si="142"/>
        <v>7076</v>
      </c>
      <c r="D468" s="32"/>
      <c r="E468" s="32"/>
      <c r="F468" s="32"/>
      <c r="G468" s="32">
        <f t="shared" si="136"/>
        <v>0</v>
      </c>
      <c r="H468" s="12"/>
      <c r="I468" s="12"/>
      <c r="J468" s="12"/>
      <c r="K468" s="12">
        <f t="shared" si="137"/>
        <v>0</v>
      </c>
      <c r="M468" s="10">
        <v>17</v>
      </c>
      <c r="N468" s="30"/>
      <c r="O468" s="31"/>
      <c r="P468" s="35"/>
      <c r="Q468" s="32"/>
      <c r="R468" s="32"/>
      <c r="S468" s="32">
        <f t="shared" si="138"/>
        <v>0</v>
      </c>
      <c r="T468" s="12"/>
      <c r="U468" s="12"/>
      <c r="V468" s="12"/>
      <c r="W468" s="12">
        <f t="shared" si="139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0"/>
        <v>0</v>
      </c>
      <c r="AF468" s="12"/>
      <c r="AG468" s="12"/>
      <c r="AH468" s="12"/>
      <c r="AI468" s="12">
        <f t="shared" si="141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>
        <v>46002</v>
      </c>
      <c r="C469" s="91">
        <f t="shared" si="142"/>
        <v>7077</v>
      </c>
      <c r="D469" s="32">
        <f>1252+19</f>
        <v>1271</v>
      </c>
      <c r="E469" s="32"/>
      <c r="F469" s="32"/>
      <c r="G469" s="32">
        <f t="shared" si="136"/>
        <v>1271</v>
      </c>
      <c r="H469" s="12"/>
      <c r="I469" s="12">
        <v>3</v>
      </c>
      <c r="J469" s="12"/>
      <c r="K469" s="12">
        <f t="shared" si="137"/>
        <v>1274</v>
      </c>
      <c r="M469" s="10">
        <v>18</v>
      </c>
      <c r="N469" s="30"/>
      <c r="O469" s="31"/>
      <c r="P469" s="32"/>
      <c r="Q469" s="32"/>
      <c r="R469" s="32"/>
      <c r="S469" s="32">
        <f t="shared" si="138"/>
        <v>0</v>
      </c>
      <c r="T469" s="12"/>
      <c r="U469" s="12"/>
      <c r="V469" s="12"/>
      <c r="W469" s="12">
        <f t="shared" si="139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0"/>
        <v>0</v>
      </c>
      <c r="AF469" s="12"/>
      <c r="AG469" s="12"/>
      <c r="AH469" s="12"/>
      <c r="AI469" s="12">
        <f t="shared" si="141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11" t="s">
        <v>27</v>
      </c>
      <c r="D470" s="32"/>
      <c r="E470" s="32"/>
      <c r="F470" s="32"/>
      <c r="G470" s="32">
        <f t="shared" si="136"/>
        <v>0</v>
      </c>
      <c r="H470" s="12"/>
      <c r="I470" s="12"/>
      <c r="J470" s="12"/>
      <c r="K470" s="12">
        <f t="shared" si="137"/>
        <v>0</v>
      </c>
      <c r="M470" s="10">
        <v>19</v>
      </c>
      <c r="N470" s="30"/>
      <c r="O470" s="31"/>
      <c r="P470" s="32"/>
      <c r="Q470" s="32"/>
      <c r="R470" s="32"/>
      <c r="S470" s="32">
        <f t="shared" si="138"/>
        <v>0</v>
      </c>
      <c r="T470" s="12"/>
      <c r="U470" s="12"/>
      <c r="V470" s="12"/>
      <c r="W470" s="12">
        <f t="shared" si="139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0"/>
        <v>0</v>
      </c>
      <c r="AF470" s="12"/>
      <c r="AG470" s="12"/>
      <c r="AH470" s="12"/>
      <c r="AI470" s="12">
        <f t="shared" si="141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91"/>
      <c r="D471" s="32"/>
      <c r="E471" s="32"/>
      <c r="F471" s="32"/>
      <c r="G471" s="32">
        <f t="shared" si="136"/>
        <v>0</v>
      </c>
      <c r="H471" s="12"/>
      <c r="I471" s="12"/>
      <c r="J471" s="12"/>
      <c r="K471" s="12">
        <f t="shared" si="137"/>
        <v>0</v>
      </c>
      <c r="M471" s="10">
        <v>20</v>
      </c>
      <c r="N471" s="30"/>
      <c r="O471" s="31"/>
      <c r="P471" s="32"/>
      <c r="Q471" s="32"/>
      <c r="R471" s="32"/>
      <c r="S471" s="32">
        <f t="shared" si="138"/>
        <v>0</v>
      </c>
      <c r="T471" s="12"/>
      <c r="U471" s="12"/>
      <c r="V471" s="12"/>
      <c r="W471" s="12">
        <f t="shared" si="139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0"/>
        <v>0</v>
      </c>
      <c r="AF471" s="12"/>
      <c r="AG471" s="12"/>
      <c r="AH471" s="12"/>
      <c r="AI471" s="12">
        <f t="shared" si="141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91"/>
      <c r="D472" s="32"/>
      <c r="E472" s="32"/>
      <c r="F472" s="32"/>
      <c r="G472" s="32">
        <f t="shared" si="136"/>
        <v>0</v>
      </c>
      <c r="H472" s="10"/>
      <c r="I472" s="10"/>
      <c r="J472" s="10"/>
      <c r="K472" s="12">
        <f t="shared" si="137"/>
        <v>0</v>
      </c>
      <c r="M472" s="10">
        <v>21</v>
      </c>
      <c r="N472" s="30"/>
      <c r="P472" s="46"/>
      <c r="Q472" s="31"/>
      <c r="R472" s="31"/>
      <c r="S472" s="32">
        <f t="shared" si="138"/>
        <v>0</v>
      </c>
      <c r="T472" s="10"/>
      <c r="U472" s="10"/>
      <c r="V472" s="10"/>
      <c r="W472" s="12">
        <f t="shared" si="139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40"/>
        <v>0</v>
      </c>
      <c r="AF472" s="10"/>
      <c r="AG472" s="10"/>
      <c r="AH472" s="10"/>
      <c r="AI472" s="12">
        <f t="shared" si="141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91"/>
      <c r="D473" s="32"/>
      <c r="E473" s="32"/>
      <c r="F473" s="32"/>
      <c r="G473" s="32">
        <f t="shared" si="136"/>
        <v>0</v>
      </c>
      <c r="H473" s="10"/>
      <c r="I473" s="10"/>
      <c r="J473" s="10"/>
      <c r="K473" s="12">
        <f t="shared" si="137"/>
        <v>0</v>
      </c>
      <c r="M473" s="10">
        <v>22</v>
      </c>
      <c r="N473" s="30"/>
      <c r="O473" s="31"/>
      <c r="P473" s="45"/>
      <c r="Q473" s="31"/>
      <c r="R473" s="31"/>
      <c r="S473" s="32">
        <f t="shared" si="138"/>
        <v>0</v>
      </c>
      <c r="T473" s="10"/>
      <c r="U473" s="10"/>
      <c r="V473" s="10"/>
      <c r="W473" s="12">
        <f t="shared" si="139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0"/>
        <v>0</v>
      </c>
      <c r="AF473" s="10"/>
      <c r="AG473" s="10"/>
      <c r="AH473" s="10"/>
      <c r="AI473" s="12">
        <f t="shared" si="141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D474" s="32"/>
      <c r="E474" s="32"/>
      <c r="F474" s="32"/>
      <c r="G474" s="32">
        <f t="shared" si="136"/>
        <v>0</v>
      </c>
      <c r="H474" s="10"/>
      <c r="I474" s="10"/>
      <c r="J474" s="12"/>
      <c r="K474" s="12">
        <f t="shared" si="137"/>
        <v>0</v>
      </c>
      <c r="M474" s="10">
        <v>23</v>
      </c>
      <c r="N474" s="30"/>
      <c r="O474" s="31"/>
      <c r="P474" s="47"/>
      <c r="Q474" s="31"/>
      <c r="S474" s="32">
        <f t="shared" si="138"/>
        <v>0</v>
      </c>
      <c r="T474" s="10"/>
      <c r="U474" s="10"/>
      <c r="V474" s="10"/>
      <c r="W474" s="12">
        <f t="shared" si="139"/>
        <v>0</v>
      </c>
      <c r="Y474" s="10">
        <v>23</v>
      </c>
      <c r="Z474" s="30"/>
      <c r="AA474" s="31"/>
      <c r="AB474" s="47"/>
      <c r="AC474" s="31"/>
      <c r="AE474" s="32">
        <f t="shared" si="140"/>
        <v>0</v>
      </c>
      <c r="AF474" s="10"/>
      <c r="AG474" s="10"/>
      <c r="AH474" s="10"/>
      <c r="AI474" s="12">
        <f t="shared" si="141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91"/>
      <c r="D475" s="32"/>
      <c r="E475" s="32"/>
      <c r="F475" s="32"/>
      <c r="G475" s="32">
        <f t="shared" si="136"/>
        <v>0</v>
      </c>
      <c r="H475" s="10"/>
      <c r="I475" s="10"/>
      <c r="J475" s="10"/>
      <c r="K475" s="12">
        <f t="shared" si="137"/>
        <v>0</v>
      </c>
      <c r="M475" s="10">
        <v>24</v>
      </c>
      <c r="N475" s="30"/>
      <c r="O475" s="31"/>
      <c r="P475" s="47"/>
      <c r="Q475" s="31"/>
      <c r="R475" s="31"/>
      <c r="S475" s="32">
        <f t="shared" si="138"/>
        <v>0</v>
      </c>
      <c r="T475" s="10"/>
      <c r="U475" s="10"/>
      <c r="V475" s="10"/>
      <c r="W475" s="12">
        <f t="shared" si="139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0"/>
        <v>0</v>
      </c>
      <c r="AF475" s="10"/>
      <c r="AG475" s="10"/>
      <c r="AH475" s="10"/>
      <c r="AI475" s="12">
        <f t="shared" si="141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91"/>
      <c r="D476" s="32"/>
      <c r="E476" s="32"/>
      <c r="F476" s="32"/>
      <c r="G476" s="32">
        <f t="shared" si="136"/>
        <v>0</v>
      </c>
      <c r="H476" s="10"/>
      <c r="I476" s="10"/>
      <c r="J476" s="10"/>
      <c r="K476" s="12">
        <f t="shared" si="137"/>
        <v>0</v>
      </c>
      <c r="M476" s="10">
        <v>25</v>
      </c>
      <c r="N476" s="30"/>
      <c r="O476" s="31"/>
      <c r="P476" s="47"/>
      <c r="Q476" s="31"/>
      <c r="R476" s="31"/>
      <c r="S476" s="32">
        <f t="shared" si="138"/>
        <v>0</v>
      </c>
      <c r="T476" s="10"/>
      <c r="U476" s="10"/>
      <c r="V476" s="10"/>
      <c r="W476" s="12">
        <f t="shared" si="139"/>
        <v>0</v>
      </c>
      <c r="Y476" s="10">
        <v>25</v>
      </c>
      <c r="Z476" s="30"/>
      <c r="AA476" s="11"/>
      <c r="AB476" s="47"/>
      <c r="AC476" s="31"/>
      <c r="AD476" s="31"/>
      <c r="AE476" s="32">
        <f t="shared" si="140"/>
        <v>0</v>
      </c>
      <c r="AF476" s="10"/>
      <c r="AG476" s="10"/>
      <c r="AH476" s="10"/>
      <c r="AI476" s="12">
        <f t="shared" si="141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91"/>
      <c r="D477" s="32"/>
      <c r="E477" s="32"/>
      <c r="F477" s="32"/>
      <c r="G477" s="32">
        <f t="shared" si="136"/>
        <v>0</v>
      </c>
      <c r="H477" s="10"/>
      <c r="I477" s="10"/>
      <c r="J477" s="10"/>
      <c r="K477" s="12">
        <f t="shared" si="137"/>
        <v>0</v>
      </c>
      <c r="M477" s="10">
        <v>26</v>
      </c>
      <c r="N477" s="30"/>
      <c r="O477" s="31"/>
      <c r="P477" s="47"/>
      <c r="Q477" s="31"/>
      <c r="R477" s="31"/>
      <c r="S477" s="32">
        <f t="shared" si="138"/>
        <v>0</v>
      </c>
      <c r="T477" s="10"/>
      <c r="U477" s="10"/>
      <c r="V477" s="10"/>
      <c r="W477" s="12">
        <f t="shared" si="139"/>
        <v>0</v>
      </c>
      <c r="Y477" s="10">
        <v>26</v>
      </c>
      <c r="Z477" s="30"/>
      <c r="AB477" s="47"/>
      <c r="AC477" s="31"/>
      <c r="AD477" s="31"/>
      <c r="AE477" s="32">
        <f t="shared" si="140"/>
        <v>0</v>
      </c>
      <c r="AF477" s="10"/>
      <c r="AG477" s="10"/>
      <c r="AH477" s="10"/>
      <c r="AI477" s="12">
        <f t="shared" si="141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91"/>
      <c r="D478" s="32"/>
      <c r="E478" s="32"/>
      <c r="F478" s="32"/>
      <c r="G478" s="32">
        <f t="shared" si="136"/>
        <v>0</v>
      </c>
      <c r="H478" s="10"/>
      <c r="I478" s="10"/>
      <c r="J478" s="10"/>
      <c r="K478" s="12">
        <f t="shared" si="137"/>
        <v>0</v>
      </c>
      <c r="M478" s="10">
        <v>27</v>
      </c>
      <c r="N478" s="30"/>
      <c r="O478" s="31"/>
      <c r="P478" s="47"/>
      <c r="Q478" s="31"/>
      <c r="R478" s="31"/>
      <c r="S478" s="32">
        <f t="shared" si="138"/>
        <v>0</v>
      </c>
      <c r="T478" s="10"/>
      <c r="U478" s="10"/>
      <c r="V478" s="10"/>
      <c r="W478" s="12">
        <f t="shared" si="139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0"/>
        <v>0</v>
      </c>
      <c r="AF478" s="10"/>
      <c r="AG478" s="10"/>
      <c r="AH478" s="10"/>
      <c r="AI478" s="12">
        <f t="shared" si="141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91"/>
      <c r="D479" s="32"/>
      <c r="E479" s="32"/>
      <c r="F479" s="32"/>
      <c r="G479" s="32">
        <f t="shared" si="136"/>
        <v>0</v>
      </c>
      <c r="H479" s="10"/>
      <c r="I479" s="10"/>
      <c r="J479" s="10"/>
      <c r="K479" s="12">
        <f t="shared" si="137"/>
        <v>0</v>
      </c>
      <c r="M479" s="10">
        <v>28</v>
      </c>
      <c r="N479" s="30"/>
      <c r="O479" s="31"/>
      <c r="P479" s="47"/>
      <c r="Q479" s="31"/>
      <c r="R479" s="31"/>
      <c r="S479" s="32">
        <f t="shared" si="138"/>
        <v>0</v>
      </c>
      <c r="T479" s="10"/>
      <c r="U479" s="10"/>
      <c r="V479" s="10"/>
      <c r="W479" s="12">
        <f t="shared" si="139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0"/>
        <v>0</v>
      </c>
      <c r="AF479" s="10"/>
      <c r="AG479" s="10"/>
      <c r="AH479" s="10"/>
      <c r="AI479" s="12">
        <f t="shared" si="141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91"/>
      <c r="D480" s="32"/>
      <c r="E480" s="32"/>
      <c r="F480" s="32"/>
      <c r="G480" s="32">
        <f t="shared" si="136"/>
        <v>0</v>
      </c>
      <c r="H480" s="10"/>
      <c r="I480" s="10"/>
      <c r="J480" s="10"/>
      <c r="K480" s="12">
        <f t="shared" si="137"/>
        <v>0</v>
      </c>
      <c r="M480" s="10">
        <v>29</v>
      </c>
      <c r="N480" s="30"/>
      <c r="O480" s="31"/>
      <c r="P480" s="47"/>
      <c r="Q480" s="31"/>
      <c r="R480" s="31"/>
      <c r="S480" s="32">
        <f t="shared" si="138"/>
        <v>0</v>
      </c>
      <c r="T480" s="10"/>
      <c r="U480" s="10"/>
      <c r="V480" s="10"/>
      <c r="W480" s="12">
        <f t="shared" si="139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0"/>
        <v>0</v>
      </c>
      <c r="AF480" s="10"/>
      <c r="AG480" s="10"/>
      <c r="AH480" s="10"/>
      <c r="AI480" s="12">
        <f t="shared" si="141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57"/>
      <c r="D481" s="32"/>
      <c r="E481" s="32"/>
      <c r="F481" s="32"/>
      <c r="G481" s="32">
        <f t="shared" si="136"/>
        <v>0</v>
      </c>
      <c r="H481" s="10"/>
      <c r="I481" s="10"/>
      <c r="J481" s="10"/>
      <c r="K481" s="12">
        <f t="shared" si="137"/>
        <v>0</v>
      </c>
      <c r="M481" s="10">
        <v>30</v>
      </c>
      <c r="N481" s="30"/>
      <c r="O481" s="31"/>
      <c r="P481" s="47"/>
      <c r="Q481" s="31"/>
      <c r="R481" s="31"/>
      <c r="S481" s="32">
        <f t="shared" si="138"/>
        <v>0</v>
      </c>
      <c r="T481" s="10"/>
      <c r="U481" s="10"/>
      <c r="V481" s="10"/>
      <c r="W481" s="12">
        <f t="shared" si="139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0"/>
        <v>0</v>
      </c>
      <c r="AF481" s="10"/>
      <c r="AG481" s="10"/>
      <c r="AH481" s="10"/>
      <c r="AI481" s="12">
        <f t="shared" si="141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91"/>
      <c r="D482" s="32"/>
      <c r="E482" s="32"/>
      <c r="F482" s="32"/>
      <c r="G482" s="32">
        <f t="shared" si="136"/>
        <v>0</v>
      </c>
      <c r="H482" s="10"/>
      <c r="I482" s="10"/>
      <c r="J482" s="10"/>
      <c r="K482" s="12">
        <f t="shared" si="137"/>
        <v>0</v>
      </c>
      <c r="M482" s="10">
        <v>31</v>
      </c>
      <c r="N482" s="30"/>
      <c r="O482" s="31"/>
      <c r="P482" s="47"/>
      <c r="Q482" s="31"/>
      <c r="R482" s="31"/>
      <c r="S482" s="32">
        <f t="shared" si="138"/>
        <v>0</v>
      </c>
      <c r="T482" s="10"/>
      <c r="U482" s="10"/>
      <c r="V482" s="10"/>
      <c r="W482" s="12">
        <f t="shared" si="139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0"/>
        <v>0</v>
      </c>
      <c r="AF482" s="10"/>
      <c r="AG482" s="10"/>
      <c r="AH482" s="10"/>
      <c r="AI482" s="12">
        <f t="shared" si="141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91"/>
      <c r="D483" s="32"/>
      <c r="E483" s="32"/>
      <c r="F483" s="32"/>
      <c r="G483" s="32">
        <f t="shared" si="136"/>
        <v>0</v>
      </c>
      <c r="H483" s="10"/>
      <c r="I483" s="10"/>
      <c r="J483" s="10"/>
      <c r="K483" s="12">
        <f t="shared" si="137"/>
        <v>0</v>
      </c>
      <c r="M483" s="10">
        <v>32</v>
      </c>
      <c r="N483" s="30"/>
      <c r="O483" s="31"/>
      <c r="P483" s="47"/>
      <c r="Q483" s="31"/>
      <c r="R483" s="31"/>
      <c r="S483" s="32">
        <f t="shared" si="138"/>
        <v>0</v>
      </c>
      <c r="T483" s="10"/>
      <c r="U483" s="10"/>
      <c r="V483" s="10"/>
      <c r="W483" s="12">
        <f t="shared" si="139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0"/>
        <v>0</v>
      </c>
      <c r="AF483" s="10"/>
      <c r="AG483" s="10"/>
      <c r="AH483" s="10"/>
      <c r="AI483" s="12">
        <f t="shared" si="141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91"/>
      <c r="D484" s="32"/>
      <c r="E484" s="32"/>
      <c r="F484" s="32"/>
      <c r="G484" s="32">
        <f t="shared" si="136"/>
        <v>0</v>
      </c>
      <c r="H484" s="10"/>
      <c r="I484" s="10"/>
      <c r="J484" s="10"/>
      <c r="K484" s="12">
        <f t="shared" si="137"/>
        <v>0</v>
      </c>
      <c r="M484" s="10">
        <v>33</v>
      </c>
      <c r="N484" s="30"/>
      <c r="O484" s="31"/>
      <c r="P484" s="47"/>
      <c r="Q484" s="31"/>
      <c r="R484" s="31"/>
      <c r="S484" s="32">
        <f t="shared" si="138"/>
        <v>0</v>
      </c>
      <c r="T484" s="10"/>
      <c r="U484" s="10"/>
      <c r="V484" s="10"/>
      <c r="W484" s="12">
        <f t="shared" si="139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0"/>
        <v>0</v>
      </c>
      <c r="AF484" s="10"/>
      <c r="AG484" s="10"/>
      <c r="AH484" s="10"/>
      <c r="AI484" s="12">
        <f t="shared" si="141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91"/>
      <c r="D485" s="32"/>
      <c r="E485" s="32"/>
      <c r="F485" s="32"/>
      <c r="G485" s="32">
        <f t="shared" si="136"/>
        <v>0</v>
      </c>
      <c r="H485" s="10"/>
      <c r="I485" s="10"/>
      <c r="J485" s="10"/>
      <c r="K485" s="12">
        <f t="shared" si="137"/>
        <v>0</v>
      </c>
      <c r="M485" s="10">
        <v>34</v>
      </c>
      <c r="N485" s="30"/>
      <c r="P485" s="47"/>
      <c r="Q485" s="31"/>
      <c r="R485" s="31"/>
      <c r="S485" s="32">
        <f t="shared" ref="S485:S490" si="145">SUM(P485:Q485)</f>
        <v>0</v>
      </c>
      <c r="T485" s="10"/>
      <c r="U485" s="10"/>
      <c r="V485" s="10"/>
      <c r="W485" s="12">
        <f t="shared" si="139"/>
        <v>0</v>
      </c>
      <c r="Y485" s="10">
        <v>34</v>
      </c>
      <c r="Z485" s="30"/>
      <c r="AB485" s="47"/>
      <c r="AC485" s="31"/>
      <c r="AD485" s="31"/>
      <c r="AE485" s="32">
        <f t="shared" si="140"/>
        <v>0</v>
      </c>
      <c r="AF485" s="10"/>
      <c r="AG485" s="10"/>
      <c r="AH485" s="10"/>
      <c r="AI485" s="12">
        <f t="shared" si="141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31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5"/>
        <v>0</v>
      </c>
      <c r="T486" s="10"/>
      <c r="U486" s="10"/>
      <c r="V486" s="10"/>
      <c r="W486" s="12">
        <f t="shared" si="139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0"/>
        <v>0</v>
      </c>
      <c r="AF486" s="10"/>
      <c r="AG486" s="10"/>
      <c r="AH486" s="10"/>
      <c r="AI486" s="12">
        <f t="shared" si="14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31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5"/>
        <v>0</v>
      </c>
      <c r="T487" s="10"/>
      <c r="U487" s="10"/>
      <c r="V487" s="10"/>
      <c r="W487" s="12">
        <f t="shared" si="139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0"/>
        <v>0</v>
      </c>
      <c r="AF487" s="10"/>
      <c r="AG487" s="10"/>
      <c r="AH487" s="10"/>
      <c r="AI487" s="12">
        <f t="shared" si="14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5"/>
        <v>0</v>
      </c>
      <c r="T488" s="10"/>
      <c r="U488" s="10"/>
      <c r="V488" s="10"/>
      <c r="W488" s="12">
        <f t="shared" si="139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0"/>
        <v>0</v>
      </c>
      <c r="AF488" s="10"/>
      <c r="AG488" s="10"/>
      <c r="AH488" s="10"/>
      <c r="AI488" s="12">
        <f t="shared" si="14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5"/>
        <v>0</v>
      </c>
      <c r="T489" s="10"/>
      <c r="U489" s="10"/>
      <c r="V489" s="10"/>
      <c r="W489" s="12">
        <f t="shared" si="139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0"/>
        <v>0</v>
      </c>
      <c r="AF489" s="10"/>
      <c r="AG489" s="10"/>
      <c r="AH489" s="10"/>
      <c r="AI489" s="12">
        <f t="shared" si="14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5"/>
        <v>0</v>
      </c>
      <c r="T490" s="10"/>
      <c r="U490" s="10"/>
      <c r="V490" s="10"/>
      <c r="W490" s="12">
        <f t="shared" si="139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0"/>
        <v>0</v>
      </c>
      <c r="AF490" s="10"/>
      <c r="AG490" s="10"/>
      <c r="AH490" s="10"/>
      <c r="AI490" s="12">
        <f t="shared" si="14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39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46">SUM(D492:E492)</f>
        <v>0</v>
      </c>
      <c r="H492" s="10"/>
      <c r="I492" s="10"/>
      <c r="J492" s="10"/>
      <c r="K492" s="12">
        <f t="shared" ref="K492" si="147">SUM(G492:J492)</f>
        <v>0</v>
      </c>
      <c r="M492" s="10"/>
      <c r="N492" s="30"/>
      <c r="O492" s="31"/>
      <c r="P492" s="47"/>
      <c r="Q492" s="31"/>
      <c r="R492" s="31"/>
      <c r="S492" s="32">
        <f t="shared" ref="S492" si="148">SUM(P492:Q492)</f>
        <v>0</v>
      </c>
      <c r="T492" s="10"/>
      <c r="U492" s="10"/>
      <c r="V492" s="10"/>
      <c r="W492" s="12">
        <f t="shared" si="139"/>
        <v>0</v>
      </c>
      <c r="Y492" s="10"/>
      <c r="Z492" s="30"/>
      <c r="AA492" s="31"/>
      <c r="AB492" s="47"/>
      <c r="AC492" s="31"/>
      <c r="AD492" s="31"/>
      <c r="AE492" s="32">
        <f t="shared" ref="AE492" si="149">SUM(AB492:AC492)</f>
        <v>0</v>
      </c>
      <c r="AF492" s="10"/>
      <c r="AG492" s="10"/>
      <c r="AH492" s="10"/>
      <c r="AI492" s="12">
        <f t="shared" si="14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39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157979</v>
      </c>
      <c r="E495" s="38">
        <f t="shared" ref="E495:F495" si="150">SUM(E452:E492)</f>
        <v>0</v>
      </c>
      <c r="F495" s="38">
        <f t="shared" si="150"/>
        <v>0</v>
      </c>
      <c r="G495" s="38">
        <f>SUM(G452:G494)</f>
        <v>157979</v>
      </c>
      <c r="H495" s="4"/>
      <c r="I495" s="39">
        <f>SUM(I452:I494)</f>
        <v>658</v>
      </c>
      <c r="J495" s="39">
        <f>SUM(J452:J494)</f>
        <v>-777</v>
      </c>
      <c r="K495" s="40">
        <f>SUM(K452:K494)</f>
        <v>157860</v>
      </c>
      <c r="N495" s="57"/>
      <c r="O495" s="57"/>
      <c r="P495" s="38">
        <f>SUM(P452:P494)</f>
        <v>137535.5</v>
      </c>
      <c r="Q495" s="38">
        <f>SUM(Q452:Q476)</f>
        <v>-1863</v>
      </c>
      <c r="R495" s="38">
        <f>SUM(R452:R476)</f>
        <v>0</v>
      </c>
      <c r="S495" s="38">
        <f>SUM(S452:S494)</f>
        <v>135672.5</v>
      </c>
      <c r="T495" s="4"/>
      <c r="U495" s="41">
        <f>SUM(U452:U494)</f>
        <v>3732</v>
      </c>
      <c r="V495" s="41">
        <f>SUM(V452:V476)</f>
        <v>-333</v>
      </c>
      <c r="W495" s="42">
        <f>SUM(W452:W494)</f>
        <v>139071.5</v>
      </c>
      <c r="Z495" s="57"/>
      <c r="AA495" s="57"/>
      <c r="AB495" s="38">
        <f>SUM(AB452:AB494)</f>
        <v>132635.5</v>
      </c>
      <c r="AC495" s="38">
        <f>SUM(AC452:AC476)</f>
        <v>-312</v>
      </c>
      <c r="AD495" s="38">
        <f>SUM(AD452:AD476)</f>
        <v>0</v>
      </c>
      <c r="AE495" s="38">
        <f>SUM(AE452:AE494)</f>
        <v>132323.5</v>
      </c>
      <c r="AF495" s="4"/>
      <c r="AG495" s="41">
        <f>SUM(AG452:AG494)</f>
        <v>54</v>
      </c>
      <c r="AH495" s="41">
        <f>SUM(AH452:AH476)</f>
        <v>-11724</v>
      </c>
      <c r="AI495" s="42">
        <f>SUM(AI452:AI494)</f>
        <v>120653.5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9"/>
      <c r="C497" s="89"/>
      <c r="D497" s="89"/>
      <c r="E497" s="89"/>
      <c r="F497" s="89"/>
      <c r="G497" s="89"/>
      <c r="H497" s="62"/>
      <c r="I497" s="62"/>
      <c r="J497" s="62"/>
      <c r="K497" s="62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9"/>
      <c r="C498" s="89"/>
      <c r="D498" s="89"/>
      <c r="E498" s="89"/>
      <c r="F498" s="89"/>
      <c r="G498" s="89"/>
      <c r="H498" s="62"/>
      <c r="I498" s="62"/>
      <c r="J498" s="62"/>
      <c r="K498" s="62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9"/>
      <c r="C499" s="89"/>
      <c r="D499" s="89"/>
      <c r="E499" s="89"/>
      <c r="F499" s="89"/>
      <c r="G499" s="89"/>
      <c r="H499" s="62"/>
      <c r="I499" s="62"/>
      <c r="J499" s="62"/>
      <c r="K499" s="62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9"/>
      <c r="C500" s="89"/>
      <c r="D500" s="89"/>
      <c r="E500" s="89"/>
      <c r="F500" s="89"/>
      <c r="G500" s="89"/>
      <c r="H500" s="62"/>
      <c r="I500" s="62"/>
      <c r="J500" s="62"/>
      <c r="K500" s="62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9"/>
      <c r="C501" s="89"/>
      <c r="D501" s="89"/>
      <c r="E501" s="89"/>
      <c r="F501" s="89"/>
      <c r="G501" s="89"/>
      <c r="H501" s="62"/>
      <c r="I501" s="62"/>
      <c r="J501" s="62"/>
      <c r="K501" s="62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9"/>
      <c r="C502" s="89"/>
      <c r="D502" s="89"/>
      <c r="E502" s="89"/>
      <c r="F502" s="89"/>
      <c r="G502" s="89"/>
      <c r="H502" s="62"/>
      <c r="I502" s="89"/>
      <c r="J502" s="74"/>
      <c r="K502" s="62"/>
      <c r="M502" t="s">
        <v>50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50</v>
      </c>
      <c r="Z502" s="57"/>
      <c r="AA502" s="57"/>
      <c r="AB502" s="57"/>
      <c r="AC502" s="57"/>
      <c r="AD502" s="57"/>
      <c r="AE502" s="57"/>
      <c r="AG502" s="57" t="s">
        <v>15</v>
      </c>
      <c r="AH502" s="19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9"/>
      <c r="C503" s="89"/>
      <c r="D503" s="89"/>
      <c r="E503" s="89"/>
      <c r="F503" s="89"/>
      <c r="G503" s="89"/>
      <c r="H503" s="62"/>
      <c r="I503" s="65"/>
      <c r="J503" s="65"/>
      <c r="K503" s="62"/>
      <c r="M503" s="21" t="s">
        <v>64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42</v>
      </c>
      <c r="W503" s="24"/>
      <c r="Y503" s="21" t="s">
        <v>64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9"/>
      <c r="C504" s="89"/>
      <c r="D504" s="89"/>
      <c r="E504" s="89"/>
      <c r="F504" s="89"/>
      <c r="G504" s="89"/>
      <c r="H504" s="62"/>
      <c r="I504" s="62"/>
      <c r="J504" s="62"/>
      <c r="K504" s="62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9"/>
      <c r="D505" s="106"/>
      <c r="E505" s="106"/>
      <c r="F505" s="89"/>
      <c r="G505" s="89"/>
      <c r="H505" s="62"/>
      <c r="I505" s="106"/>
      <c r="J505" s="106"/>
      <c r="K505" s="105"/>
      <c r="N505" s="25"/>
      <c r="O505" s="26"/>
      <c r="P505" s="111" t="s">
        <v>17</v>
      </c>
      <c r="Q505" s="111"/>
      <c r="R505" s="100"/>
      <c r="S505" s="27"/>
      <c r="U505" s="109" t="s">
        <v>18</v>
      </c>
      <c r="V505" s="110"/>
      <c r="W505" s="107" t="s">
        <v>19</v>
      </c>
      <c r="Z505" s="25"/>
      <c r="AA505" s="26"/>
      <c r="AB505" s="111" t="s">
        <v>17</v>
      </c>
      <c r="AC505" s="111"/>
      <c r="AD505" s="100"/>
      <c r="AE505" s="27"/>
      <c r="AG505" s="109" t="s">
        <v>18</v>
      </c>
      <c r="AH505" s="110"/>
      <c r="AI505" s="107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A506" s="62"/>
      <c r="B506" s="89"/>
      <c r="C506" s="89"/>
      <c r="D506" s="81"/>
      <c r="E506" s="82"/>
      <c r="F506" s="83"/>
      <c r="G506" s="83"/>
      <c r="H506" s="62"/>
      <c r="I506" s="88"/>
      <c r="J506" s="88"/>
      <c r="K506" s="105"/>
      <c r="N506" s="28" t="s">
        <v>20</v>
      </c>
      <c r="O506" s="28" t="s">
        <v>21</v>
      </c>
      <c r="P506" s="79" t="s">
        <v>22</v>
      </c>
      <c r="Q506" s="80" t="s">
        <v>23</v>
      </c>
      <c r="R506" s="80" t="s">
        <v>32</v>
      </c>
      <c r="S506" s="80" t="s">
        <v>24</v>
      </c>
      <c r="U506" s="29" t="s">
        <v>25</v>
      </c>
      <c r="V506" s="29" t="s">
        <v>26</v>
      </c>
      <c r="W506" s="108"/>
      <c r="Z506" s="28" t="s">
        <v>20</v>
      </c>
      <c r="AA506" s="28" t="s">
        <v>21</v>
      </c>
      <c r="AB506" s="79" t="s">
        <v>22</v>
      </c>
      <c r="AC506" s="80" t="s">
        <v>23</v>
      </c>
      <c r="AD506" s="80" t="s">
        <v>32</v>
      </c>
      <c r="AE506" s="80" t="s">
        <v>24</v>
      </c>
      <c r="AG506" s="29" t="s">
        <v>25</v>
      </c>
      <c r="AH506" s="29" t="s">
        <v>26</v>
      </c>
      <c r="AI506" s="108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9"/>
      <c r="D507" s="60"/>
      <c r="E507" s="60"/>
      <c r="F507" s="60"/>
      <c r="G507" s="60"/>
      <c r="H507" s="61"/>
      <c r="I507" s="61"/>
      <c r="J507" s="61"/>
      <c r="K507" s="61"/>
      <c r="M507" s="10">
        <v>1</v>
      </c>
      <c r="N507" s="30" t="s">
        <v>65</v>
      </c>
      <c r="O507" s="31">
        <v>7151</v>
      </c>
      <c r="P507" s="32">
        <f>626+596+19</f>
        <v>1241</v>
      </c>
      <c r="Q507" s="32"/>
      <c r="R507" s="32"/>
      <c r="S507" s="32">
        <f>SUM(P507:Q507)</f>
        <v>1241</v>
      </c>
      <c r="T507" s="12"/>
      <c r="U507" s="12"/>
      <c r="V507" s="12"/>
      <c r="W507" s="12">
        <f>SUM(S507:V507)</f>
        <v>1241</v>
      </c>
      <c r="Y507" s="10">
        <v>1</v>
      </c>
      <c r="Z507" s="30" t="s">
        <v>65</v>
      </c>
      <c r="AA507" s="31">
        <v>7122</v>
      </c>
      <c r="AB507" s="32">
        <f>125200+29800+5025+2290</f>
        <v>162315</v>
      </c>
      <c r="AC507" s="32">
        <v>-1590</v>
      </c>
      <c r="AD507" s="32"/>
      <c r="AE507" s="32">
        <f>SUM(AB507:AC507)</f>
        <v>160725</v>
      </c>
      <c r="AF507" s="12"/>
      <c r="AG507" s="12">
        <f>600+18648+780</f>
        <v>20028</v>
      </c>
      <c r="AH507" s="12">
        <v>-252</v>
      </c>
      <c r="AI507" s="12">
        <f>SUM(AE507:AH507)</f>
        <v>180501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9"/>
      <c r="D508" s="60"/>
      <c r="E508" s="60"/>
      <c r="F508" s="60"/>
      <c r="G508" s="60"/>
      <c r="H508" s="61"/>
      <c r="I508" s="61"/>
      <c r="J508" s="61"/>
      <c r="K508" s="61"/>
      <c r="M508" s="10">
        <v>2</v>
      </c>
      <c r="N508" s="30" t="s">
        <v>65</v>
      </c>
      <c r="O508" s="31">
        <f>O507+1</f>
        <v>7152</v>
      </c>
      <c r="P508" s="32">
        <f>626+596+19</f>
        <v>1241</v>
      </c>
      <c r="Q508" s="32"/>
      <c r="R508" s="32"/>
      <c r="S508" s="32">
        <f t="shared" ref="S508:S539" si="151">SUM(P508:Q508)</f>
        <v>1241</v>
      </c>
      <c r="T508" s="12"/>
      <c r="U508" s="12"/>
      <c r="V508" s="12"/>
      <c r="W508" s="12">
        <f t="shared" ref="W508:W548" si="152">SUM(S508:V508)</f>
        <v>1241</v>
      </c>
      <c r="Y508" s="10">
        <v>2</v>
      </c>
      <c r="Z508" s="30" t="s">
        <v>65</v>
      </c>
      <c r="AA508" s="31">
        <f>AA507+1</f>
        <v>7123</v>
      </c>
      <c r="AB508" s="32">
        <f>25040+3070+2980+458</f>
        <v>31548</v>
      </c>
      <c r="AC508" s="32">
        <v>-312</v>
      </c>
      <c r="AD508" s="32"/>
      <c r="AE508" s="32">
        <f t="shared" ref="AE508:AE545" si="153">SUM(AB508:AC508)</f>
        <v>31236</v>
      </c>
      <c r="AF508" s="12"/>
      <c r="AG508" s="12"/>
      <c r="AH508" s="12"/>
      <c r="AI508" s="12">
        <f t="shared" ref="AI508:AI548" si="154">SUM(AE508:AH508)</f>
        <v>31236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9"/>
      <c r="D509" s="60"/>
      <c r="E509" s="60"/>
      <c r="F509" s="60"/>
      <c r="G509" s="60"/>
      <c r="H509" s="61"/>
      <c r="I509" s="61"/>
      <c r="J509" s="61"/>
      <c r="K509" s="61"/>
      <c r="M509" s="10">
        <v>3</v>
      </c>
      <c r="N509" s="30" t="s">
        <v>65</v>
      </c>
      <c r="O509" s="31">
        <f t="shared" ref="O509:O518" si="155">O508+1</f>
        <v>7153</v>
      </c>
      <c r="P509" s="32">
        <f>1252+596+28.5</f>
        <v>1876.5</v>
      </c>
      <c r="Q509" s="32"/>
      <c r="R509" s="32"/>
      <c r="S509" s="32">
        <f t="shared" si="151"/>
        <v>1876.5</v>
      </c>
      <c r="T509" s="12"/>
      <c r="U509" s="12"/>
      <c r="V509" s="12"/>
      <c r="W509" s="12">
        <f t="shared" si="152"/>
        <v>1876.5</v>
      </c>
      <c r="Y509" s="10">
        <v>3</v>
      </c>
      <c r="Z509" s="30" t="s">
        <v>65</v>
      </c>
      <c r="AA509" s="31">
        <f t="shared" ref="AA509:AA510" si="156">AA508+1</f>
        <v>7124</v>
      </c>
      <c r="AB509" s="33">
        <f>18780+2384+458</f>
        <v>21622</v>
      </c>
      <c r="AC509" s="33"/>
      <c r="AD509" s="32"/>
      <c r="AE509" s="32">
        <f t="shared" si="153"/>
        <v>21622</v>
      </c>
      <c r="AF509" s="12"/>
      <c r="AG509" s="12"/>
      <c r="AH509" s="12"/>
      <c r="AI509" s="12">
        <f t="shared" si="154"/>
        <v>21622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9"/>
      <c r="D510" s="60"/>
      <c r="E510" s="60"/>
      <c r="F510" s="60"/>
      <c r="G510" s="60"/>
      <c r="H510" s="61"/>
      <c r="I510" s="61"/>
      <c r="J510" s="61"/>
      <c r="K510" s="61"/>
      <c r="M510" s="10">
        <v>4</v>
      </c>
      <c r="N510" s="30" t="s">
        <v>65</v>
      </c>
      <c r="O510" s="31">
        <f t="shared" si="155"/>
        <v>7154</v>
      </c>
      <c r="P510" s="32">
        <f>1878+28.5</f>
        <v>1906.5</v>
      </c>
      <c r="Q510" s="32"/>
      <c r="R510" s="32"/>
      <c r="S510" s="32">
        <f t="shared" si="151"/>
        <v>1906.5</v>
      </c>
      <c r="T510" s="12"/>
      <c r="U510" s="12"/>
      <c r="V510" s="12"/>
      <c r="W510" s="12">
        <f t="shared" si="152"/>
        <v>1906.5</v>
      </c>
      <c r="Y510" s="10">
        <v>4</v>
      </c>
      <c r="Z510" s="30" t="s">
        <v>65</v>
      </c>
      <c r="AA510" s="31">
        <f t="shared" si="156"/>
        <v>7125</v>
      </c>
      <c r="AB510" s="32">
        <f>6886+3070+832</f>
        <v>10788</v>
      </c>
      <c r="AC510" s="32"/>
      <c r="AD510" s="32"/>
      <c r="AE510" s="32">
        <f t="shared" si="153"/>
        <v>10788</v>
      </c>
      <c r="AF510" s="12"/>
      <c r="AH510" s="12"/>
      <c r="AI510" s="12">
        <f t="shared" si="154"/>
        <v>10788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9"/>
      <c r="D511" s="60"/>
      <c r="E511" s="60"/>
      <c r="F511" s="60"/>
      <c r="G511" s="60"/>
      <c r="H511" s="61"/>
      <c r="I511" s="61"/>
      <c r="J511" s="61"/>
      <c r="K511" s="61"/>
      <c r="M511" s="10">
        <v>5</v>
      </c>
      <c r="N511" s="30" t="s">
        <v>65</v>
      </c>
      <c r="O511" s="31">
        <f t="shared" si="155"/>
        <v>7155</v>
      </c>
      <c r="P511" s="32">
        <f>626+596+19</f>
        <v>1241</v>
      </c>
      <c r="Q511" s="32"/>
      <c r="R511" s="32"/>
      <c r="S511" s="32">
        <f t="shared" si="151"/>
        <v>1241</v>
      </c>
      <c r="T511" s="12"/>
      <c r="U511" s="12"/>
      <c r="V511" s="12"/>
      <c r="W511" s="12">
        <f t="shared" si="152"/>
        <v>1241</v>
      </c>
      <c r="Y511" s="10">
        <v>5</v>
      </c>
      <c r="Z511" s="30"/>
      <c r="AA511" s="11" t="s">
        <v>27</v>
      </c>
      <c r="AB511" s="32"/>
      <c r="AC511" s="32"/>
      <c r="AD511" s="32"/>
      <c r="AE511" s="32">
        <f t="shared" si="153"/>
        <v>0</v>
      </c>
      <c r="AF511" s="12"/>
      <c r="AG511" s="12"/>
      <c r="AH511" s="12"/>
      <c r="AI511" s="12">
        <f t="shared" si="154"/>
        <v>0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9"/>
      <c r="D512" s="60"/>
      <c r="E512" s="60"/>
      <c r="F512" s="60"/>
      <c r="G512" s="60"/>
      <c r="H512" s="61"/>
      <c r="I512" s="61"/>
      <c r="J512" s="61"/>
      <c r="K512" s="61"/>
      <c r="M512" s="10">
        <v>6</v>
      </c>
      <c r="N512" s="30" t="s">
        <v>65</v>
      </c>
      <c r="O512" s="31">
        <f t="shared" si="155"/>
        <v>7156</v>
      </c>
      <c r="P512" s="32">
        <f>1252+19</f>
        <v>1271</v>
      </c>
      <c r="Q512" s="32"/>
      <c r="R512" s="32"/>
      <c r="S512" s="32">
        <f t="shared" si="151"/>
        <v>1271</v>
      </c>
      <c r="T512" s="12"/>
      <c r="U512" s="12"/>
      <c r="V512" s="10"/>
      <c r="W512" s="12">
        <f t="shared" si="152"/>
        <v>1271</v>
      </c>
      <c r="Y512" s="10">
        <v>6</v>
      </c>
      <c r="Z512" s="30"/>
      <c r="AA512" s="31"/>
      <c r="AB512" s="32"/>
      <c r="AC512" s="32"/>
      <c r="AD512" s="32"/>
      <c r="AE512" s="32">
        <f t="shared" si="153"/>
        <v>0</v>
      </c>
      <c r="AF512" s="12"/>
      <c r="AG512" s="12"/>
      <c r="AH512" s="10"/>
      <c r="AI512" s="12">
        <f t="shared" si="154"/>
        <v>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9"/>
      <c r="D513" s="60"/>
      <c r="E513" s="60"/>
      <c r="F513" s="60"/>
      <c r="G513" s="60"/>
      <c r="H513" s="61"/>
      <c r="I513" s="61"/>
      <c r="J513" s="61"/>
      <c r="K513" s="61"/>
      <c r="M513" s="10">
        <v>7</v>
      </c>
      <c r="N513" s="30" t="s">
        <v>65</v>
      </c>
      <c r="O513" s="31">
        <f t="shared" si="155"/>
        <v>7157</v>
      </c>
      <c r="P513" s="32">
        <f>1878+456.5+28.5</f>
        <v>2363</v>
      </c>
      <c r="Q513" s="32"/>
      <c r="R513" s="32"/>
      <c r="S513" s="32">
        <f t="shared" si="151"/>
        <v>2363</v>
      </c>
      <c r="T513" s="12"/>
      <c r="U513" s="12"/>
      <c r="V513" s="12"/>
      <c r="W513" s="12">
        <f t="shared" si="152"/>
        <v>2363</v>
      </c>
      <c r="Y513" s="10">
        <v>7</v>
      </c>
      <c r="Z513" s="30"/>
      <c r="AA513" s="31"/>
      <c r="AB513" s="32"/>
      <c r="AC513" s="32"/>
      <c r="AD513" s="32"/>
      <c r="AE513" s="32">
        <f t="shared" si="153"/>
        <v>0</v>
      </c>
      <c r="AF513" s="12"/>
      <c r="AG513" s="58"/>
      <c r="AH513" s="12"/>
      <c r="AI513" s="12">
        <f t="shared" si="154"/>
        <v>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9"/>
      <c r="D514" s="60"/>
      <c r="E514" s="60"/>
      <c r="F514" s="60"/>
      <c r="G514" s="60"/>
      <c r="H514" s="61"/>
      <c r="I514" s="61"/>
      <c r="J514" s="61"/>
      <c r="K514" s="61"/>
      <c r="M514" s="10">
        <v>8</v>
      </c>
      <c r="N514" s="30" t="s">
        <v>65</v>
      </c>
      <c r="O514" s="31">
        <f t="shared" si="155"/>
        <v>7158</v>
      </c>
      <c r="P514" s="32">
        <f>2504+38</f>
        <v>2542</v>
      </c>
      <c r="Q514" s="32"/>
      <c r="R514" s="32"/>
      <c r="S514" s="32">
        <f t="shared" si="151"/>
        <v>2542</v>
      </c>
      <c r="T514" s="12"/>
      <c r="U514" s="12"/>
      <c r="V514" s="12"/>
      <c r="W514" s="12">
        <f t="shared" si="152"/>
        <v>2542</v>
      </c>
      <c r="Y514" s="10">
        <v>8</v>
      </c>
      <c r="Z514" s="30"/>
      <c r="AA514" s="31"/>
      <c r="AB514" s="32"/>
      <c r="AC514" s="32"/>
      <c r="AE514" s="32">
        <f t="shared" si="153"/>
        <v>0</v>
      </c>
      <c r="AF514" s="12"/>
      <c r="AG514" s="12"/>
      <c r="AH514" s="12"/>
      <c r="AI514" s="12">
        <f t="shared" si="154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9"/>
      <c r="D515" s="60"/>
      <c r="E515" s="60"/>
      <c r="F515" s="60"/>
      <c r="G515" s="60"/>
      <c r="H515" s="61"/>
      <c r="I515" s="61"/>
      <c r="J515" s="61"/>
      <c r="K515" s="61"/>
      <c r="M515" s="10">
        <v>9</v>
      </c>
      <c r="N515" s="30" t="s">
        <v>65</v>
      </c>
      <c r="O515" s="31">
        <f t="shared" si="155"/>
        <v>7159</v>
      </c>
      <c r="P515" s="32">
        <f>1252+596+28.5</f>
        <v>1876.5</v>
      </c>
      <c r="Q515" s="32"/>
      <c r="R515" s="32"/>
      <c r="S515" s="32">
        <f t="shared" si="151"/>
        <v>1876.5</v>
      </c>
      <c r="T515" s="12"/>
      <c r="U515" s="12"/>
      <c r="V515" s="12"/>
      <c r="W515" s="12">
        <f t="shared" si="152"/>
        <v>1876.5</v>
      </c>
      <c r="Y515" s="10">
        <v>9</v>
      </c>
      <c r="Z515" s="30"/>
      <c r="AA515" s="31"/>
      <c r="AB515" s="32"/>
      <c r="AC515" s="32"/>
      <c r="AD515" s="32"/>
      <c r="AE515" s="32">
        <f t="shared" si="153"/>
        <v>0</v>
      </c>
      <c r="AF515" s="12"/>
      <c r="AG515" s="58"/>
      <c r="AH515" s="12"/>
      <c r="AI515" s="12">
        <f t="shared" si="154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9"/>
      <c r="D516" s="60"/>
      <c r="E516" s="60"/>
      <c r="F516" s="60"/>
      <c r="G516" s="60"/>
      <c r="H516" s="61"/>
      <c r="I516" s="61"/>
      <c r="J516" s="61"/>
      <c r="K516" s="61"/>
      <c r="M516" s="10">
        <v>10</v>
      </c>
      <c r="N516" s="30" t="s">
        <v>65</v>
      </c>
      <c r="O516" s="31">
        <f t="shared" si="155"/>
        <v>7160</v>
      </c>
      <c r="P516" s="32">
        <f>8138+1192+142.5</f>
        <v>9472.5</v>
      </c>
      <c r="Q516" s="32"/>
      <c r="R516" s="32"/>
      <c r="S516" s="32">
        <f t="shared" si="151"/>
        <v>9472.5</v>
      </c>
      <c r="T516" s="12"/>
      <c r="U516" s="12"/>
      <c r="V516" s="12">
        <f>-333+-78+-42</f>
        <v>-453</v>
      </c>
      <c r="W516" s="12">
        <f t="shared" si="152"/>
        <v>9019.5</v>
      </c>
      <c r="Y516" s="10">
        <v>10</v>
      </c>
      <c r="Z516" s="30"/>
      <c r="AA516" s="31"/>
      <c r="AB516" s="32"/>
      <c r="AC516" s="32"/>
      <c r="AD516" s="32"/>
      <c r="AE516" s="32">
        <f t="shared" si="153"/>
        <v>0</v>
      </c>
      <c r="AF516" s="12"/>
      <c r="AG516" s="12"/>
      <c r="AH516" s="12"/>
      <c r="AI516" s="12">
        <f t="shared" si="154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9"/>
      <c r="D517" s="60"/>
      <c r="E517" s="60"/>
      <c r="F517" s="60"/>
      <c r="G517" s="60"/>
      <c r="H517" s="61"/>
      <c r="I517" s="61"/>
      <c r="J517" s="61"/>
      <c r="K517" s="61"/>
      <c r="M517" s="10">
        <v>11</v>
      </c>
      <c r="N517" s="30" t="s">
        <v>65</v>
      </c>
      <c r="O517" s="31">
        <f t="shared" si="155"/>
        <v>7161</v>
      </c>
      <c r="P517" s="32">
        <f>626+9.5</f>
        <v>635.5</v>
      </c>
      <c r="Q517" s="32"/>
      <c r="R517" s="32"/>
      <c r="S517" s="32">
        <f t="shared" si="151"/>
        <v>635.5</v>
      </c>
      <c r="T517" s="12"/>
      <c r="U517" s="12"/>
      <c r="V517" s="12"/>
      <c r="W517" s="12">
        <f t="shared" si="152"/>
        <v>635.5</v>
      </c>
      <c r="Y517" s="10">
        <v>11</v>
      </c>
      <c r="Z517" s="30"/>
      <c r="AA517" s="31"/>
      <c r="AB517" s="32"/>
      <c r="AC517" s="32"/>
      <c r="AD517" s="32"/>
      <c r="AE517" s="32">
        <f t="shared" si="153"/>
        <v>0</v>
      </c>
      <c r="AF517" s="12"/>
      <c r="AG517" s="12"/>
      <c r="AH517" s="12"/>
      <c r="AI517" s="12">
        <f t="shared" si="154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9"/>
      <c r="D518" s="60"/>
      <c r="E518" s="60"/>
      <c r="F518" s="60"/>
      <c r="G518" s="60"/>
      <c r="H518" s="61"/>
      <c r="I518" s="61"/>
      <c r="J518" s="62"/>
      <c r="K518" s="61"/>
      <c r="M518" s="10">
        <v>12</v>
      </c>
      <c r="N518" s="30" t="s">
        <v>65</v>
      </c>
      <c r="O518" s="31">
        <f t="shared" si="155"/>
        <v>7162</v>
      </c>
      <c r="P518" s="32">
        <f>135216+1374</f>
        <v>136590</v>
      </c>
      <c r="Q518" s="32">
        <v>-1998</v>
      </c>
      <c r="R518" s="32"/>
      <c r="S518" s="32">
        <f t="shared" si="151"/>
        <v>134592</v>
      </c>
      <c r="T518" s="12"/>
      <c r="U518" s="12">
        <v>75</v>
      </c>
      <c r="V518" s="12">
        <f>-28194+-1092+-1008</f>
        <v>-30294</v>
      </c>
      <c r="W518" s="12">
        <f t="shared" si="152"/>
        <v>104373</v>
      </c>
      <c r="Y518" s="10">
        <v>12</v>
      </c>
      <c r="Z518" s="30"/>
      <c r="AA518" s="31"/>
      <c r="AB518" s="32"/>
      <c r="AC518" s="32"/>
      <c r="AD518" s="32"/>
      <c r="AE518" s="32">
        <f t="shared" si="153"/>
        <v>0</v>
      </c>
      <c r="AF518" s="12"/>
      <c r="AG518" s="12"/>
      <c r="AH518" s="12"/>
      <c r="AI518" s="12">
        <f t="shared" si="154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9"/>
      <c r="D519" s="60"/>
      <c r="E519" s="60"/>
      <c r="F519" s="60"/>
      <c r="G519" s="60"/>
      <c r="H519" s="61"/>
      <c r="I519" s="61"/>
      <c r="J519" s="61"/>
      <c r="K519" s="61"/>
      <c r="M519" s="10">
        <v>13</v>
      </c>
      <c r="N519" s="30"/>
      <c r="O519" s="11" t="s">
        <v>27</v>
      </c>
      <c r="P519" s="32"/>
      <c r="Q519" s="32"/>
      <c r="R519" s="32"/>
      <c r="S519" s="32">
        <f t="shared" si="151"/>
        <v>0</v>
      </c>
      <c r="T519" s="12"/>
      <c r="U519" s="12"/>
      <c r="V519" s="12"/>
      <c r="W519" s="12">
        <f t="shared" si="152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53"/>
        <v>0</v>
      </c>
      <c r="AF519" s="12"/>
      <c r="AG519" s="12"/>
      <c r="AH519" s="12"/>
      <c r="AI519" s="12">
        <f t="shared" si="154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9"/>
      <c r="D520" s="60"/>
      <c r="E520" s="60"/>
      <c r="F520" s="60"/>
      <c r="G520" s="60"/>
      <c r="H520" s="61"/>
      <c r="I520" s="61"/>
      <c r="J520" s="61"/>
      <c r="K520" s="61"/>
      <c r="M520" s="10">
        <v>14</v>
      </c>
      <c r="N520" s="30"/>
      <c r="O520" s="31"/>
      <c r="P520" s="32"/>
      <c r="Q520" s="32"/>
      <c r="R520" s="32"/>
      <c r="S520" s="32">
        <f t="shared" si="151"/>
        <v>0</v>
      </c>
      <c r="T520" s="12"/>
      <c r="U520" s="12"/>
      <c r="V520" s="12"/>
      <c r="W520" s="12">
        <f t="shared" si="152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53"/>
        <v>0</v>
      </c>
      <c r="AF520" s="12"/>
      <c r="AG520" s="12"/>
      <c r="AH520" s="12"/>
      <c r="AI520" s="12">
        <f t="shared" si="154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9"/>
      <c r="D521" s="60"/>
      <c r="E521" s="60"/>
      <c r="F521" s="60"/>
      <c r="G521" s="60"/>
      <c r="H521" s="61"/>
      <c r="I521" s="61"/>
      <c r="J521" s="61"/>
      <c r="K521" s="61"/>
      <c r="M521" s="10">
        <v>15</v>
      </c>
      <c r="N521" s="30"/>
      <c r="O521" s="31"/>
      <c r="P521" s="32"/>
      <c r="Q521" s="32"/>
      <c r="R521" s="32"/>
      <c r="S521" s="32">
        <f t="shared" si="151"/>
        <v>0</v>
      </c>
      <c r="T521" s="12"/>
      <c r="U521" s="12"/>
      <c r="V521" s="12"/>
      <c r="W521" s="12">
        <f t="shared" si="152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53"/>
        <v>0</v>
      </c>
      <c r="AF521" s="12"/>
      <c r="AG521" s="12"/>
      <c r="AH521" s="12"/>
      <c r="AI521" s="12">
        <f t="shared" si="154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9"/>
      <c r="D522" s="60"/>
      <c r="E522" s="60"/>
      <c r="F522" s="60"/>
      <c r="G522" s="60"/>
      <c r="H522" s="61"/>
      <c r="I522" s="61"/>
      <c r="J522" s="61"/>
      <c r="K522" s="61"/>
      <c r="M522" s="10">
        <v>16</v>
      </c>
      <c r="N522" s="30"/>
      <c r="P522" s="32"/>
      <c r="Q522" s="32"/>
      <c r="R522" s="32"/>
      <c r="S522" s="32">
        <f t="shared" si="151"/>
        <v>0</v>
      </c>
      <c r="T522" s="12"/>
      <c r="U522" s="12"/>
      <c r="V522" s="12"/>
      <c r="W522" s="12">
        <f t="shared" si="152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53"/>
        <v>0</v>
      </c>
      <c r="AF522" s="12"/>
      <c r="AG522" s="12"/>
      <c r="AH522" s="12"/>
      <c r="AI522" s="12">
        <f t="shared" si="154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9"/>
      <c r="D523" s="60"/>
      <c r="E523" s="60"/>
      <c r="F523" s="60"/>
      <c r="G523" s="60"/>
      <c r="H523" s="61"/>
      <c r="I523" s="61"/>
      <c r="J523" s="61"/>
      <c r="K523" s="61"/>
      <c r="M523" s="10">
        <v>17</v>
      </c>
      <c r="N523" s="30"/>
      <c r="O523" s="31"/>
      <c r="P523" s="35"/>
      <c r="Q523" s="32"/>
      <c r="R523" s="32"/>
      <c r="S523" s="32">
        <f t="shared" si="151"/>
        <v>0</v>
      </c>
      <c r="T523" s="12"/>
      <c r="U523" s="12"/>
      <c r="V523" s="12"/>
      <c r="W523" s="12">
        <f t="shared" si="152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53"/>
        <v>0</v>
      </c>
      <c r="AF523" s="12"/>
      <c r="AG523" s="12"/>
      <c r="AH523" s="12"/>
      <c r="AI523" s="12">
        <f t="shared" si="154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9"/>
      <c r="D524" s="60"/>
      <c r="E524" s="60"/>
      <c r="F524" s="60"/>
      <c r="G524" s="60"/>
      <c r="H524" s="61"/>
      <c r="I524" s="61"/>
      <c r="J524" s="61"/>
      <c r="K524" s="61"/>
      <c r="M524" s="10">
        <v>18</v>
      </c>
      <c r="N524" s="30"/>
      <c r="O524" s="31"/>
      <c r="P524" s="32"/>
      <c r="Q524" s="32"/>
      <c r="R524" s="32"/>
      <c r="S524" s="32">
        <f t="shared" si="151"/>
        <v>0</v>
      </c>
      <c r="T524" s="12"/>
      <c r="U524" s="12"/>
      <c r="V524" s="12"/>
      <c r="W524" s="12">
        <f t="shared" si="152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53"/>
        <v>0</v>
      </c>
      <c r="AF524" s="12"/>
      <c r="AG524" s="12"/>
      <c r="AH524" s="12"/>
      <c r="AI524" s="12">
        <f t="shared" si="154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9"/>
      <c r="D525" s="60"/>
      <c r="E525" s="60"/>
      <c r="F525" s="60"/>
      <c r="G525" s="60"/>
      <c r="H525" s="61"/>
      <c r="I525" s="61"/>
      <c r="J525" s="61"/>
      <c r="K525" s="61"/>
      <c r="M525" s="10">
        <v>19</v>
      </c>
      <c r="N525" s="30"/>
      <c r="O525" s="31"/>
      <c r="P525" s="32"/>
      <c r="Q525" s="32"/>
      <c r="R525" s="32"/>
      <c r="S525" s="32">
        <f t="shared" si="151"/>
        <v>0</v>
      </c>
      <c r="T525" s="12"/>
      <c r="U525" s="12"/>
      <c r="V525" s="12"/>
      <c r="W525" s="12">
        <f t="shared" si="152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53"/>
        <v>0</v>
      </c>
      <c r="AF525" s="12"/>
      <c r="AG525" s="12"/>
      <c r="AH525" s="12"/>
      <c r="AI525" s="12">
        <f t="shared" si="154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9"/>
      <c r="D526" s="60"/>
      <c r="E526" s="60"/>
      <c r="F526" s="60"/>
      <c r="G526" s="60"/>
      <c r="H526" s="61"/>
      <c r="I526" s="61"/>
      <c r="J526" s="61"/>
      <c r="K526" s="61"/>
      <c r="M526" s="10">
        <v>20</v>
      </c>
      <c r="N526" s="30"/>
      <c r="O526" s="31"/>
      <c r="P526" s="32"/>
      <c r="Q526" s="32"/>
      <c r="R526" s="32"/>
      <c r="S526" s="32">
        <f t="shared" si="151"/>
        <v>0</v>
      </c>
      <c r="T526" s="12"/>
      <c r="U526" s="12"/>
      <c r="V526" s="12"/>
      <c r="W526" s="12">
        <f t="shared" si="152"/>
        <v>0</v>
      </c>
      <c r="Y526" s="10">
        <v>20</v>
      </c>
      <c r="Z526" s="30"/>
      <c r="AA526" s="31"/>
      <c r="AB526" s="32"/>
      <c r="AC526" s="32"/>
      <c r="AD526" s="32"/>
      <c r="AE526" s="32">
        <f t="shared" si="153"/>
        <v>0</v>
      </c>
      <c r="AF526" s="12"/>
      <c r="AG526" s="12"/>
      <c r="AH526" s="12"/>
      <c r="AI526" s="12">
        <f t="shared" si="154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9"/>
      <c r="D527" s="60"/>
      <c r="E527" s="60"/>
      <c r="F527" s="60"/>
      <c r="G527" s="60"/>
      <c r="H527" s="62"/>
      <c r="I527" s="62"/>
      <c r="J527" s="62"/>
      <c r="K527" s="61"/>
      <c r="M527" s="10">
        <v>21</v>
      </c>
      <c r="N527" s="30"/>
      <c r="P527" s="46"/>
      <c r="Q527" s="31"/>
      <c r="R527" s="31"/>
      <c r="S527" s="32">
        <f t="shared" si="151"/>
        <v>0</v>
      </c>
      <c r="T527" s="10"/>
      <c r="U527" s="10"/>
      <c r="V527" s="10"/>
      <c r="W527" s="12">
        <f t="shared" si="152"/>
        <v>0</v>
      </c>
      <c r="Y527" s="10">
        <v>21</v>
      </c>
      <c r="Z527" s="30"/>
      <c r="AB527" s="46"/>
      <c r="AC527" s="31"/>
      <c r="AD527" s="31"/>
      <c r="AE527" s="32">
        <f t="shared" si="153"/>
        <v>0</v>
      </c>
      <c r="AF527" s="10"/>
      <c r="AG527" s="10"/>
      <c r="AH527" s="10"/>
      <c r="AI527" s="12">
        <f t="shared" si="154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65"/>
      <c r="D528" s="60"/>
      <c r="E528" s="60"/>
      <c r="F528" s="60"/>
      <c r="G528" s="60"/>
      <c r="H528" s="62"/>
      <c r="I528" s="62"/>
      <c r="J528" s="62"/>
      <c r="K528" s="61"/>
      <c r="M528" s="10">
        <v>22</v>
      </c>
      <c r="N528" s="30"/>
      <c r="O528" s="31"/>
      <c r="P528" s="45"/>
      <c r="Q528" s="31"/>
      <c r="R528" s="31"/>
      <c r="S528" s="32">
        <f t="shared" si="151"/>
        <v>0</v>
      </c>
      <c r="T528" s="10"/>
      <c r="U528" s="10"/>
      <c r="V528" s="10"/>
      <c r="W528" s="12">
        <f t="shared" si="152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53"/>
        <v>0</v>
      </c>
      <c r="AF528" s="10"/>
      <c r="AG528" s="10"/>
      <c r="AH528" s="10"/>
      <c r="AI528" s="12">
        <f t="shared" si="154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9"/>
      <c r="D529" s="60"/>
      <c r="E529" s="60"/>
      <c r="F529" s="60"/>
      <c r="G529" s="60"/>
      <c r="H529" s="62"/>
      <c r="I529" s="62"/>
      <c r="J529" s="61"/>
      <c r="K529" s="61"/>
      <c r="M529" s="10">
        <v>23</v>
      </c>
      <c r="N529" s="30"/>
      <c r="O529" s="31"/>
      <c r="P529" s="47"/>
      <c r="Q529" s="31"/>
      <c r="S529" s="32">
        <f t="shared" si="151"/>
        <v>0</v>
      </c>
      <c r="T529" s="10"/>
      <c r="U529" s="10"/>
      <c r="V529" s="10"/>
      <c r="W529" s="12">
        <f t="shared" si="152"/>
        <v>0</v>
      </c>
      <c r="Y529" s="10">
        <v>23</v>
      </c>
      <c r="Z529" s="30"/>
      <c r="AA529" s="31"/>
      <c r="AB529" s="47"/>
      <c r="AC529" s="31"/>
      <c r="AE529" s="32">
        <f t="shared" si="153"/>
        <v>0</v>
      </c>
      <c r="AF529" s="10"/>
      <c r="AG529" s="10"/>
      <c r="AH529" s="10"/>
      <c r="AI529" s="12">
        <f t="shared" si="154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9"/>
      <c r="D530" s="60"/>
      <c r="E530" s="60"/>
      <c r="F530" s="60"/>
      <c r="G530" s="60"/>
      <c r="H530" s="62"/>
      <c r="I530" s="62"/>
      <c r="J530" s="62"/>
      <c r="K530" s="61"/>
      <c r="M530" s="10">
        <v>24</v>
      </c>
      <c r="N530" s="30"/>
      <c r="O530" s="31"/>
      <c r="P530" s="47"/>
      <c r="Q530" s="31"/>
      <c r="R530" s="31"/>
      <c r="S530" s="32">
        <f t="shared" si="151"/>
        <v>0</v>
      </c>
      <c r="T530" s="10"/>
      <c r="U530" s="10"/>
      <c r="V530" s="10"/>
      <c r="W530" s="12">
        <f t="shared" si="152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53"/>
        <v>0</v>
      </c>
      <c r="AF530" s="10"/>
      <c r="AG530" s="10"/>
      <c r="AH530" s="10"/>
      <c r="AI530" s="12">
        <f t="shared" si="154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9"/>
      <c r="D531" s="60"/>
      <c r="E531" s="60"/>
      <c r="F531" s="60"/>
      <c r="G531" s="60"/>
      <c r="H531" s="62"/>
      <c r="I531" s="62"/>
      <c r="J531" s="62"/>
      <c r="K531" s="61"/>
      <c r="M531" s="10">
        <v>25</v>
      </c>
      <c r="N531" s="30"/>
      <c r="O531" s="31"/>
      <c r="P531" s="47"/>
      <c r="Q531" s="31"/>
      <c r="R531" s="31"/>
      <c r="S531" s="32">
        <f t="shared" si="151"/>
        <v>0</v>
      </c>
      <c r="T531" s="10"/>
      <c r="U531" s="10"/>
      <c r="V531" s="10"/>
      <c r="W531" s="12">
        <f t="shared" si="152"/>
        <v>0</v>
      </c>
      <c r="Y531" s="10">
        <v>25</v>
      </c>
      <c r="Z531" s="30"/>
      <c r="AA531" s="11"/>
      <c r="AB531" s="47"/>
      <c r="AC531" s="31"/>
      <c r="AD531" s="31"/>
      <c r="AE531" s="32">
        <f t="shared" si="153"/>
        <v>0</v>
      </c>
      <c r="AF531" s="10"/>
      <c r="AG531" s="10"/>
      <c r="AH531" s="10"/>
      <c r="AI531" s="12">
        <f t="shared" si="154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9"/>
      <c r="D532" s="60"/>
      <c r="E532" s="60"/>
      <c r="F532" s="60"/>
      <c r="G532" s="60"/>
      <c r="H532" s="62"/>
      <c r="I532" s="62"/>
      <c r="J532" s="62"/>
      <c r="K532" s="61"/>
      <c r="M532" s="10">
        <v>26</v>
      </c>
      <c r="N532" s="30"/>
      <c r="O532" s="31"/>
      <c r="P532" s="47"/>
      <c r="Q532" s="31"/>
      <c r="R532" s="31"/>
      <c r="S532" s="32">
        <f t="shared" si="151"/>
        <v>0</v>
      </c>
      <c r="T532" s="10"/>
      <c r="U532" s="10"/>
      <c r="V532" s="10"/>
      <c r="W532" s="12">
        <f t="shared" si="152"/>
        <v>0</v>
      </c>
      <c r="Y532" s="10">
        <v>26</v>
      </c>
      <c r="Z532" s="30"/>
      <c r="AB532" s="47"/>
      <c r="AC532" s="31"/>
      <c r="AD532" s="31"/>
      <c r="AE532" s="32">
        <f t="shared" si="153"/>
        <v>0</v>
      </c>
      <c r="AF532" s="10"/>
      <c r="AG532" s="10"/>
      <c r="AH532" s="10"/>
      <c r="AI532" s="12">
        <f t="shared" si="154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9"/>
      <c r="D533" s="60"/>
      <c r="E533" s="60"/>
      <c r="F533" s="60"/>
      <c r="G533" s="60"/>
      <c r="H533" s="62"/>
      <c r="I533" s="62"/>
      <c r="J533" s="62"/>
      <c r="K533" s="61"/>
      <c r="M533" s="10">
        <v>27</v>
      </c>
      <c r="N533" s="30"/>
      <c r="O533" s="31"/>
      <c r="P533" s="47"/>
      <c r="Q533" s="31"/>
      <c r="R533" s="31"/>
      <c r="S533" s="32">
        <f t="shared" si="151"/>
        <v>0</v>
      </c>
      <c r="T533" s="10"/>
      <c r="U533" s="10"/>
      <c r="V533" s="10"/>
      <c r="W533" s="12">
        <f t="shared" si="152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53"/>
        <v>0</v>
      </c>
      <c r="AF533" s="10"/>
      <c r="AG533" s="10"/>
      <c r="AH533" s="10"/>
      <c r="AI533" s="12">
        <f t="shared" si="154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9"/>
      <c r="D534" s="60"/>
      <c r="E534" s="60"/>
      <c r="F534" s="60"/>
      <c r="G534" s="60"/>
      <c r="H534" s="62"/>
      <c r="I534" s="62"/>
      <c r="J534" s="62"/>
      <c r="K534" s="61"/>
      <c r="M534" s="10">
        <v>28</v>
      </c>
      <c r="N534" s="30"/>
      <c r="O534" s="31"/>
      <c r="P534" s="47"/>
      <c r="Q534" s="31"/>
      <c r="R534" s="31"/>
      <c r="S534" s="32">
        <f t="shared" si="151"/>
        <v>0</v>
      </c>
      <c r="T534" s="10"/>
      <c r="U534" s="10"/>
      <c r="V534" s="10"/>
      <c r="W534" s="12">
        <f t="shared" si="152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53"/>
        <v>0</v>
      </c>
      <c r="AF534" s="10"/>
      <c r="AG534" s="10"/>
      <c r="AH534" s="10"/>
      <c r="AI534" s="12">
        <f t="shared" si="154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9"/>
      <c r="D535" s="60"/>
      <c r="E535" s="60"/>
      <c r="F535" s="60"/>
      <c r="G535" s="60"/>
      <c r="H535" s="62"/>
      <c r="I535" s="62"/>
      <c r="J535" s="62"/>
      <c r="K535" s="61"/>
      <c r="M535" s="10">
        <v>29</v>
      </c>
      <c r="N535" s="30"/>
      <c r="O535" s="31"/>
      <c r="P535" s="47"/>
      <c r="Q535" s="31"/>
      <c r="R535" s="31"/>
      <c r="S535" s="32">
        <f t="shared" si="151"/>
        <v>0</v>
      </c>
      <c r="T535" s="10"/>
      <c r="U535" s="10"/>
      <c r="V535" s="10"/>
      <c r="W535" s="12">
        <f t="shared" si="152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53"/>
        <v>0</v>
      </c>
      <c r="AF535" s="10"/>
      <c r="AG535" s="10"/>
      <c r="AH535" s="10"/>
      <c r="AI535" s="12">
        <f t="shared" si="154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65"/>
      <c r="D536" s="60"/>
      <c r="E536" s="60"/>
      <c r="F536" s="60"/>
      <c r="G536" s="60"/>
      <c r="H536" s="62"/>
      <c r="I536" s="62"/>
      <c r="J536" s="62"/>
      <c r="K536" s="61"/>
      <c r="M536" s="10">
        <v>30</v>
      </c>
      <c r="N536" s="30"/>
      <c r="O536" s="31"/>
      <c r="P536" s="47"/>
      <c r="Q536" s="31"/>
      <c r="R536" s="31"/>
      <c r="S536" s="32">
        <f t="shared" si="151"/>
        <v>0</v>
      </c>
      <c r="T536" s="10"/>
      <c r="U536" s="10"/>
      <c r="V536" s="10"/>
      <c r="W536" s="12">
        <f t="shared" si="152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53"/>
        <v>0</v>
      </c>
      <c r="AF536" s="10"/>
      <c r="AG536" s="10"/>
      <c r="AH536" s="10"/>
      <c r="AI536" s="12">
        <f t="shared" si="154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9"/>
      <c r="D537" s="60"/>
      <c r="E537" s="60"/>
      <c r="F537" s="60"/>
      <c r="G537" s="60"/>
      <c r="H537" s="62"/>
      <c r="I537" s="62"/>
      <c r="J537" s="62"/>
      <c r="K537" s="61"/>
      <c r="M537" s="10">
        <v>31</v>
      </c>
      <c r="N537" s="30"/>
      <c r="O537" s="31"/>
      <c r="P537" s="47"/>
      <c r="Q537" s="31"/>
      <c r="R537" s="31"/>
      <c r="S537" s="32">
        <f t="shared" si="151"/>
        <v>0</v>
      </c>
      <c r="T537" s="10"/>
      <c r="U537" s="10"/>
      <c r="V537" s="10"/>
      <c r="W537" s="12">
        <f t="shared" si="152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53"/>
        <v>0</v>
      </c>
      <c r="AF537" s="10"/>
      <c r="AG537" s="10"/>
      <c r="AH537" s="10"/>
      <c r="AI537" s="12">
        <f t="shared" si="154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9"/>
      <c r="D538" s="60"/>
      <c r="E538" s="60"/>
      <c r="F538" s="60"/>
      <c r="G538" s="60"/>
      <c r="H538" s="62"/>
      <c r="I538" s="62"/>
      <c r="J538" s="62"/>
      <c r="K538" s="61"/>
      <c r="M538" s="10">
        <v>32</v>
      </c>
      <c r="N538" s="30"/>
      <c r="O538" s="31"/>
      <c r="P538" s="47"/>
      <c r="Q538" s="31"/>
      <c r="R538" s="31"/>
      <c r="S538" s="32">
        <f t="shared" si="151"/>
        <v>0</v>
      </c>
      <c r="T538" s="10"/>
      <c r="U538" s="10"/>
      <c r="V538" s="10"/>
      <c r="W538" s="12">
        <f t="shared" si="152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53"/>
        <v>0</v>
      </c>
      <c r="AF538" s="10"/>
      <c r="AG538" s="10"/>
      <c r="AH538" s="10"/>
      <c r="AI538" s="12">
        <f t="shared" si="154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9"/>
      <c r="D539" s="60"/>
      <c r="E539" s="60"/>
      <c r="F539" s="60"/>
      <c r="G539" s="60"/>
      <c r="H539" s="62"/>
      <c r="I539" s="62"/>
      <c r="J539" s="62"/>
      <c r="K539" s="61"/>
      <c r="M539" s="10">
        <v>33</v>
      </c>
      <c r="N539" s="30"/>
      <c r="O539" s="31"/>
      <c r="P539" s="47"/>
      <c r="Q539" s="31"/>
      <c r="R539" s="31"/>
      <c r="S539" s="32">
        <f t="shared" si="151"/>
        <v>0</v>
      </c>
      <c r="T539" s="10"/>
      <c r="U539" s="10"/>
      <c r="V539" s="10"/>
      <c r="W539" s="12">
        <f t="shared" si="152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53"/>
        <v>0</v>
      </c>
      <c r="AF539" s="10"/>
      <c r="AG539" s="10"/>
      <c r="AH539" s="10"/>
      <c r="AI539" s="12">
        <f t="shared" si="154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9"/>
      <c r="D540" s="60"/>
      <c r="E540" s="60"/>
      <c r="F540" s="60"/>
      <c r="G540" s="60"/>
      <c r="H540" s="62"/>
      <c r="I540" s="62"/>
      <c r="J540" s="62"/>
      <c r="K540" s="61"/>
      <c r="M540" s="10">
        <v>34</v>
      </c>
      <c r="N540" s="30"/>
      <c r="P540" s="47"/>
      <c r="Q540" s="31"/>
      <c r="R540" s="31"/>
      <c r="S540" s="32">
        <f t="shared" ref="S540:S545" si="157">SUM(P540:Q540)</f>
        <v>0</v>
      </c>
      <c r="T540" s="10"/>
      <c r="U540" s="10"/>
      <c r="V540" s="10"/>
      <c r="W540" s="12">
        <f t="shared" si="152"/>
        <v>0</v>
      </c>
      <c r="Y540" s="10">
        <v>34</v>
      </c>
      <c r="Z540" s="30"/>
      <c r="AB540" s="47"/>
      <c r="AC540" s="31"/>
      <c r="AD540" s="31"/>
      <c r="AE540" s="32">
        <f t="shared" si="153"/>
        <v>0</v>
      </c>
      <c r="AF540" s="10"/>
      <c r="AG540" s="10"/>
      <c r="AH540" s="10"/>
      <c r="AI540" s="12">
        <f t="shared" si="154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9"/>
      <c r="D541" s="60"/>
      <c r="E541" s="60"/>
      <c r="F541" s="60"/>
      <c r="G541" s="60"/>
      <c r="H541" s="62"/>
      <c r="I541" s="62"/>
      <c r="J541" s="62"/>
      <c r="K541" s="61"/>
      <c r="M541" s="10">
        <v>35</v>
      </c>
      <c r="N541" s="30"/>
      <c r="O541" s="31"/>
      <c r="P541" s="47"/>
      <c r="Q541" s="31"/>
      <c r="R541" s="31"/>
      <c r="S541" s="32">
        <f t="shared" si="157"/>
        <v>0</v>
      </c>
      <c r="T541" s="10"/>
      <c r="U541" s="10"/>
      <c r="V541" s="10"/>
      <c r="W541" s="12">
        <f t="shared" si="152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53"/>
        <v>0</v>
      </c>
      <c r="AF541" s="10"/>
      <c r="AG541" s="10"/>
      <c r="AH541" s="10"/>
      <c r="AI541" s="12">
        <f t="shared" si="154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9"/>
      <c r="D542" s="60"/>
      <c r="E542" s="60"/>
      <c r="F542" s="60"/>
      <c r="G542" s="60"/>
      <c r="H542" s="62"/>
      <c r="I542" s="62"/>
      <c r="J542" s="62"/>
      <c r="K542" s="61"/>
      <c r="M542" s="10">
        <v>36</v>
      </c>
      <c r="N542" s="30"/>
      <c r="O542" s="31"/>
      <c r="P542" s="47"/>
      <c r="Q542" s="31"/>
      <c r="R542" s="31"/>
      <c r="S542" s="32">
        <f t="shared" si="157"/>
        <v>0</v>
      </c>
      <c r="T542" s="10"/>
      <c r="U542" s="10"/>
      <c r="V542" s="10"/>
      <c r="W542" s="12">
        <f t="shared" si="152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53"/>
        <v>0</v>
      </c>
      <c r="AF542" s="10"/>
      <c r="AG542" s="10"/>
      <c r="AH542" s="10"/>
      <c r="AI542" s="12">
        <f t="shared" si="154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9"/>
      <c r="D543" s="60"/>
      <c r="E543" s="60"/>
      <c r="F543" s="60"/>
      <c r="G543" s="60"/>
      <c r="H543" s="62"/>
      <c r="I543" s="62"/>
      <c r="J543" s="62"/>
      <c r="K543" s="61"/>
      <c r="M543" s="10">
        <v>37</v>
      </c>
      <c r="N543" s="30"/>
      <c r="P543" s="47"/>
      <c r="Q543" s="31"/>
      <c r="R543" s="31"/>
      <c r="S543" s="32">
        <f t="shared" si="157"/>
        <v>0</v>
      </c>
      <c r="T543" s="10"/>
      <c r="U543" s="10"/>
      <c r="V543" s="10"/>
      <c r="W543" s="12">
        <f t="shared" si="152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53"/>
        <v>0</v>
      </c>
      <c r="AF543" s="10"/>
      <c r="AG543" s="10"/>
      <c r="AH543" s="10"/>
      <c r="AI543" s="12">
        <f t="shared" si="154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9"/>
      <c r="D544" s="60"/>
      <c r="E544" s="60"/>
      <c r="F544" s="60"/>
      <c r="G544" s="60"/>
      <c r="H544" s="62"/>
      <c r="I544" s="62"/>
      <c r="J544" s="62"/>
      <c r="K544" s="61"/>
      <c r="M544" s="10">
        <v>38</v>
      </c>
      <c r="N544" s="30"/>
      <c r="O544" s="31"/>
      <c r="P544" s="47"/>
      <c r="Q544" s="31"/>
      <c r="R544" s="31"/>
      <c r="S544" s="32">
        <f t="shared" si="157"/>
        <v>0</v>
      </c>
      <c r="T544" s="10"/>
      <c r="U544" s="10"/>
      <c r="V544" s="10"/>
      <c r="W544" s="12">
        <f t="shared" si="152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53"/>
        <v>0</v>
      </c>
      <c r="AF544" s="10"/>
      <c r="AG544" s="10"/>
      <c r="AH544" s="10"/>
      <c r="AI544" s="12">
        <f t="shared" si="154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9"/>
      <c r="D545" s="60"/>
      <c r="E545" s="60"/>
      <c r="F545" s="60"/>
      <c r="G545" s="60"/>
      <c r="H545" s="62"/>
      <c r="I545" s="62"/>
      <c r="J545" s="62"/>
      <c r="K545" s="61"/>
      <c r="M545" s="10">
        <v>39</v>
      </c>
      <c r="N545" s="30"/>
      <c r="O545" s="31"/>
      <c r="P545" s="47"/>
      <c r="Q545" s="31"/>
      <c r="R545" s="31"/>
      <c r="S545" s="32">
        <f t="shared" si="157"/>
        <v>0</v>
      </c>
      <c r="T545" s="10"/>
      <c r="U545" s="10"/>
      <c r="V545" s="10"/>
      <c r="W545" s="12">
        <f t="shared" si="152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53"/>
        <v>0</v>
      </c>
      <c r="AF545" s="10"/>
      <c r="AG545" s="10"/>
      <c r="AH545" s="10"/>
      <c r="AI545" s="12">
        <f t="shared" si="154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9"/>
      <c r="D546" s="60"/>
      <c r="E546" s="60"/>
      <c r="F546" s="60"/>
      <c r="G546" s="60"/>
      <c r="H546" s="62"/>
      <c r="I546" s="62"/>
      <c r="J546" s="62"/>
      <c r="K546" s="61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2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54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9"/>
      <c r="D547" s="60"/>
      <c r="E547" s="60"/>
      <c r="F547" s="60"/>
      <c r="G547" s="60"/>
      <c r="H547" s="62"/>
      <c r="I547" s="62"/>
      <c r="J547" s="62"/>
      <c r="K547" s="61"/>
      <c r="M547" s="10"/>
      <c r="N547" s="30"/>
      <c r="O547" s="31"/>
      <c r="P547" s="47"/>
      <c r="Q547" s="31"/>
      <c r="R547" s="31"/>
      <c r="S547" s="32">
        <f t="shared" ref="S547" si="158">SUM(P547:Q547)</f>
        <v>0</v>
      </c>
      <c r="T547" s="10"/>
      <c r="U547" s="10"/>
      <c r="V547" s="10"/>
      <c r="W547" s="12">
        <f t="shared" si="152"/>
        <v>0</v>
      </c>
      <c r="Y547" s="10"/>
      <c r="Z547" s="30"/>
      <c r="AA547" s="31"/>
      <c r="AB547" s="47"/>
      <c r="AC547" s="31"/>
      <c r="AD547" s="31"/>
      <c r="AE547" s="32">
        <f t="shared" ref="AE547" si="159">SUM(AB547:AC547)</f>
        <v>0</v>
      </c>
      <c r="AF547" s="10"/>
      <c r="AG547" s="10"/>
      <c r="AH547" s="10"/>
      <c r="AI547" s="12">
        <f t="shared" si="154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2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54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9"/>
      <c r="C549" s="89"/>
      <c r="D549" s="89"/>
      <c r="E549" s="89"/>
      <c r="F549" s="89"/>
      <c r="G549" s="89"/>
      <c r="H549" s="62"/>
      <c r="I549" s="62"/>
      <c r="J549" s="62"/>
      <c r="K549" s="62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9"/>
      <c r="C550" s="89"/>
      <c r="D550" s="70"/>
      <c r="E550" s="70"/>
      <c r="F550" s="70"/>
      <c r="G550" s="70"/>
      <c r="H550" s="63"/>
      <c r="I550" s="70"/>
      <c r="J550" s="70"/>
      <c r="K550" s="70"/>
      <c r="N550" s="57"/>
      <c r="O550" s="57"/>
      <c r="P550" s="38">
        <f>SUM(P507:P549)</f>
        <v>162256.5</v>
      </c>
      <c r="Q550" s="38">
        <f>SUM(Q507:Q531)</f>
        <v>-1998</v>
      </c>
      <c r="R550" s="38">
        <f>SUM(R507:R531)</f>
        <v>0</v>
      </c>
      <c r="S550" s="38">
        <f>SUM(S507:S549)</f>
        <v>160258.5</v>
      </c>
      <c r="T550" s="4"/>
      <c r="U550" s="41">
        <f>SUM(U507:U549)</f>
        <v>75</v>
      </c>
      <c r="V550" s="41">
        <f>SUM(V507:V531)</f>
        <v>-30747</v>
      </c>
      <c r="W550" s="42">
        <f>SUM(W507:W549)</f>
        <v>129586.5</v>
      </c>
      <c r="Z550" s="57"/>
      <c r="AA550" s="57"/>
      <c r="AB550" s="38">
        <f>SUM(AB507:AB549)</f>
        <v>226273</v>
      </c>
      <c r="AC550" s="38">
        <f>SUM(AC507:AC531)</f>
        <v>-1902</v>
      </c>
      <c r="AD550" s="38">
        <f>SUM(AD507:AD531)</f>
        <v>0</v>
      </c>
      <c r="AE550" s="38">
        <f>SUM(AE507:AE549)</f>
        <v>224371</v>
      </c>
      <c r="AF550" s="4"/>
      <c r="AG550" s="41">
        <f>SUM(AG507:AG549)</f>
        <v>20028</v>
      </c>
      <c r="AH550" s="41">
        <f>SUM(AH507:AH531)</f>
        <v>-252</v>
      </c>
      <c r="AI550" s="42">
        <f>SUM(AI507:AI549)</f>
        <v>244147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9"/>
      <c r="C552" s="89"/>
      <c r="D552" s="89"/>
      <c r="E552" s="89"/>
      <c r="F552" s="89"/>
      <c r="G552" s="89"/>
      <c r="H552" s="62"/>
      <c r="I552" s="62"/>
      <c r="J552" s="62"/>
      <c r="K552" s="62"/>
      <c r="L552" s="62"/>
      <c r="M552" s="62"/>
      <c r="N552" s="89"/>
      <c r="O552" s="89"/>
      <c r="P552" s="89"/>
      <c r="Q552" s="89"/>
      <c r="R552" s="89"/>
      <c r="S552" s="89"/>
      <c r="T552" s="62"/>
      <c r="U552" s="62"/>
      <c r="V552" s="62"/>
      <c r="W552" s="62"/>
      <c r="X552" s="62"/>
      <c r="Y552" s="62"/>
      <c r="Z552" s="89"/>
      <c r="AA552" s="89"/>
      <c r="AB552" s="89"/>
      <c r="AC552" s="89"/>
      <c r="AD552" s="89"/>
      <c r="AE552" s="89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9"/>
      <c r="C553" s="89"/>
      <c r="D553" s="89"/>
      <c r="E553" s="89"/>
      <c r="F553" s="89"/>
      <c r="G553" s="89"/>
      <c r="H553" s="62"/>
      <c r="I553" s="62"/>
      <c r="J553" s="62"/>
      <c r="K553" s="62"/>
      <c r="L553" s="62"/>
      <c r="M553" s="62"/>
      <c r="N553" s="89"/>
      <c r="O553" s="89"/>
      <c r="P553" s="89"/>
      <c r="Q553" s="89"/>
      <c r="R553" s="89"/>
      <c r="S553" s="89"/>
      <c r="T553" s="62"/>
      <c r="U553" s="62"/>
      <c r="V553" s="62"/>
      <c r="W553" s="62"/>
      <c r="X553" s="62"/>
      <c r="Y553" s="62"/>
      <c r="Z553" s="89"/>
      <c r="AA553" s="89"/>
      <c r="AB553" s="89"/>
      <c r="AC553" s="89"/>
      <c r="AD553" s="89"/>
      <c r="AE553" s="89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9"/>
      <c r="C554" s="89"/>
      <c r="D554" s="89"/>
      <c r="E554" s="89"/>
      <c r="F554" s="89"/>
      <c r="G554" s="89"/>
      <c r="H554" s="62"/>
      <c r="I554" s="62"/>
      <c r="J554" s="62"/>
      <c r="K554" s="62"/>
      <c r="L554" s="62"/>
      <c r="M554" s="62"/>
      <c r="N554" s="89"/>
      <c r="O554" s="89"/>
      <c r="P554" s="89"/>
      <c r="Q554" s="89"/>
      <c r="R554" s="89"/>
      <c r="S554" s="89"/>
      <c r="T554" s="62"/>
      <c r="U554" s="62"/>
      <c r="V554" s="62"/>
      <c r="W554" s="62"/>
      <c r="X554" s="62"/>
      <c r="Y554" s="62"/>
      <c r="Z554" s="89"/>
      <c r="AA554" s="89"/>
      <c r="AB554" s="89"/>
      <c r="AC554" s="89"/>
      <c r="AD554" s="89"/>
      <c r="AE554" s="89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9"/>
      <c r="C555" s="89"/>
      <c r="D555" s="89"/>
      <c r="E555" s="89"/>
      <c r="F555" s="89"/>
      <c r="G555" s="89"/>
      <c r="H555" s="62"/>
      <c r="I555" s="62"/>
      <c r="J555" s="62"/>
      <c r="K555" s="62"/>
      <c r="L555" s="62"/>
      <c r="M555" s="63"/>
      <c r="N555" s="89"/>
      <c r="O555" s="89"/>
      <c r="P555" s="89"/>
      <c r="Q555" s="89"/>
      <c r="R555" s="89"/>
      <c r="S555" s="89"/>
      <c r="T555" s="62"/>
      <c r="U555" s="62"/>
      <c r="V555" s="62"/>
      <c r="W555" s="62"/>
      <c r="X555" s="62"/>
      <c r="Y555" s="63"/>
      <c r="Z555" s="89"/>
      <c r="AA555" s="89"/>
      <c r="AB555" s="89"/>
      <c r="AC555" s="89"/>
      <c r="AD555" s="89"/>
      <c r="AE555" s="89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9"/>
      <c r="C556" s="89"/>
      <c r="D556" s="89"/>
      <c r="E556" s="89"/>
      <c r="F556" s="89"/>
      <c r="G556" s="89"/>
      <c r="H556" s="62"/>
      <c r="I556" s="62"/>
      <c r="J556" s="62"/>
      <c r="K556" s="62"/>
      <c r="L556" s="62"/>
      <c r="M556" s="62"/>
      <c r="N556" s="89"/>
      <c r="O556" s="89"/>
      <c r="P556" s="89"/>
      <c r="Q556" s="89"/>
      <c r="R556" s="89"/>
      <c r="S556" s="89"/>
      <c r="T556" s="62"/>
      <c r="U556" s="62"/>
      <c r="V556" s="62"/>
      <c r="W556" s="62"/>
      <c r="X556" s="62"/>
      <c r="Y556" s="62"/>
      <c r="Z556" s="89"/>
      <c r="AA556" s="89"/>
      <c r="AB556" s="89"/>
      <c r="AC556" s="89"/>
      <c r="AD556" s="89"/>
      <c r="AE556" s="89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9"/>
      <c r="C557" s="89"/>
      <c r="D557" s="89"/>
      <c r="E557" s="89"/>
      <c r="F557" s="89"/>
      <c r="G557" s="89"/>
      <c r="H557" s="62"/>
      <c r="I557" s="89"/>
      <c r="J557" s="74"/>
      <c r="K557" s="62"/>
      <c r="L557" s="62"/>
      <c r="M557" s="62"/>
      <c r="N557" s="89"/>
      <c r="O557" s="89"/>
      <c r="P557" s="89"/>
      <c r="Q557" s="89"/>
      <c r="R557" s="89"/>
      <c r="S557" s="89"/>
      <c r="T557" s="62"/>
      <c r="U557" s="89"/>
      <c r="V557" s="74"/>
      <c r="W557" s="62"/>
      <c r="X557" s="62"/>
      <c r="Y557" s="62"/>
      <c r="Z557" s="89"/>
      <c r="AA557" s="89"/>
      <c r="AB557" s="89"/>
      <c r="AC557" s="89"/>
      <c r="AD557" s="89"/>
      <c r="AE557" s="89"/>
      <c r="AF557" s="62"/>
      <c r="AG557" s="89"/>
      <c r="AH557" s="89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9"/>
      <c r="C558" s="89"/>
      <c r="D558" s="89"/>
      <c r="E558" s="89"/>
      <c r="F558" s="89"/>
      <c r="G558" s="89"/>
      <c r="H558" s="62"/>
      <c r="I558" s="65"/>
      <c r="J558" s="65"/>
      <c r="K558" s="62"/>
      <c r="L558" s="62"/>
      <c r="M558" s="64"/>
      <c r="N558" s="89"/>
      <c r="O558" s="89"/>
      <c r="P558" s="89"/>
      <c r="Q558" s="89"/>
      <c r="R558" s="89"/>
      <c r="S558" s="89"/>
      <c r="T558" s="62"/>
      <c r="U558" s="65"/>
      <c r="V558" s="65"/>
      <c r="W558" s="62"/>
      <c r="X558" s="62"/>
      <c r="Y558" s="64"/>
      <c r="Z558" s="89"/>
      <c r="AA558" s="89"/>
      <c r="AB558" s="89"/>
      <c r="AC558" s="89"/>
      <c r="AD558" s="89"/>
      <c r="AE558" s="89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9"/>
      <c r="C559" s="89"/>
      <c r="D559" s="89"/>
      <c r="E559" s="89"/>
      <c r="F559" s="89"/>
      <c r="G559" s="89"/>
      <c r="H559" s="62"/>
      <c r="I559" s="62"/>
      <c r="J559" s="62"/>
      <c r="K559" s="62"/>
      <c r="L559" s="62"/>
      <c r="M559" s="62"/>
      <c r="N559" s="89"/>
      <c r="O559" s="89"/>
      <c r="P559" s="89"/>
      <c r="Q559" s="89"/>
      <c r="R559" s="89"/>
      <c r="S559" s="89"/>
      <c r="T559" s="62"/>
      <c r="U559" s="62"/>
      <c r="V559" s="62"/>
      <c r="W559" s="62"/>
      <c r="X559" s="62"/>
      <c r="Y559" s="62"/>
      <c r="Z559" s="89"/>
      <c r="AA559" s="89"/>
      <c r="AB559" s="89"/>
      <c r="AC559" s="89"/>
      <c r="AD559" s="89"/>
      <c r="AE559" s="89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9"/>
      <c r="D560" s="106"/>
      <c r="E560" s="106"/>
      <c r="F560" s="89"/>
      <c r="G560" s="89"/>
      <c r="H560" s="62"/>
      <c r="I560" s="106"/>
      <c r="J560" s="106"/>
      <c r="K560" s="105"/>
      <c r="L560" s="62"/>
      <c r="M560" s="62"/>
      <c r="N560" s="65"/>
      <c r="O560" s="89"/>
      <c r="P560" s="106"/>
      <c r="Q560" s="106"/>
      <c r="R560" s="89"/>
      <c r="S560" s="89"/>
      <c r="T560" s="62"/>
      <c r="U560" s="106"/>
      <c r="V560" s="106"/>
      <c r="W560" s="105"/>
      <c r="X560" s="62"/>
      <c r="Y560" s="62"/>
      <c r="Z560" s="65"/>
      <c r="AA560" s="89"/>
      <c r="AB560" s="106"/>
      <c r="AC560" s="106"/>
      <c r="AD560" s="89"/>
      <c r="AE560" s="89"/>
      <c r="AF560" s="62"/>
      <c r="AG560" s="106"/>
      <c r="AH560" s="106"/>
      <c r="AI560" s="105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9"/>
      <c r="C561" s="89"/>
      <c r="D561" s="81"/>
      <c r="E561" s="82"/>
      <c r="F561" s="83"/>
      <c r="G561" s="83"/>
      <c r="H561" s="62"/>
      <c r="I561" s="88"/>
      <c r="J561" s="88"/>
      <c r="K561" s="105"/>
      <c r="L561" s="62"/>
      <c r="M561" s="62"/>
      <c r="N561" s="89"/>
      <c r="O561" s="89"/>
      <c r="P561" s="81"/>
      <c r="Q561" s="83"/>
      <c r="R561" s="83"/>
      <c r="S561" s="83"/>
      <c r="T561" s="62"/>
      <c r="U561" s="88"/>
      <c r="V561" s="88"/>
      <c r="W561" s="105"/>
      <c r="X561" s="62"/>
      <c r="Y561" s="62"/>
      <c r="Z561" s="89"/>
      <c r="AA561" s="89"/>
      <c r="AB561" s="81"/>
      <c r="AC561" s="83"/>
      <c r="AD561" s="83"/>
      <c r="AE561" s="83"/>
      <c r="AF561" s="62"/>
      <c r="AG561" s="88"/>
      <c r="AH561" s="88"/>
      <c r="AI561" s="105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9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9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9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9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89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9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9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9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9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9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89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9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9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89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89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9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89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89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9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89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65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9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89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89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9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9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9"/>
      <c r="AB570" s="9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9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9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89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9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9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62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9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89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9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9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9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9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9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9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9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65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9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89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9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89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89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9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9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9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9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89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9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9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9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9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9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9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89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9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65"/>
      <c r="P582" s="67"/>
      <c r="Q582" s="89"/>
      <c r="R582" s="89"/>
      <c r="S582" s="60"/>
      <c r="T582" s="62"/>
      <c r="U582" s="62"/>
      <c r="V582" s="62"/>
      <c r="W582" s="61"/>
      <c r="X582" s="62"/>
      <c r="Y582" s="62"/>
      <c r="Z582" s="66"/>
      <c r="AA582" s="89"/>
      <c r="AB582" s="67"/>
      <c r="AC582" s="89"/>
      <c r="AD582" s="89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9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9"/>
      <c r="P583" s="68"/>
      <c r="Q583" s="89"/>
      <c r="R583" s="89"/>
      <c r="S583" s="60"/>
      <c r="T583" s="62"/>
      <c r="U583" s="62"/>
      <c r="V583" s="62"/>
      <c r="W583" s="61"/>
      <c r="X583" s="62"/>
      <c r="Y583" s="62"/>
      <c r="Z583" s="66"/>
      <c r="AA583" s="89"/>
      <c r="AB583" s="68"/>
      <c r="AC583" s="89"/>
      <c r="AD583" s="89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9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9"/>
      <c r="P584" s="69"/>
      <c r="Q584" s="89"/>
      <c r="R584" s="62"/>
      <c r="S584" s="60"/>
      <c r="T584" s="62"/>
      <c r="U584" s="62"/>
      <c r="V584" s="62"/>
      <c r="W584" s="61"/>
      <c r="X584" s="62"/>
      <c r="Y584" s="62"/>
      <c r="Z584" s="66"/>
      <c r="AA584" s="89"/>
      <c r="AB584" s="69"/>
      <c r="AC584" s="62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9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89"/>
      <c r="P585" s="69"/>
      <c r="Q585" s="89"/>
      <c r="R585" s="89"/>
      <c r="S585" s="60"/>
      <c r="T585" s="62"/>
      <c r="U585" s="62"/>
      <c r="V585" s="62"/>
      <c r="W585" s="61"/>
      <c r="X585" s="62"/>
      <c r="Y585" s="62"/>
      <c r="Z585" s="66"/>
      <c r="AA585" s="89"/>
      <c r="AB585" s="69"/>
      <c r="AC585" s="89"/>
      <c r="AD585" s="89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9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9"/>
      <c r="P586" s="69"/>
      <c r="Q586" s="89"/>
      <c r="R586" s="89"/>
      <c r="S586" s="60"/>
      <c r="T586" s="62"/>
      <c r="U586" s="62"/>
      <c r="V586" s="62"/>
      <c r="W586" s="61"/>
      <c r="X586" s="62"/>
      <c r="Y586" s="62"/>
      <c r="Z586" s="66"/>
      <c r="AA586" s="89"/>
      <c r="AB586" s="69"/>
      <c r="AC586" s="89"/>
      <c r="AD586" s="89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9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62"/>
      <c r="P587" s="69"/>
      <c r="Q587" s="89"/>
      <c r="R587" s="89"/>
      <c r="S587" s="60"/>
      <c r="T587" s="62"/>
      <c r="U587" s="62"/>
      <c r="V587" s="62"/>
      <c r="W587" s="61"/>
      <c r="X587" s="62"/>
      <c r="Y587" s="62"/>
      <c r="Z587" s="66"/>
      <c r="AA587" s="89"/>
      <c r="AB587" s="69"/>
      <c r="AC587" s="89"/>
      <c r="AD587" s="89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9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9"/>
      <c r="P588" s="69"/>
      <c r="Q588" s="89"/>
      <c r="R588" s="89"/>
      <c r="S588" s="60"/>
      <c r="T588" s="62"/>
      <c r="U588" s="62"/>
      <c r="V588" s="62"/>
      <c r="W588" s="61"/>
      <c r="X588" s="62"/>
      <c r="Y588" s="62"/>
      <c r="Z588" s="66"/>
      <c r="AA588" s="89"/>
      <c r="AB588" s="69"/>
      <c r="AC588" s="89"/>
      <c r="AD588" s="89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9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9"/>
      <c r="P589" s="69"/>
      <c r="Q589" s="89"/>
      <c r="R589" s="89"/>
      <c r="S589" s="60"/>
      <c r="T589" s="62"/>
      <c r="U589" s="62"/>
      <c r="V589" s="62"/>
      <c r="W589" s="61"/>
      <c r="X589" s="62"/>
      <c r="Y589" s="62"/>
      <c r="Z589" s="66"/>
      <c r="AA589" s="89"/>
      <c r="AB589" s="69"/>
      <c r="AC589" s="89"/>
      <c r="AD589" s="89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9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9"/>
      <c r="P590" s="69"/>
      <c r="Q590" s="89"/>
      <c r="R590" s="89"/>
      <c r="S590" s="60"/>
      <c r="T590" s="62"/>
      <c r="U590" s="62"/>
      <c r="V590" s="62"/>
      <c r="W590" s="61"/>
      <c r="X590" s="62"/>
      <c r="Y590" s="62"/>
      <c r="Z590" s="66"/>
      <c r="AA590" s="89"/>
      <c r="AB590" s="69"/>
      <c r="AC590" s="89"/>
      <c r="AD590" s="89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65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62"/>
      <c r="P591" s="69"/>
      <c r="Q591" s="89"/>
      <c r="R591" s="89"/>
      <c r="S591" s="60"/>
      <c r="T591" s="62"/>
      <c r="U591" s="62"/>
      <c r="V591" s="62"/>
      <c r="W591" s="61"/>
      <c r="X591" s="62"/>
      <c r="Y591" s="62"/>
      <c r="Z591" s="66"/>
      <c r="AA591" s="89"/>
      <c r="AB591" s="69"/>
      <c r="AC591" s="89"/>
      <c r="AD591" s="89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65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9"/>
      <c r="P592" s="69"/>
      <c r="Q592" s="89"/>
      <c r="R592" s="89"/>
      <c r="S592" s="60"/>
      <c r="T592" s="62"/>
      <c r="U592" s="62"/>
      <c r="V592" s="62"/>
      <c r="W592" s="61"/>
      <c r="X592" s="62"/>
      <c r="Y592" s="62"/>
      <c r="Z592" s="66"/>
      <c r="AA592" s="89"/>
      <c r="AB592" s="69"/>
      <c r="AC592" s="89"/>
      <c r="AD592" s="89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65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9"/>
      <c r="P593" s="69"/>
      <c r="Q593" s="89"/>
      <c r="R593" s="89"/>
      <c r="S593" s="60"/>
      <c r="T593" s="62"/>
      <c r="U593" s="62"/>
      <c r="V593" s="62"/>
      <c r="W593" s="61"/>
      <c r="X593" s="62"/>
      <c r="Y593" s="62"/>
      <c r="Z593" s="66"/>
      <c r="AA593" s="89"/>
      <c r="AB593" s="69"/>
      <c r="AC593" s="89"/>
      <c r="AD593" s="89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65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9"/>
      <c r="P594" s="69"/>
      <c r="Q594" s="89"/>
      <c r="R594" s="89"/>
      <c r="S594" s="60"/>
      <c r="T594" s="62"/>
      <c r="U594" s="62"/>
      <c r="V594" s="62"/>
      <c r="W594" s="61"/>
      <c r="X594" s="62"/>
      <c r="Y594" s="62"/>
      <c r="Z594" s="66"/>
      <c r="AA594" s="89"/>
      <c r="AB594" s="69"/>
      <c r="AC594" s="89"/>
      <c r="AD594" s="89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65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9"/>
      <c r="P595" s="69"/>
      <c r="Q595" s="89"/>
      <c r="R595" s="89"/>
      <c r="S595" s="60"/>
      <c r="T595" s="62"/>
      <c r="U595" s="62"/>
      <c r="V595" s="62"/>
      <c r="W595" s="61"/>
      <c r="X595" s="62"/>
      <c r="Y595" s="62"/>
      <c r="Z595" s="66"/>
      <c r="AA595" s="89"/>
      <c r="AB595" s="69"/>
      <c r="AC595" s="89"/>
      <c r="AD595" s="89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65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9"/>
      <c r="P596" s="69"/>
      <c r="Q596" s="89"/>
      <c r="R596" s="89"/>
      <c r="S596" s="60"/>
      <c r="T596" s="62"/>
      <c r="U596" s="62"/>
      <c r="V596" s="62"/>
      <c r="W596" s="61"/>
      <c r="X596" s="62"/>
      <c r="Y596" s="62"/>
      <c r="Z596" s="66"/>
      <c r="AA596" s="89"/>
      <c r="AB596" s="69"/>
      <c r="AC596" s="89"/>
      <c r="AD596" s="89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65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9"/>
      <c r="P597" s="69"/>
      <c r="Q597" s="89"/>
      <c r="R597" s="89"/>
      <c r="S597" s="60"/>
      <c r="T597" s="62"/>
      <c r="U597" s="62"/>
      <c r="V597" s="62"/>
      <c r="W597" s="61"/>
      <c r="X597" s="62"/>
      <c r="Y597" s="62"/>
      <c r="Z597" s="66"/>
      <c r="AA597" s="89"/>
      <c r="AB597" s="69"/>
      <c r="AC597" s="89"/>
      <c r="AD597" s="89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65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9"/>
      <c r="R598" s="89"/>
      <c r="S598" s="60"/>
      <c r="T598" s="62"/>
      <c r="U598" s="62"/>
      <c r="V598" s="62"/>
      <c r="W598" s="61"/>
      <c r="X598" s="62"/>
      <c r="Y598" s="62"/>
      <c r="Z598" s="66"/>
      <c r="AA598" s="89"/>
      <c r="AB598" s="69"/>
      <c r="AC598" s="89"/>
      <c r="AD598" s="89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9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9"/>
      <c r="P599" s="69"/>
      <c r="Q599" s="89"/>
      <c r="R599" s="89"/>
      <c r="S599" s="60"/>
      <c r="T599" s="62"/>
      <c r="U599" s="62"/>
      <c r="V599" s="62"/>
      <c r="W599" s="61"/>
      <c r="X599" s="62"/>
      <c r="Y599" s="62"/>
      <c r="Z599" s="66"/>
      <c r="AA599" s="89"/>
      <c r="AB599" s="69"/>
      <c r="AC599" s="89"/>
      <c r="AD599" s="89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9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9"/>
      <c r="P600" s="69"/>
      <c r="Q600" s="89"/>
      <c r="R600" s="89"/>
      <c r="S600" s="60"/>
      <c r="T600" s="62"/>
      <c r="U600" s="62"/>
      <c r="V600" s="62"/>
      <c r="W600" s="61"/>
      <c r="X600" s="62"/>
      <c r="Y600" s="62"/>
      <c r="Z600" s="66"/>
      <c r="AA600" s="89"/>
      <c r="AB600" s="69"/>
      <c r="AC600" s="89"/>
      <c r="AD600" s="89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9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9"/>
      <c r="R601" s="89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9"/>
      <c r="AD601" s="89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9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9"/>
      <c r="P602" s="69"/>
      <c r="Q602" s="89"/>
      <c r="R602" s="89"/>
      <c r="S602" s="60"/>
      <c r="T602" s="62"/>
      <c r="U602" s="62"/>
      <c r="V602" s="62"/>
      <c r="W602" s="61"/>
      <c r="X602" s="62"/>
      <c r="Y602" s="62"/>
      <c r="Z602" s="66"/>
      <c r="AA602" s="89"/>
      <c r="AB602" s="69"/>
      <c r="AC602" s="89"/>
      <c r="AD602" s="89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9"/>
      <c r="O603" s="89"/>
      <c r="P603" s="89"/>
      <c r="Q603" s="89"/>
      <c r="R603" s="89"/>
      <c r="S603" s="89"/>
      <c r="T603" s="62"/>
      <c r="U603" s="62"/>
      <c r="V603" s="62"/>
      <c r="W603" s="61"/>
      <c r="X603" s="62"/>
      <c r="Y603" s="62"/>
      <c r="Z603" s="89"/>
      <c r="AA603" s="89"/>
      <c r="AB603" s="89"/>
      <c r="AC603" s="89"/>
      <c r="AD603" s="89"/>
      <c r="AE603" s="89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9"/>
      <c r="C604" s="89"/>
      <c r="D604" s="89"/>
      <c r="E604" s="89"/>
      <c r="F604" s="89"/>
      <c r="G604" s="89"/>
      <c r="H604" s="62"/>
      <c r="I604" s="62"/>
      <c r="J604" s="62"/>
      <c r="K604" s="62"/>
      <c r="L604" s="62"/>
      <c r="M604" s="62"/>
      <c r="N604" s="89"/>
      <c r="O604" s="89"/>
      <c r="P604" s="89"/>
      <c r="Q604" s="89"/>
      <c r="R604" s="89"/>
      <c r="S604" s="89"/>
      <c r="T604" s="62"/>
      <c r="U604" s="62"/>
      <c r="V604" s="62"/>
      <c r="W604" s="62"/>
      <c r="X604" s="62"/>
      <c r="Y604" s="62"/>
      <c r="Z604" s="89"/>
      <c r="AA604" s="89"/>
      <c r="AB604" s="89"/>
      <c r="AC604" s="89"/>
      <c r="AD604" s="89"/>
      <c r="AE604" s="89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9"/>
      <c r="C605" s="89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9"/>
      <c r="O605" s="89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9"/>
      <c r="AA605" s="89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9"/>
      <c r="C607" s="89"/>
      <c r="D607" s="89"/>
      <c r="E607" s="89"/>
      <c r="F607" s="89"/>
      <c r="G607" s="89"/>
      <c r="H607" s="62"/>
      <c r="I607" s="62"/>
      <c r="J607" s="62"/>
      <c r="K607" s="62"/>
      <c r="L607" s="62"/>
      <c r="M607" s="62"/>
      <c r="N607" s="89"/>
      <c r="O607" s="89"/>
      <c r="P607" s="89"/>
      <c r="Q607" s="89"/>
      <c r="R607" s="89"/>
      <c r="S607" s="89"/>
      <c r="T607" s="62"/>
      <c r="U607" s="62"/>
      <c r="V607" s="62"/>
      <c r="W607" s="62"/>
      <c r="X607" s="62"/>
      <c r="Y607" s="62"/>
      <c r="Z607" s="89"/>
      <c r="AA607" s="89"/>
      <c r="AB607" s="89"/>
      <c r="AC607" s="89"/>
      <c r="AD607" s="89"/>
      <c r="AE607" s="89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9"/>
      <c r="C608" s="89"/>
      <c r="D608" s="89"/>
      <c r="E608" s="89"/>
      <c r="F608" s="89"/>
      <c r="G608" s="89"/>
      <c r="H608" s="62"/>
      <c r="I608" s="62"/>
      <c r="J608" s="62"/>
      <c r="K608" s="62"/>
      <c r="L608" s="62"/>
      <c r="M608" s="62"/>
      <c r="N608" s="89"/>
      <c r="O608" s="89"/>
      <c r="P608" s="89"/>
      <c r="Q608" s="89"/>
      <c r="R608" s="89"/>
      <c r="S608" s="89"/>
      <c r="T608" s="62"/>
      <c r="U608" s="62"/>
      <c r="V608" s="62"/>
      <c r="W608" s="62"/>
      <c r="X608" s="62"/>
      <c r="Y608" s="62"/>
      <c r="Z608" s="89"/>
      <c r="AA608" s="89"/>
      <c r="AB608" s="89"/>
      <c r="AC608" s="89"/>
      <c r="AD608" s="89"/>
      <c r="AE608" s="89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9"/>
      <c r="C609" s="89"/>
      <c r="D609" s="89"/>
      <c r="E609" s="89"/>
      <c r="F609" s="89"/>
      <c r="G609" s="89"/>
      <c r="H609" s="62"/>
      <c r="I609" s="62"/>
      <c r="J609" s="62"/>
      <c r="K609" s="62"/>
      <c r="L609" s="62"/>
      <c r="M609" s="62"/>
      <c r="N609" s="89"/>
      <c r="O609" s="89"/>
      <c r="P609" s="89"/>
      <c r="Q609" s="89"/>
      <c r="R609" s="89"/>
      <c r="S609" s="89"/>
      <c r="T609" s="62"/>
      <c r="U609" s="62"/>
      <c r="V609" s="62"/>
      <c r="W609" s="62"/>
      <c r="X609" s="62"/>
      <c r="Y609" s="62"/>
      <c r="Z609" s="89"/>
      <c r="AA609" s="89"/>
      <c r="AB609" s="89"/>
      <c r="AC609" s="89"/>
      <c r="AD609" s="89"/>
      <c r="AE609" s="89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9"/>
      <c r="C610" s="89"/>
      <c r="D610" s="89"/>
      <c r="E610" s="89"/>
      <c r="F610" s="89"/>
      <c r="G610" s="89"/>
      <c r="H610" s="62"/>
      <c r="I610" s="62"/>
      <c r="J610" s="62"/>
      <c r="K610" s="62"/>
      <c r="L610" s="62"/>
      <c r="M610" s="63"/>
      <c r="N610" s="89"/>
      <c r="O610" s="89"/>
      <c r="P610" s="89"/>
      <c r="Q610" s="89"/>
      <c r="R610" s="89"/>
      <c r="S610" s="89"/>
      <c r="T610" s="62"/>
      <c r="U610" s="62"/>
      <c r="V610" s="62"/>
      <c r="W610" s="62"/>
      <c r="X610" s="62"/>
      <c r="Y610" s="63"/>
      <c r="Z610" s="89"/>
      <c r="AA610" s="89"/>
      <c r="AB610" s="89"/>
      <c r="AC610" s="89"/>
      <c r="AD610" s="89"/>
      <c r="AE610" s="89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9"/>
      <c r="C611" s="89"/>
      <c r="D611" s="89"/>
      <c r="E611" s="89"/>
      <c r="F611" s="89"/>
      <c r="G611" s="89"/>
      <c r="H611" s="62"/>
      <c r="I611" s="62"/>
      <c r="J611" s="62"/>
      <c r="K611" s="62"/>
      <c r="L611" s="62"/>
      <c r="M611" s="62"/>
      <c r="N611" s="89"/>
      <c r="O611" s="89"/>
      <c r="P611" s="89"/>
      <c r="Q611" s="89"/>
      <c r="R611" s="89"/>
      <c r="S611" s="89"/>
      <c r="T611" s="62"/>
      <c r="U611" s="62"/>
      <c r="V611" s="62"/>
      <c r="W611" s="62"/>
      <c r="X611" s="62"/>
      <c r="Y611" s="62"/>
      <c r="Z611" s="89"/>
      <c r="AA611" s="89"/>
      <c r="AB611" s="89"/>
      <c r="AC611" s="89"/>
      <c r="AD611" s="89"/>
      <c r="AE611" s="89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9"/>
      <c r="C612" s="89"/>
      <c r="D612" s="89"/>
      <c r="E612" s="89"/>
      <c r="F612" s="89"/>
      <c r="G612" s="89"/>
      <c r="H612" s="62"/>
      <c r="I612" s="89"/>
      <c r="J612" s="74"/>
      <c r="K612" s="62"/>
      <c r="L612" s="62"/>
      <c r="M612" s="62"/>
      <c r="N612" s="89"/>
      <c r="O612" s="89"/>
      <c r="P612" s="89"/>
      <c r="Q612" s="89"/>
      <c r="R612" s="89"/>
      <c r="S612" s="89"/>
      <c r="T612" s="62"/>
      <c r="U612" s="89"/>
      <c r="V612" s="74"/>
      <c r="W612" s="62"/>
      <c r="X612" s="62"/>
      <c r="Y612" s="62"/>
      <c r="Z612" s="89"/>
      <c r="AA612" s="89"/>
      <c r="AB612" s="89"/>
      <c r="AC612" s="89"/>
      <c r="AD612" s="89"/>
      <c r="AE612" s="89"/>
      <c r="AF612" s="62"/>
      <c r="AG612" s="89"/>
      <c r="AH612" s="89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9"/>
      <c r="C613" s="89"/>
      <c r="D613" s="89"/>
      <c r="E613" s="89"/>
      <c r="F613" s="89"/>
      <c r="G613" s="89"/>
      <c r="H613" s="62"/>
      <c r="I613" s="65"/>
      <c r="J613" s="65"/>
      <c r="K613" s="62"/>
      <c r="L613" s="62"/>
      <c r="M613" s="64"/>
      <c r="N613" s="89"/>
      <c r="O613" s="89"/>
      <c r="P613" s="89"/>
      <c r="Q613" s="89"/>
      <c r="R613" s="89"/>
      <c r="S613" s="89"/>
      <c r="T613" s="62"/>
      <c r="U613" s="65"/>
      <c r="V613" s="65"/>
      <c r="W613" s="62"/>
      <c r="X613" s="62"/>
      <c r="Y613" s="64"/>
      <c r="Z613" s="89"/>
      <c r="AA613" s="89"/>
      <c r="AB613" s="89"/>
      <c r="AC613" s="89"/>
      <c r="AD613" s="89"/>
      <c r="AE613" s="89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9"/>
      <c r="C614" s="89"/>
      <c r="D614" s="89"/>
      <c r="E614" s="89"/>
      <c r="F614" s="89"/>
      <c r="G614" s="89"/>
      <c r="H614" s="62"/>
      <c r="I614" s="62"/>
      <c r="J614" s="62"/>
      <c r="K614" s="62"/>
      <c r="L614" s="62"/>
      <c r="M614" s="62"/>
      <c r="N614" s="89"/>
      <c r="O614" s="89"/>
      <c r="P614" s="89"/>
      <c r="Q614" s="89"/>
      <c r="R614" s="89"/>
      <c r="S614" s="89"/>
      <c r="T614" s="62"/>
      <c r="U614" s="62"/>
      <c r="V614" s="62"/>
      <c r="W614" s="62"/>
      <c r="X614" s="62"/>
      <c r="Y614" s="62"/>
      <c r="Z614" s="89"/>
      <c r="AA614" s="89"/>
      <c r="AB614" s="89"/>
      <c r="AC614" s="89"/>
      <c r="AD614" s="89"/>
      <c r="AE614" s="89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9"/>
      <c r="D615" s="106"/>
      <c r="E615" s="106"/>
      <c r="F615" s="89"/>
      <c r="G615" s="89"/>
      <c r="H615" s="62"/>
      <c r="I615" s="106"/>
      <c r="J615" s="106"/>
      <c r="K615" s="105"/>
      <c r="L615" s="62"/>
      <c r="M615" s="62"/>
      <c r="N615" s="65"/>
      <c r="O615" s="89"/>
      <c r="P615" s="106"/>
      <c r="Q615" s="106"/>
      <c r="R615" s="89"/>
      <c r="S615" s="89"/>
      <c r="T615" s="62"/>
      <c r="U615" s="106"/>
      <c r="V615" s="106"/>
      <c r="W615" s="105"/>
      <c r="X615" s="62"/>
      <c r="Y615" s="62"/>
      <c r="Z615" s="65"/>
      <c r="AA615" s="89"/>
      <c r="AB615" s="106"/>
      <c r="AC615" s="106"/>
      <c r="AD615" s="89"/>
      <c r="AE615" s="89"/>
      <c r="AF615" s="62"/>
      <c r="AG615" s="106"/>
      <c r="AH615" s="106"/>
      <c r="AI615" s="105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9"/>
      <c r="C616" s="89"/>
      <c r="D616" s="81"/>
      <c r="E616" s="82"/>
      <c r="F616" s="83"/>
      <c r="G616" s="83"/>
      <c r="H616" s="62"/>
      <c r="I616" s="88"/>
      <c r="J616" s="88"/>
      <c r="K616" s="105"/>
      <c r="L616" s="62"/>
      <c r="M616" s="62"/>
      <c r="N616" s="89"/>
      <c r="O616" s="89"/>
      <c r="P616" s="81"/>
      <c r="Q616" s="83"/>
      <c r="R616" s="83"/>
      <c r="S616" s="83"/>
      <c r="T616" s="62"/>
      <c r="U616" s="88"/>
      <c r="V616" s="88"/>
      <c r="W616" s="105"/>
      <c r="X616" s="62"/>
      <c r="Y616" s="62"/>
      <c r="Z616" s="89"/>
      <c r="AA616" s="89"/>
      <c r="AB616" s="81"/>
      <c r="AC616" s="83"/>
      <c r="AD616" s="83"/>
      <c r="AE616" s="83"/>
      <c r="AF616" s="62"/>
      <c r="AG616" s="88"/>
      <c r="AH616" s="88"/>
      <c r="AI616" s="105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9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9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9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9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9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9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65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9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9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9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65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89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9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9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89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9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9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9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9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62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9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9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9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65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9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9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9"/>
      <c r="AB625" s="62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9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9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9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9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62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9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9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9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9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9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9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9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9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9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9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9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9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62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9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9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89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9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9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9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9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9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9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9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9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9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9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9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89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9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89"/>
      <c r="P637" s="67"/>
      <c r="Q637" s="89"/>
      <c r="R637" s="89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89"/>
      <c r="AD637" s="89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9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9"/>
      <c r="P638" s="68"/>
      <c r="Q638" s="89"/>
      <c r="R638" s="89"/>
      <c r="S638" s="60"/>
      <c r="T638" s="62"/>
      <c r="U638" s="62"/>
      <c r="V638" s="62"/>
      <c r="W638" s="61"/>
      <c r="X638" s="62"/>
      <c r="Y638" s="62"/>
      <c r="Z638" s="66"/>
      <c r="AA638" s="62"/>
      <c r="AB638" s="68"/>
      <c r="AC638" s="89"/>
      <c r="AD638" s="89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9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9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89"/>
      <c r="AB639" s="69"/>
      <c r="AC639" s="89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9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9"/>
      <c r="P640" s="69"/>
      <c r="Q640" s="89"/>
      <c r="R640" s="89"/>
      <c r="S640" s="60"/>
      <c r="T640" s="62"/>
      <c r="U640" s="62"/>
      <c r="V640" s="62"/>
      <c r="W640" s="61"/>
      <c r="X640" s="62"/>
      <c r="Y640" s="62"/>
      <c r="Z640" s="66"/>
      <c r="AA640" s="89"/>
      <c r="AB640" s="69"/>
      <c r="AC640" s="89"/>
      <c r="AD640" s="89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9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9"/>
      <c r="P641" s="69"/>
      <c r="Q641" s="89"/>
      <c r="R641" s="89"/>
      <c r="S641" s="60"/>
      <c r="T641" s="62"/>
      <c r="U641" s="62"/>
      <c r="V641" s="62"/>
      <c r="W641" s="61"/>
      <c r="X641" s="62"/>
      <c r="Y641" s="62"/>
      <c r="Z641" s="66"/>
      <c r="AA641" s="65"/>
      <c r="AB641" s="69"/>
      <c r="AC641" s="89"/>
      <c r="AD641" s="89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9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89"/>
      <c r="P642" s="69"/>
      <c r="Q642" s="89"/>
      <c r="R642" s="89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89"/>
      <c r="AD642" s="89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9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9"/>
      <c r="P643" s="69"/>
      <c r="Q643" s="89"/>
      <c r="R643" s="89"/>
      <c r="S643" s="60"/>
      <c r="T643" s="62"/>
      <c r="U643" s="62"/>
      <c r="V643" s="62"/>
      <c r="W643" s="61"/>
      <c r="X643" s="62"/>
      <c r="Y643" s="62"/>
      <c r="Z643" s="66"/>
      <c r="AA643" s="89"/>
      <c r="AB643" s="69"/>
      <c r="AC643" s="89"/>
      <c r="AD643" s="89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9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9"/>
      <c r="P644" s="69"/>
      <c r="Q644" s="89"/>
      <c r="R644" s="89"/>
      <c r="S644" s="60"/>
      <c r="T644" s="62"/>
      <c r="U644" s="62"/>
      <c r="V644" s="62"/>
      <c r="W644" s="61"/>
      <c r="X644" s="62"/>
      <c r="Y644" s="62"/>
      <c r="Z644" s="66"/>
      <c r="AA644" s="89"/>
      <c r="AB644" s="69"/>
      <c r="AC644" s="89"/>
      <c r="AD644" s="89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9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89"/>
      <c r="R645" s="89"/>
      <c r="S645" s="60"/>
      <c r="T645" s="62"/>
      <c r="U645" s="62"/>
      <c r="V645" s="62"/>
      <c r="W645" s="61"/>
      <c r="X645" s="62"/>
      <c r="Y645" s="62"/>
      <c r="Z645" s="66"/>
      <c r="AA645" s="89"/>
      <c r="AB645" s="69"/>
      <c r="AC645" s="89"/>
      <c r="AD645" s="89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65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62"/>
      <c r="P646" s="69"/>
      <c r="Q646" s="89"/>
      <c r="R646" s="89"/>
      <c r="S646" s="60"/>
      <c r="T646" s="62"/>
      <c r="U646" s="62"/>
      <c r="V646" s="62"/>
      <c r="W646" s="61"/>
      <c r="X646" s="62"/>
      <c r="Y646" s="62"/>
      <c r="Z646" s="66"/>
      <c r="AA646" s="89"/>
      <c r="AB646" s="69"/>
      <c r="AC646" s="89"/>
      <c r="AD646" s="89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65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9"/>
      <c r="P647" s="69"/>
      <c r="Q647" s="89"/>
      <c r="R647" s="89"/>
      <c r="S647" s="60"/>
      <c r="T647" s="62"/>
      <c r="U647" s="62"/>
      <c r="V647" s="62"/>
      <c r="W647" s="61"/>
      <c r="X647" s="62"/>
      <c r="Y647" s="62"/>
      <c r="Z647" s="66"/>
      <c r="AA647" s="89"/>
      <c r="AB647" s="69"/>
      <c r="AC647" s="89"/>
      <c r="AD647" s="89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65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62"/>
      <c r="P648" s="69"/>
      <c r="Q648" s="89"/>
      <c r="R648" s="89"/>
      <c r="S648" s="60"/>
      <c r="T648" s="62"/>
      <c r="U648" s="62"/>
      <c r="V648" s="62"/>
      <c r="W648" s="61"/>
      <c r="X648" s="62"/>
      <c r="Y648" s="62"/>
      <c r="Z648" s="66"/>
      <c r="AA648" s="89"/>
      <c r="AB648" s="69"/>
      <c r="AC648" s="89"/>
      <c r="AD648" s="89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65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9"/>
      <c r="P649" s="69"/>
      <c r="Q649" s="89"/>
      <c r="R649" s="89"/>
      <c r="S649" s="60"/>
      <c r="T649" s="62"/>
      <c r="U649" s="62"/>
      <c r="V649" s="62"/>
      <c r="W649" s="61"/>
      <c r="X649" s="62"/>
      <c r="Y649" s="62"/>
      <c r="Z649" s="66"/>
      <c r="AA649" s="89"/>
      <c r="AB649" s="69"/>
      <c r="AC649" s="89"/>
      <c r="AD649" s="89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65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9"/>
      <c r="P650" s="69"/>
      <c r="Q650" s="89"/>
      <c r="R650" s="89"/>
      <c r="S650" s="60"/>
      <c r="T650" s="62"/>
      <c r="U650" s="62"/>
      <c r="V650" s="62"/>
      <c r="W650" s="61"/>
      <c r="X650" s="62"/>
      <c r="Y650" s="62"/>
      <c r="Z650" s="66"/>
      <c r="AA650" s="89"/>
      <c r="AB650" s="69"/>
      <c r="AC650" s="89"/>
      <c r="AD650" s="89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65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9"/>
      <c r="P651" s="69"/>
      <c r="Q651" s="89"/>
      <c r="R651" s="89"/>
      <c r="S651" s="60"/>
      <c r="T651" s="62"/>
      <c r="U651" s="62"/>
      <c r="V651" s="62"/>
      <c r="W651" s="61"/>
      <c r="X651" s="62"/>
      <c r="Y651" s="62"/>
      <c r="Z651" s="66"/>
      <c r="AA651" s="89"/>
      <c r="AB651" s="69"/>
      <c r="AC651" s="89"/>
      <c r="AD651" s="89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65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9"/>
      <c r="P652" s="69"/>
      <c r="Q652" s="89"/>
      <c r="R652" s="89"/>
      <c r="S652" s="60"/>
      <c r="T652" s="62"/>
      <c r="U652" s="62"/>
      <c r="V652" s="62"/>
      <c r="W652" s="61"/>
      <c r="X652" s="62"/>
      <c r="Y652" s="62"/>
      <c r="Z652" s="66"/>
      <c r="AA652" s="89"/>
      <c r="AB652" s="69"/>
      <c r="AC652" s="89"/>
      <c r="AD652" s="89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65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9"/>
      <c r="R653" s="89"/>
      <c r="S653" s="60"/>
      <c r="T653" s="62"/>
      <c r="U653" s="62"/>
      <c r="V653" s="62"/>
      <c r="W653" s="61"/>
      <c r="X653" s="62"/>
      <c r="Y653" s="62"/>
      <c r="Z653" s="66"/>
      <c r="AA653" s="89"/>
      <c r="AB653" s="69"/>
      <c r="AC653" s="89"/>
      <c r="AD653" s="89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9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9"/>
      <c r="P654" s="69"/>
      <c r="Q654" s="89"/>
      <c r="R654" s="89"/>
      <c r="S654" s="60"/>
      <c r="T654" s="62"/>
      <c r="U654" s="62"/>
      <c r="V654" s="62"/>
      <c r="W654" s="61"/>
      <c r="X654" s="62"/>
      <c r="Y654" s="62"/>
      <c r="Z654" s="66"/>
      <c r="AA654" s="89"/>
      <c r="AB654" s="69"/>
      <c r="AC654" s="89"/>
      <c r="AD654" s="89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9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9"/>
      <c r="P655" s="69"/>
      <c r="Q655" s="89"/>
      <c r="R655" s="89"/>
      <c r="S655" s="60"/>
      <c r="T655" s="62"/>
      <c r="U655" s="62"/>
      <c r="V655" s="62"/>
      <c r="W655" s="61"/>
      <c r="X655" s="62"/>
      <c r="Y655" s="62"/>
      <c r="Z655" s="66"/>
      <c r="AA655" s="89"/>
      <c r="AB655" s="69"/>
      <c r="AC655" s="89"/>
      <c r="AD655" s="89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9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9"/>
      <c r="R656" s="89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9"/>
      <c r="AD656" s="89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9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9"/>
      <c r="P657" s="69"/>
      <c r="Q657" s="89"/>
      <c r="R657" s="89"/>
      <c r="S657" s="60"/>
      <c r="T657" s="62"/>
      <c r="U657" s="62"/>
      <c r="V657" s="62"/>
      <c r="W657" s="61"/>
      <c r="X657" s="62"/>
      <c r="Y657" s="62"/>
      <c r="Z657" s="66"/>
      <c r="AA657" s="89"/>
      <c r="AB657" s="69"/>
      <c r="AC657" s="89"/>
      <c r="AD657" s="89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9"/>
      <c r="O658" s="89"/>
      <c r="P658" s="89"/>
      <c r="Q658" s="89"/>
      <c r="R658" s="89"/>
      <c r="S658" s="89"/>
      <c r="T658" s="62"/>
      <c r="U658" s="62"/>
      <c r="V658" s="62"/>
      <c r="W658" s="61"/>
      <c r="X658" s="62"/>
      <c r="Y658" s="62"/>
      <c r="Z658" s="89"/>
      <c r="AA658" s="89"/>
      <c r="AB658" s="89"/>
      <c r="AC658" s="89"/>
      <c r="AD658" s="89"/>
      <c r="AE658" s="89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9"/>
      <c r="C659" s="89"/>
      <c r="D659" s="89"/>
      <c r="E659" s="89"/>
      <c r="F659" s="89"/>
      <c r="G659" s="89"/>
      <c r="H659" s="62"/>
      <c r="I659" s="62"/>
      <c r="J659" s="62"/>
      <c r="K659" s="62"/>
      <c r="L659" s="62"/>
      <c r="M659" s="62"/>
      <c r="N659" s="89"/>
      <c r="O659" s="89"/>
      <c r="P659" s="89"/>
      <c r="Q659" s="89"/>
      <c r="R659" s="89"/>
      <c r="S659" s="89"/>
      <c r="T659" s="62"/>
      <c r="U659" s="62"/>
      <c r="V659" s="62"/>
      <c r="W659" s="62"/>
      <c r="X659" s="62"/>
      <c r="Y659" s="62"/>
      <c r="Z659" s="89"/>
      <c r="AA659" s="89"/>
      <c r="AB659" s="89"/>
      <c r="AC659" s="89"/>
      <c r="AD659" s="89"/>
      <c r="AE659" s="89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9"/>
      <c r="C660" s="89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9"/>
      <c r="O660" s="89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9"/>
      <c r="AA660" s="89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9"/>
      <c r="C662" s="89"/>
      <c r="D662" s="89"/>
      <c r="E662" s="89"/>
      <c r="F662" s="89"/>
      <c r="G662" s="89"/>
      <c r="H662" s="62"/>
      <c r="I662" s="62"/>
      <c r="J662" s="62"/>
      <c r="K662" s="62"/>
      <c r="L662" s="62"/>
      <c r="M662" s="62"/>
      <c r="N662" s="89"/>
      <c r="O662" s="89"/>
      <c r="P662" s="89"/>
      <c r="Q662" s="89"/>
      <c r="R662" s="89"/>
      <c r="S662" s="89"/>
      <c r="T662" s="62"/>
      <c r="U662" s="62"/>
      <c r="V662" s="62"/>
      <c r="W662" s="62"/>
      <c r="X662" s="62"/>
      <c r="Y662" s="62"/>
      <c r="Z662" s="89"/>
      <c r="AA662" s="89"/>
      <c r="AB662" s="89"/>
      <c r="AC662" s="89"/>
      <c r="AD662" s="89"/>
      <c r="AE662" s="89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9"/>
      <c r="C663" s="89"/>
      <c r="D663" s="89"/>
      <c r="E663" s="89"/>
      <c r="F663" s="89"/>
      <c r="G663" s="89"/>
      <c r="H663" s="62"/>
      <c r="I663" s="62"/>
      <c r="J663" s="62"/>
      <c r="K663" s="62"/>
      <c r="L663" s="62"/>
      <c r="M663" s="62"/>
      <c r="N663" s="89"/>
      <c r="O663" s="89"/>
      <c r="P663" s="89"/>
      <c r="Q663" s="89"/>
      <c r="R663" s="89"/>
      <c r="S663" s="89"/>
      <c r="T663" s="62"/>
      <c r="U663" s="62"/>
      <c r="V663" s="62"/>
      <c r="W663" s="62"/>
      <c r="X663" s="62"/>
      <c r="Y663" s="62"/>
      <c r="Z663" s="89"/>
      <c r="AA663" s="89"/>
      <c r="AB663" s="89"/>
      <c r="AC663" s="89"/>
      <c r="AD663" s="89"/>
      <c r="AE663" s="89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9"/>
      <c r="C664" s="89"/>
      <c r="D664" s="89"/>
      <c r="E664" s="89"/>
      <c r="F664" s="89"/>
      <c r="G664" s="89"/>
      <c r="H664" s="62"/>
      <c r="I664" s="62"/>
      <c r="J664" s="62"/>
      <c r="K664" s="62"/>
      <c r="L664" s="62"/>
      <c r="M664" s="62"/>
      <c r="N664" s="89"/>
      <c r="O664" s="89"/>
      <c r="P664" s="89"/>
      <c r="Q664" s="89"/>
      <c r="R664" s="89"/>
      <c r="S664" s="89"/>
      <c r="T664" s="62"/>
      <c r="U664" s="62"/>
      <c r="V664" s="62"/>
      <c r="W664" s="62"/>
      <c r="X664" s="62"/>
      <c r="Y664" s="62"/>
      <c r="Z664" s="89"/>
      <c r="AA664" s="89"/>
      <c r="AB664" s="89"/>
      <c r="AC664" s="89"/>
      <c r="AD664" s="89"/>
      <c r="AE664" s="89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9"/>
      <c r="C665" s="89"/>
      <c r="D665" s="89"/>
      <c r="E665" s="89"/>
      <c r="F665" s="89"/>
      <c r="G665" s="89"/>
      <c r="H665" s="62"/>
      <c r="I665" s="62"/>
      <c r="J665" s="62"/>
      <c r="K665" s="62"/>
      <c r="L665" s="62"/>
      <c r="M665" s="63"/>
      <c r="N665" s="89"/>
      <c r="O665" s="89"/>
      <c r="P665" s="89"/>
      <c r="Q665" s="89"/>
      <c r="R665" s="89"/>
      <c r="S665" s="89"/>
      <c r="T665" s="62"/>
      <c r="U665" s="62"/>
      <c r="V665" s="62"/>
      <c r="W665" s="62"/>
      <c r="X665" s="62"/>
      <c r="Y665" s="63"/>
      <c r="Z665" s="89"/>
      <c r="AA665" s="89"/>
      <c r="AB665" s="89"/>
      <c r="AC665" s="89"/>
      <c r="AD665" s="89"/>
      <c r="AE665" s="89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9"/>
      <c r="C666" s="89"/>
      <c r="D666" s="89"/>
      <c r="E666" s="89"/>
      <c r="F666" s="89"/>
      <c r="G666" s="89"/>
      <c r="H666" s="62"/>
      <c r="I666" s="62"/>
      <c r="J666" s="62"/>
      <c r="K666" s="62"/>
      <c r="L666" s="62"/>
      <c r="M666" s="62"/>
      <c r="N666" s="89"/>
      <c r="O666" s="89"/>
      <c r="P666" s="89"/>
      <c r="Q666" s="89"/>
      <c r="R666" s="89"/>
      <c r="S666" s="89"/>
      <c r="T666" s="62"/>
      <c r="U666" s="62"/>
      <c r="V666" s="62"/>
      <c r="W666" s="62"/>
      <c r="X666" s="62"/>
      <c r="Y666" s="62"/>
      <c r="Z666" s="89"/>
      <c r="AA666" s="89"/>
      <c r="AB666" s="89"/>
      <c r="AC666" s="89"/>
      <c r="AD666" s="89"/>
      <c r="AE666" s="89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9"/>
      <c r="C667" s="89"/>
      <c r="D667" s="89"/>
      <c r="E667" s="89"/>
      <c r="F667" s="89"/>
      <c r="G667" s="89"/>
      <c r="H667" s="62"/>
      <c r="I667" s="89"/>
      <c r="J667" s="74"/>
      <c r="K667" s="62"/>
      <c r="L667" s="62"/>
      <c r="M667" s="62"/>
      <c r="N667" s="89"/>
      <c r="O667" s="89"/>
      <c r="P667" s="89"/>
      <c r="Q667" s="89"/>
      <c r="R667" s="89"/>
      <c r="S667" s="89"/>
      <c r="T667" s="62"/>
      <c r="U667" s="89"/>
      <c r="V667" s="74"/>
      <c r="W667" s="62"/>
      <c r="X667" s="62"/>
      <c r="Y667" s="62"/>
      <c r="Z667" s="89"/>
      <c r="AA667" s="89"/>
      <c r="AB667" s="89"/>
      <c r="AC667" s="89"/>
      <c r="AD667" s="89"/>
      <c r="AE667" s="89"/>
      <c r="AF667" s="62"/>
      <c r="AG667" s="89"/>
      <c r="AH667" s="89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9"/>
      <c r="C668" s="89"/>
      <c r="D668" s="89"/>
      <c r="E668" s="89"/>
      <c r="F668" s="89"/>
      <c r="G668" s="89"/>
      <c r="H668" s="62"/>
      <c r="I668" s="65"/>
      <c r="J668" s="65"/>
      <c r="K668" s="62"/>
      <c r="L668" s="62"/>
      <c r="M668" s="64"/>
      <c r="N668" s="89"/>
      <c r="O668" s="89"/>
      <c r="P668" s="89"/>
      <c r="Q668" s="89"/>
      <c r="R668" s="89"/>
      <c r="S668" s="89"/>
      <c r="T668" s="62"/>
      <c r="U668" s="65"/>
      <c r="V668" s="65"/>
      <c r="W668" s="62"/>
      <c r="X668" s="62"/>
      <c r="Y668" s="64"/>
      <c r="Z668" s="89"/>
      <c r="AA668" s="89"/>
      <c r="AB668" s="89"/>
      <c r="AC668" s="89"/>
      <c r="AD668" s="89"/>
      <c r="AE668" s="89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9"/>
      <c r="C669" s="89"/>
      <c r="D669" s="89"/>
      <c r="E669" s="89"/>
      <c r="F669" s="89"/>
      <c r="G669" s="89"/>
      <c r="H669" s="62"/>
      <c r="I669" s="62"/>
      <c r="J669" s="62"/>
      <c r="K669" s="62"/>
      <c r="L669" s="62"/>
      <c r="M669" s="62"/>
      <c r="N669" s="89"/>
      <c r="O669" s="89"/>
      <c r="P669" s="89"/>
      <c r="Q669" s="89"/>
      <c r="R669" s="89"/>
      <c r="S669" s="89"/>
      <c r="T669" s="62"/>
      <c r="U669" s="62"/>
      <c r="V669" s="62"/>
      <c r="W669" s="62"/>
      <c r="X669" s="62"/>
      <c r="Y669" s="62"/>
      <c r="Z669" s="89"/>
      <c r="AA669" s="89"/>
      <c r="AB669" s="89"/>
      <c r="AC669" s="89"/>
      <c r="AD669" s="89"/>
      <c r="AE669" s="89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9"/>
      <c r="D670" s="106"/>
      <c r="E670" s="106"/>
      <c r="F670" s="89"/>
      <c r="G670" s="89"/>
      <c r="H670" s="62"/>
      <c r="I670" s="106"/>
      <c r="J670" s="106"/>
      <c r="K670" s="105"/>
      <c r="L670" s="62"/>
      <c r="M670" s="62"/>
      <c r="N670" s="65"/>
      <c r="O670" s="89"/>
      <c r="P670" s="106"/>
      <c r="Q670" s="106"/>
      <c r="R670" s="89"/>
      <c r="S670" s="89"/>
      <c r="T670" s="62"/>
      <c r="U670" s="106"/>
      <c r="V670" s="106"/>
      <c r="W670" s="105"/>
      <c r="X670" s="62"/>
      <c r="Y670" s="62"/>
      <c r="Z670" s="65"/>
      <c r="AA670" s="89"/>
      <c r="AB670" s="106"/>
      <c r="AC670" s="106"/>
      <c r="AD670" s="89"/>
      <c r="AE670" s="89"/>
      <c r="AF670" s="62"/>
      <c r="AG670" s="106"/>
      <c r="AH670" s="106"/>
      <c r="AI670" s="105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9"/>
      <c r="C671" s="89"/>
      <c r="D671" s="81"/>
      <c r="E671" s="82"/>
      <c r="F671" s="83"/>
      <c r="G671" s="83"/>
      <c r="H671" s="62"/>
      <c r="I671" s="88"/>
      <c r="J671" s="88"/>
      <c r="K671" s="105"/>
      <c r="L671" s="62"/>
      <c r="M671" s="62"/>
      <c r="N671" s="89"/>
      <c r="O671" s="89"/>
      <c r="P671" s="81"/>
      <c r="Q671" s="83"/>
      <c r="R671" s="83"/>
      <c r="S671" s="83"/>
      <c r="T671" s="62"/>
      <c r="U671" s="88"/>
      <c r="V671" s="88"/>
      <c r="W671" s="105"/>
      <c r="X671" s="62"/>
      <c r="Y671" s="62"/>
      <c r="Z671" s="89"/>
      <c r="AA671" s="89"/>
      <c r="AB671" s="81"/>
      <c r="AC671" s="83"/>
      <c r="AD671" s="83"/>
      <c r="AE671" s="83"/>
      <c r="AF671" s="62"/>
      <c r="AG671" s="88"/>
      <c r="AH671" s="88"/>
      <c r="AI671" s="105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9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9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9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9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9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9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9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9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65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9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9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9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9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9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9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9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9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9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9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9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62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9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9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9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9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9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89"/>
      <c r="AB680" s="9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9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9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9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9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65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62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9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9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9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9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9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9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9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9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9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9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9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9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9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9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89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9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9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9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9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9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9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9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9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9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9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9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89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9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62"/>
      <c r="P692" s="67"/>
      <c r="Q692" s="89"/>
      <c r="R692" s="89"/>
      <c r="S692" s="60"/>
      <c r="T692" s="62"/>
      <c r="U692" s="62"/>
      <c r="V692" s="62"/>
      <c r="W692" s="61"/>
      <c r="X692" s="62"/>
      <c r="Y692" s="62"/>
      <c r="Z692" s="66"/>
      <c r="AA692" s="62"/>
      <c r="AB692" s="67"/>
      <c r="AC692" s="89"/>
      <c r="AD692" s="89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9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9"/>
      <c r="P693" s="68"/>
      <c r="Q693" s="89"/>
      <c r="R693" s="89"/>
      <c r="S693" s="60"/>
      <c r="T693" s="62"/>
      <c r="U693" s="62"/>
      <c r="V693" s="62"/>
      <c r="W693" s="61"/>
      <c r="X693" s="62"/>
      <c r="Y693" s="62"/>
      <c r="Z693" s="66"/>
      <c r="AA693" s="89"/>
      <c r="AB693" s="68"/>
      <c r="AC693" s="89"/>
      <c r="AD693" s="89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65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9"/>
      <c r="P694" s="69"/>
      <c r="Q694" s="89"/>
      <c r="R694" s="62"/>
      <c r="S694" s="60"/>
      <c r="T694" s="62"/>
      <c r="U694" s="62"/>
      <c r="V694" s="62"/>
      <c r="W694" s="61"/>
      <c r="X694" s="62"/>
      <c r="Y694" s="62"/>
      <c r="Z694" s="66"/>
      <c r="AA694" s="89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9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9"/>
      <c r="P695" s="69"/>
      <c r="Q695" s="89"/>
      <c r="R695" s="89"/>
      <c r="S695" s="60"/>
      <c r="T695" s="62"/>
      <c r="U695" s="62"/>
      <c r="V695" s="62"/>
      <c r="W695" s="61"/>
      <c r="X695" s="62"/>
      <c r="Y695" s="62"/>
      <c r="Z695" s="66"/>
      <c r="AA695" s="89"/>
      <c r="AB695" s="69"/>
      <c r="AC695" s="89"/>
      <c r="AD695" s="89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9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9"/>
      <c r="P696" s="69"/>
      <c r="Q696" s="89"/>
      <c r="R696" s="89"/>
      <c r="S696" s="60"/>
      <c r="T696" s="62"/>
      <c r="U696" s="62"/>
      <c r="V696" s="62"/>
      <c r="W696" s="61"/>
      <c r="X696" s="62"/>
      <c r="Y696" s="62"/>
      <c r="Z696" s="66"/>
      <c r="AA696" s="89"/>
      <c r="AB696" s="69"/>
      <c r="AC696" s="89"/>
      <c r="AD696" s="89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9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2"/>
      <c r="P697" s="69"/>
      <c r="Q697" s="89"/>
      <c r="R697" s="89"/>
      <c r="S697" s="60"/>
      <c r="T697" s="62"/>
      <c r="U697" s="62"/>
      <c r="V697" s="62"/>
      <c r="W697" s="61"/>
      <c r="X697" s="62"/>
      <c r="Y697" s="62"/>
      <c r="Z697" s="66"/>
      <c r="AA697" s="89"/>
      <c r="AB697" s="69"/>
      <c r="AC697" s="89"/>
      <c r="AD697" s="89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9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9"/>
      <c r="P698" s="69"/>
      <c r="Q698" s="89"/>
      <c r="R698" s="89"/>
      <c r="S698" s="60"/>
      <c r="T698" s="62"/>
      <c r="U698" s="62"/>
      <c r="V698" s="62"/>
      <c r="W698" s="61"/>
      <c r="X698" s="62"/>
      <c r="Y698" s="62"/>
      <c r="Z698" s="66"/>
      <c r="AA698" s="89"/>
      <c r="AB698" s="69"/>
      <c r="AC698" s="89"/>
      <c r="AD698" s="89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9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9"/>
      <c r="P699" s="69"/>
      <c r="Q699" s="89"/>
      <c r="R699" s="89"/>
      <c r="S699" s="60"/>
      <c r="T699" s="62"/>
      <c r="U699" s="62"/>
      <c r="V699" s="62"/>
      <c r="W699" s="61"/>
      <c r="X699" s="62"/>
      <c r="Y699" s="62"/>
      <c r="Z699" s="66"/>
      <c r="AA699" s="89"/>
      <c r="AB699" s="69"/>
      <c r="AC699" s="89"/>
      <c r="AD699" s="89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9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9"/>
      <c r="P700" s="69"/>
      <c r="Q700" s="89"/>
      <c r="R700" s="89"/>
      <c r="S700" s="60"/>
      <c r="T700" s="62"/>
      <c r="U700" s="62"/>
      <c r="V700" s="62"/>
      <c r="W700" s="61"/>
      <c r="X700" s="62"/>
      <c r="Y700" s="62"/>
      <c r="Z700" s="66"/>
      <c r="AA700" s="89"/>
      <c r="AB700" s="69"/>
      <c r="AC700" s="89"/>
      <c r="AD700" s="89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9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89"/>
      <c r="R701" s="89"/>
      <c r="S701" s="60"/>
      <c r="T701" s="62"/>
      <c r="U701" s="62"/>
      <c r="V701" s="62"/>
      <c r="W701" s="61"/>
      <c r="X701" s="62"/>
      <c r="Y701" s="62"/>
      <c r="Z701" s="66"/>
      <c r="AA701" s="89"/>
      <c r="AB701" s="69"/>
      <c r="AC701" s="89"/>
      <c r="AD701" s="89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9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9"/>
      <c r="P702" s="69"/>
      <c r="Q702" s="89"/>
      <c r="R702" s="89"/>
      <c r="S702" s="60"/>
      <c r="T702" s="62"/>
      <c r="U702" s="62"/>
      <c r="V702" s="62"/>
      <c r="W702" s="61"/>
      <c r="X702" s="62"/>
      <c r="Y702" s="62"/>
      <c r="Z702" s="66"/>
      <c r="AA702" s="89"/>
      <c r="AB702" s="69"/>
      <c r="AC702" s="89"/>
      <c r="AD702" s="89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9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9"/>
      <c r="P703" s="69"/>
      <c r="Q703" s="89"/>
      <c r="R703" s="89"/>
      <c r="S703" s="60"/>
      <c r="T703" s="62"/>
      <c r="U703" s="62"/>
      <c r="V703" s="62"/>
      <c r="W703" s="61"/>
      <c r="X703" s="62"/>
      <c r="Y703" s="62"/>
      <c r="Z703" s="66"/>
      <c r="AA703" s="89"/>
      <c r="AB703" s="69"/>
      <c r="AC703" s="89"/>
      <c r="AD703" s="89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9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9"/>
      <c r="P704" s="69"/>
      <c r="Q704" s="89"/>
      <c r="R704" s="89"/>
      <c r="S704" s="60"/>
      <c r="T704" s="62"/>
      <c r="U704" s="62"/>
      <c r="V704" s="62"/>
      <c r="W704" s="61"/>
      <c r="X704" s="62"/>
      <c r="Y704" s="62"/>
      <c r="Z704" s="66"/>
      <c r="AA704" s="89"/>
      <c r="AB704" s="69"/>
      <c r="AC704" s="89"/>
      <c r="AD704" s="89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9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9"/>
      <c r="P705" s="69"/>
      <c r="Q705" s="89"/>
      <c r="R705" s="89"/>
      <c r="S705" s="60"/>
      <c r="T705" s="62"/>
      <c r="U705" s="62"/>
      <c r="V705" s="62"/>
      <c r="W705" s="61"/>
      <c r="X705" s="62"/>
      <c r="Y705" s="62"/>
      <c r="Z705" s="66"/>
      <c r="AA705" s="89"/>
      <c r="AB705" s="69"/>
      <c r="AC705" s="89"/>
      <c r="AD705" s="89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9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9"/>
      <c r="P706" s="69"/>
      <c r="Q706" s="89"/>
      <c r="R706" s="89"/>
      <c r="S706" s="60"/>
      <c r="T706" s="62"/>
      <c r="U706" s="62"/>
      <c r="V706" s="62"/>
      <c r="W706" s="61"/>
      <c r="X706" s="62"/>
      <c r="Y706" s="62"/>
      <c r="Z706" s="66"/>
      <c r="AA706" s="89"/>
      <c r="AB706" s="69"/>
      <c r="AC706" s="89"/>
      <c r="AD706" s="89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9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9"/>
      <c r="P707" s="69"/>
      <c r="Q707" s="89"/>
      <c r="R707" s="89"/>
      <c r="S707" s="60"/>
      <c r="T707" s="62"/>
      <c r="U707" s="62"/>
      <c r="V707" s="62"/>
      <c r="W707" s="61"/>
      <c r="X707" s="62"/>
      <c r="Y707" s="62"/>
      <c r="Z707" s="66"/>
      <c r="AA707" s="89"/>
      <c r="AB707" s="69"/>
      <c r="AC707" s="89"/>
      <c r="AD707" s="89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9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9"/>
      <c r="R708" s="89"/>
      <c r="S708" s="60"/>
      <c r="T708" s="62"/>
      <c r="U708" s="62"/>
      <c r="V708" s="62"/>
      <c r="W708" s="61"/>
      <c r="X708" s="62"/>
      <c r="Y708" s="62"/>
      <c r="Z708" s="66"/>
      <c r="AA708" s="89"/>
      <c r="AB708" s="69"/>
      <c r="AC708" s="89"/>
      <c r="AD708" s="89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9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9"/>
      <c r="P709" s="69"/>
      <c r="Q709" s="89"/>
      <c r="R709" s="89"/>
      <c r="S709" s="60"/>
      <c r="T709" s="62"/>
      <c r="U709" s="62"/>
      <c r="V709" s="62"/>
      <c r="W709" s="61"/>
      <c r="X709" s="62"/>
      <c r="Y709" s="62"/>
      <c r="Z709" s="66"/>
      <c r="AA709" s="89"/>
      <c r="AB709" s="69"/>
      <c r="AC709" s="89"/>
      <c r="AD709" s="89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9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9"/>
      <c r="P710" s="69"/>
      <c r="Q710" s="89"/>
      <c r="R710" s="89"/>
      <c r="S710" s="60"/>
      <c r="T710" s="62"/>
      <c r="U710" s="62"/>
      <c r="V710" s="62"/>
      <c r="W710" s="61"/>
      <c r="X710" s="62"/>
      <c r="Y710" s="62"/>
      <c r="Z710" s="66"/>
      <c r="AA710" s="89"/>
      <c r="AB710" s="69"/>
      <c r="AC710" s="89"/>
      <c r="AD710" s="89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9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9"/>
      <c r="R711" s="89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9"/>
      <c r="AD711" s="89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9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9"/>
      <c r="P712" s="69"/>
      <c r="Q712" s="89"/>
      <c r="R712" s="89"/>
      <c r="S712" s="60"/>
      <c r="T712" s="62"/>
      <c r="U712" s="62"/>
      <c r="V712" s="62"/>
      <c r="W712" s="61"/>
      <c r="X712" s="62"/>
      <c r="Y712" s="62"/>
      <c r="Z712" s="66"/>
      <c r="AA712" s="89"/>
      <c r="AB712" s="69"/>
      <c r="AC712" s="89"/>
      <c r="AD712" s="89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9"/>
      <c r="O713" s="89"/>
      <c r="P713" s="89"/>
      <c r="Q713" s="89"/>
      <c r="R713" s="89"/>
      <c r="S713" s="89"/>
      <c r="T713" s="62"/>
      <c r="U713" s="62"/>
      <c r="V713" s="62"/>
      <c r="W713" s="61"/>
      <c r="X713" s="62"/>
      <c r="Y713" s="62"/>
      <c r="Z713" s="89"/>
      <c r="AA713" s="89"/>
      <c r="AB713" s="89"/>
      <c r="AC713" s="89"/>
      <c r="AD713" s="89"/>
      <c r="AE713" s="89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9"/>
      <c r="C714" s="89"/>
      <c r="D714" s="89"/>
      <c r="E714" s="89"/>
      <c r="F714" s="89"/>
      <c r="G714" s="89"/>
      <c r="H714" s="62"/>
      <c r="I714" s="62"/>
      <c r="J714" s="62"/>
      <c r="K714" s="62"/>
      <c r="L714" s="62"/>
      <c r="M714" s="62"/>
      <c r="N714" s="89"/>
      <c r="O714" s="89"/>
      <c r="P714" s="89"/>
      <c r="Q714" s="89"/>
      <c r="R714" s="89"/>
      <c r="S714" s="89"/>
      <c r="T714" s="62"/>
      <c r="U714" s="62"/>
      <c r="V714" s="62"/>
      <c r="W714" s="62"/>
      <c r="X714" s="62"/>
      <c r="Y714" s="62"/>
      <c r="Z714" s="89"/>
      <c r="AA714" s="89"/>
      <c r="AB714" s="89"/>
      <c r="AC714" s="89"/>
      <c r="AD714" s="89"/>
      <c r="AE714" s="89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9"/>
      <c r="C715" s="89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9"/>
      <c r="O715" s="89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9"/>
      <c r="AA715" s="89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9"/>
      <c r="C717" s="89"/>
      <c r="D717" s="89"/>
      <c r="E717" s="89"/>
      <c r="F717" s="89"/>
      <c r="G717" s="89"/>
      <c r="H717" s="62"/>
      <c r="I717" s="62"/>
      <c r="J717" s="62"/>
      <c r="K717" s="62"/>
      <c r="L717" s="62"/>
      <c r="M717" s="62"/>
      <c r="N717" s="89"/>
      <c r="O717" s="89"/>
      <c r="P717" s="89"/>
      <c r="Q717" s="89"/>
      <c r="R717" s="89"/>
      <c r="S717" s="89"/>
      <c r="T717" s="62"/>
      <c r="U717" s="62"/>
      <c r="V717" s="62"/>
      <c r="W717" s="62"/>
      <c r="X717" s="62"/>
      <c r="Y717" s="62"/>
      <c r="Z717" s="89"/>
      <c r="AA717" s="89"/>
      <c r="AB717" s="89"/>
      <c r="AC717" s="89"/>
      <c r="AD717" s="89"/>
      <c r="AE717" s="89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9"/>
      <c r="C718" s="89"/>
      <c r="D718" s="89"/>
      <c r="E718" s="89"/>
      <c r="F718" s="89"/>
      <c r="G718" s="89"/>
      <c r="H718" s="62"/>
      <c r="I718" s="62"/>
      <c r="J718" s="62"/>
      <c r="K718" s="62"/>
      <c r="L718" s="62"/>
      <c r="M718" s="62"/>
      <c r="N718" s="89"/>
      <c r="O718" s="89"/>
      <c r="P718" s="89"/>
      <c r="Q718" s="89"/>
      <c r="R718" s="89"/>
      <c r="S718" s="89"/>
      <c r="T718" s="62"/>
      <c r="U718" s="62"/>
      <c r="V718" s="62"/>
      <c r="W718" s="62"/>
      <c r="X718" s="62"/>
      <c r="Y718" s="62"/>
      <c r="Z718" s="89"/>
      <c r="AA718" s="89"/>
      <c r="AB718" s="89"/>
      <c r="AC718" s="89"/>
      <c r="AD718" s="89"/>
      <c r="AE718" s="89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9"/>
      <c r="C719" s="89"/>
      <c r="D719" s="89"/>
      <c r="E719" s="89"/>
      <c r="F719" s="89"/>
      <c r="G719" s="89"/>
      <c r="H719" s="62"/>
      <c r="I719" s="62"/>
      <c r="J719" s="62"/>
      <c r="K719" s="62"/>
      <c r="L719" s="62"/>
      <c r="M719" s="62"/>
      <c r="N719" s="89"/>
      <c r="O719" s="89"/>
      <c r="P719" s="89"/>
      <c r="Q719" s="89"/>
      <c r="R719" s="89"/>
      <c r="S719" s="89"/>
      <c r="T719" s="62"/>
      <c r="U719" s="62"/>
      <c r="V719" s="62"/>
      <c r="W719" s="62"/>
      <c r="X719" s="62"/>
      <c r="Y719" s="62"/>
      <c r="Z719" s="89"/>
      <c r="AA719" s="89"/>
      <c r="AB719" s="89"/>
      <c r="AC719" s="89"/>
      <c r="AD719" s="89"/>
      <c r="AE719" s="89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9"/>
      <c r="C720" s="89"/>
      <c r="D720" s="89"/>
      <c r="E720" s="89"/>
      <c r="F720" s="89"/>
      <c r="G720" s="89"/>
      <c r="H720" s="62"/>
      <c r="I720" s="62"/>
      <c r="J720" s="62"/>
      <c r="K720" s="62"/>
      <c r="L720" s="62"/>
      <c r="M720" s="63"/>
      <c r="N720" s="89"/>
      <c r="O720" s="89"/>
      <c r="P720" s="89"/>
      <c r="Q720" s="89"/>
      <c r="R720" s="89"/>
      <c r="S720" s="89"/>
      <c r="T720" s="62"/>
      <c r="U720" s="62"/>
      <c r="V720" s="62"/>
      <c r="W720" s="62"/>
      <c r="X720" s="62"/>
      <c r="Y720" s="63"/>
      <c r="Z720" s="89"/>
      <c r="AA720" s="89"/>
      <c r="AB720" s="89"/>
      <c r="AC720" s="89"/>
      <c r="AD720" s="89"/>
      <c r="AE720" s="89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9"/>
      <c r="C721" s="89"/>
      <c r="D721" s="89"/>
      <c r="E721" s="89"/>
      <c r="F721" s="89"/>
      <c r="G721" s="89"/>
      <c r="H721" s="62"/>
      <c r="I721" s="62"/>
      <c r="J721" s="62"/>
      <c r="K721" s="62"/>
      <c r="L721" s="62"/>
      <c r="M721" s="62"/>
      <c r="N721" s="89"/>
      <c r="O721" s="89"/>
      <c r="P721" s="89"/>
      <c r="Q721" s="89"/>
      <c r="R721" s="89"/>
      <c r="S721" s="89"/>
      <c r="T721" s="62"/>
      <c r="U721" s="62"/>
      <c r="V721" s="62"/>
      <c r="W721" s="62"/>
      <c r="X721" s="62"/>
      <c r="Y721" s="62"/>
      <c r="Z721" s="89"/>
      <c r="AA721" s="89"/>
      <c r="AB721" s="89"/>
      <c r="AC721" s="89"/>
      <c r="AD721" s="89"/>
      <c r="AE721" s="89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9"/>
      <c r="C722" s="89"/>
      <c r="D722" s="89"/>
      <c r="E722" s="89"/>
      <c r="F722" s="89"/>
      <c r="G722" s="89"/>
      <c r="H722" s="62"/>
      <c r="I722" s="89"/>
      <c r="J722" s="74"/>
      <c r="K722" s="62"/>
      <c r="L722" s="62"/>
      <c r="M722" s="62"/>
      <c r="N722" s="89"/>
      <c r="O722" s="89"/>
      <c r="P722" s="89"/>
      <c r="Q722" s="89"/>
      <c r="R722" s="89"/>
      <c r="S722" s="89"/>
      <c r="T722" s="62"/>
      <c r="U722" s="89"/>
      <c r="V722" s="74"/>
      <c r="W722" s="62"/>
      <c r="X722" s="62"/>
      <c r="Y722" s="62"/>
      <c r="Z722" s="89"/>
      <c r="AA722" s="89"/>
      <c r="AB722" s="89"/>
      <c r="AC722" s="89"/>
      <c r="AD722" s="89"/>
      <c r="AE722" s="89"/>
      <c r="AF722" s="62"/>
      <c r="AG722" s="89"/>
      <c r="AH722" s="89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9"/>
      <c r="C723" s="89"/>
      <c r="D723" s="89"/>
      <c r="E723" s="89"/>
      <c r="F723" s="89"/>
      <c r="G723" s="89"/>
      <c r="H723" s="62"/>
      <c r="I723" s="65"/>
      <c r="J723" s="65"/>
      <c r="K723" s="62"/>
      <c r="L723" s="62"/>
      <c r="M723" s="64"/>
      <c r="N723" s="89"/>
      <c r="O723" s="89"/>
      <c r="P723" s="89"/>
      <c r="Q723" s="89"/>
      <c r="R723" s="89"/>
      <c r="S723" s="89"/>
      <c r="T723" s="62"/>
      <c r="U723" s="65"/>
      <c r="V723" s="65"/>
      <c r="W723" s="62"/>
      <c r="X723" s="62"/>
      <c r="Y723" s="64"/>
      <c r="Z723" s="89"/>
      <c r="AA723" s="89"/>
      <c r="AB723" s="89"/>
      <c r="AC723" s="89"/>
      <c r="AD723" s="89"/>
      <c r="AE723" s="89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9"/>
      <c r="C724" s="89"/>
      <c r="D724" s="89"/>
      <c r="E724" s="89"/>
      <c r="F724" s="89"/>
      <c r="G724" s="89"/>
      <c r="H724" s="62"/>
      <c r="I724" s="62"/>
      <c r="J724" s="62"/>
      <c r="K724" s="62"/>
      <c r="L724" s="62"/>
      <c r="M724" s="62"/>
      <c r="N724" s="89"/>
      <c r="O724" s="89"/>
      <c r="P724" s="89"/>
      <c r="Q724" s="89"/>
      <c r="R724" s="89"/>
      <c r="S724" s="89"/>
      <c r="T724" s="62"/>
      <c r="U724" s="62"/>
      <c r="V724" s="62"/>
      <c r="W724" s="62"/>
      <c r="X724" s="62"/>
      <c r="Y724" s="62"/>
      <c r="Z724" s="89"/>
      <c r="AA724" s="89"/>
      <c r="AB724" s="89"/>
      <c r="AC724" s="89"/>
      <c r="AD724" s="89"/>
      <c r="AE724" s="89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9"/>
      <c r="D725" s="106"/>
      <c r="E725" s="106"/>
      <c r="F725" s="89"/>
      <c r="G725" s="89"/>
      <c r="H725" s="62"/>
      <c r="I725" s="106"/>
      <c r="J725" s="106"/>
      <c r="K725" s="105"/>
      <c r="L725" s="62"/>
      <c r="M725" s="62"/>
      <c r="N725" s="65"/>
      <c r="O725" s="89"/>
      <c r="P725" s="106"/>
      <c r="Q725" s="106"/>
      <c r="R725" s="89"/>
      <c r="S725" s="89"/>
      <c r="T725" s="62"/>
      <c r="U725" s="106"/>
      <c r="V725" s="106"/>
      <c r="W725" s="105"/>
      <c r="X725" s="62"/>
      <c r="Y725" s="62"/>
      <c r="Z725" s="65"/>
      <c r="AA725" s="89"/>
      <c r="AB725" s="106"/>
      <c r="AC725" s="106"/>
      <c r="AD725" s="89"/>
      <c r="AE725" s="89"/>
      <c r="AF725" s="62"/>
      <c r="AG725" s="106"/>
      <c r="AH725" s="106"/>
      <c r="AI725" s="105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9"/>
      <c r="C726" s="89"/>
      <c r="D726" s="81"/>
      <c r="E726" s="82"/>
      <c r="F726" s="83"/>
      <c r="G726" s="83"/>
      <c r="H726" s="62"/>
      <c r="I726" s="88"/>
      <c r="J726" s="88"/>
      <c r="K726" s="105"/>
      <c r="L726" s="62"/>
      <c r="M726" s="62"/>
      <c r="N726" s="89"/>
      <c r="O726" s="89"/>
      <c r="P726" s="81"/>
      <c r="Q726" s="83"/>
      <c r="R726" s="83"/>
      <c r="S726" s="83"/>
      <c r="T726" s="62"/>
      <c r="U726" s="88"/>
      <c r="V726" s="88"/>
      <c r="W726" s="105"/>
      <c r="X726" s="62"/>
      <c r="Y726" s="62"/>
      <c r="Z726" s="89"/>
      <c r="AA726" s="89"/>
      <c r="AB726" s="81"/>
      <c r="AC726" s="83"/>
      <c r="AD726" s="83"/>
      <c r="AE726" s="83"/>
      <c r="AF726" s="62"/>
      <c r="AG726" s="88"/>
      <c r="AH726" s="88"/>
      <c r="AI726" s="105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9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9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9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9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9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9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9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9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9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9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9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65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9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65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9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9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9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89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9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9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9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9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9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9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9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9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89"/>
      <c r="AB735" s="9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9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9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9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9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89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9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9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9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9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9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89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9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9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9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9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9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9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9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9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89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89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9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9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9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9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9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62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9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9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9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9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9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89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9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62"/>
      <c r="P747" s="67"/>
      <c r="Q747" s="89"/>
      <c r="R747" s="89"/>
      <c r="S747" s="60"/>
      <c r="T747" s="62"/>
      <c r="U747" s="62"/>
      <c r="V747" s="62"/>
      <c r="W747" s="61"/>
      <c r="X747" s="62"/>
      <c r="Y747" s="62"/>
      <c r="Z747" s="66"/>
      <c r="AA747" s="62"/>
      <c r="AB747" s="67"/>
      <c r="AC747" s="89"/>
      <c r="AD747" s="89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9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9"/>
      <c r="P748" s="68"/>
      <c r="Q748" s="89"/>
      <c r="R748" s="89"/>
      <c r="S748" s="60"/>
      <c r="T748" s="62"/>
      <c r="U748" s="62"/>
      <c r="V748" s="62"/>
      <c r="W748" s="61"/>
      <c r="X748" s="62"/>
      <c r="Y748" s="62"/>
      <c r="Z748" s="66"/>
      <c r="AA748" s="89"/>
      <c r="AB748" s="68"/>
      <c r="AC748" s="89"/>
      <c r="AD748" s="89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9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9"/>
      <c r="P749" s="69"/>
      <c r="Q749" s="89"/>
      <c r="R749" s="62"/>
      <c r="S749" s="60"/>
      <c r="T749" s="62"/>
      <c r="U749" s="62"/>
      <c r="V749" s="62"/>
      <c r="W749" s="61"/>
      <c r="X749" s="62"/>
      <c r="Y749" s="62"/>
      <c r="Z749" s="66"/>
      <c r="AA749" s="89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9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9"/>
      <c r="P750" s="69"/>
      <c r="Q750" s="89"/>
      <c r="R750" s="89"/>
      <c r="S750" s="60"/>
      <c r="T750" s="62"/>
      <c r="U750" s="62"/>
      <c r="V750" s="62"/>
      <c r="W750" s="61"/>
      <c r="X750" s="62"/>
      <c r="Y750" s="62"/>
      <c r="Z750" s="66"/>
      <c r="AA750" s="89"/>
      <c r="AB750" s="69"/>
      <c r="AC750" s="89"/>
      <c r="AD750" s="89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65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9"/>
      <c r="P751" s="69"/>
      <c r="Q751" s="89"/>
      <c r="R751" s="89"/>
      <c r="S751" s="60"/>
      <c r="T751" s="62"/>
      <c r="U751" s="62"/>
      <c r="V751" s="62"/>
      <c r="W751" s="61"/>
      <c r="X751" s="62"/>
      <c r="Y751" s="62"/>
      <c r="Z751" s="66"/>
      <c r="AA751" s="89"/>
      <c r="AB751" s="69"/>
      <c r="AC751" s="89"/>
      <c r="AD751" s="89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9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2"/>
      <c r="P752" s="69"/>
      <c r="Q752" s="89"/>
      <c r="R752" s="89"/>
      <c r="S752" s="60"/>
      <c r="T752" s="62"/>
      <c r="U752" s="62"/>
      <c r="V752" s="62"/>
      <c r="W752" s="61"/>
      <c r="X752" s="62"/>
      <c r="Y752" s="62"/>
      <c r="Z752" s="66"/>
      <c r="AA752" s="89"/>
      <c r="AB752" s="69"/>
      <c r="AC752" s="89"/>
      <c r="AD752" s="89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9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9"/>
      <c r="P753" s="69"/>
      <c r="Q753" s="89"/>
      <c r="R753" s="89"/>
      <c r="S753" s="60"/>
      <c r="T753" s="62"/>
      <c r="U753" s="62"/>
      <c r="V753" s="62"/>
      <c r="W753" s="61"/>
      <c r="X753" s="62"/>
      <c r="Y753" s="62"/>
      <c r="Z753" s="66"/>
      <c r="AA753" s="89"/>
      <c r="AB753" s="69"/>
      <c r="AC753" s="89"/>
      <c r="AD753" s="89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9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9"/>
      <c r="P754" s="69"/>
      <c r="Q754" s="89"/>
      <c r="R754" s="89"/>
      <c r="S754" s="60"/>
      <c r="T754" s="62"/>
      <c r="U754" s="62"/>
      <c r="V754" s="62"/>
      <c r="W754" s="61"/>
      <c r="X754" s="62"/>
      <c r="Y754" s="62"/>
      <c r="Z754" s="66"/>
      <c r="AA754" s="89"/>
      <c r="AB754" s="69"/>
      <c r="AC754" s="89"/>
      <c r="AD754" s="89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9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9"/>
      <c r="P755" s="69"/>
      <c r="Q755" s="89"/>
      <c r="R755" s="89"/>
      <c r="S755" s="60"/>
      <c r="T755" s="62"/>
      <c r="U755" s="62"/>
      <c r="V755" s="62"/>
      <c r="W755" s="61"/>
      <c r="X755" s="62"/>
      <c r="Y755" s="62"/>
      <c r="Z755" s="66"/>
      <c r="AA755" s="89"/>
      <c r="AB755" s="69"/>
      <c r="AC755" s="89"/>
      <c r="AD755" s="89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65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89"/>
      <c r="R756" s="89"/>
      <c r="S756" s="60"/>
      <c r="T756" s="62"/>
      <c r="U756" s="62"/>
      <c r="V756" s="62"/>
      <c r="W756" s="61"/>
      <c r="X756" s="62"/>
      <c r="Y756" s="62"/>
      <c r="Z756" s="66"/>
      <c r="AA756" s="89"/>
      <c r="AB756" s="69"/>
      <c r="AC756" s="89"/>
      <c r="AD756" s="89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9"/>
      <c r="P757" s="69"/>
      <c r="Q757" s="89"/>
      <c r="R757" s="89"/>
      <c r="S757" s="60"/>
      <c r="T757" s="62"/>
      <c r="U757" s="62"/>
      <c r="V757" s="62"/>
      <c r="W757" s="61"/>
      <c r="X757" s="62"/>
      <c r="Y757" s="62"/>
      <c r="Z757" s="66"/>
      <c r="AA757" s="89"/>
      <c r="AB757" s="69"/>
      <c r="AC757" s="89"/>
      <c r="AD757" s="89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65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9"/>
      <c r="P758" s="69"/>
      <c r="Q758" s="89"/>
      <c r="R758" s="89"/>
      <c r="S758" s="60"/>
      <c r="T758" s="62"/>
      <c r="U758" s="62"/>
      <c r="V758" s="62"/>
      <c r="W758" s="61"/>
      <c r="X758" s="62"/>
      <c r="Y758" s="62"/>
      <c r="Z758" s="66"/>
      <c r="AA758" s="89"/>
      <c r="AB758" s="69"/>
      <c r="AC758" s="89"/>
      <c r="AD758" s="89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65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9"/>
      <c r="P759" s="69"/>
      <c r="Q759" s="89"/>
      <c r="R759" s="89"/>
      <c r="S759" s="60"/>
      <c r="T759" s="62"/>
      <c r="U759" s="62"/>
      <c r="V759" s="62"/>
      <c r="W759" s="61"/>
      <c r="X759" s="62"/>
      <c r="Y759" s="62"/>
      <c r="Z759" s="66"/>
      <c r="AA759" s="89"/>
      <c r="AB759" s="69"/>
      <c r="AC759" s="89"/>
      <c r="AD759" s="89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65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9"/>
      <c r="P760" s="69"/>
      <c r="Q760" s="89"/>
      <c r="R760" s="89"/>
      <c r="S760" s="60"/>
      <c r="T760" s="62"/>
      <c r="U760" s="62"/>
      <c r="V760" s="62"/>
      <c r="W760" s="61"/>
      <c r="X760" s="62"/>
      <c r="Y760" s="62"/>
      <c r="Z760" s="66"/>
      <c r="AA760" s="89"/>
      <c r="AB760" s="69"/>
      <c r="AC760" s="89"/>
      <c r="AD760" s="89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65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9"/>
      <c r="P761" s="69"/>
      <c r="Q761" s="89"/>
      <c r="R761" s="89"/>
      <c r="S761" s="60"/>
      <c r="T761" s="62"/>
      <c r="U761" s="62"/>
      <c r="V761" s="62"/>
      <c r="W761" s="61"/>
      <c r="X761" s="62"/>
      <c r="Y761" s="62"/>
      <c r="Z761" s="66"/>
      <c r="AA761" s="89"/>
      <c r="AB761" s="69"/>
      <c r="AC761" s="89"/>
      <c r="AD761" s="89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65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9"/>
      <c r="P762" s="69"/>
      <c r="Q762" s="89"/>
      <c r="R762" s="89"/>
      <c r="S762" s="60"/>
      <c r="T762" s="62"/>
      <c r="U762" s="62"/>
      <c r="V762" s="62"/>
      <c r="W762" s="61"/>
      <c r="X762" s="62"/>
      <c r="Y762" s="62"/>
      <c r="Z762" s="66"/>
      <c r="AA762" s="89"/>
      <c r="AB762" s="69"/>
      <c r="AC762" s="89"/>
      <c r="AD762" s="89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65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9"/>
      <c r="R763" s="89"/>
      <c r="S763" s="60"/>
      <c r="T763" s="62"/>
      <c r="U763" s="62"/>
      <c r="V763" s="62"/>
      <c r="W763" s="61"/>
      <c r="X763" s="62"/>
      <c r="Y763" s="62"/>
      <c r="Z763" s="66"/>
      <c r="AA763" s="89"/>
      <c r="AB763" s="69"/>
      <c r="AC763" s="89"/>
      <c r="AD763" s="89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9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9"/>
      <c r="P764" s="69"/>
      <c r="Q764" s="89"/>
      <c r="R764" s="89"/>
      <c r="S764" s="60"/>
      <c r="T764" s="62"/>
      <c r="U764" s="62"/>
      <c r="V764" s="62"/>
      <c r="W764" s="61"/>
      <c r="X764" s="62"/>
      <c r="Y764" s="62"/>
      <c r="Z764" s="66"/>
      <c r="AA764" s="89"/>
      <c r="AB764" s="69"/>
      <c r="AC764" s="89"/>
      <c r="AD764" s="89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9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9"/>
      <c r="P765" s="69"/>
      <c r="Q765" s="89"/>
      <c r="R765" s="89"/>
      <c r="S765" s="60"/>
      <c r="T765" s="62"/>
      <c r="U765" s="62"/>
      <c r="V765" s="62"/>
      <c r="W765" s="61"/>
      <c r="X765" s="62"/>
      <c r="Y765" s="62"/>
      <c r="Z765" s="66"/>
      <c r="AA765" s="89"/>
      <c r="AB765" s="69"/>
      <c r="AC765" s="89"/>
      <c r="AD765" s="89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9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9"/>
      <c r="R766" s="89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9"/>
      <c r="AD766" s="89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9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9"/>
      <c r="P767" s="69"/>
      <c r="Q767" s="89"/>
      <c r="R767" s="89"/>
      <c r="S767" s="60"/>
      <c r="T767" s="62"/>
      <c r="U767" s="62"/>
      <c r="V767" s="62"/>
      <c r="W767" s="61"/>
      <c r="X767" s="62"/>
      <c r="Y767" s="62"/>
      <c r="Z767" s="66"/>
      <c r="AA767" s="89"/>
      <c r="AB767" s="69"/>
      <c r="AC767" s="89"/>
      <c r="AD767" s="89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9"/>
      <c r="O768" s="89"/>
      <c r="P768" s="89"/>
      <c r="Q768" s="89"/>
      <c r="R768" s="89"/>
      <c r="S768" s="89"/>
      <c r="T768" s="62"/>
      <c r="U768" s="62"/>
      <c r="V768" s="62"/>
      <c r="W768" s="61"/>
      <c r="X768" s="62"/>
      <c r="Y768" s="62"/>
      <c r="Z768" s="89"/>
      <c r="AA768" s="89"/>
      <c r="AB768" s="89"/>
      <c r="AC768" s="89"/>
      <c r="AD768" s="89"/>
      <c r="AE768" s="89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9"/>
      <c r="C769" s="89"/>
      <c r="D769" s="89"/>
      <c r="E769" s="89"/>
      <c r="F769" s="89"/>
      <c r="G769" s="89"/>
      <c r="H769" s="62"/>
      <c r="I769" s="62"/>
      <c r="J769" s="62"/>
      <c r="K769" s="62"/>
      <c r="L769" s="62"/>
      <c r="M769" s="62"/>
      <c r="N769" s="89"/>
      <c r="O769" s="89"/>
      <c r="P769" s="89"/>
      <c r="Q769" s="89"/>
      <c r="R769" s="89"/>
      <c r="S769" s="89"/>
      <c r="T769" s="62"/>
      <c r="U769" s="62"/>
      <c r="V769" s="62"/>
      <c r="W769" s="62"/>
      <c r="X769" s="62"/>
      <c r="Y769" s="62"/>
      <c r="Z769" s="89"/>
      <c r="AA769" s="89"/>
      <c r="AB769" s="89"/>
      <c r="AC769" s="89"/>
      <c r="AD769" s="89"/>
      <c r="AE769" s="89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9"/>
      <c r="C770" s="89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9"/>
      <c r="O770" s="89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9"/>
      <c r="AA770" s="89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9"/>
      <c r="C772" s="89"/>
      <c r="D772" s="89"/>
      <c r="E772" s="89"/>
      <c r="F772" s="89"/>
      <c r="G772" s="89"/>
      <c r="H772" s="62"/>
      <c r="I772" s="62"/>
      <c r="J772" s="62"/>
      <c r="K772" s="62"/>
      <c r="L772" s="62"/>
      <c r="M772" s="62"/>
      <c r="N772" s="89"/>
      <c r="O772" s="89"/>
      <c r="P772" s="89"/>
      <c r="Q772" s="89"/>
      <c r="R772" s="89"/>
      <c r="S772" s="89"/>
      <c r="T772" s="62"/>
      <c r="U772" s="62"/>
      <c r="V772" s="62"/>
      <c r="W772" s="62"/>
      <c r="X772" s="62"/>
      <c r="Y772" s="62"/>
      <c r="Z772" s="89"/>
      <c r="AA772" s="89"/>
      <c r="AB772" s="89"/>
      <c r="AC772" s="89"/>
      <c r="AD772" s="89"/>
      <c r="AE772" s="89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9"/>
      <c r="C773" s="89"/>
      <c r="D773" s="89"/>
      <c r="E773" s="89"/>
      <c r="F773" s="89"/>
      <c r="G773" s="89"/>
      <c r="H773" s="62"/>
      <c r="I773" s="62"/>
      <c r="J773" s="62"/>
      <c r="K773" s="62"/>
      <c r="L773" s="62"/>
      <c r="M773" s="62"/>
      <c r="N773" s="89"/>
      <c r="O773" s="89"/>
      <c r="P773" s="89"/>
      <c r="Q773" s="89"/>
      <c r="R773" s="89"/>
      <c r="S773" s="89"/>
      <c r="T773" s="62"/>
      <c r="U773" s="62"/>
      <c r="V773" s="62"/>
      <c r="W773" s="62"/>
      <c r="X773" s="62"/>
      <c r="Y773" s="62"/>
      <c r="Z773" s="89"/>
      <c r="AA773" s="89"/>
      <c r="AB773" s="89"/>
      <c r="AC773" s="89"/>
      <c r="AD773" s="89"/>
      <c r="AE773" s="89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9"/>
      <c r="C774" s="89"/>
      <c r="D774" s="89"/>
      <c r="E774" s="89"/>
      <c r="F774" s="89"/>
      <c r="G774" s="89"/>
      <c r="H774" s="62"/>
      <c r="I774" s="62"/>
      <c r="J774" s="62"/>
      <c r="K774" s="62"/>
      <c r="L774" s="62"/>
      <c r="M774" s="62"/>
      <c r="N774" s="89"/>
      <c r="O774" s="89"/>
      <c r="P774" s="89"/>
      <c r="Q774" s="89"/>
      <c r="R774" s="89"/>
      <c r="S774" s="89"/>
      <c r="T774" s="62"/>
      <c r="U774" s="62"/>
      <c r="V774" s="62"/>
      <c r="W774" s="62"/>
      <c r="X774" s="62"/>
      <c r="Y774" s="62"/>
      <c r="Z774" s="89"/>
      <c r="AA774" s="89"/>
      <c r="AB774" s="89"/>
      <c r="AC774" s="89"/>
      <c r="AD774" s="89"/>
      <c r="AE774" s="89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9"/>
      <c r="C775" s="89"/>
      <c r="D775" s="89"/>
      <c r="E775" s="89"/>
      <c r="F775" s="89"/>
      <c r="G775" s="89"/>
      <c r="H775" s="62"/>
      <c r="I775" s="62"/>
      <c r="J775" s="62"/>
      <c r="K775" s="62"/>
      <c r="L775" s="62"/>
      <c r="M775" s="63"/>
      <c r="N775" s="89"/>
      <c r="O775" s="89"/>
      <c r="P775" s="89"/>
      <c r="Q775" s="89"/>
      <c r="R775" s="89"/>
      <c r="S775" s="89"/>
      <c r="T775" s="62"/>
      <c r="U775" s="62"/>
      <c r="V775" s="62"/>
      <c r="W775" s="62"/>
      <c r="X775" s="62"/>
      <c r="Y775" s="63"/>
      <c r="Z775" s="89"/>
      <c r="AA775" s="89"/>
      <c r="AB775" s="89"/>
      <c r="AC775" s="89"/>
      <c r="AD775" s="89"/>
      <c r="AE775" s="89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9"/>
      <c r="C776" s="89"/>
      <c r="D776" s="89"/>
      <c r="E776" s="89"/>
      <c r="F776" s="89"/>
      <c r="G776" s="89"/>
      <c r="H776" s="62"/>
      <c r="I776" s="62"/>
      <c r="J776" s="62"/>
      <c r="K776" s="62"/>
      <c r="L776" s="62"/>
      <c r="M776" s="62"/>
      <c r="N776" s="89"/>
      <c r="O776" s="89"/>
      <c r="P776" s="89"/>
      <c r="Q776" s="89"/>
      <c r="R776" s="89"/>
      <c r="S776" s="89"/>
      <c r="T776" s="62"/>
      <c r="U776" s="62"/>
      <c r="V776" s="62"/>
      <c r="W776" s="62"/>
      <c r="X776" s="62"/>
      <c r="Y776" s="62"/>
      <c r="Z776" s="89"/>
      <c r="AA776" s="89"/>
      <c r="AB776" s="89"/>
      <c r="AC776" s="89"/>
      <c r="AD776" s="89"/>
      <c r="AE776" s="89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9"/>
      <c r="C777" s="89"/>
      <c r="D777" s="89"/>
      <c r="E777" s="89"/>
      <c r="F777" s="89"/>
      <c r="G777" s="89"/>
      <c r="H777" s="62"/>
      <c r="I777" s="89"/>
      <c r="J777" s="74"/>
      <c r="K777" s="62"/>
      <c r="L777" s="62"/>
      <c r="M777" s="62"/>
      <c r="N777" s="89"/>
      <c r="O777" s="89"/>
      <c r="P777" s="89"/>
      <c r="Q777" s="89"/>
      <c r="R777" s="89"/>
      <c r="S777" s="89"/>
      <c r="T777" s="62"/>
      <c r="U777" s="89"/>
      <c r="V777" s="74"/>
      <c r="W777" s="62"/>
      <c r="X777" s="62"/>
      <c r="Y777" s="62"/>
      <c r="Z777" s="89"/>
      <c r="AA777" s="89"/>
      <c r="AB777" s="89"/>
      <c r="AC777" s="89"/>
      <c r="AD777" s="89"/>
      <c r="AE777" s="89"/>
      <c r="AF777" s="62"/>
      <c r="AG777" s="89"/>
      <c r="AH777" s="89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9"/>
      <c r="C778" s="89"/>
      <c r="D778" s="89"/>
      <c r="E778" s="89"/>
      <c r="F778" s="89"/>
      <c r="G778" s="89"/>
      <c r="H778" s="62"/>
      <c r="I778" s="65"/>
      <c r="J778" s="65"/>
      <c r="K778" s="62"/>
      <c r="L778" s="62"/>
      <c r="M778" s="64"/>
      <c r="N778" s="89"/>
      <c r="O778" s="89"/>
      <c r="P778" s="89"/>
      <c r="Q778" s="89"/>
      <c r="R778" s="89"/>
      <c r="S778" s="89"/>
      <c r="T778" s="62"/>
      <c r="U778" s="65"/>
      <c r="V778" s="65"/>
      <c r="W778" s="62"/>
      <c r="X778" s="62"/>
      <c r="Y778" s="64"/>
      <c r="Z778" s="89"/>
      <c r="AA778" s="89"/>
      <c r="AB778" s="89"/>
      <c r="AC778" s="89"/>
      <c r="AD778" s="89"/>
      <c r="AE778" s="89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9"/>
      <c r="C779" s="89"/>
      <c r="D779" s="89"/>
      <c r="E779" s="89"/>
      <c r="F779" s="89"/>
      <c r="G779" s="89"/>
      <c r="H779" s="62"/>
      <c r="I779" s="62"/>
      <c r="J779" s="62"/>
      <c r="K779" s="62"/>
      <c r="L779" s="62"/>
      <c r="M779" s="62"/>
      <c r="N779" s="89"/>
      <c r="O779" s="89"/>
      <c r="P779" s="89"/>
      <c r="Q779" s="89"/>
      <c r="R779" s="89"/>
      <c r="S779" s="89"/>
      <c r="T779" s="62"/>
      <c r="U779" s="62"/>
      <c r="V779" s="62"/>
      <c r="W779" s="62"/>
      <c r="X779" s="62"/>
      <c r="Y779" s="62"/>
      <c r="Z779" s="89"/>
      <c r="AA779" s="89"/>
      <c r="AB779" s="89"/>
      <c r="AC779" s="89"/>
      <c r="AD779" s="89"/>
      <c r="AE779" s="89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9"/>
      <c r="D780" s="106"/>
      <c r="E780" s="106"/>
      <c r="F780" s="89"/>
      <c r="G780" s="89"/>
      <c r="H780" s="62"/>
      <c r="I780" s="106"/>
      <c r="J780" s="106"/>
      <c r="K780" s="105"/>
      <c r="L780" s="62"/>
      <c r="M780" s="62"/>
      <c r="N780" s="65"/>
      <c r="O780" s="89"/>
      <c r="P780" s="106"/>
      <c r="Q780" s="106"/>
      <c r="R780" s="89"/>
      <c r="S780" s="89"/>
      <c r="T780" s="62"/>
      <c r="U780" s="106"/>
      <c r="V780" s="106"/>
      <c r="W780" s="105"/>
      <c r="X780" s="62"/>
      <c r="Y780" s="62"/>
      <c r="Z780" s="65"/>
      <c r="AA780" s="89"/>
      <c r="AB780" s="106"/>
      <c r="AC780" s="106"/>
      <c r="AD780" s="89"/>
      <c r="AE780" s="89"/>
      <c r="AF780" s="62"/>
      <c r="AG780" s="106"/>
      <c r="AH780" s="106"/>
      <c r="AI780" s="105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9"/>
      <c r="C781" s="89"/>
      <c r="D781" s="81"/>
      <c r="E781" s="82"/>
      <c r="F781" s="83"/>
      <c r="G781" s="83"/>
      <c r="H781" s="62"/>
      <c r="I781" s="88"/>
      <c r="J781" s="88"/>
      <c r="K781" s="105"/>
      <c r="L781" s="62"/>
      <c r="M781" s="62"/>
      <c r="N781" s="89"/>
      <c r="O781" s="89"/>
      <c r="P781" s="81"/>
      <c r="Q781" s="83"/>
      <c r="R781" s="83"/>
      <c r="S781" s="83"/>
      <c r="T781" s="62"/>
      <c r="U781" s="88"/>
      <c r="V781" s="88"/>
      <c r="W781" s="105"/>
      <c r="X781" s="62"/>
      <c r="Y781" s="62"/>
      <c r="Z781" s="89"/>
      <c r="AA781" s="89"/>
      <c r="AB781" s="81"/>
      <c r="AC781" s="83"/>
      <c r="AD781" s="83"/>
      <c r="AE781" s="83"/>
      <c r="AF781" s="62"/>
      <c r="AG781" s="88"/>
      <c r="AH781" s="88"/>
      <c r="AI781" s="105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9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9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9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9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9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9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9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9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65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9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9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9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9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9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9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9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9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9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9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9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9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9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9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9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9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9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9"/>
      <c r="AB790" s="9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9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9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9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9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9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9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9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9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9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9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9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9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9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9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9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9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9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9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9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9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9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9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9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9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65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9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62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9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65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9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9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9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89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9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2"/>
      <c r="P802" s="67"/>
      <c r="Q802" s="89"/>
      <c r="R802" s="89"/>
      <c r="S802" s="60"/>
      <c r="T802" s="62"/>
      <c r="U802" s="62"/>
      <c r="V802" s="62"/>
      <c r="W802" s="61"/>
      <c r="X802" s="62"/>
      <c r="Y802" s="62"/>
      <c r="Z802" s="66"/>
      <c r="AA802" s="62"/>
      <c r="AB802" s="67"/>
      <c r="AC802" s="89"/>
      <c r="AD802" s="89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9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9"/>
      <c r="P803" s="68"/>
      <c r="Q803" s="89"/>
      <c r="R803" s="89"/>
      <c r="S803" s="60"/>
      <c r="T803" s="62"/>
      <c r="U803" s="62"/>
      <c r="V803" s="62"/>
      <c r="W803" s="61"/>
      <c r="X803" s="62"/>
      <c r="Y803" s="62"/>
      <c r="Z803" s="66"/>
      <c r="AA803" s="89"/>
      <c r="AB803" s="68"/>
      <c r="AC803" s="89"/>
      <c r="AD803" s="89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9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9"/>
      <c r="P804" s="69"/>
      <c r="Q804" s="89"/>
      <c r="R804" s="62"/>
      <c r="S804" s="60"/>
      <c r="T804" s="62"/>
      <c r="U804" s="62"/>
      <c r="V804" s="62"/>
      <c r="W804" s="61"/>
      <c r="X804" s="62"/>
      <c r="Y804" s="62"/>
      <c r="Z804" s="66"/>
      <c r="AA804" s="89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9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9"/>
      <c r="P805" s="69"/>
      <c r="Q805" s="89"/>
      <c r="R805" s="89"/>
      <c r="S805" s="60"/>
      <c r="T805" s="62"/>
      <c r="U805" s="62"/>
      <c r="V805" s="62"/>
      <c r="W805" s="61"/>
      <c r="X805" s="62"/>
      <c r="Y805" s="62"/>
      <c r="Z805" s="66"/>
      <c r="AA805" s="89"/>
      <c r="AB805" s="69"/>
      <c r="AC805" s="89"/>
      <c r="AD805" s="89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9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9"/>
      <c r="P806" s="69"/>
      <c r="Q806" s="89"/>
      <c r="R806" s="89"/>
      <c r="S806" s="60"/>
      <c r="T806" s="62"/>
      <c r="U806" s="62"/>
      <c r="V806" s="62"/>
      <c r="W806" s="61"/>
      <c r="X806" s="62"/>
      <c r="Y806" s="62"/>
      <c r="Z806" s="66"/>
      <c r="AA806" s="89"/>
      <c r="AB806" s="69"/>
      <c r="AC806" s="89"/>
      <c r="AD806" s="89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9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2"/>
      <c r="P807" s="69"/>
      <c r="Q807" s="89"/>
      <c r="R807" s="89"/>
      <c r="S807" s="60"/>
      <c r="T807" s="62"/>
      <c r="U807" s="62"/>
      <c r="V807" s="62"/>
      <c r="W807" s="61"/>
      <c r="X807" s="62"/>
      <c r="Y807" s="62"/>
      <c r="Z807" s="66"/>
      <c r="AA807" s="89"/>
      <c r="AB807" s="69"/>
      <c r="AC807" s="89"/>
      <c r="AD807" s="89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9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9"/>
      <c r="P808" s="69"/>
      <c r="Q808" s="89"/>
      <c r="R808" s="89"/>
      <c r="S808" s="60"/>
      <c r="T808" s="62"/>
      <c r="U808" s="62"/>
      <c r="V808" s="62"/>
      <c r="W808" s="61"/>
      <c r="X808" s="62"/>
      <c r="Y808" s="62"/>
      <c r="Z808" s="66"/>
      <c r="AA808" s="89"/>
      <c r="AB808" s="69"/>
      <c r="AC808" s="89"/>
      <c r="AD808" s="89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9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9"/>
      <c r="P809" s="69"/>
      <c r="Q809" s="89"/>
      <c r="R809" s="89"/>
      <c r="S809" s="60"/>
      <c r="T809" s="62"/>
      <c r="U809" s="62"/>
      <c r="V809" s="62"/>
      <c r="W809" s="61"/>
      <c r="X809" s="62"/>
      <c r="Y809" s="62"/>
      <c r="Z809" s="66"/>
      <c r="AA809" s="89"/>
      <c r="AB809" s="69"/>
      <c r="AC809" s="89"/>
      <c r="AD809" s="89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9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9"/>
      <c r="P810" s="69"/>
      <c r="Q810" s="89"/>
      <c r="R810" s="89"/>
      <c r="S810" s="60"/>
      <c r="T810" s="62"/>
      <c r="U810" s="62"/>
      <c r="V810" s="62"/>
      <c r="W810" s="61"/>
      <c r="X810" s="62"/>
      <c r="Y810" s="62"/>
      <c r="Z810" s="66"/>
      <c r="AA810" s="89"/>
      <c r="AB810" s="69"/>
      <c r="AC810" s="89"/>
      <c r="AD810" s="89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65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89"/>
      <c r="R811" s="89"/>
      <c r="S811" s="60"/>
      <c r="T811" s="62"/>
      <c r="U811" s="62"/>
      <c r="V811" s="62"/>
      <c r="W811" s="61"/>
      <c r="X811" s="62"/>
      <c r="Y811" s="62"/>
      <c r="Z811" s="66"/>
      <c r="AA811" s="89"/>
      <c r="AB811" s="69"/>
      <c r="AC811" s="89"/>
      <c r="AD811" s="89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65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9"/>
      <c r="P812" s="69"/>
      <c r="Q812" s="89"/>
      <c r="R812" s="89"/>
      <c r="S812" s="60"/>
      <c r="T812" s="62"/>
      <c r="U812" s="62"/>
      <c r="V812" s="62"/>
      <c r="W812" s="61"/>
      <c r="X812" s="62"/>
      <c r="Y812" s="62"/>
      <c r="Z812" s="66"/>
      <c r="AA812" s="89"/>
      <c r="AB812" s="69"/>
      <c r="AC812" s="89"/>
      <c r="AD812" s="89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65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9"/>
      <c r="P813" s="69"/>
      <c r="Q813" s="89"/>
      <c r="R813" s="89"/>
      <c r="S813" s="60"/>
      <c r="T813" s="62"/>
      <c r="U813" s="62"/>
      <c r="V813" s="62"/>
      <c r="W813" s="61"/>
      <c r="X813" s="62"/>
      <c r="Y813" s="62"/>
      <c r="Z813" s="66"/>
      <c r="AA813" s="89"/>
      <c r="AB813" s="69"/>
      <c r="AC813" s="89"/>
      <c r="AD813" s="89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65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9"/>
      <c r="P814" s="69"/>
      <c r="Q814" s="89"/>
      <c r="R814" s="89"/>
      <c r="S814" s="60"/>
      <c r="T814" s="62"/>
      <c r="U814" s="62"/>
      <c r="V814" s="62"/>
      <c r="W814" s="61"/>
      <c r="X814" s="62"/>
      <c r="Y814" s="62"/>
      <c r="Z814" s="66"/>
      <c r="AA814" s="89"/>
      <c r="AB814" s="69"/>
      <c r="AC814" s="89"/>
      <c r="AD814" s="89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65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9"/>
      <c r="P815" s="69"/>
      <c r="Q815" s="89"/>
      <c r="R815" s="89"/>
      <c r="S815" s="60"/>
      <c r="T815" s="62"/>
      <c r="U815" s="62"/>
      <c r="V815" s="62"/>
      <c r="W815" s="61"/>
      <c r="X815" s="62"/>
      <c r="Y815" s="62"/>
      <c r="Z815" s="66"/>
      <c r="AA815" s="89"/>
      <c r="AB815" s="69"/>
      <c r="AC815" s="89"/>
      <c r="AD815" s="89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65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9"/>
      <c r="P816" s="69"/>
      <c r="Q816" s="89"/>
      <c r="R816" s="89"/>
      <c r="S816" s="60"/>
      <c r="T816" s="62"/>
      <c r="U816" s="62"/>
      <c r="V816" s="62"/>
      <c r="W816" s="61"/>
      <c r="X816" s="62"/>
      <c r="Y816" s="62"/>
      <c r="Z816" s="66"/>
      <c r="AA816" s="89"/>
      <c r="AB816" s="69"/>
      <c r="AC816" s="89"/>
      <c r="AD816" s="89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65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9"/>
      <c r="P817" s="69"/>
      <c r="Q817" s="89"/>
      <c r="R817" s="89"/>
      <c r="S817" s="60"/>
      <c r="T817" s="62"/>
      <c r="U817" s="62"/>
      <c r="V817" s="62"/>
      <c r="W817" s="61"/>
      <c r="X817" s="62"/>
      <c r="Y817" s="62"/>
      <c r="Z817" s="66"/>
      <c r="AA817" s="89"/>
      <c r="AB817" s="69"/>
      <c r="AC817" s="89"/>
      <c r="AD817" s="89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65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9"/>
      <c r="R818" s="89"/>
      <c r="S818" s="60"/>
      <c r="T818" s="62"/>
      <c r="U818" s="62"/>
      <c r="V818" s="62"/>
      <c r="W818" s="61"/>
      <c r="X818" s="62"/>
      <c r="Y818" s="62"/>
      <c r="Z818" s="66"/>
      <c r="AA818" s="89"/>
      <c r="AB818" s="69"/>
      <c r="AC818" s="89"/>
      <c r="AD818" s="89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9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9"/>
      <c r="P819" s="69"/>
      <c r="Q819" s="89"/>
      <c r="R819" s="89"/>
      <c r="S819" s="60"/>
      <c r="T819" s="62"/>
      <c r="U819" s="62"/>
      <c r="V819" s="62"/>
      <c r="W819" s="61"/>
      <c r="X819" s="62"/>
      <c r="Y819" s="62"/>
      <c r="Z819" s="66"/>
      <c r="AA819" s="89"/>
      <c r="AB819" s="69"/>
      <c r="AC819" s="89"/>
      <c r="AD819" s="89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9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9"/>
      <c r="P820" s="69"/>
      <c r="Q820" s="89"/>
      <c r="R820" s="89"/>
      <c r="S820" s="60"/>
      <c r="T820" s="62"/>
      <c r="U820" s="62"/>
      <c r="V820" s="62"/>
      <c r="W820" s="61"/>
      <c r="X820" s="62"/>
      <c r="Y820" s="62"/>
      <c r="Z820" s="66"/>
      <c r="AA820" s="89"/>
      <c r="AB820" s="69"/>
      <c r="AC820" s="89"/>
      <c r="AD820" s="89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9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9"/>
      <c r="R821" s="89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9"/>
      <c r="AD821" s="89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9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9"/>
      <c r="P822" s="69"/>
      <c r="Q822" s="89"/>
      <c r="R822" s="89"/>
      <c r="S822" s="60"/>
      <c r="T822" s="62"/>
      <c r="U822" s="62"/>
      <c r="V822" s="62"/>
      <c r="W822" s="61"/>
      <c r="X822" s="62"/>
      <c r="Y822" s="62"/>
      <c r="Z822" s="66"/>
      <c r="AA822" s="89"/>
      <c r="AB822" s="69"/>
      <c r="AC822" s="89"/>
      <c r="AD822" s="89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9"/>
      <c r="O823" s="89"/>
      <c r="P823" s="89"/>
      <c r="Q823" s="89"/>
      <c r="R823" s="89"/>
      <c r="S823" s="89"/>
      <c r="T823" s="62"/>
      <c r="U823" s="62"/>
      <c r="V823" s="62"/>
      <c r="W823" s="61"/>
      <c r="X823" s="62"/>
      <c r="Y823" s="62"/>
      <c r="Z823" s="89"/>
      <c r="AA823" s="89"/>
      <c r="AB823" s="89"/>
      <c r="AC823" s="89"/>
      <c r="AD823" s="89"/>
      <c r="AE823" s="89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9"/>
      <c r="C824" s="89"/>
      <c r="D824" s="89"/>
      <c r="E824" s="89"/>
      <c r="F824" s="89"/>
      <c r="G824" s="89"/>
      <c r="H824" s="62"/>
      <c r="I824" s="62"/>
      <c r="J824" s="62"/>
      <c r="K824" s="62"/>
      <c r="L824" s="62"/>
      <c r="M824" s="62"/>
      <c r="N824" s="89"/>
      <c r="O824" s="89"/>
      <c r="P824" s="89"/>
      <c r="Q824" s="89"/>
      <c r="R824" s="89"/>
      <c r="S824" s="89"/>
      <c r="T824" s="62"/>
      <c r="U824" s="62"/>
      <c r="V824" s="62"/>
      <c r="W824" s="62"/>
      <c r="X824" s="62"/>
      <c r="Y824" s="62"/>
      <c r="Z824" s="89"/>
      <c r="AA824" s="89"/>
      <c r="AB824" s="89"/>
      <c r="AC824" s="89"/>
      <c r="AD824" s="89"/>
      <c r="AE824" s="89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9"/>
      <c r="C825" s="89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9"/>
      <c r="O825" s="89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9"/>
      <c r="AA825" s="89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9"/>
      <c r="C827" s="89"/>
      <c r="D827" s="89"/>
      <c r="E827" s="89"/>
      <c r="F827" s="89"/>
      <c r="G827" s="89"/>
      <c r="H827" s="62"/>
      <c r="I827" s="62"/>
      <c r="J827" s="62"/>
      <c r="K827" s="62"/>
      <c r="L827" s="62"/>
      <c r="M827" s="62"/>
      <c r="N827" s="89"/>
      <c r="O827" s="89"/>
      <c r="P827" s="89"/>
      <c r="Q827" s="89"/>
      <c r="R827" s="89"/>
      <c r="S827" s="89"/>
      <c r="T827" s="62"/>
      <c r="U827" s="62"/>
      <c r="V827" s="62"/>
      <c r="W827" s="62"/>
      <c r="X827" s="62"/>
      <c r="Y827" s="62"/>
      <c r="Z827" s="89"/>
      <c r="AA827" s="89"/>
      <c r="AB827" s="89"/>
      <c r="AC827" s="89"/>
      <c r="AD827" s="89"/>
      <c r="AE827" s="89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9"/>
      <c r="C828" s="89"/>
      <c r="D828" s="89"/>
      <c r="E828" s="89"/>
      <c r="F828" s="89"/>
      <c r="G828" s="89"/>
      <c r="H828" s="62"/>
      <c r="I828" s="62"/>
      <c r="J828" s="62"/>
      <c r="K828" s="62"/>
      <c r="L828" s="62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X828" s="62"/>
      <c r="Y828" s="62"/>
      <c r="Z828" s="89"/>
      <c r="AA828" s="89"/>
      <c r="AB828" s="89"/>
      <c r="AC828" s="89"/>
      <c r="AD828" s="89"/>
      <c r="AE828" s="89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9"/>
      <c r="C829" s="89"/>
      <c r="D829" s="89"/>
      <c r="E829" s="89"/>
      <c r="F829" s="89"/>
      <c r="G829" s="89"/>
      <c r="H829" s="62"/>
      <c r="I829" s="62"/>
      <c r="J829" s="62"/>
      <c r="K829" s="62"/>
      <c r="L829" s="62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X829" s="62"/>
      <c r="Y829" s="62"/>
      <c r="Z829" s="89"/>
      <c r="AA829" s="89"/>
      <c r="AB829" s="89"/>
      <c r="AC829" s="89"/>
      <c r="AD829" s="89"/>
      <c r="AE829" s="89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9"/>
      <c r="C830" s="89"/>
      <c r="D830" s="89"/>
      <c r="E830" s="89"/>
      <c r="F830" s="89"/>
      <c r="G830" s="89"/>
      <c r="H830" s="62"/>
      <c r="I830" s="62"/>
      <c r="J830" s="62"/>
      <c r="K830" s="62"/>
      <c r="L830" s="62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X830" s="62"/>
      <c r="Y830" s="63"/>
      <c r="Z830" s="89"/>
      <c r="AA830" s="89"/>
      <c r="AB830" s="89"/>
      <c r="AC830" s="89"/>
      <c r="AD830" s="89"/>
      <c r="AE830" s="89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9"/>
      <c r="C831" s="89"/>
      <c r="D831" s="89"/>
      <c r="E831" s="89"/>
      <c r="F831" s="89"/>
      <c r="G831" s="89"/>
      <c r="H831" s="62"/>
      <c r="I831" s="62"/>
      <c r="J831" s="62"/>
      <c r="K831" s="62"/>
      <c r="L831" s="62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X831" s="62"/>
      <c r="Y831" s="62"/>
      <c r="Z831" s="89"/>
      <c r="AA831" s="89"/>
      <c r="AB831" s="89"/>
      <c r="AC831" s="89"/>
      <c r="AD831" s="89"/>
      <c r="AE831" s="89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9"/>
      <c r="C832" s="89"/>
      <c r="D832" s="89"/>
      <c r="E832" s="89"/>
      <c r="F832" s="89"/>
      <c r="G832" s="89"/>
      <c r="H832" s="62"/>
      <c r="I832" s="89"/>
      <c r="J832" s="74"/>
      <c r="K832" s="62"/>
      <c r="L832" s="62"/>
      <c r="M832" s="62"/>
      <c r="N832" s="89"/>
      <c r="O832" s="89"/>
      <c r="P832" s="89"/>
      <c r="Q832" s="89"/>
      <c r="R832" s="89"/>
      <c r="S832" s="89"/>
      <c r="T832" s="62"/>
      <c r="U832" s="89"/>
      <c r="V832" s="74"/>
      <c r="W832" s="62"/>
      <c r="X832" s="62"/>
      <c r="Y832" s="62"/>
      <c r="Z832" s="89"/>
      <c r="AA832" s="89"/>
      <c r="AB832" s="89"/>
      <c r="AC832" s="89"/>
      <c r="AD832" s="89"/>
      <c r="AE832" s="89"/>
      <c r="AF832" s="62"/>
      <c r="AG832" s="89"/>
      <c r="AH832" s="89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9"/>
      <c r="C833" s="89"/>
      <c r="D833" s="89"/>
      <c r="E833" s="89"/>
      <c r="F833" s="89"/>
      <c r="G833" s="89"/>
      <c r="H833" s="62"/>
      <c r="I833" s="65"/>
      <c r="J833" s="65"/>
      <c r="K833" s="62"/>
      <c r="L833" s="62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X833" s="62"/>
      <c r="Y833" s="64"/>
      <c r="Z833" s="89"/>
      <c r="AA833" s="89"/>
      <c r="AB833" s="89"/>
      <c r="AC833" s="89"/>
      <c r="AD833" s="89"/>
      <c r="AE833" s="89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9"/>
      <c r="C834" s="89"/>
      <c r="D834" s="89"/>
      <c r="E834" s="89"/>
      <c r="F834" s="89"/>
      <c r="G834" s="89"/>
      <c r="H834" s="62"/>
      <c r="I834" s="62"/>
      <c r="J834" s="62"/>
      <c r="K834" s="62"/>
      <c r="L834" s="62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X834" s="62"/>
      <c r="Y834" s="62"/>
      <c r="Z834" s="89"/>
      <c r="AA834" s="89"/>
      <c r="AB834" s="89"/>
      <c r="AC834" s="89"/>
      <c r="AD834" s="89"/>
      <c r="AE834" s="89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9"/>
      <c r="D835" s="106"/>
      <c r="E835" s="106"/>
      <c r="F835" s="89"/>
      <c r="G835" s="89"/>
      <c r="H835" s="62"/>
      <c r="I835" s="106"/>
      <c r="J835" s="106"/>
      <c r="K835" s="105"/>
      <c r="L835" s="62"/>
      <c r="M835" s="62"/>
      <c r="N835" s="65"/>
      <c r="O835" s="89"/>
      <c r="P835" s="106"/>
      <c r="Q835" s="106"/>
      <c r="R835" s="89"/>
      <c r="S835" s="89"/>
      <c r="T835" s="62"/>
      <c r="U835" s="106"/>
      <c r="V835" s="106"/>
      <c r="W835" s="105"/>
      <c r="X835" s="62"/>
      <c r="Y835" s="62"/>
      <c r="Z835" s="65"/>
      <c r="AA835" s="89"/>
      <c r="AB835" s="106"/>
      <c r="AC835" s="106"/>
      <c r="AD835" s="89"/>
      <c r="AE835" s="89"/>
      <c r="AF835" s="62"/>
      <c r="AG835" s="106"/>
      <c r="AH835" s="106"/>
      <c r="AI835" s="105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9"/>
      <c r="C836" s="89"/>
      <c r="D836" s="81"/>
      <c r="E836" s="82"/>
      <c r="F836" s="83"/>
      <c r="G836" s="83"/>
      <c r="H836" s="62"/>
      <c r="I836" s="88"/>
      <c r="J836" s="88"/>
      <c r="K836" s="105"/>
      <c r="L836" s="62"/>
      <c r="M836" s="62"/>
      <c r="N836" s="89"/>
      <c r="O836" s="89"/>
      <c r="P836" s="81"/>
      <c r="Q836" s="83"/>
      <c r="R836" s="83"/>
      <c r="S836" s="83"/>
      <c r="T836" s="62"/>
      <c r="U836" s="88"/>
      <c r="V836" s="88"/>
      <c r="W836" s="105"/>
      <c r="X836" s="62"/>
      <c r="Y836" s="62"/>
      <c r="Z836" s="89"/>
      <c r="AA836" s="89"/>
      <c r="AB836" s="81"/>
      <c r="AC836" s="83"/>
      <c r="AD836" s="83"/>
      <c r="AE836" s="83"/>
      <c r="AF836" s="62"/>
      <c r="AG836" s="88"/>
      <c r="AH836" s="88"/>
      <c r="AI836" s="105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9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9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9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9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9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9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9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9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9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9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9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9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9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9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9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9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9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9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9"/>
      <c r="AB845" s="9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9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9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9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9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9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65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9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9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9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9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9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9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9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9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9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9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9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9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9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9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2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9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9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9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2"/>
      <c r="P857" s="67"/>
      <c r="Q857" s="89"/>
      <c r="R857" s="89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89"/>
      <c r="AD857" s="89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9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X858" s="62"/>
      <c r="Y858" s="62"/>
      <c r="Z858" s="66"/>
      <c r="AA858" s="89"/>
      <c r="AB858" s="68"/>
      <c r="AC858" s="89"/>
      <c r="AD858" s="89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9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9"/>
      <c r="P859" s="69"/>
      <c r="Q859" s="89"/>
      <c r="R859" s="62"/>
      <c r="S859" s="60"/>
      <c r="T859" s="62"/>
      <c r="U859" s="62"/>
      <c r="V859" s="62"/>
      <c r="W859" s="61"/>
      <c r="X859" s="62"/>
      <c r="Y859" s="62"/>
      <c r="Z859" s="66"/>
      <c r="AA859" s="89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9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X860" s="62"/>
      <c r="Y860" s="62"/>
      <c r="Z860" s="66"/>
      <c r="AA860" s="89"/>
      <c r="AB860" s="69"/>
      <c r="AC860" s="89"/>
      <c r="AD860" s="89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65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X861" s="62"/>
      <c r="Y861" s="62"/>
      <c r="Z861" s="66"/>
      <c r="AA861" s="89"/>
      <c r="AB861" s="69"/>
      <c r="AC861" s="89"/>
      <c r="AD861" s="89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9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2"/>
      <c r="P862" s="69"/>
      <c r="Q862" s="89"/>
      <c r="R862" s="89"/>
      <c r="S862" s="60"/>
      <c r="T862" s="62"/>
      <c r="U862" s="62"/>
      <c r="V862" s="62"/>
      <c r="W862" s="61"/>
      <c r="X862" s="62"/>
      <c r="Y862" s="62"/>
      <c r="Z862" s="66"/>
      <c r="AA862" s="89"/>
      <c r="AB862" s="69"/>
      <c r="AC862" s="89"/>
      <c r="AD862" s="89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9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X863" s="62"/>
      <c r="Y863" s="62"/>
      <c r="Z863" s="66"/>
      <c r="AA863" s="89"/>
      <c r="AB863" s="69"/>
      <c r="AC863" s="89"/>
      <c r="AD863" s="89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9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X864" s="62"/>
      <c r="Y864" s="62"/>
      <c r="Z864" s="66"/>
      <c r="AA864" s="89"/>
      <c r="AB864" s="69"/>
      <c r="AC864" s="89"/>
      <c r="AD864" s="89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9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X865" s="62"/>
      <c r="Y865" s="62"/>
      <c r="Z865" s="66"/>
      <c r="AA865" s="89"/>
      <c r="AB865" s="69"/>
      <c r="AC865" s="89"/>
      <c r="AD865" s="89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65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89"/>
      <c r="R866" s="89"/>
      <c r="S866" s="60"/>
      <c r="T866" s="62"/>
      <c r="U866" s="62"/>
      <c r="V866" s="62"/>
      <c r="W866" s="61"/>
      <c r="X866" s="62"/>
      <c r="Y866" s="62"/>
      <c r="Z866" s="66"/>
      <c r="AA866" s="89"/>
      <c r="AB866" s="69"/>
      <c r="AC866" s="89"/>
      <c r="AD866" s="89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X867" s="62"/>
      <c r="Y867" s="62"/>
      <c r="Z867" s="66"/>
      <c r="AA867" s="89"/>
      <c r="AB867" s="69"/>
      <c r="AC867" s="89"/>
      <c r="AD867" s="89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65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X868" s="62"/>
      <c r="Y868" s="62"/>
      <c r="Z868" s="66"/>
      <c r="AA868" s="89"/>
      <c r="AB868" s="69"/>
      <c r="AC868" s="89"/>
      <c r="AD868" s="89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65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X869" s="62"/>
      <c r="Y869" s="62"/>
      <c r="Z869" s="66"/>
      <c r="AA869" s="89"/>
      <c r="AB869" s="69"/>
      <c r="AC869" s="89"/>
      <c r="AD869" s="89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65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X870" s="62"/>
      <c r="Y870" s="62"/>
      <c r="Z870" s="66"/>
      <c r="AA870" s="89"/>
      <c r="AB870" s="69"/>
      <c r="AC870" s="89"/>
      <c r="AD870" s="89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65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X871" s="62"/>
      <c r="Y871" s="62"/>
      <c r="Z871" s="66"/>
      <c r="AA871" s="89"/>
      <c r="AB871" s="69"/>
      <c r="AC871" s="89"/>
      <c r="AD871" s="89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65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X872" s="62"/>
      <c r="Y872" s="62"/>
      <c r="Z872" s="66"/>
      <c r="AA872" s="89"/>
      <c r="AB872" s="69"/>
      <c r="AC872" s="89"/>
      <c r="AD872" s="89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65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X873" s="62"/>
      <c r="Y873" s="62"/>
      <c r="Z873" s="66"/>
      <c r="AA873" s="89"/>
      <c r="AB873" s="69"/>
      <c r="AC873" s="89"/>
      <c r="AD873" s="89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9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X874" s="62"/>
      <c r="Y874" s="62"/>
      <c r="Z874" s="66"/>
      <c r="AA874" s="89"/>
      <c r="AB874" s="69"/>
      <c r="AC874" s="89"/>
      <c r="AD874" s="89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9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X875" s="62"/>
      <c r="Y875" s="62"/>
      <c r="Z875" s="66"/>
      <c r="AA875" s="89"/>
      <c r="AB875" s="69"/>
      <c r="AC875" s="89"/>
      <c r="AD875" s="89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9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9"/>
      <c r="AD876" s="89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9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X877" s="62"/>
      <c r="Y877" s="62"/>
      <c r="Z877" s="66"/>
      <c r="AA877" s="89"/>
      <c r="AB877" s="69"/>
      <c r="AC877" s="89"/>
      <c r="AD877" s="89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X878" s="62"/>
      <c r="Y878" s="62"/>
      <c r="Z878" s="89"/>
      <c r="AA878" s="89"/>
      <c r="AB878" s="89"/>
      <c r="AC878" s="89"/>
      <c r="AD878" s="89"/>
      <c r="AE878" s="89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9"/>
      <c r="C879" s="89"/>
      <c r="D879" s="89"/>
      <c r="E879" s="89"/>
      <c r="F879" s="89"/>
      <c r="G879" s="89"/>
      <c r="H879" s="62"/>
      <c r="I879" s="62"/>
      <c r="J879" s="62"/>
      <c r="K879" s="62"/>
      <c r="L879" s="62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X879" s="62"/>
      <c r="Y879" s="62"/>
      <c r="Z879" s="89"/>
      <c r="AA879" s="89"/>
      <c r="AB879" s="89"/>
      <c r="AC879" s="89"/>
      <c r="AD879" s="89"/>
      <c r="AE879" s="89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9"/>
      <c r="C880" s="89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9"/>
      <c r="AA880" s="89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2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2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3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3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9"/>
      <c r="C886" s="89"/>
      <c r="D886" s="89"/>
      <c r="E886" s="89"/>
      <c r="F886" s="89"/>
      <c r="G886" s="89"/>
      <c r="H886" s="62"/>
      <c r="I886" s="62"/>
      <c r="J886" s="62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62"/>
      <c r="V886" s="62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9"/>
      <c r="C887" s="89"/>
      <c r="D887" s="89"/>
      <c r="E887" s="89"/>
      <c r="F887" s="89"/>
      <c r="G887" s="89"/>
      <c r="H887" s="62"/>
      <c r="I887" s="89"/>
      <c r="J887" s="74"/>
      <c r="K887" s="62"/>
      <c r="L887" s="62"/>
      <c r="M887" s="62"/>
      <c r="N887" s="89"/>
      <c r="O887" s="89"/>
      <c r="P887" s="89"/>
      <c r="Q887" s="89"/>
      <c r="R887" s="89"/>
      <c r="S887" s="89"/>
      <c r="T887" s="62"/>
      <c r="U887" s="89"/>
      <c r="V887" s="74"/>
      <c r="W887" s="62"/>
      <c r="X887" s="62"/>
      <c r="Y887" s="62"/>
      <c r="Z887" s="89"/>
      <c r="AA887" s="89"/>
      <c r="AB887" s="89"/>
      <c r="AC887" s="89"/>
      <c r="AD887" s="89"/>
      <c r="AE887" s="89"/>
      <c r="AF887" s="62"/>
      <c r="AG887" s="89"/>
      <c r="AH887" s="89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9"/>
      <c r="C888" s="89"/>
      <c r="D888" s="89"/>
      <c r="E888" s="89"/>
      <c r="F888" s="89"/>
      <c r="G888" s="89"/>
      <c r="H888" s="62"/>
      <c r="I888" s="65"/>
      <c r="J888" s="65"/>
      <c r="K888" s="62"/>
      <c r="L888" s="62"/>
      <c r="M888" s="64"/>
      <c r="N888" s="89"/>
      <c r="O888" s="89"/>
      <c r="P888" s="89"/>
      <c r="Q888" s="89"/>
      <c r="R888" s="89"/>
      <c r="S888" s="89"/>
      <c r="T888" s="62"/>
      <c r="U888" s="65"/>
      <c r="V888" s="65"/>
      <c r="W888" s="62"/>
      <c r="X888" s="62"/>
      <c r="Y888" s="64"/>
      <c r="Z888" s="89"/>
      <c r="AA888" s="89"/>
      <c r="AB888" s="89"/>
      <c r="AC888" s="89"/>
      <c r="AD888" s="89"/>
      <c r="AE888" s="89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9"/>
      <c r="C889" s="89"/>
      <c r="D889" s="89"/>
      <c r="E889" s="89"/>
      <c r="F889" s="89"/>
      <c r="G889" s="89"/>
      <c r="H889" s="62"/>
      <c r="I889" s="62"/>
      <c r="J889" s="62"/>
      <c r="K889" s="62"/>
      <c r="L889" s="62"/>
      <c r="M889" s="62"/>
      <c r="N889" s="89"/>
      <c r="O889" s="89"/>
      <c r="P889" s="89"/>
      <c r="Q889" s="89"/>
      <c r="R889" s="89"/>
      <c r="S889" s="89"/>
      <c r="T889" s="62"/>
      <c r="U889" s="62"/>
      <c r="V889" s="62"/>
      <c r="W889" s="62"/>
      <c r="X889" s="62"/>
      <c r="Y889" s="62"/>
      <c r="Z889" s="89"/>
      <c r="AA889" s="89"/>
      <c r="AB889" s="89"/>
      <c r="AC889" s="89"/>
      <c r="AD889" s="89"/>
      <c r="AE889" s="89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9"/>
      <c r="D890" s="106"/>
      <c r="E890" s="106"/>
      <c r="F890" s="89"/>
      <c r="G890" s="89"/>
      <c r="H890" s="62"/>
      <c r="I890" s="106"/>
      <c r="J890" s="106"/>
      <c r="K890" s="105"/>
      <c r="L890" s="62"/>
      <c r="M890" s="62"/>
      <c r="N890" s="65"/>
      <c r="O890" s="89"/>
      <c r="P890" s="106"/>
      <c r="Q890" s="106"/>
      <c r="R890" s="89"/>
      <c r="S890" s="89"/>
      <c r="T890" s="62"/>
      <c r="U890" s="106"/>
      <c r="V890" s="106"/>
      <c r="W890" s="105"/>
      <c r="X890" s="62"/>
      <c r="Y890" s="62"/>
      <c r="Z890" s="65"/>
      <c r="AA890" s="89"/>
      <c r="AB890" s="106"/>
      <c r="AC890" s="106"/>
      <c r="AD890" s="89"/>
      <c r="AE890" s="89"/>
      <c r="AF890" s="62"/>
      <c r="AG890" s="106"/>
      <c r="AH890" s="106"/>
      <c r="AI890" s="105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9"/>
      <c r="C891" s="89"/>
      <c r="D891" s="81"/>
      <c r="E891" s="82"/>
      <c r="F891" s="83"/>
      <c r="G891" s="83"/>
      <c r="H891" s="62"/>
      <c r="I891" s="88"/>
      <c r="J891" s="88"/>
      <c r="K891" s="105"/>
      <c r="L891" s="62"/>
      <c r="M891" s="62"/>
      <c r="N891" s="89"/>
      <c r="O891" s="89"/>
      <c r="P891" s="81"/>
      <c r="Q891" s="83"/>
      <c r="R891" s="83"/>
      <c r="S891" s="83"/>
      <c r="T891" s="62"/>
      <c r="U891" s="88"/>
      <c r="V891" s="88"/>
      <c r="W891" s="105"/>
      <c r="X891" s="62"/>
      <c r="Y891" s="62"/>
      <c r="Z891" s="89"/>
      <c r="AA891" s="89"/>
      <c r="AB891" s="81"/>
      <c r="AC891" s="83"/>
      <c r="AD891" s="83"/>
      <c r="AE891" s="83"/>
      <c r="AF891" s="62"/>
      <c r="AG891" s="88"/>
      <c r="AH891" s="88"/>
      <c r="AI891" s="105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9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9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9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9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9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9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9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9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9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9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9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9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9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9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9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9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62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9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9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65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9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9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9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2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2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9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9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9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9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9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62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9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9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9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2"/>
      <c r="P912" s="67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62"/>
      <c r="AB912" s="67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9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9"/>
      <c r="P913" s="68"/>
      <c r="Q913" s="89"/>
      <c r="R913" s="89"/>
      <c r="S913" s="60"/>
      <c r="T913" s="62"/>
      <c r="U913" s="62"/>
      <c r="V913" s="62"/>
      <c r="W913" s="61"/>
      <c r="X913" s="62"/>
      <c r="Y913" s="62"/>
      <c r="Z913" s="66"/>
      <c r="AA913" s="89"/>
      <c r="AB913" s="68"/>
      <c r="AC913" s="89"/>
      <c r="AD913" s="89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9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9"/>
      <c r="P914" s="69"/>
      <c r="Q914" s="89"/>
      <c r="R914" s="62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9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9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9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9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2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9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9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9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65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65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65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65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65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65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65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9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65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9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89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9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9"/>
      <c r="P932" s="69"/>
      <c r="Q932" s="89"/>
      <c r="R932" s="89"/>
      <c r="S932" s="60"/>
      <c r="T932" s="62"/>
      <c r="U932" s="62"/>
      <c r="V932" s="62"/>
      <c r="W932" s="61"/>
      <c r="X932" s="62"/>
      <c r="Y932" s="62"/>
      <c r="Z932" s="66"/>
      <c r="AA932" s="89"/>
      <c r="AB932" s="69"/>
      <c r="AC932" s="89"/>
      <c r="AD932" s="89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1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89"/>
      <c r="E934" s="89"/>
      <c r="F934" s="89"/>
      <c r="G934" s="89"/>
      <c r="H934" s="62"/>
      <c r="I934" s="62"/>
      <c r="J934" s="62"/>
      <c r="K934" s="62"/>
      <c r="L934" s="62"/>
      <c r="M934" s="62"/>
      <c r="N934" s="89"/>
      <c r="O934" s="89"/>
      <c r="P934" s="89"/>
      <c r="Q934" s="89"/>
      <c r="R934" s="89"/>
      <c r="S934" s="89"/>
      <c r="T934" s="62"/>
      <c r="U934" s="62"/>
      <c r="V934" s="62"/>
      <c r="W934" s="62"/>
      <c r="X934" s="62"/>
      <c r="Y934" s="62"/>
      <c r="Z934" s="89"/>
      <c r="AA934" s="89"/>
      <c r="AB934" s="89"/>
      <c r="AC934" s="89"/>
      <c r="AD934" s="89"/>
      <c r="AE934" s="89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9"/>
      <c r="C935" s="89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9"/>
      <c r="O935" s="89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9"/>
      <c r="AA935" s="89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3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3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9"/>
      <c r="C941" s="89"/>
      <c r="D941" s="89"/>
      <c r="E941" s="89"/>
      <c r="F941" s="89"/>
      <c r="G941" s="89"/>
      <c r="H941" s="62"/>
      <c r="I941" s="62"/>
      <c r="J941" s="62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62"/>
      <c r="V941" s="62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9"/>
      <c r="C942" s="89"/>
      <c r="D942" s="89"/>
      <c r="E942" s="89"/>
      <c r="F942" s="89"/>
      <c r="G942" s="89"/>
      <c r="H942" s="62"/>
      <c r="I942" s="89"/>
      <c r="J942" s="74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89"/>
      <c r="V942" s="74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89"/>
      <c r="AH942" s="89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9"/>
      <c r="C943" s="89"/>
      <c r="D943" s="89"/>
      <c r="E943" s="89"/>
      <c r="F943" s="89"/>
      <c r="G943" s="89"/>
      <c r="H943" s="62"/>
      <c r="I943" s="65"/>
      <c r="J943" s="65"/>
      <c r="K943" s="62"/>
      <c r="L943" s="62"/>
      <c r="M943" s="64"/>
      <c r="N943" s="89"/>
      <c r="O943" s="89"/>
      <c r="P943" s="89"/>
      <c r="Q943" s="89"/>
      <c r="R943" s="89"/>
      <c r="S943" s="89"/>
      <c r="T943" s="62"/>
      <c r="U943" s="65"/>
      <c r="V943" s="65"/>
      <c r="W943" s="62"/>
      <c r="X943" s="62"/>
      <c r="Y943" s="64"/>
      <c r="Z943" s="89"/>
      <c r="AA943" s="89"/>
      <c r="AB943" s="89"/>
      <c r="AC943" s="89"/>
      <c r="AD943" s="89"/>
      <c r="AE943" s="89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89"/>
      <c r="E944" s="89"/>
      <c r="F944" s="89"/>
      <c r="G944" s="89"/>
      <c r="H944" s="62"/>
      <c r="I944" s="62"/>
      <c r="J944" s="62"/>
      <c r="K944" s="62"/>
      <c r="L944" s="62"/>
      <c r="M944" s="62"/>
      <c r="N944" s="89"/>
      <c r="O944" s="89"/>
      <c r="P944" s="89"/>
      <c r="Q944" s="89"/>
      <c r="R944" s="89"/>
      <c r="S944" s="89"/>
      <c r="T944" s="62"/>
      <c r="U944" s="62"/>
      <c r="V944" s="62"/>
      <c r="W944" s="62"/>
      <c r="X944" s="62"/>
      <c r="Y944" s="62"/>
      <c r="Z944" s="89"/>
      <c r="AA944" s="89"/>
      <c r="AB944" s="89"/>
      <c r="AC944" s="89"/>
      <c r="AD944" s="89"/>
      <c r="AE944" s="89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9"/>
      <c r="D945" s="106"/>
      <c r="E945" s="106"/>
      <c r="F945" s="89"/>
      <c r="G945" s="89"/>
      <c r="H945" s="62"/>
      <c r="I945" s="106"/>
      <c r="J945" s="106"/>
      <c r="K945" s="105"/>
      <c r="L945" s="62"/>
      <c r="M945" s="62"/>
      <c r="N945" s="65"/>
      <c r="O945" s="89"/>
      <c r="P945" s="106"/>
      <c r="Q945" s="106"/>
      <c r="R945" s="89"/>
      <c r="S945" s="89"/>
      <c r="T945" s="62"/>
      <c r="U945" s="106"/>
      <c r="V945" s="106"/>
      <c r="W945" s="105"/>
      <c r="X945" s="62"/>
      <c r="Y945" s="62"/>
      <c r="Z945" s="65"/>
      <c r="AA945" s="89"/>
      <c r="AB945" s="106"/>
      <c r="AC945" s="106"/>
      <c r="AD945" s="89"/>
      <c r="AE945" s="89"/>
      <c r="AF945" s="62"/>
      <c r="AG945" s="106"/>
      <c r="AH945" s="106"/>
      <c r="AI945" s="105"/>
      <c r="AJ945" s="62"/>
      <c r="AK945" s="62"/>
      <c r="AL945" s="65"/>
      <c r="AM945" s="87"/>
      <c r="AN945" s="106"/>
      <c r="AO945" s="106"/>
      <c r="AP945" s="87"/>
      <c r="AQ945" s="84"/>
      <c r="AR945" s="62"/>
      <c r="AS945" s="106"/>
      <c r="AT945" s="106"/>
      <c r="AU945" s="105"/>
      <c r="AV945" s="62"/>
      <c r="AW945" s="62"/>
      <c r="AX945" s="62"/>
      <c r="AY945" s="62"/>
      <c r="AZ945" s="62"/>
    </row>
    <row r="946" spans="1:52" x14ac:dyDescent="0.25">
      <c r="A946" s="62"/>
      <c r="B946" s="89"/>
      <c r="C946" s="89"/>
      <c r="D946" s="81"/>
      <c r="E946" s="82"/>
      <c r="F946" s="83"/>
      <c r="G946" s="83"/>
      <c r="H946" s="62"/>
      <c r="I946" s="88"/>
      <c r="J946" s="88"/>
      <c r="K946" s="105"/>
      <c r="L946" s="62"/>
      <c r="M946" s="62"/>
      <c r="N946" s="89"/>
      <c r="O946" s="89"/>
      <c r="P946" s="81"/>
      <c r="Q946" s="83"/>
      <c r="R946" s="83"/>
      <c r="S946" s="83"/>
      <c r="T946" s="62"/>
      <c r="U946" s="88"/>
      <c r="V946" s="88"/>
      <c r="W946" s="105"/>
      <c r="X946" s="62"/>
      <c r="Y946" s="62"/>
      <c r="Z946" s="89"/>
      <c r="AA946" s="89"/>
      <c r="AB946" s="81"/>
      <c r="AC946" s="83"/>
      <c r="AD946" s="83"/>
      <c r="AE946" s="83"/>
      <c r="AF946" s="62"/>
      <c r="AG946" s="88"/>
      <c r="AH946" s="88"/>
      <c r="AI946" s="105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05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9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9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9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9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9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9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9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9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9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9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9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9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9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9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9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65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9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9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9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9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65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9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9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9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9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9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9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9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9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9"/>
      <c r="P967" s="67"/>
      <c r="Q967" s="60"/>
      <c r="R967" s="89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9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9"/>
      <c r="P968" s="68"/>
      <c r="Q968" s="60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8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9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9"/>
      <c r="P969" s="69"/>
      <c r="Q969" s="60"/>
      <c r="R969" s="62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9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9"/>
      <c r="P970" s="69"/>
      <c r="Q970" s="60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9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60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9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62"/>
      <c r="P972" s="69"/>
      <c r="Q972" s="60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9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65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9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9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9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9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9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9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9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9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9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9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9"/>
      <c r="P987" s="69"/>
      <c r="Q987" s="89"/>
      <c r="R987" s="89"/>
      <c r="S987" s="60"/>
      <c r="T987" s="62"/>
      <c r="U987" s="62"/>
      <c r="V987" s="62"/>
      <c r="W987" s="61"/>
      <c r="X987" s="62"/>
      <c r="Y987" s="62"/>
      <c r="Z987" s="66"/>
      <c r="AA987" s="89"/>
      <c r="AB987" s="69"/>
      <c r="AC987" s="89"/>
      <c r="AD987" s="89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1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89"/>
      <c r="E989" s="89"/>
      <c r="F989" s="89"/>
      <c r="G989" s="89"/>
      <c r="H989" s="62"/>
      <c r="I989" s="62"/>
      <c r="J989" s="62"/>
      <c r="K989" s="62"/>
      <c r="L989" s="62"/>
      <c r="M989" s="62"/>
      <c r="N989" s="89"/>
      <c r="O989" s="89"/>
      <c r="P989" s="89"/>
      <c r="Q989" s="89"/>
      <c r="R989" s="89"/>
      <c r="S989" s="89"/>
      <c r="T989" s="62"/>
      <c r="U989" s="62"/>
      <c r="V989" s="62"/>
      <c r="W989" s="62"/>
      <c r="X989" s="62"/>
      <c r="Y989" s="62"/>
      <c r="Z989" s="89"/>
      <c r="AA989" s="89"/>
      <c r="AB989" s="89"/>
      <c r="AC989" s="89"/>
      <c r="AD989" s="89"/>
      <c r="AE989" s="89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9"/>
      <c r="C990" s="89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9"/>
      <c r="O990" s="89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9"/>
      <c r="AA990" s="89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9"/>
      <c r="C992" s="89"/>
      <c r="D992" s="89"/>
      <c r="E992" s="89"/>
      <c r="F992" s="89"/>
      <c r="G992" s="89"/>
      <c r="H992" s="62"/>
      <c r="I992" s="62"/>
      <c r="J992" s="62"/>
      <c r="K992" s="62"/>
      <c r="L992" s="62"/>
      <c r="M992" s="62"/>
      <c r="N992" s="89"/>
      <c r="O992" s="89"/>
      <c r="P992" s="89"/>
      <c r="Q992" s="89"/>
      <c r="R992" s="89"/>
      <c r="S992" s="89"/>
      <c r="T992" s="62"/>
      <c r="U992" s="62"/>
      <c r="V992" s="62"/>
      <c r="W992" s="62"/>
      <c r="X992" s="62"/>
      <c r="Y992" s="62"/>
      <c r="Z992" s="89"/>
      <c r="AA992" s="89"/>
      <c r="AB992" s="89"/>
      <c r="AC992" s="89"/>
      <c r="AD992" s="89"/>
      <c r="AE992" s="89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9"/>
      <c r="C993" s="89"/>
      <c r="D993" s="89"/>
      <c r="E993" s="89"/>
      <c r="F993" s="89"/>
      <c r="G993" s="89"/>
      <c r="H993" s="62"/>
      <c r="I993" s="62"/>
      <c r="J993" s="62"/>
      <c r="K993" s="62"/>
      <c r="L993" s="62"/>
      <c r="M993" s="62"/>
      <c r="N993" s="89"/>
      <c r="O993" s="89"/>
      <c r="P993" s="89"/>
      <c r="Q993" s="89"/>
      <c r="R993" s="89"/>
      <c r="S993" s="89"/>
      <c r="T993" s="62"/>
      <c r="U993" s="62"/>
      <c r="V993" s="62"/>
      <c r="W993" s="62"/>
      <c r="X993" s="62"/>
      <c r="Y993" s="62"/>
      <c r="Z993" s="89"/>
      <c r="AA993" s="89"/>
      <c r="AB993" s="89"/>
      <c r="AC993" s="89"/>
      <c r="AD993" s="89"/>
      <c r="AE993" s="89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9"/>
      <c r="C994" s="89"/>
      <c r="D994" s="89"/>
      <c r="E994" s="89"/>
      <c r="F994" s="89"/>
      <c r="G994" s="89"/>
      <c r="H994" s="62"/>
      <c r="I994" s="62"/>
      <c r="J994" s="62"/>
      <c r="K994" s="62"/>
      <c r="L994" s="62"/>
      <c r="M994" s="62"/>
      <c r="N994" s="89"/>
      <c r="O994" s="89"/>
      <c r="P994" s="89"/>
      <c r="Q994" s="89"/>
      <c r="R994" s="89"/>
      <c r="S994" s="89"/>
      <c r="T994" s="62"/>
      <c r="U994" s="62"/>
      <c r="V994" s="62"/>
      <c r="W994" s="62"/>
      <c r="X994" s="62"/>
      <c r="Y994" s="62"/>
      <c r="Z994" s="89"/>
      <c r="AA994" s="89"/>
      <c r="AB994" s="89"/>
      <c r="AC994" s="89"/>
      <c r="AD994" s="89"/>
      <c r="AE994" s="89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9"/>
      <c r="C995" s="89"/>
      <c r="D995" s="89"/>
      <c r="E995" s="89"/>
      <c r="F995" s="89"/>
      <c r="G995" s="89"/>
      <c r="H995" s="62"/>
      <c r="I995" s="62"/>
      <c r="J995" s="62"/>
      <c r="K995" s="62"/>
      <c r="L995" s="62"/>
      <c r="M995" s="63"/>
      <c r="N995" s="89"/>
      <c r="O995" s="89"/>
      <c r="P995" s="89"/>
      <c r="Q995" s="89"/>
      <c r="R995" s="89"/>
      <c r="S995" s="89"/>
      <c r="T995" s="62"/>
      <c r="U995" s="62"/>
      <c r="V995" s="62"/>
      <c r="W995" s="62"/>
      <c r="X995" s="62"/>
      <c r="Y995" s="63"/>
      <c r="Z995" s="89"/>
      <c r="AA995" s="89"/>
      <c r="AB995" s="89"/>
      <c r="AC995" s="89"/>
      <c r="AD995" s="89"/>
      <c r="AE995" s="89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9"/>
      <c r="C996" s="89"/>
      <c r="D996" s="89"/>
      <c r="E996" s="89"/>
      <c r="F996" s="89"/>
      <c r="G996" s="89"/>
      <c r="H996" s="62"/>
      <c r="I996" s="62"/>
      <c r="J996" s="62"/>
      <c r="K996" s="62"/>
      <c r="L996" s="62"/>
      <c r="M996" s="62"/>
      <c r="N996" s="89"/>
      <c r="O996" s="89"/>
      <c r="P996" s="89"/>
      <c r="Q996" s="89"/>
      <c r="R996" s="89"/>
      <c r="S996" s="89"/>
      <c r="T996" s="62"/>
      <c r="U996" s="62"/>
      <c r="V996" s="62"/>
      <c r="W996" s="62"/>
      <c r="X996" s="62"/>
      <c r="Y996" s="62"/>
      <c r="Z996" s="89"/>
      <c r="AA996" s="89"/>
      <c r="AB996" s="89"/>
      <c r="AC996" s="89"/>
      <c r="AD996" s="89"/>
      <c r="AE996" s="89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9"/>
      <c r="C997" s="89"/>
      <c r="D997" s="89"/>
      <c r="E997" s="89"/>
      <c r="F997" s="89"/>
      <c r="G997" s="89"/>
      <c r="H997" s="62"/>
      <c r="I997" s="89"/>
      <c r="J997" s="74"/>
      <c r="K997" s="62"/>
      <c r="L997" s="62"/>
      <c r="M997" s="62"/>
      <c r="N997" s="89"/>
      <c r="O997" s="89"/>
      <c r="P997" s="89"/>
      <c r="Q997" s="89"/>
      <c r="R997" s="89"/>
      <c r="S997" s="89"/>
      <c r="T997" s="62"/>
      <c r="U997" s="89"/>
      <c r="V997" s="74"/>
      <c r="W997" s="62"/>
      <c r="X997" s="62"/>
      <c r="Y997" s="62"/>
      <c r="Z997" s="89"/>
      <c r="AA997" s="89"/>
      <c r="AB997" s="89"/>
      <c r="AC997" s="89"/>
      <c r="AD997" s="89"/>
      <c r="AE997" s="89"/>
      <c r="AF997" s="62"/>
      <c r="AG997" s="89"/>
      <c r="AH997" s="89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9"/>
      <c r="C998" s="89"/>
      <c r="D998" s="89"/>
      <c r="E998" s="89"/>
      <c r="F998" s="89"/>
      <c r="G998" s="89"/>
      <c r="H998" s="62"/>
      <c r="I998" s="65"/>
      <c r="J998" s="65"/>
      <c r="K998" s="62"/>
      <c r="L998" s="62"/>
      <c r="M998" s="64"/>
      <c r="N998" s="89"/>
      <c r="O998" s="89"/>
      <c r="P998" s="89"/>
      <c r="Q998" s="89"/>
      <c r="R998" s="89"/>
      <c r="S998" s="89"/>
      <c r="T998" s="62"/>
      <c r="U998" s="65"/>
      <c r="V998" s="65"/>
      <c r="W998" s="62"/>
      <c r="X998" s="62"/>
      <c r="Y998" s="64"/>
      <c r="Z998" s="89"/>
      <c r="AA998" s="89"/>
      <c r="AB998" s="89"/>
      <c r="AC998" s="89"/>
      <c r="AD998" s="89"/>
      <c r="AE998" s="89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9"/>
      <c r="C999" s="89"/>
      <c r="D999" s="89"/>
      <c r="E999" s="89"/>
      <c r="F999" s="89"/>
      <c r="G999" s="89"/>
      <c r="H999" s="62"/>
      <c r="I999" s="62"/>
      <c r="J999" s="62"/>
      <c r="K999" s="62"/>
      <c r="L999" s="62"/>
      <c r="M999" s="62"/>
      <c r="N999" s="89"/>
      <c r="O999" s="89"/>
      <c r="P999" s="89"/>
      <c r="Q999" s="89"/>
      <c r="R999" s="89"/>
      <c r="S999" s="89"/>
      <c r="T999" s="62"/>
      <c r="U999" s="62"/>
      <c r="V999" s="62"/>
      <c r="W999" s="62"/>
      <c r="X999" s="62"/>
      <c r="Y999" s="62"/>
      <c r="Z999" s="89"/>
      <c r="AA999" s="89"/>
      <c r="AB999" s="89"/>
      <c r="AC999" s="89"/>
      <c r="AD999" s="89"/>
      <c r="AE999" s="89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9"/>
      <c r="D1000" s="106"/>
      <c r="E1000" s="106"/>
      <c r="F1000" s="89"/>
      <c r="G1000" s="89"/>
      <c r="H1000" s="62"/>
      <c r="I1000" s="106"/>
      <c r="J1000" s="106"/>
      <c r="K1000" s="105"/>
      <c r="L1000" s="62"/>
      <c r="M1000" s="62"/>
      <c r="N1000" s="65"/>
      <c r="O1000" s="89"/>
      <c r="P1000" s="106"/>
      <c r="Q1000" s="106"/>
      <c r="R1000" s="89"/>
      <c r="S1000" s="89"/>
      <c r="T1000" s="62"/>
      <c r="U1000" s="106"/>
      <c r="V1000" s="106"/>
      <c r="W1000" s="105"/>
      <c r="X1000" s="62"/>
      <c r="Y1000" s="62"/>
      <c r="Z1000" s="65"/>
      <c r="AA1000" s="89"/>
      <c r="AB1000" s="106"/>
      <c r="AC1000" s="106"/>
      <c r="AD1000" s="89"/>
      <c r="AE1000" s="89"/>
      <c r="AF1000" s="62"/>
      <c r="AG1000" s="106"/>
      <c r="AH1000" s="106"/>
      <c r="AI1000" s="105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9"/>
      <c r="C1001" s="89"/>
      <c r="D1001" s="81"/>
      <c r="E1001" s="82"/>
      <c r="F1001" s="83"/>
      <c r="G1001" s="83"/>
      <c r="H1001" s="62"/>
      <c r="I1001" s="88"/>
      <c r="J1001" s="88"/>
      <c r="K1001" s="105"/>
      <c r="L1001" s="62"/>
      <c r="M1001" s="62"/>
      <c r="N1001" s="89"/>
      <c r="O1001" s="89"/>
      <c r="P1001" s="81"/>
      <c r="Q1001" s="83"/>
      <c r="R1001" s="83"/>
      <c r="S1001" s="83"/>
      <c r="T1001" s="62"/>
      <c r="U1001" s="88"/>
      <c r="V1001" s="88"/>
      <c r="W1001" s="105"/>
      <c r="X1001" s="62"/>
      <c r="Y1001" s="62"/>
      <c r="Z1001" s="89"/>
      <c r="AA1001" s="89"/>
      <c r="AB1001" s="81"/>
      <c r="AC1001" s="83"/>
      <c r="AD1001" s="83"/>
      <c r="AE1001" s="83"/>
      <c r="AF1001" s="62"/>
      <c r="AG1001" s="88"/>
      <c r="AH1001" s="88"/>
      <c r="AI1001" s="105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9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9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9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9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9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9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9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9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9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9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9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89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9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9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9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9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9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9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9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9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9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65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9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65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9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9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9"/>
      <c r="AB1010" s="90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9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9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9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9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9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9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9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65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62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9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9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9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9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62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9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9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9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9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9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62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9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9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9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9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9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9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9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9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62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9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9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9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9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9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89"/>
      <c r="R1022" s="89"/>
      <c r="S1022" s="60"/>
      <c r="T1022" s="62"/>
      <c r="U1022" s="62"/>
      <c r="V1022" s="62"/>
      <c r="W1022" s="61"/>
      <c r="X1022" s="62"/>
      <c r="Y1022" s="62"/>
      <c r="Z1022" s="66"/>
      <c r="AA1022" s="89"/>
      <c r="AB1022" s="67"/>
      <c r="AC1022" s="89"/>
      <c r="AD1022" s="89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9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9"/>
      <c r="P1023" s="68"/>
      <c r="Q1023" s="89"/>
      <c r="R1023" s="89"/>
      <c r="S1023" s="60"/>
      <c r="T1023" s="62"/>
      <c r="U1023" s="62"/>
      <c r="V1023" s="62"/>
      <c r="W1023" s="61"/>
      <c r="X1023" s="62"/>
      <c r="Y1023" s="62"/>
      <c r="Z1023" s="66"/>
      <c r="AA1023" s="89"/>
      <c r="AB1023" s="68"/>
      <c r="AC1023" s="89"/>
      <c r="AD1023" s="89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9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9"/>
      <c r="P1024" s="69"/>
      <c r="Q1024" s="89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9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9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9"/>
      <c r="P1025" s="69"/>
      <c r="Q1025" s="89"/>
      <c r="R1025" s="89"/>
      <c r="S1025" s="60"/>
      <c r="T1025" s="62"/>
      <c r="U1025" s="62"/>
      <c r="V1025" s="62"/>
      <c r="W1025" s="61"/>
      <c r="X1025" s="62"/>
      <c r="Y1025" s="62"/>
      <c r="Z1025" s="66"/>
      <c r="AA1025" s="89"/>
      <c r="AB1025" s="69"/>
      <c r="AC1025" s="89"/>
      <c r="AD1025" s="89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9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9"/>
      <c r="P1026" s="69"/>
      <c r="Q1026" s="89"/>
      <c r="R1026" s="89"/>
      <c r="S1026" s="60"/>
      <c r="T1026" s="62"/>
      <c r="U1026" s="62"/>
      <c r="V1026" s="62"/>
      <c r="W1026" s="61"/>
      <c r="X1026" s="62"/>
      <c r="Y1026" s="62"/>
      <c r="Z1026" s="66"/>
      <c r="AA1026" s="89"/>
      <c r="AB1026" s="69"/>
      <c r="AC1026" s="89"/>
      <c r="AD1026" s="89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9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62"/>
      <c r="P1027" s="69"/>
      <c r="Q1027" s="89"/>
      <c r="R1027" s="89"/>
      <c r="S1027" s="60"/>
      <c r="T1027" s="62"/>
      <c r="U1027" s="62"/>
      <c r="V1027" s="62"/>
      <c r="W1027" s="61"/>
      <c r="X1027" s="62"/>
      <c r="Y1027" s="62"/>
      <c r="Z1027" s="66"/>
      <c r="AA1027" s="89"/>
      <c r="AB1027" s="69"/>
      <c r="AC1027" s="89"/>
      <c r="AD1027" s="89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9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9"/>
      <c r="P1028" s="69"/>
      <c r="Q1028" s="89"/>
      <c r="R1028" s="89"/>
      <c r="S1028" s="60"/>
      <c r="T1028" s="62"/>
      <c r="U1028" s="62"/>
      <c r="V1028" s="62"/>
      <c r="W1028" s="61"/>
      <c r="X1028" s="62"/>
      <c r="Y1028" s="62"/>
      <c r="Z1028" s="66"/>
      <c r="AA1028" s="89"/>
      <c r="AB1028" s="69"/>
      <c r="AC1028" s="89"/>
      <c r="AD1028" s="89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9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9"/>
      <c r="P1029" s="69"/>
      <c r="Q1029" s="89"/>
      <c r="R1029" s="89"/>
      <c r="S1029" s="60"/>
      <c r="T1029" s="62"/>
      <c r="U1029" s="62"/>
      <c r="V1029" s="62"/>
      <c r="W1029" s="61"/>
      <c r="X1029" s="62"/>
      <c r="Y1029" s="62"/>
      <c r="Z1029" s="66"/>
      <c r="AA1029" s="89"/>
      <c r="AB1029" s="69"/>
      <c r="AC1029" s="89"/>
      <c r="AD1029" s="89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9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9"/>
      <c r="P1030" s="69"/>
      <c r="Q1030" s="89"/>
      <c r="R1030" s="89"/>
      <c r="S1030" s="60"/>
      <c r="T1030" s="62"/>
      <c r="U1030" s="62"/>
      <c r="V1030" s="62"/>
      <c r="W1030" s="61"/>
      <c r="X1030" s="62"/>
      <c r="Y1030" s="62"/>
      <c r="Z1030" s="66"/>
      <c r="AA1030" s="89"/>
      <c r="AB1030" s="69"/>
      <c r="AC1030" s="89"/>
      <c r="AD1030" s="89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65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89"/>
      <c r="R1031" s="89"/>
      <c r="S1031" s="60"/>
      <c r="T1031" s="62"/>
      <c r="U1031" s="62"/>
      <c r="V1031" s="62"/>
      <c r="W1031" s="61"/>
      <c r="X1031" s="62"/>
      <c r="Y1031" s="62"/>
      <c r="Z1031" s="66"/>
      <c r="AA1031" s="89"/>
      <c r="AB1031" s="69"/>
      <c r="AC1031" s="89"/>
      <c r="AD1031" s="89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65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9"/>
      <c r="P1032" s="69"/>
      <c r="Q1032" s="89"/>
      <c r="R1032" s="89"/>
      <c r="S1032" s="60"/>
      <c r="T1032" s="62"/>
      <c r="U1032" s="62"/>
      <c r="V1032" s="62"/>
      <c r="W1032" s="61"/>
      <c r="X1032" s="62"/>
      <c r="Y1032" s="62"/>
      <c r="Z1032" s="66"/>
      <c r="AA1032" s="89"/>
      <c r="AB1032" s="69"/>
      <c r="AC1032" s="89"/>
      <c r="AD1032" s="89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65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9"/>
      <c r="P1033" s="69"/>
      <c r="Q1033" s="89"/>
      <c r="R1033" s="89"/>
      <c r="S1033" s="60"/>
      <c r="T1033" s="62"/>
      <c r="U1033" s="62"/>
      <c r="V1033" s="62"/>
      <c r="W1033" s="61"/>
      <c r="X1033" s="62"/>
      <c r="Y1033" s="62"/>
      <c r="Z1033" s="66"/>
      <c r="AA1033" s="89"/>
      <c r="AB1033" s="69"/>
      <c r="AC1033" s="89"/>
      <c r="AD1033" s="89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65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9"/>
      <c r="P1034" s="69"/>
      <c r="Q1034" s="89"/>
      <c r="R1034" s="89"/>
      <c r="S1034" s="60"/>
      <c r="T1034" s="62"/>
      <c r="U1034" s="62"/>
      <c r="V1034" s="62"/>
      <c r="W1034" s="61"/>
      <c r="X1034" s="62"/>
      <c r="Y1034" s="62"/>
      <c r="Z1034" s="66"/>
      <c r="AA1034" s="89"/>
      <c r="AB1034" s="69"/>
      <c r="AC1034" s="89"/>
      <c r="AD1034" s="89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65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9"/>
      <c r="P1035" s="69"/>
      <c r="Q1035" s="89"/>
      <c r="R1035" s="89"/>
      <c r="S1035" s="60"/>
      <c r="T1035" s="62"/>
      <c r="U1035" s="62"/>
      <c r="V1035" s="62"/>
      <c r="W1035" s="61"/>
      <c r="X1035" s="62"/>
      <c r="Y1035" s="62"/>
      <c r="Z1035" s="66"/>
      <c r="AA1035" s="89"/>
      <c r="AB1035" s="69"/>
      <c r="AC1035" s="89"/>
      <c r="AD1035" s="89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65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9"/>
      <c r="P1036" s="69"/>
      <c r="Q1036" s="89"/>
      <c r="R1036" s="89"/>
      <c r="S1036" s="60"/>
      <c r="T1036" s="62"/>
      <c r="U1036" s="62"/>
      <c r="V1036" s="62"/>
      <c r="W1036" s="61"/>
      <c r="X1036" s="62"/>
      <c r="Y1036" s="62"/>
      <c r="Z1036" s="66"/>
      <c r="AA1036" s="89"/>
      <c r="AB1036" s="69"/>
      <c r="AC1036" s="89"/>
      <c r="AD1036" s="89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65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9"/>
      <c r="P1037" s="69"/>
      <c r="Q1037" s="89"/>
      <c r="R1037" s="89"/>
      <c r="S1037" s="60"/>
      <c r="T1037" s="62"/>
      <c r="U1037" s="62"/>
      <c r="V1037" s="62"/>
      <c r="W1037" s="61"/>
      <c r="X1037" s="62"/>
      <c r="Y1037" s="62"/>
      <c r="Z1037" s="66"/>
      <c r="AA1037" s="89"/>
      <c r="AB1037" s="69"/>
      <c r="AC1037" s="89"/>
      <c r="AD1037" s="89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65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9"/>
      <c r="R1038" s="89"/>
      <c r="S1038" s="60"/>
      <c r="T1038" s="62"/>
      <c r="U1038" s="62"/>
      <c r="V1038" s="62"/>
      <c r="W1038" s="61"/>
      <c r="X1038" s="62"/>
      <c r="Y1038" s="62"/>
      <c r="Z1038" s="66"/>
      <c r="AA1038" s="89"/>
      <c r="AB1038" s="69"/>
      <c r="AC1038" s="89"/>
      <c r="AD1038" s="89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9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9"/>
      <c r="P1039" s="69"/>
      <c r="Q1039" s="89"/>
      <c r="R1039" s="89"/>
      <c r="S1039" s="60"/>
      <c r="T1039" s="62"/>
      <c r="U1039" s="62"/>
      <c r="V1039" s="62"/>
      <c r="W1039" s="61"/>
      <c r="X1039" s="62"/>
      <c r="Y1039" s="62"/>
      <c r="Z1039" s="66"/>
      <c r="AA1039" s="89"/>
      <c r="AB1039" s="69"/>
      <c r="AC1039" s="89"/>
      <c r="AD1039" s="89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9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9"/>
      <c r="P1040" s="69"/>
      <c r="Q1040" s="89"/>
      <c r="R1040" s="89"/>
      <c r="S1040" s="60"/>
      <c r="T1040" s="62"/>
      <c r="U1040" s="62"/>
      <c r="V1040" s="62"/>
      <c r="W1040" s="61"/>
      <c r="X1040" s="62"/>
      <c r="Y1040" s="62"/>
      <c r="Z1040" s="66"/>
      <c r="AA1040" s="89"/>
      <c r="AB1040" s="69"/>
      <c r="AC1040" s="89"/>
      <c r="AD1040" s="89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9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9"/>
      <c r="R1041" s="89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9"/>
      <c r="AD1041" s="89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9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9"/>
      <c r="P1042" s="69"/>
      <c r="Q1042" s="89"/>
      <c r="R1042" s="89"/>
      <c r="S1042" s="60"/>
      <c r="T1042" s="62"/>
      <c r="U1042" s="62"/>
      <c r="V1042" s="62"/>
      <c r="W1042" s="61"/>
      <c r="X1042" s="62"/>
      <c r="Y1042" s="62"/>
      <c r="Z1042" s="66"/>
      <c r="AA1042" s="89"/>
      <c r="AB1042" s="69"/>
      <c r="AC1042" s="89"/>
      <c r="AD1042" s="89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9"/>
      <c r="O1043" s="89"/>
      <c r="P1043" s="89"/>
      <c r="Q1043" s="89"/>
      <c r="R1043" s="89"/>
      <c r="S1043" s="89"/>
      <c r="T1043" s="62"/>
      <c r="U1043" s="62"/>
      <c r="V1043" s="62"/>
      <c r="W1043" s="61"/>
      <c r="X1043" s="62"/>
      <c r="Y1043" s="62"/>
      <c r="Z1043" s="89"/>
      <c r="AA1043" s="89"/>
      <c r="AB1043" s="89"/>
      <c r="AC1043" s="89"/>
      <c r="AD1043" s="89"/>
      <c r="AE1043" s="89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9"/>
      <c r="C1044" s="89"/>
      <c r="D1044" s="89"/>
      <c r="E1044" s="89"/>
      <c r="F1044" s="89"/>
      <c r="G1044" s="89"/>
      <c r="H1044" s="62"/>
      <c r="I1044" s="62"/>
      <c r="J1044" s="62"/>
      <c r="K1044" s="62"/>
      <c r="L1044" s="62"/>
      <c r="M1044" s="62"/>
      <c r="N1044" s="89"/>
      <c r="O1044" s="89"/>
      <c r="P1044" s="89"/>
      <c r="Q1044" s="89"/>
      <c r="R1044" s="89"/>
      <c r="S1044" s="89"/>
      <c r="T1044" s="62"/>
      <c r="U1044" s="62"/>
      <c r="V1044" s="62"/>
      <c r="W1044" s="62"/>
      <c r="X1044" s="62"/>
      <c r="Y1044" s="62"/>
      <c r="Z1044" s="89"/>
      <c r="AA1044" s="89"/>
      <c r="AB1044" s="89"/>
      <c r="AC1044" s="89"/>
      <c r="AD1044" s="89"/>
      <c r="AE1044" s="89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9"/>
      <c r="C1045" s="89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9"/>
      <c r="O1045" s="89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9"/>
      <c r="AA1045" s="89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9"/>
      <c r="C1047" s="89"/>
      <c r="D1047" s="89"/>
      <c r="E1047" s="89"/>
      <c r="F1047" s="89"/>
      <c r="G1047" s="89"/>
      <c r="H1047" s="62"/>
      <c r="I1047" s="62"/>
      <c r="J1047" s="62"/>
      <c r="K1047" s="62"/>
      <c r="L1047" s="62"/>
      <c r="M1047" s="62"/>
      <c r="N1047" s="89"/>
      <c r="O1047" s="89"/>
      <c r="P1047" s="89"/>
      <c r="Q1047" s="89"/>
      <c r="R1047" s="89"/>
      <c r="S1047" s="89"/>
      <c r="T1047" s="62"/>
      <c r="U1047" s="62"/>
      <c r="V1047" s="62"/>
      <c r="W1047" s="62"/>
      <c r="X1047" s="62"/>
      <c r="Y1047" s="62"/>
      <c r="Z1047" s="89"/>
      <c r="AA1047" s="89"/>
      <c r="AB1047" s="89"/>
      <c r="AC1047" s="89"/>
      <c r="AD1047" s="89"/>
      <c r="AE1047" s="89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9"/>
      <c r="C1048" s="89"/>
      <c r="D1048" s="89"/>
      <c r="E1048" s="89"/>
      <c r="F1048" s="89"/>
      <c r="G1048" s="89"/>
      <c r="H1048" s="62"/>
      <c r="I1048" s="62"/>
      <c r="J1048" s="62"/>
      <c r="K1048" s="62"/>
      <c r="L1048" s="62"/>
      <c r="M1048" s="62"/>
      <c r="N1048" s="89"/>
      <c r="O1048" s="89"/>
      <c r="P1048" s="89"/>
      <c r="Q1048" s="89"/>
      <c r="R1048" s="89"/>
      <c r="S1048" s="89"/>
      <c r="T1048" s="62"/>
      <c r="U1048" s="62"/>
      <c r="V1048" s="62"/>
      <c r="W1048" s="62"/>
      <c r="X1048" s="62"/>
      <c r="Y1048" s="62"/>
      <c r="Z1048" s="89"/>
      <c r="AA1048" s="89"/>
      <c r="AB1048" s="89"/>
      <c r="AC1048" s="89"/>
      <c r="AD1048" s="89"/>
      <c r="AE1048" s="89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9"/>
      <c r="C1049" s="89"/>
      <c r="D1049" s="89"/>
      <c r="E1049" s="89"/>
      <c r="F1049" s="89"/>
      <c r="G1049" s="89"/>
      <c r="H1049" s="62"/>
      <c r="I1049" s="62"/>
      <c r="J1049" s="62"/>
      <c r="K1049" s="62"/>
      <c r="L1049" s="62"/>
      <c r="M1049" s="62"/>
      <c r="N1049" s="89"/>
      <c r="O1049" s="89"/>
      <c r="P1049" s="89"/>
      <c r="Q1049" s="89"/>
      <c r="R1049" s="89"/>
      <c r="S1049" s="89"/>
      <c r="T1049" s="62"/>
      <c r="U1049" s="62"/>
      <c r="V1049" s="62"/>
      <c r="W1049" s="62"/>
      <c r="X1049" s="62"/>
      <c r="Y1049" s="62"/>
      <c r="Z1049" s="89"/>
      <c r="AA1049" s="89"/>
      <c r="AB1049" s="89"/>
      <c r="AC1049" s="89"/>
      <c r="AD1049" s="89"/>
      <c r="AE1049" s="89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9"/>
      <c r="C1050" s="89"/>
      <c r="D1050" s="89"/>
      <c r="E1050" s="89"/>
      <c r="F1050" s="89"/>
      <c r="G1050" s="89"/>
      <c r="H1050" s="62"/>
      <c r="I1050" s="62"/>
      <c r="J1050" s="62"/>
      <c r="K1050" s="62"/>
      <c r="L1050" s="62"/>
      <c r="M1050" s="63"/>
      <c r="N1050" s="89"/>
      <c r="O1050" s="89"/>
      <c r="P1050" s="89"/>
      <c r="Q1050" s="89"/>
      <c r="R1050" s="89"/>
      <c r="S1050" s="89"/>
      <c r="T1050" s="62"/>
      <c r="U1050" s="62"/>
      <c r="V1050" s="62"/>
      <c r="W1050" s="62"/>
      <c r="X1050" s="62"/>
      <c r="Y1050" s="63"/>
      <c r="Z1050" s="89"/>
      <c r="AA1050" s="89"/>
      <c r="AB1050" s="89"/>
      <c r="AC1050" s="89"/>
      <c r="AD1050" s="89"/>
      <c r="AE1050" s="89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9"/>
      <c r="C1051" s="89"/>
      <c r="D1051" s="89"/>
      <c r="E1051" s="89"/>
      <c r="F1051" s="89"/>
      <c r="G1051" s="89"/>
      <c r="H1051" s="62"/>
      <c r="I1051" s="62"/>
      <c r="J1051" s="62"/>
      <c r="K1051" s="62"/>
      <c r="L1051" s="62"/>
      <c r="M1051" s="62"/>
      <c r="N1051" s="89"/>
      <c r="O1051" s="89"/>
      <c r="P1051" s="89"/>
      <c r="Q1051" s="89"/>
      <c r="R1051" s="89"/>
      <c r="S1051" s="89"/>
      <c r="T1051" s="62"/>
      <c r="U1051" s="62"/>
      <c r="V1051" s="62"/>
      <c r="W1051" s="62"/>
      <c r="X1051" s="62"/>
      <c r="Y1051" s="62"/>
      <c r="Z1051" s="89"/>
      <c r="AA1051" s="89"/>
      <c r="AB1051" s="89"/>
      <c r="AC1051" s="89"/>
      <c r="AD1051" s="89"/>
      <c r="AE1051" s="89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9"/>
      <c r="C1052" s="89"/>
      <c r="D1052" s="89"/>
      <c r="E1052" s="89"/>
      <c r="F1052" s="89"/>
      <c r="G1052" s="89"/>
      <c r="H1052" s="62"/>
      <c r="I1052" s="89"/>
      <c r="J1052" s="74"/>
      <c r="K1052" s="62"/>
      <c r="L1052" s="62"/>
      <c r="M1052" s="62"/>
      <c r="N1052" s="89"/>
      <c r="O1052" s="89"/>
      <c r="P1052" s="89"/>
      <c r="Q1052" s="89"/>
      <c r="R1052" s="89"/>
      <c r="S1052" s="89"/>
      <c r="T1052" s="62"/>
      <c r="U1052" s="89"/>
      <c r="V1052" s="74"/>
      <c r="W1052" s="62"/>
      <c r="X1052" s="62"/>
      <c r="Y1052" s="62"/>
      <c r="Z1052" s="89"/>
      <c r="AA1052" s="89"/>
      <c r="AB1052" s="89"/>
      <c r="AC1052" s="89"/>
      <c r="AD1052" s="89"/>
      <c r="AE1052" s="89"/>
      <c r="AF1052" s="62"/>
      <c r="AG1052" s="89"/>
      <c r="AH1052" s="89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9"/>
      <c r="C1053" s="89"/>
      <c r="D1053" s="89"/>
      <c r="E1053" s="89"/>
      <c r="F1053" s="89"/>
      <c r="G1053" s="89"/>
      <c r="H1053" s="62"/>
      <c r="I1053" s="65"/>
      <c r="J1053" s="65"/>
      <c r="K1053" s="62"/>
      <c r="L1053" s="62"/>
      <c r="M1053" s="64"/>
      <c r="N1053" s="89"/>
      <c r="O1053" s="89"/>
      <c r="P1053" s="89"/>
      <c r="Q1053" s="89"/>
      <c r="R1053" s="89"/>
      <c r="S1053" s="89"/>
      <c r="T1053" s="62"/>
      <c r="U1053" s="65"/>
      <c r="V1053" s="65"/>
      <c r="W1053" s="62"/>
      <c r="X1053" s="62"/>
      <c r="Y1053" s="64"/>
      <c r="Z1053" s="89"/>
      <c r="AA1053" s="89"/>
      <c r="AB1053" s="89"/>
      <c r="AC1053" s="89"/>
      <c r="AD1053" s="89"/>
      <c r="AE1053" s="89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9"/>
      <c r="C1054" s="89"/>
      <c r="D1054" s="89"/>
      <c r="E1054" s="89"/>
      <c r="F1054" s="89"/>
      <c r="G1054" s="89"/>
      <c r="H1054" s="62"/>
      <c r="I1054" s="62"/>
      <c r="J1054" s="62"/>
      <c r="K1054" s="62"/>
      <c r="L1054" s="62"/>
      <c r="M1054" s="62"/>
      <c r="N1054" s="89"/>
      <c r="O1054" s="89"/>
      <c r="P1054" s="89"/>
      <c r="Q1054" s="89"/>
      <c r="R1054" s="89"/>
      <c r="S1054" s="89"/>
      <c r="T1054" s="62"/>
      <c r="U1054" s="62"/>
      <c r="V1054" s="62"/>
      <c r="W1054" s="62"/>
      <c r="X1054" s="62"/>
      <c r="Y1054" s="62"/>
      <c r="Z1054" s="89"/>
      <c r="AA1054" s="89"/>
      <c r="AB1054" s="89"/>
      <c r="AC1054" s="89"/>
      <c r="AD1054" s="89"/>
      <c r="AE1054" s="89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9"/>
      <c r="D1055" s="106"/>
      <c r="E1055" s="106"/>
      <c r="F1055" s="89"/>
      <c r="G1055" s="89"/>
      <c r="H1055" s="62"/>
      <c r="I1055" s="106"/>
      <c r="J1055" s="106"/>
      <c r="K1055" s="105"/>
      <c r="L1055" s="62"/>
      <c r="M1055" s="62"/>
      <c r="N1055" s="65"/>
      <c r="O1055" s="89"/>
      <c r="P1055" s="106"/>
      <c r="Q1055" s="106"/>
      <c r="R1055" s="89"/>
      <c r="S1055" s="89"/>
      <c r="T1055" s="62"/>
      <c r="U1055" s="106"/>
      <c r="V1055" s="106"/>
      <c r="W1055" s="105"/>
      <c r="X1055" s="62"/>
      <c r="Y1055" s="62"/>
      <c r="Z1055" s="65"/>
      <c r="AA1055" s="89"/>
      <c r="AB1055" s="106"/>
      <c r="AC1055" s="106"/>
      <c r="AD1055" s="89"/>
      <c r="AE1055" s="89"/>
      <c r="AF1055" s="62"/>
      <c r="AG1055" s="106"/>
      <c r="AH1055" s="106"/>
      <c r="AI1055" s="105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9"/>
      <c r="C1056" s="89"/>
      <c r="D1056" s="81"/>
      <c r="E1056" s="82"/>
      <c r="F1056" s="83"/>
      <c r="G1056" s="83"/>
      <c r="H1056" s="62"/>
      <c r="I1056" s="88"/>
      <c r="J1056" s="88"/>
      <c r="K1056" s="105"/>
      <c r="L1056" s="62"/>
      <c r="M1056" s="62"/>
      <c r="N1056" s="89"/>
      <c r="O1056" s="89"/>
      <c r="P1056" s="81"/>
      <c r="Q1056" s="83"/>
      <c r="R1056" s="83"/>
      <c r="S1056" s="83"/>
      <c r="T1056" s="62"/>
      <c r="U1056" s="88"/>
      <c r="V1056" s="88"/>
      <c r="W1056" s="105"/>
      <c r="X1056" s="62"/>
      <c r="Y1056" s="62"/>
      <c r="Z1056" s="89"/>
      <c r="AA1056" s="89"/>
      <c r="AB1056" s="81"/>
      <c r="AC1056" s="83"/>
      <c r="AD1056" s="83"/>
      <c r="AE1056" s="83"/>
      <c r="AF1056" s="62"/>
      <c r="AG1056" s="88"/>
      <c r="AH1056" s="88"/>
      <c r="AI1056" s="105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9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9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9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9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9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9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9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9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9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9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9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65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9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9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9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9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9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9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9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9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9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9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9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62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9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9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9"/>
      <c r="AB1065" s="9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9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9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9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9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9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9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9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2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65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9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9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9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9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9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9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9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9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9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9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9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9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9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9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9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65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9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9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9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9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9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9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9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9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89"/>
      <c r="R1077" s="89"/>
      <c r="S1077" s="60"/>
      <c r="T1077" s="62"/>
      <c r="U1077" s="62"/>
      <c r="V1077" s="62"/>
      <c r="W1077" s="61"/>
      <c r="X1077" s="62"/>
      <c r="Y1077" s="62"/>
      <c r="Z1077" s="66"/>
      <c r="AA1077" s="89"/>
      <c r="AB1077" s="67"/>
      <c r="AC1077" s="89"/>
      <c r="AD1077" s="89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9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9"/>
      <c r="P1078" s="68"/>
      <c r="Q1078" s="89"/>
      <c r="R1078" s="89"/>
      <c r="S1078" s="60"/>
      <c r="T1078" s="62"/>
      <c r="U1078" s="62"/>
      <c r="V1078" s="62"/>
      <c r="W1078" s="61"/>
      <c r="X1078" s="62"/>
      <c r="Y1078" s="62"/>
      <c r="Z1078" s="66"/>
      <c r="AA1078" s="89"/>
      <c r="AB1078" s="68"/>
      <c r="AC1078" s="89"/>
      <c r="AD1078" s="89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9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9"/>
      <c r="P1079" s="69"/>
      <c r="Q1079" s="89"/>
      <c r="R1079" s="62"/>
      <c r="S1079" s="60"/>
      <c r="T1079" s="62"/>
      <c r="U1079" s="62"/>
      <c r="V1079" s="62"/>
      <c r="W1079" s="61"/>
      <c r="X1079" s="62"/>
      <c r="Y1079" s="62"/>
      <c r="Z1079" s="66"/>
      <c r="AA1079" s="89"/>
      <c r="AB1079" s="69"/>
      <c r="AC1079" s="62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9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9"/>
      <c r="P1080" s="69"/>
      <c r="Q1080" s="89"/>
      <c r="R1080" s="89"/>
      <c r="S1080" s="60"/>
      <c r="T1080" s="62"/>
      <c r="U1080" s="62"/>
      <c r="V1080" s="62"/>
      <c r="W1080" s="61"/>
      <c r="X1080" s="62"/>
      <c r="Y1080" s="62"/>
      <c r="Z1080" s="66"/>
      <c r="AA1080" s="89"/>
      <c r="AB1080" s="69"/>
      <c r="AC1080" s="89"/>
      <c r="AD1080" s="89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9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9"/>
      <c r="P1081" s="69"/>
      <c r="Q1081" s="89"/>
      <c r="R1081" s="89"/>
      <c r="S1081" s="60"/>
      <c r="T1081" s="62"/>
      <c r="U1081" s="62"/>
      <c r="V1081" s="62"/>
      <c r="W1081" s="61"/>
      <c r="X1081" s="62"/>
      <c r="Y1081" s="62"/>
      <c r="Z1081" s="66"/>
      <c r="AA1081" s="89"/>
      <c r="AB1081" s="69"/>
      <c r="AC1081" s="89"/>
      <c r="AD1081" s="89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9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89"/>
      <c r="R1082" s="89"/>
      <c r="S1082" s="60"/>
      <c r="T1082" s="62"/>
      <c r="U1082" s="62"/>
      <c r="V1082" s="62"/>
      <c r="W1082" s="61"/>
      <c r="X1082" s="62"/>
      <c r="Y1082" s="62"/>
      <c r="Z1082" s="66"/>
      <c r="AA1082" s="89"/>
      <c r="AB1082" s="69"/>
      <c r="AC1082" s="89"/>
      <c r="AD1082" s="89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9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9"/>
      <c r="P1083" s="69"/>
      <c r="Q1083" s="89"/>
      <c r="R1083" s="89"/>
      <c r="S1083" s="60"/>
      <c r="T1083" s="62"/>
      <c r="U1083" s="62"/>
      <c r="V1083" s="62"/>
      <c r="W1083" s="61"/>
      <c r="X1083" s="62"/>
      <c r="Y1083" s="62"/>
      <c r="Z1083" s="66"/>
      <c r="AA1083" s="89"/>
      <c r="AB1083" s="69"/>
      <c r="AC1083" s="89"/>
      <c r="AD1083" s="89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9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9"/>
      <c r="P1084" s="69"/>
      <c r="Q1084" s="89"/>
      <c r="R1084" s="89"/>
      <c r="S1084" s="60"/>
      <c r="T1084" s="62"/>
      <c r="U1084" s="62"/>
      <c r="V1084" s="62"/>
      <c r="W1084" s="61"/>
      <c r="X1084" s="62"/>
      <c r="Y1084" s="62"/>
      <c r="Z1084" s="66"/>
      <c r="AA1084" s="89"/>
      <c r="AB1084" s="69"/>
      <c r="AC1084" s="89"/>
      <c r="AD1084" s="89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9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9"/>
      <c r="P1085" s="69"/>
      <c r="Q1085" s="89"/>
      <c r="R1085" s="89"/>
      <c r="S1085" s="60"/>
      <c r="T1085" s="62"/>
      <c r="U1085" s="62"/>
      <c r="V1085" s="62"/>
      <c r="W1085" s="61"/>
      <c r="X1085" s="62"/>
      <c r="Y1085" s="62"/>
      <c r="Z1085" s="66"/>
      <c r="AA1085" s="89"/>
      <c r="AB1085" s="69"/>
      <c r="AC1085" s="89"/>
      <c r="AD1085" s="89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65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89"/>
      <c r="R1086" s="89"/>
      <c r="S1086" s="60"/>
      <c r="T1086" s="62"/>
      <c r="U1086" s="62"/>
      <c r="V1086" s="62"/>
      <c r="W1086" s="61"/>
      <c r="X1086" s="62"/>
      <c r="Y1086" s="62"/>
      <c r="Z1086" s="66"/>
      <c r="AA1086" s="89"/>
      <c r="AB1086" s="69"/>
      <c r="AC1086" s="89"/>
      <c r="AD1086" s="89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65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9"/>
      <c r="P1087" s="69"/>
      <c r="Q1087" s="89"/>
      <c r="R1087" s="89"/>
      <c r="S1087" s="60"/>
      <c r="T1087" s="62"/>
      <c r="U1087" s="62"/>
      <c r="V1087" s="62"/>
      <c r="W1087" s="61"/>
      <c r="X1087" s="62"/>
      <c r="Y1087" s="62"/>
      <c r="Z1087" s="66"/>
      <c r="AA1087" s="89"/>
      <c r="AB1087" s="69"/>
      <c r="AC1087" s="89"/>
      <c r="AD1087" s="89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65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9"/>
      <c r="P1088" s="69"/>
      <c r="Q1088" s="89"/>
      <c r="R1088" s="89"/>
      <c r="S1088" s="60"/>
      <c r="T1088" s="62"/>
      <c r="U1088" s="62"/>
      <c r="V1088" s="62"/>
      <c r="W1088" s="61"/>
      <c r="X1088" s="62"/>
      <c r="Y1088" s="62"/>
      <c r="Z1088" s="66"/>
      <c r="AA1088" s="89"/>
      <c r="AB1088" s="69"/>
      <c r="AC1088" s="89"/>
      <c r="AD1088" s="89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65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9"/>
      <c r="P1089" s="69"/>
      <c r="Q1089" s="89"/>
      <c r="R1089" s="89"/>
      <c r="S1089" s="60"/>
      <c r="T1089" s="62"/>
      <c r="U1089" s="62"/>
      <c r="V1089" s="62"/>
      <c r="W1089" s="61"/>
      <c r="X1089" s="62"/>
      <c r="Y1089" s="62"/>
      <c r="Z1089" s="66"/>
      <c r="AA1089" s="89"/>
      <c r="AB1089" s="69"/>
      <c r="AC1089" s="89"/>
      <c r="AD1089" s="89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65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9"/>
      <c r="P1090" s="69"/>
      <c r="Q1090" s="89"/>
      <c r="R1090" s="89"/>
      <c r="S1090" s="60"/>
      <c r="T1090" s="62"/>
      <c r="U1090" s="62"/>
      <c r="V1090" s="62"/>
      <c r="W1090" s="61"/>
      <c r="X1090" s="62"/>
      <c r="Y1090" s="62"/>
      <c r="Z1090" s="66"/>
      <c r="AA1090" s="89"/>
      <c r="AB1090" s="69"/>
      <c r="AC1090" s="89"/>
      <c r="AD1090" s="89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65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9"/>
      <c r="P1091" s="69"/>
      <c r="Q1091" s="89"/>
      <c r="R1091" s="89"/>
      <c r="S1091" s="60"/>
      <c r="T1091" s="62"/>
      <c r="U1091" s="62"/>
      <c r="V1091" s="62"/>
      <c r="W1091" s="61"/>
      <c r="X1091" s="62"/>
      <c r="Y1091" s="62"/>
      <c r="Z1091" s="66"/>
      <c r="AA1091" s="89"/>
      <c r="AB1091" s="69"/>
      <c r="AC1091" s="89"/>
      <c r="AD1091" s="89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65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9"/>
      <c r="P1092" s="69"/>
      <c r="Q1092" s="89"/>
      <c r="R1092" s="89"/>
      <c r="S1092" s="60"/>
      <c r="T1092" s="62"/>
      <c r="U1092" s="62"/>
      <c r="V1092" s="62"/>
      <c r="W1092" s="61"/>
      <c r="X1092" s="62"/>
      <c r="Y1092" s="62"/>
      <c r="Z1092" s="66"/>
      <c r="AA1092" s="89"/>
      <c r="AB1092" s="69"/>
      <c r="AC1092" s="89"/>
      <c r="AD1092" s="89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65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9"/>
      <c r="R1093" s="89"/>
      <c r="S1093" s="60"/>
      <c r="T1093" s="62"/>
      <c r="U1093" s="62"/>
      <c r="V1093" s="62"/>
      <c r="W1093" s="61"/>
      <c r="X1093" s="62"/>
      <c r="Y1093" s="62"/>
      <c r="Z1093" s="66"/>
      <c r="AA1093" s="89"/>
      <c r="AB1093" s="69"/>
      <c r="AC1093" s="89"/>
      <c r="AD1093" s="89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9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9"/>
      <c r="P1094" s="69"/>
      <c r="Q1094" s="89"/>
      <c r="R1094" s="89"/>
      <c r="S1094" s="60"/>
      <c r="T1094" s="62"/>
      <c r="U1094" s="62"/>
      <c r="V1094" s="62"/>
      <c r="W1094" s="61"/>
      <c r="X1094" s="62"/>
      <c r="Y1094" s="62"/>
      <c r="Z1094" s="66"/>
      <c r="AA1094" s="89"/>
      <c r="AB1094" s="69"/>
      <c r="AC1094" s="89"/>
      <c r="AD1094" s="89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9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9"/>
      <c r="P1095" s="69"/>
      <c r="Q1095" s="89"/>
      <c r="R1095" s="89"/>
      <c r="S1095" s="60"/>
      <c r="T1095" s="62"/>
      <c r="U1095" s="62"/>
      <c r="V1095" s="62"/>
      <c r="W1095" s="61"/>
      <c r="X1095" s="62"/>
      <c r="Y1095" s="62"/>
      <c r="Z1095" s="66"/>
      <c r="AA1095" s="89"/>
      <c r="AB1095" s="69"/>
      <c r="AC1095" s="89"/>
      <c r="AD1095" s="89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9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9"/>
      <c r="R1096" s="89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9"/>
      <c r="AD1096" s="89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9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9"/>
      <c r="P1097" s="69"/>
      <c r="Q1097" s="89"/>
      <c r="R1097" s="89"/>
      <c r="S1097" s="60"/>
      <c r="T1097" s="62"/>
      <c r="U1097" s="62"/>
      <c r="V1097" s="62"/>
      <c r="W1097" s="61"/>
      <c r="X1097" s="62"/>
      <c r="Y1097" s="62"/>
      <c r="Z1097" s="66"/>
      <c r="AA1097" s="89"/>
      <c r="AB1097" s="69"/>
      <c r="AC1097" s="89"/>
      <c r="AD1097" s="89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9"/>
      <c r="O1098" s="89"/>
      <c r="P1098" s="89"/>
      <c r="Q1098" s="89"/>
      <c r="R1098" s="89"/>
      <c r="S1098" s="89"/>
      <c r="T1098" s="62"/>
      <c r="U1098" s="62"/>
      <c r="V1098" s="62"/>
      <c r="W1098" s="61"/>
      <c r="X1098" s="62"/>
      <c r="Y1098" s="62"/>
      <c r="Z1098" s="89"/>
      <c r="AA1098" s="89"/>
      <c r="AB1098" s="89"/>
      <c r="AC1098" s="89"/>
      <c r="AD1098" s="89"/>
      <c r="AE1098" s="89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9"/>
      <c r="C1099" s="89"/>
      <c r="D1099" s="89"/>
      <c r="E1099" s="89"/>
      <c r="F1099" s="89"/>
      <c r="G1099" s="89"/>
      <c r="H1099" s="62"/>
      <c r="I1099" s="62"/>
      <c r="J1099" s="62"/>
      <c r="K1099" s="62"/>
      <c r="L1099" s="62"/>
      <c r="M1099" s="62"/>
      <c r="N1099" s="89"/>
      <c r="O1099" s="89"/>
      <c r="P1099" s="89"/>
      <c r="Q1099" s="89"/>
      <c r="R1099" s="89"/>
      <c r="S1099" s="89"/>
      <c r="T1099" s="62"/>
      <c r="U1099" s="62"/>
      <c r="V1099" s="62"/>
      <c r="W1099" s="62"/>
      <c r="X1099" s="62"/>
      <c r="Y1099" s="62"/>
      <c r="Z1099" s="89"/>
      <c r="AA1099" s="89"/>
      <c r="AB1099" s="89"/>
      <c r="AC1099" s="89"/>
      <c r="AD1099" s="89"/>
      <c r="AE1099" s="89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9"/>
      <c r="C1100" s="89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9"/>
      <c r="O1100" s="89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9"/>
      <c r="AA1100" s="89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9"/>
      <c r="C1102" s="89"/>
      <c r="D1102" s="89"/>
      <c r="E1102" s="89"/>
      <c r="F1102" s="89"/>
      <c r="G1102" s="89"/>
      <c r="H1102" s="62"/>
      <c r="I1102" s="62"/>
      <c r="J1102" s="62"/>
      <c r="K1102" s="62"/>
      <c r="L1102" s="62"/>
      <c r="M1102" s="62"/>
      <c r="N1102" s="89"/>
      <c r="O1102" s="89"/>
      <c r="P1102" s="89"/>
      <c r="Q1102" s="89"/>
      <c r="R1102" s="89"/>
      <c r="S1102" s="89"/>
      <c r="T1102" s="62"/>
      <c r="U1102" s="62"/>
      <c r="V1102" s="62"/>
      <c r="W1102" s="62"/>
      <c r="X1102" s="62"/>
      <c r="Y1102" s="62"/>
      <c r="Z1102" s="89"/>
      <c r="AA1102" s="89"/>
      <c r="AB1102" s="89"/>
      <c r="AC1102" s="89"/>
      <c r="AD1102" s="89"/>
      <c r="AE1102" s="89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9"/>
      <c r="C1103" s="89"/>
      <c r="D1103" s="89"/>
      <c r="E1103" s="89"/>
      <c r="F1103" s="89"/>
      <c r="G1103" s="89"/>
      <c r="H1103" s="62"/>
      <c r="I1103" s="62"/>
      <c r="J1103" s="62"/>
      <c r="K1103" s="62"/>
      <c r="L1103" s="62"/>
      <c r="M1103" s="62"/>
      <c r="N1103" s="89"/>
      <c r="O1103" s="89"/>
      <c r="P1103" s="89"/>
      <c r="Q1103" s="89"/>
      <c r="R1103" s="89"/>
      <c r="S1103" s="89"/>
      <c r="T1103" s="62"/>
      <c r="U1103" s="62"/>
      <c r="V1103" s="62"/>
      <c r="W1103" s="62"/>
      <c r="X1103" s="62"/>
      <c r="Y1103" s="62"/>
      <c r="Z1103" s="89"/>
      <c r="AA1103" s="89"/>
      <c r="AB1103" s="89"/>
      <c r="AC1103" s="89"/>
      <c r="AD1103" s="89"/>
      <c r="AE1103" s="89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9"/>
      <c r="C1104" s="89"/>
      <c r="D1104" s="89"/>
      <c r="E1104" s="89"/>
      <c r="F1104" s="89"/>
      <c r="G1104" s="89"/>
      <c r="H1104" s="62"/>
      <c r="I1104" s="62"/>
      <c r="J1104" s="62"/>
      <c r="K1104" s="62"/>
      <c r="L1104" s="62"/>
      <c r="M1104" s="62"/>
      <c r="N1104" s="89"/>
      <c r="O1104" s="89"/>
      <c r="P1104" s="89"/>
      <c r="Q1104" s="89"/>
      <c r="R1104" s="89"/>
      <c r="S1104" s="89"/>
      <c r="T1104" s="62"/>
      <c r="U1104" s="62"/>
      <c r="V1104" s="62"/>
      <c r="W1104" s="62"/>
      <c r="X1104" s="62"/>
      <c r="Y1104" s="62"/>
      <c r="Z1104" s="89"/>
      <c r="AA1104" s="89"/>
      <c r="AB1104" s="89"/>
      <c r="AC1104" s="89"/>
      <c r="AD1104" s="89"/>
      <c r="AE1104" s="89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9"/>
      <c r="C1105" s="89"/>
      <c r="D1105" s="89"/>
      <c r="E1105" s="89"/>
      <c r="F1105" s="89"/>
      <c r="G1105" s="89"/>
      <c r="H1105" s="62"/>
      <c r="I1105" s="62"/>
      <c r="J1105" s="62"/>
      <c r="K1105" s="62"/>
      <c r="L1105" s="62"/>
      <c r="M1105" s="63"/>
      <c r="N1105" s="89"/>
      <c r="O1105" s="89"/>
      <c r="P1105" s="89"/>
      <c r="Q1105" s="89"/>
      <c r="R1105" s="89"/>
      <c r="S1105" s="89"/>
      <c r="T1105" s="62"/>
      <c r="U1105" s="62"/>
      <c r="V1105" s="62"/>
      <c r="W1105" s="62"/>
      <c r="X1105" s="62"/>
      <c r="Y1105" s="63"/>
      <c r="Z1105" s="89"/>
      <c r="AA1105" s="89"/>
      <c r="AB1105" s="89"/>
      <c r="AC1105" s="89"/>
      <c r="AD1105" s="89"/>
      <c r="AE1105" s="89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9"/>
      <c r="C1106" s="89"/>
      <c r="D1106" s="89"/>
      <c r="E1106" s="89"/>
      <c r="F1106" s="89"/>
      <c r="G1106" s="89"/>
      <c r="H1106" s="62"/>
      <c r="I1106" s="62"/>
      <c r="J1106" s="62"/>
      <c r="K1106" s="62"/>
      <c r="L1106" s="62"/>
      <c r="M1106" s="62"/>
      <c r="N1106" s="89"/>
      <c r="O1106" s="89"/>
      <c r="P1106" s="89"/>
      <c r="Q1106" s="89"/>
      <c r="R1106" s="89"/>
      <c r="S1106" s="89"/>
      <c r="T1106" s="62"/>
      <c r="U1106" s="62"/>
      <c r="V1106" s="62"/>
      <c r="W1106" s="62"/>
      <c r="X1106" s="62"/>
      <c r="Y1106" s="62"/>
      <c r="Z1106" s="89"/>
      <c r="AA1106" s="89"/>
      <c r="AB1106" s="89"/>
      <c r="AC1106" s="89"/>
      <c r="AD1106" s="89"/>
      <c r="AE1106" s="89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9"/>
      <c r="C1107" s="89"/>
      <c r="D1107" s="89"/>
      <c r="E1107" s="89"/>
      <c r="F1107" s="89"/>
      <c r="G1107" s="89"/>
      <c r="H1107" s="62"/>
      <c r="I1107" s="89"/>
      <c r="J1107" s="74"/>
      <c r="K1107" s="62"/>
      <c r="L1107" s="62"/>
      <c r="M1107" s="62"/>
      <c r="N1107" s="89"/>
      <c r="O1107" s="89"/>
      <c r="P1107" s="89"/>
      <c r="Q1107" s="89"/>
      <c r="R1107" s="89"/>
      <c r="S1107" s="89"/>
      <c r="T1107" s="62"/>
      <c r="U1107" s="89"/>
      <c r="V1107" s="74"/>
      <c r="W1107" s="62"/>
      <c r="X1107" s="62"/>
      <c r="Y1107" s="62"/>
      <c r="Z1107" s="89"/>
      <c r="AA1107" s="89"/>
      <c r="AB1107" s="89"/>
      <c r="AC1107" s="89"/>
      <c r="AD1107" s="89"/>
      <c r="AE1107" s="89"/>
      <c r="AF1107" s="62"/>
      <c r="AG1107" s="89"/>
      <c r="AH1107" s="89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9"/>
      <c r="C1108" s="89"/>
      <c r="D1108" s="89"/>
      <c r="E1108" s="89"/>
      <c r="F1108" s="89"/>
      <c r="G1108" s="89"/>
      <c r="H1108" s="62"/>
      <c r="I1108" s="65"/>
      <c r="J1108" s="65"/>
      <c r="K1108" s="62"/>
      <c r="L1108" s="62"/>
      <c r="M1108" s="64"/>
      <c r="N1108" s="89"/>
      <c r="O1108" s="89"/>
      <c r="P1108" s="89"/>
      <c r="Q1108" s="89"/>
      <c r="R1108" s="89"/>
      <c r="S1108" s="89"/>
      <c r="T1108" s="62"/>
      <c r="U1108" s="65"/>
      <c r="V1108" s="65"/>
      <c r="W1108" s="62"/>
      <c r="X1108" s="62"/>
      <c r="Y1108" s="64"/>
      <c r="Z1108" s="89"/>
      <c r="AA1108" s="89"/>
      <c r="AB1108" s="89"/>
      <c r="AC1108" s="89"/>
      <c r="AD1108" s="89"/>
      <c r="AE1108" s="89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9"/>
      <c r="C1109" s="89"/>
      <c r="D1109" s="89"/>
      <c r="E1109" s="89"/>
      <c r="F1109" s="89"/>
      <c r="G1109" s="89"/>
      <c r="H1109" s="62"/>
      <c r="I1109" s="62"/>
      <c r="J1109" s="62"/>
      <c r="K1109" s="62"/>
      <c r="L1109" s="62"/>
      <c r="M1109" s="62"/>
      <c r="N1109" s="89"/>
      <c r="O1109" s="89"/>
      <c r="P1109" s="89"/>
      <c r="Q1109" s="89"/>
      <c r="R1109" s="89"/>
      <c r="S1109" s="89"/>
      <c r="T1109" s="62"/>
      <c r="U1109" s="62"/>
      <c r="V1109" s="62"/>
      <c r="W1109" s="62"/>
      <c r="X1109" s="62"/>
      <c r="Y1109" s="62"/>
      <c r="Z1109" s="89"/>
      <c r="AA1109" s="89"/>
      <c r="AB1109" s="89"/>
      <c r="AC1109" s="89"/>
      <c r="AD1109" s="89"/>
      <c r="AE1109" s="89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9"/>
      <c r="D1110" s="106"/>
      <c r="E1110" s="106"/>
      <c r="F1110" s="89"/>
      <c r="G1110" s="89"/>
      <c r="H1110" s="62"/>
      <c r="I1110" s="106"/>
      <c r="J1110" s="106"/>
      <c r="K1110" s="105"/>
      <c r="L1110" s="62"/>
      <c r="M1110" s="62"/>
      <c r="N1110" s="65"/>
      <c r="O1110" s="89"/>
      <c r="P1110" s="106"/>
      <c r="Q1110" s="106"/>
      <c r="R1110" s="89"/>
      <c r="S1110" s="89"/>
      <c r="T1110" s="62"/>
      <c r="U1110" s="106"/>
      <c r="V1110" s="106"/>
      <c r="W1110" s="105"/>
      <c r="X1110" s="62"/>
      <c r="Y1110" s="62"/>
      <c r="Z1110" s="65"/>
      <c r="AA1110" s="89"/>
      <c r="AB1110" s="106"/>
      <c r="AC1110" s="106"/>
      <c r="AD1110" s="89"/>
      <c r="AE1110" s="89"/>
      <c r="AF1110" s="62"/>
      <c r="AG1110" s="106"/>
      <c r="AH1110" s="106"/>
      <c r="AI1110" s="105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9"/>
      <c r="C1111" s="89"/>
      <c r="D1111" s="81"/>
      <c r="E1111" s="82"/>
      <c r="F1111" s="83"/>
      <c r="G1111" s="83"/>
      <c r="H1111" s="62"/>
      <c r="I1111" s="88"/>
      <c r="J1111" s="88"/>
      <c r="K1111" s="105"/>
      <c r="L1111" s="62"/>
      <c r="M1111" s="62"/>
      <c r="N1111" s="89"/>
      <c r="O1111" s="89"/>
      <c r="P1111" s="81"/>
      <c r="Q1111" s="83"/>
      <c r="R1111" s="83"/>
      <c r="S1111" s="83"/>
      <c r="T1111" s="62"/>
      <c r="U1111" s="88"/>
      <c r="V1111" s="88"/>
      <c r="W1111" s="105"/>
      <c r="X1111" s="62"/>
      <c r="Y1111" s="62"/>
      <c r="Z1111" s="89"/>
      <c r="AA1111" s="89"/>
      <c r="AB1111" s="81"/>
      <c r="AC1111" s="83"/>
      <c r="AD1111" s="83"/>
      <c r="AE1111" s="83"/>
      <c r="AF1111" s="62"/>
      <c r="AG1111" s="88"/>
      <c r="AH1111" s="88"/>
      <c r="AI1111" s="105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9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9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9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9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9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9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9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9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9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9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9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9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9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9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9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89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9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9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9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9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9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2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9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9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9"/>
      <c r="AB1120" s="9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9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9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9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9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62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9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9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65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9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9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9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9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9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9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9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9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9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9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9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9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9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9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9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9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9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9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9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9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9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9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9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9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89"/>
      <c r="R1132" s="89"/>
      <c r="S1132" s="60"/>
      <c r="T1132" s="62"/>
      <c r="U1132" s="62"/>
      <c r="V1132" s="62"/>
      <c r="W1132" s="61"/>
      <c r="X1132" s="62"/>
      <c r="Y1132" s="62"/>
      <c r="Z1132" s="66"/>
      <c r="AA1132" s="89"/>
      <c r="AB1132" s="67"/>
      <c r="AC1132" s="89"/>
      <c r="AD1132" s="89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9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9"/>
      <c r="P1133" s="68"/>
      <c r="Q1133" s="89"/>
      <c r="R1133" s="89"/>
      <c r="S1133" s="60"/>
      <c r="T1133" s="62"/>
      <c r="U1133" s="62"/>
      <c r="V1133" s="62"/>
      <c r="W1133" s="61"/>
      <c r="X1133" s="62"/>
      <c r="Y1133" s="62"/>
      <c r="Z1133" s="66"/>
      <c r="AA1133" s="89"/>
      <c r="AB1133" s="68"/>
      <c r="AC1133" s="89"/>
      <c r="AD1133" s="89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9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9"/>
      <c r="P1134" s="69"/>
      <c r="Q1134" s="89"/>
      <c r="R1134" s="62"/>
      <c r="S1134" s="60"/>
      <c r="T1134" s="62"/>
      <c r="U1134" s="62"/>
      <c r="V1134" s="62"/>
      <c r="W1134" s="61"/>
      <c r="X1134" s="62"/>
      <c r="Y1134" s="62"/>
      <c r="Z1134" s="66"/>
      <c r="AA1134" s="89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9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9"/>
      <c r="P1135" s="69"/>
      <c r="Q1135" s="89"/>
      <c r="R1135" s="89"/>
      <c r="S1135" s="60"/>
      <c r="T1135" s="62"/>
      <c r="U1135" s="62"/>
      <c r="V1135" s="62"/>
      <c r="W1135" s="61"/>
      <c r="X1135" s="62"/>
      <c r="Y1135" s="62"/>
      <c r="Z1135" s="66"/>
      <c r="AA1135" s="89"/>
      <c r="AB1135" s="69"/>
      <c r="AC1135" s="89"/>
      <c r="AD1135" s="89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9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9"/>
      <c r="P1136" s="69"/>
      <c r="Q1136" s="89"/>
      <c r="R1136" s="89"/>
      <c r="S1136" s="60"/>
      <c r="T1136" s="62"/>
      <c r="U1136" s="62"/>
      <c r="V1136" s="62"/>
      <c r="W1136" s="61"/>
      <c r="X1136" s="62"/>
      <c r="Y1136" s="62"/>
      <c r="Z1136" s="66"/>
      <c r="AA1136" s="89"/>
      <c r="AB1136" s="69"/>
      <c r="AC1136" s="89"/>
      <c r="AD1136" s="89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9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89"/>
      <c r="R1137" s="89"/>
      <c r="S1137" s="60"/>
      <c r="T1137" s="62"/>
      <c r="U1137" s="62"/>
      <c r="V1137" s="62"/>
      <c r="W1137" s="61"/>
      <c r="X1137" s="62"/>
      <c r="Y1137" s="62"/>
      <c r="Z1137" s="66"/>
      <c r="AA1137" s="89"/>
      <c r="AB1137" s="69"/>
      <c r="AC1137" s="89"/>
      <c r="AD1137" s="89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9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9"/>
      <c r="P1138" s="69"/>
      <c r="Q1138" s="89"/>
      <c r="R1138" s="89"/>
      <c r="S1138" s="60"/>
      <c r="T1138" s="62"/>
      <c r="U1138" s="62"/>
      <c r="V1138" s="62"/>
      <c r="W1138" s="61"/>
      <c r="X1138" s="62"/>
      <c r="Y1138" s="62"/>
      <c r="Z1138" s="66"/>
      <c r="AA1138" s="89"/>
      <c r="AB1138" s="69"/>
      <c r="AC1138" s="89"/>
      <c r="AD1138" s="89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9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9"/>
      <c r="P1139" s="69"/>
      <c r="Q1139" s="89"/>
      <c r="R1139" s="89"/>
      <c r="S1139" s="60"/>
      <c r="T1139" s="62"/>
      <c r="U1139" s="62"/>
      <c r="V1139" s="62"/>
      <c r="W1139" s="61"/>
      <c r="X1139" s="62"/>
      <c r="Y1139" s="62"/>
      <c r="Z1139" s="66"/>
      <c r="AA1139" s="89"/>
      <c r="AB1139" s="69"/>
      <c r="AC1139" s="89"/>
      <c r="AD1139" s="89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9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9"/>
      <c r="P1140" s="69"/>
      <c r="Q1140" s="89"/>
      <c r="R1140" s="89"/>
      <c r="S1140" s="60"/>
      <c r="T1140" s="62"/>
      <c r="U1140" s="62"/>
      <c r="V1140" s="62"/>
      <c r="W1140" s="61"/>
      <c r="X1140" s="62"/>
      <c r="Y1140" s="62"/>
      <c r="Z1140" s="66"/>
      <c r="AA1140" s="89"/>
      <c r="AB1140" s="69"/>
      <c r="AC1140" s="89"/>
      <c r="AD1140" s="89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65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89"/>
      <c r="R1141" s="89"/>
      <c r="S1141" s="60"/>
      <c r="T1141" s="62"/>
      <c r="U1141" s="62"/>
      <c r="V1141" s="62"/>
      <c r="W1141" s="61"/>
      <c r="X1141" s="62"/>
      <c r="Y1141" s="62"/>
      <c r="Z1141" s="66"/>
      <c r="AA1141" s="89"/>
      <c r="AB1141" s="69"/>
      <c r="AC1141" s="89"/>
      <c r="AD1141" s="89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65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9"/>
      <c r="P1142" s="69"/>
      <c r="Q1142" s="89"/>
      <c r="R1142" s="89"/>
      <c r="S1142" s="60"/>
      <c r="T1142" s="62"/>
      <c r="U1142" s="62"/>
      <c r="V1142" s="62"/>
      <c r="W1142" s="61"/>
      <c r="X1142" s="62"/>
      <c r="Y1142" s="62"/>
      <c r="Z1142" s="66"/>
      <c r="AA1142" s="89"/>
      <c r="AB1142" s="69"/>
      <c r="AC1142" s="89"/>
      <c r="AD1142" s="89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65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9"/>
      <c r="P1143" s="69"/>
      <c r="Q1143" s="89"/>
      <c r="R1143" s="89"/>
      <c r="S1143" s="60"/>
      <c r="T1143" s="62"/>
      <c r="U1143" s="62"/>
      <c r="V1143" s="62"/>
      <c r="W1143" s="61"/>
      <c r="X1143" s="62"/>
      <c r="Y1143" s="62"/>
      <c r="Z1143" s="66"/>
      <c r="AA1143" s="89"/>
      <c r="AB1143" s="69"/>
      <c r="AC1143" s="89"/>
      <c r="AD1143" s="89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65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9"/>
      <c r="P1144" s="69"/>
      <c r="Q1144" s="89"/>
      <c r="R1144" s="89"/>
      <c r="S1144" s="60"/>
      <c r="T1144" s="62"/>
      <c r="U1144" s="62"/>
      <c r="V1144" s="62"/>
      <c r="W1144" s="61"/>
      <c r="X1144" s="62"/>
      <c r="Y1144" s="62"/>
      <c r="Z1144" s="66"/>
      <c r="AA1144" s="89"/>
      <c r="AB1144" s="69"/>
      <c r="AC1144" s="89"/>
      <c r="AD1144" s="89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65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9"/>
      <c r="P1145" s="69"/>
      <c r="Q1145" s="89"/>
      <c r="R1145" s="89"/>
      <c r="S1145" s="60"/>
      <c r="T1145" s="62"/>
      <c r="U1145" s="62"/>
      <c r="V1145" s="62"/>
      <c r="W1145" s="61"/>
      <c r="X1145" s="62"/>
      <c r="Y1145" s="62"/>
      <c r="Z1145" s="66"/>
      <c r="AA1145" s="89"/>
      <c r="AB1145" s="69"/>
      <c r="AC1145" s="89"/>
      <c r="AD1145" s="89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65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9"/>
      <c r="P1146" s="69"/>
      <c r="Q1146" s="89"/>
      <c r="R1146" s="89"/>
      <c r="S1146" s="60"/>
      <c r="T1146" s="62"/>
      <c r="U1146" s="62"/>
      <c r="V1146" s="62"/>
      <c r="W1146" s="61"/>
      <c r="X1146" s="62"/>
      <c r="Y1146" s="62"/>
      <c r="Z1146" s="66"/>
      <c r="AA1146" s="89"/>
      <c r="AB1146" s="69"/>
      <c r="AC1146" s="89"/>
      <c r="AD1146" s="89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65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9"/>
      <c r="P1147" s="69"/>
      <c r="Q1147" s="89"/>
      <c r="R1147" s="89"/>
      <c r="S1147" s="60"/>
      <c r="T1147" s="62"/>
      <c r="U1147" s="62"/>
      <c r="V1147" s="62"/>
      <c r="W1147" s="61"/>
      <c r="X1147" s="62"/>
      <c r="Y1147" s="62"/>
      <c r="Z1147" s="66"/>
      <c r="AA1147" s="89"/>
      <c r="AB1147" s="69"/>
      <c r="AC1147" s="89"/>
      <c r="AD1147" s="89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65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9"/>
      <c r="R1148" s="89"/>
      <c r="S1148" s="60"/>
      <c r="T1148" s="62"/>
      <c r="U1148" s="62"/>
      <c r="V1148" s="62"/>
      <c r="W1148" s="61"/>
      <c r="X1148" s="62"/>
      <c r="Y1148" s="62"/>
      <c r="Z1148" s="66"/>
      <c r="AA1148" s="89"/>
      <c r="AB1148" s="69"/>
      <c r="AC1148" s="89"/>
      <c r="AD1148" s="89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9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9"/>
      <c r="P1149" s="69"/>
      <c r="Q1149" s="89"/>
      <c r="R1149" s="89"/>
      <c r="S1149" s="60"/>
      <c r="T1149" s="62"/>
      <c r="U1149" s="62"/>
      <c r="V1149" s="62"/>
      <c r="W1149" s="61"/>
      <c r="X1149" s="62"/>
      <c r="Y1149" s="62"/>
      <c r="Z1149" s="66"/>
      <c r="AA1149" s="89"/>
      <c r="AB1149" s="69"/>
      <c r="AC1149" s="89"/>
      <c r="AD1149" s="89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9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9"/>
      <c r="P1150" s="69"/>
      <c r="Q1150" s="89"/>
      <c r="R1150" s="89"/>
      <c r="S1150" s="60"/>
      <c r="T1150" s="62"/>
      <c r="U1150" s="62"/>
      <c r="V1150" s="62"/>
      <c r="W1150" s="61"/>
      <c r="X1150" s="62"/>
      <c r="Y1150" s="62"/>
      <c r="Z1150" s="66"/>
      <c r="AA1150" s="89"/>
      <c r="AB1150" s="69"/>
      <c r="AC1150" s="89"/>
      <c r="AD1150" s="89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9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9"/>
      <c r="R1151" s="89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9"/>
      <c r="AD1151" s="89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9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9"/>
      <c r="P1152" s="69"/>
      <c r="Q1152" s="89"/>
      <c r="R1152" s="89"/>
      <c r="S1152" s="60"/>
      <c r="T1152" s="62"/>
      <c r="U1152" s="62"/>
      <c r="V1152" s="62"/>
      <c r="W1152" s="61"/>
      <c r="X1152" s="62"/>
      <c r="Y1152" s="62"/>
      <c r="Z1152" s="66"/>
      <c r="AA1152" s="89"/>
      <c r="AB1152" s="69"/>
      <c r="AC1152" s="89"/>
      <c r="AD1152" s="89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9"/>
      <c r="O1153" s="89"/>
      <c r="P1153" s="89"/>
      <c r="Q1153" s="89"/>
      <c r="R1153" s="89"/>
      <c r="S1153" s="89"/>
      <c r="T1153" s="62"/>
      <c r="U1153" s="62"/>
      <c r="V1153" s="62"/>
      <c r="W1153" s="61"/>
      <c r="X1153" s="62"/>
      <c r="Y1153" s="62"/>
      <c r="Z1153" s="89"/>
      <c r="AA1153" s="89"/>
      <c r="AB1153" s="89"/>
      <c r="AC1153" s="89"/>
      <c r="AD1153" s="89"/>
      <c r="AE1153" s="89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9"/>
      <c r="C1154" s="89"/>
      <c r="D1154" s="89"/>
      <c r="E1154" s="89"/>
      <c r="F1154" s="89"/>
      <c r="G1154" s="89"/>
      <c r="H1154" s="62"/>
      <c r="I1154" s="62"/>
      <c r="J1154" s="62"/>
      <c r="K1154" s="62"/>
      <c r="L1154" s="62"/>
      <c r="M1154" s="62"/>
      <c r="N1154" s="89"/>
      <c r="O1154" s="89"/>
      <c r="P1154" s="89"/>
      <c r="Q1154" s="89"/>
      <c r="R1154" s="89"/>
      <c r="S1154" s="89"/>
      <c r="T1154" s="62"/>
      <c r="U1154" s="62"/>
      <c r="V1154" s="62"/>
      <c r="W1154" s="62"/>
      <c r="X1154" s="62"/>
      <c r="Y1154" s="62"/>
      <c r="Z1154" s="89"/>
      <c r="AA1154" s="89"/>
      <c r="AB1154" s="89"/>
      <c r="AC1154" s="89"/>
      <c r="AD1154" s="89"/>
      <c r="AE1154" s="89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9"/>
      <c r="C1155" s="89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9"/>
      <c r="O1155" s="89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9"/>
      <c r="AA1155" s="89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06"/>
      <c r="E1165" s="106"/>
      <c r="F1165" s="89"/>
      <c r="G1165" s="89"/>
      <c r="H1165" s="62"/>
      <c r="I1165" s="106"/>
      <c r="J1165" s="106"/>
      <c r="K1165" s="105"/>
      <c r="L1165" s="62"/>
      <c r="M1165" s="62"/>
      <c r="N1165" s="65"/>
      <c r="O1165" s="89"/>
      <c r="P1165" s="106"/>
      <c r="Q1165" s="106"/>
      <c r="R1165" s="89"/>
      <c r="S1165" s="89"/>
      <c r="T1165" s="62"/>
      <c r="U1165" s="106"/>
      <c r="V1165" s="106"/>
      <c r="W1165" s="105"/>
      <c r="X1165" s="62"/>
      <c r="Y1165" s="62"/>
      <c r="Z1165" s="65"/>
      <c r="AA1165" s="89"/>
      <c r="AB1165" s="106"/>
      <c r="AC1165" s="106"/>
      <c r="AD1165" s="89"/>
      <c r="AE1165" s="89"/>
      <c r="AF1165" s="62"/>
      <c r="AG1165" s="106"/>
      <c r="AH1165" s="106"/>
      <c r="AI1165" s="105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05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05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05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06"/>
      <c r="E1221" s="106"/>
      <c r="F1221" s="87"/>
      <c r="G1221" s="87"/>
      <c r="H1221" s="62"/>
      <c r="I1221" s="106"/>
      <c r="J1221" s="106"/>
      <c r="K1221" s="105"/>
      <c r="L1221" s="62"/>
      <c r="M1221" s="62"/>
      <c r="N1221" s="65"/>
      <c r="O1221" s="87"/>
      <c r="P1221" s="106"/>
      <c r="Q1221" s="106"/>
      <c r="R1221" s="87"/>
      <c r="S1221" s="87"/>
      <c r="T1221" s="62"/>
      <c r="U1221" s="106"/>
      <c r="V1221" s="106"/>
      <c r="W1221" s="105"/>
      <c r="X1221" s="62"/>
      <c r="Y1221" s="62"/>
      <c r="Z1221" s="65"/>
      <c r="AA1221" s="87"/>
      <c r="AB1221" s="106"/>
      <c r="AC1221" s="106"/>
      <c r="AD1221" s="87"/>
      <c r="AE1221" s="87"/>
      <c r="AF1221" s="62"/>
      <c r="AG1221" s="106"/>
      <c r="AH1221" s="106"/>
      <c r="AI1221" s="105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05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05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05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06"/>
      <c r="E1283" s="106"/>
      <c r="F1283" s="84"/>
      <c r="G1283" s="84"/>
      <c r="H1283" s="62"/>
      <c r="I1283" s="106"/>
      <c r="J1283" s="106"/>
      <c r="K1283" s="105"/>
      <c r="L1283" s="62"/>
      <c r="M1283" s="62"/>
      <c r="N1283" s="65"/>
      <c r="O1283" s="84"/>
      <c r="P1283" s="106"/>
      <c r="Q1283" s="106"/>
      <c r="R1283" s="84"/>
      <c r="S1283" s="84"/>
      <c r="T1283" s="62"/>
      <c r="U1283" s="106"/>
      <c r="V1283" s="106"/>
      <c r="W1283" s="105"/>
      <c r="X1283" s="62"/>
      <c r="Y1283" s="62"/>
      <c r="Z1283" s="65"/>
      <c r="AA1283" s="84"/>
      <c r="AB1283" s="106"/>
      <c r="AC1283" s="106"/>
      <c r="AD1283" s="84"/>
      <c r="AE1283" s="84"/>
      <c r="AF1283" s="62"/>
      <c r="AG1283" s="106"/>
      <c r="AH1283" s="106"/>
      <c r="AI1283" s="105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05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05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05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NOVEMBER</vt:lpstr>
      <vt:lpstr>DSIS | NOVEMBER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2025-11-14T08:11:31Z</dcterms:modified>
</cp:coreProperties>
</file>