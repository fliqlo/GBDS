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925897FF-0606-4902-93E9-B3A8E7AF4E9A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NOVEMBER" sheetId="1" r:id="rId1"/>
    <sheet name="DSIS | NOVEM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730" i="2" l="1"/>
  <c r="AB729" i="2"/>
  <c r="AG728" i="2"/>
  <c r="AG770" i="2" s="1"/>
  <c r="AB728" i="2"/>
  <c r="AH727" i="2"/>
  <c r="AH770" i="2" s="1"/>
  <c r="AG727" i="2"/>
  <c r="AB727" i="2"/>
  <c r="AB770" i="2" s="1"/>
  <c r="AA728" i="2"/>
  <c r="AE728" i="2"/>
  <c r="AA729" i="2"/>
  <c r="AA730" i="2" s="1"/>
  <c r="AE729" i="2"/>
  <c r="AI729" i="2" s="1"/>
  <c r="AE730" i="2"/>
  <c r="AI730" i="2" s="1"/>
  <c r="AE731" i="2"/>
  <c r="AI731" i="2" s="1"/>
  <c r="AE732" i="2"/>
  <c r="AI732" i="2"/>
  <c r="AE733" i="2"/>
  <c r="AI733" i="2" s="1"/>
  <c r="AE734" i="2"/>
  <c r="AI734" i="2"/>
  <c r="AE735" i="2"/>
  <c r="AI735" i="2" s="1"/>
  <c r="AE736" i="2"/>
  <c r="AI736" i="2"/>
  <c r="AE737" i="2"/>
  <c r="AI737" i="2"/>
  <c r="AE738" i="2"/>
  <c r="AI738" i="2"/>
  <c r="AE739" i="2"/>
  <c r="AI739" i="2" s="1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/>
  <c r="AE752" i="2"/>
  <c r="AI752" i="2"/>
  <c r="AE753" i="2"/>
  <c r="AI753" i="2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P733" i="2"/>
  <c r="S733" i="2" s="1"/>
  <c r="W733" i="2" s="1"/>
  <c r="P732" i="2"/>
  <c r="S732" i="2" s="1"/>
  <c r="W732" i="2" s="1"/>
  <c r="P731" i="2"/>
  <c r="S731" i="2" s="1"/>
  <c r="W731" i="2" s="1"/>
  <c r="P730" i="2"/>
  <c r="U729" i="2"/>
  <c r="S729" i="2"/>
  <c r="W729" i="2" s="1"/>
  <c r="P728" i="2"/>
  <c r="V727" i="2"/>
  <c r="V770" i="2" s="1"/>
  <c r="U727" i="2"/>
  <c r="P727" i="2"/>
  <c r="O728" i="2"/>
  <c r="O729" i="2" s="1"/>
  <c r="O730" i="2" s="1"/>
  <c r="O731" i="2" s="1"/>
  <c r="O732" i="2" s="1"/>
  <c r="O733" i="2" s="1"/>
  <c r="S728" i="2"/>
  <c r="W728" i="2" s="1"/>
  <c r="S730" i="2"/>
  <c r="W730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 s="1"/>
  <c r="S743" i="2"/>
  <c r="W743" i="2"/>
  <c r="S744" i="2"/>
  <c r="W744" i="2" s="1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 s="1"/>
  <c r="S759" i="2"/>
  <c r="W759" i="2"/>
  <c r="S760" i="2"/>
  <c r="W760" i="2" s="1"/>
  <c r="S761" i="2"/>
  <c r="W761" i="2"/>
  <c r="S762" i="2"/>
  <c r="W762" i="2" s="1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D748" i="2"/>
  <c r="D747" i="2"/>
  <c r="G747" i="2" s="1"/>
  <c r="K747" i="2" s="1"/>
  <c r="D746" i="2"/>
  <c r="G746" i="2"/>
  <c r="K746" i="2" s="1"/>
  <c r="D745" i="2"/>
  <c r="G745" i="2" s="1"/>
  <c r="K745" i="2" s="1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D739" i="2"/>
  <c r="D738" i="2"/>
  <c r="D737" i="2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/>
  <c r="K727" i="2" s="1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G732" i="2"/>
  <c r="K732" i="2" s="1"/>
  <c r="G736" i="2"/>
  <c r="K736" i="2" s="1"/>
  <c r="G738" i="2"/>
  <c r="K738" i="2"/>
  <c r="G739" i="2"/>
  <c r="K739" i="2" s="1"/>
  <c r="G740" i="2"/>
  <c r="K740" i="2" s="1"/>
  <c r="G748" i="2"/>
  <c r="K748" i="2" s="1"/>
  <c r="G749" i="2"/>
  <c r="K749" i="2"/>
  <c r="G750" i="2"/>
  <c r="K750" i="2"/>
  <c r="G751" i="2"/>
  <c r="K751" i="2"/>
  <c r="G752" i="2"/>
  <c r="K752" i="2"/>
  <c r="G753" i="2"/>
  <c r="K753" i="2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/>
  <c r="E770" i="2"/>
  <c r="F770" i="2"/>
  <c r="I770" i="2"/>
  <c r="J770" i="2"/>
  <c r="AI728" i="2" l="1"/>
  <c r="AE727" i="2"/>
  <c r="AI727" i="2" s="1"/>
  <c r="AI770" i="2" s="1"/>
  <c r="AE770" i="2"/>
  <c r="U770" i="2"/>
  <c r="P770" i="2"/>
  <c r="S727" i="2"/>
  <c r="W727" i="2" s="1"/>
  <c r="W770" i="2" s="1"/>
  <c r="D770" i="2"/>
  <c r="G770" i="2"/>
  <c r="K770" i="2"/>
  <c r="AB675" i="2"/>
  <c r="AB674" i="2"/>
  <c r="AE674" i="2" s="1"/>
  <c r="AI674" i="2" s="1"/>
  <c r="AB673" i="2"/>
  <c r="AB672" i="2"/>
  <c r="AE672" i="2"/>
  <c r="AI672" i="2" s="1"/>
  <c r="AA673" i="2"/>
  <c r="AE673" i="2"/>
  <c r="AI673" i="2" s="1"/>
  <c r="AA674" i="2"/>
  <c r="AA675" i="2" s="1"/>
  <c r="AE675" i="2"/>
  <c r="AI675" i="2" s="1"/>
  <c r="AE676" i="2"/>
  <c r="AI676" i="2"/>
  <c r="AE677" i="2"/>
  <c r="AI677" i="2" s="1"/>
  <c r="AE678" i="2"/>
  <c r="AI678" i="2"/>
  <c r="AE679" i="2"/>
  <c r="AI679" i="2"/>
  <c r="AE680" i="2"/>
  <c r="AI680" i="2"/>
  <c r="AE681" i="2"/>
  <c r="AI681" i="2" s="1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/>
  <c r="AE697" i="2"/>
  <c r="AI697" i="2"/>
  <c r="AE698" i="2"/>
  <c r="AI698" i="2"/>
  <c r="AE699" i="2"/>
  <c r="AI699" i="2"/>
  <c r="AE700" i="2"/>
  <c r="AI700" i="2" s="1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 s="1"/>
  <c r="AI713" i="2"/>
  <c r="AC715" i="2"/>
  <c r="AD715" i="2"/>
  <c r="AG715" i="2"/>
  <c r="AH715" i="2"/>
  <c r="P692" i="2"/>
  <c r="S692" i="2" s="1"/>
  <c r="W692" i="2" s="1"/>
  <c r="P691" i="2"/>
  <c r="S691" i="2" s="1"/>
  <c r="W691" i="2" s="1"/>
  <c r="P690" i="2"/>
  <c r="S690" i="2" s="1"/>
  <c r="W690" i="2" s="1"/>
  <c r="P689" i="2"/>
  <c r="S689" i="2" s="1"/>
  <c r="W689" i="2" s="1"/>
  <c r="P688" i="2"/>
  <c r="P687" i="2"/>
  <c r="P686" i="2"/>
  <c r="P685" i="2"/>
  <c r="P684" i="2"/>
  <c r="S684" i="2" s="1"/>
  <c r="W684" i="2" s="1"/>
  <c r="P683" i="2"/>
  <c r="P682" i="2"/>
  <c r="P681" i="2"/>
  <c r="S681" i="2" s="1"/>
  <c r="W681" i="2" s="1"/>
  <c r="P680" i="2"/>
  <c r="S680" i="2" s="1"/>
  <c r="W680" i="2" s="1"/>
  <c r="P679" i="2"/>
  <c r="S679" i="2" s="1"/>
  <c r="W679" i="2" s="1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P672" i="2"/>
  <c r="S672" i="2" s="1"/>
  <c r="O676" i="2"/>
  <c r="O677" i="2" s="1"/>
  <c r="O678" i="2" s="1"/>
  <c r="O679" i="2" s="1"/>
  <c r="O680" i="2" s="1"/>
  <c r="O681" i="2" s="1"/>
  <c r="O682" i="2" s="1"/>
  <c r="O683" i="2" s="1"/>
  <c r="O684" i="2" s="1"/>
  <c r="O685" i="2" s="1"/>
  <c r="O686" i="2" s="1"/>
  <c r="O687" i="2" s="1"/>
  <c r="O688" i="2" s="1"/>
  <c r="O689" i="2" s="1"/>
  <c r="O690" i="2" s="1"/>
  <c r="O691" i="2" s="1"/>
  <c r="O692" i="2" s="1"/>
  <c r="V715" i="2"/>
  <c r="U715" i="2"/>
  <c r="R715" i="2"/>
  <c r="Q715" i="2"/>
  <c r="W713" i="2"/>
  <c r="W712" i="2"/>
  <c r="S712" i="2"/>
  <c r="W711" i="2"/>
  <c r="S710" i="2"/>
  <c r="W710" i="2" s="1"/>
  <c r="W709" i="2"/>
  <c r="S709" i="2"/>
  <c r="W708" i="2"/>
  <c r="S708" i="2"/>
  <c r="S707" i="2"/>
  <c r="W707" i="2" s="1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W699" i="2"/>
  <c r="S699" i="2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88" i="2"/>
  <c r="W688" i="2" s="1"/>
  <c r="S687" i="2"/>
  <c r="W687" i="2" s="1"/>
  <c r="S686" i="2"/>
  <c r="W686" i="2" s="1"/>
  <c r="S685" i="2"/>
  <c r="W685" i="2" s="1"/>
  <c r="S683" i="2"/>
  <c r="W683" i="2" s="1"/>
  <c r="S682" i="2"/>
  <c r="W682" i="2" s="1"/>
  <c r="S675" i="2"/>
  <c r="W675" i="2" s="1"/>
  <c r="S674" i="2"/>
  <c r="W674" i="2" s="1"/>
  <c r="S673" i="2"/>
  <c r="W673" i="2" s="1"/>
  <c r="O673" i="2"/>
  <c r="O674" i="2" s="1"/>
  <c r="O675" i="2" s="1"/>
  <c r="D687" i="2"/>
  <c r="G687" i="2"/>
  <c r="K687" i="2" s="1"/>
  <c r="I686" i="2"/>
  <c r="D686" i="2"/>
  <c r="D685" i="2"/>
  <c r="G685" i="2" s="1"/>
  <c r="K685" i="2" s="1"/>
  <c r="D684" i="2"/>
  <c r="G684" i="2" s="1"/>
  <c r="K684" i="2" s="1"/>
  <c r="D683" i="2"/>
  <c r="D682" i="2"/>
  <c r="G682" i="2" s="1"/>
  <c r="K682" i="2" s="1"/>
  <c r="D681" i="2"/>
  <c r="D680" i="2"/>
  <c r="G680" i="2" s="1"/>
  <c r="K680" i="2" s="1"/>
  <c r="D679" i="2"/>
  <c r="D678" i="2"/>
  <c r="G678" i="2" s="1"/>
  <c r="K678" i="2" s="1"/>
  <c r="D677" i="2"/>
  <c r="D676" i="2"/>
  <c r="D675" i="2"/>
  <c r="D674" i="2"/>
  <c r="G674" i="2" s="1"/>
  <c r="K674" i="2" s="1"/>
  <c r="D673" i="2"/>
  <c r="D672" i="2"/>
  <c r="G672" i="2" s="1"/>
  <c r="C673" i="2"/>
  <c r="C674" i="2" s="1"/>
  <c r="C675" i="2" s="1"/>
  <c r="C676" i="2" s="1"/>
  <c r="C677" i="2" s="1"/>
  <c r="C678" i="2" s="1"/>
  <c r="C679" i="2" s="1"/>
  <c r="C680" i="2" s="1"/>
  <c r="C681" i="2" s="1"/>
  <c r="C682" i="2" s="1"/>
  <c r="C683" i="2" s="1"/>
  <c r="C684" i="2" s="1"/>
  <c r="C685" i="2" s="1"/>
  <c r="C686" i="2" s="1"/>
  <c r="C687" i="2" s="1"/>
  <c r="G673" i="2"/>
  <c r="K673" i="2" s="1"/>
  <c r="G675" i="2"/>
  <c r="K675" i="2" s="1"/>
  <c r="G676" i="2"/>
  <c r="K676" i="2" s="1"/>
  <c r="G677" i="2"/>
  <c r="K677" i="2" s="1"/>
  <c r="G679" i="2"/>
  <c r="K679" i="2"/>
  <c r="G681" i="2"/>
  <c r="K681" i="2" s="1"/>
  <c r="G683" i="2"/>
  <c r="K683" i="2" s="1"/>
  <c r="G686" i="2"/>
  <c r="K686" i="2" s="1"/>
  <c r="G688" i="2"/>
  <c r="K688" i="2" s="1"/>
  <c r="G689" i="2"/>
  <c r="K689" i="2" s="1"/>
  <c r="G690" i="2"/>
  <c r="K690" i="2" s="1"/>
  <c r="G691" i="2"/>
  <c r="K691" i="2"/>
  <c r="G692" i="2"/>
  <c r="K692" i="2" s="1"/>
  <c r="G693" i="2"/>
  <c r="K693" i="2" s="1"/>
  <c r="G694" i="2"/>
  <c r="K694" i="2" s="1"/>
  <c r="G695" i="2"/>
  <c r="K695" i="2"/>
  <c r="G696" i="2"/>
  <c r="K696" i="2"/>
  <c r="G697" i="2"/>
  <c r="K697" i="2"/>
  <c r="G698" i="2"/>
  <c r="K698" i="2" s="1"/>
  <c r="G699" i="2"/>
  <c r="K699" i="2"/>
  <c r="G700" i="2"/>
  <c r="K700" i="2" s="1"/>
  <c r="G701" i="2"/>
  <c r="K701" i="2"/>
  <c r="G702" i="2"/>
  <c r="K702" i="2" s="1"/>
  <c r="G703" i="2"/>
  <c r="K703" i="2"/>
  <c r="G704" i="2"/>
  <c r="K704" i="2"/>
  <c r="G705" i="2"/>
  <c r="K705" i="2"/>
  <c r="G712" i="2"/>
  <c r="K712" i="2" s="1"/>
  <c r="E715" i="2"/>
  <c r="F715" i="2"/>
  <c r="I715" i="2"/>
  <c r="J715" i="2"/>
  <c r="S770" i="2" l="1"/>
  <c r="AE715" i="2"/>
  <c r="AB715" i="2"/>
  <c r="AI715" i="2"/>
  <c r="S715" i="2"/>
  <c r="W672" i="2"/>
  <c r="W715" i="2" s="1"/>
  <c r="P715" i="2"/>
  <c r="K672" i="2"/>
  <c r="K715" i="2" s="1"/>
  <c r="G715" i="2"/>
  <c r="D715" i="2"/>
  <c r="AB620" i="2"/>
  <c r="AG619" i="2"/>
  <c r="AI619" i="2" s="1"/>
  <c r="AB619" i="2"/>
  <c r="AB618" i="2"/>
  <c r="AE618" i="2" s="1"/>
  <c r="AI618" i="2" s="1"/>
  <c r="AB617" i="2"/>
  <c r="AE617" i="2"/>
  <c r="AA618" i="2"/>
  <c r="AA619" i="2"/>
  <c r="AA620" i="2" s="1"/>
  <c r="AE619" i="2"/>
  <c r="AE620" i="2"/>
  <c r="AI620" i="2"/>
  <c r="AE621" i="2"/>
  <c r="AI621" i="2" s="1"/>
  <c r="AE622" i="2"/>
  <c r="AI622" i="2" s="1"/>
  <c r="AE623" i="2"/>
  <c r="AI623" i="2" s="1"/>
  <c r="AE624" i="2"/>
  <c r="AI624" i="2" s="1"/>
  <c r="AE625" i="2"/>
  <c r="AI625" i="2"/>
  <c r="AE626" i="2"/>
  <c r="AI626" i="2"/>
  <c r="AE627" i="2"/>
  <c r="AI627" i="2"/>
  <c r="AE628" i="2"/>
  <c r="AI628" i="2"/>
  <c r="AE629" i="2"/>
  <c r="AI629" i="2"/>
  <c r="AE630" i="2"/>
  <c r="AI630" i="2" s="1"/>
  <c r="AE631" i="2"/>
  <c r="AI631" i="2" s="1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 s="1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 s="1"/>
  <c r="AE648" i="2"/>
  <c r="AI648" i="2"/>
  <c r="AE649" i="2"/>
  <c r="AI649" i="2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 s="1"/>
  <c r="AI656" i="2"/>
  <c r="AE657" i="2"/>
  <c r="AI657" i="2"/>
  <c r="AI658" i="2"/>
  <c r="AC660" i="2"/>
  <c r="AD660" i="2"/>
  <c r="AG660" i="2"/>
  <c r="AH660" i="2"/>
  <c r="D639" i="2"/>
  <c r="G639" i="2" s="1"/>
  <c r="K639" i="2" s="1"/>
  <c r="D638" i="2"/>
  <c r="D637" i="2"/>
  <c r="D636" i="2"/>
  <c r="D635" i="2"/>
  <c r="G635" i="2" s="1"/>
  <c r="K635" i="2" s="1"/>
  <c r="D634" i="2"/>
  <c r="G634" i="2" s="1"/>
  <c r="K634" i="2" s="1"/>
  <c r="D633" i="2"/>
  <c r="G633" i="2" s="1"/>
  <c r="K633" i="2" s="1"/>
  <c r="D632" i="2"/>
  <c r="D631" i="2"/>
  <c r="G631" i="2" s="1"/>
  <c r="K631" i="2" s="1"/>
  <c r="D630" i="2"/>
  <c r="D629" i="2"/>
  <c r="G629" i="2" s="1"/>
  <c r="K629" i="2" s="1"/>
  <c r="D628" i="2"/>
  <c r="D627" i="2"/>
  <c r="G627" i="2" s="1"/>
  <c r="K627" i="2" s="1"/>
  <c r="D626" i="2"/>
  <c r="D625" i="2"/>
  <c r="G625" i="2" s="1"/>
  <c r="K625" i="2" s="1"/>
  <c r="D624" i="2"/>
  <c r="G624" i="2" s="1"/>
  <c r="K624" i="2" s="1"/>
  <c r="J623" i="2"/>
  <c r="D623" i="2"/>
  <c r="D622" i="2"/>
  <c r="G622" i="2" s="1"/>
  <c r="K622" i="2" s="1"/>
  <c r="D621" i="2"/>
  <c r="G621" i="2" s="1"/>
  <c r="K621" i="2" s="1"/>
  <c r="D620" i="2"/>
  <c r="G620" i="2" s="1"/>
  <c r="K620" i="2" s="1"/>
  <c r="D619" i="2"/>
  <c r="D618" i="2"/>
  <c r="D617" i="2"/>
  <c r="C630" i="2"/>
  <c r="C631" i="2" s="1"/>
  <c r="C632" i="2" s="1"/>
  <c r="C633" i="2" s="1"/>
  <c r="C634" i="2" s="1"/>
  <c r="C635" i="2" s="1"/>
  <c r="C636" i="2" s="1"/>
  <c r="C637" i="2" s="1"/>
  <c r="C638" i="2" s="1"/>
  <c r="C639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G618" i="2"/>
  <c r="K618" i="2" s="1"/>
  <c r="G619" i="2"/>
  <c r="K619" i="2" s="1"/>
  <c r="G623" i="2"/>
  <c r="K623" i="2"/>
  <c r="G626" i="2"/>
  <c r="K626" i="2" s="1"/>
  <c r="G628" i="2"/>
  <c r="K628" i="2"/>
  <c r="G630" i="2"/>
  <c r="K630" i="2" s="1"/>
  <c r="G632" i="2"/>
  <c r="K632" i="2"/>
  <c r="G636" i="2"/>
  <c r="K636" i="2" s="1"/>
  <c r="G637" i="2"/>
  <c r="K637" i="2" s="1"/>
  <c r="G638" i="2"/>
  <c r="K638" i="2"/>
  <c r="G640" i="2"/>
  <c r="K640" i="2" s="1"/>
  <c r="G641" i="2"/>
  <c r="K641" i="2"/>
  <c r="G642" i="2"/>
  <c r="K642" i="2" s="1"/>
  <c r="G643" i="2"/>
  <c r="K643" i="2" s="1"/>
  <c r="G644" i="2"/>
  <c r="K644" i="2"/>
  <c r="G645" i="2"/>
  <c r="K645" i="2" s="1"/>
  <c r="G646" i="2"/>
  <c r="K646" i="2"/>
  <c r="G647" i="2"/>
  <c r="K647" i="2"/>
  <c r="G648" i="2"/>
  <c r="K648" i="2"/>
  <c r="G649" i="2"/>
  <c r="K649" i="2"/>
  <c r="G650" i="2"/>
  <c r="K650" i="2"/>
  <c r="G657" i="2"/>
  <c r="K657" i="2"/>
  <c r="E660" i="2"/>
  <c r="F660" i="2"/>
  <c r="I660" i="2"/>
  <c r="J660" i="2"/>
  <c r="AE660" i="2" l="1"/>
  <c r="AI617" i="2"/>
  <c r="AI660" i="2" s="1"/>
  <c r="AB660" i="2"/>
  <c r="D660" i="2"/>
  <c r="G617" i="2"/>
  <c r="G660" i="2"/>
  <c r="K617" i="2"/>
  <c r="K660" i="2" s="1"/>
  <c r="AB564" i="2"/>
  <c r="AE564" i="2" s="1"/>
  <c r="AI564" i="2" s="1"/>
  <c r="AB563" i="2"/>
  <c r="AC562" i="2"/>
  <c r="AC605" i="2" s="1"/>
  <c r="AB562" i="2"/>
  <c r="AA563" i="2"/>
  <c r="AA564" i="2" s="1"/>
  <c r="AE563" i="2"/>
  <c r="AI563" i="2" s="1"/>
  <c r="AE565" i="2"/>
  <c r="AI565" i="2" s="1"/>
  <c r="AE566" i="2"/>
  <c r="AI566" i="2" s="1"/>
  <c r="AE567" i="2"/>
  <c r="AI567" i="2" s="1"/>
  <c r="AE568" i="2"/>
  <c r="AI568" i="2" s="1"/>
  <c r="AE569" i="2"/>
  <c r="AI569" i="2"/>
  <c r="AE570" i="2"/>
  <c r="AI570" i="2" s="1"/>
  <c r="AE571" i="2"/>
  <c r="AI571" i="2"/>
  <c r="AE572" i="2"/>
  <c r="AI572" i="2"/>
  <c r="AE573" i="2"/>
  <c r="AI573" i="2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/>
  <c r="AE581" i="2"/>
  <c r="AI581" i="2"/>
  <c r="AE582" i="2"/>
  <c r="AI582" i="2" s="1"/>
  <c r="AE583" i="2"/>
  <c r="AI583" i="2" s="1"/>
  <c r="AE584" i="2"/>
  <c r="AI584" i="2" s="1"/>
  <c r="AE585" i="2"/>
  <c r="AI585" i="2"/>
  <c r="AE586" i="2"/>
  <c r="AI586" i="2"/>
  <c r="AE587" i="2"/>
  <c r="AI587" i="2"/>
  <c r="AE588" i="2"/>
  <c r="AI588" i="2"/>
  <c r="AE589" i="2"/>
  <c r="AI589" i="2" s="1"/>
  <c r="AE590" i="2"/>
  <c r="AI590" i="2" s="1"/>
  <c r="AE591" i="2"/>
  <c r="AI591" i="2" s="1"/>
  <c r="AE592" i="2"/>
  <c r="AI592" i="2" s="1"/>
  <c r="AE593" i="2"/>
  <c r="AI593" i="2"/>
  <c r="AE594" i="2"/>
  <c r="AI594" i="2"/>
  <c r="AE595" i="2"/>
  <c r="AI595" i="2"/>
  <c r="AE596" i="2"/>
  <c r="AI596" i="2"/>
  <c r="AE597" i="2"/>
  <c r="AI597" i="2"/>
  <c r="AE598" i="2"/>
  <c r="AI598" i="2" s="1"/>
  <c r="AE599" i="2"/>
  <c r="AI599" i="2" s="1"/>
  <c r="AE600" i="2"/>
  <c r="AI600" i="2" s="1"/>
  <c r="AI601" i="2"/>
  <c r="AE602" i="2"/>
  <c r="AI602" i="2"/>
  <c r="AI603" i="2"/>
  <c r="AD605" i="2"/>
  <c r="AG605" i="2"/>
  <c r="AH605" i="2"/>
  <c r="P582" i="2"/>
  <c r="P581" i="2"/>
  <c r="P580" i="2"/>
  <c r="S580" i="2" s="1"/>
  <c r="W580" i="2" s="1"/>
  <c r="P579" i="2"/>
  <c r="S579" i="2" s="1"/>
  <c r="W579" i="2" s="1"/>
  <c r="P578" i="2"/>
  <c r="P577" i="2"/>
  <c r="S577" i="2" s="1"/>
  <c r="W577" i="2" s="1"/>
  <c r="P576" i="2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S570" i="2"/>
  <c r="W570" i="2" s="1"/>
  <c r="P569" i="2"/>
  <c r="S569" i="2" s="1"/>
  <c r="W569" i="2" s="1"/>
  <c r="P568" i="2"/>
  <c r="P567" i="2"/>
  <c r="S567" i="2" s="1"/>
  <c r="W567" i="2" s="1"/>
  <c r="P566" i="2"/>
  <c r="S566" i="2" s="1"/>
  <c r="W566" i="2" s="1"/>
  <c r="P565" i="2"/>
  <c r="P564" i="2"/>
  <c r="S564" i="2" s="1"/>
  <c r="W564" i="2" s="1"/>
  <c r="P563" i="2"/>
  <c r="P562" i="2"/>
  <c r="S562" i="2" s="1"/>
  <c r="W562" i="2" s="1"/>
  <c r="O563" i="2"/>
  <c r="O564" i="2" s="1"/>
  <c r="O565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O582" i="2" s="1"/>
  <c r="S563" i="2"/>
  <c r="W563" i="2" s="1"/>
  <c r="S565" i="2"/>
  <c r="W565" i="2" s="1"/>
  <c r="S568" i="2"/>
  <c r="W568" i="2" s="1"/>
  <c r="S571" i="2"/>
  <c r="W571" i="2" s="1"/>
  <c r="V605" i="2"/>
  <c r="S572" i="2"/>
  <c r="W572" i="2"/>
  <c r="S576" i="2"/>
  <c r="W576" i="2" s="1"/>
  <c r="S578" i="2"/>
  <c r="W578" i="2" s="1"/>
  <c r="S581" i="2"/>
  <c r="W581" i="2" s="1"/>
  <c r="S582" i="2"/>
  <c r="W582" i="2" s="1"/>
  <c r="S583" i="2"/>
  <c r="W583" i="2" s="1"/>
  <c r="S584" i="2"/>
  <c r="W584" i="2" s="1"/>
  <c r="S585" i="2"/>
  <c r="W585" i="2" s="1"/>
  <c r="S586" i="2"/>
  <c r="W586" i="2"/>
  <c r="S587" i="2"/>
  <c r="W587" i="2"/>
  <c r="S588" i="2"/>
  <c r="W588" i="2"/>
  <c r="S589" i="2"/>
  <c r="W589" i="2" s="1"/>
  <c r="S590" i="2"/>
  <c r="W590" i="2"/>
  <c r="S591" i="2"/>
  <c r="W591" i="2"/>
  <c r="S592" i="2"/>
  <c r="W592" i="2" s="1"/>
  <c r="S593" i="2"/>
  <c r="W593" i="2" s="1"/>
  <c r="S594" i="2"/>
  <c r="W594" i="2"/>
  <c r="S595" i="2"/>
  <c r="W595" i="2"/>
  <c r="S596" i="2"/>
  <c r="W596" i="2"/>
  <c r="S597" i="2"/>
  <c r="W597" i="2" s="1"/>
  <c r="S598" i="2"/>
  <c r="W598" i="2"/>
  <c r="S599" i="2"/>
  <c r="W599" i="2"/>
  <c r="S600" i="2"/>
  <c r="W600" i="2" s="1"/>
  <c r="W601" i="2"/>
  <c r="S602" i="2"/>
  <c r="W602" i="2"/>
  <c r="W603" i="2"/>
  <c r="Q605" i="2"/>
  <c r="R605" i="2"/>
  <c r="U605" i="2"/>
  <c r="D574" i="2"/>
  <c r="D573" i="2"/>
  <c r="G573" i="2" s="1"/>
  <c r="K573" i="2" s="1"/>
  <c r="D572" i="2"/>
  <c r="G572" i="2" s="1"/>
  <c r="K572" i="2" s="1"/>
  <c r="D571" i="2"/>
  <c r="G571" i="2" s="1"/>
  <c r="K571" i="2" s="1"/>
  <c r="D570" i="2"/>
  <c r="D569" i="2"/>
  <c r="G569" i="2" s="1"/>
  <c r="K569" i="2" s="1"/>
  <c r="D568" i="2"/>
  <c r="G568" i="2" s="1"/>
  <c r="K568" i="2" s="1"/>
  <c r="D567" i="2"/>
  <c r="D566" i="2"/>
  <c r="G566" i="2" s="1"/>
  <c r="K566" i="2" s="1"/>
  <c r="D565" i="2"/>
  <c r="G565" i="2" s="1"/>
  <c r="K565" i="2" s="1"/>
  <c r="D564" i="2"/>
  <c r="G564" i="2" s="1"/>
  <c r="K564" i="2" s="1"/>
  <c r="G563" i="2"/>
  <c r="K563" i="2" s="1"/>
  <c r="D562" i="2"/>
  <c r="G562" i="2" s="1"/>
  <c r="J605" i="2"/>
  <c r="F605" i="2"/>
  <c r="E605" i="2"/>
  <c r="K602" i="2"/>
  <c r="G602" i="2"/>
  <c r="G595" i="2"/>
  <c r="K595" i="2" s="1"/>
  <c r="G594" i="2"/>
  <c r="K594" i="2" s="1"/>
  <c r="G593" i="2"/>
  <c r="K593" i="2" s="1"/>
  <c r="K592" i="2"/>
  <c r="G592" i="2"/>
  <c r="K591" i="2"/>
  <c r="G591" i="2"/>
  <c r="G590" i="2"/>
  <c r="K590" i="2" s="1"/>
  <c r="G589" i="2"/>
  <c r="K589" i="2" s="1"/>
  <c r="G588" i="2"/>
  <c r="K588" i="2" s="1"/>
  <c r="G587" i="2"/>
  <c r="K587" i="2" s="1"/>
  <c r="G586" i="2"/>
  <c r="K586" i="2" s="1"/>
  <c r="G585" i="2"/>
  <c r="K585" i="2" s="1"/>
  <c r="K584" i="2"/>
  <c r="G584" i="2"/>
  <c r="K583" i="2"/>
  <c r="G583" i="2"/>
  <c r="G582" i="2"/>
  <c r="K582" i="2" s="1"/>
  <c r="G581" i="2"/>
  <c r="K581" i="2" s="1"/>
  <c r="G580" i="2"/>
  <c r="K580" i="2" s="1"/>
  <c r="G579" i="2"/>
  <c r="K579" i="2" s="1"/>
  <c r="G578" i="2"/>
  <c r="K578" i="2" s="1"/>
  <c r="G577" i="2"/>
  <c r="K577" i="2" s="1"/>
  <c r="G576" i="2"/>
  <c r="K576" i="2" s="1"/>
  <c r="G575" i="2"/>
  <c r="K575" i="2" s="1"/>
  <c r="G574" i="2"/>
  <c r="K574" i="2" s="1"/>
  <c r="G570" i="2"/>
  <c r="K570" i="2" s="1"/>
  <c r="G567" i="2"/>
  <c r="K567" i="2" s="1"/>
  <c r="I605" i="2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AB605" i="2" l="1"/>
  <c r="AE562" i="2"/>
  <c r="AE605" i="2"/>
  <c r="AI562" i="2"/>
  <c r="AI605" i="2" s="1"/>
  <c r="P605" i="2"/>
  <c r="W605" i="2"/>
  <c r="S605" i="2"/>
  <c r="D605" i="2"/>
  <c r="G605" i="2"/>
  <c r="K562" i="2"/>
  <c r="K605" i="2" s="1"/>
  <c r="AB510" i="2"/>
  <c r="AB509" i="2"/>
  <c r="AB508" i="2"/>
  <c r="AG507" i="2"/>
  <c r="AB507" i="2"/>
  <c r="AE507" i="2"/>
  <c r="AI507" i="2" s="1"/>
  <c r="AA508" i="2"/>
  <c r="AE508" i="2"/>
  <c r="AI508" i="2" s="1"/>
  <c r="AA509" i="2"/>
  <c r="AA510" i="2" s="1"/>
  <c r="AE509" i="2"/>
  <c r="AI509" i="2" s="1"/>
  <c r="AB550" i="2"/>
  <c r="AE510" i="2"/>
  <c r="AI510" i="2" s="1"/>
  <c r="AE511" i="2"/>
  <c r="AI511" i="2"/>
  <c r="AE512" i="2"/>
  <c r="AI512" i="2" s="1"/>
  <c r="AE513" i="2"/>
  <c r="AI513" i="2" s="1"/>
  <c r="AE514" i="2"/>
  <c r="AI514" i="2"/>
  <c r="AE515" i="2"/>
  <c r="AI515" i="2" s="1"/>
  <c r="AE516" i="2"/>
  <c r="AI516" i="2"/>
  <c r="AE517" i="2"/>
  <c r="AI517" i="2" s="1"/>
  <c r="AE518" i="2"/>
  <c r="AI518" i="2" s="1"/>
  <c r="AE519" i="2"/>
  <c r="AI519" i="2" s="1"/>
  <c r="AE520" i="2"/>
  <c r="AI520" i="2"/>
  <c r="AE521" i="2"/>
  <c r="AI521" i="2"/>
  <c r="AE522" i="2"/>
  <c r="AI522" i="2"/>
  <c r="AE523" i="2"/>
  <c r="AI523" i="2" s="1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 s="1"/>
  <c r="AE545" i="2"/>
  <c r="AI545" i="2"/>
  <c r="AI546" i="2"/>
  <c r="AE547" i="2"/>
  <c r="AI547" i="2"/>
  <c r="AI548" i="2"/>
  <c r="AC550" i="2"/>
  <c r="AD550" i="2"/>
  <c r="AG550" i="2"/>
  <c r="AH550" i="2"/>
  <c r="V518" i="2"/>
  <c r="U550" i="2"/>
  <c r="P518" i="2"/>
  <c r="P517" i="2"/>
  <c r="S517" i="2" s="1"/>
  <c r="W517" i="2" s="1"/>
  <c r="V516" i="2"/>
  <c r="V550" i="2" s="1"/>
  <c r="P516" i="2"/>
  <c r="P515" i="2"/>
  <c r="P514" i="2"/>
  <c r="S514" i="2" s="1"/>
  <c r="W514" i="2" s="1"/>
  <c r="P513" i="2"/>
  <c r="S513" i="2" s="1"/>
  <c r="W513" i="2" s="1"/>
  <c r="P512" i="2"/>
  <c r="S512" i="2" s="1"/>
  <c r="W512" i="2" s="1"/>
  <c r="O512" i="2"/>
  <c r="O513" i="2" s="1"/>
  <c r="O514" i="2" s="1"/>
  <c r="O515" i="2" s="1"/>
  <c r="O516" i="2" s="1"/>
  <c r="O517" i="2" s="1"/>
  <c r="O518" i="2" s="1"/>
  <c r="P511" i="2"/>
  <c r="P510" i="2"/>
  <c r="P509" i="2"/>
  <c r="S509" i="2" s="1"/>
  <c r="W509" i="2" s="1"/>
  <c r="P508" i="2"/>
  <c r="S508" i="2" s="1"/>
  <c r="W508" i="2" s="1"/>
  <c r="P507" i="2"/>
  <c r="O508" i="2"/>
  <c r="O509" i="2" s="1"/>
  <c r="O510" i="2" s="1"/>
  <c r="O511" i="2" s="1"/>
  <c r="S511" i="2"/>
  <c r="W511" i="2" s="1"/>
  <c r="S515" i="2"/>
  <c r="W515" i="2" s="1"/>
  <c r="S516" i="2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 s="1"/>
  <c r="S538" i="2"/>
  <c r="W538" i="2"/>
  <c r="S539" i="2"/>
  <c r="W539" i="2"/>
  <c r="S540" i="2"/>
  <c r="W540" i="2"/>
  <c r="S541" i="2"/>
  <c r="W541" i="2" s="1"/>
  <c r="S542" i="2"/>
  <c r="W542" i="2" s="1"/>
  <c r="S543" i="2"/>
  <c r="W543" i="2"/>
  <c r="S544" i="2"/>
  <c r="W544" i="2"/>
  <c r="S545" i="2"/>
  <c r="W545" i="2"/>
  <c r="W546" i="2"/>
  <c r="S547" i="2"/>
  <c r="W547" i="2"/>
  <c r="W548" i="2"/>
  <c r="Q550" i="2"/>
  <c r="R550" i="2"/>
  <c r="AI550" i="2" l="1"/>
  <c r="AE550" i="2"/>
  <c r="W516" i="2"/>
  <c r="P550" i="2"/>
  <c r="S507" i="2"/>
  <c r="W507" i="2"/>
  <c r="S510" i="2"/>
  <c r="W510" i="2" s="1"/>
  <c r="AB463" i="2"/>
  <c r="AB462" i="2"/>
  <c r="AE462" i="2" s="1"/>
  <c r="AI462" i="2" s="1"/>
  <c r="AB461" i="2"/>
  <c r="AB460" i="2"/>
  <c r="AB459" i="2"/>
  <c r="AE459" i="2" s="1"/>
  <c r="AI459" i="2" s="1"/>
  <c r="AB458" i="2"/>
  <c r="AE458" i="2" s="1"/>
  <c r="AI458" i="2" s="1"/>
  <c r="AB457" i="2"/>
  <c r="AE457" i="2" s="1"/>
  <c r="AI457" i="2" s="1"/>
  <c r="AB456" i="2"/>
  <c r="AB455" i="2"/>
  <c r="AB454" i="2"/>
  <c r="AE454" i="2" s="1"/>
  <c r="AI454" i="2" s="1"/>
  <c r="AB453" i="2"/>
  <c r="AB452" i="2"/>
  <c r="AA453" i="2"/>
  <c r="AE453" i="2"/>
  <c r="AI453" i="2" s="1"/>
  <c r="AG495" i="2"/>
  <c r="AA454" i="2"/>
  <c r="AA455" i="2" s="1"/>
  <c r="AA456" i="2" s="1"/>
  <c r="AA457" i="2" s="1"/>
  <c r="AA458" i="2" s="1"/>
  <c r="AA459" i="2" s="1"/>
  <c r="AA460" i="2" s="1"/>
  <c r="AA461" i="2" s="1"/>
  <c r="AA462" i="2" s="1"/>
  <c r="AA463" i="2" s="1"/>
  <c r="AE455" i="2"/>
  <c r="AI455" i="2" s="1"/>
  <c r="AE456" i="2"/>
  <c r="AI456" i="2"/>
  <c r="AE460" i="2"/>
  <c r="AI460" i="2" s="1"/>
  <c r="AE461" i="2"/>
  <c r="AI461" i="2" s="1"/>
  <c r="AE463" i="2"/>
  <c r="AI463" i="2" s="1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/>
  <c r="AE473" i="2"/>
  <c r="AI473" i="2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/>
  <c r="AE481" i="2"/>
  <c r="AI481" i="2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/>
  <c r="AE489" i="2"/>
  <c r="AI489" i="2"/>
  <c r="AE490" i="2"/>
  <c r="AI490" i="2"/>
  <c r="AI491" i="2"/>
  <c r="AE492" i="2"/>
  <c r="AI492" i="2"/>
  <c r="AI493" i="2"/>
  <c r="AC495" i="2"/>
  <c r="AD495" i="2"/>
  <c r="AH495" i="2"/>
  <c r="P456" i="2"/>
  <c r="P455" i="2"/>
  <c r="S455" i="2" s="1"/>
  <c r="W455" i="2" s="1"/>
  <c r="P454" i="2"/>
  <c r="P453" i="2"/>
  <c r="U452" i="2"/>
  <c r="U495" i="2" s="1"/>
  <c r="P452" i="2"/>
  <c r="S452" i="2" s="1"/>
  <c r="O453" i="2"/>
  <c r="O454" i="2" s="1"/>
  <c r="O455" i="2" s="1"/>
  <c r="O456" i="2" s="1"/>
  <c r="V495" i="2"/>
  <c r="S453" i="2"/>
  <c r="W453" i="2" s="1"/>
  <c r="S454" i="2"/>
  <c r="W454" i="2"/>
  <c r="S456" i="2"/>
  <c r="W456" i="2"/>
  <c r="S457" i="2"/>
  <c r="W457" i="2"/>
  <c r="S458" i="2"/>
  <c r="W458" i="2" s="1"/>
  <c r="S459" i="2"/>
  <c r="W459" i="2" s="1"/>
  <c r="S460" i="2"/>
  <c r="W460" i="2"/>
  <c r="S461" i="2"/>
  <c r="W461" i="2" s="1"/>
  <c r="S462" i="2"/>
  <c r="W462" i="2"/>
  <c r="S463" i="2"/>
  <c r="W463" i="2" s="1"/>
  <c r="S464" i="2"/>
  <c r="W464" i="2"/>
  <c r="S465" i="2"/>
  <c r="W465" i="2"/>
  <c r="S466" i="2"/>
  <c r="W466" i="2"/>
  <c r="S467" i="2"/>
  <c r="W467" i="2" s="1"/>
  <c r="S468" i="2"/>
  <c r="W468" i="2"/>
  <c r="S469" i="2"/>
  <c r="W469" i="2"/>
  <c r="S470" i="2"/>
  <c r="W470" i="2"/>
  <c r="S471" i="2"/>
  <c r="W471" i="2" s="1"/>
  <c r="S472" i="2"/>
  <c r="W472" i="2"/>
  <c r="S473" i="2"/>
  <c r="W473" i="2"/>
  <c r="S474" i="2"/>
  <c r="W474" i="2"/>
  <c r="S475" i="2"/>
  <c r="W475" i="2" s="1"/>
  <c r="S476" i="2"/>
  <c r="W476" i="2"/>
  <c r="S477" i="2"/>
  <c r="W477" i="2"/>
  <c r="S478" i="2"/>
  <c r="W478" i="2"/>
  <c r="S479" i="2"/>
  <c r="W479" i="2" s="1"/>
  <c r="S480" i="2"/>
  <c r="W480" i="2"/>
  <c r="S481" i="2"/>
  <c r="W481" i="2"/>
  <c r="S482" i="2"/>
  <c r="W482" i="2"/>
  <c r="S483" i="2"/>
  <c r="W483" i="2" s="1"/>
  <c r="S484" i="2"/>
  <c r="W484" i="2"/>
  <c r="S485" i="2"/>
  <c r="W485" i="2" s="1"/>
  <c r="S486" i="2"/>
  <c r="W486" i="2"/>
  <c r="S487" i="2"/>
  <c r="W487" i="2" s="1"/>
  <c r="S488" i="2"/>
  <c r="W488" i="2" s="1"/>
  <c r="S489" i="2"/>
  <c r="W489" i="2"/>
  <c r="S490" i="2"/>
  <c r="W490" i="2"/>
  <c r="W491" i="2"/>
  <c r="S492" i="2"/>
  <c r="W492" i="2"/>
  <c r="W493" i="2"/>
  <c r="Q495" i="2"/>
  <c r="R495" i="2"/>
  <c r="D469" i="2"/>
  <c r="D467" i="2"/>
  <c r="G467" i="2" s="1"/>
  <c r="K467" i="2" s="1"/>
  <c r="I466" i="2"/>
  <c r="D466" i="2"/>
  <c r="G466" i="2" s="1"/>
  <c r="K466" i="2" s="1"/>
  <c r="D465" i="2"/>
  <c r="G465" i="2" s="1"/>
  <c r="K465" i="2" s="1"/>
  <c r="D464" i="2"/>
  <c r="G464" i="2" s="1"/>
  <c r="K464" i="2" s="1"/>
  <c r="D463" i="2"/>
  <c r="G463" i="2" s="1"/>
  <c r="K463" i="2" s="1"/>
  <c r="D462" i="2"/>
  <c r="G462" i="2" s="1"/>
  <c r="K462" i="2" s="1"/>
  <c r="D461" i="2"/>
  <c r="G461" i="2" s="1"/>
  <c r="K461" i="2" s="1"/>
  <c r="D460" i="2"/>
  <c r="G460" i="2" s="1"/>
  <c r="K460" i="2" s="1"/>
  <c r="D459" i="2"/>
  <c r="D458" i="2"/>
  <c r="G458" i="2" s="1"/>
  <c r="K458" i="2" s="1"/>
  <c r="D457" i="2"/>
  <c r="D456" i="2"/>
  <c r="G456" i="2" s="1"/>
  <c r="K456" i="2" s="1"/>
  <c r="I455" i="2"/>
  <c r="D455" i="2"/>
  <c r="G455" i="2" s="1"/>
  <c r="K455" i="2" s="1"/>
  <c r="D454" i="2"/>
  <c r="G454" i="2" s="1"/>
  <c r="K454" i="2" s="1"/>
  <c r="D453" i="2"/>
  <c r="G453" i="2" s="1"/>
  <c r="K453" i="2" s="1"/>
  <c r="D452" i="2"/>
  <c r="G452" i="2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G457" i="2"/>
  <c r="K457" i="2" s="1"/>
  <c r="G459" i="2"/>
  <c r="K459" i="2"/>
  <c r="G468" i="2"/>
  <c r="K468" i="2" s="1"/>
  <c r="G469" i="2"/>
  <c r="K469" i="2" s="1"/>
  <c r="G470" i="2"/>
  <c r="K470" i="2" s="1"/>
  <c r="G471" i="2"/>
  <c r="K471" i="2" s="1"/>
  <c r="G472" i="2"/>
  <c r="K472" i="2" s="1"/>
  <c r="G473" i="2"/>
  <c r="K473" i="2"/>
  <c r="G474" i="2"/>
  <c r="K474" i="2"/>
  <c r="G475" i="2"/>
  <c r="K475" i="2"/>
  <c r="G476" i="2"/>
  <c r="K476" i="2"/>
  <c r="G477" i="2"/>
  <c r="K477" i="2"/>
  <c r="G478" i="2"/>
  <c r="K478" i="2"/>
  <c r="G479" i="2"/>
  <c r="K479" i="2" s="1"/>
  <c r="G480" i="2"/>
  <c r="K480" i="2"/>
  <c r="G481" i="2"/>
  <c r="K481" i="2"/>
  <c r="G482" i="2"/>
  <c r="K482" i="2"/>
  <c r="G483" i="2"/>
  <c r="K483" i="2"/>
  <c r="G484" i="2"/>
  <c r="K484" i="2"/>
  <c r="G485" i="2"/>
  <c r="K485" i="2"/>
  <c r="G492" i="2"/>
  <c r="K492" i="2"/>
  <c r="E495" i="2"/>
  <c r="F495" i="2"/>
  <c r="J495" i="2"/>
  <c r="S550" i="2" l="1"/>
  <c r="W550" i="2"/>
  <c r="AB495" i="2"/>
  <c r="AE452" i="2"/>
  <c r="AI452" i="2" s="1"/>
  <c r="AE495" i="2"/>
  <c r="AI495" i="2"/>
  <c r="P495" i="2"/>
  <c r="W452" i="2"/>
  <c r="W495" i="2" s="1"/>
  <c r="S495" i="2"/>
  <c r="I495" i="2"/>
  <c r="D495" i="2"/>
  <c r="K452" i="2"/>
  <c r="K495" i="2" s="1"/>
  <c r="G495" i="2"/>
  <c r="AB401" i="2"/>
  <c r="AE401" i="2" s="1"/>
  <c r="AI401" i="2" s="1"/>
  <c r="AB400" i="2"/>
  <c r="AE400" i="2" s="1"/>
  <c r="AI400" i="2" s="1"/>
  <c r="AB399" i="2"/>
  <c r="AE399" i="2" s="1"/>
  <c r="AI399" i="2" s="1"/>
  <c r="AG398" i="2"/>
  <c r="AG440" i="2" s="1"/>
  <c r="AB398" i="2"/>
  <c r="AE398" i="2" s="1"/>
  <c r="AB397" i="2"/>
  <c r="AE397" i="2"/>
  <c r="AA398" i="2"/>
  <c r="AA399" i="2"/>
  <c r="AA400" i="2" s="1"/>
  <c r="AA401" i="2" s="1"/>
  <c r="AE402" i="2"/>
  <c r="AI402" i="2" s="1"/>
  <c r="AE403" i="2"/>
  <c r="AI403" i="2"/>
  <c r="AE404" i="2"/>
  <c r="AI404" i="2" s="1"/>
  <c r="AE405" i="2"/>
  <c r="AI405" i="2"/>
  <c r="AE406" i="2"/>
  <c r="AI406" i="2" s="1"/>
  <c r="AE407" i="2"/>
  <c r="AI407" i="2" s="1"/>
  <c r="AE408" i="2"/>
  <c r="AI408" i="2"/>
  <c r="AE409" i="2"/>
  <c r="AI409" i="2"/>
  <c r="AE410" i="2"/>
  <c r="AI410" i="2"/>
  <c r="AE411" i="2"/>
  <c r="AI411" i="2"/>
  <c r="AE412" i="2"/>
  <c r="AI412" i="2"/>
  <c r="AE413" i="2"/>
  <c r="AI413" i="2"/>
  <c r="AE414" i="2"/>
  <c r="AI414" i="2" s="1"/>
  <c r="AE415" i="2"/>
  <c r="AI415" i="2" s="1"/>
  <c r="AE416" i="2"/>
  <c r="AI416" i="2"/>
  <c r="AE417" i="2"/>
  <c r="AI417" i="2"/>
  <c r="AE418" i="2"/>
  <c r="AI418" i="2"/>
  <c r="AE419" i="2"/>
  <c r="AI419" i="2"/>
  <c r="AE420" i="2"/>
  <c r="AI420" i="2"/>
  <c r="AE421" i="2"/>
  <c r="AI421" i="2"/>
  <c r="AE422" i="2"/>
  <c r="AI422" i="2" s="1"/>
  <c r="AE423" i="2"/>
  <c r="AI423" i="2" s="1"/>
  <c r="AE424" i="2"/>
  <c r="AI424" i="2"/>
  <c r="AE425" i="2"/>
  <c r="AI425" i="2"/>
  <c r="AE426" i="2"/>
  <c r="AI426" i="2"/>
  <c r="AE427" i="2"/>
  <c r="AI427" i="2"/>
  <c r="AE428" i="2"/>
  <c r="AI428" i="2"/>
  <c r="AE429" i="2"/>
  <c r="AI429" i="2"/>
  <c r="AE430" i="2"/>
  <c r="AI430" i="2"/>
  <c r="AE431" i="2"/>
  <c r="AI431" i="2" s="1"/>
  <c r="AE432" i="2"/>
  <c r="AI432" i="2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AH440" i="2"/>
  <c r="U397" i="2"/>
  <c r="V397" i="2"/>
  <c r="P397" i="2"/>
  <c r="S397" i="2" s="1"/>
  <c r="S398" i="2"/>
  <c r="W398" i="2" s="1"/>
  <c r="S399" i="2"/>
  <c r="W399" i="2" s="1"/>
  <c r="S400" i="2"/>
  <c r="W400" i="2" s="1"/>
  <c r="S401" i="2"/>
  <c r="W401" i="2" s="1"/>
  <c r="S402" i="2"/>
  <c r="W402" i="2"/>
  <c r="S403" i="2"/>
  <c r="W403" i="2" s="1"/>
  <c r="S404" i="2"/>
  <c r="W404" i="2" s="1"/>
  <c r="S405" i="2"/>
  <c r="W405" i="2" s="1"/>
  <c r="S406" i="2"/>
  <c r="W406" i="2" s="1"/>
  <c r="S407" i="2"/>
  <c r="W407" i="2" s="1"/>
  <c r="S408" i="2"/>
  <c r="W408" i="2" s="1"/>
  <c r="S409" i="2"/>
  <c r="W409" i="2" s="1"/>
  <c r="S410" i="2"/>
  <c r="W410" i="2"/>
  <c r="S411" i="2"/>
  <c r="W411" i="2" s="1"/>
  <c r="S412" i="2"/>
  <c r="W412" i="2" s="1"/>
  <c r="S413" i="2"/>
  <c r="W413" i="2" s="1"/>
  <c r="S414" i="2"/>
  <c r="W414" i="2" s="1"/>
  <c r="S415" i="2"/>
  <c r="W415" i="2" s="1"/>
  <c r="S416" i="2"/>
  <c r="W416" i="2"/>
  <c r="S417" i="2"/>
  <c r="W417" i="2" s="1"/>
  <c r="S418" i="2"/>
  <c r="W418" i="2" s="1"/>
  <c r="S419" i="2"/>
  <c r="W419" i="2" s="1"/>
  <c r="S420" i="2"/>
  <c r="W420" i="2"/>
  <c r="S421" i="2"/>
  <c r="W421" i="2" s="1"/>
  <c r="S422" i="2"/>
  <c r="W422" i="2"/>
  <c r="S423" i="2"/>
  <c r="W423" i="2" s="1"/>
  <c r="S424" i="2"/>
  <c r="W424" i="2" s="1"/>
  <c r="S425" i="2"/>
  <c r="W425" i="2" s="1"/>
  <c r="S426" i="2"/>
  <c r="W426" i="2"/>
  <c r="S427" i="2"/>
  <c r="W427" i="2" s="1"/>
  <c r="S428" i="2"/>
  <c r="W428" i="2"/>
  <c r="S429" i="2"/>
  <c r="W429" i="2" s="1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U440" i="2"/>
  <c r="V440" i="2"/>
  <c r="D418" i="2"/>
  <c r="D417" i="2"/>
  <c r="G417" i="2" s="1"/>
  <c r="K417" i="2" s="1"/>
  <c r="D416" i="2"/>
  <c r="G416" i="2" s="1"/>
  <c r="K416" i="2" s="1"/>
  <c r="D415" i="2"/>
  <c r="D414" i="2"/>
  <c r="D413" i="2"/>
  <c r="G413" i="2" s="1"/>
  <c r="K413" i="2" s="1"/>
  <c r="D412" i="2"/>
  <c r="G412" i="2" s="1"/>
  <c r="K412" i="2" s="1"/>
  <c r="D411" i="2"/>
  <c r="D410" i="2"/>
  <c r="G410" i="2" s="1"/>
  <c r="K410" i="2" s="1"/>
  <c r="D409" i="2"/>
  <c r="G409" i="2" s="1"/>
  <c r="K409" i="2" s="1"/>
  <c r="D408" i="2"/>
  <c r="G408" i="2" s="1"/>
  <c r="K408" i="2" s="1"/>
  <c r="D407" i="2"/>
  <c r="G407" i="2" s="1"/>
  <c r="K407" i="2" s="1"/>
  <c r="D406" i="2"/>
  <c r="D405" i="2"/>
  <c r="D404" i="2"/>
  <c r="D403" i="2"/>
  <c r="G403" i="2" s="1"/>
  <c r="K403" i="2" s="1"/>
  <c r="D402" i="2"/>
  <c r="D401" i="2"/>
  <c r="D400" i="2"/>
  <c r="G400" i="2" s="1"/>
  <c r="K400" i="2" s="1"/>
  <c r="D399" i="2"/>
  <c r="D398" i="2"/>
  <c r="D397" i="2"/>
  <c r="G397" i="2"/>
  <c r="K397" i="2" s="1"/>
  <c r="C398" i="2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1" i="2" s="1"/>
  <c r="C412" i="2" s="1"/>
  <c r="C413" i="2" s="1"/>
  <c r="C414" i="2" s="1"/>
  <c r="C415" i="2" s="1"/>
  <c r="C416" i="2" s="1"/>
  <c r="C417" i="2" s="1"/>
  <c r="C418" i="2" s="1"/>
  <c r="G398" i="2"/>
  <c r="G399" i="2"/>
  <c r="K399" i="2" s="1"/>
  <c r="I440" i="2"/>
  <c r="G401" i="2"/>
  <c r="K401" i="2"/>
  <c r="G402" i="2"/>
  <c r="K402" i="2" s="1"/>
  <c r="G404" i="2"/>
  <c r="K404" i="2" s="1"/>
  <c r="G405" i="2"/>
  <c r="K405" i="2" s="1"/>
  <c r="G406" i="2"/>
  <c r="K406" i="2" s="1"/>
  <c r="G411" i="2"/>
  <c r="K411" i="2" s="1"/>
  <c r="G414" i="2"/>
  <c r="K414" i="2" s="1"/>
  <c r="G415" i="2"/>
  <c r="K415" i="2" s="1"/>
  <c r="G418" i="2"/>
  <c r="K418" i="2" s="1"/>
  <c r="G419" i="2"/>
  <c r="K419" i="2"/>
  <c r="G420" i="2"/>
  <c r="K420" i="2"/>
  <c r="G421" i="2"/>
  <c r="K421" i="2" s="1"/>
  <c r="G422" i="2"/>
  <c r="K422" i="2" s="1"/>
  <c r="G423" i="2"/>
  <c r="K423" i="2"/>
  <c r="G424" i="2"/>
  <c r="K424" i="2" s="1"/>
  <c r="G425" i="2"/>
  <c r="K425" i="2" s="1"/>
  <c r="G426" i="2"/>
  <c r="K426" i="2"/>
  <c r="G427" i="2"/>
  <c r="K427" i="2"/>
  <c r="G428" i="2"/>
  <c r="K428" i="2"/>
  <c r="G429" i="2"/>
  <c r="K429" i="2"/>
  <c r="G430" i="2"/>
  <c r="K430" i="2"/>
  <c r="G437" i="2"/>
  <c r="K437" i="2"/>
  <c r="E440" i="2"/>
  <c r="F440" i="2"/>
  <c r="J440" i="2"/>
  <c r="AI398" i="2" l="1"/>
  <c r="AI397" i="2"/>
  <c r="AI440" i="2" s="1"/>
  <c r="AE440" i="2"/>
  <c r="AB440" i="2"/>
  <c r="W397" i="2"/>
  <c r="W440" i="2" s="1"/>
  <c r="S440" i="2"/>
  <c r="P440" i="2"/>
  <c r="D440" i="2"/>
  <c r="G440" i="2"/>
  <c r="K398" i="2"/>
  <c r="K440" i="2" s="1"/>
  <c r="AB349" i="2"/>
  <c r="AB348" i="2"/>
  <c r="AE348" i="2" s="1"/>
  <c r="AI348" i="2" s="1"/>
  <c r="AB347" i="2"/>
  <c r="AE347" i="2" s="1"/>
  <c r="AI347" i="2" s="1"/>
  <c r="AB346" i="2"/>
  <c r="AB345" i="2"/>
  <c r="AB344" i="2"/>
  <c r="AE344" i="2" s="1"/>
  <c r="AI344" i="2" s="1"/>
  <c r="AB343" i="2"/>
  <c r="AG342" i="2"/>
  <c r="AB342" i="2"/>
  <c r="AA347" i="2"/>
  <c r="AA348" i="2" s="1"/>
  <c r="AA349" i="2" s="1"/>
  <c r="AE342" i="2"/>
  <c r="AI342" i="2" s="1"/>
  <c r="AA343" i="2"/>
  <c r="AA344" i="2"/>
  <c r="AG385" i="2"/>
  <c r="AA345" i="2"/>
  <c r="AE345" i="2"/>
  <c r="AE346" i="2"/>
  <c r="AI346" i="2" s="1"/>
  <c r="AE349" i="2"/>
  <c r="AI349" i="2"/>
  <c r="AE350" i="2"/>
  <c r="AI350" i="2"/>
  <c r="AE351" i="2"/>
  <c r="AI351" i="2" s="1"/>
  <c r="AE352" i="2"/>
  <c r="AI352" i="2" s="1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/>
  <c r="AE365" i="2"/>
  <c r="AI365" i="2"/>
  <c r="AE366" i="2"/>
  <c r="AI366" i="2"/>
  <c r="AE367" i="2"/>
  <c r="AI367" i="2"/>
  <c r="AE368" i="2"/>
  <c r="AI368" i="2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C385" i="2"/>
  <c r="AD385" i="2"/>
  <c r="AH385" i="2"/>
  <c r="P374" i="2"/>
  <c r="P373" i="2"/>
  <c r="S373" i="2" s="1"/>
  <c r="W373" i="2" s="1"/>
  <c r="P372" i="2"/>
  <c r="P371" i="2"/>
  <c r="P370" i="2"/>
  <c r="P369" i="2"/>
  <c r="P368" i="2"/>
  <c r="S368" i="2" s="1"/>
  <c r="W368" i="2" s="1"/>
  <c r="P367" i="2"/>
  <c r="P366" i="2"/>
  <c r="S366" i="2" s="1"/>
  <c r="W366" i="2" s="1"/>
  <c r="P365" i="2"/>
  <c r="S365" i="2" s="1"/>
  <c r="W365" i="2" s="1"/>
  <c r="P364" i="2"/>
  <c r="P363" i="2"/>
  <c r="P362" i="2"/>
  <c r="S362" i="2" s="1"/>
  <c r="W362" i="2" s="1"/>
  <c r="O362" i="2"/>
  <c r="O363" i="2" s="1"/>
  <c r="O364" i="2" s="1"/>
  <c r="O365" i="2" s="1"/>
  <c r="O366" i="2" s="1"/>
  <c r="O367" i="2" s="1"/>
  <c r="O368" i="2" s="1"/>
  <c r="O369" i="2" s="1"/>
  <c r="O370" i="2" s="1"/>
  <c r="O371" i="2" s="1"/>
  <c r="O372" i="2" s="1"/>
  <c r="O373" i="2" s="1"/>
  <c r="O374" i="2" s="1"/>
  <c r="P361" i="2"/>
  <c r="S361" i="2" s="1"/>
  <c r="W361" i="2" s="1"/>
  <c r="P360" i="2"/>
  <c r="P359" i="2"/>
  <c r="P358" i="2"/>
  <c r="P357" i="2"/>
  <c r="S357" i="2" s="1"/>
  <c r="W357" i="2" s="1"/>
  <c r="P356" i="2"/>
  <c r="S356" i="2" s="1"/>
  <c r="W356" i="2" s="1"/>
  <c r="P354" i="2"/>
  <c r="P353" i="2"/>
  <c r="S353" i="2" s="1"/>
  <c r="W353" i="2" s="1"/>
  <c r="P352" i="2"/>
  <c r="P351" i="2"/>
  <c r="P350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U343" i="2"/>
  <c r="P343" i="2"/>
  <c r="S343" i="2" s="1"/>
  <c r="W343" i="2" s="1"/>
  <c r="P342" i="2"/>
  <c r="S342" i="2"/>
  <c r="W342" i="2" s="1"/>
  <c r="O343" i="2"/>
  <c r="O344" i="2"/>
  <c r="S344" i="2"/>
  <c r="O346" i="2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O358" i="2" s="1"/>
  <c r="O359" i="2" s="1"/>
  <c r="O360" i="2" s="1"/>
  <c r="O361" i="2" s="1"/>
  <c r="S349" i="2"/>
  <c r="W349" i="2" s="1"/>
  <c r="S350" i="2"/>
  <c r="W350" i="2" s="1"/>
  <c r="S351" i="2"/>
  <c r="W351" i="2"/>
  <c r="S352" i="2"/>
  <c r="W352" i="2"/>
  <c r="S354" i="2"/>
  <c r="W354" i="2" s="1"/>
  <c r="S355" i="2"/>
  <c r="W355" i="2"/>
  <c r="S358" i="2"/>
  <c r="W358" i="2" s="1"/>
  <c r="S359" i="2"/>
  <c r="W359" i="2" s="1"/>
  <c r="S360" i="2"/>
  <c r="W360" i="2"/>
  <c r="S363" i="2"/>
  <c r="W363" i="2"/>
  <c r="S364" i="2"/>
  <c r="W364" i="2" s="1"/>
  <c r="S367" i="2"/>
  <c r="W367" i="2" s="1"/>
  <c r="S369" i="2"/>
  <c r="W369" i="2" s="1"/>
  <c r="S370" i="2"/>
  <c r="W370" i="2"/>
  <c r="S371" i="2"/>
  <c r="W371" i="2" s="1"/>
  <c r="S372" i="2"/>
  <c r="W372" i="2" s="1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Q385" i="2"/>
  <c r="R385" i="2"/>
  <c r="U385" i="2"/>
  <c r="V385" i="2"/>
  <c r="D354" i="2"/>
  <c r="G354" i="2" s="1"/>
  <c r="K354" i="2" s="1"/>
  <c r="D353" i="2"/>
  <c r="D352" i="2"/>
  <c r="G352" i="2" s="1"/>
  <c r="K352" i="2" s="1"/>
  <c r="D351" i="2"/>
  <c r="G351" i="2" s="1"/>
  <c r="K351" i="2" s="1"/>
  <c r="D350" i="2"/>
  <c r="G350" i="2" s="1"/>
  <c r="K350" i="2" s="1"/>
  <c r="D349" i="2"/>
  <c r="G349" i="2" s="1"/>
  <c r="K349" i="2" s="1"/>
  <c r="D348" i="2"/>
  <c r="G348" i="2" s="1"/>
  <c r="K348" i="2" s="1"/>
  <c r="D347" i="2"/>
  <c r="G347" i="2" s="1"/>
  <c r="K347" i="2" s="1"/>
  <c r="D346" i="2"/>
  <c r="G346" i="2" s="1"/>
  <c r="K346" i="2" s="1"/>
  <c r="I345" i="2"/>
  <c r="I385" i="2" s="1"/>
  <c r="D345" i="2"/>
  <c r="G345" i="2" s="1"/>
  <c r="K345" i="2" s="1"/>
  <c r="D344" i="2"/>
  <c r="D342" i="2"/>
  <c r="C344" i="2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G344" i="2"/>
  <c r="G343" i="2"/>
  <c r="K343" i="2" s="1"/>
  <c r="G342" i="2"/>
  <c r="K342" i="2" s="1"/>
  <c r="C343" i="2"/>
  <c r="J385" i="2"/>
  <c r="G353" i="2"/>
  <c r="K353" i="2"/>
  <c r="G355" i="2"/>
  <c r="K355" i="2"/>
  <c r="G356" i="2"/>
  <c r="K356" i="2" s="1"/>
  <c r="G357" i="2"/>
  <c r="K357" i="2"/>
  <c r="G358" i="2"/>
  <c r="K358" i="2"/>
  <c r="G359" i="2"/>
  <c r="K359" i="2"/>
  <c r="G360" i="2"/>
  <c r="K360" i="2"/>
  <c r="G361" i="2"/>
  <c r="K361" i="2"/>
  <c r="G362" i="2"/>
  <c r="K362" i="2"/>
  <c r="G363" i="2"/>
  <c r="K363" i="2"/>
  <c r="G364" i="2"/>
  <c r="K364" i="2" s="1"/>
  <c r="G365" i="2"/>
  <c r="K365" i="2"/>
  <c r="G366" i="2"/>
  <c r="K366" i="2"/>
  <c r="G367" i="2"/>
  <c r="K367" i="2"/>
  <c r="G368" i="2"/>
  <c r="K368" i="2"/>
  <c r="G369" i="2"/>
  <c r="K369" i="2"/>
  <c r="G370" i="2"/>
  <c r="K370" i="2"/>
  <c r="G371" i="2"/>
  <c r="K371" i="2"/>
  <c r="G372" i="2"/>
  <c r="K372" i="2" s="1"/>
  <c r="G373" i="2"/>
  <c r="K373" i="2"/>
  <c r="G374" i="2"/>
  <c r="K374" i="2"/>
  <c r="G375" i="2"/>
  <c r="K375" i="2"/>
  <c r="G382" i="2"/>
  <c r="K382" i="2"/>
  <c r="E385" i="2"/>
  <c r="F385" i="2"/>
  <c r="AB385" i="2" l="1"/>
  <c r="AE343" i="2"/>
  <c r="AI343" i="2" s="1"/>
  <c r="AE385" i="2"/>
  <c r="AI345" i="2"/>
  <c r="AI385" i="2" s="1"/>
  <c r="P385" i="2"/>
  <c r="S385" i="2"/>
  <c r="W344" i="2"/>
  <c r="W385" i="2" s="1"/>
  <c r="K344" i="2"/>
  <c r="G385" i="2"/>
  <c r="K385" i="2"/>
  <c r="D385" i="2"/>
  <c r="AB291" i="2"/>
  <c r="AB290" i="2"/>
  <c r="AG289" i="2"/>
  <c r="AB289" i="2"/>
  <c r="AB288" i="2"/>
  <c r="AB287" i="2"/>
  <c r="AE287" i="2" l="1"/>
  <c r="AI287" i="2" s="1"/>
  <c r="AA288" i="2"/>
  <c r="AA289" i="2" s="1"/>
  <c r="AA290" i="2" s="1"/>
  <c r="AA291" i="2" s="1"/>
  <c r="AE288" i="2"/>
  <c r="AI288" i="2" s="1"/>
  <c r="AE289" i="2"/>
  <c r="AI289" i="2"/>
  <c r="AB330" i="2"/>
  <c r="AE290" i="2"/>
  <c r="AI290" i="2" s="1"/>
  <c r="AE291" i="2"/>
  <c r="AI291" i="2" s="1"/>
  <c r="AE292" i="2"/>
  <c r="AI292" i="2" s="1"/>
  <c r="AE293" i="2"/>
  <c r="AI293" i="2"/>
  <c r="AE294" i="2"/>
  <c r="AI294" i="2" s="1"/>
  <c r="AE295" i="2"/>
  <c r="AI295" i="2"/>
  <c r="AE296" i="2"/>
  <c r="AI296" i="2"/>
  <c r="AE297" i="2"/>
  <c r="AI297" i="2" s="1"/>
  <c r="AE298" i="2"/>
  <c r="AI298" i="2" s="1"/>
  <c r="AE299" i="2"/>
  <c r="AI299" i="2"/>
  <c r="AE300" i="2"/>
  <c r="AI300" i="2" s="1"/>
  <c r="AE301" i="2"/>
  <c r="AI301" i="2"/>
  <c r="AE302" i="2"/>
  <c r="AI302" i="2" s="1"/>
  <c r="AE303" i="2"/>
  <c r="AI303" i="2"/>
  <c r="AE304" i="2"/>
  <c r="AI304" i="2"/>
  <c r="AE305" i="2"/>
  <c r="AI305" i="2"/>
  <c r="AE306" i="2"/>
  <c r="AI306" i="2" s="1"/>
  <c r="AE307" i="2"/>
  <c r="AI307" i="2" s="1"/>
  <c r="AE308" i="2"/>
  <c r="AI308" i="2" s="1"/>
  <c r="AE309" i="2"/>
  <c r="AI309" i="2"/>
  <c r="AE310" i="2"/>
  <c r="AI310" i="2" s="1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/>
  <c r="AE318" i="2"/>
  <c r="AI318" i="2" s="1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/>
  <c r="AI326" i="2"/>
  <c r="AE327" i="2"/>
  <c r="AI327" i="2"/>
  <c r="AI328" i="2"/>
  <c r="AC330" i="2"/>
  <c r="AD330" i="2"/>
  <c r="AG330" i="2"/>
  <c r="AH330" i="2"/>
  <c r="P295" i="2"/>
  <c r="S295" i="2" s="1"/>
  <c r="W295" i="2" s="1"/>
  <c r="P294" i="2"/>
  <c r="P293" i="2"/>
  <c r="V292" i="2"/>
  <c r="P292" i="2"/>
  <c r="P291" i="2"/>
  <c r="P290" i="2"/>
  <c r="P289" i="2"/>
  <c r="P288" i="2"/>
  <c r="P287" i="2"/>
  <c r="S287" i="2" s="1"/>
  <c r="V330" i="2"/>
  <c r="R330" i="2"/>
  <c r="Q330" i="2"/>
  <c r="W328" i="2"/>
  <c r="W327" i="2"/>
  <c r="S327" i="2"/>
  <c r="W326" i="2"/>
  <c r="W325" i="2"/>
  <c r="S325" i="2"/>
  <c r="W324" i="2"/>
  <c r="S324" i="2"/>
  <c r="S323" i="2"/>
  <c r="W323" i="2" s="1"/>
  <c r="S322" i="2"/>
  <c r="W322" i="2" s="1"/>
  <c r="S321" i="2"/>
  <c r="W321" i="2" s="1"/>
  <c r="S320" i="2"/>
  <c r="W320" i="2" s="1"/>
  <c r="S319" i="2"/>
  <c r="W319" i="2" s="1"/>
  <c r="S318" i="2"/>
  <c r="W318" i="2" s="1"/>
  <c r="W317" i="2"/>
  <c r="S317" i="2"/>
  <c r="W316" i="2"/>
  <c r="S316" i="2"/>
  <c r="S315" i="2"/>
  <c r="W315" i="2" s="1"/>
  <c r="S314" i="2"/>
  <c r="W314" i="2" s="1"/>
  <c r="S313" i="2"/>
  <c r="W313" i="2" s="1"/>
  <c r="S312" i="2"/>
  <c r="W312" i="2" s="1"/>
  <c r="S311" i="2"/>
  <c r="W311" i="2" s="1"/>
  <c r="S310" i="2"/>
  <c r="W310" i="2" s="1"/>
  <c r="W309" i="2"/>
  <c r="S309" i="2"/>
  <c r="W308" i="2"/>
  <c r="S308" i="2"/>
  <c r="S307" i="2"/>
  <c r="W307" i="2" s="1"/>
  <c r="S306" i="2"/>
  <c r="W306" i="2" s="1"/>
  <c r="S305" i="2"/>
  <c r="W305" i="2" s="1"/>
  <c r="S304" i="2"/>
  <c r="W304" i="2" s="1"/>
  <c r="S303" i="2"/>
  <c r="W303" i="2" s="1"/>
  <c r="S302" i="2"/>
  <c r="W302" i="2" s="1"/>
  <c r="S301" i="2"/>
  <c r="W301" i="2" s="1"/>
  <c r="W300" i="2"/>
  <c r="S300" i="2"/>
  <c r="S299" i="2"/>
  <c r="W299" i="2" s="1"/>
  <c r="S298" i="2"/>
  <c r="W298" i="2" s="1"/>
  <c r="S297" i="2"/>
  <c r="W297" i="2" s="1"/>
  <c r="S296" i="2"/>
  <c r="W296" i="2" s="1"/>
  <c r="U330" i="2"/>
  <c r="S294" i="2"/>
  <c r="W294" i="2" s="1"/>
  <c r="S293" i="2"/>
  <c r="W293" i="2" s="1"/>
  <c r="S292" i="2"/>
  <c r="W292" i="2" s="1"/>
  <c r="S291" i="2"/>
  <c r="W291" i="2" s="1"/>
  <c r="S290" i="2"/>
  <c r="W290" i="2" s="1"/>
  <c r="S289" i="2"/>
  <c r="W289" i="2" s="1"/>
  <c r="S288" i="2"/>
  <c r="W288" i="2" s="1"/>
  <c r="O288" i="2"/>
  <c r="O289" i="2" s="1"/>
  <c r="O290" i="2" s="1"/>
  <c r="O291" i="2" s="1"/>
  <c r="O292" i="2" s="1"/>
  <c r="O293" i="2" s="1"/>
  <c r="O294" i="2" s="1"/>
  <c r="O295" i="2" s="1"/>
  <c r="G290" i="2"/>
  <c r="K290" i="2" s="1"/>
  <c r="D289" i="2"/>
  <c r="G289" i="2" s="1"/>
  <c r="K289" i="2" s="1"/>
  <c r="J288" i="2"/>
  <c r="I288" i="2"/>
  <c r="D288" i="2"/>
  <c r="G288" i="2" s="1"/>
  <c r="K288" i="2" s="1"/>
  <c r="D287" i="2"/>
  <c r="G287" i="2"/>
  <c r="C288" i="2"/>
  <c r="C289" i="2" s="1"/>
  <c r="G291" i="2"/>
  <c r="K291" i="2" s="1"/>
  <c r="G292" i="2"/>
  <c r="K292" i="2" s="1"/>
  <c r="G293" i="2"/>
  <c r="K293" i="2" s="1"/>
  <c r="G294" i="2"/>
  <c r="K294" i="2"/>
  <c r="G295" i="2"/>
  <c r="K295" i="2" s="1"/>
  <c r="G296" i="2"/>
  <c r="K296" i="2"/>
  <c r="G297" i="2"/>
  <c r="K297" i="2" s="1"/>
  <c r="G298" i="2"/>
  <c r="K298" i="2"/>
  <c r="G299" i="2"/>
  <c r="K299" i="2" s="1"/>
  <c r="G300" i="2"/>
  <c r="K300" i="2"/>
  <c r="G301" i="2"/>
  <c r="K301" i="2" s="1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 s="1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 s="1"/>
  <c r="G319" i="2"/>
  <c r="K319" i="2" s="1"/>
  <c r="G320" i="2"/>
  <c r="K320" i="2"/>
  <c r="G327" i="2"/>
  <c r="K327" i="2"/>
  <c r="E330" i="2"/>
  <c r="F330" i="2"/>
  <c r="I330" i="2"/>
  <c r="J330" i="2"/>
  <c r="AI330" i="2" l="1"/>
  <c r="AE330" i="2"/>
  <c r="P330" i="2"/>
  <c r="S330" i="2"/>
  <c r="W287" i="2"/>
  <c r="W330" i="2" s="1"/>
  <c r="D330" i="2"/>
  <c r="K287" i="2"/>
  <c r="K330" i="2" s="1"/>
  <c r="G330" i="2"/>
  <c r="AB236" i="2"/>
  <c r="AE236" i="2" s="1"/>
  <c r="AI236" i="2" s="1"/>
  <c r="AB235" i="2"/>
  <c r="AB234" i="2"/>
  <c r="AB233" i="2"/>
  <c r="AE233" i="2" s="1"/>
  <c r="AB232" i="2"/>
  <c r="AA233" i="2"/>
  <c r="AA234" i="2" s="1"/>
  <c r="AA235" i="2" s="1"/>
  <c r="AA236" i="2" s="1"/>
  <c r="AE234" i="2"/>
  <c r="AI234" i="2"/>
  <c r="AE237" i="2"/>
  <c r="AI237" i="2" s="1"/>
  <c r="AE238" i="2"/>
  <c r="AI238" i="2" s="1"/>
  <c r="AE239" i="2"/>
  <c r="AI239" i="2" s="1"/>
  <c r="AE240" i="2"/>
  <c r="AI240" i="2"/>
  <c r="AE241" i="2"/>
  <c r="AI241" i="2" s="1"/>
  <c r="AE242" i="2"/>
  <c r="AI242" i="2"/>
  <c r="AE243" i="2"/>
  <c r="AI243" i="2" s="1"/>
  <c r="AE244" i="2"/>
  <c r="AI244" i="2"/>
  <c r="AE245" i="2"/>
  <c r="AI245" i="2"/>
  <c r="AE246" i="2"/>
  <c r="AI246" i="2" s="1"/>
  <c r="AE247" i="2"/>
  <c r="AI247" i="2" s="1"/>
  <c r="AE248" i="2"/>
  <c r="AI248" i="2"/>
  <c r="AE249" i="2"/>
  <c r="AI249" i="2"/>
  <c r="AE250" i="2"/>
  <c r="AI250" i="2" s="1"/>
  <c r="AE251" i="2"/>
  <c r="AI251" i="2" s="1"/>
  <c r="AE252" i="2"/>
  <c r="AI252" i="2"/>
  <c r="AE253" i="2"/>
  <c r="AI253" i="2"/>
  <c r="AE254" i="2"/>
  <c r="AI254" i="2"/>
  <c r="AE255" i="2"/>
  <c r="AI255" i="2" s="1"/>
  <c r="AE256" i="2"/>
  <c r="AI256" i="2"/>
  <c r="AE257" i="2"/>
  <c r="AI257" i="2"/>
  <c r="AE258" i="2"/>
  <c r="AI258" i="2"/>
  <c r="AE259" i="2"/>
  <c r="AI259" i="2" s="1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 s="1"/>
  <c r="AE268" i="2"/>
  <c r="AI268" i="2"/>
  <c r="AE269" i="2"/>
  <c r="AI269" i="2"/>
  <c r="AE270" i="2"/>
  <c r="AI270" i="2"/>
  <c r="AI271" i="2"/>
  <c r="AE272" i="2"/>
  <c r="AI272" i="2"/>
  <c r="AI273" i="2"/>
  <c r="AC275" i="2"/>
  <c r="AD275" i="2"/>
  <c r="AG275" i="2"/>
  <c r="AH275" i="2"/>
  <c r="D248" i="2"/>
  <c r="G248" i="2"/>
  <c r="K248" i="2" s="1"/>
  <c r="D247" i="2"/>
  <c r="G247" i="2" s="1"/>
  <c r="K247" i="2" s="1"/>
  <c r="D246" i="2"/>
  <c r="D245" i="2"/>
  <c r="G245" i="2" s="1"/>
  <c r="K245" i="2" s="1"/>
  <c r="D244" i="2"/>
  <c r="D243" i="2"/>
  <c r="D242" i="2"/>
  <c r="D241" i="2"/>
  <c r="D240" i="2"/>
  <c r="G240" i="2" s="1"/>
  <c r="K240" i="2" s="1"/>
  <c r="D239" i="2"/>
  <c r="G239" i="2" s="1"/>
  <c r="K239" i="2" s="1"/>
  <c r="D238" i="2"/>
  <c r="G238" i="2" s="1"/>
  <c r="K238" i="2" s="1"/>
  <c r="D237" i="2"/>
  <c r="G237" i="2" s="1"/>
  <c r="K237" i="2" s="1"/>
  <c r="D236" i="2"/>
  <c r="D235" i="2"/>
  <c r="D234" i="2"/>
  <c r="D233" i="2"/>
  <c r="G233" i="2" s="1"/>
  <c r="K233" i="2" s="1"/>
  <c r="D232" i="2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G234" i="2"/>
  <c r="K234" i="2" s="1"/>
  <c r="G235" i="2"/>
  <c r="K235" i="2" s="1"/>
  <c r="I275" i="2"/>
  <c r="G236" i="2"/>
  <c r="K236" i="2" s="1"/>
  <c r="G241" i="2"/>
  <c r="K241" i="2" s="1"/>
  <c r="G242" i="2"/>
  <c r="K242" i="2" s="1"/>
  <c r="G243" i="2"/>
  <c r="K243" i="2"/>
  <c r="G244" i="2"/>
  <c r="K244" i="2" s="1"/>
  <c r="G246" i="2"/>
  <c r="K246" i="2" s="1"/>
  <c r="G249" i="2"/>
  <c r="K249" i="2" s="1"/>
  <c r="G250" i="2"/>
  <c r="K250" i="2" s="1"/>
  <c r="G251" i="2"/>
  <c r="K251" i="2" s="1"/>
  <c r="G252" i="2"/>
  <c r="K252" i="2"/>
  <c r="G253" i="2"/>
  <c r="K253" i="2"/>
  <c r="G254" i="2"/>
  <c r="K254" i="2"/>
  <c r="G255" i="2"/>
  <c r="K255" i="2"/>
  <c r="G256" i="2"/>
  <c r="K256" i="2"/>
  <c r="G257" i="2"/>
  <c r="K257" i="2" s="1"/>
  <c r="G258" i="2"/>
  <c r="K258" i="2" s="1"/>
  <c r="G259" i="2"/>
  <c r="K259" i="2"/>
  <c r="G260" i="2"/>
  <c r="K260" i="2"/>
  <c r="G261" i="2"/>
  <c r="K261" i="2"/>
  <c r="G262" i="2"/>
  <c r="K262" i="2"/>
  <c r="G263" i="2"/>
  <c r="K263" i="2"/>
  <c r="G264" i="2"/>
  <c r="K264" i="2"/>
  <c r="G265" i="2"/>
  <c r="K265" i="2" s="1"/>
  <c r="G272" i="2"/>
  <c r="K272" i="2" s="1"/>
  <c r="E275" i="2"/>
  <c r="F275" i="2"/>
  <c r="J275" i="2"/>
  <c r="AB275" i="2" l="1"/>
  <c r="AE232" i="2"/>
  <c r="AI232" i="2" s="1"/>
  <c r="AI233" i="2"/>
  <c r="AE235" i="2"/>
  <c r="AI235" i="2" s="1"/>
  <c r="D275" i="2"/>
  <c r="G232" i="2"/>
  <c r="AB181" i="2"/>
  <c r="AB180" i="2"/>
  <c r="AB179" i="2"/>
  <c r="AB178" i="2"/>
  <c r="AB177" i="2"/>
  <c r="AB220" i="2"/>
  <c r="AA178" i="2"/>
  <c r="AA179" i="2" s="1"/>
  <c r="AA180" i="2" s="1"/>
  <c r="AA181" i="2" s="1"/>
  <c r="AE178" i="2"/>
  <c r="AI178" i="2" s="1"/>
  <c r="AE179" i="2"/>
  <c r="AI179" i="2" s="1"/>
  <c r="AE180" i="2"/>
  <c r="AI180" i="2" s="1"/>
  <c r="AE181" i="2"/>
  <c r="AI181" i="2" s="1"/>
  <c r="AE182" i="2"/>
  <c r="AI182" i="2" s="1"/>
  <c r="AE183" i="2"/>
  <c r="AI183" i="2"/>
  <c r="AE184" i="2"/>
  <c r="AI184" i="2" s="1"/>
  <c r="AE185" i="2"/>
  <c r="AI185" i="2" s="1"/>
  <c r="AE186" i="2"/>
  <c r="AI186" i="2"/>
  <c r="AE187" i="2"/>
  <c r="AI187" i="2"/>
  <c r="AE188" i="2"/>
  <c r="AI188" i="2" s="1"/>
  <c r="AE189" i="2"/>
  <c r="AI189" i="2" s="1"/>
  <c r="AE190" i="2"/>
  <c r="AI190" i="2"/>
  <c r="AE191" i="2"/>
  <c r="AI191" i="2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/>
  <c r="AI216" i="2"/>
  <c r="AE217" i="2"/>
  <c r="AI217" i="2" s="1"/>
  <c r="AI218" i="2"/>
  <c r="AC220" i="2"/>
  <c r="AD220" i="2"/>
  <c r="AG220" i="2"/>
  <c r="AH220" i="2"/>
  <c r="P188" i="2"/>
  <c r="S188" i="2" s="1"/>
  <c r="W188" i="2" s="1"/>
  <c r="P187" i="2"/>
  <c r="S187" i="2" s="1"/>
  <c r="W187" i="2" s="1"/>
  <c r="P186" i="2"/>
  <c r="P185" i="2"/>
  <c r="S185" i="2" s="1"/>
  <c r="W185" i="2" s="1"/>
  <c r="U184" i="2"/>
  <c r="W184" i="2" s="1"/>
  <c r="P184" i="2"/>
  <c r="P183" i="2"/>
  <c r="P182" i="2"/>
  <c r="S182" i="2" s="1"/>
  <c r="W182" i="2" s="1"/>
  <c r="P181" i="2"/>
  <c r="P180" i="2"/>
  <c r="P179" i="2"/>
  <c r="P178" i="2"/>
  <c r="P177" i="2"/>
  <c r="S177" i="2"/>
  <c r="W177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S178" i="2"/>
  <c r="W178" i="2" s="1"/>
  <c r="S179" i="2"/>
  <c r="S180" i="2"/>
  <c r="W180" i="2" s="1"/>
  <c r="S181" i="2"/>
  <c r="W181" i="2"/>
  <c r="S183" i="2"/>
  <c r="W183" i="2" s="1"/>
  <c r="S184" i="2"/>
  <c r="S186" i="2"/>
  <c r="W186" i="2" s="1"/>
  <c r="S189" i="2"/>
  <c r="W189" i="2" s="1"/>
  <c r="S190" i="2"/>
  <c r="W190" i="2"/>
  <c r="S191" i="2"/>
  <c r="W191" i="2"/>
  <c r="S192" i="2"/>
  <c r="W192" i="2"/>
  <c r="S193" i="2"/>
  <c r="W193" i="2" s="1"/>
  <c r="S194" i="2"/>
  <c r="W194" i="2" s="1"/>
  <c r="S195" i="2"/>
  <c r="W195" i="2" s="1"/>
  <c r="S196" i="2"/>
  <c r="W196" i="2" s="1"/>
  <c r="S197" i="2"/>
  <c r="W197" i="2"/>
  <c r="S198" i="2"/>
  <c r="W198" i="2"/>
  <c r="S199" i="2"/>
  <c r="W199" i="2"/>
  <c r="S200" i="2"/>
  <c r="W200" i="2"/>
  <c r="S201" i="2"/>
  <c r="W201" i="2"/>
  <c r="S202" i="2"/>
  <c r="W202" i="2" s="1"/>
  <c r="S203" i="2"/>
  <c r="W203" i="2"/>
  <c r="S204" i="2"/>
  <c r="W204" i="2" s="1"/>
  <c r="S205" i="2"/>
  <c r="W205" i="2"/>
  <c r="S206" i="2"/>
  <c r="W206" i="2"/>
  <c r="S207" i="2"/>
  <c r="W207" i="2"/>
  <c r="S208" i="2"/>
  <c r="W208" i="2"/>
  <c r="S209" i="2"/>
  <c r="W209" i="2"/>
  <c r="S210" i="2"/>
  <c r="W210" i="2" s="1"/>
  <c r="S211" i="2"/>
  <c r="W211" i="2"/>
  <c r="S212" i="2"/>
  <c r="W212" i="2" s="1"/>
  <c r="S213" i="2"/>
  <c r="W213" i="2"/>
  <c r="S214" i="2"/>
  <c r="W214" i="2"/>
  <c r="S215" i="2"/>
  <c r="W215" i="2"/>
  <c r="W216" i="2"/>
  <c r="S217" i="2"/>
  <c r="W217" i="2"/>
  <c r="W218" i="2"/>
  <c r="Q220" i="2"/>
  <c r="R220" i="2"/>
  <c r="V220" i="2"/>
  <c r="D185" i="2"/>
  <c r="G185" i="2" s="1"/>
  <c r="K185" i="2" s="1"/>
  <c r="D184" i="2"/>
  <c r="G184" i="2" s="1"/>
  <c r="K184" i="2" s="1"/>
  <c r="D183" i="2"/>
  <c r="G183" i="2" s="1"/>
  <c r="K183" i="2" s="1"/>
  <c r="D182" i="2"/>
  <c r="D181" i="2"/>
  <c r="I180" i="2"/>
  <c r="I220" i="2" s="1"/>
  <c r="D180" i="2"/>
  <c r="G180" i="2" s="1"/>
  <c r="D179" i="2"/>
  <c r="D178" i="2"/>
  <c r="D177" i="2"/>
  <c r="G177" i="2" s="1"/>
  <c r="C178" i="2"/>
  <c r="C179" i="2" s="1"/>
  <c r="C180" i="2" s="1"/>
  <c r="C181" i="2" s="1"/>
  <c r="C182" i="2" s="1"/>
  <c r="C183" i="2" s="1"/>
  <c r="C184" i="2" s="1"/>
  <c r="C185" i="2" s="1"/>
  <c r="G179" i="2"/>
  <c r="K179" i="2" s="1"/>
  <c r="G181" i="2"/>
  <c r="K181" i="2" s="1"/>
  <c r="G182" i="2"/>
  <c r="K182" i="2" s="1"/>
  <c r="G186" i="2"/>
  <c r="K186" i="2"/>
  <c r="G187" i="2"/>
  <c r="K187" i="2" s="1"/>
  <c r="G188" i="2"/>
  <c r="K188" i="2" s="1"/>
  <c r="G189" i="2"/>
  <c r="K189" i="2" s="1"/>
  <c r="G190" i="2"/>
  <c r="K190" i="2"/>
  <c r="G191" i="2"/>
  <c r="K191" i="2" s="1"/>
  <c r="G192" i="2"/>
  <c r="K192" i="2" s="1"/>
  <c r="G193" i="2"/>
  <c r="K193" i="2" s="1"/>
  <c r="G194" i="2"/>
  <c r="K194" i="2"/>
  <c r="G195" i="2"/>
  <c r="K195" i="2" s="1"/>
  <c r="G196" i="2"/>
  <c r="K196" i="2" s="1"/>
  <c r="G197" i="2"/>
  <c r="K197" i="2" s="1"/>
  <c r="G198" i="2"/>
  <c r="K198" i="2"/>
  <c r="G199" i="2"/>
  <c r="K199" i="2" s="1"/>
  <c r="G200" i="2"/>
  <c r="K200" i="2" s="1"/>
  <c r="G201" i="2"/>
  <c r="K201" i="2"/>
  <c r="G202" i="2"/>
  <c r="K202" i="2"/>
  <c r="G203" i="2"/>
  <c r="K203" i="2"/>
  <c r="G204" i="2"/>
  <c r="K204" i="2"/>
  <c r="G205" i="2"/>
  <c r="K205" i="2" s="1"/>
  <c r="G206" i="2"/>
  <c r="K206" i="2" s="1"/>
  <c r="G207" i="2"/>
  <c r="K207" i="2"/>
  <c r="G208" i="2"/>
  <c r="K208" i="2" s="1"/>
  <c r="G209" i="2"/>
  <c r="K209" i="2"/>
  <c r="G210" i="2"/>
  <c r="K210" i="2"/>
  <c r="G217" i="2"/>
  <c r="K217" i="2"/>
  <c r="E220" i="2"/>
  <c r="F220" i="2"/>
  <c r="J220" i="2"/>
  <c r="AI275" i="2" l="1"/>
  <c r="AE275" i="2"/>
  <c r="K232" i="2"/>
  <c r="K275" i="2" s="1"/>
  <c r="G275" i="2"/>
  <c r="AE177" i="2"/>
  <c r="AI177" i="2" s="1"/>
  <c r="AI220" i="2" s="1"/>
  <c r="U220" i="2"/>
  <c r="P220" i="2"/>
  <c r="S220" i="2"/>
  <c r="W179" i="2"/>
  <c r="W220" i="2" s="1"/>
  <c r="K180" i="2"/>
  <c r="D220" i="2"/>
  <c r="K177" i="2"/>
  <c r="G178" i="2"/>
  <c r="K178" i="2" s="1"/>
  <c r="AG165" i="2"/>
  <c r="AB129" i="2"/>
  <c r="AE129" i="2" s="1"/>
  <c r="AI129" i="2" s="1"/>
  <c r="AB128" i="2"/>
  <c r="AE128" i="2" s="1"/>
  <c r="AI128" i="2" s="1"/>
  <c r="AB127" i="2"/>
  <c r="AB126" i="2"/>
  <c r="AE126" i="2" s="1"/>
  <c r="AI126" i="2" s="1"/>
  <c r="AB125" i="2"/>
  <c r="AB124" i="2"/>
  <c r="AB123" i="2"/>
  <c r="AB122" i="2"/>
  <c r="AE122" i="2"/>
  <c r="AA123" i="2"/>
  <c r="AE123" i="2"/>
  <c r="AI123" i="2" s="1"/>
  <c r="AA124" i="2"/>
  <c r="AA125" i="2" s="1"/>
  <c r="AA126" i="2" s="1"/>
  <c r="AA127" i="2" s="1"/>
  <c r="AA128" i="2" s="1"/>
  <c r="AA129" i="2" s="1"/>
  <c r="AA130" i="2" s="1"/>
  <c r="AE124" i="2"/>
  <c r="AI124" i="2" s="1"/>
  <c r="AE125" i="2"/>
  <c r="AI125" i="2" s="1"/>
  <c r="AE127" i="2"/>
  <c r="AI127" i="2" s="1"/>
  <c r="AE130" i="2"/>
  <c r="AE131" i="2"/>
  <c r="AI131" i="2"/>
  <c r="AE132" i="2"/>
  <c r="AI132" i="2" s="1"/>
  <c r="AE133" i="2"/>
  <c r="AI133" i="2" s="1"/>
  <c r="AE134" i="2"/>
  <c r="AI134" i="2"/>
  <c r="AE135" i="2"/>
  <c r="AI135" i="2"/>
  <c r="AE136" i="2"/>
  <c r="AI136" i="2" s="1"/>
  <c r="AE137" i="2"/>
  <c r="AI137" i="2"/>
  <c r="AE138" i="2"/>
  <c r="AI138" i="2"/>
  <c r="AE139" i="2"/>
  <c r="AI139" i="2"/>
  <c r="AE140" i="2"/>
  <c r="AI140" i="2"/>
  <c r="AE141" i="2"/>
  <c r="AI141" i="2"/>
  <c r="AE142" i="2"/>
  <c r="AI142" i="2"/>
  <c r="AE143" i="2"/>
  <c r="AI143" i="2"/>
  <c r="AE144" i="2"/>
  <c r="AI144" i="2" s="1"/>
  <c r="AE145" i="2"/>
  <c r="AI145" i="2"/>
  <c r="AE146" i="2"/>
  <c r="AI146" i="2"/>
  <c r="AE147" i="2"/>
  <c r="AI147" i="2"/>
  <c r="AE148" i="2"/>
  <c r="AI148" i="2"/>
  <c r="AE149" i="2"/>
  <c r="AI149" i="2"/>
  <c r="AE150" i="2"/>
  <c r="AI150" i="2"/>
  <c r="AE151" i="2"/>
  <c r="AI151" i="2"/>
  <c r="AE152" i="2"/>
  <c r="AI152" i="2" s="1"/>
  <c r="AE153" i="2"/>
  <c r="AI153" i="2"/>
  <c r="AE154" i="2"/>
  <c r="AI154" i="2"/>
  <c r="AE155" i="2"/>
  <c r="AI155" i="2"/>
  <c r="AE156" i="2"/>
  <c r="AI156" i="2"/>
  <c r="AE157" i="2"/>
  <c r="AI157" i="2"/>
  <c r="AE158" i="2"/>
  <c r="AI158" i="2"/>
  <c r="AE159" i="2"/>
  <c r="AI159" i="2"/>
  <c r="AE160" i="2"/>
  <c r="AI160" i="2" s="1"/>
  <c r="AI161" i="2"/>
  <c r="AE162" i="2"/>
  <c r="AI162" i="2" s="1"/>
  <c r="AI163" i="2"/>
  <c r="AC165" i="2"/>
  <c r="AD165" i="2"/>
  <c r="AH165" i="2"/>
  <c r="U127" i="2"/>
  <c r="P127" i="2"/>
  <c r="U126" i="2"/>
  <c r="U165" i="2" s="1"/>
  <c r="P126" i="2"/>
  <c r="P125" i="2"/>
  <c r="S125" i="2" s="1"/>
  <c r="W125" i="2" s="1"/>
  <c r="P124" i="2"/>
  <c r="S124" i="2" s="1"/>
  <c r="W124" i="2" s="1"/>
  <c r="P123" i="2"/>
  <c r="P122" i="2"/>
  <c r="S122" i="2" s="1"/>
  <c r="W122" i="2" s="1"/>
  <c r="O123" i="2"/>
  <c r="S123" i="2"/>
  <c r="W123" i="2" s="1"/>
  <c r="O124" i="2"/>
  <c r="O125" i="2" s="1"/>
  <c r="O126" i="2" s="1"/>
  <c r="O127" i="2" s="1"/>
  <c r="S126" i="2"/>
  <c r="S127" i="2"/>
  <c r="W127" i="2" s="1"/>
  <c r="S128" i="2"/>
  <c r="W128" i="2" s="1"/>
  <c r="S129" i="2"/>
  <c r="W129" i="2" s="1"/>
  <c r="S130" i="2"/>
  <c r="W130" i="2" s="1"/>
  <c r="S131" i="2"/>
  <c r="W131" i="2" s="1"/>
  <c r="S132" i="2"/>
  <c r="W132" i="2" s="1"/>
  <c r="S133" i="2"/>
  <c r="W133" i="2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W141" i="2" s="1"/>
  <c r="S142" i="2"/>
  <c r="W142" i="2" s="1"/>
  <c r="S143" i="2"/>
  <c r="W143" i="2"/>
  <c r="S144" i="2"/>
  <c r="W144" i="2"/>
  <c r="S145" i="2"/>
  <c r="W145" i="2" s="1"/>
  <c r="S146" i="2"/>
  <c r="W146" i="2" s="1"/>
  <c r="S147" i="2"/>
  <c r="W147" i="2"/>
  <c r="S148" i="2"/>
  <c r="W148" i="2"/>
  <c r="S149" i="2"/>
  <c r="W149" i="2"/>
  <c r="S150" i="2"/>
  <c r="W150" i="2" s="1"/>
  <c r="S151" i="2"/>
  <c r="W151" i="2"/>
  <c r="S152" i="2"/>
  <c r="W152" i="2"/>
  <c r="S153" i="2"/>
  <c r="W153" i="2" s="1"/>
  <c r="S154" i="2"/>
  <c r="W154" i="2" s="1"/>
  <c r="S155" i="2"/>
  <c r="W155" i="2"/>
  <c r="S156" i="2"/>
  <c r="W156" i="2"/>
  <c r="S157" i="2"/>
  <c r="W157" i="2"/>
  <c r="S158" i="2"/>
  <c r="W158" i="2" s="1"/>
  <c r="S159" i="2"/>
  <c r="W159" i="2"/>
  <c r="S160" i="2"/>
  <c r="W160" i="2"/>
  <c r="W161" i="2"/>
  <c r="S162" i="2"/>
  <c r="W162" i="2"/>
  <c r="W163" i="2"/>
  <c r="Q165" i="2"/>
  <c r="R165" i="2"/>
  <c r="V165" i="2"/>
  <c r="D145" i="2"/>
  <c r="D144" i="2"/>
  <c r="G144" i="2" s="1"/>
  <c r="K144" i="2" s="1"/>
  <c r="D143" i="2"/>
  <c r="G143" i="2" s="1"/>
  <c r="K143" i="2" s="1"/>
  <c r="D142" i="2"/>
  <c r="D141" i="2"/>
  <c r="G141" i="2" s="1"/>
  <c r="K141" i="2" s="1"/>
  <c r="D140" i="2"/>
  <c r="G140" i="2" s="1"/>
  <c r="K140" i="2" s="1"/>
  <c r="D139" i="2"/>
  <c r="G139" i="2" s="1"/>
  <c r="K139" i="2" s="1"/>
  <c r="D138" i="2"/>
  <c r="G138" i="2" s="1"/>
  <c r="K138" i="2" s="1"/>
  <c r="D137" i="2"/>
  <c r="G137" i="2" s="1"/>
  <c r="K137" i="2" s="1"/>
  <c r="D136" i="2"/>
  <c r="D135" i="2"/>
  <c r="D134" i="2"/>
  <c r="G134" i="2" s="1"/>
  <c r="K134" i="2" s="1"/>
  <c r="D133" i="2"/>
  <c r="G133" i="2"/>
  <c r="K133" i="2" s="1"/>
  <c r="D132" i="2"/>
  <c r="D131" i="2"/>
  <c r="G131" i="2" s="1"/>
  <c r="K131" i="2" s="1"/>
  <c r="D130" i="2"/>
  <c r="G130" i="2" s="1"/>
  <c r="K130" i="2" s="1"/>
  <c r="D129" i="2"/>
  <c r="G129" i="2" s="1"/>
  <c r="K129" i="2" s="1"/>
  <c r="I128" i="2"/>
  <c r="I165" i="2" s="1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D122" i="2"/>
  <c r="C124" i="2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G122" i="2"/>
  <c r="J165" i="2"/>
  <c r="C123" i="2"/>
  <c r="G123" i="2"/>
  <c r="K123" i="2" s="1"/>
  <c r="G132" i="2"/>
  <c r="K132" i="2"/>
  <c r="G135" i="2"/>
  <c r="K135" i="2" s="1"/>
  <c r="G136" i="2"/>
  <c r="K136" i="2" s="1"/>
  <c r="G142" i="2"/>
  <c r="K142" i="2"/>
  <c r="G145" i="2"/>
  <c r="K145" i="2" s="1"/>
  <c r="G146" i="2"/>
  <c r="K146" i="2" s="1"/>
  <c r="G147" i="2"/>
  <c r="K147" i="2" s="1"/>
  <c r="G148" i="2"/>
  <c r="K148" i="2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/>
  <c r="E165" i="2"/>
  <c r="F165" i="2"/>
  <c r="AE220" i="2" l="1"/>
  <c r="G220" i="2"/>
  <c r="K220" i="2"/>
  <c r="AI130" i="2"/>
  <c r="AB165" i="2"/>
  <c r="AI122" i="2"/>
  <c r="AI165" i="2" s="1"/>
  <c r="AE165" i="2"/>
  <c r="W126" i="2"/>
  <c r="P165" i="2"/>
  <c r="W165" i="2"/>
  <c r="S165" i="2"/>
  <c r="K122" i="2"/>
  <c r="K165" i="2" s="1"/>
  <c r="G165" i="2"/>
  <c r="D165" i="2"/>
  <c r="J13" i="1"/>
  <c r="AB70" i="2"/>
  <c r="AE70" i="2" s="1"/>
  <c r="AI70" i="2" s="1"/>
  <c r="AA70" i="2"/>
  <c r="AB69" i="2"/>
  <c r="AB68" i="2"/>
  <c r="AE68" i="2" s="1"/>
  <c r="AI68" i="2" s="1"/>
  <c r="AH67" i="2"/>
  <c r="AH110" i="2" s="1"/>
  <c r="AB67" i="2"/>
  <c r="AE67" i="2"/>
  <c r="AI67" i="2" s="1"/>
  <c r="AA68" i="2"/>
  <c r="AA69" i="2" s="1"/>
  <c r="AE71" i="2"/>
  <c r="AI71" i="2" s="1"/>
  <c r="AE72" i="2"/>
  <c r="AI72" i="2"/>
  <c r="AE73" i="2"/>
  <c r="AI73" i="2"/>
  <c r="AE74" i="2"/>
  <c r="AI74" i="2"/>
  <c r="AE75" i="2"/>
  <c r="AI75" i="2"/>
  <c r="AE76" i="2"/>
  <c r="AI76" i="2"/>
  <c r="AE77" i="2"/>
  <c r="AI77" i="2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C110" i="2"/>
  <c r="AD110" i="2"/>
  <c r="AG110" i="2"/>
  <c r="V69" i="2"/>
  <c r="V110" i="2"/>
  <c r="P69" i="2"/>
  <c r="S69" i="2" s="1"/>
  <c r="U68" i="2"/>
  <c r="U110" i="2" s="1"/>
  <c r="P68" i="2"/>
  <c r="P67" i="2"/>
  <c r="S67" i="2" s="1"/>
  <c r="O68" i="2"/>
  <c r="O69" i="2" s="1"/>
  <c r="S68" i="2"/>
  <c r="S70" i="2"/>
  <c r="W70" i="2" s="1"/>
  <c r="S71" i="2"/>
  <c r="W71" i="2"/>
  <c r="S72" i="2"/>
  <c r="W72" i="2" s="1"/>
  <c r="S73" i="2"/>
  <c r="W73" i="2"/>
  <c r="S74" i="2"/>
  <c r="W74" i="2" s="1"/>
  <c r="S75" i="2"/>
  <c r="W75" i="2"/>
  <c r="S76" i="2"/>
  <c r="W76" i="2"/>
  <c r="S77" i="2"/>
  <c r="W77" i="2"/>
  <c r="S78" i="2"/>
  <c r="W78" i="2"/>
  <c r="S79" i="2"/>
  <c r="W79" i="2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 s="1"/>
  <c r="S97" i="2"/>
  <c r="W97" i="2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Q110" i="2"/>
  <c r="R110" i="2"/>
  <c r="D68" i="2"/>
  <c r="J67" i="2"/>
  <c r="J110" i="2" s="1"/>
  <c r="D67" i="2"/>
  <c r="G67" i="2"/>
  <c r="C68" i="2"/>
  <c r="G68" i="2"/>
  <c r="K68" i="2" s="1"/>
  <c r="G69" i="2"/>
  <c r="K69" i="2" s="1"/>
  <c r="G70" i="2"/>
  <c r="K70" i="2" s="1"/>
  <c r="G71" i="2"/>
  <c r="K71" i="2" s="1"/>
  <c r="G72" i="2"/>
  <c r="K72" i="2" s="1"/>
  <c r="G73" i="2"/>
  <c r="K73" i="2" s="1"/>
  <c r="G74" i="2"/>
  <c r="K74" i="2"/>
  <c r="G75" i="2"/>
  <c r="K75" i="2" s="1"/>
  <c r="G76" i="2"/>
  <c r="K76" i="2"/>
  <c r="G77" i="2"/>
  <c r="K77" i="2" s="1"/>
  <c r="G78" i="2"/>
  <c r="K78" i="2" s="1"/>
  <c r="G79" i="2"/>
  <c r="K79" i="2" s="1"/>
  <c r="G80" i="2"/>
  <c r="K80" i="2"/>
  <c r="G81" i="2"/>
  <c r="K81" i="2" s="1"/>
  <c r="G82" i="2"/>
  <c r="K82" i="2"/>
  <c r="G83" i="2"/>
  <c r="K83" i="2" s="1"/>
  <c r="G84" i="2"/>
  <c r="K84" i="2" s="1"/>
  <c r="G85" i="2"/>
  <c r="K85" i="2" s="1"/>
  <c r="G86" i="2"/>
  <c r="K86" i="2"/>
  <c r="G87" i="2"/>
  <c r="K87" i="2"/>
  <c r="G88" i="2"/>
  <c r="K88" i="2"/>
  <c r="G89" i="2"/>
  <c r="K89" i="2" s="1"/>
  <c r="G90" i="2"/>
  <c r="K90" i="2"/>
  <c r="G91" i="2"/>
  <c r="K91" i="2" s="1"/>
  <c r="G92" i="2"/>
  <c r="K92" i="2"/>
  <c r="G93" i="2"/>
  <c r="K93" i="2" s="1"/>
  <c r="G94" i="2"/>
  <c r="K94" i="2"/>
  <c r="G95" i="2"/>
  <c r="K95" i="2"/>
  <c r="G96" i="2"/>
  <c r="K96" i="2"/>
  <c r="G97" i="2"/>
  <c r="K97" i="2" s="1"/>
  <c r="G98" i="2"/>
  <c r="K98" i="2"/>
  <c r="G99" i="2"/>
  <c r="K99" i="2" s="1"/>
  <c r="G100" i="2"/>
  <c r="K100" i="2"/>
  <c r="G107" i="2"/>
  <c r="K107" i="2" s="1"/>
  <c r="E110" i="2"/>
  <c r="F110" i="2"/>
  <c r="I110" i="2"/>
  <c r="AB110" i="2" l="1"/>
  <c r="AE69" i="2"/>
  <c r="W69" i="2"/>
  <c r="W68" i="2"/>
  <c r="W67" i="2"/>
  <c r="S110" i="2"/>
  <c r="P110" i="2"/>
  <c r="K67" i="2"/>
  <c r="K110" i="2" s="1"/>
  <c r="G110" i="2"/>
  <c r="D110" i="2"/>
  <c r="AH14" i="2"/>
  <c r="AB14" i="2"/>
  <c r="AB13" i="2"/>
  <c r="AB12" i="2"/>
  <c r="P15" i="2"/>
  <c r="P14" i="2"/>
  <c r="P13" i="2"/>
  <c r="P12" i="2"/>
  <c r="O14" i="2"/>
  <c r="O15" i="2" s="1"/>
  <c r="D30" i="2"/>
  <c r="D29" i="2"/>
  <c r="I28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C15" i="2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13" i="2"/>
  <c r="AI69" i="2" l="1"/>
  <c r="AI110" i="2" s="1"/>
  <c r="AE110" i="2"/>
  <c r="W110" i="2"/>
  <c r="J35" i="1"/>
  <c r="D35" i="1" s="1"/>
  <c r="J36" i="1"/>
  <c r="D36" i="1" s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23" i="1" s="1"/>
  <c r="J24" i="1"/>
  <c r="D24" i="1" s="1"/>
  <c r="J14" i="1"/>
  <c r="D14" i="1" s="1"/>
  <c r="J15" i="1"/>
  <c r="J16" i="1"/>
  <c r="J17" i="1"/>
  <c r="D38" i="1"/>
  <c r="D37" i="1"/>
  <c r="D34" i="1"/>
  <c r="D33" i="1"/>
  <c r="D31" i="1"/>
  <c r="D30" i="1"/>
  <c r="D29" i="1"/>
  <c r="D28" i="1"/>
  <c r="D10" i="1"/>
  <c r="D16" i="1" l="1"/>
  <c r="D17" i="1"/>
  <c r="J19" i="1"/>
  <c r="D19" i="1" s="1"/>
  <c r="J31" i="1"/>
  <c r="J38" i="1"/>
  <c r="J33" i="1" l="1"/>
  <c r="J34" i="1"/>
  <c r="J26" i="1"/>
  <c r="D26" i="1" s="1"/>
  <c r="J12" i="1"/>
  <c r="D12" i="1" s="1"/>
  <c r="D13" i="1"/>
  <c r="D15" i="1"/>
  <c r="J10" i="1" l="1"/>
  <c r="AA13" i="2" l="1"/>
  <c r="AA14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93709BCB-34EB-4ED0-A48D-81EA5CAD1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12" authorId="0" shapeId="0" xr:uid="{B3C86E52-8849-450F-89CA-F1E81A1F5B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12" authorId="0" shapeId="0" xr:uid="{B5D232D8-3FAF-4014-A1CB-DA5B89C0AE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MERIAM APDOHAN
CANAWAN, SALUG</t>
        </r>
      </text>
    </comment>
    <comment ref="C13" authorId="0" shapeId="0" xr:uid="{EA1F9226-68ED-42B0-BBA7-ED4138B37F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F1C9E566-9A2E-4ED2-900D-D24A50C05F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3" authorId="0" shapeId="0" xr:uid="{A2C8137E-5671-4BA8-B67C-C05A0DAD2E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4" authorId="0" shapeId="0" xr:uid="{7516EF2E-FCCD-4F5E-9978-48B637C36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6F98CB71-96CB-489E-B17A-6EB4705EA7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POB, SINDANGAN</t>
        </r>
      </text>
    </comment>
    <comment ref="AA14" authorId="0" shapeId="0" xr:uid="{635CCE8A-292B-498A-BA0E-3EA0558217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5" authorId="0" shapeId="0" xr:uid="{286C3BE7-BE69-40FD-B988-595916638B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SORIA-MORIA STORE
DAPAON, SINDANGAN</t>
        </r>
      </text>
    </comment>
    <comment ref="O15" authorId="0" shapeId="0" xr:uid="{D9AFBC77-F04B-4532-B8E1-76FE69A6C3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C16" authorId="0" shapeId="0" xr:uid="{5226D3CB-56DE-4C39-A337-C437981424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SNHS
DAPAON, SINDANGAN</t>
        </r>
      </text>
    </comment>
    <comment ref="C17" authorId="0" shapeId="0" xr:uid="{8AE4F6FC-027F-430E-A0CC-16D52159CA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C18" authorId="0" shapeId="0" xr:uid="{0432C3D9-C32D-43A0-AFA7-4A8C9F6BC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DISUD, SINDANGAN</t>
        </r>
      </text>
    </comment>
    <comment ref="C19" authorId="0" shapeId="0" xr:uid="{DE0B6DD5-5C68-4DBB-9C5C-774399A449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DAMONSONG STORE
RM, SINDANGAN</t>
        </r>
      </text>
    </comment>
    <comment ref="C20" authorId="0" shapeId="0" xr:uid="{76C5FB28-8843-41B7-8F2E-77B2C109BA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MANGO LODGE
RM, SINDANGAN</t>
        </r>
      </text>
    </comment>
    <comment ref="C21" authorId="0" shapeId="0" xr:uid="{D3493E21-0C6D-426F-991B-CFB26744B9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C22" authorId="0" shapeId="0" xr:uid="{5812B6E1-3762-422E-86AE-68A28CCA07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C23" authorId="0" shapeId="0" xr:uid="{1FF0DF9C-0CA1-474C-B604-6D9C9F2EC0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
DISUD, SINDANGAN</t>
        </r>
      </text>
    </comment>
    <comment ref="C24" authorId="0" shapeId="0" xr:uid="{EF33A903-2C53-4EE8-AE34-B78BE41CA6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5" authorId="0" shapeId="0" xr:uid="{41EB5DBC-1C8C-4D12-B232-95C8BEFDBE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C26" authorId="0" shapeId="0" xr:uid="{33D98D1B-2B72-4D2B-A833-31244B80B7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C27" authorId="0" shapeId="0" xr:uid="{7BED3591-1233-463F-A985-814D1BDFD1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8" authorId="0" shapeId="0" xr:uid="{C8F622A4-FDCD-4CC2-9EA4-8154B1D0E3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C29" authorId="0" shapeId="0" xr:uid="{0E026FA1-0321-4525-8C7C-9BF689B6F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CAMION
LABAKID, SINDANGAN</t>
        </r>
      </text>
    </comment>
    <comment ref="C30" authorId="0" shapeId="0" xr:uid="{0DACC015-7318-40F5-A8CC-0CC3784A92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ANETA VILLALUNA
LABAKID, SINDANGAN</t>
        </r>
      </text>
    </comment>
    <comment ref="C67" authorId="0" shapeId="0" xr:uid="{E9C0F351-FB04-468C-A9CB-63D51B0D7E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O67" authorId="0" shapeId="0" xr:uid="{4602D5DD-14F6-4CCF-BA78-7DF1E3EA9B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AA67" authorId="0" shapeId="0" xr:uid="{F73B087B-94AD-4C48-9D8B-6029DA9E7F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BAYBAY, LILOY</t>
        </r>
      </text>
    </comment>
    <comment ref="C68" authorId="0" shapeId="0" xr:uid="{7BB46FD0-00CC-447B-9E3A-E05F561E29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
POB, BACUNGAN</t>
        </r>
      </text>
    </comment>
    <comment ref="O68" authorId="0" shapeId="0" xr:uid="{67E2D13C-18E9-48C1-B3FF-F2826D4E62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INSONG
BAYBAY, LILOY</t>
        </r>
      </text>
    </comment>
    <comment ref="AA68" authorId="0" shapeId="0" xr:uid="{D37177AB-9BCD-4463-962C-55249384E3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69" authorId="0" shapeId="0" xr:uid="{0BBF0F4F-B4D3-4CAB-AAA0-3114FB107E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AA69" authorId="0" shapeId="0" xr:uid="{94E8CCCB-4C9A-41A8-8295-8AC4EE085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JASSY STORE
KAYOK, LILOY</t>
        </r>
      </text>
    </comment>
    <comment ref="AA70" authorId="0" shapeId="0" xr:uid="{01170594-B57A-4077-8D46-82A0057624C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NELMIN STORE
KAYOK, LILOY</t>
        </r>
      </text>
    </comment>
    <comment ref="C122" authorId="0" shapeId="0" xr:uid="{23BF89F3-90CD-416A-9991-47139A8B0F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122" authorId="0" shapeId="0" xr:uid="{41DB04E0-0B1D-4A75-B952-09DF4A0CEA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
DATU TANGKILAN, SINDANGAN</t>
        </r>
      </text>
    </comment>
    <comment ref="AA122" authorId="0" shapeId="0" xr:uid="{A9627BBF-C837-4F4C-98DE-12610C1B41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OLAMA STORE
CARACOL, SALUG</t>
        </r>
      </text>
    </comment>
    <comment ref="C123" authorId="0" shapeId="0" xr:uid="{D16BF743-93BA-421A-8EE5-2BF4FC9C7E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SENYA BERTUCIO
PIAO, SINDANGAN</t>
        </r>
      </text>
    </comment>
    <comment ref="O123" authorId="0" shapeId="0" xr:uid="{D3CCC508-242E-45C5-AE2C-D089CEB6BE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123" authorId="0" shapeId="0" xr:uid="{C69FBB4B-35D2-4BB7-9BAA-A5FD7E1D98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VIDAL STORE
POB, SALUG</t>
        </r>
      </text>
    </comment>
    <comment ref="C124" authorId="0" shapeId="0" xr:uid="{DF52F99A-09DD-4257-8E7A-A0B58BFFD7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STORE
PIAO, SINDANGAN</t>
        </r>
      </text>
    </comment>
    <comment ref="O124" authorId="0" shapeId="0" xr:uid="{BD7DA21C-3ED8-4DFD-A015-491ECF2F0CF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LEVY
?</t>
        </r>
      </text>
    </comment>
    <comment ref="AA124" authorId="0" shapeId="0" xr:uid="{C8758DFA-D232-4132-A404-880AD201D6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BAGSICAN
POB, SALUG</t>
        </r>
      </text>
    </comment>
    <comment ref="C125" authorId="0" shapeId="0" xr:uid="{3725A43C-3C96-435C-8703-68FEA02544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125" authorId="0" shapeId="0" xr:uid="{E1628940-9AD4-4B94-BCA8-578095841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LBP</t>
        </r>
      </text>
    </comment>
    <comment ref="AA125" authorId="0" shapeId="0" xr:uid="{06944F55-B251-4610-833F-910BB04AFF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AJAY SAPIHI
POB, SALUG</t>
        </r>
      </text>
    </comment>
    <comment ref="C126" authorId="0" shapeId="0" xr:uid="{01D7CBAC-8BD9-4006-9177-9FFB48667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126" authorId="0" shapeId="0" xr:uid="{55AFCA13-70F5-4453-A317-3350CC1845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
TALINGA, LBP</t>
        </r>
      </text>
    </comment>
    <comment ref="AA126" authorId="0" shapeId="0" xr:uid="{F5D088A5-884A-4BFF-8B77-425B252DBC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JUVY PACARO
POB, SALUG</t>
        </r>
      </text>
    </comment>
    <comment ref="C127" authorId="0" shapeId="0" xr:uid="{8C48BA28-E3A4-4B50-B7C9-5819B3B92E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ROGGER BALOS
LAGAG, SINDANGAN</t>
        </r>
      </text>
    </comment>
    <comment ref="O127" authorId="0" shapeId="0" xr:uid="{5C53C879-A46F-4085-B210-00FE07B9C4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
POB, SINDANGAN</t>
        </r>
      </text>
    </comment>
    <comment ref="AA127" authorId="0" shapeId="0" xr:uid="{86DEF991-08D9-4E06-A903-85096EC27B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128" authorId="0" shapeId="0" xr:uid="{6E2935E3-A502-45BB-AEFE-4002C26C41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
LAGAG, SINDANGAN</t>
        </r>
      </text>
    </comment>
    <comment ref="AA128" authorId="0" shapeId="0" xr:uid="{B88F362E-4AD3-42D2-9843-30D8B8F4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29" authorId="0" shapeId="0" xr:uid="{1F7D840C-AADA-414D-AD56-148F7523D5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MAGWATE
LAGAG, SINDANGAN</t>
        </r>
      </text>
    </comment>
    <comment ref="AA129" authorId="0" shapeId="0" xr:uid="{303A3429-E865-4F2D-90D1-9D4D60D726F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 ZENAIDA
POB, SALUG</t>
        </r>
      </text>
    </comment>
    <comment ref="C130" authorId="0" shapeId="0" xr:uid="{2B55AD85-7D74-4BD0-8E9E-9160E024E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AA130" authorId="0" shapeId="0" xr:uid="{AA086BCF-7BDA-4448-888C-088C32E519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131" authorId="0" shapeId="0" xr:uid="{F11BA564-52AF-43B1-AE4C-05EDE1B9BA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VILLALON STORE
LAGAG, SINDANGAN</t>
        </r>
      </text>
    </comment>
    <comment ref="C132" authorId="0" shapeId="0" xr:uid="{A715AFED-8F4A-4AA9-A3F3-3070A80550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ILAGAN STORE
DENOYAN, SIAYAN</t>
        </r>
      </text>
    </comment>
    <comment ref="C133" authorId="0" shapeId="0" xr:uid="{C1B8AD88-FE29-450C-8DBC-F96709DBA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C134" authorId="0" shapeId="0" xr:uid="{C820B68B-C878-4BE9-A28A-CA54C1842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CATH &amp; SHE VAR. STORE
DENOYAN, SIAYAN</t>
        </r>
      </text>
    </comment>
    <comment ref="C135" authorId="0" shapeId="0" xr:uid="{D9A54DB6-5F1E-4034-90DB-4FE3D24650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 STORE
UPPER DENOYAN, SIAYAN</t>
        </r>
      </text>
    </comment>
    <comment ref="C136" authorId="0" shapeId="0" xr:uid="{0C86CB14-78F6-441C-B738-60D6483FC1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C137" authorId="0" shapeId="0" xr:uid="{C4461BD6-6518-434A-A2EA-4037642A9D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
POB, SIAYAN</t>
        </r>
      </text>
    </comment>
    <comment ref="C138" authorId="0" shapeId="0" xr:uid="{E0AF2C9A-1D74-4189-8BA3-239B4D73EF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139" authorId="0" shapeId="0" xr:uid="{508D3E8B-AC9A-4AC7-973B-563B437439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140" authorId="0" shapeId="0" xr:uid="{C55AE229-9082-48CA-B72A-703301BBF0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 B
DAGAO, SIAYAN</t>
        </r>
      </text>
    </comment>
    <comment ref="C141" authorId="0" shapeId="0" xr:uid="{A4953B27-CBD7-4966-A920-DC9B6F5CDE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142" authorId="0" shapeId="0" xr:uid="{F1F9E87E-8252-4CFB-8DBD-8B587802CC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CAMILLION GUILLERMA
POLAYO, SIAYAN</t>
        </r>
      </text>
    </comment>
    <comment ref="C143" authorId="0" shapeId="0" xr:uid="{E477E72A-6B92-4D6F-91E2-EA6D1B46A1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LEDIA DOMAY STORE
POLAYO, SIAYAN</t>
        </r>
      </text>
    </comment>
    <comment ref="C144" authorId="0" shapeId="0" xr:uid="{57EE78B3-28FF-40A7-B1FD-213CF22966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PRINCESS STORE
LAGAG, SINDANGAN</t>
        </r>
      </text>
    </comment>
    <comment ref="C145" authorId="0" shapeId="0" xr:uid="{D6F755D7-74CD-43BC-A3F4-72A0BDE9BAC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GAS STATION
POB, SINDANGAN</t>
        </r>
      </text>
    </comment>
    <comment ref="C177" authorId="0" shapeId="0" xr:uid="{B42FF7DC-22EE-4680-A19D-80975B7D63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77" authorId="0" shapeId="0" xr:uid="{A14C1213-6331-4467-A686-11C03339C7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77" authorId="0" shapeId="0" xr:uid="{971F6B1A-E2B2-44A7-902D-35E75F98E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78" authorId="0" shapeId="0" xr:uid="{912DFF9E-E344-4A3C-8DC3-E11DF276A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O178" authorId="0" shapeId="0" xr:uid="{A1B5DCD6-E44B-48CA-B495-474DAE0F78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78" authorId="0" shapeId="0" xr:uid="{24A08253-B8AE-4CED-BA0F-66D9CA528F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179" authorId="0" shapeId="0" xr:uid="{D17E010D-1FF3-4391-B5F7-CEB691849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RODRIGUEZ
GUNYAN, SIAYAN</t>
        </r>
      </text>
    </comment>
    <comment ref="O179" authorId="0" shapeId="0" xr:uid="{30350350-2A9C-4EDC-AFF2-72074EB158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
POB, BACUNGAN</t>
        </r>
      </text>
    </comment>
    <comment ref="AA179" authorId="0" shapeId="0" xr:uid="{08E40288-2F6B-4260-8F2D-B6900C3473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180" authorId="0" shapeId="0" xr:uid="{7320EA13-812D-4983-A304-BAEF2A85E1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ROSALINDA DALANGAN
GUNYAN, SIAYAN</t>
        </r>
      </text>
    </comment>
    <comment ref="O180" authorId="0" shapeId="0" xr:uid="{6DCECD44-0256-4AED-89D2-0F33F4E116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
TALINGA, BACUNGAN</t>
        </r>
      </text>
    </comment>
    <comment ref="AA180" authorId="0" shapeId="0" xr:uid="{C0127818-7AB6-457E-AE3A-36697F55A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BAYBAY, LILOY</t>
        </r>
      </text>
    </comment>
    <comment ref="C181" authorId="0" shapeId="0" xr:uid="{8B5746AE-6CB1-4BFA-AF27-96B2789D2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SUNGCO NELISA STORE
SUGILON, SIAYAN</t>
        </r>
      </text>
    </comment>
    <comment ref="O181" authorId="0" shapeId="0" xr:uid="{553A11DA-2F9E-4597-BE7E-7653DB70A7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BACUNGAN</t>
        </r>
      </text>
    </comment>
    <comment ref="AA181" authorId="0" shapeId="0" xr:uid="{5AEBD2D9-4F40-4CEF-AF4A-3E32B649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
BACONG, SALUG</t>
        </r>
      </text>
    </comment>
    <comment ref="C182" authorId="0" shapeId="0" xr:uid="{FB8AD677-0DEB-45FE-9E26-A43F5D0CD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RENEBOY ENTRINA
GUNYAN, SIAYAN</t>
        </r>
      </text>
    </comment>
    <comment ref="O182" authorId="0" shapeId="0" xr:uid="{3C4FD447-3FA1-4884-B5B5-19417C832F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C183" authorId="0" shapeId="0" xr:uid="{CF0204EC-9F77-40A3-92DA-1E055AC9CB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MADULA STORE
POB, SIAYAN</t>
        </r>
      </text>
    </comment>
    <comment ref="O183" authorId="0" shapeId="0" xr:uid="{2A6F66E2-6698-4653-A08D-6E0E94A2B0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C184" authorId="0" shapeId="0" xr:uid="{63A2DAAE-E253-46F1-A102-FDEDF96955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DAVID FRANCIS MINIMART
DAGAO, SIAYAN</t>
        </r>
      </text>
    </comment>
    <comment ref="O184" authorId="0" shapeId="0" xr:uid="{234C21F6-2CAB-46E5-8A06-D9CAFEA790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C185" authorId="0" shapeId="0" xr:uid="{8D67D9A0-7E10-48CD-A768-30EBC44C03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PANDIC STORE
MUÑOZ, SIAYAN</t>
        </r>
      </text>
    </comment>
    <comment ref="O185" authorId="0" shapeId="0" xr:uid="{813B48AE-B724-4CC9-8093-7221E8A0C1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O186" authorId="0" shapeId="0" xr:uid="{6060B7D9-A23C-4C70-8A83-568FBC7CEF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VALLECER STORE
MARAS, SINDANGAN</t>
        </r>
      </text>
    </comment>
    <comment ref="O187" authorId="0" shapeId="0" xr:uid="{69F61B34-9B92-42DB-9C0C-65212AC4A4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UPPER INUMAN, SINDANGAN</t>
        </r>
      </text>
    </comment>
    <comment ref="O188" authorId="0" shapeId="0" xr:uid="{BFBE0F1F-6D4F-4F02-9059-A7CA1E9652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 EATERY
INUMAN, SINDANGAN</t>
        </r>
      </text>
    </comment>
    <comment ref="C232" authorId="0" shapeId="0" xr:uid="{B92C8508-00BA-422A-ACCF-0031A772D0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2" authorId="0" shapeId="0" xr:uid="{4527315C-F08C-4C10-9FD6-90C8AAB17A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233" authorId="0" shapeId="0" xr:uid="{9713D280-A92C-4B83-949D-188A12B247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RM, SALUG</t>
        </r>
      </text>
    </comment>
    <comment ref="AA233" authorId="0" shapeId="0" xr:uid="{7F829C02-895C-4374-B985-AE0FD47F71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BALBUENA/RJC STORE
POB, SALUG</t>
        </r>
      </text>
    </comment>
    <comment ref="C234" authorId="0" shapeId="0" xr:uid="{5CC7450A-F76B-485F-8DA9-E995430680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EYAH STORE
PALANDOK, SALUG</t>
        </r>
      </text>
    </comment>
    <comment ref="AA234" authorId="0" shapeId="0" xr:uid="{7874B42D-E49B-44FF-B370-296B2EB699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COMM.
POB, SALUG</t>
        </r>
      </text>
    </comment>
    <comment ref="C235" authorId="0" shapeId="0" xr:uid="{F748E3C1-1249-4E4A-A6ED-1ED3801DE4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SALABIDRA
BUGABONGAN, BACUNGAN</t>
        </r>
      </text>
    </comment>
    <comment ref="AA235" authorId="0" shapeId="0" xr:uid="{AC080B6B-BDF4-45C8-82CF-60261FB735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236" authorId="0" shapeId="0" xr:uid="{B018A830-6097-45C3-A17B-F84A5A3894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236" authorId="0" shapeId="0" xr:uid="{7A683D58-D695-44F7-B30C-91AF8BFCEC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
BACONG, SALUG</t>
        </r>
      </text>
    </comment>
    <comment ref="C237" authorId="0" shapeId="0" xr:uid="{4725EC54-4D90-4E0F-9054-D3E05BD0C6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JALILUB
BOGABONGAN, BACUNGAN</t>
        </r>
      </text>
    </comment>
    <comment ref="C238" authorId="0" shapeId="0" xr:uid="{377191D8-38AD-4126-9F26-E38EAF13A2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C239" authorId="0" shapeId="0" xr:uid="{18B4082A-3587-4BAB-8E10-FF712BD37E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JOCELYN GERIAN
GOLEO, SINDANGAN</t>
        </r>
      </text>
    </comment>
    <comment ref="C240" authorId="0" shapeId="0" xr:uid="{BEFEA82A-6D67-449D-96A6-14E3F459E6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C241" authorId="0" shapeId="0" xr:uid="{A7D4F047-4216-4271-B7EA-FD9DBB8AD4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42" authorId="0" shapeId="0" xr:uid="{520645C1-2F98-4D6B-891D-C1D65BF1C1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43" authorId="0" shapeId="0" xr:uid="{962F1333-8FD5-4FE8-AAD4-4C86ECB535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STORE
DAPAON, SINDANGAN</t>
        </r>
      </text>
    </comment>
    <comment ref="C244" authorId="0" shapeId="0" xr:uid="{DF6276D5-B253-4B6E-A5A4-B36C823774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45" authorId="0" shapeId="0" xr:uid="{1949558C-F3F9-4398-A66D-7750B81F43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246" authorId="0" shapeId="0" xr:uid="{D3C43E2B-979F-4E00-A280-93C365BA3D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47" authorId="0" shapeId="0" xr:uid="{BE958C8C-B325-4701-806D-8C2FB2189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PALMA STORE
GOLEO, SINDANGAN</t>
        </r>
      </text>
    </comment>
    <comment ref="C248" authorId="0" shapeId="0" xr:uid="{D1BA9B14-6B00-4A22-AEF9-E7FB5C511A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287" authorId="0" shapeId="0" xr:uid="{D0B4A393-02AA-42DA-AE4D-F60CAE3595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 GUILLERMA
POLAYO, SIAYAN</t>
        </r>
      </text>
    </comment>
    <comment ref="O287" authorId="0" shapeId="0" xr:uid="{A215B503-ABE8-46BE-BA4C-E037545CAD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AA287" authorId="0" shapeId="0" xr:uid="{2A38EA30-2105-4791-9B21-8EC1E2D12D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288" authorId="0" shapeId="0" xr:uid="{617F081D-F216-4897-8E36-6765CB377D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288" authorId="0" shapeId="0" xr:uid="{80F63509-E986-4023-A6A2-C65F70E8BC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ALVINA BAGAT
UPPER INUMAN, SINDANGAN</t>
        </r>
      </text>
    </comment>
    <comment ref="AA288" authorId="0" shapeId="0" xr:uid="{1DCEB184-71AD-4E01-BE58-89D7BE956C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89" authorId="0" shapeId="0" xr:uid="{6283D6BA-BF9D-4B24-999D-5A4FFCCF16B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8AD75330-F927-48EA-914E-CC97950ACD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89" authorId="0" shapeId="0" xr:uid="{69B3749F-0838-439D-A6BB-FBE1AD9257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TAN STORE
BAYBAY, LILOY</t>
        </r>
      </text>
    </comment>
    <comment ref="C290" authorId="0" shapeId="0" xr:uid="{CF1DE1BA-A6E3-4137-8A36-2B1699E160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
POB, SINDANGAN</t>
        </r>
      </text>
    </comment>
    <comment ref="O290" authorId="0" shapeId="0" xr:uid="{8651B41C-C85D-4A52-B9F2-58464A04067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GLORY TUANDA
INUMAN, SINDANGAN</t>
        </r>
      </text>
    </comment>
    <comment ref="AA290" authorId="0" shapeId="0" xr:uid="{741C2867-3181-4F53-9D8D-E44EABB038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291" authorId="0" shapeId="0" xr:uid="{FD688325-62A2-4280-8FDD-9F0085B53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
INUMAN, SINDANGAN</t>
        </r>
      </text>
    </comment>
    <comment ref="AA291" authorId="0" shapeId="0" xr:uid="{C9BF7DA3-C2EE-4E93-B42B-6B87D0A48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O292" authorId="0" shapeId="0" xr:uid="{9073A3D3-4DA5-494F-94E8-5CFDB0906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TERESITA ESPAÑOLA
LOWER INUMAN, SINDANGAN</t>
        </r>
      </text>
    </comment>
    <comment ref="O293" authorId="0" shapeId="0" xr:uid="{410389B9-BD82-46C9-B94B-0411AFD04A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XYBIL CANSAY</t>
        </r>
      </text>
    </comment>
    <comment ref="O294" authorId="0" shapeId="0" xr:uid="{912BD28A-CD34-4D60-AF34-979056D848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LEONICIA RAGO
LOWER INUMAN, SINDANGAN</t>
        </r>
      </text>
    </comment>
    <comment ref="O295" authorId="0" shapeId="0" xr:uid="{38778B9E-A38A-4004-A2C8-20E3C13933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MARCELO SABACOS
GOLEO, SINDANGAN</t>
        </r>
      </text>
    </comment>
    <comment ref="C342" authorId="0" shapeId="0" xr:uid="{EB011333-CE04-46EE-AA83-72A9A57B94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4D3A0B61-FCB6-4BB3-93D0-7F616737FB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EDUARDO CAÑETE
GOLEO, SINDANGAN</t>
        </r>
      </text>
    </comment>
    <comment ref="AA342" authorId="0" shapeId="0" xr:uid="{4D49E2C5-DBF9-401C-89D5-B4610BA5EE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343" authorId="0" shapeId="0" xr:uid="{E5AB0715-0282-4AF1-B08A-1C0E37FE0A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343" authorId="0" shapeId="0" xr:uid="{F60546D3-B888-47C6-B806-AE61C06C2B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UY
POB, SALUG</t>
        </r>
      </text>
    </comment>
    <comment ref="C344" authorId="0" shapeId="0" xr:uid="{36E1163B-8E9D-4B98-BD19-59E5955E55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4" authorId="0" shapeId="0" xr:uid="{7059EEB5-1235-477A-9A88-7A4666D96E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SAMBAN STORE
POB, BACUNGAN</t>
        </r>
      </text>
    </comment>
    <comment ref="AA344" authorId="0" shapeId="0" xr:uid="{CFE7E053-9F2B-4CF2-B7EF-37780F74ABE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 STORE
BAYBAY, LILOY</t>
        </r>
      </text>
    </comment>
    <comment ref="C345" authorId="0" shapeId="0" xr:uid="{4E2AB039-117E-43B8-8951-DEDDB94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345" authorId="0" shapeId="0" xr:uid="{35984201-8F7B-4664-A962-38E7BB885B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345" authorId="0" shapeId="0" xr:uid="{F43EA685-99E4-4C51-912B-FF8E9D7106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CLARK BUHIAN
POB, SALUG</t>
        </r>
      </text>
    </comment>
    <comment ref="C346" authorId="0" shapeId="0" xr:uid="{E3A288DF-1515-4751-BB76-77BB32562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ORAIZ
DAPAON, SINDANGAN</t>
        </r>
      </text>
    </comment>
    <comment ref="O346" authorId="0" shapeId="0" xr:uid="{27A0AF72-5269-4A4F-B8A7-06D6DD154D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AA346" authorId="0" shapeId="0" xr:uid="{BF945895-0079-431A-A76D-906D212C48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TEQUIL
CANAWAN, SALUG</t>
        </r>
      </text>
    </comment>
    <comment ref="C347" authorId="0" shapeId="0" xr:uid="{15FEA609-594F-4E8D-ADF6-33953C35BB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
RM, SINDANGAN</t>
        </r>
      </text>
    </comment>
    <comment ref="O347" authorId="0" shapeId="0" xr:uid="{2F76B029-3EAD-40FF-A2F9-468356D27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
POB, BACUNGAN</t>
        </r>
      </text>
    </comment>
    <comment ref="AA347" authorId="0" shapeId="0" xr:uid="{583DD4A5-CC59-4E46-B762-F418D8563F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C348" authorId="0" shapeId="0" xr:uid="{9D4BB44D-9133-4716-9B61-69BAAB0469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
DISUD, SINDANGAN</t>
        </r>
      </text>
    </comment>
    <comment ref="O348" authorId="0" shapeId="0" xr:uid="{892F35F7-1B1F-41ED-B18F-1A6DB7C08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348" authorId="0" shapeId="0" xr:uid="{0BCA216F-F34B-488F-9A91-A998CE85C7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 STORE
CANAWAN, SALUG</t>
        </r>
      </text>
    </comment>
    <comment ref="C349" authorId="0" shapeId="0" xr:uid="{C52F982F-5F58-47EC-8221-609B100481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7AE9DE9D-4706-45C1-89FE-15609954CC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ANADEO
POB, BACUNGAN</t>
        </r>
      </text>
    </comment>
    <comment ref="AA349" authorId="0" shapeId="0" xr:uid="{D447D768-4E43-4086-8C76-F4FD0B1529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ROWENA COCKPIT
CARACOL, SALUG</t>
        </r>
      </text>
    </comment>
    <comment ref="C350" authorId="0" shapeId="0" xr:uid="{6E65AAFB-23DC-4D82-AA3A-550C663069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B1E47682-E79B-4BDB-9516-9DD4A0896C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351" authorId="0" shapeId="0" xr:uid="{6915FBED-3CEC-4129-AB37-4C6D2BD25D9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07049C8A-843B-41A1-9899-F29B675374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LIANA SIBAY
POB, BACUNGAN</t>
        </r>
      </text>
    </comment>
    <comment ref="C352" authorId="0" shapeId="0" xr:uid="{469F825F-FB23-4DCD-B1D3-54665D939A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2" authorId="0" shapeId="0" xr:uid="{A32C1C58-5C97-40F0-BD68-98BE22F44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BAGUIOSO STORE
TALINGA, BACUNGAN</t>
        </r>
      </text>
    </comment>
    <comment ref="C353" authorId="0" shapeId="0" xr:uid="{1B41CEA1-57BB-4F53-ABB9-AD01DF404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353" authorId="0" shapeId="0" xr:uid="{BF0C596F-3598-4FAE-9D4D-7166464186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TALINGA, BACUNGAN</t>
        </r>
      </text>
    </comment>
    <comment ref="C354" authorId="0" shapeId="0" xr:uid="{00EAF45B-077F-4FD4-9C58-F4792498F0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354" authorId="0" shapeId="0" xr:uid="{D0F450EB-51A8-4551-B18F-4A4D8F8C1F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355" authorId="0" shapeId="0" xr:uid="{B35AFC22-4429-4C4A-BF85-41B12AF702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56" authorId="0" shapeId="0" xr:uid="{9ACE4B17-1AA6-402D-9C0E-4F7B53589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RESORT
TALINGA, SINDANGAN</t>
        </r>
      </text>
    </comment>
    <comment ref="O357" authorId="0" shapeId="0" xr:uid="{ABFC615C-6AD2-4C07-BEF6-46C93A13FA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LIMBAG STORE
TALINGA, BACUNGAN</t>
        </r>
      </text>
    </comment>
    <comment ref="O358" authorId="0" shapeId="0" xr:uid="{193B7BB0-A995-4E1B-B40A-BCA1074C61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 BASTA
TALINGA, BACUNGAN</t>
        </r>
      </text>
    </comment>
    <comment ref="O359" authorId="0" shapeId="0" xr:uid="{7A56FC06-7EB6-45B5-9D3E-36463D9FEC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
TALINGA, BACUNGAN</t>
        </r>
      </text>
    </comment>
    <comment ref="O360" authorId="0" shapeId="0" xr:uid="{877BC3BF-C5E5-4149-84B5-A2FFA47BB18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GOSIM
TALINGA, BACUNGAN</t>
        </r>
      </text>
    </comment>
    <comment ref="O361" authorId="0" shapeId="0" xr:uid="{C6D1A501-5A01-48C2-B606-D57AEB041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O362" authorId="0" shapeId="0" xr:uid="{ACF959D3-01B4-46AB-800F-B7B620E8C4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O363" authorId="0" shapeId="0" xr:uid="{2F49104D-6FB6-4FDA-BEEE-2D16F2B5DD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O364" authorId="0" shapeId="0" xr:uid="{2CFA6DFE-224A-4E9C-AC44-54F8AAEE2E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365" authorId="0" shapeId="0" xr:uid="{F7599AFF-79D9-4BD1-8436-7AA8E2324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JOY GERMATA
MARAS, SINDANGAN</t>
        </r>
      </text>
    </comment>
    <comment ref="O366" authorId="0" shapeId="0" xr:uid="{2F92E4BA-4FEC-47D5-A0BB-542C2A2921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CHRISTIAN ADARDO
MARAS, SINDANGAN</t>
        </r>
      </text>
    </comment>
    <comment ref="O367" authorId="0" shapeId="0" xr:uid="{C57ED048-2884-4CB5-8E02-9E10FA770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CHRISTINE STORE
INUMAN, SINDANGAN</t>
        </r>
      </text>
    </comment>
    <comment ref="O368" authorId="0" shapeId="0" xr:uid="{2697B658-EB45-4FB7-815A-7DA2DA3816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RIOLA
ILAYA,INUMAN, SINDANGAN</t>
        </r>
      </text>
    </comment>
    <comment ref="O369" authorId="0" shapeId="0" xr:uid="{B108DF8C-0FD3-4A41-B8C2-FF3DFDEBCA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PATERNA STORE
INUMAN, SINDANGAN</t>
        </r>
      </text>
    </comment>
    <comment ref="O370" authorId="0" shapeId="0" xr:uid="{26828E2F-AB33-4C0F-B091-40C3986F03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MANDIH, SINDANGAN</t>
        </r>
      </text>
    </comment>
    <comment ref="O371" authorId="0" shapeId="0" xr:uid="{28FE1308-60DC-4011-9D06-1EE4FD2892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JR PADILLA
MANDIH, SINDANGAN</t>
        </r>
      </text>
    </comment>
    <comment ref="O372" authorId="0" shapeId="0" xr:uid="{DA15D5C3-2FA6-44C3-BF8B-3FB869D40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GLENN BUSCA
MANDIH, SINDANGAN</t>
        </r>
      </text>
    </comment>
    <comment ref="O373" authorId="0" shapeId="0" xr:uid="{280D1401-143F-4882-B770-641B54D0BA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O374" authorId="0" shapeId="0" xr:uid="{A5B3ACEA-FA93-4A53-82E6-122096BC98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CALTEX HIGHWAY
POB, SINDANGAN</t>
        </r>
      </text>
    </comment>
    <comment ref="C397" authorId="0" shapeId="0" xr:uid="{8D176F71-953D-42F7-8D74-8247F3CE6B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
PIAO, SINDANGAN</t>
        </r>
      </text>
    </comment>
    <comment ref="O397" authorId="0" shapeId="0" xr:uid="{507D9349-412D-41E3-ABC5-460FA67AE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ELUMBA
POB, BACUNGAN</t>
        </r>
      </text>
    </comment>
    <comment ref="AA397" authorId="0" shapeId="0" xr:uid="{E06A2225-99C2-4D0A-B59E-930656CEB4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GUIBANG GUIBANG
KAYOK, LILOY</t>
        </r>
      </text>
    </comment>
    <comment ref="C398" authorId="0" shapeId="0" xr:uid="{9E24C2B2-C869-43F6-BD82-826291486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AA398" authorId="0" shapeId="0" xr:uid="{5B653A2D-C56C-42B7-8638-D1BA09F2E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SHEILA GUIBANG GUIBANG
KAYOK, LILOY</t>
        </r>
      </text>
    </comment>
    <comment ref="C399" authorId="0" shapeId="0" xr:uid="{05B5454E-C9CB-4867-9183-9BBED6CBE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AA399" authorId="0" shapeId="0" xr:uid="{1D7CA5AD-40F3-42EF-B819-A9F11CF15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400" authorId="0" shapeId="0" xr:uid="{5D56F083-ED03-492F-84A4-606B67F4FB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AA400" authorId="0" shapeId="0" xr:uid="{2C0A8C9B-0EC5-4CA4-B88E-D903770A3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1" authorId="0" shapeId="0" xr:uid="{ADDE1C59-3936-4497-8FEC-DEA735E7E8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LENE LEDAMA
LAGAG, SINDANGAN</t>
        </r>
      </text>
    </comment>
    <comment ref="AA401" authorId="0" shapeId="0" xr:uid="{C52DE9B8-BE14-41B5-BEB5-9FB927814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02" authorId="0" shapeId="0" xr:uid="{75CD6221-B08C-4476-BB31-28C39B4F4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 STORE
LAGAG, SINDANGAN</t>
        </r>
      </text>
    </comment>
    <comment ref="C403" authorId="0" shapeId="0" xr:uid="{31275F34-0AB9-4172-A384-B214701686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C404" authorId="0" shapeId="0" xr:uid="{5F08681F-1FF9-4E6D-A292-8A267009D4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VARIETY STORE
DENOYAN, SIAYAN</t>
        </r>
      </text>
    </comment>
    <comment ref="C405" authorId="0" shapeId="0" xr:uid="{65ED7D4F-EC4E-492C-8CBA-66A2976FC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406" authorId="0" shapeId="0" xr:uid="{27C66078-C5A7-4916-9FB2-82EC8B5B59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SHE VAR. STORE
DENOYAN, SIAYAN</t>
        </r>
      </text>
    </comment>
    <comment ref="C407" authorId="0" shapeId="0" xr:uid="{22E57936-9484-4554-B4F4-C36ABBE576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408" authorId="0" shapeId="0" xr:uid="{7026E2F8-2E9F-4419-A391-607C5BE285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UTAK STORE
POLAYO, SIAYAN</t>
        </r>
      </text>
    </comment>
    <comment ref="C409" authorId="0" shapeId="0" xr:uid="{3747C301-DA4A-483A-BE4E-2C720111F3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410" authorId="0" shapeId="0" xr:uid="{6FF792AF-1064-436B-8503-0CD45A20F5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11" authorId="0" shapeId="0" xr:uid="{09D9E70C-AF96-4207-9882-3086E4DFB5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412" authorId="0" shapeId="0" xr:uid="{67D4D9E7-717C-45D6-AD72-1966941C26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13" authorId="0" shapeId="0" xr:uid="{49C1ADD4-4696-4755-8674-1E55A06A56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14" authorId="0" shapeId="0" xr:uid="{0A7EE558-1E9B-420F-BBAE-30D943161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415" authorId="0" shapeId="0" xr:uid="{7D13EADC-FE07-41D0-8DA8-AB321C55B2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  <comment ref="C416" authorId="0" shapeId="0" xr:uid="{1E02EB4B-C4A2-4958-BF2B-ADD75D9426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417" authorId="0" shapeId="0" xr:uid="{02868D91-420E-4C74-8960-BCB32C3B12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418" authorId="0" shapeId="0" xr:uid="{1F887867-BC2A-45FF-ADF5-0C9066342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452" authorId="0" shapeId="0" xr:uid="{CA255AC5-1CA6-439C-BF8F-16088D7CF8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ANETA VILLALUNA
LABAKID, SINDANGAN</t>
        </r>
      </text>
    </comment>
    <comment ref="O452" authorId="0" shapeId="0" xr:uid="{B82B673A-E3F6-4D25-93A6-67FD61B39E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2" authorId="0" shapeId="0" xr:uid="{946E743D-8270-4A66-9365-8C7A968B09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453" authorId="0" shapeId="0" xr:uid="{FF86587E-F4A8-4D70-AECF-B1588DB960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O453" authorId="0" shapeId="0" xr:uid="{49C48E10-1673-44B9-996A-346B442B28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ALBOFERA
GOLEO, SINDANGAN</t>
        </r>
      </text>
    </comment>
    <comment ref="AA453" authorId="0" shapeId="0" xr:uid="{0892A5A2-16CA-4C42-9E23-FF23F2A8B7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RYAN JAMILI
BACONG, SALUG</t>
        </r>
      </text>
    </comment>
    <comment ref="C454" authorId="0" shapeId="0" xr:uid="{4AF1B7CC-B162-4B8A-AC58-397FB0D47C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JOSEFEL AMOD
LABAKID, SINDANGAN</t>
        </r>
      </text>
    </comment>
    <comment ref="O454" authorId="0" shapeId="0" xr:uid="{61996139-0088-4886-AECF-BD69291B03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454" authorId="0" shapeId="0" xr:uid="{8AE21EB9-0CC3-4BF5-868B-26C518F78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C455" authorId="0" shapeId="0" xr:uid="{85AB1375-C8AE-4316-8BE8-B0A666F3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455" authorId="0" shapeId="0" xr:uid="{57AFD954-F29A-45F0-8F15-402D785430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PAJUAY STORE
MAWAL, BACUNGAN</t>
        </r>
      </text>
    </comment>
    <comment ref="AA455" authorId="0" shapeId="0" xr:uid="{5C9E08C4-1D5F-4351-B552-BFDD6B2FB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FEDELA DUBDUBAN
ST., SALUG</t>
        </r>
      </text>
    </comment>
    <comment ref="C456" authorId="0" shapeId="0" xr:uid="{B1F1FA85-A296-4B1C-AECB-B9507CF58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TANILON STORE
LABAKID, SINDANGAN</t>
        </r>
      </text>
    </comment>
    <comment ref="O456" authorId="0" shapeId="0" xr:uid="{F588E546-820C-49E2-B288-5C5306D3D6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456" authorId="0" shapeId="0" xr:uid="{74159B89-0632-4258-AE75-73B31781B8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BACONG, SALUG</t>
        </r>
      </text>
    </comment>
    <comment ref="C457" authorId="0" shapeId="0" xr:uid="{CC792681-003B-4C23-973D-A26D60A6AE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MARILOU PEÑERO
LABAKID, SINDANGAN</t>
        </r>
      </text>
    </comment>
    <comment ref="AA457" authorId="0" shapeId="0" xr:uid="{B5C364EA-56B1-4864-83DF-FDF0EFC57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BAYAWA, ROSILA
BACONG, SALUG</t>
        </r>
      </text>
    </comment>
    <comment ref="C458" authorId="0" shapeId="0" xr:uid="{95898B66-7396-4364-903F-BA0DD3014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SALVACION FABILLAR
LABAKID, SINDANGAN</t>
        </r>
      </text>
    </comment>
    <comment ref="AA458" authorId="0" shapeId="0" xr:uid="{7AE3EAEA-EB8D-4092-B7DB-9F78296034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459" authorId="0" shapeId="0" xr:uid="{5519BA82-67EB-4425-BF81-1E1222B268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FLORDELIS OTTO
DICUYONG, SINDANGAN</t>
        </r>
      </text>
    </comment>
    <comment ref="AA459" authorId="0" shapeId="0" xr:uid="{3BDE972D-B396-4CCF-B342-8F6B63880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C460" authorId="0" shapeId="0" xr:uid="{65FF384D-5AAE-4353-B1C5-CABA02EA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ELJUN SUMINGGIT
DICUYONG, SINDANGAN</t>
        </r>
      </text>
    </comment>
    <comment ref="AA460" authorId="0" shapeId="0" xr:uid="{5C551BCB-E218-411E-A005-F5AB446C90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PAMEL TESS
BACONG, SALUG</t>
        </r>
      </text>
    </comment>
    <comment ref="C461" authorId="0" shapeId="0" xr:uid="{AD258446-0378-4D34-9A39-D0702E977E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DANESA MOLAS
DICUYONG, SINDANGAN</t>
        </r>
      </text>
    </comment>
    <comment ref="AA461" authorId="0" shapeId="0" xr:uid="{31D100D4-1586-43F7-B09D-5648FC1D8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 ELIZABETH
BACONG, SALUG</t>
        </r>
      </text>
    </comment>
    <comment ref="C462" authorId="0" shapeId="0" xr:uid="{AD394709-29F9-408A-BD2E-ACEACF2D31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 STORE
DICUYONG, SINDANGAN</t>
        </r>
      </text>
    </comment>
    <comment ref="AA462" authorId="0" shapeId="0" xr:uid="{471D1889-363F-476D-9C7C-C8F289BD8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POB, SALUG</t>
        </r>
      </text>
    </comment>
    <comment ref="C463" authorId="0" shapeId="0" xr:uid="{7751C57B-D037-4141-BE46-2F91EDBD84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TACO JUANA
DICUYONG, SINDANGAN</t>
        </r>
      </text>
    </comment>
    <comment ref="AA463" authorId="0" shapeId="0" xr:uid="{90D9C85E-B425-4AAE-90E7-66EC6AAD7E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SCHOOL/LAGARE
POB, SALUG</t>
        </r>
      </text>
    </comment>
    <comment ref="C464" authorId="0" shapeId="0" xr:uid="{CED2A4B8-8374-47CC-B1BE-5EC9742C9D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SAGAYSAY/TERISITA
DICUYONG, SINDANGAN</t>
        </r>
      </text>
    </comment>
    <comment ref="C465" authorId="0" shapeId="0" xr:uid="{480B71D4-A975-4A08-BA29-CD4EE2960B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CRISTINA DEPOSA
DICUYONG, SINDANGAN</t>
        </r>
      </text>
    </comment>
    <comment ref="C466" authorId="0" shapeId="0" xr:uid="{0D21375D-C089-4823-BBF8-9EBBE3EB6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STORE
DISUD, SINDANGAN</t>
        </r>
      </text>
    </comment>
    <comment ref="C467" authorId="0" shapeId="0" xr:uid="{4EA19F43-7CDF-4D8F-89E2-E8766800DD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C468" authorId="0" shapeId="0" xr:uid="{867DAA90-150D-4AF6-9EC7-3A67ADF25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469" authorId="0" shapeId="0" xr:uid="{51078374-3702-4C1E-8ECB-603CAC044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O507" authorId="0" shapeId="0" xr:uid="{F5931E16-E7BF-4F3B-9F89-3595CD793F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LOLITH SILVANO
</t>
        </r>
      </text>
    </comment>
    <comment ref="AA507" authorId="0" shapeId="0" xr:uid="{F1ABFBD9-F3EC-4F08-BE0E-BC4BFFC2B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JODIS STORE/ALBERT TAN
BAYBAY, LILOY</t>
        </r>
      </text>
    </comment>
    <comment ref="O508" authorId="0" shapeId="0" xr:uid="{A7626ED4-EF8B-4E33-94D3-2FF1052F3B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KALAWIT, TINAPLAN, SINDANGAN</t>
        </r>
      </text>
    </comment>
    <comment ref="AA508" authorId="0" shapeId="0" xr:uid="{90E2FBA9-FA0D-4F2A-BCBC-51F9014B1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09" authorId="0" shapeId="0" xr:uid="{D26632E7-9E4F-41A6-9FB8-B997C40736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ANTAG
KALAWIT, TINAPLAN, SINDANGAN</t>
        </r>
      </text>
    </comment>
    <comment ref="AA509" authorId="0" shapeId="0" xr:uid="{08C99521-D1AA-4E96-9184-99048EDBC9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510" authorId="0" shapeId="0" xr:uid="{024789F9-B9D7-4258-B2A6-E7816E4EFF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TOP MOUNTAIN RESORT
TINAPLAN, SINDANGAN</t>
        </r>
      </text>
    </comment>
    <comment ref="AA510" authorId="0" shapeId="0" xr:uid="{E726F9EF-7A61-499C-B7CA-EE7654ED8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O511" authorId="0" shapeId="0" xr:uid="{6FD9632D-97DB-4BEA-9B74-E8AE38EE6C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12" authorId="0" shapeId="0" xr:uid="{5D3A0519-536B-40EB-ABF4-9555824265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513" authorId="0" shapeId="0" xr:uid="{987B765B-2790-41DF-927E-DDB360134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ATOC
DAGOHOY, SINDANGAN</t>
        </r>
      </text>
    </comment>
    <comment ref="O514" authorId="0" shapeId="0" xr:uid="{DBECF5ED-6DD3-4ED8-ABD9-25635F1134C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TALINGA, SINDANGAN</t>
        </r>
      </text>
    </comment>
    <comment ref="O515" authorId="0" shapeId="0" xr:uid="{6BA8180C-B2BB-4CCB-A946-8B012C5EC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CAMPOY
TALINGA, SINDANGAN</t>
        </r>
      </text>
    </comment>
    <comment ref="O516" authorId="0" shapeId="0" xr:uid="{AD4C6629-A290-460E-BBFC-C774C092E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KYRO RESORT
CALUAN, SINDANGAN</t>
        </r>
      </text>
    </comment>
    <comment ref="O517" authorId="0" shapeId="0" xr:uid="{25542884-E6DC-4369-B41B-5A7C8391D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</t>
        </r>
      </text>
    </comment>
    <comment ref="O518" authorId="0" shapeId="0" xr:uid="{94750A7A-B40C-42C4-8BA8-C4510C3FA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STORE/ALDRIN TOBIAS
MANDIH, SINDANGAN</t>
        </r>
      </text>
    </comment>
    <comment ref="C562" authorId="0" shapeId="0" xr:uid="{2A41CF12-77F6-44E8-841A-9EB4BCD5B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562" authorId="0" shapeId="0" xr:uid="{A37EF4EF-19A1-4358-815E-CF3552965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AA562" authorId="0" shapeId="0" xr:uid="{0F7D9D15-DE01-4BCC-A97D-14891E96F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63" authorId="0" shapeId="0" xr:uid="{378A6C4F-437A-453B-987E-F37E80D7F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CE5A2864-5946-44B4-9F3F-DD6336A2B6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MAINIT STORE
MANIL, BACUNGAN</t>
        </r>
      </text>
    </comment>
    <comment ref="AA563" authorId="0" shapeId="0" xr:uid="{E5E46E97-CAF4-4114-BA1F-2EB4C60484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564" authorId="0" shapeId="0" xr:uid="{9D910690-4E25-41D1-AE7C-194C7319DF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POB, SINDANGAN</t>
        </r>
      </text>
    </comment>
    <comment ref="O564" authorId="0" shapeId="0" xr:uid="{68B6035B-4EFD-4144-B79A-005CB0387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JENIAS STORE
BOGABONGAN, BACUNGAN</t>
        </r>
      </text>
    </comment>
    <comment ref="AA564" authorId="0" shapeId="0" xr:uid="{E6DE5461-49D4-4D39-AD1B-573F64CA3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65" authorId="0" shapeId="0" xr:uid="{DC1EEC16-95B9-46C5-B195-386E61B40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65" authorId="0" shapeId="0" xr:uid="{5F81215D-4809-4EF0-A86D-E397778FE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POB, BOGABONGAN</t>
        </r>
      </text>
    </comment>
    <comment ref="C566" authorId="0" shapeId="0" xr:uid="{BFF52F0F-3530-44EE-960B-02EDFC4E395C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Z AND Z MINIMART
RM, SINDANGAN</t>
        </r>
        <r>
          <rPr>
            <b/>
            <sz val="9"/>
            <color indexed="81"/>
            <rFont val="Tahoma"/>
            <charset val="1"/>
          </rPr>
          <t xml:space="preserve"> </t>
        </r>
      </text>
    </comment>
    <comment ref="O566" authorId="0" shapeId="0" xr:uid="{FF7DC45F-F00D-4306-BA89-71FE08C2C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C567" authorId="0" shapeId="0" xr:uid="{EA282F50-4347-48FD-A867-6B4FDC9EE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67" authorId="0" shapeId="0" xr:uid="{72A907EB-FBF3-4410-9002-5F1832D79F0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JONABELLE MOSQUEDA
RIZON, BACUNGAN</t>
        </r>
      </text>
    </comment>
    <comment ref="C568" authorId="0" shapeId="0" xr:uid="{60366474-DE71-4869-A1E1-AEE14FF1A6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568" authorId="0" shapeId="0" xr:uid="{62C75A1C-E012-4F0C-9DFF-BA61D278B1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CALONGE
RIZON, BACUNGAN</t>
        </r>
      </text>
    </comment>
    <comment ref="C569" authorId="0" shapeId="0" xr:uid="{700AB87D-075F-43B4-BAC4-581C269D51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569" authorId="0" shapeId="0" xr:uid="{0BFF4859-3FC8-4535-80F6-BE07834846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C570" authorId="0" shapeId="0" xr:uid="{92DA076B-E00F-4B20-8F24-0323EEA26D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570" authorId="0" shapeId="0" xr:uid="{5C9E3357-AF86-4246-A5E5-C3B49B3175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571" authorId="0" shapeId="0" xr:uid="{F7377378-4292-4794-B0B3-F6540D5D62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571" authorId="0" shapeId="0" xr:uid="{F924E93A-6B70-4D1B-9793-669AB3578B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C572" authorId="0" shapeId="0" xr:uid="{29028BD6-E0B3-4085-9F3F-3513C2223C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O572" authorId="0" shapeId="0" xr:uid="{DCE3A786-4200-4678-AC35-90FA19AA74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KIA STORE
RM, SALUG</t>
        </r>
      </text>
    </comment>
    <comment ref="C573" authorId="0" shapeId="0" xr:uid="{5A11EC76-FA02-4EE8-A8FE-1325118ADD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 
POB, SINDANGAN</t>
        </r>
      </text>
    </comment>
    <comment ref="O573" authorId="0" shapeId="0" xr:uid="{B3547243-BE0D-40B7-9D0F-F75911C887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C574" authorId="0" shapeId="0" xr:uid="{B8D74662-D871-4ED7-AA0B-7E94A418EE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74" authorId="0" shapeId="0" xr:uid="{16C6126A-CFA4-437E-9A96-FDCC421D40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DIANE ANGCOP
BOGABONGAN, BACUNGAN</t>
        </r>
      </text>
    </comment>
    <comment ref="O575" authorId="0" shapeId="0" xr:uid="{418646F3-F2AB-4D8A-A03B-1A19ED7BF1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ALTHEA STORE
POB, BACUNGAN</t>
        </r>
      </text>
    </comment>
    <comment ref="O576" authorId="0" shapeId="0" xr:uid="{E6B5A361-B2C0-473F-A065-AC3B0D661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CARENDERIA
POB, BACUNGAN</t>
        </r>
      </text>
    </comment>
    <comment ref="O577" authorId="0" shapeId="0" xr:uid="{F0A8DAEF-05E1-44ED-907C-406FB4B56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ACBAYAN STORE
TALINGA, BACUNGAN</t>
        </r>
      </text>
    </comment>
    <comment ref="O578" authorId="0" shapeId="0" xr:uid="{4E2762AA-7AE9-4CE3-BD2A-3C2F786DC7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ELVIRA SANGHILAN
TALINGA, BACUNGAN</t>
        </r>
      </text>
    </comment>
    <comment ref="O579" authorId="0" shapeId="0" xr:uid="{0E238609-C14F-499C-9901-DE38C2908C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O580" authorId="0" shapeId="0" xr:uid="{41797AB6-9488-439A-835B-7CBE5C4CFF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581" authorId="0" shapeId="0" xr:uid="{686BB592-7D08-44C5-89BD-C75E9AD209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VILLARMINO
DATU TANGKILAN, SINDANGAN</t>
        </r>
      </text>
    </comment>
    <comment ref="O582" authorId="0" shapeId="0" xr:uid="{6388E75E-D996-4019-A8C7-938C3926DD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ALAN G. STORE
GOLEO, SINDANGAN</t>
        </r>
      </text>
    </comment>
    <comment ref="C617" authorId="0" shapeId="0" xr:uid="{75A40C84-6280-41D6-AEC6-6AE60C9C5D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</t>
        </r>
      </text>
    </comment>
    <comment ref="AA617" authorId="0" shapeId="0" xr:uid="{E86ADD32-55ED-457E-AD20-248DD6842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18" authorId="0" shapeId="0" xr:uid="{FB1EEDC2-1AFE-40D9-B22A-3255CFF4D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CJ VARIETY STORE
DENOYAN, SIAYAN</t>
        </r>
      </text>
    </comment>
    <comment ref="AA618" authorId="0" shapeId="0" xr:uid="{1B74BC02-E304-44FD-8EA5-272FF0FBFC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06F6484-E013-4DC2-84CE-5A243D9DFC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AA619" authorId="0" shapeId="0" xr:uid="{B122CA3F-C883-4013-B6D1-151244F249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ROWENA INSONG
BAYBAY, LILOY</t>
        </r>
      </text>
    </comment>
    <comment ref="C620" authorId="0" shapeId="0" xr:uid="{0B0C2BB3-8D08-4995-902B-E6E5FEFFFF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AA620" authorId="0" shapeId="0" xr:uid="{4D6809C8-7C5E-4845-AF70-57971599DD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621" authorId="0" shapeId="0" xr:uid="{08AA27EF-6236-4D43-8BB4-BC40E13854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CENYAS
DAGAO, SIAYAN</t>
        </r>
      </text>
    </comment>
    <comment ref="C622" authorId="0" shapeId="0" xr:uid="{E41ED3F5-9FC2-4B79-AD9C-96DE0A98A4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MINIMART
POB, SIAYAN</t>
        </r>
      </text>
    </comment>
    <comment ref="C623" authorId="0" shapeId="0" xr:uid="{3C444309-AB51-426C-9823-14CF975C3E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24" authorId="0" shapeId="0" xr:uid="{3E5E0032-E69D-446F-895D-BCE5F759E8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POB, SIAYAN</t>
        </r>
      </text>
    </comment>
    <comment ref="C625" authorId="0" shapeId="0" xr:uid="{0C5E28BE-D79C-405E-B157-0AB3E9AB3D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GUILLERMO CAMILLION
GULAYON, SIAYAN</t>
        </r>
      </text>
    </comment>
    <comment ref="C626" authorId="0" shapeId="0" xr:uid="{9C1B7AEF-4C9E-49F5-A9C2-112C34736473}">
      <text>
        <r>
          <rPr>
            <b/>
            <sz val="9"/>
            <color indexed="81"/>
            <rFont val="Tahoma"/>
            <charset val="1"/>
          </rPr>
          <t>User:</t>
        </r>
      </text>
    </comment>
    <comment ref="C627" authorId="0" shapeId="0" xr:uid="{06842642-F649-4E99-9F08-047041579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LAGAG, SINDANGAN</t>
        </r>
      </text>
    </comment>
    <comment ref="C628" authorId="0" shapeId="0" xr:uid="{3243600D-6ABB-4A69-B5E5-38D97673A9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JHO CATUBAY
UPPER DENOYAN, SIAYAN</t>
        </r>
      </text>
    </comment>
    <comment ref="C629" authorId="0" shapeId="0" xr:uid="{B0A66CA9-9861-4DD3-8F62-D0616C3B75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
GOLEO, SINDANGAN</t>
        </r>
      </text>
    </comment>
    <comment ref="C630" authorId="0" shapeId="0" xr:uid="{12474F36-223A-4F36-A3B7-510A58A3F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631" authorId="0" shapeId="0" xr:uid="{B8E3575E-D744-447B-B6B7-1C9B32E9F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632" authorId="0" shapeId="0" xr:uid="{CF70D185-12EC-4F25-B7B5-0CFB226530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633" authorId="0" shapeId="0" xr:uid="{506469E5-87E3-468B-90E9-2EFFEC8F0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RHIN STORE
LAGAG, SINDANGAN</t>
        </r>
      </text>
    </comment>
    <comment ref="C634" authorId="0" shapeId="0" xr:uid="{31DCE6F6-94EF-4473-BCAA-520959DABD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
POB, SINDANGAN</t>
        </r>
      </text>
    </comment>
    <comment ref="C635" authorId="0" shapeId="0" xr:uid="{75208F79-740B-4A42-8F35-AD6DDF29CB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636" authorId="0" shapeId="0" xr:uid="{4B733348-3A11-45ED-B038-4BBF449B34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GAHUMAN STORE
GOLEO, SINDANGAN</t>
        </r>
      </text>
    </comment>
    <comment ref="C637" authorId="0" shapeId="0" xr:uid="{0DC63C88-30A2-4C4E-9F81-3508D78E4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C638" authorId="0" shapeId="0" xr:uid="{7A0D8F30-58C7-444F-82D0-B0D85D6066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TAMBAYAN
GOLEO, SINDANGAN</t>
        </r>
      </text>
    </comment>
    <comment ref="C639" authorId="0" shapeId="0" xr:uid="{BBA957CB-1D65-4BB7-A3DA-E72F70C3EF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672" authorId="0" shapeId="0" xr:uid="{0FBD1BE1-B750-4E44-8BC5-73B4E7C8D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72" authorId="0" shapeId="0" xr:uid="{9497EA82-51D2-498A-A0B1-31484E8252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2" authorId="0" shapeId="0" xr:uid="{D9AB004B-A4F5-4FB9-946C-24450B07E7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673" authorId="0" shapeId="0" xr:uid="{53149491-5E0F-4B7E-9682-EB0135424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3" authorId="0" shapeId="0" xr:uid="{CEBA9B69-550E-4C3D-A73B-417272327F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STORE
GOLEO, SINDANGAN</t>
        </r>
      </text>
    </comment>
    <comment ref="AA673" authorId="0" shapeId="0" xr:uid="{2BC28B2E-A464-42E3-B656-961642FE4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674" authorId="0" shapeId="0" xr:uid="{982E5045-25DD-4893-BB8E-000AFB6139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4" authorId="0" shapeId="0" xr:uid="{3316CEF8-7B07-44C1-B84B-9D5F63C85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AA674" authorId="0" shapeId="0" xr:uid="{FAAF02D1-E55D-4167-856F-FFE827F142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LEOVY PASTOR
POB, SALUG</t>
        </r>
      </text>
    </comment>
    <comment ref="C675" authorId="0" shapeId="0" xr:uid="{BEDA45BA-C5E4-4FD7-B692-4C88DD555D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675" authorId="0" shapeId="0" xr:uid="{2DC472FA-2E2C-4853-8FBD-A394D0ACF5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SILVANO STORE
INUMAN, SINDANGAN</t>
        </r>
      </text>
    </comment>
    <comment ref="AA675" authorId="0" shapeId="0" xr:uid="{DD86621F-51AD-4154-B03C-50AE1030C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C676" authorId="0" shapeId="0" xr:uid="{448D4315-6A5C-4238-9E48-18B5BD3EC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676" authorId="0" shapeId="0" xr:uid="{07A61FC5-7633-4CBC-BB21-9F33BEFAA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677" authorId="0" shapeId="0" xr:uid="{541CC2A5-FE9E-48F6-B371-77821B04B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677" authorId="0" shapeId="0" xr:uid="{1E6BA5D1-A5F3-412D-AB18-BD4EA5BAB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BERNABE PATRICIO
POB, BACUNGAN</t>
        </r>
      </text>
    </comment>
    <comment ref="C678" authorId="0" shapeId="0" xr:uid="{419DFE2E-BE0B-46D4-9F8D-4B7F911A9E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678" authorId="0" shapeId="0" xr:uid="{53557B60-37CB-452A-B0AC-976E5E83AC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SAMBANG STORE
POB, BACUNGAN</t>
        </r>
      </text>
    </comment>
    <comment ref="C679" authorId="0" shapeId="0" xr:uid="{C103F2FE-0CAB-4359-9C21-11513FABE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679" authorId="0" shapeId="0" xr:uid="{C6CB8D4B-28B1-4AB8-AD34-FAFAD51DF9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DALUGDOG STORE
POB, BACUNGAN</t>
        </r>
      </text>
    </comment>
    <comment ref="C680" authorId="0" shapeId="0" xr:uid="{961458CE-E301-434F-A5A1-F7F52F0D4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680" authorId="0" shapeId="0" xr:uid="{E3B1CAC5-0409-4BB0-91B9-F83C54F616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RITCHEL YOSORES
TALINGA, BACUNGAN</t>
        </r>
      </text>
    </comment>
    <comment ref="C681" authorId="0" shapeId="0" xr:uid="{F276AB55-3202-4105-8191-B208DF7CEB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681" authorId="0" shapeId="0" xr:uid="{FBEC1148-5768-43BB-B842-0EC4FB036C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C682" authorId="0" shapeId="0" xr:uid="{5209083B-2CD3-4211-8C92-87FAB4F70A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O682" authorId="0" shapeId="0" xr:uid="{870DCD8B-6C3E-48F5-AD40-5250CBA0D2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CALTEX
POB, SINDANGAN</t>
        </r>
      </text>
    </comment>
    <comment ref="C683" authorId="0" shapeId="0" xr:uid="{AC43A754-87B5-41B4-A86E-1503AF6DFA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O683" authorId="0" shapeId="0" xr:uid="{1C325E2C-26BC-47C0-8C11-99C963AE25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COSEP'S
TALINGA, BACUNGAN</t>
        </r>
      </text>
    </comment>
    <comment ref="C684" authorId="0" shapeId="0" xr:uid="{816A2C0C-FF86-4E1B-A190-9DC7542B5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VARIETY STORE
DAPAON, SINDANGAN</t>
        </r>
      </text>
    </comment>
    <comment ref="O684" authorId="0" shapeId="0" xr:uid="{602E51C0-E743-4FD5-913B-85CA7ACA6D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TATA DEL ROSARIO
TALINGA, SINDANGAN</t>
        </r>
      </text>
    </comment>
    <comment ref="C685" authorId="0" shapeId="0" xr:uid="{1247D059-CF48-469C-B2BA-F742715B5F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ROLDAN GRAPA
MUÑOZ SIAYAN</t>
        </r>
      </text>
    </comment>
    <comment ref="O685" authorId="0" shapeId="0" xr:uid="{4FEACBF4-4C18-440A-959B-86997A78D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686" authorId="0" shapeId="0" xr:uid="{0E01AEDB-BE54-47A0-9B28-E6364E62B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
DISUD, SINDANGAN</t>
        </r>
      </text>
    </comment>
    <comment ref="O686" authorId="0" shapeId="0" xr:uid="{268EE2CE-0CD1-447F-B73E-4B35FBA459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EBBALES STORE
MARAS, SINDANGAN</t>
        </r>
      </text>
    </comment>
    <comment ref="C687" authorId="0" shapeId="0" xr:uid="{608FDB77-37B8-4B3A-94D0-0C1761FB04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687" authorId="0" shapeId="0" xr:uid="{B3D65D7B-0A7F-4BA1-ACDA-0DB745BCBC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 &amp; D VALLECER STORE
MARAS, SINDANGAN</t>
        </r>
      </text>
    </comment>
    <comment ref="O688" authorId="0" shapeId="0" xr:uid="{33897A83-C61A-47AF-93CC-2EBE7722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O689" authorId="0" shapeId="0" xr:uid="{53E23B71-3056-4E5E-854A-2CE16FD126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KUSINA NI NANAY NENE
MITCHEL ALERIA
MARAS, SINDANGAN</t>
        </r>
      </text>
    </comment>
    <comment ref="O690" authorId="0" shapeId="0" xr:uid="{4335D034-D475-452C-8691-2B9133EBD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O691" authorId="0" shapeId="0" xr:uid="{03D693AA-7EDC-46C7-9978-4212BB89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MITCHEL ALERIA
MARAS, SINDANGAN</t>
        </r>
      </text>
    </comment>
    <comment ref="O692" authorId="0" shapeId="0" xr:uid="{C133C525-232F-40D9-96F8-5684FBA0D4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LOWER INUMAN, SINDANGAN</t>
        </r>
      </text>
    </comment>
    <comment ref="C727" authorId="0" shapeId="0" xr:uid="{3A347152-70A4-4841-9457-5AC9DEB878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727" authorId="0" shapeId="0" xr:uid="{DA4A7FDD-CC14-4355-9BCD-A0AE862BD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727" authorId="0" shapeId="0" xr:uid="{34E4F50C-30E5-473E-BC0B-F2E53F64B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28" authorId="0" shapeId="0" xr:uid="{E96A2B44-669A-47ED-8F96-5B7BB05091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8" authorId="0" shapeId="0" xr:uid="{4095F76A-D250-4418-97A1-522D4225D6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728" authorId="0" shapeId="0" xr:uid="{53146F5D-CD46-402B-95DF-2FE3876FE4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729" authorId="0" shapeId="0" xr:uid="{8516F86B-D608-4894-9940-2325CB9D59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29" authorId="0" shapeId="0" xr:uid="{B79AF20C-09B3-4955-8B1A-EF9B17EA1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729" authorId="0" shapeId="0" xr:uid="{5F9DE7CC-2A86-4DC8-BB55-5F81DE9F9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527F476C-4625-4233-AEF3-6F1C969EA1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O730" authorId="0" shapeId="0" xr:uid="{A12047B7-83E1-4DEA-89CA-1AE021A325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</t>
        </r>
      </text>
    </comment>
    <comment ref="AA730" authorId="0" shapeId="0" xr:uid="{B638ECE3-2D64-4CC9-ADFA-03650771B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731" authorId="0" shapeId="0" xr:uid="{23299AFF-0421-4F04-B0B6-0AA58D0F0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31" authorId="0" shapeId="0" xr:uid="{0764A197-F799-42EA-8A35-690991EFA8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C732" authorId="0" shapeId="0" xr:uid="{F46D4438-3FBF-492E-B1F5-F76168D665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732" authorId="0" shapeId="0" xr:uid="{9DF7C83C-50B0-44F7-A154-D8C0C082DD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GAHUMAN
GOLEO, SINDANGAN</t>
        </r>
      </text>
    </comment>
    <comment ref="C733" authorId="0" shapeId="0" xr:uid="{B0819510-AC74-4863-8EA1-CC3C5070F3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733" authorId="0" shapeId="0" xr:uid="{0BD053A1-3871-43DF-8A5D-67580A3FD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PARILLA
GOLEO, SINDANGAN</t>
        </r>
      </text>
    </comment>
    <comment ref="C734" authorId="0" shapeId="0" xr:uid="{941DA856-904B-454E-9E7A-6EF47F7C8B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735" authorId="0" shapeId="0" xr:uid="{A0F334EA-2DC9-4BD0-9024-9F6A88D57D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C736" authorId="0" shapeId="0" xr:uid="{3BA77620-AEBC-45E0-942E-76EAD9BE0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37" authorId="0" shapeId="0" xr:uid="{2E811C72-C88A-46E5-842A-350B6EED8C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SWERTE STORE
POB, SIAYAN</t>
        </r>
      </text>
    </comment>
    <comment ref="C738" authorId="0" shapeId="0" xr:uid="{59217F26-D058-465B-A035-484D4E451D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739" authorId="0" shapeId="0" xr:uid="{D798532E-582D-4E2B-9133-B27C56F77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740" authorId="0" shapeId="0" xr:uid="{921EE587-4AE9-47B2-8DD9-3DA5B675DA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741" authorId="0" shapeId="0" xr:uid="{AC285787-72FA-4A1D-B3B9-0FF8E4F755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742" authorId="0" shapeId="0" xr:uid="{AD5C80BC-59A6-496A-9189-A66A705C9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MAVEL FAYE VARIETY STORE
GAVIOLA
DAGAO, SIAYAN</t>
        </r>
      </text>
    </comment>
    <comment ref="C743" authorId="0" shapeId="0" xr:uid="{22FF852E-24A5-488F-9EF2-14540CBD5A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PANNILYAN
DENOYAN, SIAYAN</t>
        </r>
      </text>
    </comment>
    <comment ref="C744" authorId="0" shapeId="0" xr:uid="{4598F405-1F13-40C6-882C-1E50328C9C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C745" authorId="0" shapeId="0" xr:uid="{1FE127E9-ED67-4E45-A1B2-3AAB2BE368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ANSACON STORE
DENOYAN, SIAYAN</t>
        </r>
      </text>
    </comment>
    <comment ref="C746" authorId="0" shapeId="0" xr:uid="{757F360B-240F-4A5D-89E5-AB334DE48A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747" authorId="0" shapeId="0" xr:uid="{E3F2CBBF-0180-4BC4-A46A-3408E3589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MAGWATE
LAGAG, SINDANGAN</t>
        </r>
      </text>
    </comment>
    <comment ref="C748" authorId="0" shapeId="0" xr:uid="{AED7F497-4A1F-4AC1-A583-3C2F93A085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JOVENZ PASMO TA ANI
PIAO, SINDANGAN</t>
        </r>
      </text>
    </comment>
  </commentList>
</comments>
</file>

<file path=xl/sharedStrings.xml><?xml version="1.0" encoding="utf-8"?>
<sst xmlns="http://schemas.openxmlformats.org/spreadsheetml/2006/main" count="1002" uniqueCount="80">
  <si>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</si>
  <si>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</si>
  <si>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</si>
  <si>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</si>
  <si>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</si>
  <si>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</si>
  <si>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</si>
  <si>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</si>
  <si>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</si>
  <si>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</si>
  <si>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</si>
  <si>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</si>
  <si>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</si>
  <si>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</si>
  <si>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</si>
  <si>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</si>
  <si>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</si>
  <si>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</si>
  <si>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</si>
  <si>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</si>
  <si>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</si>
  <si>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</si>
  <si>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</si>
  <si>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</si>
  <si>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</si>
  <si>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</si>
  <si>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</si>
  <si>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</si>
  <si>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</si>
  <si>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</si>
  <si>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</si>
  <si>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</si>
  <si>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</si>
  <si>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</si>
  <si>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SATURDAY</t>
  </si>
  <si>
    <t>MONDAY</t>
  </si>
  <si>
    <t>NOVEMBER 2025</t>
  </si>
  <si>
    <t>NOVEMBER 03, 2025</t>
  </si>
  <si>
    <t>MOCOY, JULIET</t>
  </si>
  <si>
    <t>6699-6700,6901-6917/6823-6826/6867-6869</t>
  </si>
  <si>
    <t>TUESDAY</t>
  </si>
  <si>
    <t>NOVEMBER 04, 2025</t>
  </si>
  <si>
    <t>GICA, GRACE</t>
  </si>
  <si>
    <t>3A</t>
  </si>
  <si>
    <t>R3A</t>
  </si>
  <si>
    <t>R3B</t>
  </si>
  <si>
    <t>6828-6829/6870-6872/6918-6921</t>
  </si>
  <si>
    <t>WEDNESDAY</t>
  </si>
  <si>
    <t>NOVEMBER 05, 2025</t>
  </si>
  <si>
    <t>6922-6945/6830-6835/6873-6881</t>
  </si>
  <si>
    <t>THURSDAY</t>
  </si>
  <si>
    <t>NOVEMBER 06, 2025</t>
  </si>
  <si>
    <t>FRIDAY</t>
  </si>
  <si>
    <t>NOVEMBER 07, 2025</t>
  </si>
  <si>
    <t>6946-6954/6836-6847/6882-6886</t>
  </si>
  <si>
    <t>6955-6971//6887-6891</t>
  </si>
  <si>
    <t>NOVEMBER 08, 2025</t>
  </si>
  <si>
    <t>2972-6976/7001-7009/6892-6896</t>
  </si>
  <si>
    <t>NOVEMBER 10, 2025</t>
  </si>
  <si>
    <t>6975-6987/6848-6850,7010-7039/6897-6900,7101-7104</t>
  </si>
  <si>
    <t>NOVEMBER 11, 2025</t>
  </si>
  <si>
    <t>6988-7059/7041/7105-7109</t>
  </si>
  <si>
    <t>NOVEMBER 12, 2025</t>
  </si>
  <si>
    <t>7060-7077/7042-7046/7110-7121</t>
  </si>
  <si>
    <t>NOVEMBER 13, 2025</t>
  </si>
  <si>
    <t>11/13/2025</t>
  </si>
  <si>
    <t>/7151-7162/7122-7125</t>
  </si>
  <si>
    <t>NOVEMBER 14, 2025</t>
  </si>
  <si>
    <t>11/14/2025</t>
  </si>
  <si>
    <t>7076-7088/7047-7050,7163-7179/7126-7128</t>
  </si>
  <si>
    <t>NOVEMBER 15, 2025</t>
  </si>
  <si>
    <t>11/15/2025</t>
  </si>
  <si>
    <t>GICA, GRACE B.</t>
  </si>
  <si>
    <t>7089-7100,7180-7190//7129-7132</t>
  </si>
  <si>
    <t>NOVEMBER 17, 2025</t>
  </si>
  <si>
    <t>11/17/2025</t>
  </si>
  <si>
    <t>7251-7266/7191-7211/7133-7136</t>
  </si>
  <si>
    <t>NOVEMBER 18, 2025</t>
  </si>
  <si>
    <t>11/18/2025</t>
  </si>
  <si>
    <t>7268-7289/7212-7218/7137-7140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</si>
</sst>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8" sqref="F28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5" t="s">
        <v>36</v>
      </c>
      <c r="B6" s="105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44</v>
      </c>
      <c r="I8" s="52" t="s">
        <v>45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34</v>
      </c>
      <c r="C10" s="12"/>
      <c r="D10" s="16">
        <f t="shared" ref="D10:D17" si="0">J10</f>
        <v>0</v>
      </c>
      <c r="F10" s="14"/>
      <c r="G10" s="14"/>
      <c r="H10" s="14"/>
      <c r="I10" s="14"/>
      <c r="J10" s="17">
        <f t="shared" ref="J10:J38" si="1">F10+G10+H10</f>
        <v>0</v>
      </c>
    </row>
    <row r="11" spans="1:10" x14ac:dyDescent="0.25">
      <c r="A11" s="10">
        <f>A10+1</f>
        <v>2</v>
      </c>
      <c r="B11" s="13" t="s">
        <v>6</v>
      </c>
      <c r="C11" s="44" t="s">
        <v>29</v>
      </c>
      <c r="D11" s="55" t="s">
        <v>29</v>
      </c>
      <c r="F11" s="14"/>
      <c r="G11" s="14"/>
      <c r="H11" s="14"/>
      <c r="I11" s="14"/>
      <c r="J11" s="59"/>
    </row>
    <row r="12" spans="1:10" x14ac:dyDescent="0.25">
      <c r="A12" s="10">
        <f t="shared" ref="A12:A39" si="2">A11+1</f>
        <v>3</v>
      </c>
      <c r="B12" s="11" t="s">
        <v>7</v>
      </c>
      <c r="C12" s="12" t="s">
        <v>39</v>
      </c>
      <c r="D12" s="16">
        <f t="shared" si="0"/>
        <v>560363</v>
      </c>
      <c r="F12" s="14">
        <v>148665</v>
      </c>
      <c r="G12" s="14">
        <v>212392</v>
      </c>
      <c r="H12" s="14">
        <v>199306</v>
      </c>
      <c r="I12" s="14"/>
      <c r="J12" s="17">
        <f t="shared" si="1"/>
        <v>560363</v>
      </c>
    </row>
    <row r="13" spans="1:10" x14ac:dyDescent="0.25">
      <c r="A13" s="10">
        <f t="shared" si="2"/>
        <v>4</v>
      </c>
      <c r="B13" s="43" t="s">
        <v>8</v>
      </c>
      <c r="C13" s="12" t="s">
        <v>46</v>
      </c>
      <c r="D13" s="16">
        <f t="shared" si="0"/>
        <v>941921</v>
      </c>
      <c r="F13" s="14"/>
      <c r="G13" s="14">
        <v>250502</v>
      </c>
      <c r="H13" s="14">
        <v>549104</v>
      </c>
      <c r="I13" s="14">
        <v>142315</v>
      </c>
      <c r="J13" s="17">
        <f>F13+G13+H13+I13</f>
        <v>941921</v>
      </c>
    </row>
    <row r="14" spans="1:10" x14ac:dyDescent="0.25">
      <c r="A14" s="10">
        <f t="shared" si="2"/>
        <v>5</v>
      </c>
      <c r="B14" s="56" t="s">
        <v>9</v>
      </c>
      <c r="C14" s="12" t="s">
        <v>49</v>
      </c>
      <c r="D14" s="16">
        <f t="shared" si="0"/>
        <v>570318.5</v>
      </c>
      <c r="F14" s="14">
        <v>201469</v>
      </c>
      <c r="G14" s="14">
        <v>201221.5</v>
      </c>
      <c r="H14" s="14">
        <v>167628</v>
      </c>
      <c r="I14" s="14"/>
      <c r="J14" s="17">
        <f t="shared" si="1"/>
        <v>570318.5</v>
      </c>
    </row>
    <row r="15" spans="1:10" x14ac:dyDescent="0.25">
      <c r="A15" s="10">
        <f t="shared" si="2"/>
        <v>6</v>
      </c>
      <c r="B15" s="11" t="s">
        <v>30</v>
      </c>
      <c r="C15" s="12" t="s">
        <v>54</v>
      </c>
      <c r="D15" s="16">
        <f t="shared" si="0"/>
        <v>773664</v>
      </c>
      <c r="F15" s="14">
        <v>89328</v>
      </c>
      <c r="G15" s="14">
        <v>133080</v>
      </c>
      <c r="H15" s="14">
        <v>551256</v>
      </c>
      <c r="I15" s="14"/>
      <c r="J15" s="17">
        <f t="shared" si="1"/>
        <v>773664</v>
      </c>
    </row>
    <row r="16" spans="1:10" x14ac:dyDescent="0.25">
      <c r="A16" s="10">
        <f t="shared" si="2"/>
        <v>7</v>
      </c>
      <c r="B16" s="43" t="s">
        <v>4</v>
      </c>
      <c r="C16" s="12" t="s">
        <v>55</v>
      </c>
      <c r="D16" s="16">
        <f t="shared" si="0"/>
        <v>421756.5</v>
      </c>
      <c r="F16" s="14">
        <v>203772</v>
      </c>
      <c r="G16" s="14"/>
      <c r="H16" s="14">
        <v>217984.5</v>
      </c>
      <c r="I16" s="14"/>
      <c r="J16" s="17">
        <f t="shared" si="1"/>
        <v>421756.5</v>
      </c>
    </row>
    <row r="17" spans="1:10" x14ac:dyDescent="0.25">
      <c r="A17" s="10">
        <f t="shared" si="2"/>
        <v>8</v>
      </c>
      <c r="B17" s="56" t="s">
        <v>5</v>
      </c>
      <c r="C17" s="12" t="s">
        <v>57</v>
      </c>
      <c r="D17" s="16">
        <f t="shared" si="0"/>
        <v>738742</v>
      </c>
      <c r="F17" s="14">
        <v>399714</v>
      </c>
      <c r="G17" s="14">
        <v>92786</v>
      </c>
      <c r="H17" s="14">
        <v>246242</v>
      </c>
      <c r="I17" s="14"/>
      <c r="J17" s="17">
        <f t="shared" si="1"/>
        <v>738742</v>
      </c>
    </row>
    <row r="18" spans="1:10" x14ac:dyDescent="0.25">
      <c r="A18" s="10">
        <f t="shared" si="2"/>
        <v>9</v>
      </c>
      <c r="B18" s="13" t="s">
        <v>6</v>
      </c>
      <c r="C18" s="44" t="s">
        <v>29</v>
      </c>
      <c r="D18" s="55" t="s">
        <v>29</v>
      </c>
      <c r="F18" s="14"/>
      <c r="G18" s="14"/>
      <c r="H18" s="14"/>
      <c r="I18" s="14"/>
      <c r="J18" s="59"/>
    </row>
    <row r="19" spans="1:10" x14ac:dyDescent="0.25">
      <c r="A19" s="10">
        <f t="shared" si="2"/>
        <v>10</v>
      </c>
      <c r="B19" s="11" t="s">
        <v>7</v>
      </c>
      <c r="C19" s="12" t="s">
        <v>59</v>
      </c>
      <c r="D19" s="16">
        <f t="shared" ref="D19:D24" si="3">J19</f>
        <v>429000</v>
      </c>
      <c r="F19" s="14">
        <v>80920</v>
      </c>
      <c r="G19" s="14">
        <v>128949.5</v>
      </c>
      <c r="H19" s="14">
        <v>219130.5</v>
      </c>
      <c r="I19" s="14"/>
      <c r="J19" s="17">
        <f t="shared" si="1"/>
        <v>429000</v>
      </c>
    </row>
    <row r="20" spans="1:10" x14ac:dyDescent="0.25">
      <c r="A20" s="10">
        <f t="shared" si="2"/>
        <v>11</v>
      </c>
      <c r="B20" s="43" t="s">
        <v>8</v>
      </c>
      <c r="C20" s="12" t="s">
        <v>61</v>
      </c>
      <c r="D20" s="16">
        <f t="shared" si="3"/>
        <v>764445</v>
      </c>
      <c r="F20" s="14">
        <v>214536</v>
      </c>
      <c r="G20" s="14">
        <v>367316.5</v>
      </c>
      <c r="H20" s="14">
        <v>182592.5</v>
      </c>
      <c r="I20" s="14"/>
      <c r="J20" s="17">
        <f t="shared" si="1"/>
        <v>764445</v>
      </c>
    </row>
    <row r="21" spans="1:10" x14ac:dyDescent="0.25">
      <c r="A21" s="10">
        <f t="shared" si="2"/>
        <v>12</v>
      </c>
      <c r="B21" s="56" t="s">
        <v>9</v>
      </c>
      <c r="C21" s="12" t="s">
        <v>63</v>
      </c>
      <c r="D21" s="16">
        <f t="shared" si="3"/>
        <v>425975</v>
      </c>
      <c r="F21" s="14">
        <v>157979</v>
      </c>
      <c r="G21" s="14">
        <v>135672.5</v>
      </c>
      <c r="H21" s="14">
        <v>132323.5</v>
      </c>
      <c r="I21" s="14"/>
      <c r="J21" s="17">
        <f t="shared" si="1"/>
        <v>425975</v>
      </c>
    </row>
    <row r="22" spans="1:10" x14ac:dyDescent="0.25">
      <c r="A22" s="10">
        <f t="shared" si="2"/>
        <v>13</v>
      </c>
      <c r="B22" s="11" t="s">
        <v>30</v>
      </c>
      <c r="C22" s="12" t="s">
        <v>66</v>
      </c>
      <c r="D22" s="16">
        <f t="shared" si="3"/>
        <v>384629.5</v>
      </c>
      <c r="F22" s="14"/>
      <c r="G22" s="14">
        <v>160258.5</v>
      </c>
      <c r="H22" s="14">
        <v>224371</v>
      </c>
      <c r="I22" s="14"/>
      <c r="J22" s="17">
        <f t="shared" si="1"/>
        <v>384629.5</v>
      </c>
    </row>
    <row r="23" spans="1:10" x14ac:dyDescent="0.25">
      <c r="A23" s="10">
        <f t="shared" si="2"/>
        <v>14</v>
      </c>
      <c r="B23" s="43" t="s">
        <v>4</v>
      </c>
      <c r="C23" s="12" t="s">
        <v>69</v>
      </c>
      <c r="D23" s="16">
        <f t="shared" si="3"/>
        <v>533795</v>
      </c>
      <c r="F23" s="14">
        <v>94871.5</v>
      </c>
      <c r="G23" s="14">
        <v>127657.5</v>
      </c>
      <c r="H23" s="14">
        <v>311266</v>
      </c>
      <c r="I23" s="14"/>
      <c r="J23" s="17">
        <f t="shared" si="1"/>
        <v>533795</v>
      </c>
    </row>
    <row r="24" spans="1:10" x14ac:dyDescent="0.25">
      <c r="A24" s="10">
        <f t="shared" si="2"/>
        <v>15</v>
      </c>
      <c r="B24" s="56" t="s">
        <v>5</v>
      </c>
      <c r="C24" s="12" t="s">
        <v>73</v>
      </c>
      <c r="D24" s="16">
        <f t="shared" si="3"/>
        <v>587925</v>
      </c>
      <c r="F24" s="14">
        <v>153544</v>
      </c>
      <c r="G24" s="14"/>
      <c r="H24" s="14">
        <v>434381</v>
      </c>
      <c r="I24" s="14"/>
      <c r="J24" s="17">
        <f t="shared" si="1"/>
        <v>587925</v>
      </c>
    </row>
    <row r="25" spans="1:10" x14ac:dyDescent="0.25">
      <c r="A25" s="10">
        <f t="shared" si="2"/>
        <v>16</v>
      </c>
      <c r="B25" s="13" t="s">
        <v>6</v>
      </c>
      <c r="C25" s="44" t="s">
        <v>29</v>
      </c>
      <c r="D25" s="55" t="s">
        <v>29</v>
      </c>
      <c r="F25" s="14"/>
      <c r="G25" s="14"/>
      <c r="H25" s="14"/>
      <c r="I25" s="14"/>
      <c r="J25" s="59"/>
    </row>
    <row r="26" spans="1:10" x14ac:dyDescent="0.25">
      <c r="A26" s="10">
        <f t="shared" si="2"/>
        <v>17</v>
      </c>
      <c r="B26" s="11" t="s">
        <v>7</v>
      </c>
      <c r="C26" s="12" t="s">
        <v>76</v>
      </c>
      <c r="D26" s="16">
        <f t="shared" ref="D26:D31" si="4">J26</f>
        <v>441656</v>
      </c>
      <c r="F26" s="14">
        <v>183127.5</v>
      </c>
      <c r="G26" s="14">
        <v>129134.5</v>
      </c>
      <c r="H26" s="14">
        <v>129394</v>
      </c>
      <c r="I26" s="14"/>
      <c r="J26" s="17">
        <f t="shared" si="1"/>
        <v>441656</v>
      </c>
    </row>
    <row r="27" spans="1:10" x14ac:dyDescent="0.25">
      <c r="A27" s="10">
        <f t="shared" si="2"/>
        <v>18</v>
      </c>
      <c r="B27" s="43" t="s">
        <v>8</v>
      </c>
      <c r="C27" s="12" t="s">
        <v>79</v>
      </c>
      <c r="D27" s="16">
        <f t="shared" si="4"/>
        <v>698945</v>
      </c>
      <c r="F27" s="14">
        <v>180919</v>
      </c>
      <c r="G27" s="14">
        <v>145476</v>
      </c>
      <c r="H27" s="14">
        <v>372550</v>
      </c>
      <c r="I27" s="14"/>
      <c r="J27" s="17">
        <f t="shared" si="1"/>
        <v>698945</v>
      </c>
    </row>
    <row r="28" spans="1:10" x14ac:dyDescent="0.25">
      <c r="A28" s="10">
        <f t="shared" si="2"/>
        <v>19</v>
      </c>
      <c r="B28" s="56" t="s">
        <v>9</v>
      </c>
      <c r="C28" s="12"/>
      <c r="D28" s="16">
        <f t="shared" si="4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11" t="s">
        <v>30</v>
      </c>
      <c r="C29" s="12"/>
      <c r="D29" s="16">
        <f t="shared" si="4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4</v>
      </c>
      <c r="C30" s="12"/>
      <c r="D30" s="16">
        <f t="shared" si="4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5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3" t="s">
        <v>6</v>
      </c>
      <c r="C32" s="44" t="s">
        <v>29</v>
      </c>
      <c r="D32" s="55" t="s">
        <v>29</v>
      </c>
      <c r="E32" s="15"/>
      <c r="F32" s="15"/>
      <c r="G32" s="14"/>
      <c r="H32" s="54"/>
      <c r="I32" s="54"/>
      <c r="J32" s="59"/>
    </row>
    <row r="33" spans="1:10" x14ac:dyDescent="0.25">
      <c r="A33" s="10">
        <f t="shared" si="2"/>
        <v>24</v>
      </c>
      <c r="B33" s="11" t="s">
        <v>7</v>
      </c>
      <c r="C33" s="12"/>
      <c r="D33" s="16">
        <f t="shared" ref="D33:D38" si="5">J33</f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43" t="s">
        <v>8</v>
      </c>
      <c r="C34" s="12"/>
      <c r="D34" s="16">
        <f t="shared" si="5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56" t="s">
        <v>9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11" t="s">
        <v>30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43" t="s">
        <v>4</v>
      </c>
      <c r="C37" s="12"/>
      <c r="D37" s="16">
        <f t="shared" si="5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56" t="s">
        <v>5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13" t="s">
        <v>6</v>
      </c>
      <c r="C39" s="44" t="s">
        <v>29</v>
      </c>
      <c r="D39" s="55" t="s">
        <v>29</v>
      </c>
      <c r="E39" s="14"/>
      <c r="F39" s="14"/>
      <c r="G39" s="14"/>
      <c r="H39" s="14"/>
      <c r="I39" s="14"/>
      <c r="J39" s="59"/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6" t="s">
        <v>10</v>
      </c>
      <c r="B42" s="107"/>
      <c r="C42" s="108"/>
      <c r="D42" s="48">
        <f>SUM(D2:D39)</f>
        <v>8273135.5</v>
      </c>
      <c r="J42" s="49">
        <f>SUM(J10:J41)</f>
        <v>8273135.5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744" zoomScaleNormal="100" workbookViewId="0">
      <selection activeCell="A772" sqref="A772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35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35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35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38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1" t="s">
        <v>17</v>
      </c>
      <c r="E10" s="111"/>
      <c r="F10" s="77"/>
      <c r="G10" s="27"/>
      <c r="I10" s="114" t="s">
        <v>18</v>
      </c>
      <c r="J10" s="115"/>
      <c r="K10" s="112" t="s">
        <v>19</v>
      </c>
      <c r="N10" s="25"/>
      <c r="O10" s="26"/>
      <c r="P10" s="111" t="s">
        <v>17</v>
      </c>
      <c r="Q10" s="111"/>
      <c r="R10" s="77"/>
      <c r="S10" s="27"/>
      <c r="U10" s="114" t="s">
        <v>18</v>
      </c>
      <c r="V10" s="115"/>
      <c r="W10" s="112" t="s">
        <v>19</v>
      </c>
      <c r="Z10" s="25"/>
      <c r="AA10" s="26"/>
      <c r="AB10" s="111" t="s">
        <v>17</v>
      </c>
      <c r="AC10" s="111"/>
      <c r="AD10" s="77"/>
      <c r="AE10" s="27"/>
      <c r="AG10" s="114" t="s">
        <v>18</v>
      </c>
      <c r="AH10" s="115"/>
      <c r="AI10" s="112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3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3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3"/>
    </row>
    <row r="12" spans="1:35" x14ac:dyDescent="0.25">
      <c r="A12" s="10">
        <v>1</v>
      </c>
      <c r="B12" s="30">
        <v>45727</v>
      </c>
      <c r="C12" s="91">
        <v>6699</v>
      </c>
      <c r="D12" s="32">
        <f>16902+1788</f>
        <v>18690</v>
      </c>
      <c r="E12" s="32"/>
      <c r="F12" s="32"/>
      <c r="G12" s="32">
        <f t="shared" ref="G12:G45" si="0">SUM(D12:E12)</f>
        <v>18690</v>
      </c>
      <c r="H12" s="12"/>
      <c r="I12" s="12"/>
      <c r="J12" s="12"/>
      <c r="K12" s="12">
        <f t="shared" ref="K12:K45" si="1">SUM(G12:J12)</f>
        <v>18690</v>
      </c>
      <c r="M12" s="10">
        <v>1</v>
      </c>
      <c r="N12" s="30">
        <v>45727</v>
      </c>
      <c r="O12" s="31">
        <v>6823</v>
      </c>
      <c r="P12" s="32">
        <f>135216+1374</f>
        <v>136590</v>
      </c>
      <c r="Q12" s="32">
        <v>-1998</v>
      </c>
      <c r="R12" s="32"/>
      <c r="S12" s="32">
        <f>SUM(P12:Q12)</f>
        <v>134592</v>
      </c>
      <c r="T12" s="12"/>
      <c r="U12" s="12">
        <v>216</v>
      </c>
      <c r="V12" s="12">
        <v>-48</v>
      </c>
      <c r="W12" s="12">
        <f>SUM(S12:V12)</f>
        <v>134760</v>
      </c>
      <c r="Y12" s="10">
        <v>1</v>
      </c>
      <c r="Z12" s="30">
        <v>45727</v>
      </c>
      <c r="AA12" s="31">
        <v>6867</v>
      </c>
      <c r="AB12" s="32">
        <f>9390+2980</f>
        <v>12370</v>
      </c>
      <c r="AC12" s="32"/>
      <c r="AD12" s="32"/>
      <c r="AE12" s="32">
        <f>SUM(AB12:AC12)</f>
        <v>12370</v>
      </c>
      <c r="AF12" s="12"/>
      <c r="AG12" s="12"/>
      <c r="AH12" s="12"/>
      <c r="AI12" s="12">
        <f>SUM(AE12:AH12)</f>
        <v>12370</v>
      </c>
    </row>
    <row r="13" spans="1:35" x14ac:dyDescent="0.25">
      <c r="A13" s="10">
        <v>2</v>
      </c>
      <c r="B13" s="30">
        <v>45727</v>
      </c>
      <c r="C13" s="91">
        <f>C12+1</f>
        <v>6700</v>
      </c>
      <c r="D13" s="32">
        <f>34430+2980</f>
        <v>37410</v>
      </c>
      <c r="E13" s="32"/>
      <c r="F13" s="32"/>
      <c r="G13" s="32">
        <f t="shared" si="0"/>
        <v>37410</v>
      </c>
      <c r="H13" s="12"/>
      <c r="I13" s="12"/>
      <c r="J13" s="12"/>
      <c r="K13" s="12">
        <f t="shared" si="1"/>
        <v>37410</v>
      </c>
      <c r="M13" s="10">
        <v>2</v>
      </c>
      <c r="N13" s="30">
        <v>45727</v>
      </c>
      <c r="O13" s="31">
        <f>O12+1</f>
        <v>6824</v>
      </c>
      <c r="P13" s="32">
        <f>63852+7748+916</f>
        <v>72516</v>
      </c>
      <c r="Q13" s="32">
        <v>-1071</v>
      </c>
      <c r="R13" s="32"/>
      <c r="S13" s="32">
        <f t="shared" ref="S13:S44" si="2">SUM(P13:Q13)</f>
        <v>71445</v>
      </c>
      <c r="T13" s="12"/>
      <c r="U13" s="12"/>
      <c r="V13" s="12"/>
      <c r="W13" s="12">
        <f t="shared" ref="W13:W44" si="3">SUM(S13:V13)</f>
        <v>71445</v>
      </c>
      <c r="Y13" s="10">
        <v>2</v>
      </c>
      <c r="Z13" s="30">
        <v>45727</v>
      </c>
      <c r="AA13" s="31">
        <f>AA12+1</f>
        <v>6868</v>
      </c>
      <c r="AB13" s="32">
        <f>62600+3070+16688+852+1005+1145</f>
        <v>85360</v>
      </c>
      <c r="AC13" s="32">
        <v>-840</v>
      </c>
      <c r="AD13" s="32"/>
      <c r="AE13" s="32">
        <f t="shared" ref="AE13:AE44" si="4">SUM(AB13:AC13)</f>
        <v>84520</v>
      </c>
      <c r="AF13" s="12"/>
      <c r="AG13" s="12"/>
      <c r="AH13" s="12"/>
      <c r="AI13" s="12">
        <f t="shared" ref="AI13:AI44" si="5">SUM(AE13:AH13)</f>
        <v>84520</v>
      </c>
    </row>
    <row r="14" spans="1:35" x14ac:dyDescent="0.25">
      <c r="A14" s="10">
        <v>3</v>
      </c>
      <c r="B14" s="30">
        <v>45727</v>
      </c>
      <c r="C14" s="91">
        <v>6901</v>
      </c>
      <c r="D14" s="33">
        <f>2504+1228+913+674+38</f>
        <v>5357</v>
      </c>
      <c r="E14" s="33"/>
      <c r="F14" s="33"/>
      <c r="G14" s="33">
        <f t="shared" si="0"/>
        <v>5357</v>
      </c>
      <c r="H14" s="34"/>
      <c r="I14" s="34"/>
      <c r="J14" s="34"/>
      <c r="K14" s="34">
        <f t="shared" si="1"/>
        <v>5357</v>
      </c>
      <c r="M14" s="10">
        <v>3</v>
      </c>
      <c r="N14" s="30">
        <v>45727</v>
      </c>
      <c r="O14" s="31">
        <f t="shared" ref="O14:O15" si="6">O13+1</f>
        <v>6825</v>
      </c>
      <c r="P14" s="32">
        <f>626+9.5</f>
        <v>635.5</v>
      </c>
      <c r="Q14" s="32"/>
      <c r="R14" s="32"/>
      <c r="S14" s="32">
        <f t="shared" si="2"/>
        <v>635.5</v>
      </c>
      <c r="T14" s="12"/>
      <c r="U14" s="12">
        <v>1.5</v>
      </c>
      <c r="V14" s="12"/>
      <c r="W14" s="12">
        <f t="shared" si="3"/>
        <v>637</v>
      </c>
      <c r="Y14" s="10">
        <v>3</v>
      </c>
      <c r="Z14" s="30">
        <v>45727</v>
      </c>
      <c r="AA14" s="31">
        <f t="shared" ref="AA14" si="7">AA13+1</f>
        <v>6869</v>
      </c>
      <c r="AB14" s="33">
        <f>92648+3370+6556+832</f>
        <v>103406</v>
      </c>
      <c r="AC14" s="33">
        <v>-990</v>
      </c>
      <c r="AD14" s="32"/>
      <c r="AE14" s="32">
        <f t="shared" si="4"/>
        <v>102416</v>
      </c>
      <c r="AF14" s="12"/>
      <c r="AG14" s="12"/>
      <c r="AH14" s="12">
        <f>-480+-555</f>
        <v>-1035</v>
      </c>
      <c r="AI14" s="12">
        <f t="shared" si="5"/>
        <v>101381</v>
      </c>
    </row>
    <row r="15" spans="1:35" x14ac:dyDescent="0.25">
      <c r="A15" s="10">
        <v>4</v>
      </c>
      <c r="B15" s="30">
        <v>45727</v>
      </c>
      <c r="C15" s="91">
        <f t="shared" ref="C15:C30" si="8">C14+1</f>
        <v>6902</v>
      </c>
      <c r="D15" s="32">
        <f>626+500</f>
        <v>1126</v>
      </c>
      <c r="E15" s="32"/>
      <c r="F15" s="32"/>
      <c r="G15" s="32">
        <f t="shared" si="0"/>
        <v>1126</v>
      </c>
      <c r="H15" s="12"/>
      <c r="I15" s="12"/>
      <c r="J15" s="12"/>
      <c r="K15" s="12">
        <f t="shared" si="1"/>
        <v>1126</v>
      </c>
      <c r="M15" s="10">
        <v>4</v>
      </c>
      <c r="N15" s="30">
        <v>45727</v>
      </c>
      <c r="O15" s="31">
        <f t="shared" si="6"/>
        <v>6826</v>
      </c>
      <c r="P15" s="32">
        <f>5634+85.5</f>
        <v>5719.5</v>
      </c>
      <c r="Q15" s="32"/>
      <c r="R15" s="32"/>
      <c r="S15" s="32">
        <f t="shared" si="2"/>
        <v>5719.5</v>
      </c>
      <c r="T15" s="12"/>
      <c r="U15" s="12"/>
      <c r="V15" s="12"/>
      <c r="W15" s="12">
        <f t="shared" si="3"/>
        <v>5719.5</v>
      </c>
      <c r="Y15" s="10">
        <v>4</v>
      </c>
      <c r="Z15" s="30"/>
      <c r="AA15" s="11" t="s">
        <v>27</v>
      </c>
      <c r="AB15" s="32"/>
      <c r="AC15" s="32"/>
      <c r="AD15" s="32"/>
      <c r="AE15" s="32">
        <f t="shared" si="4"/>
        <v>0</v>
      </c>
      <c r="AF15" s="12"/>
      <c r="AH15" s="12"/>
      <c r="AI15" s="12">
        <f t="shared" si="5"/>
        <v>0</v>
      </c>
    </row>
    <row r="16" spans="1:35" x14ac:dyDescent="0.25">
      <c r="A16" s="10">
        <v>5</v>
      </c>
      <c r="B16" s="30">
        <v>45727</v>
      </c>
      <c r="C16" s="91">
        <f t="shared" si="8"/>
        <v>6903</v>
      </c>
      <c r="D16" s="32">
        <f>1145</f>
        <v>1145</v>
      </c>
      <c r="E16" s="32"/>
      <c r="F16" s="32"/>
      <c r="G16" s="32">
        <f t="shared" si="0"/>
        <v>1145</v>
      </c>
      <c r="H16" s="12"/>
      <c r="I16" s="12"/>
      <c r="J16" s="12"/>
      <c r="K16" s="12">
        <f t="shared" si="1"/>
        <v>1145</v>
      </c>
      <c r="M16" s="10">
        <v>5</v>
      </c>
      <c r="N16" s="30"/>
      <c r="O16" s="11" t="s">
        <v>27</v>
      </c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/>
      <c r="AA16" s="31"/>
      <c r="AB16" s="32"/>
      <c r="AC16" s="32"/>
      <c r="AD16" s="32"/>
      <c r="AE16" s="32">
        <f t="shared" ref="AE16:AE21" si="9">SUM(AB16:AC16)</f>
        <v>0</v>
      </c>
      <c r="AF16" s="12"/>
      <c r="AG16" s="12"/>
      <c r="AH16" s="12"/>
      <c r="AI16" s="12">
        <f t="shared" si="5"/>
        <v>0</v>
      </c>
    </row>
    <row r="17" spans="1:35" x14ac:dyDescent="0.25">
      <c r="A17" s="10">
        <v>6</v>
      </c>
      <c r="B17" s="30">
        <v>45727</v>
      </c>
      <c r="C17" s="91">
        <f t="shared" si="8"/>
        <v>6904</v>
      </c>
      <c r="D17" s="32">
        <f>5634+614+596+95</f>
        <v>6939</v>
      </c>
      <c r="E17" s="32"/>
      <c r="F17" s="32"/>
      <c r="G17" s="32">
        <f t="shared" si="0"/>
        <v>6939</v>
      </c>
      <c r="H17" s="12"/>
      <c r="I17" s="12">
        <v>130</v>
      </c>
      <c r="J17" s="12"/>
      <c r="K17" s="12">
        <f t="shared" si="1"/>
        <v>7069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31"/>
      <c r="AB17" s="32"/>
      <c r="AC17" s="32"/>
      <c r="AD17" s="32"/>
      <c r="AE17" s="32">
        <f t="shared" si="9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45727</v>
      </c>
      <c r="C18" s="91">
        <f t="shared" si="8"/>
        <v>6905</v>
      </c>
      <c r="D18" s="32">
        <f>3756+1842+596+67</f>
        <v>6261</v>
      </c>
      <c r="E18" s="32"/>
      <c r="F18" s="32"/>
      <c r="G18" s="32">
        <f t="shared" si="0"/>
        <v>6261</v>
      </c>
      <c r="H18" s="12"/>
      <c r="I18" s="12"/>
      <c r="J18" s="12"/>
      <c r="K18" s="12">
        <f t="shared" si="1"/>
        <v>6261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45727</v>
      </c>
      <c r="C19" s="91">
        <f t="shared" si="8"/>
        <v>6906</v>
      </c>
      <c r="D19" s="32">
        <f>1252+19</f>
        <v>1271</v>
      </c>
      <c r="E19" s="32"/>
      <c r="F19" s="32"/>
      <c r="G19" s="32">
        <f t="shared" si="0"/>
        <v>1271</v>
      </c>
      <c r="H19" s="12"/>
      <c r="I19" s="12"/>
      <c r="J19" s="12"/>
      <c r="K19" s="12">
        <f t="shared" si="1"/>
        <v>1271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45727</v>
      </c>
      <c r="C20" s="91">
        <f t="shared" si="8"/>
        <v>6907</v>
      </c>
      <c r="D20" s="32">
        <f>3130+1228+48</f>
        <v>4406</v>
      </c>
      <c r="E20" s="32"/>
      <c r="F20" s="32"/>
      <c r="G20" s="32">
        <f t="shared" si="0"/>
        <v>4406</v>
      </c>
      <c r="H20" s="12"/>
      <c r="I20" s="12"/>
      <c r="J20" s="12"/>
      <c r="K20" s="12">
        <f t="shared" si="1"/>
        <v>4406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45727</v>
      </c>
      <c r="C21" s="91">
        <f t="shared" si="8"/>
        <v>6908</v>
      </c>
      <c r="D21" s="32">
        <f>6260+95</f>
        <v>6355</v>
      </c>
      <c r="E21" s="32"/>
      <c r="F21" s="32"/>
      <c r="G21" s="32">
        <f t="shared" si="0"/>
        <v>6355</v>
      </c>
      <c r="H21" s="12"/>
      <c r="I21" s="12"/>
      <c r="J21" s="12"/>
      <c r="K21" s="12">
        <f t="shared" si="1"/>
        <v>6355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45727</v>
      </c>
      <c r="C22" s="91">
        <f t="shared" si="8"/>
        <v>6909</v>
      </c>
      <c r="D22" s="32">
        <f>3130+614+48</f>
        <v>3792</v>
      </c>
      <c r="E22" s="32"/>
      <c r="F22" s="32"/>
      <c r="G22" s="32">
        <f t="shared" si="0"/>
        <v>3792</v>
      </c>
      <c r="H22" s="12"/>
      <c r="I22" s="12"/>
      <c r="J22" s="12"/>
      <c r="K22" s="12">
        <f t="shared" si="1"/>
        <v>3792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45727</v>
      </c>
      <c r="C23" s="91">
        <f t="shared" si="8"/>
        <v>6910</v>
      </c>
      <c r="D23" s="32">
        <f>2504+38</f>
        <v>2542</v>
      </c>
      <c r="E23" s="32"/>
      <c r="F23" s="32"/>
      <c r="G23" s="32">
        <f t="shared" si="0"/>
        <v>2542</v>
      </c>
      <c r="H23" s="12"/>
      <c r="I23" s="12"/>
      <c r="J23" s="10"/>
      <c r="K23" s="12">
        <f t="shared" si="1"/>
        <v>2542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45727</v>
      </c>
      <c r="C24" s="91">
        <f t="shared" si="8"/>
        <v>6911</v>
      </c>
      <c r="D24" s="32">
        <f>1878+614</f>
        <v>2492</v>
      </c>
      <c r="E24" s="32"/>
      <c r="F24" s="32"/>
      <c r="G24" s="32">
        <f t="shared" si="0"/>
        <v>2492</v>
      </c>
      <c r="H24" s="12"/>
      <c r="I24" s="12"/>
      <c r="J24" s="12"/>
      <c r="K24" s="12">
        <f t="shared" si="1"/>
        <v>2492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45727</v>
      </c>
      <c r="C25" s="91">
        <f t="shared" si="8"/>
        <v>6912</v>
      </c>
      <c r="D25" s="32">
        <f>3130+48</f>
        <v>3178</v>
      </c>
      <c r="E25" s="32"/>
      <c r="F25" s="32"/>
      <c r="G25" s="32">
        <f t="shared" si="0"/>
        <v>3178</v>
      </c>
      <c r="H25" s="12"/>
      <c r="I25" s="12"/>
      <c r="J25" s="12"/>
      <c r="K25" s="12">
        <f t="shared" si="1"/>
        <v>3178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45727</v>
      </c>
      <c r="C26" s="91">
        <f t="shared" si="8"/>
        <v>6913</v>
      </c>
      <c r="D26" s="32">
        <f>1878+596</f>
        <v>2474</v>
      </c>
      <c r="E26" s="32"/>
      <c r="F26" s="32"/>
      <c r="G26" s="32">
        <f t="shared" si="0"/>
        <v>2474</v>
      </c>
      <c r="H26" s="12"/>
      <c r="I26" s="12"/>
      <c r="J26" s="12"/>
      <c r="K26" s="12">
        <f t="shared" si="1"/>
        <v>2474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45727</v>
      </c>
      <c r="C27" s="91">
        <f t="shared" si="8"/>
        <v>6914</v>
      </c>
      <c r="D27" s="32">
        <f>2504+38</f>
        <v>2542</v>
      </c>
      <c r="E27" s="32"/>
      <c r="F27" s="32"/>
      <c r="G27" s="32">
        <f t="shared" si="0"/>
        <v>2542</v>
      </c>
      <c r="H27" s="12"/>
      <c r="I27" s="12">
        <v>14</v>
      </c>
      <c r="J27" s="12"/>
      <c r="K27" s="12">
        <f t="shared" si="1"/>
        <v>2556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>
        <v>45727</v>
      </c>
      <c r="C28" s="91">
        <f t="shared" si="8"/>
        <v>6915</v>
      </c>
      <c r="D28" s="32">
        <f>6886+1005+3306+1664+2600+1175</f>
        <v>16636</v>
      </c>
      <c r="E28" s="32"/>
      <c r="F28" s="32"/>
      <c r="G28" s="32">
        <f t="shared" si="0"/>
        <v>16636</v>
      </c>
      <c r="H28" s="12"/>
      <c r="I28" s="12">
        <f>4.5+55.5</f>
        <v>60</v>
      </c>
      <c r="J28" s="12"/>
      <c r="K28" s="12">
        <f t="shared" si="1"/>
        <v>16696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>
        <v>45727</v>
      </c>
      <c r="C29" s="91">
        <f t="shared" si="8"/>
        <v>6916</v>
      </c>
      <c r="D29" s="32">
        <f>16276+5960</f>
        <v>22236</v>
      </c>
      <c r="E29" s="32"/>
      <c r="F29" s="32"/>
      <c r="G29" s="32">
        <f t="shared" si="0"/>
        <v>22236</v>
      </c>
      <c r="H29" s="12"/>
      <c r="I29" s="12"/>
      <c r="J29" s="12"/>
      <c r="K29" s="12">
        <f t="shared" si="1"/>
        <v>22236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>
        <v>45727</v>
      </c>
      <c r="C30" s="91">
        <f t="shared" si="8"/>
        <v>6917</v>
      </c>
      <c r="D30" s="32">
        <f>3756+57</f>
        <v>3813</v>
      </c>
      <c r="E30" s="32"/>
      <c r="F30" s="32"/>
      <c r="G30" s="32">
        <f t="shared" si="0"/>
        <v>3813</v>
      </c>
      <c r="H30" s="12"/>
      <c r="I30" s="12"/>
      <c r="J30" s="12"/>
      <c r="K30" s="12">
        <f t="shared" si="1"/>
        <v>3813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11" t="s">
        <v>27</v>
      </c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148665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148665</v>
      </c>
      <c r="H55" s="4"/>
      <c r="I55" s="39">
        <f>SUM(I12:I54)</f>
        <v>204</v>
      </c>
      <c r="J55" s="39">
        <f>SUM(J12:J54)</f>
        <v>0</v>
      </c>
      <c r="K55" s="40">
        <f>SUM(K12:K54)</f>
        <v>148869</v>
      </c>
      <c r="N55" s="57"/>
      <c r="O55" s="57"/>
      <c r="P55" s="38">
        <f>SUM(P12:P54)</f>
        <v>215461</v>
      </c>
      <c r="Q55" s="38">
        <f>SUM(Q12:Q36)</f>
        <v>-3069</v>
      </c>
      <c r="R55" s="38">
        <f>SUM(R12:R36)</f>
        <v>0</v>
      </c>
      <c r="S55" s="38">
        <f>SUM(S12:S54)</f>
        <v>212392</v>
      </c>
      <c r="T55" s="4"/>
      <c r="U55" s="41">
        <f>SUM(U12:U54)</f>
        <v>217.5</v>
      </c>
      <c r="V55" s="41">
        <f>SUM(V12:V36)</f>
        <v>-48</v>
      </c>
      <c r="W55" s="42">
        <f>SUM(W12:W54)</f>
        <v>212561.5</v>
      </c>
      <c r="Z55" s="57"/>
      <c r="AA55" s="57"/>
      <c r="AB55" s="38">
        <f>SUM(AB12:AB54)</f>
        <v>201136</v>
      </c>
      <c r="AC55" s="38">
        <f>SUM(AC12:AC36)</f>
        <v>-1830</v>
      </c>
      <c r="AD55" s="38">
        <f>SUM(AD12:AD36)</f>
        <v>0</v>
      </c>
      <c r="AE55" s="38">
        <f>SUM(AE12:AE54)</f>
        <v>199306</v>
      </c>
      <c r="AF55" s="4"/>
      <c r="AG55" s="41">
        <f>SUM(AG12:AG54)</f>
        <v>0</v>
      </c>
      <c r="AH55" s="41">
        <f>SUM(AH12:AH36)</f>
        <v>-1035</v>
      </c>
      <c r="AI55" s="42">
        <f>SUM(AI12:AI54)</f>
        <v>198271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40</v>
      </c>
      <c r="B62" s="57"/>
      <c r="C62" s="57"/>
      <c r="D62" s="57"/>
      <c r="E62" s="57"/>
      <c r="G62" s="57"/>
      <c r="I62" s="57" t="s">
        <v>15</v>
      </c>
      <c r="J62" s="19">
        <v>2</v>
      </c>
      <c r="M62" t="s">
        <v>40</v>
      </c>
      <c r="N62" s="57"/>
      <c r="O62" s="57"/>
      <c r="P62" s="57"/>
      <c r="Q62" s="57"/>
      <c r="R62" s="57"/>
      <c r="S62" s="57"/>
      <c r="U62" s="57" t="s">
        <v>15</v>
      </c>
      <c r="V62" s="19" t="s">
        <v>43</v>
      </c>
      <c r="Y62" t="s">
        <v>40</v>
      </c>
      <c r="Z62" s="57"/>
      <c r="AA62" s="57"/>
      <c r="AB62" s="57"/>
      <c r="AC62" s="57"/>
      <c r="AD62" s="57"/>
      <c r="AE62" s="57"/>
      <c r="AG62" s="57" t="s">
        <v>15</v>
      </c>
      <c r="AH62" s="19" t="s">
        <v>43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42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31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1" t="s">
        <v>17</v>
      </c>
      <c r="E65" s="111"/>
      <c r="F65" s="92"/>
      <c r="G65" s="27"/>
      <c r="I65" s="114" t="s">
        <v>18</v>
      </c>
      <c r="J65" s="115"/>
      <c r="K65" s="112" t="s">
        <v>19</v>
      </c>
      <c r="N65" s="25"/>
      <c r="O65" s="26"/>
      <c r="P65" s="111" t="s">
        <v>17</v>
      </c>
      <c r="Q65" s="111"/>
      <c r="R65" s="92"/>
      <c r="S65" s="27"/>
      <c r="U65" s="114" t="s">
        <v>18</v>
      </c>
      <c r="V65" s="115"/>
      <c r="W65" s="112" t="s">
        <v>19</v>
      </c>
      <c r="Z65" s="25"/>
      <c r="AA65" s="26"/>
      <c r="AB65" s="111" t="s">
        <v>17</v>
      </c>
      <c r="AC65" s="111"/>
      <c r="AD65" s="92"/>
      <c r="AE65" s="27"/>
      <c r="AG65" s="114" t="s">
        <v>18</v>
      </c>
      <c r="AH65" s="115"/>
      <c r="AI65" s="112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3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3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3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45758</v>
      </c>
      <c r="C67" s="91">
        <v>6828</v>
      </c>
      <c r="D67" s="32">
        <f>202824+6140+29800+229*15</f>
        <v>242199</v>
      </c>
      <c r="E67" s="32">
        <v>-3591</v>
      </c>
      <c r="F67" s="32"/>
      <c r="G67" s="32">
        <f t="shared" ref="G67:G100" si="19">SUM(D67:E67)</f>
        <v>238608</v>
      </c>
      <c r="H67" s="12"/>
      <c r="I67" s="12">
        <v>780</v>
      </c>
      <c r="J67" s="12">
        <f>-666+-2100+-1302</f>
        <v>-4068</v>
      </c>
      <c r="K67" s="12">
        <f t="shared" ref="K67:K100" si="20">SUM(G67:J67)</f>
        <v>235320</v>
      </c>
      <c r="M67" s="10">
        <v>1</v>
      </c>
      <c r="N67" s="30">
        <v>45758</v>
      </c>
      <c r="O67" s="31">
        <v>6870</v>
      </c>
      <c r="P67" s="32">
        <f>142102+1826+30396+1704+3015+2496+2519</f>
        <v>184058</v>
      </c>
      <c r="Q67" s="32">
        <v>-1794</v>
      </c>
      <c r="R67" s="32"/>
      <c r="S67" s="32">
        <f>SUM(P67:Q67)</f>
        <v>182264</v>
      </c>
      <c r="T67" s="12"/>
      <c r="U67" s="12">
        <v>324</v>
      </c>
      <c r="V67" s="12"/>
      <c r="W67" s="12">
        <f>SUM(S67:V67)</f>
        <v>182588</v>
      </c>
      <c r="Y67" s="10">
        <v>1</v>
      </c>
      <c r="Z67" s="30">
        <v>45758</v>
      </c>
      <c r="AA67" s="31">
        <v>6918</v>
      </c>
      <c r="AB67" s="32">
        <f>93900+1374</f>
        <v>95274</v>
      </c>
      <c r="AC67" s="32">
        <v>-936</v>
      </c>
      <c r="AD67" s="32"/>
      <c r="AE67" s="32">
        <f>SUM(AB67:AC67)</f>
        <v>94338</v>
      </c>
      <c r="AF67" s="12"/>
      <c r="AG67" s="12">
        <v>156</v>
      </c>
      <c r="AH67" s="12">
        <f>-333+-6327</f>
        <v>-6660</v>
      </c>
      <c r="AI67" s="12">
        <f>SUM(AE67:AH67)</f>
        <v>87834</v>
      </c>
      <c r="AK67" s="62"/>
      <c r="AL67" s="65"/>
      <c r="AM67" s="87"/>
      <c r="AN67" s="110"/>
      <c r="AO67" s="110"/>
      <c r="AP67" s="87"/>
      <c r="AQ67" s="62"/>
      <c r="AR67" s="110"/>
      <c r="AS67" s="110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45758</v>
      </c>
      <c r="C68" s="91">
        <f>C67+1</f>
        <v>6829</v>
      </c>
      <c r="D68" s="32">
        <f>11894</f>
        <v>11894</v>
      </c>
      <c r="E68" s="32"/>
      <c r="F68" s="32"/>
      <c r="G68" s="32">
        <f t="shared" si="19"/>
        <v>11894</v>
      </c>
      <c r="H68" s="12"/>
      <c r="I68" s="12"/>
      <c r="J68" s="12"/>
      <c r="K68" s="12">
        <f t="shared" si="20"/>
        <v>11894</v>
      </c>
      <c r="M68" s="10">
        <v>2</v>
      </c>
      <c r="N68" s="30">
        <v>45758</v>
      </c>
      <c r="O68" s="31">
        <f>O67+1</f>
        <v>6871</v>
      </c>
      <c r="P68" s="32">
        <f>626*396+614*16+596*68+229*20</f>
        <v>302828</v>
      </c>
      <c r="Q68" s="32">
        <v>-3000</v>
      </c>
      <c r="R68" s="32"/>
      <c r="S68" s="32">
        <f t="shared" ref="S68:S99" si="21">SUM(P68:Q68)</f>
        <v>299828</v>
      </c>
      <c r="T68" s="12"/>
      <c r="U68" s="12">
        <f>1998+546</f>
        <v>2544</v>
      </c>
      <c r="V68" s="12"/>
      <c r="W68" s="12">
        <f t="shared" ref="W68:W99" si="22">SUM(S68:V68)</f>
        <v>302372</v>
      </c>
      <c r="Y68" s="10">
        <v>2</v>
      </c>
      <c r="Z68" s="30">
        <v>45758</v>
      </c>
      <c r="AA68" s="31">
        <f>AA67+1</f>
        <v>6919</v>
      </c>
      <c r="AB68" s="32">
        <f>28170+1842+2980+229</f>
        <v>33221</v>
      </c>
      <c r="AC68" s="32">
        <v>-324</v>
      </c>
      <c r="AD68" s="32"/>
      <c r="AE68" s="32">
        <f t="shared" ref="AE68:AE70" si="23">SUM(AB68:AC68)</f>
        <v>32897</v>
      </c>
      <c r="AF68" s="12"/>
      <c r="AG68" s="12">
        <v>36</v>
      </c>
      <c r="AH68" s="12"/>
      <c r="AI68" s="12">
        <f t="shared" ref="AI68:AI99" si="24">SUM(AE68:AH68)</f>
        <v>32933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/>
      <c r="C69" s="11" t="s">
        <v>27</v>
      </c>
      <c r="D69" s="33"/>
      <c r="E69" s="33"/>
      <c r="F69" s="33"/>
      <c r="G69" s="33">
        <f t="shared" si="19"/>
        <v>0</v>
      </c>
      <c r="H69" s="34"/>
      <c r="I69" s="34"/>
      <c r="J69" s="34"/>
      <c r="K69" s="34">
        <f t="shared" si="20"/>
        <v>0</v>
      </c>
      <c r="M69" s="10">
        <v>3</v>
      </c>
      <c r="N69" s="30">
        <v>45758</v>
      </c>
      <c r="O69" s="31">
        <f t="shared" ref="O69" si="25">O68+1</f>
        <v>6872</v>
      </c>
      <c r="P69" s="32">
        <f>626*80+596*28+229*4</f>
        <v>67684</v>
      </c>
      <c r="Q69" s="32">
        <v>-672</v>
      </c>
      <c r="R69" s="32"/>
      <c r="S69" s="32">
        <f t="shared" si="21"/>
        <v>67012</v>
      </c>
      <c r="T69" s="12"/>
      <c r="U69" s="12"/>
      <c r="V69" s="12">
        <f>-13320+-336</f>
        <v>-13656</v>
      </c>
      <c r="W69" s="12">
        <f t="shared" si="22"/>
        <v>53356</v>
      </c>
      <c r="Y69" s="10">
        <v>3</v>
      </c>
      <c r="Z69" s="30">
        <v>45758</v>
      </c>
      <c r="AA69" s="31">
        <f t="shared" ref="AA69:AA70" si="26">AA68+1</f>
        <v>6920</v>
      </c>
      <c r="AB69" s="33">
        <f>6260+614+2980+142</f>
        <v>9996</v>
      </c>
      <c r="AC69" s="33"/>
      <c r="AD69" s="32"/>
      <c r="AE69" s="32">
        <f t="shared" si="23"/>
        <v>9996</v>
      </c>
      <c r="AF69" s="12"/>
      <c r="AG69" s="12">
        <v>4</v>
      </c>
      <c r="AH69" s="12"/>
      <c r="AI69" s="12">
        <f t="shared" si="24"/>
        <v>10000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/>
      <c r="C70" s="91"/>
      <c r="D70" s="32"/>
      <c r="E70" s="32"/>
      <c r="F70" s="32"/>
      <c r="G70" s="32">
        <f t="shared" si="19"/>
        <v>0</v>
      </c>
      <c r="H70" s="12"/>
      <c r="I70" s="12"/>
      <c r="J70" s="12"/>
      <c r="K70" s="12">
        <f t="shared" si="20"/>
        <v>0</v>
      </c>
      <c r="M70" s="10">
        <v>4</v>
      </c>
      <c r="N70" s="30"/>
      <c r="O70" s="11" t="s">
        <v>27</v>
      </c>
      <c r="P70" s="32"/>
      <c r="Q70" s="32"/>
      <c r="R70" s="32"/>
      <c r="S70" s="32">
        <f t="shared" si="21"/>
        <v>0</v>
      </c>
      <c r="T70" s="12"/>
      <c r="U70" s="12"/>
      <c r="V70" s="12"/>
      <c r="W70" s="12">
        <f t="shared" si="22"/>
        <v>0</v>
      </c>
      <c r="Y70" s="10">
        <v>4</v>
      </c>
      <c r="Z70" s="30">
        <v>45758</v>
      </c>
      <c r="AA70" s="31">
        <f t="shared" si="26"/>
        <v>6921</v>
      </c>
      <c r="AB70" s="32">
        <f>5008+76</f>
        <v>5084</v>
      </c>
      <c r="AC70" s="32"/>
      <c r="AD70" s="32"/>
      <c r="AE70" s="32">
        <f t="shared" si="23"/>
        <v>5084</v>
      </c>
      <c r="AF70" s="12"/>
      <c r="AH70" s="12"/>
      <c r="AI70" s="12">
        <f t="shared" si="24"/>
        <v>5084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/>
      <c r="C71" s="91"/>
      <c r="D71" s="32"/>
      <c r="E71" s="32"/>
      <c r="F71" s="32"/>
      <c r="G71" s="32">
        <f t="shared" si="19"/>
        <v>0</v>
      </c>
      <c r="H71" s="12"/>
      <c r="I71" s="12"/>
      <c r="J71" s="12"/>
      <c r="K71" s="12">
        <f t="shared" si="20"/>
        <v>0</v>
      </c>
      <c r="M71" s="10">
        <v>5</v>
      </c>
      <c r="N71" s="30"/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/>
      <c r="AA71" s="11" t="s">
        <v>27</v>
      </c>
      <c r="AB71" s="32"/>
      <c r="AC71" s="32"/>
      <c r="AD71" s="32"/>
      <c r="AE71" s="32">
        <f t="shared" ref="AE71:AE76" si="27">SUM(AB71:AC71)</f>
        <v>0</v>
      </c>
      <c r="AF71" s="12"/>
      <c r="AG71" s="12"/>
      <c r="AH71" s="12"/>
      <c r="AI71" s="12">
        <f t="shared" si="24"/>
        <v>0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/>
      <c r="C72" s="91"/>
      <c r="D72" s="32"/>
      <c r="E72" s="32"/>
      <c r="F72" s="32"/>
      <c r="G72" s="32">
        <f t="shared" si="19"/>
        <v>0</v>
      </c>
      <c r="H72" s="12"/>
      <c r="I72" s="12"/>
      <c r="J72" s="12"/>
      <c r="K72" s="12">
        <f t="shared" si="20"/>
        <v>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31"/>
      <c r="AB72" s="32"/>
      <c r="AC72" s="32"/>
      <c r="AD72" s="32"/>
      <c r="AE72" s="32">
        <f t="shared" si="27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/>
      <c r="C73" s="91"/>
      <c r="D73" s="32"/>
      <c r="E73" s="32"/>
      <c r="F73" s="32"/>
      <c r="G73" s="32">
        <f t="shared" si="19"/>
        <v>0</v>
      </c>
      <c r="H73" s="12"/>
      <c r="I73" s="12"/>
      <c r="J73" s="12"/>
      <c r="K73" s="12">
        <f t="shared" si="20"/>
        <v>0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7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/>
      <c r="C74" s="91"/>
      <c r="D74" s="32"/>
      <c r="E74" s="32"/>
      <c r="F74" s="32"/>
      <c r="G74" s="32">
        <f t="shared" si="19"/>
        <v>0</v>
      </c>
      <c r="H74" s="12"/>
      <c r="I74" s="12"/>
      <c r="J74" s="12"/>
      <c r="K74" s="12">
        <f t="shared" si="20"/>
        <v>0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7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/>
      <c r="C75" s="91"/>
      <c r="D75" s="32"/>
      <c r="E75" s="32"/>
      <c r="F75" s="32"/>
      <c r="G75" s="32">
        <f t="shared" si="19"/>
        <v>0</v>
      </c>
      <c r="H75" s="12"/>
      <c r="I75" s="12"/>
      <c r="J75" s="12"/>
      <c r="K75" s="12">
        <f t="shared" si="20"/>
        <v>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7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/>
      <c r="C76" s="91"/>
      <c r="D76" s="32"/>
      <c r="E76" s="32"/>
      <c r="F76" s="32"/>
      <c r="G76" s="32">
        <f t="shared" si="19"/>
        <v>0</v>
      </c>
      <c r="H76" s="12"/>
      <c r="I76" s="12"/>
      <c r="J76" s="12"/>
      <c r="K76" s="12">
        <f t="shared" si="20"/>
        <v>0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7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/>
      <c r="C77" s="91"/>
      <c r="D77" s="32"/>
      <c r="E77" s="32"/>
      <c r="F77" s="32"/>
      <c r="G77" s="32">
        <f t="shared" si="19"/>
        <v>0</v>
      </c>
      <c r="H77" s="12"/>
      <c r="I77" s="12"/>
      <c r="J77" s="12"/>
      <c r="K77" s="12">
        <f t="shared" si="20"/>
        <v>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8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91"/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8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91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8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91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8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91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8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91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8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91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8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91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8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8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8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57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8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3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8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8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8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8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8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8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8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8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8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8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8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8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29">SUM(P100:Q100)</f>
        <v>0</v>
      </c>
      <c r="T100" s="10"/>
      <c r="U100" s="10"/>
      <c r="V100" s="10"/>
      <c r="W100" s="12">
        <f t="shared" ref="W100:W108" si="30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1">SUM(AB100:AC100)</f>
        <v>0</v>
      </c>
      <c r="AF100" s="10"/>
      <c r="AG100" s="10"/>
      <c r="AH100" s="10"/>
      <c r="AI100" s="12">
        <f t="shared" ref="AI100:AI108" si="32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29"/>
        <v>0</v>
      </c>
      <c r="T101" s="10"/>
      <c r="U101" s="10"/>
      <c r="V101" s="10"/>
      <c r="W101" s="12">
        <f t="shared" si="30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1"/>
        <v>0</v>
      </c>
      <c r="AF101" s="10"/>
      <c r="AG101" s="10"/>
      <c r="AH101" s="10"/>
      <c r="AI101" s="12">
        <f t="shared" si="32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29"/>
        <v>0</v>
      </c>
      <c r="T102" s="10"/>
      <c r="U102" s="10"/>
      <c r="V102" s="10"/>
      <c r="W102" s="12">
        <f t="shared" si="30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1"/>
        <v>0</v>
      </c>
      <c r="AF102" s="10"/>
      <c r="AG102" s="10"/>
      <c r="AH102" s="10"/>
      <c r="AI102" s="12">
        <f t="shared" si="32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29"/>
        <v>0</v>
      </c>
      <c r="T103" s="10"/>
      <c r="U103" s="10"/>
      <c r="V103" s="10"/>
      <c r="W103" s="12">
        <f t="shared" si="30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1"/>
        <v>0</v>
      </c>
      <c r="AF103" s="10"/>
      <c r="AG103" s="10"/>
      <c r="AH103" s="10"/>
      <c r="AI103" s="12">
        <f t="shared" si="32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29"/>
        <v>0</v>
      </c>
      <c r="T104" s="10"/>
      <c r="U104" s="10"/>
      <c r="V104" s="10"/>
      <c r="W104" s="12">
        <f t="shared" si="30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1"/>
        <v>0</v>
      </c>
      <c r="AF104" s="10"/>
      <c r="AG104" s="10"/>
      <c r="AH104" s="10"/>
      <c r="AI104" s="12">
        <f t="shared" si="32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29"/>
        <v>0</v>
      </c>
      <c r="T105" s="10"/>
      <c r="U105" s="10"/>
      <c r="V105" s="10"/>
      <c r="W105" s="12">
        <f t="shared" si="30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1"/>
        <v>0</v>
      </c>
      <c r="AF105" s="10"/>
      <c r="AG105" s="10"/>
      <c r="AH105" s="10"/>
      <c r="AI105" s="12">
        <f t="shared" si="32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0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2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0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32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0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2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254093</v>
      </c>
      <c r="E110" s="38">
        <f t="shared" ref="E110:F110" si="37">SUM(E67:E107)</f>
        <v>-3591</v>
      </c>
      <c r="F110" s="38">
        <f t="shared" si="37"/>
        <v>0</v>
      </c>
      <c r="G110" s="38">
        <f>SUM(G67:G109)</f>
        <v>250502</v>
      </c>
      <c r="H110" s="4"/>
      <c r="I110" s="39">
        <f>SUM(I67:I109)</f>
        <v>780</v>
      </c>
      <c r="J110" s="39">
        <f>SUM(J67:J109)</f>
        <v>-4068</v>
      </c>
      <c r="K110" s="40">
        <f>SUM(K67:K109)</f>
        <v>247214</v>
      </c>
      <c r="N110" s="57"/>
      <c r="O110" s="57"/>
      <c r="P110" s="38">
        <f>SUM(P67:P109)</f>
        <v>554570</v>
      </c>
      <c r="Q110" s="38">
        <f>SUM(Q67:Q91)</f>
        <v>-5466</v>
      </c>
      <c r="R110" s="38">
        <f>SUM(R67:R91)</f>
        <v>0</v>
      </c>
      <c r="S110" s="38">
        <f>SUM(S67:S109)</f>
        <v>549104</v>
      </c>
      <c r="T110" s="4"/>
      <c r="U110" s="41">
        <f>SUM(U67:U109)</f>
        <v>2868</v>
      </c>
      <c r="V110" s="41">
        <f>SUM(V67:V91)</f>
        <v>-13656</v>
      </c>
      <c r="W110" s="42">
        <f>SUM(W67:W109)</f>
        <v>538316</v>
      </c>
      <c r="Z110" s="57"/>
      <c r="AA110" s="57"/>
      <c r="AB110" s="38">
        <f>SUM(AB67:AB109)</f>
        <v>143575</v>
      </c>
      <c r="AC110" s="38">
        <f>SUM(AC67:AC91)</f>
        <v>-1260</v>
      </c>
      <c r="AD110" s="38">
        <f>SUM(AD67:AD91)</f>
        <v>0</v>
      </c>
      <c r="AE110" s="38">
        <f>SUM(AE67:AE109)</f>
        <v>142315</v>
      </c>
      <c r="AF110" s="4"/>
      <c r="AG110" s="41">
        <f>SUM(AG67:AG109)</f>
        <v>196</v>
      </c>
      <c r="AH110" s="41">
        <f>SUM(AH67:AH91)</f>
        <v>-6660</v>
      </c>
      <c r="AI110" s="42">
        <f>SUM(AI67:AI109)</f>
        <v>135851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47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47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47</v>
      </c>
      <c r="Z117" s="57"/>
      <c r="AA117" s="57"/>
      <c r="AB117" s="57"/>
      <c r="AC117" s="57"/>
      <c r="AD117" s="57"/>
      <c r="AE117" s="57"/>
      <c r="AG117" s="57" t="s">
        <v>15</v>
      </c>
      <c r="AH117" s="19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48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48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42</v>
      </c>
      <c r="W118" s="24"/>
      <c r="Y118" s="21" t="s">
        <v>48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1" t="s">
        <v>17</v>
      </c>
      <c r="E120" s="111"/>
      <c r="F120" s="93"/>
      <c r="G120" s="27"/>
      <c r="I120" s="114" t="s">
        <v>18</v>
      </c>
      <c r="J120" s="115"/>
      <c r="K120" s="112" t="s">
        <v>19</v>
      </c>
      <c r="N120" s="25"/>
      <c r="O120" s="26"/>
      <c r="P120" s="111" t="s">
        <v>17</v>
      </c>
      <c r="Q120" s="111"/>
      <c r="R120" s="93"/>
      <c r="S120" s="27"/>
      <c r="U120" s="114" t="s">
        <v>18</v>
      </c>
      <c r="V120" s="115"/>
      <c r="W120" s="112" t="s">
        <v>19</v>
      </c>
      <c r="Z120" s="25"/>
      <c r="AA120" s="26"/>
      <c r="AB120" s="111" t="s">
        <v>17</v>
      </c>
      <c r="AC120" s="111"/>
      <c r="AD120" s="93"/>
      <c r="AE120" s="27"/>
      <c r="AG120" s="114" t="s">
        <v>18</v>
      </c>
      <c r="AH120" s="115"/>
      <c r="AI120" s="112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3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3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45788</v>
      </c>
      <c r="C122" s="91">
        <v>6922</v>
      </c>
      <c r="D122" s="32">
        <f>2504+38</f>
        <v>2542</v>
      </c>
      <c r="E122" s="32"/>
      <c r="F122" s="32"/>
      <c r="G122" s="32">
        <f t="shared" ref="G122:G155" si="38">SUM(D122:E122)</f>
        <v>2542</v>
      </c>
      <c r="H122" s="12"/>
      <c r="I122" s="12"/>
      <c r="J122" s="12"/>
      <c r="K122" s="12">
        <f t="shared" ref="K122:K155" si="39">SUM(G122:J122)</f>
        <v>2542</v>
      </c>
      <c r="M122" s="10">
        <v>1</v>
      </c>
      <c r="N122" s="30">
        <v>45788</v>
      </c>
      <c r="O122" s="31">
        <v>6830</v>
      </c>
      <c r="P122" s="32">
        <f>6260+614+2980+142.5+650</f>
        <v>10646.5</v>
      </c>
      <c r="Q122" s="32"/>
      <c r="R122" s="32"/>
      <c r="S122" s="32">
        <f>SUM(P122:Q122)</f>
        <v>10646.5</v>
      </c>
      <c r="T122" s="12"/>
      <c r="U122" s="12"/>
      <c r="V122" s="12"/>
      <c r="W122" s="12">
        <f>SUM(S122:V122)</f>
        <v>10646.5</v>
      </c>
      <c r="Y122" s="10">
        <v>1</v>
      </c>
      <c r="Z122" s="30">
        <v>45788</v>
      </c>
      <c r="AA122" s="31">
        <v>6873</v>
      </c>
      <c r="AB122" s="32">
        <f>1832</f>
        <v>1832</v>
      </c>
      <c r="AC122" s="32"/>
      <c r="AD122" s="32"/>
      <c r="AE122" s="32">
        <f>SUM(AB122:AC122)</f>
        <v>1832</v>
      </c>
      <c r="AF122" s="12"/>
      <c r="AG122" s="12"/>
      <c r="AH122" s="12"/>
      <c r="AI122" s="12">
        <f>SUM(AE122:AH122)</f>
        <v>1832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45788</v>
      </c>
      <c r="C123" s="91">
        <f>C122+1</f>
        <v>6923</v>
      </c>
      <c r="D123" s="32">
        <f>2504</f>
        <v>2504</v>
      </c>
      <c r="E123" s="32"/>
      <c r="F123" s="32"/>
      <c r="G123" s="32">
        <f t="shared" si="38"/>
        <v>2504</v>
      </c>
      <c r="H123" s="12"/>
      <c r="I123" s="12"/>
      <c r="J123" s="12"/>
      <c r="K123" s="12">
        <f t="shared" si="39"/>
        <v>2504</v>
      </c>
      <c r="M123" s="10">
        <v>2</v>
      </c>
      <c r="N123" s="30">
        <v>45788</v>
      </c>
      <c r="O123" s="31">
        <f>O122+1</f>
        <v>6831</v>
      </c>
      <c r="P123" s="32">
        <f>31300+458</f>
        <v>31758</v>
      </c>
      <c r="Q123" s="32"/>
      <c r="R123" s="32"/>
      <c r="S123" s="32">
        <f t="shared" ref="S123:S154" si="40">SUM(P123:Q123)</f>
        <v>31758</v>
      </c>
      <c r="T123" s="12"/>
      <c r="U123" s="12"/>
      <c r="V123" s="12"/>
      <c r="W123" s="12">
        <f t="shared" ref="W123:W154" si="41">SUM(S123:V123)</f>
        <v>31758</v>
      </c>
      <c r="Y123" s="10">
        <v>2</v>
      </c>
      <c r="Z123" s="30">
        <v>45788</v>
      </c>
      <c r="AA123" s="31">
        <f>AA122+1</f>
        <v>6874</v>
      </c>
      <c r="AB123" s="32">
        <f>1252+1192+38</f>
        <v>2482</v>
      </c>
      <c r="AC123" s="32"/>
      <c r="AD123" s="32"/>
      <c r="AE123" s="32">
        <f t="shared" ref="AE123:AE125" si="42">SUM(AB123:AC123)</f>
        <v>2482</v>
      </c>
      <c r="AF123" s="12"/>
      <c r="AG123" s="12">
        <v>36</v>
      </c>
      <c r="AH123" s="12"/>
      <c r="AI123" s="12">
        <f t="shared" ref="AI123:AI154" si="43">SUM(AE123:AH123)</f>
        <v>2518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45788</v>
      </c>
      <c r="C124" s="91">
        <f t="shared" ref="C124:C145" si="44">C123+1</f>
        <v>6924</v>
      </c>
      <c r="D124" s="33">
        <f>4382</f>
        <v>4382</v>
      </c>
      <c r="E124" s="33"/>
      <c r="F124" s="33"/>
      <c r="G124" s="33">
        <f t="shared" si="38"/>
        <v>4382</v>
      </c>
      <c r="H124" s="34"/>
      <c r="I124" s="34"/>
      <c r="J124" s="34"/>
      <c r="K124" s="34">
        <f t="shared" si="39"/>
        <v>4382</v>
      </c>
      <c r="M124" s="10">
        <v>3</v>
      </c>
      <c r="N124" s="30">
        <v>45788</v>
      </c>
      <c r="O124" s="31">
        <f t="shared" ref="O124:O127" si="45">O123+1</f>
        <v>6832</v>
      </c>
      <c r="P124" s="32">
        <f>626+9.5</f>
        <v>635.5</v>
      </c>
      <c r="Q124" s="32"/>
      <c r="R124" s="32"/>
      <c r="S124" s="32">
        <f t="shared" si="40"/>
        <v>635.5</v>
      </c>
      <c r="T124" s="12"/>
      <c r="U124" s="12"/>
      <c r="V124" s="12"/>
      <c r="W124" s="12">
        <f t="shared" si="41"/>
        <v>635.5</v>
      </c>
      <c r="Y124" s="10">
        <v>3</v>
      </c>
      <c r="Z124" s="30">
        <v>45788</v>
      </c>
      <c r="AA124" s="31">
        <f t="shared" ref="AA124:AA130" si="46">AA123+1</f>
        <v>6875</v>
      </c>
      <c r="AB124" s="33">
        <f>6886+1228+229</f>
        <v>8343</v>
      </c>
      <c r="AC124" s="33"/>
      <c r="AD124" s="32"/>
      <c r="AE124" s="32">
        <f t="shared" si="42"/>
        <v>8343</v>
      </c>
      <c r="AF124" s="12"/>
      <c r="AG124" s="12">
        <v>1443</v>
      </c>
      <c r="AH124" s="12"/>
      <c r="AI124" s="12">
        <f t="shared" si="43"/>
        <v>9786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45788</v>
      </c>
      <c r="C125" s="91">
        <f t="shared" si="44"/>
        <v>6925</v>
      </c>
      <c r="D125" s="32">
        <f>626*14+596*6</f>
        <v>12340</v>
      </c>
      <c r="E125" s="32"/>
      <c r="F125" s="32"/>
      <c r="G125" s="32">
        <f t="shared" si="38"/>
        <v>12340</v>
      </c>
      <c r="H125" s="12"/>
      <c r="I125" s="12"/>
      <c r="J125" s="12"/>
      <c r="K125" s="12">
        <f t="shared" si="39"/>
        <v>12340</v>
      </c>
      <c r="M125" s="10">
        <v>4</v>
      </c>
      <c r="N125" s="30">
        <v>45788</v>
      </c>
      <c r="O125" s="31">
        <f t="shared" si="45"/>
        <v>6833</v>
      </c>
      <c r="P125" s="32">
        <f>6886+9.5*11+650</f>
        <v>7640.5</v>
      </c>
      <c r="Q125" s="32"/>
      <c r="R125" s="32"/>
      <c r="S125" s="32">
        <f t="shared" si="40"/>
        <v>7640.5</v>
      </c>
      <c r="T125" s="12"/>
      <c r="U125" s="12"/>
      <c r="V125" s="12"/>
      <c r="W125" s="12">
        <f t="shared" si="41"/>
        <v>7640.5</v>
      </c>
      <c r="Y125" s="10">
        <v>4</v>
      </c>
      <c r="Z125" s="30">
        <v>45788</v>
      </c>
      <c r="AA125" s="31">
        <f t="shared" si="46"/>
        <v>6876</v>
      </c>
      <c r="AB125" s="32">
        <f>15024+229</f>
        <v>15253</v>
      </c>
      <c r="AC125" s="32"/>
      <c r="AD125" s="32"/>
      <c r="AE125" s="32">
        <f t="shared" si="42"/>
        <v>15253</v>
      </c>
      <c r="AF125" s="12"/>
      <c r="AG125">
        <v>27</v>
      </c>
      <c r="AH125" s="12"/>
      <c r="AI125" s="12">
        <f t="shared" si="43"/>
        <v>15280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45788</v>
      </c>
      <c r="C126" s="91">
        <f t="shared" si="44"/>
        <v>6926</v>
      </c>
      <c r="D126" s="32">
        <f>6260+1228+95</f>
        <v>7583</v>
      </c>
      <c r="E126" s="32"/>
      <c r="F126" s="32"/>
      <c r="G126" s="32">
        <f t="shared" si="38"/>
        <v>7583</v>
      </c>
      <c r="H126" s="12"/>
      <c r="I126" s="12">
        <v>15</v>
      </c>
      <c r="J126" s="12"/>
      <c r="K126" s="12">
        <f t="shared" si="39"/>
        <v>7598</v>
      </c>
      <c r="M126" s="10">
        <v>5</v>
      </c>
      <c r="N126" s="30">
        <v>45788</v>
      </c>
      <c r="O126" s="31">
        <f t="shared" si="45"/>
        <v>6834</v>
      </c>
      <c r="P126" s="32">
        <f>21910+832+229</f>
        <v>22971</v>
      </c>
      <c r="Q126" s="32"/>
      <c r="R126" s="32"/>
      <c r="S126" s="32">
        <f t="shared" si="40"/>
        <v>22971</v>
      </c>
      <c r="T126" s="12"/>
      <c r="U126" s="12">
        <f>4.5*4</f>
        <v>18</v>
      </c>
      <c r="V126" s="12"/>
      <c r="W126" s="12">
        <f t="shared" si="41"/>
        <v>22989</v>
      </c>
      <c r="Y126" s="10">
        <v>5</v>
      </c>
      <c r="Z126" s="30">
        <v>45788</v>
      </c>
      <c r="AA126" s="31">
        <f t="shared" si="46"/>
        <v>6877</v>
      </c>
      <c r="AB126" s="32">
        <f>3756+614+1192+76</f>
        <v>5638</v>
      </c>
      <c r="AC126" s="32"/>
      <c r="AD126" s="32"/>
      <c r="AE126" s="32">
        <f t="shared" ref="AE126:AE131" si="47">SUM(AB126:AC126)</f>
        <v>5638</v>
      </c>
      <c r="AF126" s="12"/>
      <c r="AG126" s="12">
        <v>18</v>
      </c>
      <c r="AH126" s="12"/>
      <c r="AI126" s="12">
        <f t="shared" si="43"/>
        <v>5656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45788</v>
      </c>
      <c r="C127" s="91">
        <f t="shared" si="44"/>
        <v>6927</v>
      </c>
      <c r="D127" s="32">
        <f>1252+19</f>
        <v>1271</v>
      </c>
      <c r="E127" s="32"/>
      <c r="F127" s="32"/>
      <c r="G127" s="32">
        <f t="shared" si="38"/>
        <v>1271</v>
      </c>
      <c r="H127" s="12"/>
      <c r="I127" s="12">
        <v>9</v>
      </c>
      <c r="J127" s="12"/>
      <c r="K127" s="12">
        <f t="shared" si="39"/>
        <v>1280</v>
      </c>
      <c r="M127" s="10">
        <v>6</v>
      </c>
      <c r="N127" s="30">
        <v>45788</v>
      </c>
      <c r="O127" s="31">
        <f t="shared" si="45"/>
        <v>6835</v>
      </c>
      <c r="P127" s="32">
        <f>100160+3070+5960+4160+1603+14300</f>
        <v>129253</v>
      </c>
      <c r="Q127" s="32">
        <v>-1683</v>
      </c>
      <c r="R127" s="32"/>
      <c r="S127" s="32">
        <f t="shared" si="40"/>
        <v>127570</v>
      </c>
      <c r="T127" s="12"/>
      <c r="U127" s="12">
        <f>546+120*5</f>
        <v>1146</v>
      </c>
      <c r="V127" s="10">
        <v>-26529</v>
      </c>
      <c r="W127" s="12">
        <f t="shared" si="41"/>
        <v>102187</v>
      </c>
      <c r="Y127" s="10">
        <v>6</v>
      </c>
      <c r="Z127" s="30">
        <v>45788</v>
      </c>
      <c r="AA127" s="31">
        <f t="shared" si="46"/>
        <v>6878</v>
      </c>
      <c r="AB127" s="32">
        <f>87014+1005+916</f>
        <v>88935</v>
      </c>
      <c r="AC127" s="32">
        <v>-864</v>
      </c>
      <c r="AD127" s="32"/>
      <c r="AE127" s="32">
        <f t="shared" si="47"/>
        <v>88071</v>
      </c>
      <c r="AF127" s="12"/>
      <c r="AG127" s="12">
        <v>4218</v>
      </c>
      <c r="AH127" s="10">
        <v>-156</v>
      </c>
      <c r="AI127" s="12">
        <f t="shared" si="43"/>
        <v>92133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45788</v>
      </c>
      <c r="C128" s="91">
        <f t="shared" si="44"/>
        <v>6928</v>
      </c>
      <c r="D128" s="32">
        <f>1878+614+596+38</f>
        <v>3126</v>
      </c>
      <c r="E128" s="32"/>
      <c r="F128" s="32"/>
      <c r="G128" s="32">
        <f t="shared" si="38"/>
        <v>3126</v>
      </c>
      <c r="H128" s="12"/>
      <c r="I128" s="12">
        <f>9+4</f>
        <v>13</v>
      </c>
      <c r="J128" s="12"/>
      <c r="K128" s="12">
        <f t="shared" si="39"/>
        <v>3139</v>
      </c>
      <c r="M128" s="10">
        <v>7</v>
      </c>
      <c r="N128" s="30"/>
      <c r="O128" s="11" t="s">
        <v>27</v>
      </c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45788</v>
      </c>
      <c r="AA128" s="31">
        <f t="shared" si="46"/>
        <v>6879</v>
      </c>
      <c r="AB128" s="32">
        <f>16902+457+416</f>
        <v>17775</v>
      </c>
      <c r="AC128" s="32"/>
      <c r="AD128" s="32"/>
      <c r="AE128" s="32">
        <f t="shared" si="47"/>
        <v>17775</v>
      </c>
      <c r="AF128" s="12"/>
      <c r="AG128" s="58">
        <v>2997</v>
      </c>
      <c r="AH128" s="12"/>
      <c r="AI128" s="12">
        <f t="shared" si="43"/>
        <v>20772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45788</v>
      </c>
      <c r="C129" s="91">
        <f t="shared" si="44"/>
        <v>6929</v>
      </c>
      <c r="D129" s="32">
        <f>5008+76</f>
        <v>5084</v>
      </c>
      <c r="E129" s="32"/>
      <c r="F129" s="32"/>
      <c r="G129" s="32">
        <f t="shared" si="38"/>
        <v>5084</v>
      </c>
      <c r="H129" s="12"/>
      <c r="I129" s="12"/>
      <c r="J129" s="12"/>
      <c r="K129" s="12">
        <f t="shared" si="39"/>
        <v>5084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>
        <v>45788</v>
      </c>
      <c r="AA129" s="31">
        <f t="shared" si="46"/>
        <v>6880</v>
      </c>
      <c r="AB129" s="32">
        <f>6260+596*15</f>
        <v>15200</v>
      </c>
      <c r="AC129" s="32"/>
      <c r="AE129" s="32">
        <f t="shared" si="47"/>
        <v>15200</v>
      </c>
      <c r="AF129" s="12"/>
      <c r="AG129" s="12">
        <v>2775</v>
      </c>
      <c r="AH129" s="12"/>
      <c r="AI129" s="12">
        <f t="shared" si="43"/>
        <v>17975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45788</v>
      </c>
      <c r="C130" s="91">
        <f t="shared" si="44"/>
        <v>6930</v>
      </c>
      <c r="D130" s="32">
        <f>2504+38</f>
        <v>2542</v>
      </c>
      <c r="E130" s="32"/>
      <c r="F130" s="32"/>
      <c r="G130" s="32">
        <f t="shared" si="38"/>
        <v>2542</v>
      </c>
      <c r="H130" s="12"/>
      <c r="I130" s="12"/>
      <c r="J130" s="12"/>
      <c r="K130" s="12">
        <f t="shared" si="39"/>
        <v>2542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>
        <v>45788</v>
      </c>
      <c r="AA130" s="31">
        <f t="shared" si="46"/>
        <v>6881</v>
      </c>
      <c r="AB130" s="32">
        <v>13034</v>
      </c>
      <c r="AC130" s="32"/>
      <c r="AD130" s="32"/>
      <c r="AE130" s="32">
        <f t="shared" si="47"/>
        <v>13034</v>
      </c>
      <c r="AF130" s="12"/>
      <c r="AG130" s="58">
        <v>2109</v>
      </c>
      <c r="AH130" s="12"/>
      <c r="AI130" s="12">
        <f t="shared" si="43"/>
        <v>15143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45788</v>
      </c>
      <c r="C131" s="91">
        <f t="shared" si="44"/>
        <v>6931</v>
      </c>
      <c r="D131" s="32">
        <f>1878+28</f>
        <v>1906</v>
      </c>
      <c r="E131" s="32"/>
      <c r="F131" s="32"/>
      <c r="G131" s="32">
        <f t="shared" si="38"/>
        <v>1906</v>
      </c>
      <c r="H131" s="12"/>
      <c r="I131" s="12"/>
      <c r="J131" s="12"/>
      <c r="K131" s="12">
        <f t="shared" si="39"/>
        <v>1906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11" t="s">
        <v>27</v>
      </c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45788</v>
      </c>
      <c r="C132" s="91">
        <f t="shared" si="44"/>
        <v>6932</v>
      </c>
      <c r="D132" s="32">
        <f>31300+229</f>
        <v>31529</v>
      </c>
      <c r="E132" s="32"/>
      <c r="F132" s="32"/>
      <c r="G132" s="32">
        <f t="shared" si="38"/>
        <v>31529</v>
      </c>
      <c r="H132" s="12"/>
      <c r="I132" s="12"/>
      <c r="J132" s="12"/>
      <c r="K132" s="12">
        <f t="shared" si="39"/>
        <v>31529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60" si="48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45788</v>
      </c>
      <c r="C133" s="91">
        <f t="shared" si="44"/>
        <v>6933</v>
      </c>
      <c r="D133" s="32">
        <f>1878+614+28</f>
        <v>2520</v>
      </c>
      <c r="E133" s="32"/>
      <c r="F133" s="32"/>
      <c r="G133" s="32">
        <f t="shared" si="38"/>
        <v>2520</v>
      </c>
      <c r="H133" s="12"/>
      <c r="I133" s="12"/>
      <c r="J133" s="10"/>
      <c r="K133" s="12">
        <f t="shared" si="39"/>
        <v>2520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45788</v>
      </c>
      <c r="C134" s="91">
        <f t="shared" si="44"/>
        <v>6934</v>
      </c>
      <c r="D134" s="32">
        <f>1252+19</f>
        <v>1271</v>
      </c>
      <c r="E134" s="32"/>
      <c r="F134" s="32"/>
      <c r="G134" s="32">
        <f t="shared" si="38"/>
        <v>1271</v>
      </c>
      <c r="H134" s="12"/>
      <c r="I134" s="12"/>
      <c r="J134" s="12"/>
      <c r="K134" s="12">
        <f t="shared" si="39"/>
        <v>1271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45788</v>
      </c>
      <c r="C135" s="91">
        <f t="shared" si="44"/>
        <v>6935</v>
      </c>
      <c r="D135" s="32">
        <f>1878+28</f>
        <v>1906</v>
      </c>
      <c r="E135" s="32"/>
      <c r="F135" s="32"/>
      <c r="G135" s="32">
        <f t="shared" si="38"/>
        <v>1906</v>
      </c>
      <c r="H135" s="12"/>
      <c r="I135" s="12"/>
      <c r="J135" s="12"/>
      <c r="K135" s="12">
        <f t="shared" si="39"/>
        <v>1906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45788</v>
      </c>
      <c r="C136" s="91">
        <f t="shared" si="44"/>
        <v>6936</v>
      </c>
      <c r="D136" s="32">
        <f>1878+28</f>
        <v>1906</v>
      </c>
      <c r="E136" s="32"/>
      <c r="F136" s="32"/>
      <c r="G136" s="32">
        <f t="shared" si="38"/>
        <v>1906</v>
      </c>
      <c r="H136" s="12"/>
      <c r="I136" s="12"/>
      <c r="J136" s="12"/>
      <c r="K136" s="12">
        <f t="shared" si="39"/>
        <v>1906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45788</v>
      </c>
      <c r="C137" s="91">
        <f t="shared" si="44"/>
        <v>6937</v>
      </c>
      <c r="D137" s="32">
        <f>3756+596+66</f>
        <v>4418</v>
      </c>
      <c r="E137" s="32"/>
      <c r="F137" s="32"/>
      <c r="G137" s="32">
        <f t="shared" si="38"/>
        <v>4418</v>
      </c>
      <c r="H137" s="12"/>
      <c r="I137" s="12"/>
      <c r="J137" s="12"/>
      <c r="K137" s="12">
        <f t="shared" si="39"/>
        <v>4418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>
        <v>45788</v>
      </c>
      <c r="C138" s="91">
        <f t="shared" si="44"/>
        <v>6938</v>
      </c>
      <c r="D138" s="32">
        <f>42568+8940</f>
        <v>51508</v>
      </c>
      <c r="E138" s="32"/>
      <c r="F138" s="32"/>
      <c r="G138" s="32">
        <f t="shared" si="38"/>
        <v>51508</v>
      </c>
      <c r="H138" s="12"/>
      <c r="I138" s="12"/>
      <c r="J138" s="12"/>
      <c r="K138" s="12">
        <f t="shared" si="39"/>
        <v>51508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>
        <v>45788</v>
      </c>
      <c r="C139" s="91">
        <f t="shared" si="44"/>
        <v>6939</v>
      </c>
      <c r="D139" s="32">
        <f>12520+1348</f>
        <v>13868</v>
      </c>
      <c r="E139" s="32"/>
      <c r="F139" s="32"/>
      <c r="G139" s="32">
        <f t="shared" si="38"/>
        <v>13868</v>
      </c>
      <c r="H139" s="12"/>
      <c r="I139" s="12"/>
      <c r="J139" s="12"/>
      <c r="K139" s="12">
        <f t="shared" si="39"/>
        <v>13868</v>
      </c>
      <c r="M139" s="10">
        <v>18</v>
      </c>
      <c r="N139" s="30"/>
      <c r="O139" s="31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>
        <v>45788</v>
      </c>
      <c r="C140" s="91">
        <f t="shared" si="44"/>
        <v>6940</v>
      </c>
      <c r="D140" s="32">
        <f>3756+614+57</f>
        <v>4427</v>
      </c>
      <c r="E140" s="32"/>
      <c r="F140" s="32"/>
      <c r="G140" s="32">
        <f t="shared" si="38"/>
        <v>4427</v>
      </c>
      <c r="H140" s="12"/>
      <c r="I140" s="12"/>
      <c r="J140" s="12"/>
      <c r="K140" s="12">
        <f t="shared" si="39"/>
        <v>4427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>
        <v>45788</v>
      </c>
      <c r="C141" s="91">
        <f t="shared" si="44"/>
        <v>6941</v>
      </c>
      <c r="D141" s="32">
        <f>31926+229</f>
        <v>32155</v>
      </c>
      <c r="E141" s="32"/>
      <c r="F141" s="32"/>
      <c r="G141" s="32">
        <f t="shared" si="38"/>
        <v>32155</v>
      </c>
      <c r="H141" s="12"/>
      <c r="I141" s="12"/>
      <c r="J141" s="12"/>
      <c r="K141" s="12">
        <f t="shared" si="39"/>
        <v>32155</v>
      </c>
      <c r="M141" s="10">
        <v>20</v>
      </c>
      <c r="N141" s="30"/>
      <c r="O141" s="31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>
        <v>45788</v>
      </c>
      <c r="C142" s="91">
        <f t="shared" si="44"/>
        <v>6942</v>
      </c>
      <c r="D142" s="32">
        <f>6260+95</f>
        <v>6355</v>
      </c>
      <c r="E142" s="32"/>
      <c r="F142" s="32"/>
      <c r="G142" s="32">
        <f t="shared" si="38"/>
        <v>6355</v>
      </c>
      <c r="H142" s="10"/>
      <c r="I142" s="10"/>
      <c r="J142" s="10"/>
      <c r="K142" s="12">
        <f t="shared" si="39"/>
        <v>6355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>
        <v>45788</v>
      </c>
      <c r="C143" s="91">
        <f t="shared" si="44"/>
        <v>6943</v>
      </c>
      <c r="D143" s="32">
        <f>2504+38</f>
        <v>2542</v>
      </c>
      <c r="E143" s="32"/>
      <c r="F143" s="32"/>
      <c r="G143" s="32">
        <f t="shared" si="38"/>
        <v>2542</v>
      </c>
      <c r="H143" s="10"/>
      <c r="I143" s="10"/>
      <c r="J143" s="10"/>
      <c r="K143" s="12">
        <f t="shared" si="39"/>
        <v>2542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>
        <v>45788</v>
      </c>
      <c r="C144" s="91">
        <f t="shared" si="44"/>
        <v>6944</v>
      </c>
      <c r="D144" s="32">
        <f>1878+28</f>
        <v>1906</v>
      </c>
      <c r="E144" s="32"/>
      <c r="F144" s="32"/>
      <c r="G144" s="32">
        <f t="shared" si="38"/>
        <v>1906</v>
      </c>
      <c r="H144" s="10"/>
      <c r="I144" s="10"/>
      <c r="J144" s="12"/>
      <c r="K144" s="12">
        <f t="shared" si="39"/>
        <v>1906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C144" s="31"/>
      <c r="AE144" s="32">
        <f t="shared" si="48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>
        <v>45788</v>
      </c>
      <c r="C145" s="91">
        <f t="shared" si="44"/>
        <v>6945</v>
      </c>
      <c r="D145" s="32">
        <f>1878</f>
        <v>1878</v>
      </c>
      <c r="E145" s="32"/>
      <c r="F145" s="32"/>
      <c r="G145" s="32">
        <f t="shared" si="38"/>
        <v>1878</v>
      </c>
      <c r="H145" s="10"/>
      <c r="I145" s="10"/>
      <c r="J145" s="10"/>
      <c r="K145" s="12">
        <f t="shared" si="39"/>
        <v>1878</v>
      </c>
      <c r="M145" s="10">
        <v>24</v>
      </c>
      <c r="N145" s="30"/>
      <c r="O145" s="1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11" t="s">
        <v>27</v>
      </c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91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91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91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91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91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91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91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91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91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B155" s="47"/>
      <c r="AC155" s="31"/>
      <c r="AD155" s="31"/>
      <c r="AE155" s="32">
        <f t="shared" si="48"/>
        <v>0</v>
      </c>
      <c r="AF155" s="10"/>
      <c r="AG155" s="10"/>
      <c r="AH155" s="10"/>
      <c r="AI155" s="12">
        <f t="shared" ref="AI155:AI163" si="51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8"/>
        <v>0</v>
      </c>
      <c r="AF156" s="10"/>
      <c r="AG156" s="10"/>
      <c r="AH156" s="10"/>
      <c r="AI156" s="12">
        <f t="shared" si="5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8"/>
        <v>0</v>
      </c>
      <c r="AF157" s="10"/>
      <c r="AG157" s="10"/>
      <c r="AH157" s="10"/>
      <c r="AI157" s="12">
        <f t="shared" si="5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8"/>
        <v>0</v>
      </c>
      <c r="AF158" s="10"/>
      <c r="AG158" s="10"/>
      <c r="AH158" s="10"/>
      <c r="AI158" s="12">
        <f t="shared" si="5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8"/>
        <v>0</v>
      </c>
      <c r="AF159" s="10"/>
      <c r="AG159" s="10"/>
      <c r="AH159" s="10"/>
      <c r="AI159" s="12">
        <f t="shared" si="5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8"/>
        <v>0</v>
      </c>
      <c r="AF160" s="10"/>
      <c r="AG160" s="10"/>
      <c r="AH160" s="10"/>
      <c r="AI160" s="12">
        <f t="shared" si="5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2">SUM(D162:E162)</f>
        <v>0</v>
      </c>
      <c r="H162" s="10"/>
      <c r="I162" s="10"/>
      <c r="J162" s="10"/>
      <c r="K162" s="12">
        <f t="shared" ref="K162" si="53">SUM(G162:J162)</f>
        <v>0</v>
      </c>
      <c r="M162" s="10"/>
      <c r="N162" s="30"/>
      <c r="O162" s="31"/>
      <c r="P162" s="47"/>
      <c r="Q162" s="31"/>
      <c r="R162" s="31"/>
      <c r="S162" s="32">
        <f t="shared" ref="S162" si="54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5">SUM(AB162:AC162)</f>
        <v>0</v>
      </c>
      <c r="AF162" s="10"/>
      <c r="AG162" s="10"/>
      <c r="AH162" s="10"/>
      <c r="AI162" s="12">
        <f t="shared" si="5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201469</v>
      </c>
      <c r="E165" s="38">
        <f t="shared" ref="E165:F165" si="56">SUM(E122:E162)</f>
        <v>0</v>
      </c>
      <c r="F165" s="38">
        <f t="shared" si="56"/>
        <v>0</v>
      </c>
      <c r="G165" s="38">
        <f>SUM(G122:G164)</f>
        <v>201469</v>
      </c>
      <c r="H165" s="4"/>
      <c r="I165" s="39">
        <f>SUM(I122:I164)</f>
        <v>37</v>
      </c>
      <c r="J165" s="39">
        <f>SUM(J122:J164)</f>
        <v>0</v>
      </c>
      <c r="K165" s="40">
        <f>SUM(K122:K164)</f>
        <v>201506</v>
      </c>
      <c r="N165" s="57"/>
      <c r="O165" s="57"/>
      <c r="P165" s="38">
        <f>SUM(P122:P164)</f>
        <v>202904.5</v>
      </c>
      <c r="Q165" s="38">
        <f>SUM(Q122:Q146)</f>
        <v>-1683</v>
      </c>
      <c r="R165" s="38">
        <f>SUM(R122:R146)</f>
        <v>0</v>
      </c>
      <c r="S165" s="38">
        <f>SUM(S122:S164)</f>
        <v>201221.5</v>
      </c>
      <c r="T165" s="4"/>
      <c r="U165" s="41">
        <f>SUM(U122:U164)</f>
        <v>1164</v>
      </c>
      <c r="V165" s="41">
        <f>SUM(V122:V146)</f>
        <v>-26529</v>
      </c>
      <c r="W165" s="42">
        <f>SUM(W122:W164)</f>
        <v>175856.5</v>
      </c>
      <c r="Z165" s="57"/>
      <c r="AA165" s="57"/>
      <c r="AB165" s="38">
        <f>SUM(AB122:AB164)</f>
        <v>168492</v>
      </c>
      <c r="AC165" s="38">
        <f>SUM(AC122:AC146)</f>
        <v>-864</v>
      </c>
      <c r="AD165" s="38">
        <f>SUM(AD122:AD146)</f>
        <v>0</v>
      </c>
      <c r="AE165" s="38">
        <f>SUM(AE122:AE164)</f>
        <v>167628</v>
      </c>
      <c r="AF165" s="4"/>
      <c r="AG165" s="41">
        <f>SUM(AG122:AG164)</f>
        <v>13623</v>
      </c>
      <c r="AH165" s="41">
        <f>SUM(AH122:AH146)</f>
        <v>-156</v>
      </c>
      <c r="AI165" s="42">
        <f>SUM(AI122:AI164)</f>
        <v>181095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50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50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50</v>
      </c>
      <c r="Z172" s="57"/>
      <c r="AA172" s="57"/>
      <c r="AB172" s="57"/>
      <c r="AC172" s="57"/>
      <c r="AD172" s="57"/>
      <c r="AE172" s="57"/>
      <c r="AG172" s="57" t="s">
        <v>15</v>
      </c>
      <c r="AH172" s="19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51</v>
      </c>
      <c r="B173" s="20"/>
      <c r="C173" s="57"/>
      <c r="D173" s="57"/>
      <c r="E173" s="57"/>
      <c r="G173" s="57"/>
      <c r="I173" s="22" t="s">
        <v>16</v>
      </c>
      <c r="J173" s="23" t="s">
        <v>33</v>
      </c>
      <c r="K173" s="24"/>
      <c r="M173" s="21" t="s">
        <v>51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42</v>
      </c>
      <c r="W173" s="24"/>
      <c r="Y173" s="21" t="s">
        <v>51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1" t="s">
        <v>17</v>
      </c>
      <c r="E175" s="111"/>
      <c r="F175" s="94"/>
      <c r="G175" s="27"/>
      <c r="I175" s="114" t="s">
        <v>18</v>
      </c>
      <c r="J175" s="115"/>
      <c r="K175" s="112" t="s">
        <v>19</v>
      </c>
      <c r="N175" s="25"/>
      <c r="O175" s="26"/>
      <c r="P175" s="111" t="s">
        <v>17</v>
      </c>
      <c r="Q175" s="111"/>
      <c r="R175" s="94"/>
      <c r="S175" s="27"/>
      <c r="U175" s="114" t="s">
        <v>18</v>
      </c>
      <c r="V175" s="115"/>
      <c r="W175" s="112" t="s">
        <v>19</v>
      </c>
      <c r="Z175" s="25"/>
      <c r="AA175" s="26"/>
      <c r="AB175" s="111" t="s">
        <v>17</v>
      </c>
      <c r="AC175" s="111"/>
      <c r="AD175" s="94"/>
      <c r="AE175" s="27"/>
      <c r="AG175" s="114" t="s">
        <v>18</v>
      </c>
      <c r="AH175" s="115"/>
      <c r="AI175" s="112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9" t="s">
        <v>22</v>
      </c>
      <c r="E176" s="78" t="s">
        <v>23</v>
      </c>
      <c r="F176" s="80" t="s">
        <v>32</v>
      </c>
      <c r="G176" s="80" t="s">
        <v>24</v>
      </c>
      <c r="I176" s="29" t="s">
        <v>25</v>
      </c>
      <c r="J176" s="29" t="s">
        <v>26</v>
      </c>
      <c r="K176" s="11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3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3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45819</v>
      </c>
      <c r="C177" s="91">
        <v>6946</v>
      </c>
      <c r="D177" s="32">
        <f>6260+500</f>
        <v>6760</v>
      </c>
      <c r="E177" s="32"/>
      <c r="F177" s="32"/>
      <c r="G177" s="32">
        <f t="shared" ref="G177:G210" si="57">SUM(D177:E177)</f>
        <v>6760</v>
      </c>
      <c r="H177" s="12"/>
      <c r="I177" s="12">
        <v>444</v>
      </c>
      <c r="J177" s="12"/>
      <c r="K177" s="12">
        <f t="shared" ref="K177:K210" si="58">SUM(G177:J177)</f>
        <v>7204</v>
      </c>
      <c r="M177" s="10">
        <v>1</v>
      </c>
      <c r="N177" s="30">
        <v>45819</v>
      </c>
      <c r="O177" s="31">
        <v>6836</v>
      </c>
      <c r="P177" s="32">
        <f>28170+2980+229</f>
        <v>31379</v>
      </c>
      <c r="Q177" s="32"/>
      <c r="R177" s="32"/>
      <c r="S177" s="32">
        <f>SUM(P177:Q177)</f>
        <v>31379</v>
      </c>
      <c r="T177" s="12"/>
      <c r="U177" s="12"/>
      <c r="V177" s="12"/>
      <c r="W177" s="12">
        <f>SUM(S177:V177)</f>
        <v>31379</v>
      </c>
      <c r="Y177" s="10">
        <v>1</v>
      </c>
      <c r="Z177" s="30">
        <v>45819</v>
      </c>
      <c r="AA177" s="31">
        <v>6882</v>
      </c>
      <c r="AB177" s="32">
        <f>131*626+614*5+596*80+229*9</f>
        <v>134817</v>
      </c>
      <c r="AC177" s="32"/>
      <c r="AD177" s="32"/>
      <c r="AE177" s="32">
        <f>SUM(AB177:AC177)</f>
        <v>134817</v>
      </c>
      <c r="AF177" s="12"/>
      <c r="AG177" s="12">
        <v>12876</v>
      </c>
      <c r="AH177" s="12"/>
      <c r="AI177" s="12">
        <f>SUM(AE177:AH177)</f>
        <v>147693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45819</v>
      </c>
      <c r="C178" s="91">
        <f>C177+1</f>
        <v>6947</v>
      </c>
      <c r="D178" s="32">
        <f>20658+229</f>
        <v>20887</v>
      </c>
      <c r="E178" s="32"/>
      <c r="F178" s="32"/>
      <c r="G178" s="32">
        <f t="shared" si="57"/>
        <v>20887</v>
      </c>
      <c r="H178" s="12"/>
      <c r="I178" s="12"/>
      <c r="J178" s="12"/>
      <c r="K178" s="12">
        <f t="shared" si="58"/>
        <v>20887</v>
      </c>
      <c r="M178" s="10">
        <v>2</v>
      </c>
      <c r="N178" s="30">
        <v>45819</v>
      </c>
      <c r="O178" s="31">
        <f>O177+1</f>
        <v>6837</v>
      </c>
      <c r="P178" s="32">
        <f>50706+229</f>
        <v>50935</v>
      </c>
      <c r="Q178" s="32">
        <v>-656</v>
      </c>
      <c r="R178" s="32"/>
      <c r="S178" s="32">
        <f t="shared" ref="S178:S209" si="59">SUM(P178:Q178)</f>
        <v>50279</v>
      </c>
      <c r="T178" s="12"/>
      <c r="U178" s="12">
        <v>54</v>
      </c>
      <c r="V178" s="12"/>
      <c r="W178" s="12">
        <f t="shared" ref="W178:W209" si="60">SUM(S178:V178)</f>
        <v>50333</v>
      </c>
      <c r="Y178" s="10">
        <v>2</v>
      </c>
      <c r="Z178" s="30">
        <v>45819</v>
      </c>
      <c r="AA178" s="31">
        <f>AA177+1</f>
        <v>6883</v>
      </c>
      <c r="AB178" s="32">
        <f>197190+614*15+17880+3435</f>
        <v>227715</v>
      </c>
      <c r="AC178" s="32">
        <v>-2250</v>
      </c>
      <c r="AD178" s="32"/>
      <c r="AE178" s="32">
        <f t="shared" ref="AE178:AE180" si="61">SUM(AB178:AC178)</f>
        <v>225465</v>
      </c>
      <c r="AF178" s="12"/>
      <c r="AG178" s="12">
        <v>540</v>
      </c>
      <c r="AH178" s="12"/>
      <c r="AI178" s="12">
        <f t="shared" ref="AI178:AI209" si="62">SUM(AE178:AH178)</f>
        <v>226005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45819</v>
      </c>
      <c r="C179" s="91">
        <f t="shared" ref="C179:C185" si="63">C178+1</f>
        <v>6948</v>
      </c>
      <c r="D179" s="33">
        <f>2504+1788+67</f>
        <v>4359</v>
      </c>
      <c r="E179" s="33"/>
      <c r="F179" s="33"/>
      <c r="G179" s="33">
        <f t="shared" si="57"/>
        <v>4359</v>
      </c>
      <c r="H179" s="34"/>
      <c r="I179" s="34"/>
      <c r="J179" s="34"/>
      <c r="K179" s="34">
        <f t="shared" si="58"/>
        <v>4359</v>
      </c>
      <c r="M179" s="10">
        <v>3</v>
      </c>
      <c r="N179" s="30">
        <v>45819</v>
      </c>
      <c r="O179" s="31">
        <f t="shared" ref="O179:O188" si="64">O178+1</f>
        <v>6838</v>
      </c>
      <c r="P179" s="32">
        <f>626*33+229</f>
        <v>20887</v>
      </c>
      <c r="Q179" s="32"/>
      <c r="R179" s="32"/>
      <c r="S179" s="32">
        <f t="shared" si="59"/>
        <v>20887</v>
      </c>
      <c r="T179" s="12"/>
      <c r="U179" s="12">
        <v>67.5</v>
      </c>
      <c r="V179" s="12"/>
      <c r="W179" s="12">
        <f t="shared" si="60"/>
        <v>20954.5</v>
      </c>
      <c r="Y179" s="10">
        <v>3</v>
      </c>
      <c r="Z179" s="30">
        <v>45819</v>
      </c>
      <c r="AA179" s="31">
        <f t="shared" ref="AA179:AA181" si="65">AA178+1</f>
        <v>6884</v>
      </c>
      <c r="AB179" s="33">
        <f>626*58+596*2</f>
        <v>37500</v>
      </c>
      <c r="AC179" s="33">
        <v>-360</v>
      </c>
      <c r="AD179" s="32"/>
      <c r="AE179" s="32">
        <f t="shared" si="61"/>
        <v>37140</v>
      </c>
      <c r="AF179" s="12"/>
      <c r="AG179" s="12">
        <v>4884</v>
      </c>
      <c r="AH179" s="12"/>
      <c r="AI179" s="12">
        <f t="shared" si="62"/>
        <v>42024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45819</v>
      </c>
      <c r="C180" s="91">
        <f t="shared" si="63"/>
        <v>6949</v>
      </c>
      <c r="D180" s="32">
        <f>3130+1788+76</f>
        <v>4994</v>
      </c>
      <c r="E180" s="32"/>
      <c r="F180" s="32"/>
      <c r="G180" s="32">
        <f t="shared" si="57"/>
        <v>4994</v>
      </c>
      <c r="H180" s="12"/>
      <c r="I180" s="12">
        <f>222+252</f>
        <v>474</v>
      </c>
      <c r="J180" s="12"/>
      <c r="K180" s="12">
        <f t="shared" si="58"/>
        <v>5468</v>
      </c>
      <c r="M180" s="10">
        <v>4</v>
      </c>
      <c r="N180" s="30">
        <v>45819</v>
      </c>
      <c r="O180" s="31">
        <f t="shared" si="64"/>
        <v>6839</v>
      </c>
      <c r="P180" s="32">
        <f>1878+28.5</f>
        <v>1906.5</v>
      </c>
      <c r="Q180" s="32"/>
      <c r="R180" s="32"/>
      <c r="S180" s="32">
        <f t="shared" si="59"/>
        <v>1906.5</v>
      </c>
      <c r="T180" s="12"/>
      <c r="U180" s="12"/>
      <c r="V180" s="12"/>
      <c r="W180" s="12">
        <f t="shared" si="60"/>
        <v>1906.5</v>
      </c>
      <c r="Y180" s="10">
        <v>4</v>
      </c>
      <c r="Z180" s="30">
        <v>45819</v>
      </c>
      <c r="AA180" s="31">
        <f t="shared" si="65"/>
        <v>6885</v>
      </c>
      <c r="AB180" s="32">
        <f>626*18+913+1704+2010+1664+458+1000</f>
        <v>19017</v>
      </c>
      <c r="AC180" s="32"/>
      <c r="AD180" s="32"/>
      <c r="AE180" s="32">
        <f t="shared" si="61"/>
        <v>19017</v>
      </c>
      <c r="AF180" s="12"/>
      <c r="AH180" s="12"/>
      <c r="AI180" s="12">
        <f t="shared" si="62"/>
        <v>19017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45819</v>
      </c>
      <c r="C181" s="91">
        <f t="shared" si="63"/>
        <v>6950</v>
      </c>
      <c r="D181" s="32">
        <f>3130+47</f>
        <v>3177</v>
      </c>
      <c r="E181" s="32"/>
      <c r="F181" s="32"/>
      <c r="G181" s="32">
        <f t="shared" si="57"/>
        <v>3177</v>
      </c>
      <c r="H181" s="12"/>
      <c r="I181" s="12"/>
      <c r="J181" s="12"/>
      <c r="K181" s="12">
        <f t="shared" si="58"/>
        <v>3177</v>
      </c>
      <c r="M181" s="10">
        <v>5</v>
      </c>
      <c r="N181" s="30">
        <v>45819</v>
      </c>
      <c r="O181" s="31">
        <f t="shared" si="64"/>
        <v>6840</v>
      </c>
      <c r="P181" s="32">
        <f>2504+614+674+596+47.5</f>
        <v>4435.5</v>
      </c>
      <c r="Q181" s="32"/>
      <c r="R181" s="32"/>
      <c r="S181" s="32">
        <f t="shared" si="59"/>
        <v>4435.5</v>
      </c>
      <c r="T181" s="12"/>
      <c r="U181" s="12">
        <v>4.5</v>
      </c>
      <c r="V181" s="12"/>
      <c r="W181" s="12">
        <f t="shared" si="60"/>
        <v>4440</v>
      </c>
      <c r="Y181" s="10">
        <v>5</v>
      </c>
      <c r="Z181" s="30">
        <v>45819</v>
      </c>
      <c r="AA181" s="31">
        <f t="shared" si="65"/>
        <v>6886</v>
      </c>
      <c r="AB181" s="32">
        <f>626*131+614*5+596*80+229*9</f>
        <v>134817</v>
      </c>
      <c r="AC181" s="32"/>
      <c r="AD181" s="32"/>
      <c r="AE181" s="32">
        <f t="shared" ref="AE181:AE215" si="66">SUM(AB181:AC181)</f>
        <v>134817</v>
      </c>
      <c r="AF181" s="12"/>
      <c r="AG181" s="12">
        <v>12876</v>
      </c>
      <c r="AH181" s="12"/>
      <c r="AI181" s="12">
        <f t="shared" si="62"/>
        <v>147693</v>
      </c>
      <c r="AK181" s="62"/>
      <c r="AL181" s="65"/>
      <c r="AM181" s="87"/>
      <c r="AN181" s="110"/>
      <c r="AO181" s="110"/>
      <c r="AP181" s="87"/>
      <c r="AQ181" s="62"/>
      <c r="AR181" s="110"/>
      <c r="AS181" s="110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45819</v>
      </c>
      <c r="C182" s="91">
        <f t="shared" si="63"/>
        <v>6951</v>
      </c>
      <c r="D182" s="32">
        <f>3130+47</f>
        <v>3177</v>
      </c>
      <c r="E182" s="32"/>
      <c r="F182" s="32"/>
      <c r="G182" s="32">
        <f t="shared" si="57"/>
        <v>3177</v>
      </c>
      <c r="H182" s="12"/>
      <c r="I182" s="12"/>
      <c r="J182" s="12"/>
      <c r="K182" s="12">
        <f t="shared" si="58"/>
        <v>3177</v>
      </c>
      <c r="M182" s="10">
        <v>6</v>
      </c>
      <c r="N182" s="30">
        <v>45819</v>
      </c>
      <c r="O182" s="31">
        <f t="shared" si="64"/>
        <v>6841</v>
      </c>
      <c r="P182" s="32">
        <f>626+614+9.5</f>
        <v>1249.5</v>
      </c>
      <c r="Q182" s="32"/>
      <c r="R182" s="32"/>
      <c r="S182" s="32">
        <f t="shared" si="59"/>
        <v>1249.5</v>
      </c>
      <c r="T182" s="12"/>
      <c r="U182" s="12"/>
      <c r="V182" s="10"/>
      <c r="W182" s="12">
        <f t="shared" si="60"/>
        <v>1249.5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si="66"/>
        <v>0</v>
      </c>
      <c r="AF182" s="12"/>
      <c r="AG182" s="12"/>
      <c r="AH182" s="10"/>
      <c r="AI182" s="12">
        <f t="shared" si="62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45819</v>
      </c>
      <c r="C183" s="91">
        <f t="shared" si="63"/>
        <v>6952</v>
      </c>
      <c r="D183" s="32">
        <f>9390+142</f>
        <v>9532</v>
      </c>
      <c r="E183" s="32"/>
      <c r="F183" s="32"/>
      <c r="G183" s="32">
        <f t="shared" si="57"/>
        <v>9532</v>
      </c>
      <c r="H183" s="12"/>
      <c r="I183" s="12"/>
      <c r="J183" s="12"/>
      <c r="K183" s="12">
        <f t="shared" si="58"/>
        <v>9532</v>
      </c>
      <c r="M183" s="10">
        <v>7</v>
      </c>
      <c r="N183" s="30">
        <v>45819</v>
      </c>
      <c r="O183" s="31">
        <f t="shared" si="64"/>
        <v>6842</v>
      </c>
      <c r="P183" s="32">
        <f>614</f>
        <v>614</v>
      </c>
      <c r="Q183" s="32"/>
      <c r="R183" s="32"/>
      <c r="S183" s="32">
        <f t="shared" si="59"/>
        <v>614</v>
      </c>
      <c r="T183" s="12"/>
      <c r="U183" s="12"/>
      <c r="V183" s="12"/>
      <c r="W183" s="12">
        <f t="shared" si="60"/>
        <v>614</v>
      </c>
      <c r="Y183" s="10">
        <v>7</v>
      </c>
      <c r="Z183" s="30"/>
      <c r="AA183" s="31"/>
      <c r="AB183" s="32"/>
      <c r="AC183" s="32"/>
      <c r="AD183" s="32"/>
      <c r="AE183" s="32">
        <f t="shared" si="66"/>
        <v>0</v>
      </c>
      <c r="AF183" s="12"/>
      <c r="AG183" s="58"/>
      <c r="AH183" s="12"/>
      <c r="AI183" s="12">
        <f t="shared" si="62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45819</v>
      </c>
      <c r="C184" s="91">
        <f t="shared" si="63"/>
        <v>6953</v>
      </c>
      <c r="D184" s="32">
        <f>32552+1348</f>
        <v>33900</v>
      </c>
      <c r="E184" s="32"/>
      <c r="F184" s="32"/>
      <c r="G184" s="32">
        <f t="shared" si="57"/>
        <v>33900</v>
      </c>
      <c r="H184" s="12"/>
      <c r="I184" s="12"/>
      <c r="J184" s="12"/>
      <c r="K184" s="12">
        <f t="shared" si="58"/>
        <v>33900</v>
      </c>
      <c r="M184" s="10">
        <v>8</v>
      </c>
      <c r="N184" s="30">
        <v>45819</v>
      </c>
      <c r="O184" s="31">
        <f t="shared" si="64"/>
        <v>6843</v>
      </c>
      <c r="P184" s="32">
        <f>2504+596+47.5</f>
        <v>3147.5</v>
      </c>
      <c r="Q184" s="32"/>
      <c r="R184" s="32"/>
      <c r="S184" s="32">
        <f t="shared" si="59"/>
        <v>3147.5</v>
      </c>
      <c r="T184" s="12"/>
      <c r="U184" s="12">
        <f>27+6</f>
        <v>33</v>
      </c>
      <c r="V184" s="12"/>
      <c r="W184" s="12">
        <f t="shared" si="60"/>
        <v>3180.5</v>
      </c>
      <c r="Y184" s="10">
        <v>8</v>
      </c>
      <c r="Z184" s="30"/>
      <c r="AA184" s="31"/>
      <c r="AB184" s="32"/>
      <c r="AC184" s="32"/>
      <c r="AE184" s="32">
        <f t="shared" si="66"/>
        <v>0</v>
      </c>
      <c r="AF184" s="12"/>
      <c r="AG184" s="12"/>
      <c r="AH184" s="12"/>
      <c r="AI184" s="12">
        <f t="shared" si="62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45819</v>
      </c>
      <c r="C185" s="91">
        <f t="shared" si="63"/>
        <v>6954</v>
      </c>
      <c r="D185" s="32">
        <f>2504+38</f>
        <v>2542</v>
      </c>
      <c r="E185" s="32"/>
      <c r="F185" s="32"/>
      <c r="G185" s="32">
        <f t="shared" si="57"/>
        <v>2542</v>
      </c>
      <c r="H185" s="12"/>
      <c r="I185" s="12"/>
      <c r="J185" s="12"/>
      <c r="K185" s="12">
        <f t="shared" si="58"/>
        <v>2542</v>
      </c>
      <c r="M185" s="10">
        <v>9</v>
      </c>
      <c r="N185" s="30">
        <v>45819</v>
      </c>
      <c r="O185" s="31">
        <f t="shared" si="64"/>
        <v>6844</v>
      </c>
      <c r="P185" s="32">
        <f>1252+596+28.5</f>
        <v>1876.5</v>
      </c>
      <c r="Q185" s="32"/>
      <c r="R185" s="32"/>
      <c r="S185" s="32">
        <f t="shared" si="59"/>
        <v>1876.5</v>
      </c>
      <c r="T185" s="12"/>
      <c r="U185" s="12"/>
      <c r="V185" s="12"/>
      <c r="W185" s="12">
        <f t="shared" si="60"/>
        <v>1876.5</v>
      </c>
      <c r="Y185" s="10">
        <v>9</v>
      </c>
      <c r="Z185" s="30"/>
      <c r="AA185" s="31"/>
      <c r="AB185" s="32"/>
      <c r="AC185" s="32"/>
      <c r="AD185" s="32"/>
      <c r="AE185" s="32">
        <f t="shared" si="66"/>
        <v>0</v>
      </c>
      <c r="AF185" s="12"/>
      <c r="AG185" s="58"/>
      <c r="AH185" s="12"/>
      <c r="AI185" s="12">
        <f t="shared" si="62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11" t="s">
        <v>27</v>
      </c>
      <c r="D186" s="32"/>
      <c r="E186" s="32"/>
      <c r="F186" s="32"/>
      <c r="G186" s="32">
        <f t="shared" si="57"/>
        <v>0</v>
      </c>
      <c r="H186" s="12"/>
      <c r="I186" s="12"/>
      <c r="J186" s="12"/>
      <c r="K186" s="12">
        <f t="shared" si="58"/>
        <v>0</v>
      </c>
      <c r="M186" s="10">
        <v>10</v>
      </c>
      <c r="N186" s="30">
        <v>45819</v>
      </c>
      <c r="O186" s="31">
        <f t="shared" si="64"/>
        <v>6845</v>
      </c>
      <c r="P186" s="32">
        <f>9390+852+1005+832+142.5</f>
        <v>12221.5</v>
      </c>
      <c r="Q186" s="32"/>
      <c r="R186" s="32"/>
      <c r="S186" s="32">
        <f t="shared" si="59"/>
        <v>12221.5</v>
      </c>
      <c r="T186" s="12"/>
      <c r="U186" s="12"/>
      <c r="V186" s="12"/>
      <c r="W186" s="12">
        <f t="shared" si="60"/>
        <v>12221.5</v>
      </c>
      <c r="Y186" s="10">
        <v>10</v>
      </c>
      <c r="Z186" s="30"/>
      <c r="AA186" s="31"/>
      <c r="AB186" s="32"/>
      <c r="AC186" s="32"/>
      <c r="AD186" s="32"/>
      <c r="AE186" s="32">
        <f t="shared" si="66"/>
        <v>0</v>
      </c>
      <c r="AF186" s="12"/>
      <c r="AG186" s="12"/>
      <c r="AH186" s="12"/>
      <c r="AI186" s="12">
        <f t="shared" si="62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91"/>
      <c r="D187" s="32"/>
      <c r="E187" s="32"/>
      <c r="F187" s="32"/>
      <c r="G187" s="32">
        <f t="shared" si="57"/>
        <v>0</v>
      </c>
      <c r="H187" s="12"/>
      <c r="I187" s="12"/>
      <c r="J187" s="12"/>
      <c r="K187" s="12">
        <f t="shared" si="58"/>
        <v>0</v>
      </c>
      <c r="M187" s="10">
        <v>11</v>
      </c>
      <c r="N187" s="30">
        <v>45819</v>
      </c>
      <c r="O187" s="31">
        <f t="shared" si="64"/>
        <v>6846</v>
      </c>
      <c r="P187" s="32">
        <f>1252+19</f>
        <v>1271</v>
      </c>
      <c r="Q187" s="32"/>
      <c r="R187" s="32"/>
      <c r="S187" s="32">
        <f t="shared" si="59"/>
        <v>1271</v>
      </c>
      <c r="T187" s="12"/>
      <c r="U187" s="12"/>
      <c r="V187" s="12"/>
      <c r="W187" s="12">
        <f t="shared" si="60"/>
        <v>1271</v>
      </c>
      <c r="Y187" s="10">
        <v>11</v>
      </c>
      <c r="Z187" s="30"/>
      <c r="AA187" s="31"/>
      <c r="AB187" s="32"/>
      <c r="AC187" s="32"/>
      <c r="AD187" s="32"/>
      <c r="AE187" s="32">
        <f t="shared" si="66"/>
        <v>0</v>
      </c>
      <c r="AF187" s="12"/>
      <c r="AG187" s="12"/>
      <c r="AH187" s="12"/>
      <c r="AI187" s="12">
        <f t="shared" si="62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91"/>
      <c r="D188" s="32"/>
      <c r="E188" s="32"/>
      <c r="F188" s="32"/>
      <c r="G188" s="32">
        <f t="shared" si="57"/>
        <v>0</v>
      </c>
      <c r="H188" s="12"/>
      <c r="I188" s="12"/>
      <c r="J188" s="10"/>
      <c r="K188" s="12">
        <f t="shared" si="58"/>
        <v>0</v>
      </c>
      <c r="M188" s="10">
        <v>12</v>
      </c>
      <c r="N188" s="30">
        <v>45819</v>
      </c>
      <c r="O188" s="31">
        <f t="shared" si="64"/>
        <v>6847</v>
      </c>
      <c r="P188" s="32">
        <f>3756+57</f>
        <v>3813</v>
      </c>
      <c r="Q188" s="32"/>
      <c r="R188" s="32"/>
      <c r="S188" s="32">
        <f t="shared" si="59"/>
        <v>3813</v>
      </c>
      <c r="T188" s="12"/>
      <c r="U188" s="12"/>
      <c r="V188" s="12"/>
      <c r="W188" s="12">
        <f t="shared" si="60"/>
        <v>3813</v>
      </c>
      <c r="Y188" s="10">
        <v>12</v>
      </c>
      <c r="Z188" s="30"/>
      <c r="AA188" s="31"/>
      <c r="AB188" s="32"/>
      <c r="AC188" s="32"/>
      <c r="AD188" s="32"/>
      <c r="AE188" s="32">
        <f t="shared" si="66"/>
        <v>0</v>
      </c>
      <c r="AF188" s="12"/>
      <c r="AG188" s="12"/>
      <c r="AH188" s="12"/>
      <c r="AI188" s="12">
        <f t="shared" si="62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91"/>
      <c r="D189" s="32"/>
      <c r="E189" s="32"/>
      <c r="F189" s="32"/>
      <c r="G189" s="32">
        <f t="shared" si="57"/>
        <v>0</v>
      </c>
      <c r="H189" s="12"/>
      <c r="I189" s="12"/>
      <c r="J189" s="12"/>
      <c r="K189" s="12">
        <f t="shared" si="58"/>
        <v>0</v>
      </c>
      <c r="M189" s="10">
        <v>13</v>
      </c>
      <c r="N189" s="30"/>
      <c r="O189" s="11" t="s">
        <v>27</v>
      </c>
      <c r="P189" s="32"/>
      <c r="Q189" s="32"/>
      <c r="R189" s="32"/>
      <c r="S189" s="32">
        <f t="shared" si="59"/>
        <v>0</v>
      </c>
      <c r="T189" s="12"/>
      <c r="U189" s="12"/>
      <c r="V189" s="12"/>
      <c r="W189" s="12">
        <f t="shared" si="60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6"/>
        <v>0</v>
      </c>
      <c r="AF189" s="12"/>
      <c r="AG189" s="12"/>
      <c r="AH189" s="12"/>
      <c r="AI189" s="12">
        <f t="shared" si="62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91"/>
      <c r="D190" s="32"/>
      <c r="E190" s="32"/>
      <c r="F190" s="32"/>
      <c r="G190" s="32">
        <f t="shared" si="57"/>
        <v>0</v>
      </c>
      <c r="H190" s="12"/>
      <c r="I190" s="12"/>
      <c r="J190" s="12"/>
      <c r="K190" s="12">
        <f t="shared" si="58"/>
        <v>0</v>
      </c>
      <c r="M190" s="10">
        <v>14</v>
      </c>
      <c r="N190" s="30"/>
      <c r="O190" s="31"/>
      <c r="P190" s="32"/>
      <c r="Q190" s="32"/>
      <c r="R190" s="32"/>
      <c r="S190" s="32">
        <f t="shared" si="59"/>
        <v>0</v>
      </c>
      <c r="T190" s="12"/>
      <c r="U190" s="12"/>
      <c r="V190" s="12"/>
      <c r="W190" s="12">
        <f t="shared" si="60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6"/>
        <v>0</v>
      </c>
      <c r="AF190" s="12"/>
      <c r="AG190" s="12"/>
      <c r="AH190" s="12"/>
      <c r="AI190" s="12">
        <f t="shared" si="62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91"/>
      <c r="D191" s="32"/>
      <c r="E191" s="32"/>
      <c r="F191" s="32"/>
      <c r="G191" s="32">
        <f t="shared" si="57"/>
        <v>0</v>
      </c>
      <c r="H191" s="12"/>
      <c r="I191" s="12"/>
      <c r="J191" s="12"/>
      <c r="K191" s="12">
        <f t="shared" si="58"/>
        <v>0</v>
      </c>
      <c r="M191" s="10">
        <v>15</v>
      </c>
      <c r="N191" s="30"/>
      <c r="O191" s="31"/>
      <c r="P191" s="32"/>
      <c r="Q191" s="32"/>
      <c r="R191" s="32"/>
      <c r="S191" s="32">
        <f t="shared" si="59"/>
        <v>0</v>
      </c>
      <c r="T191" s="12"/>
      <c r="U191" s="12"/>
      <c r="V191" s="12"/>
      <c r="W191" s="12">
        <f t="shared" si="60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6"/>
        <v>0</v>
      </c>
      <c r="AF191" s="12"/>
      <c r="AG191" s="12"/>
      <c r="AH191" s="12"/>
      <c r="AI191" s="12">
        <f t="shared" si="62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91"/>
      <c r="D192" s="32"/>
      <c r="E192" s="32"/>
      <c r="F192" s="32"/>
      <c r="G192" s="32">
        <f t="shared" si="57"/>
        <v>0</v>
      </c>
      <c r="H192" s="12"/>
      <c r="I192" s="12"/>
      <c r="J192" s="12"/>
      <c r="K192" s="12">
        <f t="shared" si="58"/>
        <v>0</v>
      </c>
      <c r="M192" s="10">
        <v>16</v>
      </c>
      <c r="N192" s="30"/>
      <c r="O192" s="31"/>
      <c r="P192" s="32"/>
      <c r="Q192" s="32"/>
      <c r="R192" s="32"/>
      <c r="S192" s="32">
        <f t="shared" si="59"/>
        <v>0</v>
      </c>
      <c r="T192" s="12"/>
      <c r="U192" s="12"/>
      <c r="V192" s="12"/>
      <c r="W192" s="12">
        <f t="shared" si="60"/>
        <v>0</v>
      </c>
      <c r="Y192" s="10">
        <v>16</v>
      </c>
      <c r="Z192" s="30"/>
      <c r="AB192" s="32"/>
      <c r="AC192" s="32"/>
      <c r="AD192" s="32"/>
      <c r="AE192" s="32">
        <f t="shared" si="66"/>
        <v>0</v>
      </c>
      <c r="AF192" s="12"/>
      <c r="AG192" s="12"/>
      <c r="AH192" s="12"/>
      <c r="AI192" s="12">
        <f t="shared" si="62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91"/>
      <c r="D193" s="32"/>
      <c r="E193" s="32"/>
      <c r="F193" s="32"/>
      <c r="G193" s="32">
        <f t="shared" si="57"/>
        <v>0</v>
      </c>
      <c r="H193" s="12"/>
      <c r="I193" s="12"/>
      <c r="J193" s="12"/>
      <c r="K193" s="12">
        <f t="shared" si="58"/>
        <v>0</v>
      </c>
      <c r="M193" s="10">
        <v>17</v>
      </c>
      <c r="N193" s="30"/>
      <c r="O193" s="31"/>
      <c r="P193" s="35"/>
      <c r="Q193" s="32"/>
      <c r="R193" s="32"/>
      <c r="S193" s="32">
        <f t="shared" si="59"/>
        <v>0</v>
      </c>
      <c r="T193" s="12"/>
      <c r="U193" s="12"/>
      <c r="V193" s="12"/>
      <c r="W193" s="12">
        <f t="shared" si="60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6"/>
        <v>0</v>
      </c>
      <c r="AF193" s="12"/>
      <c r="AG193" s="12"/>
      <c r="AH193" s="12"/>
      <c r="AI193" s="12">
        <f t="shared" si="62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91"/>
      <c r="D194" s="32"/>
      <c r="E194" s="32"/>
      <c r="F194" s="32"/>
      <c r="G194" s="32">
        <f t="shared" si="57"/>
        <v>0</v>
      </c>
      <c r="H194" s="12"/>
      <c r="I194" s="12"/>
      <c r="J194" s="12"/>
      <c r="K194" s="12">
        <f t="shared" si="58"/>
        <v>0</v>
      </c>
      <c r="M194" s="10">
        <v>18</v>
      </c>
      <c r="N194" s="30"/>
      <c r="O194" s="31"/>
      <c r="P194" s="32"/>
      <c r="Q194" s="32"/>
      <c r="R194" s="32"/>
      <c r="S194" s="32">
        <f t="shared" si="59"/>
        <v>0</v>
      </c>
      <c r="T194" s="12"/>
      <c r="U194" s="12"/>
      <c r="V194" s="12"/>
      <c r="W194" s="12">
        <f t="shared" si="60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6"/>
        <v>0</v>
      </c>
      <c r="AF194" s="12"/>
      <c r="AG194" s="12"/>
      <c r="AH194" s="12"/>
      <c r="AI194" s="12">
        <f t="shared" si="62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91"/>
      <c r="D195" s="32"/>
      <c r="E195" s="32"/>
      <c r="F195" s="32"/>
      <c r="G195" s="32">
        <f t="shared" si="57"/>
        <v>0</v>
      </c>
      <c r="H195" s="12"/>
      <c r="I195" s="12"/>
      <c r="J195" s="12"/>
      <c r="K195" s="12">
        <f t="shared" si="58"/>
        <v>0</v>
      </c>
      <c r="M195" s="10">
        <v>19</v>
      </c>
      <c r="N195" s="30"/>
      <c r="O195" s="31"/>
      <c r="P195" s="32"/>
      <c r="Q195" s="32"/>
      <c r="R195" s="32"/>
      <c r="S195" s="32">
        <f t="shared" si="59"/>
        <v>0</v>
      </c>
      <c r="T195" s="12"/>
      <c r="U195" s="12"/>
      <c r="V195" s="12"/>
      <c r="W195" s="12">
        <f t="shared" si="60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6"/>
        <v>0</v>
      </c>
      <c r="AF195" s="12"/>
      <c r="AG195" s="12"/>
      <c r="AH195" s="12"/>
      <c r="AI195" s="12">
        <f t="shared" si="62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91"/>
      <c r="D196" s="32"/>
      <c r="E196" s="32"/>
      <c r="F196" s="32"/>
      <c r="G196" s="32">
        <f t="shared" si="57"/>
        <v>0</v>
      </c>
      <c r="H196" s="12"/>
      <c r="I196" s="12"/>
      <c r="J196" s="12"/>
      <c r="K196" s="12">
        <f t="shared" si="58"/>
        <v>0</v>
      </c>
      <c r="M196" s="10">
        <v>20</v>
      </c>
      <c r="N196" s="30"/>
      <c r="O196" s="31"/>
      <c r="P196" s="32"/>
      <c r="Q196" s="32"/>
      <c r="R196" s="32"/>
      <c r="S196" s="32">
        <f t="shared" si="59"/>
        <v>0</v>
      </c>
      <c r="T196" s="12"/>
      <c r="U196" s="12"/>
      <c r="V196" s="12"/>
      <c r="W196" s="12">
        <f t="shared" si="60"/>
        <v>0</v>
      </c>
      <c r="Y196" s="10">
        <v>20</v>
      </c>
      <c r="Z196" s="30"/>
      <c r="AB196" s="32"/>
      <c r="AC196" s="32"/>
      <c r="AD196" s="32"/>
      <c r="AE196" s="32">
        <f t="shared" si="66"/>
        <v>0</v>
      </c>
      <c r="AF196" s="12"/>
      <c r="AG196" s="12"/>
      <c r="AH196" s="12"/>
      <c r="AI196" s="12">
        <f t="shared" si="62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91"/>
      <c r="D197" s="32"/>
      <c r="E197" s="32"/>
      <c r="F197" s="32"/>
      <c r="G197" s="32">
        <f t="shared" si="57"/>
        <v>0</v>
      </c>
      <c r="H197" s="10"/>
      <c r="I197" s="10"/>
      <c r="J197" s="10"/>
      <c r="K197" s="12">
        <f t="shared" si="58"/>
        <v>0</v>
      </c>
      <c r="M197" s="10">
        <v>21</v>
      </c>
      <c r="N197" s="30"/>
      <c r="P197" s="46"/>
      <c r="Q197" s="31"/>
      <c r="R197" s="31"/>
      <c r="S197" s="32">
        <f t="shared" si="59"/>
        <v>0</v>
      </c>
      <c r="T197" s="10"/>
      <c r="U197" s="10"/>
      <c r="V197" s="10"/>
      <c r="W197" s="12">
        <f t="shared" si="60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6"/>
        <v>0</v>
      </c>
      <c r="AF197" s="10"/>
      <c r="AG197" s="10"/>
      <c r="AH197" s="10"/>
      <c r="AI197" s="12">
        <f t="shared" si="62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91"/>
      <c r="D198" s="32"/>
      <c r="E198" s="32"/>
      <c r="F198" s="32"/>
      <c r="G198" s="32">
        <f t="shared" si="57"/>
        <v>0</v>
      </c>
      <c r="H198" s="10"/>
      <c r="I198" s="10"/>
      <c r="J198" s="10"/>
      <c r="K198" s="12">
        <f t="shared" si="58"/>
        <v>0</v>
      </c>
      <c r="M198" s="10">
        <v>22</v>
      </c>
      <c r="N198" s="30"/>
      <c r="O198" s="31"/>
      <c r="P198" s="45"/>
      <c r="Q198" s="31"/>
      <c r="R198" s="31"/>
      <c r="S198" s="32">
        <f t="shared" si="59"/>
        <v>0</v>
      </c>
      <c r="T198" s="10"/>
      <c r="U198" s="10"/>
      <c r="V198" s="10"/>
      <c r="W198" s="12">
        <f t="shared" si="60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6"/>
        <v>0</v>
      </c>
      <c r="AF198" s="10"/>
      <c r="AG198" s="10"/>
      <c r="AH198" s="10"/>
      <c r="AI198" s="12">
        <f t="shared" si="62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91"/>
      <c r="D199" s="32"/>
      <c r="E199" s="32"/>
      <c r="F199" s="32"/>
      <c r="G199" s="32">
        <f t="shared" si="57"/>
        <v>0</v>
      </c>
      <c r="H199" s="10"/>
      <c r="I199" s="10"/>
      <c r="J199" s="12"/>
      <c r="K199" s="12">
        <f t="shared" si="58"/>
        <v>0</v>
      </c>
      <c r="M199" s="10">
        <v>23</v>
      </c>
      <c r="N199" s="30"/>
      <c r="O199" s="31"/>
      <c r="P199" s="47"/>
      <c r="Q199" s="31"/>
      <c r="S199" s="32">
        <f t="shared" si="59"/>
        <v>0</v>
      </c>
      <c r="T199" s="10"/>
      <c r="U199" s="10"/>
      <c r="V199" s="10"/>
      <c r="W199" s="12">
        <f t="shared" si="60"/>
        <v>0</v>
      </c>
      <c r="Y199" s="10">
        <v>23</v>
      </c>
      <c r="Z199" s="30"/>
      <c r="AA199" s="31"/>
      <c r="AB199" s="47"/>
      <c r="AC199" s="31"/>
      <c r="AE199" s="32">
        <f t="shared" si="66"/>
        <v>0</v>
      </c>
      <c r="AF199" s="10"/>
      <c r="AG199" s="10"/>
      <c r="AH199" s="10"/>
      <c r="AI199" s="12">
        <f t="shared" si="62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91"/>
      <c r="D200" s="32"/>
      <c r="E200" s="32"/>
      <c r="F200" s="32"/>
      <c r="G200" s="32">
        <f t="shared" si="57"/>
        <v>0</v>
      </c>
      <c r="H200" s="10"/>
      <c r="I200" s="10"/>
      <c r="J200" s="10"/>
      <c r="K200" s="12">
        <f t="shared" si="58"/>
        <v>0</v>
      </c>
      <c r="M200" s="10">
        <v>24</v>
      </c>
      <c r="N200" s="30"/>
      <c r="O200" s="11"/>
      <c r="P200" s="47"/>
      <c r="Q200" s="31"/>
      <c r="R200" s="31"/>
      <c r="S200" s="32">
        <f t="shared" si="59"/>
        <v>0</v>
      </c>
      <c r="T200" s="10"/>
      <c r="U200" s="10"/>
      <c r="V200" s="10"/>
      <c r="W200" s="12">
        <f t="shared" si="60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6"/>
        <v>0</v>
      </c>
      <c r="AF200" s="10"/>
      <c r="AG200" s="10"/>
      <c r="AH200" s="10"/>
      <c r="AI200" s="12">
        <f t="shared" si="62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D201" s="32"/>
      <c r="E201" s="32"/>
      <c r="F201" s="32"/>
      <c r="G201" s="32">
        <f t="shared" si="57"/>
        <v>0</v>
      </c>
      <c r="H201" s="10"/>
      <c r="I201" s="10"/>
      <c r="J201" s="10"/>
      <c r="K201" s="12">
        <f t="shared" si="58"/>
        <v>0</v>
      </c>
      <c r="M201" s="10">
        <v>25</v>
      </c>
      <c r="N201" s="30"/>
      <c r="O201" s="31"/>
      <c r="P201" s="47"/>
      <c r="Q201" s="31"/>
      <c r="R201" s="31"/>
      <c r="S201" s="32">
        <f t="shared" si="59"/>
        <v>0</v>
      </c>
      <c r="T201" s="10"/>
      <c r="U201" s="10"/>
      <c r="V201" s="10"/>
      <c r="W201" s="12">
        <f t="shared" si="60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6"/>
        <v>0</v>
      </c>
      <c r="AF201" s="10"/>
      <c r="AG201" s="10"/>
      <c r="AH201" s="10"/>
      <c r="AI201" s="12">
        <f t="shared" si="62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91"/>
      <c r="D202" s="32"/>
      <c r="E202" s="32"/>
      <c r="F202" s="32"/>
      <c r="G202" s="32">
        <f t="shared" si="57"/>
        <v>0</v>
      </c>
      <c r="H202" s="10"/>
      <c r="I202" s="10"/>
      <c r="J202" s="10"/>
      <c r="K202" s="12">
        <f t="shared" si="58"/>
        <v>0</v>
      </c>
      <c r="M202" s="10">
        <v>26</v>
      </c>
      <c r="N202" s="30"/>
      <c r="O202" s="31"/>
      <c r="P202" s="47"/>
      <c r="Q202" s="31"/>
      <c r="R202" s="31"/>
      <c r="S202" s="32">
        <f t="shared" si="59"/>
        <v>0</v>
      </c>
      <c r="T202" s="10"/>
      <c r="U202" s="10"/>
      <c r="V202" s="10"/>
      <c r="W202" s="12">
        <f t="shared" si="60"/>
        <v>0</v>
      </c>
      <c r="Y202" s="10">
        <v>26</v>
      </c>
      <c r="Z202" s="30"/>
      <c r="AB202" s="47"/>
      <c r="AC202" s="31"/>
      <c r="AD202" s="31"/>
      <c r="AE202" s="32">
        <f t="shared" si="66"/>
        <v>0</v>
      </c>
      <c r="AF202" s="10"/>
      <c r="AG202" s="10"/>
      <c r="AH202" s="10"/>
      <c r="AI202" s="12">
        <f t="shared" si="62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91"/>
      <c r="D203" s="32"/>
      <c r="E203" s="32"/>
      <c r="F203" s="32"/>
      <c r="G203" s="32">
        <f t="shared" si="57"/>
        <v>0</v>
      </c>
      <c r="H203" s="10"/>
      <c r="I203" s="10"/>
      <c r="J203" s="10"/>
      <c r="K203" s="12">
        <f t="shared" si="58"/>
        <v>0</v>
      </c>
      <c r="M203" s="10">
        <v>27</v>
      </c>
      <c r="N203" s="30"/>
      <c r="O203" s="31"/>
      <c r="P203" s="47"/>
      <c r="Q203" s="31"/>
      <c r="R203" s="31"/>
      <c r="S203" s="32">
        <f t="shared" si="59"/>
        <v>0</v>
      </c>
      <c r="T203" s="10"/>
      <c r="U203" s="10"/>
      <c r="V203" s="10"/>
      <c r="W203" s="12">
        <f t="shared" si="60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6"/>
        <v>0</v>
      </c>
      <c r="AF203" s="10"/>
      <c r="AG203" s="10"/>
      <c r="AH203" s="10"/>
      <c r="AI203" s="12">
        <f t="shared" si="62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91"/>
      <c r="D204" s="32"/>
      <c r="E204" s="32"/>
      <c r="F204" s="32"/>
      <c r="G204" s="32">
        <f t="shared" si="57"/>
        <v>0</v>
      </c>
      <c r="H204" s="10"/>
      <c r="I204" s="10"/>
      <c r="J204" s="10"/>
      <c r="K204" s="12">
        <f t="shared" si="58"/>
        <v>0</v>
      </c>
      <c r="M204" s="10">
        <v>28</v>
      </c>
      <c r="N204" s="30"/>
      <c r="O204" s="31"/>
      <c r="P204" s="47"/>
      <c r="Q204" s="31"/>
      <c r="R204" s="31"/>
      <c r="S204" s="32">
        <f t="shared" si="59"/>
        <v>0</v>
      </c>
      <c r="T204" s="10"/>
      <c r="U204" s="10"/>
      <c r="V204" s="10"/>
      <c r="W204" s="12">
        <f t="shared" si="60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6"/>
        <v>0</v>
      </c>
      <c r="AF204" s="10"/>
      <c r="AG204" s="10"/>
      <c r="AH204" s="10"/>
      <c r="AI204" s="12">
        <f t="shared" si="62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91"/>
      <c r="D205" s="32"/>
      <c r="E205" s="32"/>
      <c r="F205" s="32"/>
      <c r="G205" s="32">
        <f t="shared" si="57"/>
        <v>0</v>
      </c>
      <c r="H205" s="10"/>
      <c r="I205" s="10"/>
      <c r="J205" s="10"/>
      <c r="K205" s="12">
        <f t="shared" si="58"/>
        <v>0</v>
      </c>
      <c r="M205" s="10">
        <v>29</v>
      </c>
      <c r="N205" s="30"/>
      <c r="P205" s="47"/>
      <c r="Q205" s="31"/>
      <c r="R205" s="31"/>
      <c r="S205" s="32">
        <f t="shared" si="59"/>
        <v>0</v>
      </c>
      <c r="T205" s="10"/>
      <c r="U205" s="10"/>
      <c r="V205" s="10"/>
      <c r="W205" s="12">
        <f t="shared" si="60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6"/>
        <v>0</v>
      </c>
      <c r="AF205" s="10"/>
      <c r="AG205" s="10"/>
      <c r="AH205" s="10"/>
      <c r="AI205" s="12">
        <f t="shared" si="62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91"/>
      <c r="D206" s="32"/>
      <c r="E206" s="32"/>
      <c r="F206" s="32"/>
      <c r="G206" s="32">
        <f t="shared" si="57"/>
        <v>0</v>
      </c>
      <c r="H206" s="10"/>
      <c r="I206" s="10"/>
      <c r="J206" s="10"/>
      <c r="K206" s="12">
        <f t="shared" si="58"/>
        <v>0</v>
      </c>
      <c r="M206" s="10">
        <v>30</v>
      </c>
      <c r="N206" s="30"/>
      <c r="P206" s="47"/>
      <c r="Q206" s="31"/>
      <c r="R206" s="31"/>
      <c r="S206" s="32">
        <f t="shared" si="59"/>
        <v>0</v>
      </c>
      <c r="T206" s="10"/>
      <c r="U206" s="10"/>
      <c r="V206" s="10"/>
      <c r="W206" s="12">
        <f t="shared" si="60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6"/>
        <v>0</v>
      </c>
      <c r="AF206" s="10"/>
      <c r="AG206" s="10"/>
      <c r="AH206" s="10"/>
      <c r="AI206" s="12">
        <f t="shared" si="62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91"/>
      <c r="D207" s="32"/>
      <c r="E207" s="32"/>
      <c r="F207" s="32"/>
      <c r="G207" s="32">
        <f t="shared" si="57"/>
        <v>0</v>
      </c>
      <c r="H207" s="10"/>
      <c r="I207" s="10"/>
      <c r="J207" s="10"/>
      <c r="K207" s="12">
        <f t="shared" si="58"/>
        <v>0</v>
      </c>
      <c r="M207" s="10">
        <v>31</v>
      </c>
      <c r="N207" s="30"/>
      <c r="O207" s="31"/>
      <c r="P207" s="47"/>
      <c r="Q207" s="31"/>
      <c r="R207" s="31"/>
      <c r="S207" s="32">
        <f t="shared" si="59"/>
        <v>0</v>
      </c>
      <c r="T207" s="10"/>
      <c r="U207" s="10"/>
      <c r="V207" s="10"/>
      <c r="W207" s="12">
        <f t="shared" si="60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6"/>
        <v>0</v>
      </c>
      <c r="AF207" s="10"/>
      <c r="AG207" s="10"/>
      <c r="AH207" s="10"/>
      <c r="AI207" s="12">
        <f t="shared" si="62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91"/>
      <c r="D208" s="32"/>
      <c r="E208" s="32"/>
      <c r="F208" s="32"/>
      <c r="G208" s="32">
        <f t="shared" si="57"/>
        <v>0</v>
      </c>
      <c r="H208" s="10"/>
      <c r="I208" s="10"/>
      <c r="J208" s="10"/>
      <c r="K208" s="12">
        <f t="shared" si="58"/>
        <v>0</v>
      </c>
      <c r="M208" s="10">
        <v>32</v>
      </c>
      <c r="N208" s="30"/>
      <c r="P208" s="47"/>
      <c r="Q208" s="31"/>
      <c r="R208" s="31"/>
      <c r="S208" s="32">
        <f t="shared" si="59"/>
        <v>0</v>
      </c>
      <c r="T208" s="10"/>
      <c r="U208" s="10"/>
      <c r="V208" s="10"/>
      <c r="W208" s="12">
        <f t="shared" si="60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6"/>
        <v>0</v>
      </c>
      <c r="AF208" s="10"/>
      <c r="AG208" s="10"/>
      <c r="AH208" s="10"/>
      <c r="AI208" s="12">
        <f t="shared" si="62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91"/>
      <c r="D209" s="32"/>
      <c r="E209" s="32"/>
      <c r="F209" s="32"/>
      <c r="G209" s="32">
        <f t="shared" si="57"/>
        <v>0</v>
      </c>
      <c r="H209" s="10"/>
      <c r="I209" s="10"/>
      <c r="J209" s="10"/>
      <c r="K209" s="12">
        <f t="shared" si="58"/>
        <v>0</v>
      </c>
      <c r="M209" s="10">
        <v>33</v>
      </c>
      <c r="N209" s="30"/>
      <c r="O209" s="31"/>
      <c r="P209" s="47"/>
      <c r="Q209" s="31"/>
      <c r="R209" s="31"/>
      <c r="S209" s="32">
        <f t="shared" si="59"/>
        <v>0</v>
      </c>
      <c r="T209" s="10"/>
      <c r="U209" s="10"/>
      <c r="V209" s="10"/>
      <c r="W209" s="12">
        <f t="shared" si="60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6"/>
        <v>0</v>
      </c>
      <c r="AF209" s="10"/>
      <c r="AG209" s="10"/>
      <c r="AH209" s="10"/>
      <c r="AI209" s="12">
        <f t="shared" si="62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91"/>
      <c r="D210" s="32"/>
      <c r="E210" s="32"/>
      <c r="F210" s="32"/>
      <c r="G210" s="32">
        <f t="shared" si="57"/>
        <v>0</v>
      </c>
      <c r="H210" s="10"/>
      <c r="I210" s="10"/>
      <c r="J210" s="10"/>
      <c r="K210" s="12">
        <f t="shared" si="58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7">SUM(P210:Q210)</f>
        <v>0</v>
      </c>
      <c r="T210" s="10"/>
      <c r="U210" s="10"/>
      <c r="V210" s="10"/>
      <c r="W210" s="12">
        <f t="shared" ref="W210:W218" si="68">SUM(S210:V210)</f>
        <v>0</v>
      </c>
      <c r="Y210" s="10">
        <v>34</v>
      </c>
      <c r="Z210" s="30"/>
      <c r="AB210" s="47"/>
      <c r="AC210" s="31"/>
      <c r="AD210" s="31"/>
      <c r="AE210" s="32">
        <f t="shared" si="66"/>
        <v>0</v>
      </c>
      <c r="AF210" s="10"/>
      <c r="AG210" s="10"/>
      <c r="AH210" s="10"/>
      <c r="AI210" s="12">
        <f t="shared" ref="AI210:AI218" si="69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7"/>
        <v>0</v>
      </c>
      <c r="T211" s="10"/>
      <c r="U211" s="10"/>
      <c r="V211" s="10"/>
      <c r="W211" s="12">
        <f t="shared" si="68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6"/>
        <v>0</v>
      </c>
      <c r="AF211" s="10"/>
      <c r="AG211" s="10"/>
      <c r="AH211" s="10"/>
      <c r="AI211" s="12">
        <f t="shared" si="69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7"/>
        <v>0</v>
      </c>
      <c r="T212" s="10"/>
      <c r="U212" s="10"/>
      <c r="V212" s="10"/>
      <c r="W212" s="12">
        <f t="shared" si="68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6"/>
        <v>0</v>
      </c>
      <c r="AF212" s="10"/>
      <c r="AG212" s="10"/>
      <c r="AH212" s="10"/>
      <c r="AI212" s="12">
        <f t="shared" si="69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7"/>
        <v>0</v>
      </c>
      <c r="T213" s="10"/>
      <c r="U213" s="10"/>
      <c r="V213" s="10"/>
      <c r="W213" s="12">
        <f t="shared" si="68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6"/>
        <v>0</v>
      </c>
      <c r="AF213" s="10"/>
      <c r="AG213" s="10"/>
      <c r="AH213" s="10"/>
      <c r="AI213" s="12">
        <f t="shared" si="69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7"/>
        <v>0</v>
      </c>
      <c r="T214" s="10"/>
      <c r="U214" s="10"/>
      <c r="V214" s="10"/>
      <c r="W214" s="12">
        <f t="shared" si="68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6"/>
        <v>0</v>
      </c>
      <c r="AF214" s="10"/>
      <c r="AG214" s="10"/>
      <c r="AH214" s="10"/>
      <c r="AI214" s="12">
        <f t="shared" si="69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7"/>
        <v>0</v>
      </c>
      <c r="T215" s="10"/>
      <c r="U215" s="10"/>
      <c r="V215" s="10"/>
      <c r="W215" s="12">
        <f t="shared" si="68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6"/>
        <v>0</v>
      </c>
      <c r="AF215" s="10"/>
      <c r="AG215" s="10"/>
      <c r="AH215" s="10"/>
      <c r="AI215" s="12">
        <f t="shared" si="69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8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9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0">SUM(D217:E217)</f>
        <v>0</v>
      </c>
      <c r="H217" s="10"/>
      <c r="I217" s="10"/>
      <c r="J217" s="10"/>
      <c r="K217" s="12">
        <f t="shared" ref="K217" si="71">SUM(G217:J217)</f>
        <v>0</v>
      </c>
      <c r="M217" s="10"/>
      <c r="N217" s="30"/>
      <c r="O217" s="31"/>
      <c r="P217" s="47"/>
      <c r="Q217" s="31"/>
      <c r="R217" s="31"/>
      <c r="S217" s="32">
        <f t="shared" ref="S217" si="72">SUM(P217:Q217)</f>
        <v>0</v>
      </c>
      <c r="T217" s="10"/>
      <c r="U217" s="10"/>
      <c r="V217" s="10"/>
      <c r="W217" s="12">
        <f t="shared" si="68"/>
        <v>0</v>
      </c>
      <c r="Y217" s="10"/>
      <c r="Z217" s="30"/>
      <c r="AA217" s="31"/>
      <c r="AB217" s="47"/>
      <c r="AC217" s="31"/>
      <c r="AD217" s="31"/>
      <c r="AE217" s="32">
        <f t="shared" ref="AE217" si="73">SUM(AB217:AC217)</f>
        <v>0</v>
      </c>
      <c r="AF217" s="10"/>
      <c r="AG217" s="10"/>
      <c r="AH217" s="10"/>
      <c r="AI217" s="12">
        <f t="shared" si="69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8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9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89328</v>
      </c>
      <c r="E220" s="38">
        <f t="shared" ref="E220:F220" si="74">SUM(E177:E217)</f>
        <v>0</v>
      </c>
      <c r="F220" s="38">
        <f t="shared" si="74"/>
        <v>0</v>
      </c>
      <c r="G220" s="38">
        <f>SUM(G177:G219)</f>
        <v>89328</v>
      </c>
      <c r="H220" s="4"/>
      <c r="I220" s="39">
        <f>SUM(I177:I219)</f>
        <v>918</v>
      </c>
      <c r="J220" s="39">
        <f>SUM(J177:J219)</f>
        <v>0</v>
      </c>
      <c r="K220" s="40">
        <f>SUM(K177:K219)</f>
        <v>90246</v>
      </c>
      <c r="N220" s="57"/>
      <c r="O220" s="57"/>
      <c r="P220" s="38">
        <f>SUM(P177:P219)</f>
        <v>133736</v>
      </c>
      <c r="Q220" s="38">
        <f>SUM(Q177:Q201)</f>
        <v>-656</v>
      </c>
      <c r="R220" s="38">
        <f>SUM(R177:R201)</f>
        <v>0</v>
      </c>
      <c r="S220" s="38">
        <f>SUM(S177:S219)</f>
        <v>133080</v>
      </c>
      <c r="T220" s="4"/>
      <c r="U220" s="41">
        <f>SUM(U177:U219)</f>
        <v>159</v>
      </c>
      <c r="V220" s="41">
        <f>SUM(V177:V201)</f>
        <v>0</v>
      </c>
      <c r="W220" s="42">
        <f>SUM(W177:W219)</f>
        <v>133239</v>
      </c>
      <c r="Z220" s="57"/>
      <c r="AA220" s="57"/>
      <c r="AB220" s="38">
        <f>SUM(AB177:AB219)</f>
        <v>553866</v>
      </c>
      <c r="AC220" s="38">
        <f>SUM(AC177:AC201)</f>
        <v>-2610</v>
      </c>
      <c r="AD220" s="38">
        <f>SUM(AD177:AD201)</f>
        <v>0</v>
      </c>
      <c r="AE220" s="38">
        <f>SUM(AE177:AE219)</f>
        <v>551256</v>
      </c>
      <c r="AF220" s="4"/>
      <c r="AG220" s="41">
        <f>SUM(AG177:AG219)</f>
        <v>31176</v>
      </c>
      <c r="AH220" s="41">
        <f>SUM(AH177:AH201)</f>
        <v>0</v>
      </c>
      <c r="AI220" s="42">
        <f>SUM(AI177:AI219)</f>
        <v>582432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9"/>
      <c r="O222" s="89"/>
      <c r="P222" s="89"/>
      <c r="Q222" s="89"/>
      <c r="R222" s="89"/>
      <c r="S222" s="89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s="62"/>
      <c r="N223" s="89"/>
      <c r="O223" s="89"/>
      <c r="P223" s="89"/>
      <c r="Q223" s="89"/>
      <c r="R223" s="89"/>
      <c r="S223" s="89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9"/>
      <c r="O224" s="89"/>
      <c r="P224" s="89"/>
      <c r="Q224" s="89"/>
      <c r="R224" s="89"/>
      <c r="S224" s="89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63"/>
      <c r="N225" s="89"/>
      <c r="O225" s="89"/>
      <c r="P225" s="89"/>
      <c r="Q225" s="89"/>
      <c r="R225" s="89"/>
      <c r="S225" s="89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9"/>
      <c r="O226" s="89"/>
      <c r="P226" s="89"/>
      <c r="Q226" s="89"/>
      <c r="R226" s="89"/>
      <c r="S226" s="89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52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s="62"/>
      <c r="N227" s="89"/>
      <c r="O227" s="89"/>
      <c r="P227" s="89"/>
      <c r="Q227" s="89"/>
      <c r="R227" s="89"/>
      <c r="S227" s="89"/>
      <c r="T227" s="62"/>
      <c r="U227" s="89"/>
      <c r="V227" s="74"/>
      <c r="W227" s="62"/>
      <c r="Y227" t="s">
        <v>52</v>
      </c>
      <c r="Z227" s="57"/>
      <c r="AA227" s="57"/>
      <c r="AB227" s="57"/>
      <c r="AC227" s="57"/>
      <c r="AD227" s="57"/>
      <c r="AE227" s="57"/>
      <c r="AG227" s="57" t="s">
        <v>15</v>
      </c>
      <c r="AH227" s="19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53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64"/>
      <c r="N228" s="89"/>
      <c r="O228" s="89"/>
      <c r="P228" s="89"/>
      <c r="Q228" s="89"/>
      <c r="R228" s="89"/>
      <c r="S228" s="89"/>
      <c r="T228" s="62"/>
      <c r="U228" s="65"/>
      <c r="V228" s="65"/>
      <c r="W228" s="62"/>
      <c r="Y228" s="21" t="s">
        <v>53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9"/>
      <c r="O229" s="89"/>
      <c r="P229" s="89"/>
      <c r="Q229" s="89"/>
      <c r="R229" s="89"/>
      <c r="S229" s="89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1" t="s">
        <v>17</v>
      </c>
      <c r="E230" s="111"/>
      <c r="F230" s="95"/>
      <c r="G230" s="27"/>
      <c r="I230" s="114" t="s">
        <v>18</v>
      </c>
      <c r="J230" s="115"/>
      <c r="K230" s="112" t="s">
        <v>19</v>
      </c>
      <c r="M230" s="62"/>
      <c r="N230" s="65"/>
      <c r="O230" s="89"/>
      <c r="P230" s="110"/>
      <c r="Q230" s="110"/>
      <c r="R230" s="89"/>
      <c r="S230" s="89"/>
      <c r="T230" s="62"/>
      <c r="U230" s="110"/>
      <c r="V230" s="110"/>
      <c r="W230" s="109"/>
      <c r="Z230" s="25"/>
      <c r="AA230" s="26"/>
      <c r="AB230" s="111" t="s">
        <v>17</v>
      </c>
      <c r="AC230" s="111"/>
      <c r="AD230" s="95"/>
      <c r="AE230" s="27"/>
      <c r="AG230" s="114" t="s">
        <v>18</v>
      </c>
      <c r="AH230" s="115"/>
      <c r="AI230" s="112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3"/>
      <c r="M231" s="62"/>
      <c r="N231" s="89"/>
      <c r="O231" s="89"/>
      <c r="P231" s="81"/>
      <c r="Q231" s="83"/>
      <c r="R231" s="83"/>
      <c r="S231" s="83"/>
      <c r="T231" s="62"/>
      <c r="U231" s="88"/>
      <c r="V231" s="88"/>
      <c r="W231" s="109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45849</v>
      </c>
      <c r="C232" s="91">
        <v>6955</v>
      </c>
      <c r="D232" s="32">
        <f>626*38+229</f>
        <v>24017</v>
      </c>
      <c r="E232" s="32"/>
      <c r="F232" s="32"/>
      <c r="G232" s="32">
        <f t="shared" ref="G232:G265" si="75">SUM(D232:E232)</f>
        <v>24017</v>
      </c>
      <c r="H232" s="12"/>
      <c r="I232" s="12">
        <v>36</v>
      </c>
      <c r="J232" s="12"/>
      <c r="K232" s="12">
        <f t="shared" ref="K232:K265" si="76">SUM(G232:J232)</f>
        <v>24053</v>
      </c>
      <c r="M232" s="62"/>
      <c r="N232" s="66"/>
      <c r="O232" s="89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45849</v>
      </c>
      <c r="AA232" s="31">
        <v>6887</v>
      </c>
      <c r="AB232" s="32">
        <f>626*158+596*108+2*1005</f>
        <v>165286</v>
      </c>
      <c r="AC232" s="32">
        <v>-1608</v>
      </c>
      <c r="AD232" s="32"/>
      <c r="AE232" s="32">
        <f>SUM(AB232:AC232)</f>
        <v>163678</v>
      </c>
      <c r="AF232" s="12"/>
      <c r="AG232" s="12"/>
      <c r="AH232" s="12"/>
      <c r="AI232" s="12">
        <f>SUM(AE232:AH232)</f>
        <v>163678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45849</v>
      </c>
      <c r="C233" s="91">
        <f>C232+1</f>
        <v>6956</v>
      </c>
      <c r="D233" s="32">
        <f>626*5+614*2+48</f>
        <v>4406</v>
      </c>
      <c r="E233" s="32"/>
      <c r="F233" s="32"/>
      <c r="G233" s="32">
        <f t="shared" si="75"/>
        <v>4406</v>
      </c>
      <c r="H233" s="12"/>
      <c r="I233" s="12"/>
      <c r="J233" s="12"/>
      <c r="K233" s="12">
        <f t="shared" si="76"/>
        <v>4406</v>
      </c>
      <c r="M233" s="62"/>
      <c r="N233" s="66"/>
      <c r="O233" s="89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45849</v>
      </c>
      <c r="AA233" s="31">
        <f>AA232+1</f>
        <v>6888</v>
      </c>
      <c r="AB233" s="32">
        <f>626*5+614+47.5</f>
        <v>3791.5</v>
      </c>
      <c r="AC233" s="32"/>
      <c r="AD233" s="32"/>
      <c r="AE233" s="32">
        <f t="shared" ref="AE233:AE235" si="77">SUM(AB233:AC233)</f>
        <v>3791.5</v>
      </c>
      <c r="AF233" s="12"/>
      <c r="AG233" s="12"/>
      <c r="AH233" s="12"/>
      <c r="AI233" s="12">
        <f t="shared" ref="AI233:AI264" si="78">SUM(AE233:AH233)</f>
        <v>3791.5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45849</v>
      </c>
      <c r="C234" s="91">
        <f t="shared" ref="C234:C248" si="79">C233+1</f>
        <v>6957</v>
      </c>
      <c r="D234" s="33">
        <f>1252+19</f>
        <v>1271</v>
      </c>
      <c r="E234" s="33"/>
      <c r="F234" s="33"/>
      <c r="G234" s="33">
        <f t="shared" si="75"/>
        <v>1271</v>
      </c>
      <c r="H234" s="34"/>
      <c r="I234" s="34"/>
      <c r="J234" s="34"/>
      <c r="K234" s="34">
        <f t="shared" si="76"/>
        <v>1271</v>
      </c>
      <c r="M234" s="62"/>
      <c r="N234" s="66"/>
      <c r="O234" s="89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45849</v>
      </c>
      <c r="AA234" s="31">
        <f t="shared" ref="AA234:AA236" si="80">AA233+1</f>
        <v>6889</v>
      </c>
      <c r="AB234" s="33">
        <f>626*38+596*10+832</f>
        <v>30580</v>
      </c>
      <c r="AC234" s="33"/>
      <c r="AD234" s="32"/>
      <c r="AE234" s="32">
        <f t="shared" si="77"/>
        <v>30580</v>
      </c>
      <c r="AF234" s="12"/>
      <c r="AG234" s="12">
        <v>5328</v>
      </c>
      <c r="AH234" s="12"/>
      <c r="AI234" s="12">
        <f t="shared" si="78"/>
        <v>35908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45849</v>
      </c>
      <c r="C235" s="91">
        <f t="shared" si="79"/>
        <v>6958</v>
      </c>
      <c r="D235" s="32">
        <f>2504+38</f>
        <v>2542</v>
      </c>
      <c r="E235" s="32"/>
      <c r="F235" s="32"/>
      <c r="G235" s="32">
        <f t="shared" si="75"/>
        <v>2542</v>
      </c>
      <c r="H235" s="12"/>
      <c r="I235" s="12"/>
      <c r="J235" s="12"/>
      <c r="K235" s="12">
        <f t="shared" si="76"/>
        <v>2542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45849</v>
      </c>
      <c r="AA235" s="31">
        <f t="shared" si="80"/>
        <v>6890</v>
      </c>
      <c r="AB235" s="32">
        <f>7512+614+4768+852+229</f>
        <v>13975</v>
      </c>
      <c r="AC235" s="32"/>
      <c r="AD235" s="32"/>
      <c r="AE235" s="32">
        <f t="shared" si="77"/>
        <v>13975</v>
      </c>
      <c r="AF235" s="12"/>
      <c r="AH235" s="12">
        <v>-2109</v>
      </c>
      <c r="AI235" s="12">
        <f t="shared" si="78"/>
        <v>11866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45849</v>
      </c>
      <c r="C236" s="91">
        <f t="shared" si="79"/>
        <v>6959</v>
      </c>
      <c r="D236" s="32">
        <f>3756+596+57</f>
        <v>4409</v>
      </c>
      <c r="E236" s="32"/>
      <c r="F236" s="32"/>
      <c r="G236" s="32">
        <f t="shared" si="75"/>
        <v>4409</v>
      </c>
      <c r="H236" s="12"/>
      <c r="I236" s="12"/>
      <c r="J236" s="12"/>
      <c r="K236" s="12">
        <f t="shared" si="76"/>
        <v>4409</v>
      </c>
      <c r="M236" s="62"/>
      <c r="N236" s="66"/>
      <c r="O236" s="89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45849</v>
      </c>
      <c r="AA236" s="31">
        <f t="shared" si="80"/>
        <v>6891</v>
      </c>
      <c r="AB236" s="32">
        <f>5960</f>
        <v>5960</v>
      </c>
      <c r="AC236" s="32"/>
      <c r="AD236" s="32"/>
      <c r="AE236" s="32">
        <f t="shared" ref="AE236:AE270" si="81">SUM(AB236:AC236)</f>
        <v>5960</v>
      </c>
      <c r="AF236" s="12"/>
      <c r="AG236" s="12"/>
      <c r="AH236" s="12"/>
      <c r="AI236" s="12">
        <f t="shared" si="78"/>
        <v>5960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45849</v>
      </c>
      <c r="C237" s="91">
        <f t="shared" si="79"/>
        <v>6960</v>
      </c>
      <c r="D237" s="32">
        <f>1878+28</f>
        <v>1906</v>
      </c>
      <c r="E237" s="32"/>
      <c r="F237" s="32"/>
      <c r="G237" s="32">
        <f t="shared" si="75"/>
        <v>1906</v>
      </c>
      <c r="H237" s="12"/>
      <c r="I237" s="12"/>
      <c r="J237" s="12"/>
      <c r="K237" s="12">
        <f t="shared" si="76"/>
        <v>1906</v>
      </c>
      <c r="M237" s="62"/>
      <c r="N237" s="66"/>
      <c r="O237" s="89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11" t="s">
        <v>27</v>
      </c>
      <c r="AB237" s="32"/>
      <c r="AC237" s="32"/>
      <c r="AD237" s="32"/>
      <c r="AE237" s="32">
        <f t="shared" si="81"/>
        <v>0</v>
      </c>
      <c r="AF237" s="12"/>
      <c r="AG237" s="12"/>
      <c r="AH237" s="10"/>
      <c r="AI237" s="12">
        <f t="shared" si="7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45849</v>
      </c>
      <c r="C238" s="91">
        <f t="shared" si="79"/>
        <v>6961</v>
      </c>
      <c r="D238" s="32">
        <f>19406+614+7748</f>
        <v>27768</v>
      </c>
      <c r="E238" s="32"/>
      <c r="F238" s="32"/>
      <c r="G238" s="32">
        <f t="shared" si="75"/>
        <v>27768</v>
      </c>
      <c r="H238" s="12"/>
      <c r="I238" s="12"/>
      <c r="J238" s="12">
        <v>-1110</v>
      </c>
      <c r="K238" s="12">
        <f t="shared" si="76"/>
        <v>26658</v>
      </c>
      <c r="M238" s="62"/>
      <c r="N238" s="66"/>
      <c r="O238" s="89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31"/>
      <c r="AB238" s="32"/>
      <c r="AC238" s="32"/>
      <c r="AD238" s="32"/>
      <c r="AE238" s="32">
        <f t="shared" si="81"/>
        <v>0</v>
      </c>
      <c r="AF238" s="12"/>
      <c r="AG238" s="58"/>
      <c r="AH238" s="12"/>
      <c r="AI238" s="12">
        <f t="shared" si="7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45849</v>
      </c>
      <c r="C239" s="91">
        <f t="shared" si="79"/>
        <v>6962</v>
      </c>
      <c r="D239" s="32">
        <f>3756+1192</f>
        <v>4948</v>
      </c>
      <c r="E239" s="32"/>
      <c r="F239" s="32"/>
      <c r="G239" s="32">
        <f t="shared" si="75"/>
        <v>4948</v>
      </c>
      <c r="H239" s="12"/>
      <c r="I239" s="12">
        <v>888</v>
      </c>
      <c r="J239" s="12"/>
      <c r="K239" s="12">
        <f t="shared" si="76"/>
        <v>5836</v>
      </c>
      <c r="M239" s="62"/>
      <c r="N239" s="66"/>
      <c r="O239" s="89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81"/>
        <v>0</v>
      </c>
      <c r="AF239" s="12"/>
      <c r="AG239" s="12"/>
      <c r="AH239" s="12"/>
      <c r="AI239" s="12">
        <f t="shared" si="7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45849</v>
      </c>
      <c r="C240" s="91">
        <f t="shared" si="79"/>
        <v>6963</v>
      </c>
      <c r="D240" s="32">
        <f>6260+614+1788+123</f>
        <v>8785</v>
      </c>
      <c r="E240" s="32"/>
      <c r="F240" s="32"/>
      <c r="G240" s="32">
        <f t="shared" si="75"/>
        <v>8785</v>
      </c>
      <c r="H240" s="12"/>
      <c r="I240" s="12"/>
      <c r="J240" s="12"/>
      <c r="K240" s="12">
        <f t="shared" si="76"/>
        <v>8785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B240" s="32"/>
      <c r="AC240" s="32"/>
      <c r="AD240" s="32"/>
      <c r="AE240" s="32">
        <f t="shared" si="81"/>
        <v>0</v>
      </c>
      <c r="AF240" s="12"/>
      <c r="AG240" s="58"/>
      <c r="AH240" s="12"/>
      <c r="AI240" s="12">
        <f t="shared" si="7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45849</v>
      </c>
      <c r="C241" s="91">
        <f t="shared" si="79"/>
        <v>6964</v>
      </c>
      <c r="D241" s="32">
        <f>1252+19</f>
        <v>1271</v>
      </c>
      <c r="E241" s="32"/>
      <c r="F241" s="32"/>
      <c r="G241" s="32">
        <f t="shared" si="75"/>
        <v>1271</v>
      </c>
      <c r="H241" s="12"/>
      <c r="I241" s="12">
        <v>12</v>
      </c>
      <c r="J241" s="12"/>
      <c r="K241" s="12">
        <f t="shared" si="76"/>
        <v>1283</v>
      </c>
      <c r="M241" s="62"/>
      <c r="N241" s="66"/>
      <c r="O241" s="89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81"/>
        <v>0</v>
      </c>
      <c r="AF241" s="12"/>
      <c r="AG241" s="12"/>
      <c r="AH241" s="12"/>
      <c r="AI241" s="12">
        <f t="shared" si="7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45849</v>
      </c>
      <c r="C242" s="91">
        <f t="shared" si="79"/>
        <v>6965</v>
      </c>
      <c r="D242" s="32">
        <f>43820+614+1826+4768+852+6740+1664+1145+1300</f>
        <v>62729</v>
      </c>
      <c r="E242" s="32"/>
      <c r="F242" s="32"/>
      <c r="G242" s="32">
        <f t="shared" si="75"/>
        <v>62729</v>
      </c>
      <c r="H242" s="12"/>
      <c r="I242" s="12">
        <v>240</v>
      </c>
      <c r="J242" s="12"/>
      <c r="K242" s="12">
        <f t="shared" si="76"/>
        <v>62969</v>
      </c>
      <c r="M242" s="62"/>
      <c r="N242" s="66"/>
      <c r="O242" s="89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A242" s="31"/>
      <c r="AB242" s="32"/>
      <c r="AC242" s="32"/>
      <c r="AD242" s="32"/>
      <c r="AE242" s="32">
        <f t="shared" si="81"/>
        <v>0</v>
      </c>
      <c r="AF242" s="12"/>
      <c r="AG242" s="12"/>
      <c r="AH242" s="12"/>
      <c r="AI242" s="12">
        <f t="shared" si="7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45849</v>
      </c>
      <c r="C243" s="91">
        <f t="shared" si="79"/>
        <v>6966</v>
      </c>
      <c r="D243" s="32">
        <f>12520+614+2980+229</f>
        <v>16343</v>
      </c>
      <c r="E243" s="32"/>
      <c r="F243" s="32"/>
      <c r="G243" s="32">
        <f t="shared" si="75"/>
        <v>16343</v>
      </c>
      <c r="H243" s="12"/>
      <c r="I243" s="12">
        <v>36</v>
      </c>
      <c r="J243" s="10"/>
      <c r="K243" s="12">
        <f t="shared" si="76"/>
        <v>16379</v>
      </c>
      <c r="M243" s="62"/>
      <c r="N243" s="66"/>
      <c r="O243" s="89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81"/>
        <v>0</v>
      </c>
      <c r="AF243" s="12"/>
      <c r="AG243" s="12"/>
      <c r="AH243" s="12"/>
      <c r="AI243" s="12">
        <f t="shared" si="7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45849</v>
      </c>
      <c r="C244" s="91">
        <f t="shared" si="79"/>
        <v>6967</v>
      </c>
      <c r="D244" s="32">
        <f>10016+1842+852+832</f>
        <v>13542</v>
      </c>
      <c r="E244" s="32"/>
      <c r="F244" s="32"/>
      <c r="G244" s="32">
        <f t="shared" si="75"/>
        <v>13542</v>
      </c>
      <c r="H244" s="12"/>
      <c r="I244" s="12">
        <v>51</v>
      </c>
      <c r="J244" s="12"/>
      <c r="K244" s="12">
        <f t="shared" si="76"/>
        <v>13593</v>
      </c>
      <c r="M244" s="62"/>
      <c r="N244" s="66"/>
      <c r="O244" s="89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81"/>
        <v>0</v>
      </c>
      <c r="AF244" s="12"/>
      <c r="AG244" s="12"/>
      <c r="AH244" s="12"/>
      <c r="AI244" s="12">
        <f t="shared" si="7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45849</v>
      </c>
      <c r="C245" s="91">
        <f t="shared" si="79"/>
        <v>6968</v>
      </c>
      <c r="D245" s="32">
        <f>3130+2739</f>
        <v>5869</v>
      </c>
      <c r="E245" s="32"/>
      <c r="F245" s="32"/>
      <c r="G245" s="32">
        <f t="shared" si="75"/>
        <v>5869</v>
      </c>
      <c r="H245" s="12"/>
      <c r="I245" s="12"/>
      <c r="J245" s="12"/>
      <c r="K245" s="12">
        <f t="shared" si="76"/>
        <v>5869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81"/>
        <v>0</v>
      </c>
      <c r="AF245" s="12"/>
      <c r="AG245" s="12"/>
      <c r="AH245" s="12"/>
      <c r="AI245" s="12">
        <f t="shared" si="7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45849</v>
      </c>
      <c r="C246" s="91">
        <f t="shared" si="79"/>
        <v>6969</v>
      </c>
      <c r="D246" s="32">
        <f>2504</f>
        <v>2504</v>
      </c>
      <c r="E246" s="32"/>
      <c r="F246" s="32"/>
      <c r="G246" s="32">
        <f t="shared" si="75"/>
        <v>2504</v>
      </c>
      <c r="H246" s="12"/>
      <c r="I246" s="12"/>
      <c r="J246" s="12"/>
      <c r="K246" s="12">
        <f t="shared" si="76"/>
        <v>2504</v>
      </c>
      <c r="M246" s="62"/>
      <c r="N246" s="66"/>
      <c r="O246" s="89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81"/>
        <v>0</v>
      </c>
      <c r="AF246" s="12"/>
      <c r="AG246" s="12"/>
      <c r="AH246" s="12"/>
      <c r="AI246" s="12">
        <f t="shared" si="7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45849</v>
      </c>
      <c r="C247" s="91">
        <f t="shared" si="79"/>
        <v>6970</v>
      </c>
      <c r="D247" s="32">
        <f>12520+190</f>
        <v>12710</v>
      </c>
      <c r="E247" s="32"/>
      <c r="F247" s="32"/>
      <c r="G247" s="32">
        <f t="shared" si="75"/>
        <v>12710</v>
      </c>
      <c r="H247" s="12"/>
      <c r="I247" s="12"/>
      <c r="J247" s="12"/>
      <c r="K247" s="12">
        <f t="shared" si="76"/>
        <v>12710</v>
      </c>
      <c r="M247" s="62"/>
      <c r="N247" s="66"/>
      <c r="O247" s="89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81"/>
        <v>0</v>
      </c>
      <c r="AF247" s="12"/>
      <c r="AG247" s="12"/>
      <c r="AH247" s="12"/>
      <c r="AI247" s="12">
        <f t="shared" si="7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45849</v>
      </c>
      <c r="C248" s="91">
        <f t="shared" si="79"/>
        <v>6971</v>
      </c>
      <c r="D248" s="32">
        <f>8138+614</f>
        <v>8752</v>
      </c>
      <c r="E248" s="32"/>
      <c r="F248" s="32"/>
      <c r="G248" s="32">
        <f t="shared" si="75"/>
        <v>8752</v>
      </c>
      <c r="H248" s="12"/>
      <c r="I248" s="12"/>
      <c r="J248" s="12"/>
      <c r="K248" s="12">
        <f t="shared" si="76"/>
        <v>8752</v>
      </c>
      <c r="M248" s="62"/>
      <c r="N248" s="66"/>
      <c r="O248" s="89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81"/>
        <v>0</v>
      </c>
      <c r="AF248" s="12"/>
      <c r="AG248" s="12"/>
      <c r="AH248" s="12"/>
      <c r="AI248" s="12">
        <f t="shared" si="7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11" t="s">
        <v>27</v>
      </c>
      <c r="D249" s="32"/>
      <c r="E249" s="32"/>
      <c r="F249" s="32"/>
      <c r="G249" s="32">
        <f t="shared" si="75"/>
        <v>0</v>
      </c>
      <c r="H249" s="12"/>
      <c r="I249" s="12"/>
      <c r="J249" s="12"/>
      <c r="K249" s="12">
        <f t="shared" si="76"/>
        <v>0</v>
      </c>
      <c r="M249" s="62"/>
      <c r="N249" s="66"/>
      <c r="O249" s="89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81"/>
        <v>0</v>
      </c>
      <c r="AF249" s="12"/>
      <c r="AG249" s="12"/>
      <c r="AH249" s="12"/>
      <c r="AI249" s="12">
        <f t="shared" si="7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5"/>
        <v>0</v>
      </c>
      <c r="H250" s="12"/>
      <c r="I250" s="12"/>
      <c r="J250" s="12"/>
      <c r="K250" s="12">
        <f t="shared" si="76"/>
        <v>0</v>
      </c>
      <c r="M250" s="62"/>
      <c r="N250" s="66"/>
      <c r="O250" s="89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81"/>
        <v>0</v>
      </c>
      <c r="AF250" s="12"/>
      <c r="AG250" s="12"/>
      <c r="AH250" s="12"/>
      <c r="AI250" s="12">
        <f t="shared" si="7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5"/>
        <v>0</v>
      </c>
      <c r="H251" s="12"/>
      <c r="I251" s="12"/>
      <c r="J251" s="12"/>
      <c r="K251" s="12">
        <f t="shared" si="76"/>
        <v>0</v>
      </c>
      <c r="M251" s="62"/>
      <c r="N251" s="66"/>
      <c r="O251" s="89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81"/>
        <v>0</v>
      </c>
      <c r="AF251" s="12"/>
      <c r="AG251" s="12"/>
      <c r="AH251" s="12"/>
      <c r="AI251" s="12">
        <f t="shared" si="7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D252" s="32"/>
      <c r="E252" s="32"/>
      <c r="F252" s="32"/>
      <c r="G252" s="32">
        <f t="shared" si="75"/>
        <v>0</v>
      </c>
      <c r="H252" s="10"/>
      <c r="I252" s="10"/>
      <c r="J252" s="10"/>
      <c r="K252" s="12">
        <f t="shared" si="76"/>
        <v>0</v>
      </c>
      <c r="M252" s="62"/>
      <c r="N252" s="66"/>
      <c r="O252" s="89"/>
      <c r="P252" s="67"/>
      <c r="Q252" s="89"/>
      <c r="R252" s="89"/>
      <c r="S252" s="60"/>
      <c r="T252" s="62"/>
      <c r="U252" s="62"/>
      <c r="V252" s="62"/>
      <c r="W252" s="61"/>
      <c r="Y252" s="10">
        <v>21</v>
      </c>
      <c r="Z252" s="30"/>
      <c r="AB252" s="46"/>
      <c r="AC252" s="31"/>
      <c r="AD252" s="31"/>
      <c r="AE252" s="32">
        <f t="shared" si="81"/>
        <v>0</v>
      </c>
      <c r="AF252" s="10"/>
      <c r="AG252" s="10"/>
      <c r="AH252" s="10"/>
      <c r="AI252" s="12">
        <f t="shared" si="7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5"/>
        <v>0</v>
      </c>
      <c r="H253" s="10"/>
      <c r="I253" s="10"/>
      <c r="J253" s="10"/>
      <c r="K253" s="12">
        <f t="shared" si="76"/>
        <v>0</v>
      </c>
      <c r="M253" s="62"/>
      <c r="N253" s="66"/>
      <c r="O253" s="89"/>
      <c r="P253" s="68"/>
      <c r="Q253" s="89"/>
      <c r="R253" s="89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81"/>
        <v>0</v>
      </c>
      <c r="AF253" s="10"/>
      <c r="AG253" s="10"/>
      <c r="AH253" s="10"/>
      <c r="AI253" s="12">
        <f t="shared" si="7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91"/>
      <c r="D254" s="32"/>
      <c r="E254" s="32"/>
      <c r="F254" s="32"/>
      <c r="G254" s="32">
        <f t="shared" si="75"/>
        <v>0</v>
      </c>
      <c r="H254" s="10"/>
      <c r="I254" s="10"/>
      <c r="J254" s="12"/>
      <c r="K254" s="12">
        <f t="shared" si="76"/>
        <v>0</v>
      </c>
      <c r="M254" s="62"/>
      <c r="N254" s="66"/>
      <c r="O254" s="89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C254" s="31"/>
      <c r="AE254" s="32">
        <f t="shared" si="81"/>
        <v>0</v>
      </c>
      <c r="AF254" s="10"/>
      <c r="AG254" s="10"/>
      <c r="AH254" s="10"/>
      <c r="AI254" s="12">
        <f t="shared" si="7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91"/>
      <c r="D255" s="32"/>
      <c r="E255" s="32"/>
      <c r="F255" s="32"/>
      <c r="G255" s="32">
        <f t="shared" si="75"/>
        <v>0</v>
      </c>
      <c r="H255" s="10"/>
      <c r="I255" s="10"/>
      <c r="J255" s="10"/>
      <c r="K255" s="12">
        <f t="shared" si="76"/>
        <v>0</v>
      </c>
      <c r="M255" s="62"/>
      <c r="N255" s="66"/>
      <c r="O255" s="89"/>
      <c r="P255" s="69"/>
      <c r="Q255" s="89"/>
      <c r="R255" s="89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81"/>
        <v>0</v>
      </c>
      <c r="AF255" s="10"/>
      <c r="AG255" s="10"/>
      <c r="AH255" s="10"/>
      <c r="AI255" s="12">
        <f t="shared" si="7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57"/>
      <c r="D256" s="32"/>
      <c r="E256" s="32"/>
      <c r="F256" s="32"/>
      <c r="G256" s="32">
        <f t="shared" si="75"/>
        <v>0</v>
      </c>
      <c r="H256" s="10"/>
      <c r="I256" s="10"/>
      <c r="J256" s="10"/>
      <c r="K256" s="12">
        <f t="shared" si="76"/>
        <v>0</v>
      </c>
      <c r="M256" s="62"/>
      <c r="N256" s="66"/>
      <c r="O256" s="89"/>
      <c r="P256" s="69"/>
      <c r="Q256" s="89"/>
      <c r="R256" s="89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81"/>
        <v>0</v>
      </c>
      <c r="AF256" s="10"/>
      <c r="AG256" s="10"/>
      <c r="AH256" s="10"/>
      <c r="AI256" s="12">
        <f t="shared" si="7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91"/>
      <c r="D257" s="32"/>
      <c r="E257" s="32"/>
      <c r="F257" s="32"/>
      <c r="G257" s="32">
        <f t="shared" si="75"/>
        <v>0</v>
      </c>
      <c r="H257" s="10"/>
      <c r="I257" s="10"/>
      <c r="J257" s="10"/>
      <c r="K257" s="12">
        <f t="shared" si="76"/>
        <v>0</v>
      </c>
      <c r="M257" s="62"/>
      <c r="N257" s="66"/>
      <c r="O257" s="89"/>
      <c r="P257" s="69"/>
      <c r="Q257" s="89"/>
      <c r="R257" s="89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81"/>
        <v>0</v>
      </c>
      <c r="AF257" s="10"/>
      <c r="AG257" s="10"/>
      <c r="AH257" s="10"/>
      <c r="AI257" s="12">
        <f t="shared" si="7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91"/>
      <c r="D258" s="32"/>
      <c r="E258" s="32"/>
      <c r="F258" s="32"/>
      <c r="G258" s="32">
        <f t="shared" si="75"/>
        <v>0</v>
      </c>
      <c r="H258" s="10"/>
      <c r="I258" s="10"/>
      <c r="J258" s="10"/>
      <c r="K258" s="12">
        <f t="shared" si="76"/>
        <v>0</v>
      </c>
      <c r="M258" s="62"/>
      <c r="N258" s="66"/>
      <c r="O258" s="89"/>
      <c r="P258" s="69"/>
      <c r="Q258" s="89"/>
      <c r="R258" s="89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81"/>
        <v>0</v>
      </c>
      <c r="AF258" s="10"/>
      <c r="AG258" s="10"/>
      <c r="AH258" s="10"/>
      <c r="AI258" s="12">
        <f t="shared" si="7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91"/>
      <c r="D259" s="32"/>
      <c r="E259" s="32"/>
      <c r="F259" s="32"/>
      <c r="G259" s="32">
        <f t="shared" si="75"/>
        <v>0</v>
      </c>
      <c r="H259" s="10"/>
      <c r="I259" s="10"/>
      <c r="J259" s="10"/>
      <c r="K259" s="12">
        <f t="shared" si="76"/>
        <v>0</v>
      </c>
      <c r="M259" s="62"/>
      <c r="N259" s="66"/>
      <c r="O259" s="89"/>
      <c r="P259" s="69"/>
      <c r="Q259" s="89"/>
      <c r="R259" s="89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81"/>
        <v>0</v>
      </c>
      <c r="AF259" s="10"/>
      <c r="AG259" s="10"/>
      <c r="AH259" s="10"/>
      <c r="AI259" s="12">
        <f t="shared" si="7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91"/>
      <c r="D260" s="32"/>
      <c r="E260" s="32"/>
      <c r="F260" s="32"/>
      <c r="G260" s="32">
        <f t="shared" si="75"/>
        <v>0</v>
      </c>
      <c r="H260" s="10"/>
      <c r="I260" s="10"/>
      <c r="J260" s="10"/>
      <c r="K260" s="12">
        <f t="shared" si="76"/>
        <v>0</v>
      </c>
      <c r="M260" s="62"/>
      <c r="N260" s="66"/>
      <c r="O260" s="62"/>
      <c r="P260" s="69"/>
      <c r="Q260" s="89"/>
      <c r="R260" s="89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81"/>
        <v>0</v>
      </c>
      <c r="AF260" s="10"/>
      <c r="AG260" s="10"/>
      <c r="AH260" s="10"/>
      <c r="AI260" s="12">
        <f t="shared" si="7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91"/>
      <c r="D261" s="32"/>
      <c r="E261" s="32"/>
      <c r="F261" s="32"/>
      <c r="G261" s="32">
        <f t="shared" si="75"/>
        <v>0</v>
      </c>
      <c r="H261" s="10"/>
      <c r="I261" s="10"/>
      <c r="J261" s="10"/>
      <c r="K261" s="12">
        <f t="shared" si="76"/>
        <v>0</v>
      </c>
      <c r="M261" s="62"/>
      <c r="N261" s="66"/>
      <c r="O261" s="62"/>
      <c r="P261" s="69"/>
      <c r="Q261" s="89"/>
      <c r="R261" s="89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81"/>
        <v>0</v>
      </c>
      <c r="AF261" s="10"/>
      <c r="AG261" s="10"/>
      <c r="AH261" s="10"/>
      <c r="AI261" s="12">
        <f t="shared" si="7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91"/>
      <c r="D262" s="32"/>
      <c r="E262" s="32"/>
      <c r="F262" s="32"/>
      <c r="G262" s="32">
        <f t="shared" si="75"/>
        <v>0</v>
      </c>
      <c r="H262" s="10"/>
      <c r="I262" s="10"/>
      <c r="J262" s="10"/>
      <c r="K262" s="12">
        <f t="shared" si="76"/>
        <v>0</v>
      </c>
      <c r="M262" s="62"/>
      <c r="N262" s="66"/>
      <c r="O262" s="89"/>
      <c r="P262" s="69"/>
      <c r="Q262" s="89"/>
      <c r="R262" s="89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81"/>
        <v>0</v>
      </c>
      <c r="AF262" s="10"/>
      <c r="AG262" s="10"/>
      <c r="AH262" s="10"/>
      <c r="AI262" s="12">
        <f t="shared" si="7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91"/>
      <c r="D263" s="32"/>
      <c r="E263" s="32"/>
      <c r="F263" s="32"/>
      <c r="G263" s="32">
        <f t="shared" si="75"/>
        <v>0</v>
      </c>
      <c r="H263" s="10"/>
      <c r="I263" s="10"/>
      <c r="J263" s="10"/>
      <c r="K263" s="12">
        <f t="shared" si="76"/>
        <v>0</v>
      </c>
      <c r="M263" s="62"/>
      <c r="N263" s="66"/>
      <c r="O263" s="62"/>
      <c r="P263" s="69"/>
      <c r="Q263" s="89"/>
      <c r="R263" s="89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81"/>
        <v>0</v>
      </c>
      <c r="AF263" s="10"/>
      <c r="AG263" s="10"/>
      <c r="AH263" s="10"/>
      <c r="AI263" s="12">
        <f t="shared" si="7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91"/>
      <c r="D264" s="32"/>
      <c r="E264" s="32"/>
      <c r="F264" s="32"/>
      <c r="G264" s="32">
        <f t="shared" si="75"/>
        <v>0</v>
      </c>
      <c r="H264" s="10"/>
      <c r="I264" s="10"/>
      <c r="J264" s="10"/>
      <c r="K264" s="12">
        <f t="shared" si="76"/>
        <v>0</v>
      </c>
      <c r="M264" s="62"/>
      <c r="N264" s="66"/>
      <c r="O264" s="89"/>
      <c r="P264" s="69"/>
      <c r="Q264" s="89"/>
      <c r="R264" s="89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81"/>
        <v>0</v>
      </c>
      <c r="AF264" s="10"/>
      <c r="AG264" s="10"/>
      <c r="AH264" s="10"/>
      <c r="AI264" s="12">
        <f t="shared" si="7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91"/>
      <c r="D265" s="32"/>
      <c r="E265" s="32"/>
      <c r="F265" s="32"/>
      <c r="G265" s="32">
        <f t="shared" si="75"/>
        <v>0</v>
      </c>
      <c r="H265" s="10"/>
      <c r="I265" s="10"/>
      <c r="J265" s="10"/>
      <c r="K265" s="12">
        <f t="shared" si="76"/>
        <v>0</v>
      </c>
      <c r="M265" s="62"/>
      <c r="N265" s="66"/>
      <c r="O265" s="89"/>
      <c r="P265" s="69"/>
      <c r="Q265" s="89"/>
      <c r="R265" s="89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81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9"/>
      <c r="P266" s="69"/>
      <c r="Q266" s="89"/>
      <c r="R266" s="89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81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9"/>
      <c r="P267" s="69"/>
      <c r="Q267" s="89"/>
      <c r="R267" s="89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81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9"/>
      <c r="R268" s="89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81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9"/>
      <c r="P269" s="69"/>
      <c r="Q269" s="89"/>
      <c r="R269" s="89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81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9"/>
      <c r="P270" s="69"/>
      <c r="Q270" s="89"/>
      <c r="R270" s="89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81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9"/>
      <c r="R271" s="89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62"/>
      <c r="N272" s="66"/>
      <c r="O272" s="89"/>
      <c r="P272" s="69"/>
      <c r="Q272" s="89"/>
      <c r="R272" s="89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85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9"/>
      <c r="O273" s="89"/>
      <c r="P273" s="89"/>
      <c r="Q273" s="89"/>
      <c r="R273" s="89"/>
      <c r="S273" s="89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9"/>
      <c r="O274" s="89"/>
      <c r="P274" s="89"/>
      <c r="Q274" s="89"/>
      <c r="R274" s="89"/>
      <c r="S274" s="89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203772</v>
      </c>
      <c r="E275" s="38">
        <f t="shared" ref="E275:F275" si="86">SUM(E232:E272)</f>
        <v>0</v>
      </c>
      <c r="F275" s="38">
        <f t="shared" si="86"/>
        <v>0</v>
      </c>
      <c r="G275" s="38">
        <f>SUM(G232:G274)</f>
        <v>203772</v>
      </c>
      <c r="H275" s="4"/>
      <c r="I275" s="39">
        <f>SUM(I232:I274)</f>
        <v>1263</v>
      </c>
      <c r="J275" s="39">
        <f>SUM(J232:J274)</f>
        <v>-1110</v>
      </c>
      <c r="K275" s="40">
        <f>SUM(K232:K274)</f>
        <v>203925</v>
      </c>
      <c r="M275" s="62"/>
      <c r="N275" s="89"/>
      <c r="O275" s="89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219592.5</v>
      </c>
      <c r="AC275" s="38">
        <f>SUM(AC232:AC256)</f>
        <v>-1608</v>
      </c>
      <c r="AD275" s="38">
        <f>SUM(AD232:AD256)</f>
        <v>0</v>
      </c>
      <c r="AE275" s="38">
        <f>SUM(AE232:AE274)</f>
        <v>217984.5</v>
      </c>
      <c r="AF275" s="4"/>
      <c r="AG275" s="41">
        <f>SUM(AG232:AG274)</f>
        <v>5328</v>
      </c>
      <c r="AH275" s="41">
        <f>SUM(AH232:AH256)</f>
        <v>-2109</v>
      </c>
      <c r="AI275" s="42">
        <f>SUM(AI232:AI274)</f>
        <v>221203.5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34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34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34</v>
      </c>
      <c r="Z282" s="57"/>
      <c r="AA282" s="57"/>
      <c r="AB282" s="57"/>
      <c r="AC282" s="57"/>
      <c r="AD282" s="57"/>
      <c r="AE282" s="57"/>
      <c r="AG282" s="57" t="s">
        <v>15</v>
      </c>
      <c r="AH282" s="19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56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56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42</v>
      </c>
      <c r="W283" s="24"/>
      <c r="Y283" s="21" t="s">
        <v>56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1" t="s">
        <v>17</v>
      </c>
      <c r="E285" s="111"/>
      <c r="F285" s="96"/>
      <c r="G285" s="27"/>
      <c r="I285" s="114" t="s">
        <v>18</v>
      </c>
      <c r="J285" s="115"/>
      <c r="K285" s="112" t="s">
        <v>19</v>
      </c>
      <c r="N285" s="25"/>
      <c r="O285" s="26"/>
      <c r="P285" s="111" t="s">
        <v>17</v>
      </c>
      <c r="Q285" s="111"/>
      <c r="R285" s="96"/>
      <c r="S285" s="27"/>
      <c r="U285" s="114" t="s">
        <v>18</v>
      </c>
      <c r="V285" s="115"/>
      <c r="W285" s="112" t="s">
        <v>19</v>
      </c>
      <c r="Z285" s="25"/>
      <c r="AA285" s="26"/>
      <c r="AB285" s="111" t="s">
        <v>17</v>
      </c>
      <c r="AC285" s="111"/>
      <c r="AD285" s="96"/>
      <c r="AE285" s="27"/>
      <c r="AG285" s="114" t="s">
        <v>18</v>
      </c>
      <c r="AH285" s="115"/>
      <c r="AI285" s="112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3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3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45880</v>
      </c>
      <c r="C287" s="91">
        <v>6972</v>
      </c>
      <c r="D287" s="32">
        <f>6260+95</f>
        <v>6355</v>
      </c>
      <c r="E287" s="32"/>
      <c r="F287" s="32"/>
      <c r="G287" s="32">
        <f t="shared" ref="G287:G320" si="87">SUM(D287:E287)</f>
        <v>6355</v>
      </c>
      <c r="H287" s="12"/>
      <c r="I287" s="12"/>
      <c r="J287" s="12">
        <v>-1110</v>
      </c>
      <c r="K287" s="12">
        <f t="shared" ref="K287:K320" si="88">SUM(G287:J287)</f>
        <v>5245</v>
      </c>
      <c r="M287" s="10">
        <v>1</v>
      </c>
      <c r="N287" s="30">
        <v>45880</v>
      </c>
      <c r="O287" s="31">
        <v>7001</v>
      </c>
      <c r="P287" s="32">
        <f>56340+3070+5960+1664+458</f>
        <v>67492</v>
      </c>
      <c r="Q287" s="32"/>
      <c r="R287" s="32"/>
      <c r="S287" s="32">
        <f>SUM(P287:Q287)</f>
        <v>67492</v>
      </c>
      <c r="T287" s="12"/>
      <c r="U287" s="12">
        <v>324</v>
      </c>
      <c r="V287" s="12"/>
      <c r="W287" s="12">
        <f>SUM(S287:V287)</f>
        <v>67816</v>
      </c>
      <c r="Y287" s="10">
        <v>1</v>
      </c>
      <c r="Z287" s="30">
        <v>45880</v>
      </c>
      <c r="AA287" s="31">
        <v>6892</v>
      </c>
      <c r="AB287" s="32">
        <f>15650+614*3+458</f>
        <v>17950</v>
      </c>
      <c r="AC287" s="32"/>
      <c r="AD287" s="32"/>
      <c r="AE287" s="32">
        <f>SUM(AB287:AC287)</f>
        <v>17950</v>
      </c>
      <c r="AF287" s="12"/>
      <c r="AG287" s="12">
        <v>103.5</v>
      </c>
      <c r="AH287" s="12"/>
      <c r="AI287" s="12">
        <f>SUM(AE287:AH287)</f>
        <v>18053.5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45880</v>
      </c>
      <c r="C288" s="91">
        <f>C287+1</f>
        <v>6973</v>
      </c>
      <c r="D288" s="32">
        <f>313000+17880+5038</f>
        <v>335918</v>
      </c>
      <c r="E288" s="32">
        <v>-4968</v>
      </c>
      <c r="F288" s="32"/>
      <c r="G288" s="32">
        <f t="shared" si="87"/>
        <v>330950</v>
      </c>
      <c r="H288" s="12"/>
      <c r="I288" s="12">
        <f>111*173+78*20</f>
        <v>20763</v>
      </c>
      <c r="J288" s="12">
        <f>-588+-252</f>
        <v>-840</v>
      </c>
      <c r="K288" s="12">
        <f t="shared" si="88"/>
        <v>350873</v>
      </c>
      <c r="M288" s="10">
        <v>2</v>
      </c>
      <c r="N288" s="30">
        <v>45880</v>
      </c>
      <c r="O288" s="31">
        <f>O287+1</f>
        <v>7002</v>
      </c>
      <c r="P288" s="32">
        <f>3756+57</f>
        <v>3813</v>
      </c>
      <c r="Q288" s="32"/>
      <c r="R288" s="32"/>
      <c r="S288" s="32">
        <f t="shared" ref="S288:S319" si="89">SUM(P288:Q288)</f>
        <v>3813</v>
      </c>
      <c r="T288" s="12"/>
      <c r="U288" s="12"/>
      <c r="V288" s="12"/>
      <c r="W288" s="12">
        <f t="shared" ref="W288:W319" si="90">SUM(S288:V288)</f>
        <v>3813</v>
      </c>
      <c r="Y288" s="10">
        <v>2</v>
      </c>
      <c r="Z288" s="30">
        <v>45880</v>
      </c>
      <c r="AA288" s="31">
        <f>AA287+1</f>
        <v>6893</v>
      </c>
      <c r="AB288" s="32">
        <f>81380+9210+596*25+229+650*2</f>
        <v>107019</v>
      </c>
      <c r="AC288" s="32">
        <v>-1080</v>
      </c>
      <c r="AD288" s="32"/>
      <c r="AE288" s="32">
        <f t="shared" ref="AE288:AE290" si="91">SUM(AB288:AC288)</f>
        <v>105939</v>
      </c>
      <c r="AF288" s="12"/>
      <c r="AG288" s="12">
        <v>4218</v>
      </c>
      <c r="AH288" s="12"/>
      <c r="AI288" s="12">
        <f t="shared" ref="AI288:AI319" si="92">SUM(AE288:AH288)</f>
        <v>110157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45880</v>
      </c>
      <c r="C289" s="91">
        <f t="shared" ref="C289" si="93">C288+1</f>
        <v>6974</v>
      </c>
      <c r="D289" s="33">
        <f>51958+3070+5960+229</f>
        <v>61217</v>
      </c>
      <c r="E289" s="33"/>
      <c r="F289" s="33"/>
      <c r="G289" s="33">
        <f t="shared" si="87"/>
        <v>61217</v>
      </c>
      <c r="H289" s="34"/>
      <c r="I289" s="34">
        <v>27</v>
      </c>
      <c r="J289" s="34"/>
      <c r="K289" s="34">
        <f t="shared" si="88"/>
        <v>61244</v>
      </c>
      <c r="M289" s="10">
        <v>3</v>
      </c>
      <c r="N289" s="30">
        <v>45880</v>
      </c>
      <c r="O289" s="31">
        <f t="shared" ref="O289:O295" si="94">O288+1</f>
        <v>7003</v>
      </c>
      <c r="P289" s="32">
        <f>3130+2980+95</f>
        <v>6205</v>
      </c>
      <c r="Q289" s="32"/>
      <c r="R289" s="32"/>
      <c r="S289" s="32">
        <f t="shared" si="89"/>
        <v>6205</v>
      </c>
      <c r="T289" s="12"/>
      <c r="U289" s="12"/>
      <c r="V289" s="12"/>
      <c r="W289" s="12">
        <f t="shared" si="90"/>
        <v>6205</v>
      </c>
      <c r="Y289" s="10">
        <v>3</v>
      </c>
      <c r="Z289" s="30">
        <v>45880</v>
      </c>
      <c r="AA289" s="31">
        <f t="shared" ref="AA289:AA291" si="95">AA288+1</f>
        <v>6894</v>
      </c>
      <c r="AB289" s="33">
        <f>62600+11020+832+916</f>
        <v>75368</v>
      </c>
      <c r="AC289" s="33">
        <v>-690</v>
      </c>
      <c r="AD289" s="32"/>
      <c r="AE289" s="32">
        <f t="shared" si="91"/>
        <v>74678</v>
      </c>
      <c r="AF289" s="12"/>
      <c r="AG289" s="12">
        <f>2220+144+4.5*54</f>
        <v>2607</v>
      </c>
      <c r="AH289" s="12">
        <v>-84</v>
      </c>
      <c r="AI289" s="12">
        <f t="shared" si="92"/>
        <v>77201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45880</v>
      </c>
      <c r="C290" s="91">
        <v>6976</v>
      </c>
      <c r="D290" s="32">
        <v>1192</v>
      </c>
      <c r="E290" s="32"/>
      <c r="F290" s="32"/>
      <c r="G290" s="32">
        <f t="shared" si="87"/>
        <v>1192</v>
      </c>
      <c r="H290" s="12"/>
      <c r="I290" s="12"/>
      <c r="J290" s="12"/>
      <c r="K290" s="12">
        <f t="shared" si="88"/>
        <v>1192</v>
      </c>
      <c r="M290" s="10">
        <v>4</v>
      </c>
      <c r="N290" s="30">
        <v>45880</v>
      </c>
      <c r="O290" s="31">
        <f t="shared" si="94"/>
        <v>7004</v>
      </c>
      <c r="P290" s="32">
        <f>626+596+19</f>
        <v>1241</v>
      </c>
      <c r="Q290" s="32"/>
      <c r="R290" s="32"/>
      <c r="S290" s="32">
        <f t="shared" si="89"/>
        <v>1241</v>
      </c>
      <c r="T290" s="12"/>
      <c r="U290" s="12"/>
      <c r="V290" s="12"/>
      <c r="W290" s="12">
        <f t="shared" si="90"/>
        <v>1241</v>
      </c>
      <c r="Y290" s="10">
        <v>4</v>
      </c>
      <c r="Z290" s="30">
        <v>45880</v>
      </c>
      <c r="AA290" s="31">
        <f t="shared" si="95"/>
        <v>6895</v>
      </c>
      <c r="AB290" s="32">
        <f>25040+5960+229</f>
        <v>31229</v>
      </c>
      <c r="AC290" s="32">
        <v>-306</v>
      </c>
      <c r="AD290" s="32"/>
      <c r="AE290" s="32">
        <f t="shared" si="91"/>
        <v>30923</v>
      </c>
      <c r="AF290" s="12"/>
      <c r="AH290" s="12"/>
      <c r="AI290" s="12">
        <f t="shared" si="92"/>
        <v>30923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/>
      <c r="C291" s="11" t="s">
        <v>27</v>
      </c>
      <c r="D291" s="32"/>
      <c r="E291" s="32"/>
      <c r="F291" s="32"/>
      <c r="G291" s="32">
        <f t="shared" si="87"/>
        <v>0</v>
      </c>
      <c r="H291" s="12"/>
      <c r="I291" s="12"/>
      <c r="J291" s="12"/>
      <c r="K291" s="12">
        <f t="shared" si="88"/>
        <v>0</v>
      </c>
      <c r="M291" s="10">
        <v>5</v>
      </c>
      <c r="N291" s="30">
        <v>45880</v>
      </c>
      <c r="O291" s="31">
        <f t="shared" si="94"/>
        <v>7005</v>
      </c>
      <c r="P291" s="32">
        <f>1878+28.5</f>
        <v>1906.5</v>
      </c>
      <c r="Q291" s="32"/>
      <c r="R291" s="32"/>
      <c r="S291" s="32">
        <f t="shared" si="89"/>
        <v>1906.5</v>
      </c>
      <c r="T291" s="12"/>
      <c r="U291" s="12"/>
      <c r="V291" s="12"/>
      <c r="W291" s="12">
        <f t="shared" si="90"/>
        <v>1906.5</v>
      </c>
      <c r="Y291" s="10">
        <v>5</v>
      </c>
      <c r="Z291" s="30">
        <v>45849</v>
      </c>
      <c r="AA291" s="31">
        <f t="shared" si="95"/>
        <v>6896</v>
      </c>
      <c r="AB291" s="32">
        <f>13772+2980</f>
        <v>16752</v>
      </c>
      <c r="AC291" s="32"/>
      <c r="AD291" s="32"/>
      <c r="AE291" s="32">
        <f t="shared" ref="AE291:AE325" si="96">SUM(AB291:AC291)</f>
        <v>16752</v>
      </c>
      <c r="AF291" s="12"/>
      <c r="AG291" s="12"/>
      <c r="AH291" s="12"/>
      <c r="AI291" s="12">
        <f t="shared" si="92"/>
        <v>16752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/>
      <c r="C292" s="91"/>
      <c r="D292" s="32"/>
      <c r="E292" s="32"/>
      <c r="F292" s="32"/>
      <c r="G292" s="32">
        <f t="shared" si="87"/>
        <v>0</v>
      </c>
      <c r="H292" s="12"/>
      <c r="I292" s="12"/>
      <c r="J292" s="12"/>
      <c r="K292" s="12">
        <f t="shared" si="88"/>
        <v>0</v>
      </c>
      <c r="M292" s="10">
        <v>6</v>
      </c>
      <c r="N292" s="30">
        <v>45880</v>
      </c>
      <c r="O292" s="31">
        <f t="shared" si="94"/>
        <v>7006</v>
      </c>
      <c r="P292" s="32">
        <f>5634+596+229</f>
        <v>6459</v>
      </c>
      <c r="Q292" s="32"/>
      <c r="R292" s="32"/>
      <c r="S292" s="32">
        <f t="shared" si="89"/>
        <v>6459</v>
      </c>
      <c r="T292" s="12"/>
      <c r="U292" s="12"/>
      <c r="V292" s="10">
        <f>-420+-78</f>
        <v>-498</v>
      </c>
      <c r="W292" s="12">
        <f t="shared" si="90"/>
        <v>5961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96"/>
        <v>0</v>
      </c>
      <c r="AF292" s="12"/>
      <c r="AG292" s="12"/>
      <c r="AH292" s="10"/>
      <c r="AI292" s="12">
        <f t="shared" si="92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91"/>
      <c r="D293" s="32"/>
      <c r="E293" s="32"/>
      <c r="F293" s="32"/>
      <c r="G293" s="32">
        <f t="shared" si="87"/>
        <v>0</v>
      </c>
      <c r="H293" s="12"/>
      <c r="I293" s="12"/>
      <c r="J293" s="12"/>
      <c r="K293" s="12">
        <f t="shared" si="88"/>
        <v>0</v>
      </c>
      <c r="M293" s="10">
        <v>7</v>
      </c>
      <c r="N293" s="30">
        <v>45880</v>
      </c>
      <c r="O293" s="31">
        <f t="shared" si="94"/>
        <v>7007</v>
      </c>
      <c r="P293" s="32">
        <f>626+9.5</f>
        <v>635.5</v>
      </c>
      <c r="Q293" s="32"/>
      <c r="R293" s="32"/>
      <c r="S293" s="32">
        <f t="shared" si="89"/>
        <v>635.5</v>
      </c>
      <c r="T293" s="12"/>
      <c r="U293" s="12">
        <v>1.5</v>
      </c>
      <c r="V293" s="12"/>
      <c r="W293" s="12">
        <f t="shared" si="90"/>
        <v>637</v>
      </c>
      <c r="Y293" s="10">
        <v>7</v>
      </c>
      <c r="Z293" s="30"/>
      <c r="AA293" s="31"/>
      <c r="AB293" s="32"/>
      <c r="AC293" s="32"/>
      <c r="AD293" s="32"/>
      <c r="AE293" s="32">
        <f t="shared" si="96"/>
        <v>0</v>
      </c>
      <c r="AF293" s="12"/>
      <c r="AG293" s="58"/>
      <c r="AH293" s="12"/>
      <c r="AI293" s="12">
        <f t="shared" si="9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91"/>
      <c r="D294" s="32"/>
      <c r="E294" s="32"/>
      <c r="F294" s="32"/>
      <c r="G294" s="32">
        <f t="shared" si="87"/>
        <v>0</v>
      </c>
      <c r="H294" s="12"/>
      <c r="I294" s="12"/>
      <c r="J294" s="12"/>
      <c r="K294" s="12">
        <f t="shared" si="88"/>
        <v>0</v>
      </c>
      <c r="M294" s="10">
        <v>8</v>
      </c>
      <c r="N294" s="30">
        <v>45880</v>
      </c>
      <c r="O294" s="31">
        <f t="shared" si="94"/>
        <v>7008</v>
      </c>
      <c r="P294" s="32">
        <f>2504+38</f>
        <v>2542</v>
      </c>
      <c r="Q294" s="32"/>
      <c r="R294" s="32"/>
      <c r="S294" s="32">
        <f t="shared" si="89"/>
        <v>2542</v>
      </c>
      <c r="T294" s="12"/>
      <c r="U294" s="12"/>
      <c r="V294" s="12"/>
      <c r="W294" s="12">
        <f t="shared" si="90"/>
        <v>2542</v>
      </c>
      <c r="Y294" s="10">
        <v>8</v>
      </c>
      <c r="Z294" s="30"/>
      <c r="AA294" s="31"/>
      <c r="AB294" s="32"/>
      <c r="AC294" s="32"/>
      <c r="AE294" s="32">
        <f t="shared" si="96"/>
        <v>0</v>
      </c>
      <c r="AF294" s="12"/>
      <c r="AG294" s="12"/>
      <c r="AH294" s="12"/>
      <c r="AI294" s="12">
        <f t="shared" si="9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91"/>
      <c r="D295" s="32"/>
      <c r="E295" s="32"/>
      <c r="F295" s="32"/>
      <c r="G295" s="32">
        <f t="shared" si="87"/>
        <v>0</v>
      </c>
      <c r="H295" s="12"/>
      <c r="I295" s="12"/>
      <c r="J295" s="12"/>
      <c r="K295" s="12">
        <f t="shared" si="88"/>
        <v>0</v>
      </c>
      <c r="M295" s="10">
        <v>9</v>
      </c>
      <c r="N295" s="30">
        <v>45880</v>
      </c>
      <c r="O295" s="31">
        <f t="shared" si="94"/>
        <v>7009</v>
      </c>
      <c r="P295" s="32">
        <f>614*3+650</f>
        <v>2492</v>
      </c>
      <c r="Q295" s="32"/>
      <c r="R295" s="32"/>
      <c r="S295" s="32">
        <f t="shared" si="89"/>
        <v>2492</v>
      </c>
      <c r="T295" s="12"/>
      <c r="U295" s="12">
        <v>333</v>
      </c>
      <c r="V295" s="12"/>
      <c r="W295" s="12">
        <f t="shared" si="90"/>
        <v>2825</v>
      </c>
      <c r="Y295" s="10">
        <v>9</v>
      </c>
      <c r="Z295" s="30"/>
      <c r="AA295" s="31"/>
      <c r="AB295" s="32"/>
      <c r="AC295" s="32"/>
      <c r="AD295" s="32"/>
      <c r="AE295" s="32">
        <f t="shared" si="96"/>
        <v>0</v>
      </c>
      <c r="AF295" s="12"/>
      <c r="AG295" s="58"/>
      <c r="AH295" s="12"/>
      <c r="AI295" s="12">
        <f t="shared" si="9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91"/>
      <c r="D296" s="32"/>
      <c r="E296" s="32"/>
      <c r="F296" s="32"/>
      <c r="G296" s="32">
        <f t="shared" si="87"/>
        <v>0</v>
      </c>
      <c r="H296" s="12"/>
      <c r="I296" s="12"/>
      <c r="J296" s="12"/>
      <c r="K296" s="12">
        <f t="shared" si="88"/>
        <v>0</v>
      </c>
      <c r="M296" s="10">
        <v>10</v>
      </c>
      <c r="N296" s="30"/>
      <c r="O296" s="11" t="s">
        <v>27</v>
      </c>
      <c r="P296" s="32"/>
      <c r="Q296" s="32"/>
      <c r="R296" s="32"/>
      <c r="S296" s="32">
        <f t="shared" si="89"/>
        <v>0</v>
      </c>
      <c r="T296" s="12"/>
      <c r="U296" s="12"/>
      <c r="V296" s="12"/>
      <c r="W296" s="12">
        <f t="shared" si="90"/>
        <v>0</v>
      </c>
      <c r="Y296" s="10">
        <v>10</v>
      </c>
      <c r="Z296" s="30"/>
      <c r="AA296" s="31"/>
      <c r="AB296" s="32"/>
      <c r="AC296" s="32"/>
      <c r="AD296" s="32"/>
      <c r="AE296" s="32">
        <f t="shared" si="96"/>
        <v>0</v>
      </c>
      <c r="AF296" s="12"/>
      <c r="AG296" s="12"/>
      <c r="AH296" s="12"/>
      <c r="AI296" s="12">
        <f t="shared" si="9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91"/>
      <c r="D297" s="32"/>
      <c r="E297" s="32"/>
      <c r="F297" s="32"/>
      <c r="G297" s="32">
        <f t="shared" si="87"/>
        <v>0</v>
      </c>
      <c r="H297" s="12"/>
      <c r="I297" s="12"/>
      <c r="J297" s="12"/>
      <c r="K297" s="12">
        <f t="shared" si="88"/>
        <v>0</v>
      </c>
      <c r="M297" s="10">
        <v>11</v>
      </c>
      <c r="N297" s="30"/>
      <c r="O297" s="31"/>
      <c r="P297" s="32"/>
      <c r="Q297" s="32"/>
      <c r="R297" s="32"/>
      <c r="S297" s="32">
        <f t="shared" si="89"/>
        <v>0</v>
      </c>
      <c r="T297" s="12"/>
      <c r="U297" s="12"/>
      <c r="V297" s="12"/>
      <c r="W297" s="12">
        <f t="shared" si="9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96"/>
        <v>0</v>
      </c>
      <c r="AF297" s="12"/>
      <c r="AG297" s="12"/>
      <c r="AH297" s="12"/>
      <c r="AI297" s="12">
        <f t="shared" si="9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91"/>
      <c r="D298" s="32"/>
      <c r="E298" s="32"/>
      <c r="F298" s="32"/>
      <c r="G298" s="32">
        <f t="shared" si="87"/>
        <v>0</v>
      </c>
      <c r="H298" s="12"/>
      <c r="I298" s="12"/>
      <c r="J298" s="10"/>
      <c r="K298" s="12">
        <f t="shared" si="88"/>
        <v>0</v>
      </c>
      <c r="M298" s="10">
        <v>12</v>
      </c>
      <c r="N298" s="30"/>
      <c r="O298" s="31"/>
      <c r="P298" s="32"/>
      <c r="Q298" s="32"/>
      <c r="R298" s="32"/>
      <c r="S298" s="32">
        <f t="shared" si="89"/>
        <v>0</v>
      </c>
      <c r="T298" s="12"/>
      <c r="U298" s="12"/>
      <c r="V298" s="12"/>
      <c r="W298" s="12">
        <f t="shared" si="9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96"/>
        <v>0</v>
      </c>
      <c r="AF298" s="12"/>
      <c r="AG298" s="12"/>
      <c r="AH298" s="12"/>
      <c r="AI298" s="12">
        <f t="shared" si="9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7"/>
        <v>0</v>
      </c>
      <c r="H299" s="12"/>
      <c r="I299" s="12"/>
      <c r="J299" s="12"/>
      <c r="K299" s="12">
        <f t="shared" si="88"/>
        <v>0</v>
      </c>
      <c r="M299" s="10">
        <v>13</v>
      </c>
      <c r="N299" s="30"/>
      <c r="P299" s="32"/>
      <c r="Q299" s="32"/>
      <c r="R299" s="32"/>
      <c r="S299" s="32">
        <f t="shared" si="89"/>
        <v>0</v>
      </c>
      <c r="T299" s="12"/>
      <c r="U299" s="12"/>
      <c r="V299" s="12"/>
      <c r="W299" s="12">
        <f t="shared" si="9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96"/>
        <v>0</v>
      </c>
      <c r="AF299" s="12"/>
      <c r="AG299" s="12"/>
      <c r="AH299" s="12"/>
      <c r="AI299" s="12">
        <f t="shared" si="9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7"/>
        <v>0</v>
      </c>
      <c r="H300" s="12"/>
      <c r="I300" s="12"/>
      <c r="J300" s="12"/>
      <c r="K300" s="12">
        <f t="shared" si="88"/>
        <v>0</v>
      </c>
      <c r="M300" s="10">
        <v>14</v>
      </c>
      <c r="N300" s="30"/>
      <c r="O300" s="31"/>
      <c r="P300" s="32"/>
      <c r="Q300" s="32"/>
      <c r="R300" s="32"/>
      <c r="S300" s="32">
        <f t="shared" si="89"/>
        <v>0</v>
      </c>
      <c r="T300" s="12"/>
      <c r="U300" s="12"/>
      <c r="V300" s="12"/>
      <c r="W300" s="12">
        <f t="shared" si="9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96"/>
        <v>0</v>
      </c>
      <c r="AF300" s="12"/>
      <c r="AG300" s="12"/>
      <c r="AH300" s="12"/>
      <c r="AI300" s="12">
        <f t="shared" si="9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7"/>
        <v>0</v>
      </c>
      <c r="H301" s="12"/>
      <c r="I301" s="12"/>
      <c r="J301" s="12"/>
      <c r="K301" s="12">
        <f t="shared" si="88"/>
        <v>0</v>
      </c>
      <c r="M301" s="10">
        <v>15</v>
      </c>
      <c r="N301" s="30"/>
      <c r="O301" s="31"/>
      <c r="P301" s="32"/>
      <c r="Q301" s="32"/>
      <c r="R301" s="32"/>
      <c r="S301" s="32">
        <f t="shared" si="89"/>
        <v>0</v>
      </c>
      <c r="T301" s="12"/>
      <c r="U301" s="12"/>
      <c r="V301" s="12"/>
      <c r="W301" s="12">
        <f t="shared" si="9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96"/>
        <v>0</v>
      </c>
      <c r="AF301" s="12"/>
      <c r="AG301" s="12"/>
      <c r="AH301" s="12"/>
      <c r="AI301" s="12">
        <f t="shared" si="9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91"/>
      <c r="D302" s="32"/>
      <c r="E302" s="32"/>
      <c r="F302" s="32"/>
      <c r="G302" s="32">
        <f t="shared" si="87"/>
        <v>0</v>
      </c>
      <c r="H302" s="12"/>
      <c r="I302" s="12"/>
      <c r="J302" s="12"/>
      <c r="K302" s="12">
        <f t="shared" si="88"/>
        <v>0</v>
      </c>
      <c r="M302" s="10">
        <v>16</v>
      </c>
      <c r="N302" s="30"/>
      <c r="O302" s="31"/>
      <c r="P302" s="32"/>
      <c r="Q302" s="32"/>
      <c r="R302" s="32"/>
      <c r="S302" s="32">
        <f t="shared" si="89"/>
        <v>0</v>
      </c>
      <c r="T302" s="12"/>
      <c r="U302" s="12"/>
      <c r="V302" s="12"/>
      <c r="W302" s="12">
        <f t="shared" si="90"/>
        <v>0</v>
      </c>
      <c r="Y302" s="10">
        <v>16</v>
      </c>
      <c r="Z302" s="30"/>
      <c r="AB302" s="32"/>
      <c r="AC302" s="32"/>
      <c r="AD302" s="32"/>
      <c r="AE302" s="32">
        <f t="shared" si="96"/>
        <v>0</v>
      </c>
      <c r="AF302" s="12"/>
      <c r="AG302" s="12"/>
      <c r="AH302" s="12"/>
      <c r="AI302" s="12">
        <f t="shared" si="9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91"/>
      <c r="D303" s="32"/>
      <c r="E303" s="32"/>
      <c r="F303" s="32"/>
      <c r="G303" s="32">
        <f t="shared" si="87"/>
        <v>0</v>
      </c>
      <c r="H303" s="12"/>
      <c r="I303" s="12"/>
      <c r="J303" s="12"/>
      <c r="K303" s="12">
        <f t="shared" si="88"/>
        <v>0</v>
      </c>
      <c r="M303" s="10">
        <v>17</v>
      </c>
      <c r="N303" s="30"/>
      <c r="O303" s="31"/>
      <c r="P303" s="35"/>
      <c r="Q303" s="32"/>
      <c r="R303" s="32"/>
      <c r="S303" s="32">
        <f t="shared" si="89"/>
        <v>0</v>
      </c>
      <c r="T303" s="12"/>
      <c r="U303" s="12"/>
      <c r="V303" s="12"/>
      <c r="W303" s="12">
        <f t="shared" si="9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96"/>
        <v>0</v>
      </c>
      <c r="AF303" s="12"/>
      <c r="AG303" s="12"/>
      <c r="AH303" s="12"/>
      <c r="AI303" s="12">
        <f t="shared" si="9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D304" s="32"/>
      <c r="E304" s="32"/>
      <c r="F304" s="32"/>
      <c r="G304" s="32">
        <f t="shared" si="87"/>
        <v>0</v>
      </c>
      <c r="H304" s="12"/>
      <c r="I304" s="12"/>
      <c r="J304" s="12"/>
      <c r="K304" s="12">
        <f t="shared" si="88"/>
        <v>0</v>
      </c>
      <c r="M304" s="10">
        <v>18</v>
      </c>
      <c r="N304" s="30"/>
      <c r="O304" s="31"/>
      <c r="P304" s="32"/>
      <c r="Q304" s="32"/>
      <c r="R304" s="32"/>
      <c r="S304" s="32">
        <f t="shared" si="89"/>
        <v>0</v>
      </c>
      <c r="T304" s="12"/>
      <c r="U304" s="12"/>
      <c r="V304" s="12"/>
      <c r="W304" s="12">
        <f t="shared" si="9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96"/>
        <v>0</v>
      </c>
      <c r="AF304" s="12"/>
      <c r="AG304" s="12"/>
      <c r="AH304" s="12"/>
      <c r="AI304" s="12">
        <f t="shared" si="9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7"/>
        <v>0</v>
      </c>
      <c r="H305" s="12"/>
      <c r="I305" s="12"/>
      <c r="J305" s="12"/>
      <c r="K305" s="12">
        <f t="shared" si="88"/>
        <v>0</v>
      </c>
      <c r="M305" s="10">
        <v>19</v>
      </c>
      <c r="N305" s="30"/>
      <c r="O305" s="31"/>
      <c r="P305" s="32"/>
      <c r="Q305" s="32"/>
      <c r="R305" s="32"/>
      <c r="S305" s="32">
        <f t="shared" si="89"/>
        <v>0</v>
      </c>
      <c r="T305" s="12"/>
      <c r="U305" s="12"/>
      <c r="V305" s="12"/>
      <c r="W305" s="12">
        <f t="shared" si="9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96"/>
        <v>0</v>
      </c>
      <c r="AF305" s="12"/>
      <c r="AG305" s="12"/>
      <c r="AH305" s="12"/>
      <c r="AI305" s="12">
        <f t="shared" si="9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7"/>
        <v>0</v>
      </c>
      <c r="H306" s="12"/>
      <c r="I306" s="12"/>
      <c r="J306" s="12"/>
      <c r="K306" s="12">
        <f t="shared" si="88"/>
        <v>0</v>
      </c>
      <c r="M306" s="10">
        <v>20</v>
      </c>
      <c r="N306" s="30"/>
      <c r="O306" s="31"/>
      <c r="P306" s="32"/>
      <c r="Q306" s="32"/>
      <c r="R306" s="32"/>
      <c r="S306" s="32">
        <f t="shared" si="89"/>
        <v>0</v>
      </c>
      <c r="T306" s="12"/>
      <c r="U306" s="12"/>
      <c r="V306" s="12"/>
      <c r="W306" s="12">
        <f t="shared" si="90"/>
        <v>0</v>
      </c>
      <c r="Y306" s="10">
        <v>20</v>
      </c>
      <c r="Z306" s="30"/>
      <c r="AB306" s="32"/>
      <c r="AC306" s="32"/>
      <c r="AD306" s="32"/>
      <c r="AE306" s="32">
        <f t="shared" si="96"/>
        <v>0</v>
      </c>
      <c r="AF306" s="12"/>
      <c r="AG306" s="12"/>
      <c r="AH306" s="12"/>
      <c r="AI306" s="12">
        <f t="shared" si="9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87"/>
        <v>0</v>
      </c>
      <c r="H307" s="10"/>
      <c r="I307" s="10"/>
      <c r="J307" s="10"/>
      <c r="K307" s="12">
        <f t="shared" si="88"/>
        <v>0</v>
      </c>
      <c r="M307" s="10">
        <v>21</v>
      </c>
      <c r="N307" s="30"/>
      <c r="P307" s="46"/>
      <c r="Q307" s="31"/>
      <c r="R307" s="31"/>
      <c r="S307" s="32">
        <f t="shared" si="89"/>
        <v>0</v>
      </c>
      <c r="T307" s="10"/>
      <c r="U307" s="10"/>
      <c r="V307" s="10"/>
      <c r="W307" s="12">
        <f t="shared" si="90"/>
        <v>0</v>
      </c>
      <c r="Y307" s="10">
        <v>21</v>
      </c>
      <c r="Z307" s="30"/>
      <c r="AB307" s="46"/>
      <c r="AC307" s="31"/>
      <c r="AD307" s="31"/>
      <c r="AE307" s="32">
        <f t="shared" si="96"/>
        <v>0</v>
      </c>
      <c r="AF307" s="10"/>
      <c r="AG307" s="10"/>
      <c r="AH307" s="10"/>
      <c r="AI307" s="12">
        <f t="shared" si="9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7"/>
        <v>0</v>
      </c>
      <c r="H308" s="10"/>
      <c r="I308" s="10"/>
      <c r="J308" s="10"/>
      <c r="K308" s="12">
        <f t="shared" si="88"/>
        <v>0</v>
      </c>
      <c r="M308" s="10">
        <v>22</v>
      </c>
      <c r="N308" s="30"/>
      <c r="O308" s="31"/>
      <c r="P308" s="45"/>
      <c r="Q308" s="31"/>
      <c r="R308" s="31"/>
      <c r="S308" s="32">
        <f t="shared" si="89"/>
        <v>0</v>
      </c>
      <c r="T308" s="10"/>
      <c r="U308" s="10"/>
      <c r="V308" s="10"/>
      <c r="W308" s="12">
        <f t="shared" si="9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96"/>
        <v>0</v>
      </c>
      <c r="AF308" s="10"/>
      <c r="AG308" s="10"/>
      <c r="AH308" s="10"/>
      <c r="AI308" s="12">
        <f t="shared" si="9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91"/>
      <c r="D309" s="32"/>
      <c r="E309" s="32"/>
      <c r="F309" s="32"/>
      <c r="G309" s="32">
        <f t="shared" si="87"/>
        <v>0</v>
      </c>
      <c r="H309" s="10"/>
      <c r="I309" s="10"/>
      <c r="J309" s="12"/>
      <c r="K309" s="12">
        <f t="shared" si="88"/>
        <v>0</v>
      </c>
      <c r="M309" s="10">
        <v>23</v>
      </c>
      <c r="N309" s="30"/>
      <c r="O309" s="31"/>
      <c r="P309" s="47"/>
      <c r="Q309" s="31"/>
      <c r="S309" s="32">
        <f t="shared" si="89"/>
        <v>0</v>
      </c>
      <c r="T309" s="10"/>
      <c r="U309" s="10"/>
      <c r="V309" s="10"/>
      <c r="W309" s="12">
        <f t="shared" si="90"/>
        <v>0</v>
      </c>
      <c r="Y309" s="10">
        <v>23</v>
      </c>
      <c r="Z309" s="30"/>
      <c r="AA309" s="31"/>
      <c r="AB309" s="47"/>
      <c r="AC309" s="31"/>
      <c r="AE309" s="32">
        <f t="shared" si="96"/>
        <v>0</v>
      </c>
      <c r="AF309" s="10"/>
      <c r="AG309" s="10"/>
      <c r="AH309" s="10"/>
      <c r="AI309" s="12">
        <f t="shared" si="9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91"/>
      <c r="D310" s="32"/>
      <c r="E310" s="32"/>
      <c r="F310" s="32"/>
      <c r="G310" s="32">
        <f t="shared" si="87"/>
        <v>0</v>
      </c>
      <c r="H310" s="10"/>
      <c r="I310" s="10"/>
      <c r="J310" s="10"/>
      <c r="K310" s="12">
        <f t="shared" si="88"/>
        <v>0</v>
      </c>
      <c r="M310" s="10">
        <v>24</v>
      </c>
      <c r="N310" s="30"/>
      <c r="O310" s="11"/>
      <c r="P310" s="47"/>
      <c r="Q310" s="31"/>
      <c r="R310" s="31"/>
      <c r="S310" s="32">
        <f t="shared" si="89"/>
        <v>0</v>
      </c>
      <c r="T310" s="10"/>
      <c r="U310" s="10"/>
      <c r="V310" s="10"/>
      <c r="W310" s="12">
        <f t="shared" si="9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6"/>
        <v>0</v>
      </c>
      <c r="AF310" s="10"/>
      <c r="AG310" s="10"/>
      <c r="AH310" s="10"/>
      <c r="AI310" s="12">
        <f t="shared" si="9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57"/>
      <c r="D311" s="32"/>
      <c r="E311" s="32"/>
      <c r="F311" s="32"/>
      <c r="G311" s="32">
        <f t="shared" si="87"/>
        <v>0</v>
      </c>
      <c r="H311" s="10"/>
      <c r="I311" s="10"/>
      <c r="J311" s="10"/>
      <c r="K311" s="12">
        <f t="shared" si="88"/>
        <v>0</v>
      </c>
      <c r="M311" s="10">
        <v>25</v>
      </c>
      <c r="N311" s="30"/>
      <c r="O311" s="31"/>
      <c r="P311" s="47"/>
      <c r="Q311" s="31"/>
      <c r="R311" s="31"/>
      <c r="S311" s="32">
        <f t="shared" si="89"/>
        <v>0</v>
      </c>
      <c r="T311" s="10"/>
      <c r="U311" s="10"/>
      <c r="V311" s="10"/>
      <c r="W311" s="12">
        <f t="shared" si="90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6"/>
        <v>0</v>
      </c>
      <c r="AF311" s="10"/>
      <c r="AG311" s="10"/>
      <c r="AH311" s="10"/>
      <c r="AI311" s="12">
        <f t="shared" si="9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91"/>
      <c r="D312" s="32"/>
      <c r="E312" s="32"/>
      <c r="F312" s="32"/>
      <c r="G312" s="32">
        <f t="shared" si="87"/>
        <v>0</v>
      </c>
      <c r="H312" s="10"/>
      <c r="I312" s="10"/>
      <c r="J312" s="10"/>
      <c r="K312" s="12">
        <f t="shared" si="88"/>
        <v>0</v>
      </c>
      <c r="M312" s="10">
        <v>26</v>
      </c>
      <c r="N312" s="30"/>
      <c r="O312" s="31"/>
      <c r="P312" s="47"/>
      <c r="Q312" s="31"/>
      <c r="R312" s="31"/>
      <c r="S312" s="32">
        <f t="shared" si="89"/>
        <v>0</v>
      </c>
      <c r="T312" s="10"/>
      <c r="U312" s="10"/>
      <c r="V312" s="10"/>
      <c r="W312" s="12">
        <f t="shared" si="90"/>
        <v>0</v>
      </c>
      <c r="Y312" s="10">
        <v>26</v>
      </c>
      <c r="Z312" s="30"/>
      <c r="AB312" s="47"/>
      <c r="AC312" s="31"/>
      <c r="AD312" s="31"/>
      <c r="AE312" s="32">
        <f t="shared" si="96"/>
        <v>0</v>
      </c>
      <c r="AF312" s="10"/>
      <c r="AG312" s="10"/>
      <c r="AH312" s="10"/>
      <c r="AI312" s="12">
        <f t="shared" si="9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91"/>
      <c r="D313" s="32"/>
      <c r="E313" s="32"/>
      <c r="F313" s="32"/>
      <c r="G313" s="32">
        <f t="shared" si="87"/>
        <v>0</v>
      </c>
      <c r="H313" s="10"/>
      <c r="I313" s="10"/>
      <c r="J313" s="10"/>
      <c r="K313" s="12">
        <f t="shared" si="88"/>
        <v>0</v>
      </c>
      <c r="M313" s="10">
        <v>27</v>
      </c>
      <c r="N313" s="30"/>
      <c r="O313" s="31"/>
      <c r="P313" s="47"/>
      <c r="Q313" s="31"/>
      <c r="R313" s="31"/>
      <c r="S313" s="32">
        <f t="shared" si="89"/>
        <v>0</v>
      </c>
      <c r="T313" s="10"/>
      <c r="U313" s="10"/>
      <c r="V313" s="10"/>
      <c r="W313" s="12">
        <f t="shared" si="9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6"/>
        <v>0</v>
      </c>
      <c r="AF313" s="10"/>
      <c r="AG313" s="10"/>
      <c r="AH313" s="10"/>
      <c r="AI313" s="12">
        <f t="shared" si="9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91"/>
      <c r="D314" s="32"/>
      <c r="E314" s="32"/>
      <c r="F314" s="32"/>
      <c r="G314" s="32">
        <f t="shared" si="87"/>
        <v>0</v>
      </c>
      <c r="H314" s="10"/>
      <c r="I314" s="10"/>
      <c r="J314" s="10"/>
      <c r="K314" s="12">
        <f t="shared" si="88"/>
        <v>0</v>
      </c>
      <c r="M314" s="10">
        <v>28</v>
      </c>
      <c r="N314" s="30"/>
      <c r="O314" s="31"/>
      <c r="P314" s="47"/>
      <c r="Q314" s="31"/>
      <c r="R314" s="31"/>
      <c r="S314" s="32">
        <f t="shared" si="89"/>
        <v>0</v>
      </c>
      <c r="T314" s="10"/>
      <c r="U314" s="10"/>
      <c r="V314" s="10"/>
      <c r="W314" s="12">
        <f t="shared" si="9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6"/>
        <v>0</v>
      </c>
      <c r="AF314" s="10"/>
      <c r="AG314" s="10"/>
      <c r="AH314" s="10"/>
      <c r="AI314" s="12">
        <f t="shared" si="9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91"/>
      <c r="D315" s="32"/>
      <c r="E315" s="32"/>
      <c r="F315" s="32"/>
      <c r="G315" s="32">
        <f t="shared" si="87"/>
        <v>0</v>
      </c>
      <c r="H315" s="10"/>
      <c r="I315" s="10"/>
      <c r="J315" s="10"/>
      <c r="K315" s="12">
        <f t="shared" si="88"/>
        <v>0</v>
      </c>
      <c r="M315" s="10">
        <v>29</v>
      </c>
      <c r="N315" s="30"/>
      <c r="P315" s="47"/>
      <c r="Q315" s="31"/>
      <c r="R315" s="31"/>
      <c r="S315" s="32">
        <f t="shared" si="89"/>
        <v>0</v>
      </c>
      <c r="T315" s="10"/>
      <c r="U315" s="10"/>
      <c r="V315" s="10"/>
      <c r="W315" s="12">
        <f t="shared" si="9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6"/>
        <v>0</v>
      </c>
      <c r="AF315" s="10"/>
      <c r="AG315" s="10"/>
      <c r="AH315" s="10"/>
      <c r="AI315" s="12">
        <f t="shared" si="9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91"/>
      <c r="D316" s="32"/>
      <c r="E316" s="32"/>
      <c r="F316" s="32"/>
      <c r="G316" s="32">
        <f t="shared" si="87"/>
        <v>0</v>
      </c>
      <c r="H316" s="10"/>
      <c r="I316" s="10"/>
      <c r="J316" s="10"/>
      <c r="K316" s="12">
        <f t="shared" si="88"/>
        <v>0</v>
      </c>
      <c r="M316" s="10">
        <v>30</v>
      </c>
      <c r="N316" s="30"/>
      <c r="P316" s="47"/>
      <c r="Q316" s="31"/>
      <c r="R316" s="31"/>
      <c r="S316" s="32">
        <f t="shared" si="89"/>
        <v>0</v>
      </c>
      <c r="T316" s="10"/>
      <c r="U316" s="10"/>
      <c r="V316" s="10"/>
      <c r="W316" s="12">
        <f t="shared" si="9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96"/>
        <v>0</v>
      </c>
      <c r="AF316" s="10"/>
      <c r="AG316" s="10"/>
      <c r="AH316" s="10"/>
      <c r="AI316" s="12">
        <f t="shared" si="9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91"/>
      <c r="D317" s="32"/>
      <c r="E317" s="32"/>
      <c r="F317" s="32"/>
      <c r="G317" s="32">
        <f t="shared" si="87"/>
        <v>0</v>
      </c>
      <c r="H317" s="10"/>
      <c r="I317" s="10"/>
      <c r="J317" s="10"/>
      <c r="K317" s="12">
        <f t="shared" si="88"/>
        <v>0</v>
      </c>
      <c r="M317" s="10">
        <v>31</v>
      </c>
      <c r="N317" s="30"/>
      <c r="O317" s="31"/>
      <c r="P317" s="47"/>
      <c r="Q317" s="31"/>
      <c r="R317" s="31"/>
      <c r="S317" s="32">
        <f t="shared" si="89"/>
        <v>0</v>
      </c>
      <c r="T317" s="10"/>
      <c r="U317" s="10"/>
      <c r="V317" s="10"/>
      <c r="W317" s="12">
        <f t="shared" si="9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96"/>
        <v>0</v>
      </c>
      <c r="AF317" s="10"/>
      <c r="AG317" s="10"/>
      <c r="AH317" s="10"/>
      <c r="AI317" s="12">
        <f t="shared" si="9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91"/>
      <c r="D318" s="32"/>
      <c r="E318" s="32"/>
      <c r="F318" s="32"/>
      <c r="G318" s="32">
        <f t="shared" si="87"/>
        <v>0</v>
      </c>
      <c r="H318" s="10"/>
      <c r="I318" s="10"/>
      <c r="J318" s="10"/>
      <c r="K318" s="12">
        <f t="shared" si="88"/>
        <v>0</v>
      </c>
      <c r="M318" s="10">
        <v>32</v>
      </c>
      <c r="N318" s="30"/>
      <c r="P318" s="47"/>
      <c r="Q318" s="31"/>
      <c r="R318" s="31"/>
      <c r="S318" s="32">
        <f t="shared" si="89"/>
        <v>0</v>
      </c>
      <c r="T318" s="10"/>
      <c r="U318" s="10"/>
      <c r="V318" s="10"/>
      <c r="W318" s="12">
        <f t="shared" si="9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6"/>
        <v>0</v>
      </c>
      <c r="AF318" s="10"/>
      <c r="AG318" s="10"/>
      <c r="AH318" s="10"/>
      <c r="AI318" s="12">
        <f t="shared" si="9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91"/>
      <c r="D319" s="32"/>
      <c r="E319" s="32"/>
      <c r="F319" s="32"/>
      <c r="G319" s="32">
        <f t="shared" si="87"/>
        <v>0</v>
      </c>
      <c r="H319" s="10"/>
      <c r="I319" s="10"/>
      <c r="J319" s="10"/>
      <c r="K319" s="12">
        <f t="shared" si="88"/>
        <v>0</v>
      </c>
      <c r="M319" s="10">
        <v>33</v>
      </c>
      <c r="N319" s="30"/>
      <c r="O319" s="31"/>
      <c r="P319" s="47"/>
      <c r="Q319" s="31"/>
      <c r="R319" s="31"/>
      <c r="S319" s="32">
        <f t="shared" si="89"/>
        <v>0</v>
      </c>
      <c r="T319" s="10"/>
      <c r="U319" s="10"/>
      <c r="V319" s="10"/>
      <c r="W319" s="12">
        <f t="shared" si="9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6"/>
        <v>0</v>
      </c>
      <c r="AF319" s="10"/>
      <c r="AG319" s="10"/>
      <c r="AH319" s="10"/>
      <c r="AI319" s="12">
        <f t="shared" si="9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91"/>
      <c r="D320" s="32"/>
      <c r="E320" s="32"/>
      <c r="F320" s="32"/>
      <c r="G320" s="32">
        <f t="shared" si="87"/>
        <v>0</v>
      </c>
      <c r="H320" s="10"/>
      <c r="I320" s="10"/>
      <c r="J320" s="10"/>
      <c r="K320" s="12">
        <f t="shared" si="8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7">SUM(P320:Q320)</f>
        <v>0</v>
      </c>
      <c r="T320" s="10"/>
      <c r="U320" s="10"/>
      <c r="V320" s="10"/>
      <c r="W320" s="12">
        <f t="shared" ref="W320:W328" si="98">SUM(S320:V320)</f>
        <v>0</v>
      </c>
      <c r="Y320" s="10">
        <v>34</v>
      </c>
      <c r="Z320" s="30"/>
      <c r="AB320" s="47"/>
      <c r="AC320" s="31"/>
      <c r="AD320" s="31"/>
      <c r="AE320" s="32">
        <f t="shared" si="96"/>
        <v>0</v>
      </c>
      <c r="AF320" s="10"/>
      <c r="AG320" s="10"/>
      <c r="AH320" s="10"/>
      <c r="AI320" s="12">
        <f t="shared" ref="AI320:AI328" si="99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7"/>
        <v>0</v>
      </c>
      <c r="T321" s="10"/>
      <c r="U321" s="10"/>
      <c r="V321" s="10"/>
      <c r="W321" s="12">
        <f t="shared" si="9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6"/>
        <v>0</v>
      </c>
      <c r="AF321" s="10"/>
      <c r="AG321" s="10"/>
      <c r="AH321" s="10"/>
      <c r="AI321" s="12">
        <f t="shared" si="99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7"/>
        <v>0</v>
      </c>
      <c r="T322" s="10"/>
      <c r="U322" s="10"/>
      <c r="V322" s="10"/>
      <c r="W322" s="12">
        <f t="shared" si="9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6"/>
        <v>0</v>
      </c>
      <c r="AF322" s="10"/>
      <c r="AG322" s="10"/>
      <c r="AH322" s="10"/>
      <c r="AI322" s="12">
        <f t="shared" si="99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7"/>
        <v>0</v>
      </c>
      <c r="T323" s="10"/>
      <c r="U323" s="10"/>
      <c r="V323" s="10"/>
      <c r="W323" s="12">
        <f t="shared" si="9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6"/>
        <v>0</v>
      </c>
      <c r="AF323" s="10"/>
      <c r="AG323" s="10"/>
      <c r="AH323" s="10"/>
      <c r="AI323" s="12">
        <f t="shared" si="99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7"/>
        <v>0</v>
      </c>
      <c r="T324" s="10"/>
      <c r="U324" s="10"/>
      <c r="V324" s="10"/>
      <c r="W324" s="12">
        <f t="shared" si="9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6"/>
        <v>0</v>
      </c>
      <c r="AF324" s="10"/>
      <c r="AG324" s="10"/>
      <c r="AH324" s="10"/>
      <c r="AI324" s="12">
        <f t="shared" si="99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7"/>
        <v>0</v>
      </c>
      <c r="T325" s="10"/>
      <c r="U325" s="10"/>
      <c r="V325" s="10"/>
      <c r="W325" s="12">
        <f t="shared" si="9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6"/>
        <v>0</v>
      </c>
      <c r="AF325" s="10"/>
      <c r="AG325" s="10"/>
      <c r="AH325" s="10"/>
      <c r="AI325" s="12">
        <f t="shared" si="99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99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0">SUM(D327:E327)</f>
        <v>0</v>
      </c>
      <c r="H327" s="10"/>
      <c r="I327" s="10"/>
      <c r="J327" s="10"/>
      <c r="K327" s="12">
        <f t="shared" ref="K327" si="101">SUM(G327:J327)</f>
        <v>0</v>
      </c>
      <c r="M327" s="10"/>
      <c r="N327" s="30"/>
      <c r="O327" s="31"/>
      <c r="P327" s="47"/>
      <c r="Q327" s="31"/>
      <c r="R327" s="31"/>
      <c r="S327" s="32">
        <f t="shared" ref="S327" si="102">SUM(P327:Q327)</f>
        <v>0</v>
      </c>
      <c r="T327" s="10"/>
      <c r="U327" s="10"/>
      <c r="V327" s="10"/>
      <c r="W327" s="12">
        <f t="shared" si="98"/>
        <v>0</v>
      </c>
      <c r="Y327" s="10"/>
      <c r="Z327" s="30"/>
      <c r="AA327" s="31"/>
      <c r="AB327" s="47"/>
      <c r="AC327" s="31"/>
      <c r="AD327" s="31"/>
      <c r="AE327" s="32">
        <f t="shared" ref="AE327" si="103">SUM(AB327:AC327)</f>
        <v>0</v>
      </c>
      <c r="AF327" s="10"/>
      <c r="AG327" s="10"/>
      <c r="AH327" s="10"/>
      <c r="AI327" s="12">
        <f t="shared" si="99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99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404682</v>
      </c>
      <c r="E330" s="38">
        <f t="shared" ref="E330:F330" si="104">SUM(E287:E327)</f>
        <v>-4968</v>
      </c>
      <c r="F330" s="38">
        <f t="shared" si="104"/>
        <v>0</v>
      </c>
      <c r="G330" s="38">
        <f>SUM(G287:G329)</f>
        <v>399714</v>
      </c>
      <c r="H330" s="4"/>
      <c r="I330" s="39">
        <f>SUM(I287:I329)</f>
        <v>20790</v>
      </c>
      <c r="J330" s="39">
        <f>SUM(J287:J329)</f>
        <v>-1950</v>
      </c>
      <c r="K330" s="40">
        <f>SUM(K287:K329)</f>
        <v>418554</v>
      </c>
      <c r="N330" s="57"/>
      <c r="O330" s="57"/>
      <c r="P330" s="38">
        <f>SUM(P287:P329)</f>
        <v>92786</v>
      </c>
      <c r="Q330" s="38">
        <f>SUM(Q287:Q311)</f>
        <v>0</v>
      </c>
      <c r="R330" s="38">
        <f>SUM(R287:R311)</f>
        <v>0</v>
      </c>
      <c r="S330" s="38">
        <f>SUM(S287:S329)</f>
        <v>92786</v>
      </c>
      <c r="T330" s="4"/>
      <c r="U330" s="41">
        <f>SUM(U287:U329)</f>
        <v>658.5</v>
      </c>
      <c r="V330" s="41">
        <f>SUM(V287:V311)</f>
        <v>-498</v>
      </c>
      <c r="W330" s="42">
        <f>SUM(W287:W329)</f>
        <v>92946.5</v>
      </c>
      <c r="Z330" s="57"/>
      <c r="AA330" s="57"/>
      <c r="AB330" s="38">
        <f>SUM(AB287:AB329)</f>
        <v>248318</v>
      </c>
      <c r="AC330" s="38">
        <f>SUM(AC287:AC311)</f>
        <v>-2076</v>
      </c>
      <c r="AD330" s="38">
        <f>SUM(AD287:AD311)</f>
        <v>0</v>
      </c>
      <c r="AE330" s="38">
        <f>SUM(AE287:AE329)</f>
        <v>246242</v>
      </c>
      <c r="AF330" s="4"/>
      <c r="AG330" s="41">
        <f>SUM(AG287:AG329)</f>
        <v>6928.5</v>
      </c>
      <c r="AH330" s="41">
        <f>SUM(AH287:AH311)</f>
        <v>-84</v>
      </c>
      <c r="AI330" s="42">
        <f>SUM(AI287:AI329)</f>
        <v>253086.5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35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35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35</v>
      </c>
      <c r="Z337" s="57"/>
      <c r="AA337" s="57"/>
      <c r="AB337" s="57"/>
      <c r="AC337" s="57"/>
      <c r="AD337" s="57"/>
      <c r="AE337" s="57"/>
      <c r="AG337" s="57" t="s">
        <v>15</v>
      </c>
      <c r="AH337" s="19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58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58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42</v>
      </c>
      <c r="W338" s="24"/>
      <c r="Y338" s="21" t="s">
        <v>58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1" t="s">
        <v>17</v>
      </c>
      <c r="E340" s="111"/>
      <c r="F340" s="97"/>
      <c r="G340" s="27"/>
      <c r="I340" s="114" t="s">
        <v>18</v>
      </c>
      <c r="J340" s="115"/>
      <c r="K340" s="112" t="s">
        <v>19</v>
      </c>
      <c r="N340" s="25"/>
      <c r="O340" s="26"/>
      <c r="P340" s="111" t="s">
        <v>17</v>
      </c>
      <c r="Q340" s="111"/>
      <c r="R340" s="97"/>
      <c r="S340" s="27"/>
      <c r="U340" s="114" t="s">
        <v>18</v>
      </c>
      <c r="V340" s="115"/>
      <c r="W340" s="112" t="s">
        <v>19</v>
      </c>
      <c r="Z340" s="25"/>
      <c r="AA340" s="26"/>
      <c r="AB340" s="111" t="s">
        <v>17</v>
      </c>
      <c r="AC340" s="111"/>
      <c r="AD340" s="97"/>
      <c r="AE340" s="27"/>
      <c r="AG340" s="114" t="s">
        <v>18</v>
      </c>
      <c r="AH340" s="115"/>
      <c r="AI340" s="112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3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3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45941</v>
      </c>
      <c r="C342" s="91">
        <v>6975</v>
      </c>
      <c r="D342" s="32">
        <f>3130+47</f>
        <v>3177</v>
      </c>
      <c r="E342" s="32"/>
      <c r="F342" s="32"/>
      <c r="G342" s="32">
        <f t="shared" ref="G342:G375" si="105">SUM(D342:E342)</f>
        <v>3177</v>
      </c>
      <c r="H342" s="12"/>
      <c r="I342" s="12"/>
      <c r="J342" s="12"/>
      <c r="K342" s="12">
        <f t="shared" ref="K342:K375" si="106">SUM(G342:J342)</f>
        <v>3177</v>
      </c>
      <c r="M342" s="10">
        <v>1</v>
      </c>
      <c r="N342" s="30">
        <v>45941</v>
      </c>
      <c r="O342" s="31">
        <v>6848</v>
      </c>
      <c r="P342" s="32">
        <f>4382+614+66.5</f>
        <v>5062.5</v>
      </c>
      <c r="Q342" s="32"/>
      <c r="R342" s="32"/>
      <c r="S342" s="32">
        <f>SUM(P342:Q342)</f>
        <v>5062.5</v>
      </c>
      <c r="T342" s="12"/>
      <c r="U342" s="12"/>
      <c r="V342" s="12"/>
      <c r="W342" s="12">
        <f>SUM(S342:V342)</f>
        <v>5062.5</v>
      </c>
      <c r="Y342" s="10">
        <v>1</v>
      </c>
      <c r="Z342" s="30">
        <v>45941</v>
      </c>
      <c r="AA342" s="31">
        <v>6897</v>
      </c>
      <c r="AB342" s="32">
        <f>3015+6656+1500</f>
        <v>11171</v>
      </c>
      <c r="AC342" s="32"/>
      <c r="AD342" s="32"/>
      <c r="AE342" s="32">
        <f>SUM(AB342:AC342)</f>
        <v>11171</v>
      </c>
      <c r="AF342" s="12"/>
      <c r="AG342" s="12">
        <f>360+396</f>
        <v>756</v>
      </c>
      <c r="AH342" s="12"/>
      <c r="AI342" s="12">
        <f>SUM(AE342:AH342)</f>
        <v>11927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45941</v>
      </c>
      <c r="C343" s="91">
        <f>C342+1</f>
        <v>6976</v>
      </c>
      <c r="D343" s="32"/>
      <c r="E343" s="32"/>
      <c r="F343" s="32"/>
      <c r="G343" s="32">
        <f t="shared" si="105"/>
        <v>0</v>
      </c>
      <c r="H343" s="12"/>
      <c r="I343" s="12"/>
      <c r="J343" s="12"/>
      <c r="K343" s="12">
        <f t="shared" si="106"/>
        <v>0</v>
      </c>
      <c r="M343" s="10">
        <v>2</v>
      </c>
      <c r="N343" s="30">
        <v>45941</v>
      </c>
      <c r="O343" s="31">
        <f>O342+1</f>
        <v>6849</v>
      </c>
      <c r="P343" s="32">
        <f>9390+614+2980+832+190</f>
        <v>14006</v>
      </c>
      <c r="Q343" s="32"/>
      <c r="R343" s="32"/>
      <c r="S343" s="32">
        <f t="shared" ref="S343:S374" si="107">SUM(P343:Q343)</f>
        <v>14006</v>
      </c>
      <c r="T343" s="12"/>
      <c r="U343" s="12">
        <f>40.5</f>
        <v>40.5</v>
      </c>
      <c r="V343" s="12"/>
      <c r="W343" s="12">
        <f t="shared" ref="W343:W383" si="108">SUM(S343:V343)</f>
        <v>14046.5</v>
      </c>
      <c r="Y343" s="10">
        <v>2</v>
      </c>
      <c r="Z343" s="30">
        <v>45941</v>
      </c>
      <c r="AA343" s="31">
        <f>AA342+1</f>
        <v>6898</v>
      </c>
      <c r="AB343" s="32">
        <f>31300+29800+916</f>
        <v>62016</v>
      </c>
      <c r="AC343" s="32"/>
      <c r="AD343" s="32"/>
      <c r="AE343" s="32">
        <f t="shared" ref="AE343:AE345" si="109">SUM(AB343:AC343)</f>
        <v>62016</v>
      </c>
      <c r="AF343" s="12"/>
      <c r="AG343" s="12"/>
      <c r="AH343" s="12">
        <v>-5550</v>
      </c>
      <c r="AI343" s="12">
        <f t="shared" ref="AI343:AI374" si="110">SUM(AE343:AH343)</f>
        <v>56466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45941</v>
      </c>
      <c r="C344" s="91">
        <f t="shared" ref="C344:C354" si="111">C343+1</f>
        <v>6977</v>
      </c>
      <c r="D344" s="33">
        <f>21910+1228</f>
        <v>23138</v>
      </c>
      <c r="E344" s="33"/>
      <c r="F344" s="33"/>
      <c r="G344" s="33">
        <f t="shared" si="105"/>
        <v>23138</v>
      </c>
      <c r="H344" s="34"/>
      <c r="I344" s="34">
        <v>117</v>
      </c>
      <c r="J344" s="34"/>
      <c r="K344" s="34">
        <f t="shared" si="106"/>
        <v>23255</v>
      </c>
      <c r="M344" s="10">
        <v>3</v>
      </c>
      <c r="N344" s="30">
        <v>45941</v>
      </c>
      <c r="O344" s="31">
        <f t="shared" ref="O344:O374" si="112">O343+1</f>
        <v>6850</v>
      </c>
      <c r="P344" s="32">
        <f>1878+596+38</f>
        <v>2512</v>
      </c>
      <c r="Q344" s="32"/>
      <c r="R344" s="32"/>
      <c r="S344" s="32">
        <f t="shared" si="107"/>
        <v>2512</v>
      </c>
      <c r="T344" s="12"/>
      <c r="U344" s="12"/>
      <c r="V344" s="12"/>
      <c r="W344" s="12">
        <f t="shared" si="108"/>
        <v>2512</v>
      </c>
      <c r="Y344" s="10">
        <v>3</v>
      </c>
      <c r="Z344" s="30">
        <v>45941</v>
      </c>
      <c r="AA344" s="31">
        <f t="shared" ref="AA344:AA349" si="113">AA343+1</f>
        <v>6899</v>
      </c>
      <c r="AB344" s="33">
        <f>112680+11920+1832</f>
        <v>126432</v>
      </c>
      <c r="AC344" s="33">
        <v>-1248</v>
      </c>
      <c r="AD344" s="32"/>
      <c r="AE344" s="32">
        <f t="shared" si="109"/>
        <v>125184</v>
      </c>
      <c r="AF344" s="12"/>
      <c r="AG344" s="12"/>
      <c r="AH344" s="12"/>
      <c r="AI344" s="12">
        <f t="shared" si="110"/>
        <v>125184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45941</v>
      </c>
      <c r="C345" s="91">
        <f t="shared" si="111"/>
        <v>6978</v>
      </c>
      <c r="D345" s="32">
        <f>4382+1228+913+1192+852+832+1000</f>
        <v>10399</v>
      </c>
      <c r="E345" s="32"/>
      <c r="F345" s="32"/>
      <c r="G345" s="32">
        <f t="shared" si="105"/>
        <v>10399</v>
      </c>
      <c r="H345" s="12"/>
      <c r="I345" s="12">
        <f>337</f>
        <v>337</v>
      </c>
      <c r="J345" s="12"/>
      <c r="K345" s="12">
        <f t="shared" si="106"/>
        <v>10736</v>
      </c>
      <c r="M345" s="10">
        <v>4</v>
      </c>
      <c r="N345" s="30">
        <v>45941</v>
      </c>
      <c r="O345" s="31">
        <v>7010</v>
      </c>
      <c r="P345" s="32">
        <f>2504+38</f>
        <v>2542</v>
      </c>
      <c r="Q345" s="32"/>
      <c r="R345" s="32"/>
      <c r="S345" s="32">
        <f t="shared" si="107"/>
        <v>2542</v>
      </c>
      <c r="T345" s="12"/>
      <c r="U345" s="12">
        <v>22.5</v>
      </c>
      <c r="V345" s="12"/>
      <c r="W345" s="12">
        <f t="shared" si="108"/>
        <v>2564.5</v>
      </c>
      <c r="Y345" s="10">
        <v>4</v>
      </c>
      <c r="Z345" s="30">
        <v>45941</v>
      </c>
      <c r="AA345" s="31">
        <f t="shared" si="113"/>
        <v>6900</v>
      </c>
      <c r="AB345" s="32">
        <f>7512</f>
        <v>7512</v>
      </c>
      <c r="AC345" s="32"/>
      <c r="AD345" s="32"/>
      <c r="AE345" s="32">
        <f t="shared" si="109"/>
        <v>7512</v>
      </c>
      <c r="AF345" s="12"/>
      <c r="AH345" s="12"/>
      <c r="AI345" s="12">
        <f t="shared" si="110"/>
        <v>7512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45941</v>
      </c>
      <c r="C346" s="91">
        <f t="shared" si="111"/>
        <v>6979</v>
      </c>
      <c r="D346" s="32">
        <f>2504+596+47</f>
        <v>3147</v>
      </c>
      <c r="E346" s="32"/>
      <c r="F346" s="32"/>
      <c r="G346" s="32">
        <f t="shared" si="105"/>
        <v>3147</v>
      </c>
      <c r="H346" s="12"/>
      <c r="I346" s="12"/>
      <c r="J346" s="12"/>
      <c r="K346" s="12">
        <f t="shared" si="106"/>
        <v>3147</v>
      </c>
      <c r="M346" s="10">
        <v>5</v>
      </c>
      <c r="N346" s="30">
        <v>45941</v>
      </c>
      <c r="O346" s="31">
        <f t="shared" si="112"/>
        <v>7011</v>
      </c>
      <c r="P346" s="32">
        <f>3130+47.5</f>
        <v>3177.5</v>
      </c>
      <c r="Q346" s="32"/>
      <c r="R346" s="32"/>
      <c r="S346" s="32">
        <f t="shared" si="107"/>
        <v>3177.5</v>
      </c>
      <c r="T346" s="12"/>
      <c r="U346" s="12"/>
      <c r="V346" s="12"/>
      <c r="W346" s="12">
        <f t="shared" si="108"/>
        <v>3177.5</v>
      </c>
      <c r="Y346" s="10">
        <v>5</v>
      </c>
      <c r="Z346" s="30">
        <v>45941</v>
      </c>
      <c r="AA346" s="31">
        <v>7101</v>
      </c>
      <c r="AB346" s="32">
        <f>626*7+596*2+85.5</f>
        <v>5659.5</v>
      </c>
      <c r="AC346" s="32"/>
      <c r="AD346" s="32"/>
      <c r="AE346" s="32">
        <f t="shared" ref="AE346:AE380" si="114">SUM(AB346:AC346)</f>
        <v>5659.5</v>
      </c>
      <c r="AF346" s="12"/>
      <c r="AG346" s="12"/>
      <c r="AH346" s="12"/>
      <c r="AI346" s="12">
        <f t="shared" si="110"/>
        <v>5659.5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45941</v>
      </c>
      <c r="C347" s="91">
        <f t="shared" si="111"/>
        <v>6980</v>
      </c>
      <c r="D347" s="32">
        <f>3130+1228+47</f>
        <v>4405</v>
      </c>
      <c r="E347" s="32"/>
      <c r="F347" s="32"/>
      <c r="G347" s="32">
        <f t="shared" si="105"/>
        <v>4405</v>
      </c>
      <c r="H347" s="12"/>
      <c r="I347" s="12">
        <v>53</v>
      </c>
      <c r="J347" s="12"/>
      <c r="K347" s="12">
        <f t="shared" si="106"/>
        <v>4458</v>
      </c>
      <c r="M347" s="10">
        <v>6</v>
      </c>
      <c r="N347" s="30">
        <v>45941</v>
      </c>
      <c r="O347" s="31">
        <f t="shared" si="112"/>
        <v>7012</v>
      </c>
      <c r="P347" s="32">
        <f>832</f>
        <v>832</v>
      </c>
      <c r="Q347" s="32"/>
      <c r="R347" s="32"/>
      <c r="S347" s="32">
        <f t="shared" si="107"/>
        <v>832</v>
      </c>
      <c r="T347" s="12"/>
      <c r="U347" s="12"/>
      <c r="V347" s="10"/>
      <c r="W347" s="12">
        <f t="shared" si="108"/>
        <v>832</v>
      </c>
      <c r="Y347" s="10">
        <v>6</v>
      </c>
      <c r="Z347" s="30">
        <v>45941</v>
      </c>
      <c r="AA347" s="31">
        <f t="shared" si="113"/>
        <v>7102</v>
      </c>
      <c r="AB347" s="32">
        <f>5008+76</f>
        <v>5084</v>
      </c>
      <c r="AC347" s="32"/>
      <c r="AD347" s="32"/>
      <c r="AE347" s="32">
        <f t="shared" si="114"/>
        <v>5084</v>
      </c>
      <c r="AF347" s="12"/>
      <c r="AG347" s="12"/>
      <c r="AH347" s="10"/>
      <c r="AI347" s="12">
        <f t="shared" si="110"/>
        <v>5084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45941</v>
      </c>
      <c r="C348" s="91">
        <f t="shared" si="111"/>
        <v>6981</v>
      </c>
      <c r="D348" s="32">
        <f>626+1192+28</f>
        <v>1846</v>
      </c>
      <c r="E348" s="32"/>
      <c r="F348" s="32"/>
      <c r="G348" s="32">
        <f t="shared" si="105"/>
        <v>1846</v>
      </c>
      <c r="H348" s="12"/>
      <c r="I348" s="12"/>
      <c r="J348" s="12"/>
      <c r="K348" s="12">
        <f t="shared" si="106"/>
        <v>1846</v>
      </c>
      <c r="M348" s="10">
        <v>7</v>
      </c>
      <c r="N348" s="30">
        <v>45941</v>
      </c>
      <c r="O348" s="31">
        <f t="shared" si="112"/>
        <v>7013</v>
      </c>
      <c r="P348" s="32">
        <f>15650+2980</f>
        <v>18630</v>
      </c>
      <c r="Q348" s="32"/>
      <c r="R348" s="32"/>
      <c r="S348" s="32">
        <f t="shared" si="107"/>
        <v>18630</v>
      </c>
      <c r="T348" s="12"/>
      <c r="U348" s="12">
        <v>27</v>
      </c>
      <c r="V348" s="12"/>
      <c r="W348" s="12">
        <f t="shared" si="108"/>
        <v>18657</v>
      </c>
      <c r="Y348" s="10">
        <v>7</v>
      </c>
      <c r="Z348" s="30">
        <v>45941</v>
      </c>
      <c r="AA348" s="31">
        <f t="shared" si="113"/>
        <v>7103</v>
      </c>
      <c r="AB348" s="32">
        <f>1252</f>
        <v>1252</v>
      </c>
      <c r="AC348" s="32"/>
      <c r="AD348" s="32"/>
      <c r="AE348" s="32">
        <f t="shared" si="114"/>
        <v>1252</v>
      </c>
      <c r="AF348" s="12"/>
      <c r="AG348" s="58"/>
      <c r="AH348" s="12"/>
      <c r="AI348" s="12">
        <f t="shared" si="110"/>
        <v>1252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45941</v>
      </c>
      <c r="C349" s="91">
        <f t="shared" si="111"/>
        <v>6982</v>
      </c>
      <c r="D349" s="32">
        <f>5008+614+76</f>
        <v>5698</v>
      </c>
      <c r="E349" s="32"/>
      <c r="F349" s="32"/>
      <c r="G349" s="32">
        <f t="shared" si="105"/>
        <v>5698</v>
      </c>
      <c r="H349" s="12"/>
      <c r="I349" s="12"/>
      <c r="J349" s="12"/>
      <c r="K349" s="12">
        <f t="shared" si="106"/>
        <v>5698</v>
      </c>
      <c r="M349" s="10">
        <v>8</v>
      </c>
      <c r="N349" s="30">
        <v>45941</v>
      </c>
      <c r="O349" s="31">
        <f t="shared" si="112"/>
        <v>7014</v>
      </c>
      <c r="P349" s="32">
        <f>2504+38</f>
        <v>2542</v>
      </c>
      <c r="Q349" s="32"/>
      <c r="R349" s="32"/>
      <c r="S349" s="32">
        <f t="shared" si="107"/>
        <v>2542</v>
      </c>
      <c r="T349" s="12"/>
      <c r="U349" s="12"/>
      <c r="V349" s="12"/>
      <c r="W349" s="12">
        <f t="shared" si="108"/>
        <v>2542</v>
      </c>
      <c r="Y349" s="10">
        <v>8</v>
      </c>
      <c r="Z349" s="30">
        <v>45941</v>
      </c>
      <c r="AA349" s="31">
        <f t="shared" si="113"/>
        <v>7104</v>
      </c>
      <c r="AB349" s="32">
        <f>1252</f>
        <v>1252</v>
      </c>
      <c r="AC349" s="32"/>
      <c r="AE349" s="32">
        <f t="shared" si="114"/>
        <v>1252</v>
      </c>
      <c r="AF349" s="12"/>
      <c r="AG349" s="12"/>
      <c r="AH349" s="12">
        <v>-222</v>
      </c>
      <c r="AI349" s="12">
        <f t="shared" si="110"/>
        <v>1030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45941</v>
      </c>
      <c r="C350" s="91">
        <f t="shared" si="111"/>
        <v>6983</v>
      </c>
      <c r="D350" s="32">
        <f>2504+596+47</f>
        <v>3147</v>
      </c>
      <c r="E350" s="32"/>
      <c r="F350" s="32"/>
      <c r="G350" s="32">
        <f t="shared" si="105"/>
        <v>3147</v>
      </c>
      <c r="H350" s="12"/>
      <c r="I350" s="12"/>
      <c r="J350" s="12"/>
      <c r="K350" s="12">
        <f t="shared" si="106"/>
        <v>3147</v>
      </c>
      <c r="M350" s="10">
        <v>9</v>
      </c>
      <c r="N350" s="30">
        <v>45941</v>
      </c>
      <c r="O350" s="31">
        <f t="shared" si="112"/>
        <v>7015</v>
      </c>
      <c r="P350" s="32">
        <f>1878+28.5</f>
        <v>1906.5</v>
      </c>
      <c r="Q350" s="32"/>
      <c r="R350" s="32"/>
      <c r="S350" s="32">
        <f t="shared" si="107"/>
        <v>1906.5</v>
      </c>
      <c r="T350" s="12"/>
      <c r="U350" s="12">
        <v>4.5</v>
      </c>
      <c r="V350" s="12"/>
      <c r="W350" s="12">
        <f t="shared" si="108"/>
        <v>1911</v>
      </c>
      <c r="Y350" s="10">
        <v>9</v>
      </c>
      <c r="Z350" s="30"/>
      <c r="AA350" s="11" t="s">
        <v>27</v>
      </c>
      <c r="AB350" s="32"/>
      <c r="AC350" s="32"/>
      <c r="AD350" s="32"/>
      <c r="AE350" s="32">
        <f t="shared" si="114"/>
        <v>0</v>
      </c>
      <c r="AF350" s="12"/>
      <c r="AG350" s="58"/>
      <c r="AH350" s="12"/>
      <c r="AI350" s="12">
        <f t="shared" si="110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45941</v>
      </c>
      <c r="C351" s="91">
        <f t="shared" si="111"/>
        <v>6984</v>
      </c>
      <c r="D351" s="32">
        <f>1252+19</f>
        <v>1271</v>
      </c>
      <c r="E351" s="32"/>
      <c r="F351" s="32"/>
      <c r="G351" s="32">
        <f t="shared" si="105"/>
        <v>1271</v>
      </c>
      <c r="H351" s="12"/>
      <c r="I351" s="12"/>
      <c r="J351" s="12"/>
      <c r="K351" s="12">
        <f t="shared" si="106"/>
        <v>1271</v>
      </c>
      <c r="M351" s="10">
        <v>10</v>
      </c>
      <c r="N351" s="30">
        <v>45941</v>
      </c>
      <c r="O351" s="31">
        <f t="shared" si="112"/>
        <v>7016</v>
      </c>
      <c r="P351" s="32">
        <f>1878+28.5</f>
        <v>1906.5</v>
      </c>
      <c r="Q351" s="32"/>
      <c r="R351" s="32"/>
      <c r="S351" s="32">
        <f t="shared" si="107"/>
        <v>1906.5</v>
      </c>
      <c r="T351" s="12"/>
      <c r="U351" s="12"/>
      <c r="V351" s="12"/>
      <c r="W351" s="12">
        <f t="shared" si="108"/>
        <v>1906.5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0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45941</v>
      </c>
      <c r="C352" s="91">
        <f t="shared" si="111"/>
        <v>6985</v>
      </c>
      <c r="D352" s="32">
        <f>1878+614</f>
        <v>2492</v>
      </c>
      <c r="E352" s="32"/>
      <c r="F352" s="32"/>
      <c r="G352" s="32">
        <f t="shared" si="105"/>
        <v>2492</v>
      </c>
      <c r="H352" s="12"/>
      <c r="I352" s="12">
        <v>9</v>
      </c>
      <c r="J352" s="12"/>
      <c r="K352" s="12">
        <f t="shared" si="106"/>
        <v>2501</v>
      </c>
      <c r="M352" s="10">
        <v>11</v>
      </c>
      <c r="N352" s="30">
        <v>45941</v>
      </c>
      <c r="O352" s="31">
        <f t="shared" si="112"/>
        <v>7017</v>
      </c>
      <c r="P352" s="32">
        <f>626+9.5</f>
        <v>635.5</v>
      </c>
      <c r="Q352" s="32"/>
      <c r="R352" s="32"/>
      <c r="S352" s="32">
        <f t="shared" si="107"/>
        <v>635.5</v>
      </c>
      <c r="T352" s="12"/>
      <c r="U352" s="12"/>
      <c r="V352" s="12"/>
      <c r="W352" s="12">
        <f t="shared" si="108"/>
        <v>635.5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0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45941</v>
      </c>
      <c r="C353" s="91">
        <f t="shared" si="111"/>
        <v>6986</v>
      </c>
      <c r="D353" s="32">
        <f>913+852+1005+650</f>
        <v>3420</v>
      </c>
      <c r="E353" s="32"/>
      <c r="F353" s="32"/>
      <c r="G353" s="32">
        <f t="shared" si="105"/>
        <v>3420</v>
      </c>
      <c r="H353" s="12"/>
      <c r="I353" s="12"/>
      <c r="J353" s="10"/>
      <c r="K353" s="12">
        <f t="shared" si="106"/>
        <v>3420</v>
      </c>
      <c r="M353" s="10">
        <v>12</v>
      </c>
      <c r="N353" s="30">
        <v>45941</v>
      </c>
      <c r="O353" s="31">
        <f t="shared" si="112"/>
        <v>7018</v>
      </c>
      <c r="P353" s="32">
        <f>1878+1192+47.5</f>
        <v>3117.5</v>
      </c>
      <c r="Q353" s="32"/>
      <c r="R353" s="32"/>
      <c r="S353" s="32">
        <f t="shared" si="107"/>
        <v>3117.5</v>
      </c>
      <c r="T353" s="12"/>
      <c r="U353" s="12"/>
      <c r="V353" s="12"/>
      <c r="W353" s="12">
        <f t="shared" si="108"/>
        <v>3117.5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0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45941</v>
      </c>
      <c r="C354" s="91">
        <f t="shared" si="111"/>
        <v>6987</v>
      </c>
      <c r="D354" s="32">
        <f>18780</f>
        <v>18780</v>
      </c>
      <c r="E354" s="32"/>
      <c r="F354" s="32"/>
      <c r="G354" s="32">
        <f t="shared" si="105"/>
        <v>18780</v>
      </c>
      <c r="H354" s="12"/>
      <c r="I354" s="12"/>
      <c r="J354" s="12"/>
      <c r="K354" s="12">
        <f t="shared" si="106"/>
        <v>18780</v>
      </c>
      <c r="M354" s="10">
        <v>13</v>
      </c>
      <c r="N354" s="30">
        <v>45941</v>
      </c>
      <c r="O354" s="31">
        <f t="shared" si="112"/>
        <v>7019</v>
      </c>
      <c r="P354" s="32">
        <f>6260+614</f>
        <v>6874</v>
      </c>
      <c r="Q354" s="32"/>
      <c r="R354" s="32"/>
      <c r="S354" s="32">
        <f t="shared" si="107"/>
        <v>6874</v>
      </c>
      <c r="T354" s="12"/>
      <c r="U354" s="12"/>
      <c r="V354" s="12">
        <v>-111</v>
      </c>
      <c r="W354" s="12">
        <f t="shared" si="108"/>
        <v>6763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0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11" t="s">
        <v>27</v>
      </c>
      <c r="D355" s="32"/>
      <c r="E355" s="32"/>
      <c r="F355" s="32"/>
      <c r="G355" s="32">
        <f t="shared" si="105"/>
        <v>0</v>
      </c>
      <c r="H355" s="12"/>
      <c r="I355" s="12"/>
      <c r="J355" s="12"/>
      <c r="K355" s="12">
        <f t="shared" si="106"/>
        <v>0</v>
      </c>
      <c r="M355" s="10">
        <v>14</v>
      </c>
      <c r="N355" s="30">
        <v>45941</v>
      </c>
      <c r="O355" s="31">
        <f t="shared" si="112"/>
        <v>7020</v>
      </c>
      <c r="P355" s="32"/>
      <c r="Q355" s="32"/>
      <c r="R355" s="32"/>
      <c r="S355" s="32">
        <f t="shared" si="107"/>
        <v>0</v>
      </c>
      <c r="T355" s="12"/>
      <c r="U355" s="12"/>
      <c r="V355" s="12"/>
      <c r="W355" s="12">
        <f t="shared" si="108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0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91"/>
      <c r="D356" s="32"/>
      <c r="E356" s="32"/>
      <c r="F356" s="32"/>
      <c r="G356" s="32">
        <f t="shared" si="105"/>
        <v>0</v>
      </c>
      <c r="H356" s="12"/>
      <c r="I356" s="12"/>
      <c r="J356" s="12"/>
      <c r="K356" s="12">
        <f t="shared" si="106"/>
        <v>0</v>
      </c>
      <c r="M356" s="10">
        <v>15</v>
      </c>
      <c r="N356" s="30">
        <v>45941</v>
      </c>
      <c r="O356" s="31">
        <f t="shared" si="112"/>
        <v>7021</v>
      </c>
      <c r="P356" s="32">
        <f>2504+1192+66.5</f>
        <v>3762.5</v>
      </c>
      <c r="Q356" s="32"/>
      <c r="R356" s="32"/>
      <c r="S356" s="32">
        <f t="shared" si="107"/>
        <v>3762.5</v>
      </c>
      <c r="T356" s="12"/>
      <c r="U356" s="12"/>
      <c r="V356" s="12"/>
      <c r="W356" s="12">
        <f t="shared" si="108"/>
        <v>3762.5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0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91"/>
      <c r="D357" s="32"/>
      <c r="E357" s="32"/>
      <c r="F357" s="32"/>
      <c r="G357" s="32">
        <f t="shared" si="105"/>
        <v>0</v>
      </c>
      <c r="H357" s="12"/>
      <c r="I357" s="12"/>
      <c r="J357" s="12"/>
      <c r="K357" s="12">
        <f t="shared" si="106"/>
        <v>0</v>
      </c>
      <c r="M357" s="10">
        <v>16</v>
      </c>
      <c r="N357" s="30">
        <v>45941</v>
      </c>
      <c r="O357" s="31">
        <f t="shared" si="112"/>
        <v>7022</v>
      </c>
      <c r="P357" s="32">
        <f>9390+142.5</f>
        <v>9532.5</v>
      </c>
      <c r="Q357" s="32"/>
      <c r="R357" s="32"/>
      <c r="S357" s="32">
        <f t="shared" si="107"/>
        <v>9532.5</v>
      </c>
      <c r="T357" s="12"/>
      <c r="U357" s="12">
        <v>9</v>
      </c>
      <c r="V357" s="12"/>
      <c r="W357" s="12">
        <f t="shared" si="108"/>
        <v>9541.5</v>
      </c>
      <c r="Y357" s="10">
        <v>16</v>
      </c>
      <c r="Z357" s="30"/>
      <c r="AA357" s="31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0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91"/>
      <c r="D358" s="32"/>
      <c r="E358" s="32"/>
      <c r="F358" s="32"/>
      <c r="G358" s="32">
        <f t="shared" si="105"/>
        <v>0</v>
      </c>
      <c r="H358" s="12"/>
      <c r="I358" s="12"/>
      <c r="J358" s="12"/>
      <c r="K358" s="12">
        <f t="shared" si="106"/>
        <v>0</v>
      </c>
      <c r="M358" s="10">
        <v>17</v>
      </c>
      <c r="N358" s="30">
        <v>45941</v>
      </c>
      <c r="O358" s="31">
        <f t="shared" si="112"/>
        <v>7023</v>
      </c>
      <c r="P358" s="35">
        <f>3756+57</f>
        <v>3813</v>
      </c>
      <c r="Q358" s="32"/>
      <c r="R358" s="32"/>
      <c r="S358" s="32">
        <f t="shared" si="107"/>
        <v>3813</v>
      </c>
      <c r="T358" s="12"/>
      <c r="U358" s="12"/>
      <c r="V358" s="12"/>
      <c r="W358" s="12">
        <f t="shared" si="108"/>
        <v>3813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0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91"/>
      <c r="D359" s="32"/>
      <c r="E359" s="32"/>
      <c r="F359" s="32"/>
      <c r="G359" s="32">
        <f t="shared" si="105"/>
        <v>0</v>
      </c>
      <c r="H359" s="12"/>
      <c r="I359" s="12"/>
      <c r="J359" s="12"/>
      <c r="K359" s="12">
        <f t="shared" si="106"/>
        <v>0</v>
      </c>
      <c r="M359" s="10">
        <v>18</v>
      </c>
      <c r="N359" s="30">
        <v>45941</v>
      </c>
      <c r="O359" s="31">
        <f t="shared" si="112"/>
        <v>7024</v>
      </c>
      <c r="P359" s="32">
        <f>8764+1192+152</f>
        <v>10108</v>
      </c>
      <c r="Q359" s="32"/>
      <c r="R359" s="32"/>
      <c r="S359" s="32">
        <f t="shared" si="107"/>
        <v>10108</v>
      </c>
      <c r="T359" s="12"/>
      <c r="U359" s="12">
        <v>54</v>
      </c>
      <c r="V359" s="12"/>
      <c r="W359" s="12">
        <f t="shared" si="108"/>
        <v>10162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0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91"/>
      <c r="D360" s="32"/>
      <c r="E360" s="32"/>
      <c r="F360" s="32"/>
      <c r="G360" s="32">
        <f t="shared" si="105"/>
        <v>0</v>
      </c>
      <c r="H360" s="12"/>
      <c r="I360" s="12"/>
      <c r="J360" s="12"/>
      <c r="K360" s="12">
        <f t="shared" si="106"/>
        <v>0</v>
      </c>
      <c r="M360" s="10">
        <v>19</v>
      </c>
      <c r="N360" s="30">
        <v>45941</v>
      </c>
      <c r="O360" s="31">
        <f t="shared" si="112"/>
        <v>7025</v>
      </c>
      <c r="P360" s="32">
        <f>614</f>
        <v>614</v>
      </c>
      <c r="Q360" s="32"/>
      <c r="R360" s="32"/>
      <c r="S360" s="32">
        <f t="shared" si="107"/>
        <v>614</v>
      </c>
      <c r="T360" s="12"/>
      <c r="U360" s="12"/>
      <c r="V360" s="12"/>
      <c r="W360" s="12">
        <f t="shared" si="108"/>
        <v>614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0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5"/>
        <v>0</v>
      </c>
      <c r="H361" s="12"/>
      <c r="I361" s="12"/>
      <c r="J361" s="12"/>
      <c r="K361" s="12">
        <f t="shared" si="106"/>
        <v>0</v>
      </c>
      <c r="M361" s="10">
        <v>20</v>
      </c>
      <c r="N361" s="30">
        <v>45941</v>
      </c>
      <c r="O361" s="31">
        <f t="shared" si="112"/>
        <v>7026</v>
      </c>
      <c r="P361" s="32">
        <f>1878+28.5</f>
        <v>1906.5</v>
      </c>
      <c r="Q361" s="32"/>
      <c r="R361" s="32"/>
      <c r="S361" s="32">
        <f t="shared" si="107"/>
        <v>1906.5</v>
      </c>
      <c r="T361" s="12"/>
      <c r="U361" s="12"/>
      <c r="V361" s="12"/>
      <c r="W361" s="12">
        <f t="shared" si="108"/>
        <v>1906.5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0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D362" s="32"/>
      <c r="E362" s="32"/>
      <c r="F362" s="32"/>
      <c r="G362" s="32">
        <f t="shared" si="105"/>
        <v>0</v>
      </c>
      <c r="H362" s="10"/>
      <c r="I362" s="10"/>
      <c r="J362" s="10"/>
      <c r="K362" s="12">
        <f t="shared" si="106"/>
        <v>0</v>
      </c>
      <c r="M362" s="10">
        <v>21</v>
      </c>
      <c r="N362" s="30">
        <v>45941</v>
      </c>
      <c r="O362" s="31">
        <f t="shared" si="112"/>
        <v>7027</v>
      </c>
      <c r="P362" s="46">
        <f>1252+19</f>
        <v>1271</v>
      </c>
      <c r="Q362" s="31"/>
      <c r="R362" s="31"/>
      <c r="S362" s="32">
        <f t="shared" si="107"/>
        <v>1271</v>
      </c>
      <c r="T362" s="10"/>
      <c r="U362" s="10"/>
      <c r="V362" s="10"/>
      <c r="W362" s="12">
        <f t="shared" si="108"/>
        <v>1271</v>
      </c>
      <c r="Y362" s="10">
        <v>21</v>
      </c>
      <c r="Z362" s="30"/>
      <c r="AA362" s="31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0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5"/>
        <v>0</v>
      </c>
      <c r="H363" s="10"/>
      <c r="I363" s="10"/>
      <c r="J363" s="10"/>
      <c r="K363" s="12">
        <f t="shared" si="106"/>
        <v>0</v>
      </c>
      <c r="M363" s="10">
        <v>22</v>
      </c>
      <c r="N363" s="30">
        <v>45941</v>
      </c>
      <c r="O363" s="31">
        <f t="shared" si="112"/>
        <v>7028</v>
      </c>
      <c r="P363" s="45">
        <f>1878+28.5</f>
        <v>1906.5</v>
      </c>
      <c r="Q363" s="31"/>
      <c r="R363" s="31"/>
      <c r="S363" s="32">
        <f t="shared" si="107"/>
        <v>1906.5</v>
      </c>
      <c r="T363" s="10"/>
      <c r="U363" s="10"/>
      <c r="V363" s="10"/>
      <c r="W363" s="12">
        <f t="shared" si="108"/>
        <v>1906.5</v>
      </c>
      <c r="Y363" s="10">
        <v>22</v>
      </c>
      <c r="Z363" s="30"/>
      <c r="AA363" s="31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0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91"/>
      <c r="D364" s="32"/>
      <c r="E364" s="32"/>
      <c r="F364" s="32"/>
      <c r="G364" s="32">
        <f t="shared" si="105"/>
        <v>0</v>
      </c>
      <c r="H364" s="10"/>
      <c r="I364" s="10"/>
      <c r="J364" s="12"/>
      <c r="K364" s="12">
        <f t="shared" si="106"/>
        <v>0</v>
      </c>
      <c r="M364" s="10">
        <v>23</v>
      </c>
      <c r="N364" s="30">
        <v>45941</v>
      </c>
      <c r="O364" s="31">
        <f t="shared" si="112"/>
        <v>7029</v>
      </c>
      <c r="P364" s="47">
        <f>3756+57</f>
        <v>3813</v>
      </c>
      <c r="Q364" s="31"/>
      <c r="S364" s="32">
        <f t="shared" si="107"/>
        <v>3813</v>
      </c>
      <c r="T364" s="10"/>
      <c r="U364" s="10"/>
      <c r="V364" s="10"/>
      <c r="W364" s="12">
        <f t="shared" si="108"/>
        <v>3813</v>
      </c>
      <c r="Y364" s="10">
        <v>23</v>
      </c>
      <c r="Z364" s="30"/>
      <c r="AA364" s="31"/>
      <c r="AB364" s="47"/>
      <c r="AC364" s="31"/>
      <c r="AE364" s="32">
        <f t="shared" si="114"/>
        <v>0</v>
      </c>
      <c r="AF364" s="10"/>
      <c r="AG364" s="10"/>
      <c r="AH364" s="10"/>
      <c r="AI364" s="12">
        <f t="shared" si="110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91"/>
      <c r="D365" s="32"/>
      <c r="E365" s="32"/>
      <c r="F365" s="32"/>
      <c r="G365" s="32">
        <f t="shared" si="105"/>
        <v>0</v>
      </c>
      <c r="H365" s="10"/>
      <c r="I365" s="10"/>
      <c r="J365" s="10"/>
      <c r="K365" s="12">
        <f t="shared" si="106"/>
        <v>0</v>
      </c>
      <c r="M365" s="10">
        <v>24</v>
      </c>
      <c r="N365" s="30">
        <v>45941</v>
      </c>
      <c r="O365" s="31">
        <f t="shared" si="112"/>
        <v>7030</v>
      </c>
      <c r="P365" s="47">
        <f>3130+596+57</f>
        <v>3783</v>
      </c>
      <c r="Q365" s="31"/>
      <c r="R365" s="31"/>
      <c r="S365" s="32">
        <f t="shared" si="107"/>
        <v>3783</v>
      </c>
      <c r="T365" s="10"/>
      <c r="U365" s="10"/>
      <c r="V365" s="10"/>
      <c r="W365" s="12">
        <f t="shared" si="108"/>
        <v>3783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0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57"/>
      <c r="D366" s="32"/>
      <c r="E366" s="32"/>
      <c r="F366" s="32"/>
      <c r="G366" s="32">
        <f t="shared" si="105"/>
        <v>0</v>
      </c>
      <c r="H366" s="10"/>
      <c r="I366" s="10"/>
      <c r="J366" s="10"/>
      <c r="K366" s="12">
        <f t="shared" si="106"/>
        <v>0</v>
      </c>
      <c r="M366" s="10">
        <v>25</v>
      </c>
      <c r="N366" s="30">
        <v>45941</v>
      </c>
      <c r="O366" s="31">
        <f t="shared" si="112"/>
        <v>7031</v>
      </c>
      <c r="P366" s="47">
        <f>626+596+19</f>
        <v>1241</v>
      </c>
      <c r="Q366" s="31"/>
      <c r="R366" s="31"/>
      <c r="S366" s="32">
        <f t="shared" si="107"/>
        <v>1241</v>
      </c>
      <c r="T366" s="10"/>
      <c r="U366" s="10"/>
      <c r="V366" s="10"/>
      <c r="W366" s="12">
        <f t="shared" si="108"/>
        <v>1241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0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91"/>
      <c r="D367" s="32"/>
      <c r="E367" s="32"/>
      <c r="F367" s="32"/>
      <c r="G367" s="32">
        <f t="shared" si="105"/>
        <v>0</v>
      </c>
      <c r="H367" s="10"/>
      <c r="I367" s="10"/>
      <c r="J367" s="10"/>
      <c r="K367" s="12">
        <f t="shared" si="106"/>
        <v>0</v>
      </c>
      <c r="M367" s="10">
        <v>26</v>
      </c>
      <c r="N367" s="30">
        <v>45941</v>
      </c>
      <c r="O367" s="31">
        <f t="shared" si="112"/>
        <v>7032</v>
      </c>
      <c r="P367" s="47">
        <f>626+9.5</f>
        <v>635.5</v>
      </c>
      <c r="Q367" s="31"/>
      <c r="R367" s="31"/>
      <c r="S367" s="32">
        <f t="shared" si="107"/>
        <v>635.5</v>
      </c>
      <c r="T367" s="10"/>
      <c r="U367" s="10"/>
      <c r="V367" s="10"/>
      <c r="W367" s="12">
        <f t="shared" si="108"/>
        <v>635.5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0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91"/>
      <c r="D368" s="32"/>
      <c r="E368" s="32"/>
      <c r="F368" s="32"/>
      <c r="G368" s="32">
        <f t="shared" si="105"/>
        <v>0</v>
      </c>
      <c r="H368" s="10"/>
      <c r="I368" s="10"/>
      <c r="J368" s="10"/>
      <c r="K368" s="12">
        <f t="shared" si="106"/>
        <v>0</v>
      </c>
      <c r="M368" s="10">
        <v>27</v>
      </c>
      <c r="N368" s="30">
        <v>45941</v>
      </c>
      <c r="O368" s="31">
        <f t="shared" si="112"/>
        <v>7033</v>
      </c>
      <c r="P368" s="47">
        <f>7512</f>
        <v>7512</v>
      </c>
      <c r="Q368" s="31"/>
      <c r="R368" s="31"/>
      <c r="S368" s="32">
        <f t="shared" si="107"/>
        <v>7512</v>
      </c>
      <c r="T368" s="10"/>
      <c r="U368" s="10"/>
      <c r="V368" s="10"/>
      <c r="W368" s="12">
        <f t="shared" si="108"/>
        <v>7512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0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91"/>
      <c r="D369" s="32"/>
      <c r="E369" s="32"/>
      <c r="F369" s="32"/>
      <c r="G369" s="32">
        <f t="shared" si="105"/>
        <v>0</v>
      </c>
      <c r="H369" s="10"/>
      <c r="I369" s="10"/>
      <c r="J369" s="10"/>
      <c r="K369" s="12">
        <f t="shared" si="106"/>
        <v>0</v>
      </c>
      <c r="M369" s="10">
        <v>28</v>
      </c>
      <c r="N369" s="30">
        <v>45941</v>
      </c>
      <c r="O369" s="31">
        <f t="shared" si="112"/>
        <v>7034</v>
      </c>
      <c r="P369" s="47">
        <f>1878+28.5</f>
        <v>1906.5</v>
      </c>
      <c r="Q369" s="31"/>
      <c r="R369" s="31"/>
      <c r="S369" s="32">
        <f t="shared" si="107"/>
        <v>1906.5</v>
      </c>
      <c r="T369" s="10"/>
      <c r="U369" s="10"/>
      <c r="V369" s="10"/>
      <c r="W369" s="12">
        <f t="shared" si="108"/>
        <v>1906.5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0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91"/>
      <c r="D370" s="32"/>
      <c r="E370" s="32"/>
      <c r="F370" s="32"/>
      <c r="G370" s="32">
        <f t="shared" si="105"/>
        <v>0</v>
      </c>
      <c r="H370" s="10"/>
      <c r="I370" s="10"/>
      <c r="J370" s="10"/>
      <c r="K370" s="12">
        <f t="shared" si="106"/>
        <v>0</v>
      </c>
      <c r="M370" s="10">
        <v>29</v>
      </c>
      <c r="N370" s="30">
        <v>45941</v>
      </c>
      <c r="O370" s="31">
        <f t="shared" si="112"/>
        <v>7035</v>
      </c>
      <c r="P370" s="47">
        <f>3130+832+47.5</f>
        <v>4009.5</v>
      </c>
      <c r="Q370" s="31"/>
      <c r="R370" s="31"/>
      <c r="S370" s="32">
        <f t="shared" si="107"/>
        <v>4009.5</v>
      </c>
      <c r="T370" s="10"/>
      <c r="U370" s="10"/>
      <c r="V370" s="10"/>
      <c r="W370" s="12">
        <f t="shared" si="108"/>
        <v>4009.5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0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91"/>
      <c r="D371" s="32"/>
      <c r="E371" s="32"/>
      <c r="F371" s="32"/>
      <c r="G371" s="32">
        <f t="shared" si="105"/>
        <v>0</v>
      </c>
      <c r="H371" s="10"/>
      <c r="I371" s="10"/>
      <c r="J371" s="10"/>
      <c r="K371" s="12">
        <f t="shared" si="106"/>
        <v>0</v>
      </c>
      <c r="M371" s="10">
        <v>30</v>
      </c>
      <c r="N371" s="30">
        <v>45941</v>
      </c>
      <c r="O371" s="31">
        <f t="shared" si="112"/>
        <v>7036</v>
      </c>
      <c r="P371" s="47">
        <f>2504+38</f>
        <v>2542</v>
      </c>
      <c r="Q371" s="31"/>
      <c r="R371" s="31"/>
      <c r="S371" s="32">
        <f t="shared" si="107"/>
        <v>2542</v>
      </c>
      <c r="T371" s="10"/>
      <c r="U371" s="10"/>
      <c r="V371" s="10"/>
      <c r="W371" s="12">
        <f t="shared" si="108"/>
        <v>2542</v>
      </c>
      <c r="Y371" s="10">
        <v>30</v>
      </c>
      <c r="Z371" s="30"/>
      <c r="AA371" s="31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0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91"/>
      <c r="D372" s="32"/>
      <c r="E372" s="32"/>
      <c r="F372" s="32"/>
      <c r="G372" s="32">
        <f t="shared" si="105"/>
        <v>0</v>
      </c>
      <c r="H372" s="10"/>
      <c r="I372" s="10"/>
      <c r="J372" s="10"/>
      <c r="K372" s="12">
        <f t="shared" si="106"/>
        <v>0</v>
      </c>
      <c r="M372" s="10">
        <v>31</v>
      </c>
      <c r="N372" s="30">
        <v>45941</v>
      </c>
      <c r="O372" s="31">
        <f t="shared" si="112"/>
        <v>7037</v>
      </c>
      <c r="P372" s="47">
        <f>2504+614+38</f>
        <v>3156</v>
      </c>
      <c r="Q372" s="31"/>
      <c r="R372" s="31"/>
      <c r="S372" s="32">
        <f t="shared" si="107"/>
        <v>3156</v>
      </c>
      <c r="T372" s="10"/>
      <c r="U372" s="10"/>
      <c r="V372" s="10"/>
      <c r="W372" s="12">
        <f t="shared" si="108"/>
        <v>3156</v>
      </c>
      <c r="Y372" s="10">
        <v>31</v>
      </c>
      <c r="Z372" s="30"/>
      <c r="AA372" s="31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0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91"/>
      <c r="D373" s="32"/>
      <c r="E373" s="32"/>
      <c r="F373" s="32"/>
      <c r="G373" s="32">
        <f t="shared" si="105"/>
        <v>0</v>
      </c>
      <c r="H373" s="10"/>
      <c r="I373" s="10"/>
      <c r="J373" s="10"/>
      <c r="K373" s="12">
        <f t="shared" si="106"/>
        <v>0</v>
      </c>
      <c r="M373" s="10">
        <v>32</v>
      </c>
      <c r="N373" s="30">
        <v>45941</v>
      </c>
      <c r="O373" s="31">
        <f t="shared" si="112"/>
        <v>7038</v>
      </c>
      <c r="P373" s="47">
        <f>1252+596+28.5</f>
        <v>1876.5</v>
      </c>
      <c r="Q373" s="31"/>
      <c r="R373" s="31"/>
      <c r="S373" s="32">
        <f t="shared" si="107"/>
        <v>1876.5</v>
      </c>
      <c r="T373" s="10"/>
      <c r="U373" s="10"/>
      <c r="V373" s="10"/>
      <c r="W373" s="12">
        <f t="shared" si="108"/>
        <v>1876.5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0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91"/>
      <c r="D374" s="32"/>
      <c r="E374" s="32"/>
      <c r="F374" s="32"/>
      <c r="G374" s="32">
        <f t="shared" si="105"/>
        <v>0</v>
      </c>
      <c r="H374" s="10"/>
      <c r="I374" s="10"/>
      <c r="J374" s="10"/>
      <c r="K374" s="12">
        <f t="shared" si="106"/>
        <v>0</v>
      </c>
      <c r="M374" s="10">
        <v>33</v>
      </c>
      <c r="N374" s="30">
        <v>45941</v>
      </c>
      <c r="O374" s="31">
        <f t="shared" si="112"/>
        <v>7039</v>
      </c>
      <c r="P374" s="47">
        <f>1788+28.5</f>
        <v>1816.5</v>
      </c>
      <c r="Q374" s="31"/>
      <c r="R374" s="31"/>
      <c r="S374" s="32">
        <f t="shared" si="107"/>
        <v>1816.5</v>
      </c>
      <c r="T374" s="10"/>
      <c r="U374" s="10"/>
      <c r="V374" s="10"/>
      <c r="W374" s="12">
        <f t="shared" si="108"/>
        <v>1816.5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0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91"/>
      <c r="D375" s="32"/>
      <c r="E375" s="32"/>
      <c r="F375" s="32"/>
      <c r="G375" s="32">
        <f t="shared" si="105"/>
        <v>0</v>
      </c>
      <c r="H375" s="10"/>
      <c r="I375" s="10"/>
      <c r="J375" s="10"/>
      <c r="K375" s="12">
        <f t="shared" si="106"/>
        <v>0</v>
      </c>
      <c r="M375" s="10">
        <v>34</v>
      </c>
      <c r="N375" s="30"/>
      <c r="O375" s="11" t="s">
        <v>27</v>
      </c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si="108"/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6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08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08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08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08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08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8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7">SUM(D382:E382)</f>
        <v>0</v>
      </c>
      <c r="H382" s="10"/>
      <c r="I382" s="10"/>
      <c r="J382" s="10"/>
      <c r="K382" s="12">
        <f t="shared" ref="K382" si="118">SUM(G382:J382)</f>
        <v>0</v>
      </c>
      <c r="M382" s="10"/>
      <c r="N382" s="30"/>
      <c r="O382" s="31"/>
      <c r="P382" s="47"/>
      <c r="Q382" s="31"/>
      <c r="R382" s="31"/>
      <c r="S382" s="32">
        <f t="shared" ref="S382" si="119">SUM(P382:Q382)</f>
        <v>0</v>
      </c>
      <c r="T382" s="10"/>
      <c r="U382" s="10"/>
      <c r="V382" s="10"/>
      <c r="W382" s="12">
        <f t="shared" si="108"/>
        <v>0</v>
      </c>
      <c r="Y382" s="10"/>
      <c r="Z382" s="30"/>
      <c r="AA382" s="31"/>
      <c r="AB382" s="47"/>
      <c r="AC382" s="31"/>
      <c r="AD382" s="31"/>
      <c r="AE382" s="32">
        <f t="shared" ref="AE382" si="120">SUM(AB382:AC382)</f>
        <v>0</v>
      </c>
      <c r="AF382" s="10"/>
      <c r="AG382" s="10"/>
      <c r="AH382" s="10"/>
      <c r="AI382" s="12">
        <f t="shared" si="11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8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80920</v>
      </c>
      <c r="E385" s="38">
        <f t="shared" ref="E385:F385" si="121">SUM(E342:E382)</f>
        <v>0</v>
      </c>
      <c r="F385" s="38">
        <f t="shared" si="121"/>
        <v>0</v>
      </c>
      <c r="G385" s="38">
        <f>SUM(G342:G384)</f>
        <v>80920</v>
      </c>
      <c r="H385" s="4"/>
      <c r="I385" s="39">
        <f>SUM(I342:I384)</f>
        <v>516</v>
      </c>
      <c r="J385" s="39">
        <f>SUM(J342:J384)</f>
        <v>0</v>
      </c>
      <c r="K385" s="40">
        <f>SUM(K342:K384)</f>
        <v>81436</v>
      </c>
      <c r="N385" s="57"/>
      <c r="O385" s="57"/>
      <c r="P385" s="38">
        <f>SUM(P342:P384)</f>
        <v>128949.5</v>
      </c>
      <c r="Q385" s="38">
        <f>SUM(Q342:Q366)</f>
        <v>0</v>
      </c>
      <c r="R385" s="38">
        <f>SUM(R342:R366)</f>
        <v>0</v>
      </c>
      <c r="S385" s="38">
        <f>SUM(S342:S384)</f>
        <v>128949.5</v>
      </c>
      <c r="T385" s="4"/>
      <c r="U385" s="41">
        <f>SUM(U342:U384)</f>
        <v>157.5</v>
      </c>
      <c r="V385" s="41">
        <f>SUM(V342:V366)</f>
        <v>-111</v>
      </c>
      <c r="W385" s="42">
        <f>SUM(W342:W384)</f>
        <v>128996</v>
      </c>
      <c r="Z385" s="57"/>
      <c r="AA385" s="57"/>
      <c r="AB385" s="38">
        <f>SUM(AB342:AB384)</f>
        <v>220378.5</v>
      </c>
      <c r="AC385" s="38">
        <f>SUM(AC342:AC366)</f>
        <v>-1248</v>
      </c>
      <c r="AD385" s="38">
        <f>SUM(AD342:AD366)</f>
        <v>0</v>
      </c>
      <c r="AE385" s="38">
        <f>SUM(AE342:AE384)</f>
        <v>219130.5</v>
      </c>
      <c r="AF385" s="4"/>
      <c r="AG385" s="41">
        <f>SUM(AG342:AG384)</f>
        <v>756</v>
      </c>
      <c r="AH385" s="41">
        <f>SUM(AH342:AH366)</f>
        <v>-5772</v>
      </c>
      <c r="AI385" s="42">
        <f>SUM(AI342:AI384)</f>
        <v>214114.5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40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40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40</v>
      </c>
      <c r="Z392" s="57"/>
      <c r="AA392" s="57"/>
      <c r="AB392" s="57"/>
      <c r="AC392" s="57"/>
      <c r="AD392" s="57"/>
      <c r="AE392" s="57"/>
      <c r="AG392" s="57" t="s">
        <v>15</v>
      </c>
      <c r="AH392" s="19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60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60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42</v>
      </c>
      <c r="W393" s="24"/>
      <c r="Y393" s="21" t="s">
        <v>60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1" t="s">
        <v>17</v>
      </c>
      <c r="E395" s="111"/>
      <c r="F395" s="98"/>
      <c r="G395" s="27"/>
      <c r="I395" s="114" t="s">
        <v>18</v>
      </c>
      <c r="J395" s="115"/>
      <c r="K395" s="112" t="s">
        <v>19</v>
      </c>
      <c r="N395" s="25"/>
      <c r="O395" s="26"/>
      <c r="P395" s="111" t="s">
        <v>17</v>
      </c>
      <c r="Q395" s="111"/>
      <c r="R395" s="98"/>
      <c r="S395" s="27"/>
      <c r="U395" s="114" t="s">
        <v>18</v>
      </c>
      <c r="V395" s="115"/>
      <c r="W395" s="112" t="s">
        <v>19</v>
      </c>
      <c r="Z395" s="25"/>
      <c r="AA395" s="26"/>
      <c r="AB395" s="111" t="s">
        <v>17</v>
      </c>
      <c r="AC395" s="111"/>
      <c r="AD395" s="98"/>
      <c r="AE395" s="27"/>
      <c r="AG395" s="114" t="s">
        <v>18</v>
      </c>
      <c r="AH395" s="115"/>
      <c r="AI395" s="112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3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3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45972</v>
      </c>
      <c r="C397" s="91">
        <v>6988</v>
      </c>
      <c r="D397" s="32">
        <f>626+596+19</f>
        <v>1241</v>
      </c>
      <c r="E397" s="32"/>
      <c r="F397" s="32"/>
      <c r="G397" s="32">
        <f t="shared" ref="G397:G430" si="122">SUM(D397:E397)</f>
        <v>1241</v>
      </c>
      <c r="H397" s="12"/>
      <c r="I397" s="12"/>
      <c r="J397" s="12"/>
      <c r="K397" s="12">
        <f t="shared" ref="K397:K430" si="123">SUM(G397:J397)</f>
        <v>1241</v>
      </c>
      <c r="M397" s="10">
        <v>1</v>
      </c>
      <c r="N397" s="30">
        <v>45972</v>
      </c>
      <c r="O397" s="31">
        <v>7041</v>
      </c>
      <c r="P397" s="32">
        <f>626*539+596*50+5619.5</f>
        <v>372833.5</v>
      </c>
      <c r="Q397" s="32">
        <v>-5517</v>
      </c>
      <c r="R397" s="32"/>
      <c r="S397" s="32">
        <f>SUM(P397:Q397)</f>
        <v>367316.5</v>
      </c>
      <c r="T397" s="12"/>
      <c r="U397" s="12">
        <f>1716+5550</f>
        <v>7266</v>
      </c>
      <c r="V397" s="12">
        <f>-240+-420+-420</f>
        <v>-1080</v>
      </c>
      <c r="W397" s="12">
        <f>SUM(S397:V397)</f>
        <v>373502.5</v>
      </c>
      <c r="Y397" s="10">
        <v>1</v>
      </c>
      <c r="Z397" s="30">
        <v>45972</v>
      </c>
      <c r="AA397" s="31">
        <v>7105</v>
      </c>
      <c r="AB397" s="32">
        <f>1878+1192+47.5</f>
        <v>3117.5</v>
      </c>
      <c r="AC397" s="32"/>
      <c r="AD397" s="32"/>
      <c r="AE397" s="32">
        <f>SUM(AB397:AC397)</f>
        <v>3117.5</v>
      </c>
      <c r="AF397" s="12"/>
      <c r="AG397" s="12"/>
      <c r="AH397" s="12"/>
      <c r="AI397" s="12">
        <f>SUM(AE397:AH397)</f>
        <v>3117.5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45972</v>
      </c>
      <c r="C398" s="91">
        <f>C397+1</f>
        <v>6989</v>
      </c>
      <c r="D398" s="32">
        <f>3756+614</f>
        <v>4370</v>
      </c>
      <c r="E398" s="32"/>
      <c r="F398" s="32"/>
      <c r="G398" s="32">
        <f t="shared" si="122"/>
        <v>4370</v>
      </c>
      <c r="H398" s="12"/>
      <c r="I398" s="12"/>
      <c r="J398" s="12"/>
      <c r="K398" s="12">
        <f t="shared" si="123"/>
        <v>4370</v>
      </c>
      <c r="M398" s="10">
        <v>2</v>
      </c>
      <c r="N398" s="30"/>
      <c r="O398" s="11" t="s">
        <v>27</v>
      </c>
      <c r="P398" s="32"/>
      <c r="Q398" s="32"/>
      <c r="R398" s="32"/>
      <c r="S398" s="32">
        <f t="shared" ref="S398:S429" si="124">SUM(P398:Q398)</f>
        <v>0</v>
      </c>
      <c r="T398" s="12"/>
      <c r="U398" s="12"/>
      <c r="V398" s="12"/>
      <c r="W398" s="12">
        <f t="shared" ref="W398:W438" si="125">SUM(S398:V398)</f>
        <v>0</v>
      </c>
      <c r="Y398" s="10">
        <v>2</v>
      </c>
      <c r="Z398" s="30">
        <v>45972</v>
      </c>
      <c r="AA398" s="31">
        <f>AA397+1</f>
        <v>7106</v>
      </c>
      <c r="AB398" s="32">
        <f>626*17+614+596*5+229</f>
        <v>14465</v>
      </c>
      <c r="AC398" s="32"/>
      <c r="AD398" s="32"/>
      <c r="AE398" s="32">
        <f t="shared" ref="AE398:AE435" si="126">SUM(AB398:AC398)</f>
        <v>14465</v>
      </c>
      <c r="AF398" s="12"/>
      <c r="AG398" s="12">
        <f>19.5+126</f>
        <v>145.5</v>
      </c>
      <c r="AH398" s="12"/>
      <c r="AI398" s="12">
        <f t="shared" ref="AI398:AI438" si="127">SUM(AE398:AH398)</f>
        <v>14610.5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45972</v>
      </c>
      <c r="C399" s="91">
        <f t="shared" ref="C399:C418" si="128">C398+1</f>
        <v>6990</v>
      </c>
      <c r="D399" s="33">
        <f>3756+614</f>
        <v>4370</v>
      </c>
      <c r="E399" s="33"/>
      <c r="F399" s="33"/>
      <c r="G399" s="33">
        <f t="shared" si="122"/>
        <v>4370</v>
      </c>
      <c r="H399" s="34"/>
      <c r="I399" s="34"/>
      <c r="J399" s="34"/>
      <c r="K399" s="34">
        <f t="shared" si="123"/>
        <v>4370</v>
      </c>
      <c r="M399" s="10">
        <v>3</v>
      </c>
      <c r="N399" s="30"/>
      <c r="O399" s="31"/>
      <c r="P399" s="32"/>
      <c r="Q399" s="32"/>
      <c r="R399" s="32"/>
      <c r="S399" s="32">
        <f t="shared" si="124"/>
        <v>0</v>
      </c>
      <c r="T399" s="12"/>
      <c r="U399" s="12"/>
      <c r="V399" s="12"/>
      <c r="W399" s="12">
        <f t="shared" si="125"/>
        <v>0</v>
      </c>
      <c r="Y399" s="10">
        <v>3</v>
      </c>
      <c r="Z399" s="30">
        <v>45972</v>
      </c>
      <c r="AA399" s="31">
        <f t="shared" ref="AA399:AA401" si="129">AA398+1</f>
        <v>7107</v>
      </c>
      <c r="AB399" s="33">
        <f>87640+596*14+1374</f>
        <v>97358</v>
      </c>
      <c r="AC399" s="33">
        <v>-960</v>
      </c>
      <c r="AD399" s="32"/>
      <c r="AE399" s="32">
        <f t="shared" si="126"/>
        <v>96398</v>
      </c>
      <c r="AF399" s="12"/>
      <c r="AG399" s="12">
        <v>11988</v>
      </c>
      <c r="AH399" s="12"/>
      <c r="AI399" s="12">
        <f t="shared" si="127"/>
        <v>108386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45972</v>
      </c>
      <c r="C400" s="91">
        <f t="shared" si="128"/>
        <v>6991</v>
      </c>
      <c r="D400" s="32">
        <f>626*9+674+95</f>
        <v>6403</v>
      </c>
      <c r="E400" s="32"/>
      <c r="F400" s="32"/>
      <c r="G400" s="32">
        <f t="shared" si="122"/>
        <v>6403</v>
      </c>
      <c r="H400" s="12"/>
      <c r="I400" s="12"/>
      <c r="J400" s="12"/>
      <c r="K400" s="12">
        <f t="shared" si="123"/>
        <v>6403</v>
      </c>
      <c r="M400" s="10">
        <v>4</v>
      </c>
      <c r="N400" s="30"/>
      <c r="O400" s="31"/>
      <c r="P400" s="32"/>
      <c r="Q400" s="32"/>
      <c r="R400" s="32"/>
      <c r="S400" s="32">
        <f t="shared" si="124"/>
        <v>0</v>
      </c>
      <c r="T400" s="12"/>
      <c r="U400" s="12"/>
      <c r="V400" s="12"/>
      <c r="W400" s="12">
        <f t="shared" si="125"/>
        <v>0</v>
      </c>
      <c r="Y400" s="10">
        <v>4</v>
      </c>
      <c r="Z400" s="30">
        <v>45972</v>
      </c>
      <c r="AA400" s="31">
        <f t="shared" si="129"/>
        <v>7108</v>
      </c>
      <c r="AB400" s="32">
        <f>31300+614*10+596*5+229*2</f>
        <v>40878</v>
      </c>
      <c r="AC400" s="32">
        <v>-402</v>
      </c>
      <c r="AD400" s="32"/>
      <c r="AE400" s="32">
        <f t="shared" si="126"/>
        <v>40476</v>
      </c>
      <c r="AF400" s="12"/>
      <c r="AH400" s="12"/>
      <c r="AI400" s="12">
        <f t="shared" si="127"/>
        <v>40476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45972</v>
      </c>
      <c r="C401" s="91">
        <f t="shared" si="128"/>
        <v>6992</v>
      </c>
      <c r="D401" s="32">
        <f>4382+66.5</f>
        <v>4448.5</v>
      </c>
      <c r="E401" s="32"/>
      <c r="F401" s="32"/>
      <c r="G401" s="32">
        <f t="shared" si="122"/>
        <v>4448.5</v>
      </c>
      <c r="H401" s="12"/>
      <c r="I401" s="12"/>
      <c r="J401" s="12"/>
      <c r="K401" s="12">
        <f t="shared" si="123"/>
        <v>4448.5</v>
      </c>
      <c r="M401" s="10">
        <v>5</v>
      </c>
      <c r="N401" s="30"/>
      <c r="O401" s="31"/>
      <c r="P401" s="32"/>
      <c r="Q401" s="32"/>
      <c r="R401" s="32"/>
      <c r="S401" s="32">
        <f t="shared" si="124"/>
        <v>0</v>
      </c>
      <c r="T401" s="12"/>
      <c r="U401" s="12"/>
      <c r="V401" s="12"/>
      <c r="W401" s="12">
        <f t="shared" si="125"/>
        <v>0</v>
      </c>
      <c r="Y401" s="10">
        <v>5</v>
      </c>
      <c r="Z401" s="30">
        <v>45972</v>
      </c>
      <c r="AA401" s="31">
        <f t="shared" si="129"/>
        <v>7109</v>
      </c>
      <c r="AB401" s="32">
        <f>21910+3070+2980+458</f>
        <v>28418</v>
      </c>
      <c r="AC401" s="32">
        <v>-282</v>
      </c>
      <c r="AD401" s="32"/>
      <c r="AE401" s="32">
        <f t="shared" si="126"/>
        <v>28136</v>
      </c>
      <c r="AF401" s="12"/>
      <c r="AG401" s="12"/>
      <c r="AH401" s="12"/>
      <c r="AI401" s="12">
        <f t="shared" si="127"/>
        <v>28136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45972</v>
      </c>
      <c r="C402" s="91">
        <f t="shared" si="128"/>
        <v>6993</v>
      </c>
      <c r="D402" s="32">
        <f>1252+19</f>
        <v>1271</v>
      </c>
      <c r="E402" s="32"/>
      <c r="F402" s="32"/>
      <c r="G402" s="32">
        <f t="shared" si="122"/>
        <v>1271</v>
      </c>
      <c r="H402" s="12"/>
      <c r="I402" s="12"/>
      <c r="J402" s="12"/>
      <c r="K402" s="12">
        <f t="shared" si="123"/>
        <v>1271</v>
      </c>
      <c r="M402" s="10">
        <v>6</v>
      </c>
      <c r="N402" s="30"/>
      <c r="O402" s="31"/>
      <c r="P402" s="32"/>
      <c r="Q402" s="32"/>
      <c r="R402" s="32"/>
      <c r="S402" s="32">
        <f t="shared" si="124"/>
        <v>0</v>
      </c>
      <c r="T402" s="12"/>
      <c r="U402" s="12"/>
      <c r="V402" s="10"/>
      <c r="W402" s="12">
        <f t="shared" si="125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6"/>
        <v>0</v>
      </c>
      <c r="AF402" s="12"/>
      <c r="AG402" s="12"/>
      <c r="AH402" s="10"/>
      <c r="AI402" s="12">
        <f t="shared" si="127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45972</v>
      </c>
      <c r="C403" s="91">
        <f t="shared" si="128"/>
        <v>6994</v>
      </c>
      <c r="D403" s="32">
        <f>31300+229</f>
        <v>31529</v>
      </c>
      <c r="E403" s="32"/>
      <c r="F403" s="32"/>
      <c r="G403" s="32">
        <f t="shared" si="122"/>
        <v>31529</v>
      </c>
      <c r="H403" s="12"/>
      <c r="I403" s="12"/>
      <c r="J403" s="12"/>
      <c r="K403" s="12">
        <f t="shared" si="123"/>
        <v>31529</v>
      </c>
      <c r="M403" s="10">
        <v>7</v>
      </c>
      <c r="N403" s="30"/>
      <c r="O403" s="31"/>
      <c r="P403" s="32"/>
      <c r="Q403" s="32"/>
      <c r="R403" s="32"/>
      <c r="S403" s="32">
        <f t="shared" si="124"/>
        <v>0</v>
      </c>
      <c r="T403" s="12"/>
      <c r="U403" s="12"/>
      <c r="V403" s="12"/>
      <c r="W403" s="12">
        <f t="shared" si="125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6"/>
        <v>0</v>
      </c>
      <c r="AF403" s="12"/>
      <c r="AG403" s="58"/>
      <c r="AH403" s="12"/>
      <c r="AI403" s="12">
        <f t="shared" si="127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45972</v>
      </c>
      <c r="C404" s="91">
        <f t="shared" si="128"/>
        <v>6995</v>
      </c>
      <c r="D404" s="32">
        <f>3130+47.5</f>
        <v>3177.5</v>
      </c>
      <c r="E404" s="32"/>
      <c r="F404" s="32"/>
      <c r="G404" s="32">
        <f t="shared" si="122"/>
        <v>3177.5</v>
      </c>
      <c r="H404" s="12"/>
      <c r="I404" s="12"/>
      <c r="J404" s="12"/>
      <c r="K404" s="12">
        <f t="shared" si="123"/>
        <v>3177.5</v>
      </c>
      <c r="M404" s="10">
        <v>8</v>
      </c>
      <c r="N404" s="30"/>
      <c r="O404" s="31"/>
      <c r="P404" s="32"/>
      <c r="Q404" s="32"/>
      <c r="R404" s="32"/>
      <c r="S404" s="32">
        <f t="shared" si="124"/>
        <v>0</v>
      </c>
      <c r="T404" s="12"/>
      <c r="U404" s="12"/>
      <c r="V404" s="12"/>
      <c r="W404" s="12">
        <f t="shared" si="125"/>
        <v>0</v>
      </c>
      <c r="Y404" s="10">
        <v>8</v>
      </c>
      <c r="Z404" s="30"/>
      <c r="AA404" s="31"/>
      <c r="AB404" s="32"/>
      <c r="AC404" s="32"/>
      <c r="AE404" s="32">
        <f t="shared" si="126"/>
        <v>0</v>
      </c>
      <c r="AF404" s="12"/>
      <c r="AG404" s="12"/>
      <c r="AH404" s="12"/>
      <c r="AI404" s="12">
        <f t="shared" si="12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45972</v>
      </c>
      <c r="C405" s="91">
        <f t="shared" si="128"/>
        <v>6996</v>
      </c>
      <c r="D405" s="32">
        <f>1878+596+38</f>
        <v>2512</v>
      </c>
      <c r="E405" s="32"/>
      <c r="F405" s="32"/>
      <c r="G405" s="32">
        <f t="shared" si="122"/>
        <v>2512</v>
      </c>
      <c r="H405" s="12"/>
      <c r="I405" s="12"/>
      <c r="J405" s="12"/>
      <c r="K405" s="12">
        <f t="shared" si="123"/>
        <v>2512</v>
      </c>
      <c r="M405" s="10">
        <v>9</v>
      </c>
      <c r="N405" s="30"/>
      <c r="O405" s="31"/>
      <c r="P405" s="32"/>
      <c r="Q405" s="32"/>
      <c r="R405" s="32"/>
      <c r="S405" s="32">
        <f t="shared" si="124"/>
        <v>0</v>
      </c>
      <c r="T405" s="12"/>
      <c r="U405" s="12"/>
      <c r="V405" s="12"/>
      <c r="W405" s="12">
        <f t="shared" si="125"/>
        <v>0</v>
      </c>
      <c r="Y405" s="10">
        <v>9</v>
      </c>
      <c r="Z405" s="30"/>
      <c r="AA405" s="31"/>
      <c r="AB405" s="32"/>
      <c r="AC405" s="32"/>
      <c r="AD405" s="32"/>
      <c r="AE405" s="32">
        <f t="shared" si="126"/>
        <v>0</v>
      </c>
      <c r="AF405" s="12"/>
      <c r="AG405" s="58"/>
      <c r="AH405" s="12"/>
      <c r="AI405" s="12">
        <f t="shared" si="12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45972</v>
      </c>
      <c r="C406" s="91">
        <f t="shared" si="128"/>
        <v>6997</v>
      </c>
      <c r="D406" s="32">
        <f>2504+38</f>
        <v>2542</v>
      </c>
      <c r="E406" s="32"/>
      <c r="F406" s="32"/>
      <c r="G406" s="32">
        <f t="shared" si="122"/>
        <v>2542</v>
      </c>
      <c r="H406" s="12"/>
      <c r="I406" s="12"/>
      <c r="J406" s="12"/>
      <c r="K406" s="12">
        <f t="shared" si="123"/>
        <v>2542</v>
      </c>
      <c r="M406" s="10">
        <v>10</v>
      </c>
      <c r="N406" s="30"/>
      <c r="O406" s="31"/>
      <c r="P406" s="32"/>
      <c r="Q406" s="32"/>
      <c r="R406" s="32"/>
      <c r="S406" s="32">
        <f t="shared" si="124"/>
        <v>0</v>
      </c>
      <c r="T406" s="12"/>
      <c r="U406" s="12"/>
      <c r="V406" s="12"/>
      <c r="W406" s="12">
        <f t="shared" si="125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6"/>
        <v>0</v>
      </c>
      <c r="AF406" s="12"/>
      <c r="AG406" s="12"/>
      <c r="AH406" s="12"/>
      <c r="AI406" s="12">
        <f t="shared" si="12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45972</v>
      </c>
      <c r="C407" s="91">
        <f t="shared" si="128"/>
        <v>6998</v>
      </c>
      <c r="D407" s="32">
        <f>3130+1788+76</f>
        <v>4994</v>
      </c>
      <c r="E407" s="32"/>
      <c r="F407" s="32"/>
      <c r="G407" s="32">
        <f t="shared" si="122"/>
        <v>4994</v>
      </c>
      <c r="H407" s="12"/>
      <c r="I407" s="12">
        <v>111</v>
      </c>
      <c r="J407" s="12"/>
      <c r="K407" s="12">
        <f t="shared" si="123"/>
        <v>5105</v>
      </c>
      <c r="M407" s="10">
        <v>11</v>
      </c>
      <c r="N407" s="30"/>
      <c r="O407" s="31"/>
      <c r="P407" s="32"/>
      <c r="Q407" s="32"/>
      <c r="R407" s="32"/>
      <c r="S407" s="32">
        <f t="shared" si="124"/>
        <v>0</v>
      </c>
      <c r="T407" s="12"/>
      <c r="U407" s="12"/>
      <c r="V407" s="12"/>
      <c r="W407" s="12">
        <f t="shared" si="125"/>
        <v>0</v>
      </c>
      <c r="Y407" s="10">
        <v>11</v>
      </c>
      <c r="Z407" s="30"/>
      <c r="AB407" s="32"/>
      <c r="AC407" s="32"/>
      <c r="AD407" s="32"/>
      <c r="AE407" s="32">
        <f t="shared" si="126"/>
        <v>0</v>
      </c>
      <c r="AF407" s="12"/>
      <c r="AG407" s="12"/>
      <c r="AH407" s="12"/>
      <c r="AI407" s="12">
        <f t="shared" si="12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45972</v>
      </c>
      <c r="C408" s="91">
        <f t="shared" si="128"/>
        <v>6999</v>
      </c>
      <c r="D408" s="32">
        <f>2504+38</f>
        <v>2542</v>
      </c>
      <c r="E408" s="32"/>
      <c r="F408" s="32"/>
      <c r="G408" s="32">
        <f t="shared" si="122"/>
        <v>2542</v>
      </c>
      <c r="H408" s="12"/>
      <c r="I408" s="12"/>
      <c r="J408" s="10"/>
      <c r="K408" s="12">
        <f t="shared" si="123"/>
        <v>2542</v>
      </c>
      <c r="M408" s="10">
        <v>12</v>
      </c>
      <c r="N408" s="30"/>
      <c r="O408" s="31"/>
      <c r="P408" s="32"/>
      <c r="Q408" s="32"/>
      <c r="R408" s="32"/>
      <c r="S408" s="32">
        <f t="shared" si="124"/>
        <v>0</v>
      </c>
      <c r="T408" s="12"/>
      <c r="U408" s="12"/>
      <c r="V408" s="12"/>
      <c r="W408" s="12">
        <f t="shared" si="125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6"/>
        <v>0</v>
      </c>
      <c r="AF408" s="12"/>
      <c r="AG408" s="12"/>
      <c r="AH408" s="12"/>
      <c r="AI408" s="12">
        <f t="shared" si="12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45972</v>
      </c>
      <c r="C409" s="91">
        <f t="shared" si="128"/>
        <v>7000</v>
      </c>
      <c r="D409" s="32">
        <f>2504+614+38</f>
        <v>3156</v>
      </c>
      <c r="E409" s="32"/>
      <c r="F409" s="32"/>
      <c r="G409" s="32">
        <f t="shared" si="122"/>
        <v>3156</v>
      </c>
      <c r="H409" s="12"/>
      <c r="I409" s="12"/>
      <c r="J409" s="12"/>
      <c r="K409" s="12">
        <f t="shared" si="123"/>
        <v>3156</v>
      </c>
      <c r="M409" s="10">
        <v>13</v>
      </c>
      <c r="N409" s="30"/>
      <c r="O409" s="31"/>
      <c r="P409" s="32"/>
      <c r="Q409" s="32"/>
      <c r="R409" s="32"/>
      <c r="S409" s="32">
        <f t="shared" si="124"/>
        <v>0</v>
      </c>
      <c r="T409" s="12"/>
      <c r="U409" s="12"/>
      <c r="V409" s="12"/>
      <c r="W409" s="12">
        <f t="shared" si="125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6"/>
        <v>0</v>
      </c>
      <c r="AF409" s="12"/>
      <c r="AG409" s="12"/>
      <c r="AH409" s="12"/>
      <c r="AI409" s="12">
        <f t="shared" si="12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45972</v>
      </c>
      <c r="C410" s="91">
        <v>7051</v>
      </c>
      <c r="D410" s="32">
        <f>12520+1192+1005+209</f>
        <v>14926</v>
      </c>
      <c r="E410" s="32"/>
      <c r="F410" s="32"/>
      <c r="G410" s="32">
        <f t="shared" si="122"/>
        <v>14926</v>
      </c>
      <c r="H410" s="12"/>
      <c r="I410" s="12">
        <v>9</v>
      </c>
      <c r="J410" s="12"/>
      <c r="K410" s="12">
        <f t="shared" si="123"/>
        <v>14935</v>
      </c>
      <c r="M410" s="10">
        <v>14</v>
      </c>
      <c r="N410" s="30"/>
      <c r="O410" s="31"/>
      <c r="P410" s="32"/>
      <c r="Q410" s="32"/>
      <c r="R410" s="32"/>
      <c r="S410" s="32">
        <f t="shared" si="124"/>
        <v>0</v>
      </c>
      <c r="T410" s="12"/>
      <c r="U410" s="12"/>
      <c r="V410" s="12"/>
      <c r="W410" s="12">
        <f t="shared" si="125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6"/>
        <v>0</v>
      </c>
      <c r="AF410" s="12"/>
      <c r="AG410" s="12"/>
      <c r="AH410" s="12"/>
      <c r="AI410" s="12">
        <f t="shared" si="12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45972</v>
      </c>
      <c r="C411" s="91">
        <f t="shared" si="128"/>
        <v>7052</v>
      </c>
      <c r="D411" s="32">
        <f>9390+2980</f>
        <v>12370</v>
      </c>
      <c r="E411" s="32"/>
      <c r="F411" s="32"/>
      <c r="G411" s="32">
        <f t="shared" si="122"/>
        <v>12370</v>
      </c>
      <c r="H411" s="12"/>
      <c r="I411" s="12">
        <v>555</v>
      </c>
      <c r="J411" s="12"/>
      <c r="K411" s="12">
        <f t="shared" si="123"/>
        <v>12925</v>
      </c>
      <c r="M411" s="10">
        <v>15</v>
      </c>
      <c r="N411" s="30"/>
      <c r="O411" s="31"/>
      <c r="P411" s="32"/>
      <c r="Q411" s="32"/>
      <c r="R411" s="32"/>
      <c r="S411" s="32">
        <f t="shared" si="124"/>
        <v>0</v>
      </c>
      <c r="T411" s="12"/>
      <c r="U411" s="12"/>
      <c r="V411" s="12"/>
      <c r="W411" s="12">
        <f t="shared" si="125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6"/>
        <v>0</v>
      </c>
      <c r="AF411" s="12"/>
      <c r="AG411" s="12"/>
      <c r="AH411" s="12"/>
      <c r="AI411" s="12">
        <f t="shared" si="12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>
        <v>45972</v>
      </c>
      <c r="C412" s="91">
        <f t="shared" si="128"/>
        <v>7053</v>
      </c>
      <c r="D412" s="32">
        <f>9390+1348+1788</f>
        <v>12526</v>
      </c>
      <c r="E412" s="32"/>
      <c r="F412" s="32"/>
      <c r="G412" s="32">
        <f t="shared" si="122"/>
        <v>12526</v>
      </c>
      <c r="H412" s="12"/>
      <c r="I412" s="12"/>
      <c r="J412" s="12"/>
      <c r="K412" s="12">
        <f t="shared" si="123"/>
        <v>12526</v>
      </c>
      <c r="M412" s="10">
        <v>16</v>
      </c>
      <c r="N412" s="30"/>
      <c r="O412" s="31"/>
      <c r="P412" s="32"/>
      <c r="Q412" s="32"/>
      <c r="R412" s="32"/>
      <c r="S412" s="32">
        <f t="shared" si="124"/>
        <v>0</v>
      </c>
      <c r="T412" s="12"/>
      <c r="U412" s="12"/>
      <c r="V412" s="12"/>
      <c r="W412" s="12">
        <f t="shared" si="125"/>
        <v>0</v>
      </c>
      <c r="Y412" s="10">
        <v>16</v>
      </c>
      <c r="Z412" s="30"/>
      <c r="AA412" s="31"/>
      <c r="AB412" s="32"/>
      <c r="AC412" s="32"/>
      <c r="AD412" s="32"/>
      <c r="AE412" s="32">
        <f t="shared" si="126"/>
        <v>0</v>
      </c>
      <c r="AF412" s="12"/>
      <c r="AG412" s="12"/>
      <c r="AH412" s="12"/>
      <c r="AI412" s="12">
        <f t="shared" si="12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>
        <v>45972</v>
      </c>
      <c r="C413" s="91">
        <f t="shared" si="128"/>
        <v>7054</v>
      </c>
      <c r="D413" s="32">
        <f>32552+4298</f>
        <v>36850</v>
      </c>
      <c r="E413" s="32"/>
      <c r="F413" s="32"/>
      <c r="G413" s="32">
        <f t="shared" si="122"/>
        <v>36850</v>
      </c>
      <c r="H413" s="12"/>
      <c r="I413" s="12">
        <v>27</v>
      </c>
      <c r="J413" s="12"/>
      <c r="K413" s="12">
        <f t="shared" si="123"/>
        <v>36877</v>
      </c>
      <c r="M413" s="10">
        <v>17</v>
      </c>
      <c r="N413" s="30"/>
      <c r="O413" s="31"/>
      <c r="P413" s="35"/>
      <c r="Q413" s="32"/>
      <c r="R413" s="32"/>
      <c r="S413" s="32">
        <f t="shared" si="124"/>
        <v>0</v>
      </c>
      <c r="T413" s="12"/>
      <c r="U413" s="12"/>
      <c r="V413" s="12"/>
      <c r="W413" s="12">
        <f t="shared" si="125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6"/>
        <v>0</v>
      </c>
      <c r="AF413" s="12"/>
      <c r="AG413" s="12"/>
      <c r="AH413" s="12"/>
      <c r="AI413" s="12">
        <f t="shared" si="12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>
        <v>45972</v>
      </c>
      <c r="C414" s="91">
        <f t="shared" si="128"/>
        <v>7055</v>
      </c>
      <c r="D414" s="32">
        <f>8138+614+2384+426+832+1000</f>
        <v>13394</v>
      </c>
      <c r="E414" s="32"/>
      <c r="F414" s="32"/>
      <c r="G414" s="32">
        <f t="shared" si="122"/>
        <v>13394</v>
      </c>
      <c r="H414" s="12"/>
      <c r="I414" s="12"/>
      <c r="J414" s="12"/>
      <c r="K414" s="12">
        <f t="shared" si="123"/>
        <v>13394</v>
      </c>
      <c r="M414" s="10">
        <v>18</v>
      </c>
      <c r="N414" s="30"/>
      <c r="O414" s="31"/>
      <c r="P414" s="32"/>
      <c r="Q414" s="32"/>
      <c r="R414" s="32"/>
      <c r="S414" s="32">
        <f t="shared" si="124"/>
        <v>0</v>
      </c>
      <c r="T414" s="12"/>
      <c r="U414" s="12"/>
      <c r="V414" s="12"/>
      <c r="W414" s="12">
        <f t="shared" si="125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6"/>
        <v>0</v>
      </c>
      <c r="AF414" s="12"/>
      <c r="AG414" s="12"/>
      <c r="AH414" s="12"/>
      <c r="AI414" s="12">
        <f t="shared" si="12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>
        <v>45972</v>
      </c>
      <c r="C415" s="91">
        <f t="shared" si="128"/>
        <v>7056</v>
      </c>
      <c r="D415" s="32">
        <f>23788+1192+1005+832*2+229</f>
        <v>27878</v>
      </c>
      <c r="E415" s="32"/>
      <c r="F415" s="32"/>
      <c r="G415" s="32">
        <f t="shared" si="122"/>
        <v>27878</v>
      </c>
      <c r="H415" s="12"/>
      <c r="I415" s="12"/>
      <c r="J415" s="12"/>
      <c r="K415" s="12">
        <f t="shared" si="123"/>
        <v>27878</v>
      </c>
      <c r="M415" s="10">
        <v>19</v>
      </c>
      <c r="N415" s="30"/>
      <c r="O415" s="31"/>
      <c r="P415" s="32"/>
      <c r="Q415" s="32"/>
      <c r="R415" s="32"/>
      <c r="S415" s="32">
        <f t="shared" si="124"/>
        <v>0</v>
      </c>
      <c r="T415" s="12"/>
      <c r="U415" s="12"/>
      <c r="V415" s="12"/>
      <c r="W415" s="12">
        <f t="shared" si="125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6"/>
        <v>0</v>
      </c>
      <c r="AF415" s="12"/>
      <c r="AG415" s="12"/>
      <c r="AH415" s="12"/>
      <c r="AI415" s="12">
        <f t="shared" si="12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>
        <v>45972</v>
      </c>
      <c r="C416" s="91">
        <f t="shared" si="128"/>
        <v>7057</v>
      </c>
      <c r="D416" s="32">
        <f>1252+19</f>
        <v>1271</v>
      </c>
      <c r="E416" s="32"/>
      <c r="F416" s="32"/>
      <c r="G416" s="32">
        <f t="shared" si="122"/>
        <v>1271</v>
      </c>
      <c r="H416" s="12"/>
      <c r="I416" s="12"/>
      <c r="J416" s="12"/>
      <c r="K416" s="12">
        <f t="shared" si="123"/>
        <v>1271</v>
      </c>
      <c r="M416" s="10">
        <v>20</v>
      </c>
      <c r="N416" s="30"/>
      <c r="O416" s="31"/>
      <c r="P416" s="32"/>
      <c r="Q416" s="32"/>
      <c r="R416" s="32"/>
      <c r="S416" s="32">
        <f t="shared" si="124"/>
        <v>0</v>
      </c>
      <c r="T416" s="12"/>
      <c r="U416" s="12"/>
      <c r="V416" s="12"/>
      <c r="W416" s="12">
        <f t="shared" si="125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6"/>
        <v>0</v>
      </c>
      <c r="AF416" s="12"/>
      <c r="AG416" s="12"/>
      <c r="AH416" s="12"/>
      <c r="AI416" s="12">
        <f t="shared" si="12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>
        <v>45972</v>
      </c>
      <c r="C417" s="91">
        <f t="shared" si="128"/>
        <v>7058</v>
      </c>
      <c r="D417" s="32">
        <f>18780+229</f>
        <v>19009</v>
      </c>
      <c r="E417" s="32"/>
      <c r="F417" s="32"/>
      <c r="G417" s="32">
        <f t="shared" si="122"/>
        <v>19009</v>
      </c>
      <c r="H417" s="10"/>
      <c r="I417" s="10">
        <v>81</v>
      </c>
      <c r="J417" s="10"/>
      <c r="K417" s="12">
        <f t="shared" si="123"/>
        <v>19090</v>
      </c>
      <c r="M417" s="10">
        <v>21</v>
      </c>
      <c r="N417" s="30"/>
      <c r="O417" s="31"/>
      <c r="P417" s="46"/>
      <c r="Q417" s="31"/>
      <c r="R417" s="31"/>
      <c r="S417" s="32">
        <f t="shared" si="124"/>
        <v>0</v>
      </c>
      <c r="T417" s="10"/>
      <c r="U417" s="10"/>
      <c r="V417" s="10"/>
      <c r="W417" s="12">
        <f t="shared" si="125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26"/>
        <v>0</v>
      </c>
      <c r="AF417" s="10"/>
      <c r="AG417" s="10"/>
      <c r="AH417" s="10"/>
      <c r="AI417" s="12">
        <f t="shared" si="12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>
        <v>45972</v>
      </c>
      <c r="C418" s="91">
        <f t="shared" si="128"/>
        <v>7059</v>
      </c>
      <c r="D418" s="32">
        <f>3756</f>
        <v>3756</v>
      </c>
      <c r="E418" s="32"/>
      <c r="F418" s="32"/>
      <c r="G418" s="32">
        <f t="shared" si="122"/>
        <v>3756</v>
      </c>
      <c r="H418" s="10"/>
      <c r="I418" s="10"/>
      <c r="J418" s="10"/>
      <c r="K418" s="12">
        <f t="shared" si="123"/>
        <v>3756</v>
      </c>
      <c r="M418" s="10">
        <v>22</v>
      </c>
      <c r="N418" s="30"/>
      <c r="O418" s="31"/>
      <c r="P418" s="45"/>
      <c r="Q418" s="31"/>
      <c r="R418" s="31"/>
      <c r="S418" s="32">
        <f t="shared" si="124"/>
        <v>0</v>
      </c>
      <c r="T418" s="10"/>
      <c r="U418" s="10"/>
      <c r="V418" s="10"/>
      <c r="W418" s="12">
        <f t="shared" si="125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26"/>
        <v>0</v>
      </c>
      <c r="AF418" s="10"/>
      <c r="AG418" s="10"/>
      <c r="AH418" s="10"/>
      <c r="AI418" s="12">
        <f t="shared" si="12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11" t="s">
        <v>27</v>
      </c>
      <c r="D419" s="32"/>
      <c r="E419" s="32"/>
      <c r="F419" s="32"/>
      <c r="G419" s="32">
        <f t="shared" si="122"/>
        <v>0</v>
      </c>
      <c r="H419" s="10"/>
      <c r="I419" s="10"/>
      <c r="J419" s="12"/>
      <c r="K419" s="12">
        <f t="shared" si="123"/>
        <v>0</v>
      </c>
      <c r="M419" s="10">
        <v>23</v>
      </c>
      <c r="N419" s="30"/>
      <c r="O419" s="31"/>
      <c r="P419" s="47"/>
      <c r="Q419" s="31"/>
      <c r="S419" s="32">
        <f t="shared" si="124"/>
        <v>0</v>
      </c>
      <c r="T419" s="10"/>
      <c r="U419" s="10"/>
      <c r="V419" s="10"/>
      <c r="W419" s="12">
        <f t="shared" si="125"/>
        <v>0</v>
      </c>
      <c r="Y419" s="10">
        <v>23</v>
      </c>
      <c r="Z419" s="30"/>
      <c r="AA419" s="31"/>
      <c r="AB419" s="47"/>
      <c r="AC419" s="31"/>
      <c r="AE419" s="32">
        <f t="shared" si="126"/>
        <v>0</v>
      </c>
      <c r="AF419" s="10"/>
      <c r="AG419" s="10"/>
      <c r="AH419" s="10"/>
      <c r="AI419" s="12">
        <f t="shared" si="12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91"/>
      <c r="D420" s="32"/>
      <c r="E420" s="32"/>
      <c r="F420" s="32"/>
      <c r="G420" s="32">
        <f t="shared" si="122"/>
        <v>0</v>
      </c>
      <c r="H420" s="10"/>
      <c r="I420" s="10"/>
      <c r="J420" s="10"/>
      <c r="K420" s="12">
        <f t="shared" si="123"/>
        <v>0</v>
      </c>
      <c r="M420" s="10">
        <v>24</v>
      </c>
      <c r="N420" s="30"/>
      <c r="O420" s="31"/>
      <c r="P420" s="47"/>
      <c r="Q420" s="31"/>
      <c r="R420" s="31"/>
      <c r="S420" s="32">
        <f t="shared" si="124"/>
        <v>0</v>
      </c>
      <c r="T420" s="10"/>
      <c r="U420" s="10"/>
      <c r="V420" s="10"/>
      <c r="W420" s="12">
        <f t="shared" si="125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6"/>
        <v>0</v>
      </c>
      <c r="AF420" s="10"/>
      <c r="AG420" s="10"/>
      <c r="AH420" s="10"/>
      <c r="AI420" s="12">
        <f t="shared" si="12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91"/>
      <c r="D421" s="32"/>
      <c r="E421" s="32"/>
      <c r="F421" s="32"/>
      <c r="G421" s="32">
        <f t="shared" si="122"/>
        <v>0</v>
      </c>
      <c r="H421" s="10"/>
      <c r="I421" s="10"/>
      <c r="J421" s="10"/>
      <c r="K421" s="12">
        <f t="shared" si="123"/>
        <v>0</v>
      </c>
      <c r="M421" s="10">
        <v>25</v>
      </c>
      <c r="N421" s="30"/>
      <c r="O421" s="31"/>
      <c r="P421" s="47"/>
      <c r="Q421" s="31"/>
      <c r="R421" s="31"/>
      <c r="S421" s="32">
        <f t="shared" si="124"/>
        <v>0</v>
      </c>
      <c r="T421" s="10"/>
      <c r="U421" s="10"/>
      <c r="V421" s="10"/>
      <c r="W421" s="12">
        <f t="shared" si="125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6"/>
        <v>0</v>
      </c>
      <c r="AF421" s="10"/>
      <c r="AG421" s="10"/>
      <c r="AH421" s="10"/>
      <c r="AI421" s="12">
        <f t="shared" si="12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91"/>
      <c r="D422" s="32"/>
      <c r="E422" s="32"/>
      <c r="F422" s="32"/>
      <c r="G422" s="32">
        <f t="shared" si="122"/>
        <v>0</v>
      </c>
      <c r="H422" s="10"/>
      <c r="I422" s="10"/>
      <c r="J422" s="10"/>
      <c r="K422" s="12">
        <f t="shared" si="123"/>
        <v>0</v>
      </c>
      <c r="M422" s="10">
        <v>26</v>
      </c>
      <c r="N422" s="30"/>
      <c r="O422" s="31"/>
      <c r="P422" s="47"/>
      <c r="Q422" s="31"/>
      <c r="R422" s="31"/>
      <c r="S422" s="32">
        <f t="shared" si="124"/>
        <v>0</v>
      </c>
      <c r="T422" s="10"/>
      <c r="U422" s="10"/>
      <c r="V422" s="10"/>
      <c r="W422" s="12">
        <f t="shared" si="125"/>
        <v>0</v>
      </c>
      <c r="Y422" s="10">
        <v>26</v>
      </c>
      <c r="Z422" s="30"/>
      <c r="AB422" s="47"/>
      <c r="AC422" s="31"/>
      <c r="AD422" s="31"/>
      <c r="AE422" s="32">
        <f t="shared" si="126"/>
        <v>0</v>
      </c>
      <c r="AF422" s="10"/>
      <c r="AG422" s="10"/>
      <c r="AH422" s="10"/>
      <c r="AI422" s="12">
        <f t="shared" si="12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91"/>
      <c r="D423" s="32"/>
      <c r="E423" s="32"/>
      <c r="F423" s="32"/>
      <c r="G423" s="32">
        <f t="shared" si="122"/>
        <v>0</v>
      </c>
      <c r="H423" s="10"/>
      <c r="I423" s="10"/>
      <c r="J423" s="10"/>
      <c r="K423" s="12">
        <f t="shared" si="123"/>
        <v>0</v>
      </c>
      <c r="M423" s="10">
        <v>27</v>
      </c>
      <c r="N423" s="30"/>
      <c r="O423" s="31"/>
      <c r="P423" s="47"/>
      <c r="Q423" s="31"/>
      <c r="R423" s="31"/>
      <c r="S423" s="32">
        <f t="shared" si="124"/>
        <v>0</v>
      </c>
      <c r="T423" s="10"/>
      <c r="U423" s="10"/>
      <c r="V423" s="10"/>
      <c r="W423" s="12">
        <f t="shared" si="125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6"/>
        <v>0</v>
      </c>
      <c r="AF423" s="10"/>
      <c r="AG423" s="10"/>
      <c r="AH423" s="10"/>
      <c r="AI423" s="12">
        <f t="shared" si="12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91"/>
      <c r="D424" s="32"/>
      <c r="E424" s="32"/>
      <c r="F424" s="32"/>
      <c r="G424" s="32">
        <f t="shared" si="122"/>
        <v>0</v>
      </c>
      <c r="H424" s="10"/>
      <c r="I424" s="10"/>
      <c r="J424" s="10"/>
      <c r="K424" s="12">
        <f t="shared" si="123"/>
        <v>0</v>
      </c>
      <c r="M424" s="10">
        <v>28</v>
      </c>
      <c r="N424" s="30"/>
      <c r="O424" s="31"/>
      <c r="P424" s="47"/>
      <c r="Q424" s="31"/>
      <c r="R424" s="31"/>
      <c r="S424" s="32">
        <f t="shared" si="124"/>
        <v>0</v>
      </c>
      <c r="T424" s="10"/>
      <c r="U424" s="10"/>
      <c r="V424" s="10"/>
      <c r="W424" s="12">
        <f t="shared" si="125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6"/>
        <v>0</v>
      </c>
      <c r="AF424" s="10"/>
      <c r="AG424" s="10"/>
      <c r="AH424" s="10"/>
      <c r="AI424" s="12">
        <f t="shared" si="12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91"/>
      <c r="D425" s="32"/>
      <c r="E425" s="32"/>
      <c r="F425" s="32"/>
      <c r="G425" s="32">
        <f t="shared" si="122"/>
        <v>0</v>
      </c>
      <c r="H425" s="10"/>
      <c r="I425" s="10"/>
      <c r="J425" s="10"/>
      <c r="K425" s="12">
        <f t="shared" si="123"/>
        <v>0</v>
      </c>
      <c r="M425" s="10">
        <v>29</v>
      </c>
      <c r="N425" s="30"/>
      <c r="O425" s="31"/>
      <c r="P425" s="47"/>
      <c r="Q425" s="31"/>
      <c r="R425" s="31"/>
      <c r="S425" s="32">
        <f t="shared" si="124"/>
        <v>0</v>
      </c>
      <c r="T425" s="10"/>
      <c r="U425" s="10"/>
      <c r="V425" s="10"/>
      <c r="W425" s="12">
        <f t="shared" si="125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6"/>
        <v>0</v>
      </c>
      <c r="AF425" s="10"/>
      <c r="AG425" s="10"/>
      <c r="AH425" s="10"/>
      <c r="AI425" s="12">
        <f t="shared" si="12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D426" s="32"/>
      <c r="E426" s="32"/>
      <c r="F426" s="32"/>
      <c r="G426" s="32">
        <f t="shared" si="122"/>
        <v>0</v>
      </c>
      <c r="H426" s="10"/>
      <c r="I426" s="10"/>
      <c r="J426" s="10"/>
      <c r="K426" s="12">
        <f t="shared" si="123"/>
        <v>0</v>
      </c>
      <c r="M426" s="10">
        <v>30</v>
      </c>
      <c r="N426" s="30"/>
      <c r="O426" s="31"/>
      <c r="P426" s="47"/>
      <c r="Q426" s="31"/>
      <c r="R426" s="31"/>
      <c r="S426" s="32">
        <f t="shared" si="124"/>
        <v>0</v>
      </c>
      <c r="T426" s="10"/>
      <c r="U426" s="10"/>
      <c r="V426" s="10"/>
      <c r="W426" s="12">
        <f t="shared" si="125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26"/>
        <v>0</v>
      </c>
      <c r="AF426" s="10"/>
      <c r="AG426" s="10"/>
      <c r="AH426" s="10"/>
      <c r="AI426" s="12">
        <f t="shared" si="12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91"/>
      <c r="D427" s="32"/>
      <c r="E427" s="32"/>
      <c r="F427" s="32"/>
      <c r="G427" s="32">
        <f t="shared" si="122"/>
        <v>0</v>
      </c>
      <c r="H427" s="10"/>
      <c r="I427" s="10"/>
      <c r="J427" s="10"/>
      <c r="K427" s="12">
        <f t="shared" si="123"/>
        <v>0</v>
      </c>
      <c r="M427" s="10">
        <v>31</v>
      </c>
      <c r="N427" s="30"/>
      <c r="O427" s="31"/>
      <c r="P427" s="47"/>
      <c r="Q427" s="31"/>
      <c r="R427" s="31"/>
      <c r="S427" s="32">
        <f t="shared" si="124"/>
        <v>0</v>
      </c>
      <c r="T427" s="10"/>
      <c r="U427" s="10"/>
      <c r="V427" s="10"/>
      <c r="W427" s="12">
        <f t="shared" si="125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26"/>
        <v>0</v>
      </c>
      <c r="AF427" s="10"/>
      <c r="AG427" s="10"/>
      <c r="AH427" s="10"/>
      <c r="AI427" s="12">
        <f t="shared" si="12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91"/>
      <c r="D428" s="32"/>
      <c r="E428" s="32"/>
      <c r="F428" s="32"/>
      <c r="G428" s="32">
        <f t="shared" si="122"/>
        <v>0</v>
      </c>
      <c r="H428" s="10"/>
      <c r="I428" s="10"/>
      <c r="J428" s="10"/>
      <c r="K428" s="12">
        <f t="shared" si="123"/>
        <v>0</v>
      </c>
      <c r="M428" s="10">
        <v>32</v>
      </c>
      <c r="N428" s="30"/>
      <c r="O428" s="31"/>
      <c r="P428" s="47"/>
      <c r="Q428" s="31"/>
      <c r="R428" s="31"/>
      <c r="S428" s="32">
        <f t="shared" si="124"/>
        <v>0</v>
      </c>
      <c r="T428" s="10"/>
      <c r="U428" s="10"/>
      <c r="V428" s="10"/>
      <c r="W428" s="12">
        <f t="shared" si="125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6"/>
        <v>0</v>
      </c>
      <c r="AF428" s="10"/>
      <c r="AG428" s="10"/>
      <c r="AH428" s="10"/>
      <c r="AI428" s="12">
        <f t="shared" si="12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91"/>
      <c r="D429" s="32"/>
      <c r="E429" s="32"/>
      <c r="F429" s="32"/>
      <c r="G429" s="32">
        <f t="shared" si="122"/>
        <v>0</v>
      </c>
      <c r="H429" s="10"/>
      <c r="I429" s="10"/>
      <c r="J429" s="10"/>
      <c r="K429" s="12">
        <f t="shared" si="123"/>
        <v>0</v>
      </c>
      <c r="M429" s="10">
        <v>33</v>
      </c>
      <c r="N429" s="30"/>
      <c r="O429" s="31"/>
      <c r="P429" s="47"/>
      <c r="Q429" s="31"/>
      <c r="R429" s="31"/>
      <c r="S429" s="32">
        <f t="shared" si="124"/>
        <v>0</v>
      </c>
      <c r="T429" s="10"/>
      <c r="U429" s="10"/>
      <c r="V429" s="10"/>
      <c r="W429" s="12">
        <f t="shared" si="125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6"/>
        <v>0</v>
      </c>
      <c r="AF429" s="10"/>
      <c r="AG429" s="10"/>
      <c r="AH429" s="10"/>
      <c r="AI429" s="12">
        <f t="shared" si="12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91"/>
      <c r="D430" s="32"/>
      <c r="E430" s="32"/>
      <c r="F430" s="32"/>
      <c r="G430" s="32">
        <f t="shared" si="122"/>
        <v>0</v>
      </c>
      <c r="H430" s="10"/>
      <c r="I430" s="10"/>
      <c r="J430" s="10"/>
      <c r="K430" s="12">
        <f t="shared" si="123"/>
        <v>0</v>
      </c>
      <c r="M430" s="10">
        <v>34</v>
      </c>
      <c r="N430" s="30"/>
      <c r="P430" s="47"/>
      <c r="Q430" s="31"/>
      <c r="R430" s="31"/>
      <c r="S430" s="32">
        <f t="shared" ref="S430:S435" si="130">SUM(P430:Q430)</f>
        <v>0</v>
      </c>
      <c r="T430" s="10"/>
      <c r="U430" s="10"/>
      <c r="V430" s="10"/>
      <c r="W430" s="12">
        <f t="shared" si="125"/>
        <v>0</v>
      </c>
      <c r="Y430" s="10">
        <v>34</v>
      </c>
      <c r="Z430" s="30"/>
      <c r="AB430" s="47"/>
      <c r="AC430" s="31"/>
      <c r="AD430" s="31"/>
      <c r="AE430" s="32">
        <f t="shared" si="126"/>
        <v>0</v>
      </c>
      <c r="AF430" s="10"/>
      <c r="AG430" s="10"/>
      <c r="AH430" s="10"/>
      <c r="AI430" s="12">
        <f t="shared" si="12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0"/>
        <v>0</v>
      </c>
      <c r="T431" s="10"/>
      <c r="U431" s="10"/>
      <c r="V431" s="10"/>
      <c r="W431" s="12">
        <f t="shared" si="125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6"/>
        <v>0</v>
      </c>
      <c r="AF431" s="10"/>
      <c r="AG431" s="10"/>
      <c r="AH431" s="10"/>
      <c r="AI431" s="12">
        <f t="shared" si="12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0"/>
        <v>0</v>
      </c>
      <c r="T432" s="10"/>
      <c r="U432" s="10"/>
      <c r="V432" s="10"/>
      <c r="W432" s="12">
        <f t="shared" si="125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6"/>
        <v>0</v>
      </c>
      <c r="AF432" s="10"/>
      <c r="AG432" s="10"/>
      <c r="AH432" s="10"/>
      <c r="AI432" s="12">
        <f t="shared" si="12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0"/>
        <v>0</v>
      </c>
      <c r="T433" s="10"/>
      <c r="U433" s="10"/>
      <c r="V433" s="10"/>
      <c r="W433" s="12">
        <f t="shared" si="125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6"/>
        <v>0</v>
      </c>
      <c r="AF433" s="10"/>
      <c r="AG433" s="10"/>
      <c r="AH433" s="10"/>
      <c r="AI433" s="12">
        <f t="shared" si="12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0"/>
        <v>0</v>
      </c>
      <c r="T434" s="10"/>
      <c r="U434" s="10"/>
      <c r="V434" s="10"/>
      <c r="W434" s="12">
        <f t="shared" si="125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6"/>
        <v>0</v>
      </c>
      <c r="AF434" s="10"/>
      <c r="AG434" s="10"/>
      <c r="AH434" s="10"/>
      <c r="AI434" s="12">
        <f t="shared" si="12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0"/>
        <v>0</v>
      </c>
      <c r="T435" s="10"/>
      <c r="U435" s="10"/>
      <c r="V435" s="10"/>
      <c r="W435" s="12">
        <f t="shared" si="125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6"/>
        <v>0</v>
      </c>
      <c r="AF435" s="10"/>
      <c r="AG435" s="10"/>
      <c r="AH435" s="10"/>
      <c r="AI435" s="12">
        <f t="shared" si="12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5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2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1">SUM(D437:E437)</f>
        <v>0</v>
      </c>
      <c r="H437" s="10"/>
      <c r="I437" s="10"/>
      <c r="J437" s="10"/>
      <c r="K437" s="12">
        <f t="shared" ref="K437" si="132">SUM(G437:J437)</f>
        <v>0</v>
      </c>
      <c r="M437" s="10"/>
      <c r="N437" s="30"/>
      <c r="O437" s="31"/>
      <c r="P437" s="47"/>
      <c r="Q437" s="31"/>
      <c r="R437" s="31"/>
      <c r="S437" s="32">
        <f t="shared" ref="S437" si="133">SUM(P437:Q437)</f>
        <v>0</v>
      </c>
      <c r="T437" s="10"/>
      <c r="U437" s="10"/>
      <c r="V437" s="10"/>
      <c r="W437" s="12">
        <f t="shared" si="125"/>
        <v>0</v>
      </c>
      <c r="Y437" s="10"/>
      <c r="Z437" s="30"/>
      <c r="AA437" s="31"/>
      <c r="AB437" s="47"/>
      <c r="AC437" s="31"/>
      <c r="AD437" s="31"/>
      <c r="AE437" s="32">
        <f t="shared" ref="AE437" si="134">SUM(AB437:AC437)</f>
        <v>0</v>
      </c>
      <c r="AF437" s="10"/>
      <c r="AG437" s="10"/>
      <c r="AH437" s="10"/>
      <c r="AI437" s="12">
        <f t="shared" si="12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5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2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214536</v>
      </c>
      <c r="E440" s="38">
        <f t="shared" ref="E440:F440" si="135">SUM(E397:E437)</f>
        <v>0</v>
      </c>
      <c r="F440" s="38">
        <f t="shared" si="135"/>
        <v>0</v>
      </c>
      <c r="G440" s="38">
        <f>SUM(G397:G439)</f>
        <v>214536</v>
      </c>
      <c r="H440" s="4"/>
      <c r="I440" s="39">
        <f>SUM(I397:I439)</f>
        <v>783</v>
      </c>
      <c r="J440" s="39">
        <f>SUM(J397:J439)</f>
        <v>0</v>
      </c>
      <c r="K440" s="40">
        <f>SUM(K397:K439)</f>
        <v>215319</v>
      </c>
      <c r="N440" s="57"/>
      <c r="O440" s="57"/>
      <c r="P440" s="38">
        <f>SUM(P397:P439)</f>
        <v>372833.5</v>
      </c>
      <c r="Q440" s="38">
        <f>SUM(Q397:Q421)</f>
        <v>-5517</v>
      </c>
      <c r="R440" s="38">
        <f>SUM(R397:R421)</f>
        <v>0</v>
      </c>
      <c r="S440" s="38">
        <f>SUM(S397:S439)</f>
        <v>367316.5</v>
      </c>
      <c r="T440" s="4"/>
      <c r="U440" s="41">
        <f>SUM(U397:U439)</f>
        <v>7266</v>
      </c>
      <c r="V440" s="41">
        <f>SUM(V397:V421)</f>
        <v>-1080</v>
      </c>
      <c r="W440" s="42">
        <f>SUM(W397:W439)</f>
        <v>373502.5</v>
      </c>
      <c r="Z440" s="57"/>
      <c r="AA440" s="57"/>
      <c r="AB440" s="38">
        <f>SUM(AB397:AB439)</f>
        <v>184236.5</v>
      </c>
      <c r="AC440" s="38">
        <f>SUM(AC397:AC421)</f>
        <v>-1644</v>
      </c>
      <c r="AD440" s="38">
        <f>SUM(AD397:AD421)</f>
        <v>0</v>
      </c>
      <c r="AE440" s="38">
        <f>SUM(AE397:AE439)</f>
        <v>182592.5</v>
      </c>
      <c r="AF440" s="4"/>
      <c r="AG440" s="41">
        <f>SUM(AG397:AG439)</f>
        <v>12133.5</v>
      </c>
      <c r="AH440" s="41">
        <f>SUM(AH397:AH421)</f>
        <v>0</v>
      </c>
      <c r="AI440" s="42">
        <f>SUM(AI397:AI439)</f>
        <v>194726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19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62</v>
      </c>
      <c r="B448" s="20"/>
      <c r="C448" s="57"/>
      <c r="D448" s="57"/>
      <c r="E448" s="57"/>
      <c r="G448" s="57"/>
      <c r="I448" s="22" t="s">
        <v>16</v>
      </c>
      <c r="J448" s="23" t="s">
        <v>33</v>
      </c>
      <c r="K448" s="24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42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1" t="s">
        <v>17</v>
      </c>
      <c r="E450" s="111"/>
      <c r="F450" s="99"/>
      <c r="G450" s="27"/>
      <c r="I450" s="114" t="s">
        <v>18</v>
      </c>
      <c r="J450" s="115"/>
      <c r="K450" s="112" t="s">
        <v>19</v>
      </c>
      <c r="N450" s="25"/>
      <c r="O450" s="26"/>
      <c r="P450" s="111" t="s">
        <v>17</v>
      </c>
      <c r="Q450" s="111"/>
      <c r="R450" s="99"/>
      <c r="S450" s="27"/>
      <c r="U450" s="114" t="s">
        <v>18</v>
      </c>
      <c r="V450" s="115"/>
      <c r="W450" s="112" t="s">
        <v>19</v>
      </c>
      <c r="Z450" s="25"/>
      <c r="AA450" s="26"/>
      <c r="AB450" s="111" t="s">
        <v>17</v>
      </c>
      <c r="AC450" s="111"/>
      <c r="AD450" s="99"/>
      <c r="AE450" s="27"/>
      <c r="AG450" s="114" t="s">
        <v>18</v>
      </c>
      <c r="AH450" s="115"/>
      <c r="AI450" s="112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9" t="s">
        <v>22</v>
      </c>
      <c r="E451" s="78" t="s">
        <v>23</v>
      </c>
      <c r="F451" s="80" t="s">
        <v>32</v>
      </c>
      <c r="G451" s="80" t="s">
        <v>24</v>
      </c>
      <c r="I451" s="29" t="s">
        <v>25</v>
      </c>
      <c r="J451" s="29" t="s">
        <v>26</v>
      </c>
      <c r="K451" s="113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3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46002</v>
      </c>
      <c r="C452" s="91">
        <v>7060</v>
      </c>
      <c r="D452" s="32">
        <f>1252+19</f>
        <v>1271</v>
      </c>
      <c r="E452" s="32"/>
      <c r="F452" s="32"/>
      <c r="G452" s="32">
        <f t="shared" ref="G452:G485" si="136">SUM(D452:E452)</f>
        <v>1271</v>
      </c>
      <c r="H452" s="12"/>
      <c r="I452" s="12">
        <v>9</v>
      </c>
      <c r="J452" s="12"/>
      <c r="K452" s="12">
        <f t="shared" ref="K452:K485" si="137">SUM(G452:J452)</f>
        <v>1280</v>
      </c>
      <c r="M452" s="10">
        <v>1</v>
      </c>
      <c r="N452" s="30">
        <v>46002</v>
      </c>
      <c r="O452" s="31">
        <v>7042</v>
      </c>
      <c r="P452" s="32">
        <f>118940+5960+1603</f>
        <v>126503</v>
      </c>
      <c r="Q452" s="32">
        <v>-1863</v>
      </c>
      <c r="R452" s="32"/>
      <c r="S452" s="32">
        <f>SUM(P452:Q452)</f>
        <v>124640</v>
      </c>
      <c r="T452" s="12"/>
      <c r="U452" s="12">
        <f>3108+546</f>
        <v>3654</v>
      </c>
      <c r="V452" s="12"/>
      <c r="W452" s="12">
        <f>SUM(S452:V452)</f>
        <v>128294</v>
      </c>
      <c r="Y452" s="10">
        <v>1</v>
      </c>
      <c r="Z452" s="30">
        <v>46002</v>
      </c>
      <c r="AA452" s="31">
        <v>7110</v>
      </c>
      <c r="AB452" s="32">
        <f>7512+614+1788+229</f>
        <v>10143</v>
      </c>
      <c r="AC452" s="32"/>
      <c r="AD452" s="32"/>
      <c r="AE452" s="32">
        <f>SUM(AB452:AC452)</f>
        <v>10143</v>
      </c>
      <c r="AF452" s="12"/>
      <c r="AG452" s="12"/>
      <c r="AH452" s="12"/>
      <c r="AI452" s="12">
        <f>SUM(AE452:AH452)</f>
        <v>10143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46002</v>
      </c>
      <c r="C453" s="91">
        <f>C452+1</f>
        <v>7061</v>
      </c>
      <c r="D453" s="32">
        <f>11894+1228</f>
        <v>13122</v>
      </c>
      <c r="E453" s="32"/>
      <c r="F453" s="32"/>
      <c r="G453" s="32">
        <f t="shared" si="136"/>
        <v>13122</v>
      </c>
      <c r="H453" s="12"/>
      <c r="I453" s="12"/>
      <c r="J453" s="12">
        <v>-333</v>
      </c>
      <c r="K453" s="12">
        <f t="shared" si="137"/>
        <v>12789</v>
      </c>
      <c r="M453" s="10">
        <v>2</v>
      </c>
      <c r="N453" s="30">
        <v>46002</v>
      </c>
      <c r="O453" s="31">
        <f>O452+1</f>
        <v>7043</v>
      </c>
      <c r="P453" s="32">
        <f>2504+9.5*4</f>
        <v>2542</v>
      </c>
      <c r="Q453" s="32"/>
      <c r="R453" s="32"/>
      <c r="S453" s="32">
        <f t="shared" ref="S453:S484" si="138">SUM(P453:Q453)</f>
        <v>2542</v>
      </c>
      <c r="T453" s="12"/>
      <c r="U453" s="12"/>
      <c r="V453" s="12"/>
      <c r="W453" s="12">
        <f t="shared" ref="W453:W493" si="139">SUM(S453:V453)</f>
        <v>2542</v>
      </c>
      <c r="Y453" s="10">
        <v>2</v>
      </c>
      <c r="Z453" s="30">
        <v>46002</v>
      </c>
      <c r="AA453" s="31">
        <f>AA452+1</f>
        <v>7111</v>
      </c>
      <c r="AB453" s="32">
        <f>2504+38</f>
        <v>2542</v>
      </c>
      <c r="AC453" s="32"/>
      <c r="AD453" s="32"/>
      <c r="AE453" s="32">
        <f t="shared" ref="AE453:AE490" si="140">SUM(AB453:AC453)</f>
        <v>2542</v>
      </c>
      <c r="AF453" s="12"/>
      <c r="AG453" s="12"/>
      <c r="AH453" s="12"/>
      <c r="AI453" s="12">
        <f t="shared" ref="AI453:AI493" si="141">SUM(AE453:AH453)</f>
        <v>2542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46002</v>
      </c>
      <c r="C454" s="91">
        <f t="shared" ref="C454:C469" si="142">C453+1</f>
        <v>7062</v>
      </c>
      <c r="D454" s="33">
        <f>5008+76</f>
        <v>5084</v>
      </c>
      <c r="E454" s="33"/>
      <c r="F454" s="33"/>
      <c r="G454" s="33">
        <f t="shared" si="136"/>
        <v>5084</v>
      </c>
      <c r="H454" s="34"/>
      <c r="I454" s="34"/>
      <c r="J454" s="34"/>
      <c r="K454" s="34">
        <f t="shared" si="137"/>
        <v>5084</v>
      </c>
      <c r="M454" s="10">
        <v>3</v>
      </c>
      <c r="N454" s="30">
        <v>46002</v>
      </c>
      <c r="O454" s="31">
        <f t="shared" ref="O454:O456" si="143">O453+1</f>
        <v>7044</v>
      </c>
      <c r="P454" s="32">
        <f>3130+47.5</f>
        <v>3177.5</v>
      </c>
      <c r="Q454" s="32"/>
      <c r="R454" s="32"/>
      <c r="S454" s="32">
        <f t="shared" si="138"/>
        <v>3177.5</v>
      </c>
      <c r="T454" s="12"/>
      <c r="U454" s="12"/>
      <c r="V454" s="12"/>
      <c r="W454" s="12">
        <f t="shared" si="139"/>
        <v>3177.5</v>
      </c>
      <c r="Y454" s="10">
        <v>3</v>
      </c>
      <c r="Z454" s="30">
        <v>46002</v>
      </c>
      <c r="AA454" s="31">
        <f t="shared" ref="AA454:AA463" si="144">AA453+1</f>
        <v>7112</v>
      </c>
      <c r="AB454" s="33">
        <f>11268+2980+229</f>
        <v>14477</v>
      </c>
      <c r="AC454" s="33"/>
      <c r="AD454" s="32"/>
      <c r="AE454" s="32">
        <f t="shared" si="140"/>
        <v>14477</v>
      </c>
      <c r="AF454" s="12"/>
      <c r="AG454" s="12"/>
      <c r="AH454" s="12"/>
      <c r="AI454" s="12">
        <f t="shared" si="141"/>
        <v>14477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46002</v>
      </c>
      <c r="C455" s="91">
        <f t="shared" si="142"/>
        <v>7063</v>
      </c>
      <c r="D455" s="32">
        <f>4382+674+1788+650</f>
        <v>7494</v>
      </c>
      <c r="E455" s="32"/>
      <c r="F455" s="32"/>
      <c r="G455" s="32">
        <f t="shared" si="136"/>
        <v>7494</v>
      </c>
      <c r="H455" s="12"/>
      <c r="I455" s="12">
        <f>222+94</f>
        <v>316</v>
      </c>
      <c r="J455" s="12"/>
      <c r="K455" s="12">
        <f t="shared" si="137"/>
        <v>7810</v>
      </c>
      <c r="M455" s="10">
        <v>4</v>
      </c>
      <c r="N455" s="30">
        <v>46002</v>
      </c>
      <c r="O455" s="31">
        <f t="shared" si="143"/>
        <v>7045</v>
      </c>
      <c r="P455" s="32">
        <f>5008+76</f>
        <v>5084</v>
      </c>
      <c r="Q455" s="32"/>
      <c r="R455" s="32"/>
      <c r="S455" s="32">
        <f t="shared" si="138"/>
        <v>5084</v>
      </c>
      <c r="T455" s="12"/>
      <c r="U455" s="12"/>
      <c r="V455" s="12">
        <v>-333</v>
      </c>
      <c r="W455" s="12">
        <f t="shared" si="139"/>
        <v>4751</v>
      </c>
      <c r="Y455" s="10">
        <v>4</v>
      </c>
      <c r="Z455" s="30">
        <v>46002</v>
      </c>
      <c r="AA455" s="31">
        <f t="shared" si="144"/>
        <v>7113</v>
      </c>
      <c r="AB455" s="32">
        <f>5634+85.5</f>
        <v>5719.5</v>
      </c>
      <c r="AC455" s="32"/>
      <c r="AD455" s="32"/>
      <c r="AE455" s="32">
        <f t="shared" si="140"/>
        <v>5719.5</v>
      </c>
      <c r="AF455" s="12"/>
      <c r="AH455" s="12"/>
      <c r="AI455" s="12">
        <f t="shared" si="141"/>
        <v>5719.5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46002</v>
      </c>
      <c r="C456" s="91">
        <f t="shared" si="142"/>
        <v>7064</v>
      </c>
      <c r="D456" s="32">
        <f>1252+19</f>
        <v>1271</v>
      </c>
      <c r="E456" s="32"/>
      <c r="F456" s="32"/>
      <c r="G456" s="32">
        <f t="shared" si="136"/>
        <v>1271</v>
      </c>
      <c r="H456" s="12"/>
      <c r="I456" s="12"/>
      <c r="J456" s="12"/>
      <c r="K456" s="12">
        <f t="shared" si="137"/>
        <v>1271</v>
      </c>
      <c r="M456" s="10">
        <v>5</v>
      </c>
      <c r="N456" s="30">
        <v>46002</v>
      </c>
      <c r="O456" s="31">
        <f t="shared" si="143"/>
        <v>7046</v>
      </c>
      <c r="P456" s="32">
        <f>229</f>
        <v>229</v>
      </c>
      <c r="Q456" s="32"/>
      <c r="R456" s="32"/>
      <c r="S456" s="32">
        <f t="shared" si="138"/>
        <v>229</v>
      </c>
      <c r="T456" s="12"/>
      <c r="U456" s="12">
        <v>78</v>
      </c>
      <c r="V456" s="12"/>
      <c r="W456" s="12">
        <f t="shared" si="139"/>
        <v>307</v>
      </c>
      <c r="Y456" s="10">
        <v>5</v>
      </c>
      <c r="Z456" s="30">
        <v>46002</v>
      </c>
      <c r="AA456" s="31">
        <f t="shared" si="144"/>
        <v>7114</v>
      </c>
      <c r="AB456" s="32">
        <f>3756+614+596+832+66.5</f>
        <v>5864.5</v>
      </c>
      <c r="AC456" s="32"/>
      <c r="AD456" s="32"/>
      <c r="AE456" s="32">
        <f t="shared" si="140"/>
        <v>5864.5</v>
      </c>
      <c r="AF456" s="12"/>
      <c r="AG456" s="12"/>
      <c r="AH456" s="12"/>
      <c r="AI456" s="12">
        <f t="shared" si="141"/>
        <v>5864.5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46002</v>
      </c>
      <c r="C457" s="91">
        <f t="shared" si="142"/>
        <v>7065</v>
      </c>
      <c r="D457" s="32">
        <f>3756+1788+9.5*9</f>
        <v>5629.5</v>
      </c>
      <c r="E457" s="32"/>
      <c r="F457" s="32"/>
      <c r="G457" s="32">
        <f t="shared" si="136"/>
        <v>5629.5</v>
      </c>
      <c r="H457" s="12"/>
      <c r="I457" s="12"/>
      <c r="J457" s="12"/>
      <c r="K457" s="12">
        <f t="shared" si="137"/>
        <v>5629.5</v>
      </c>
      <c r="M457" s="10">
        <v>6</v>
      </c>
      <c r="N457" s="30"/>
      <c r="O457" s="11" t="s">
        <v>27</v>
      </c>
      <c r="P457" s="32"/>
      <c r="Q457" s="32"/>
      <c r="R457" s="32"/>
      <c r="S457" s="32">
        <f t="shared" si="138"/>
        <v>0</v>
      </c>
      <c r="T457" s="12"/>
      <c r="U457" s="12"/>
      <c r="V457" s="10"/>
      <c r="W457" s="12">
        <f t="shared" si="139"/>
        <v>0</v>
      </c>
      <c r="Y457" s="10">
        <v>6</v>
      </c>
      <c r="Z457" s="30">
        <v>46002</v>
      </c>
      <c r="AA457" s="31">
        <f t="shared" si="144"/>
        <v>7115</v>
      </c>
      <c r="AB457" s="32">
        <f>1252+1228+596+38</f>
        <v>3114</v>
      </c>
      <c r="AC457" s="32"/>
      <c r="AD457" s="32"/>
      <c r="AE457" s="32">
        <f t="shared" si="140"/>
        <v>3114</v>
      </c>
      <c r="AF457" s="12"/>
      <c r="AG457" s="12"/>
      <c r="AH457" s="10"/>
      <c r="AI457" s="12">
        <f t="shared" si="141"/>
        <v>3114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46002</v>
      </c>
      <c r="C458" s="91">
        <f t="shared" si="142"/>
        <v>7066</v>
      </c>
      <c r="D458" s="32">
        <f>3130+47.5</f>
        <v>3177.5</v>
      </c>
      <c r="E458" s="32"/>
      <c r="F458" s="32"/>
      <c r="G458" s="32">
        <f t="shared" si="136"/>
        <v>3177.5</v>
      </c>
      <c r="H458" s="12"/>
      <c r="I458" s="12"/>
      <c r="J458" s="12"/>
      <c r="K458" s="12">
        <f t="shared" si="137"/>
        <v>3177.5</v>
      </c>
      <c r="M458" s="10">
        <v>7</v>
      </c>
      <c r="N458" s="30"/>
      <c r="O458" s="31"/>
      <c r="P458" s="32"/>
      <c r="Q458" s="32"/>
      <c r="R458" s="32"/>
      <c r="S458" s="32">
        <f t="shared" si="138"/>
        <v>0</v>
      </c>
      <c r="T458" s="12"/>
      <c r="U458" s="12"/>
      <c r="V458" s="12"/>
      <c r="W458" s="12">
        <f t="shared" si="139"/>
        <v>0</v>
      </c>
      <c r="Y458" s="10">
        <v>7</v>
      </c>
      <c r="Z458" s="30">
        <v>46002</v>
      </c>
      <c r="AA458" s="31">
        <f t="shared" si="144"/>
        <v>7116</v>
      </c>
      <c r="AB458" s="32">
        <f>12520+614+1788+832+500</f>
        <v>16254</v>
      </c>
      <c r="AC458" s="32"/>
      <c r="AD458" s="32"/>
      <c r="AE458" s="32">
        <f t="shared" si="140"/>
        <v>16254</v>
      </c>
      <c r="AF458" s="12"/>
      <c r="AG458" s="58"/>
      <c r="AH458" s="12"/>
      <c r="AI458" s="12">
        <f t="shared" si="141"/>
        <v>16254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46002</v>
      </c>
      <c r="C459" s="91">
        <f t="shared" si="142"/>
        <v>7067</v>
      </c>
      <c r="D459" s="32">
        <f>1878+28.5</f>
        <v>1906.5</v>
      </c>
      <c r="E459" s="32"/>
      <c r="F459" s="32"/>
      <c r="G459" s="32">
        <f t="shared" si="136"/>
        <v>1906.5</v>
      </c>
      <c r="H459" s="12"/>
      <c r="I459" s="12"/>
      <c r="J459" s="12"/>
      <c r="K459" s="12">
        <f t="shared" si="137"/>
        <v>1906.5</v>
      </c>
      <c r="M459" s="10">
        <v>8</v>
      </c>
      <c r="N459" s="30"/>
      <c r="O459" s="31"/>
      <c r="P459" s="32"/>
      <c r="Q459" s="32"/>
      <c r="R459" s="32"/>
      <c r="S459" s="32">
        <f t="shared" si="138"/>
        <v>0</v>
      </c>
      <c r="T459" s="12"/>
      <c r="U459" s="12"/>
      <c r="V459" s="12"/>
      <c r="W459" s="12">
        <f t="shared" si="139"/>
        <v>0</v>
      </c>
      <c r="Y459" s="10">
        <v>8</v>
      </c>
      <c r="Z459" s="30">
        <v>46002</v>
      </c>
      <c r="AA459" s="31">
        <f t="shared" si="144"/>
        <v>7117</v>
      </c>
      <c r="AB459" s="32">
        <f>1252+19</f>
        <v>1271</v>
      </c>
      <c r="AC459" s="32"/>
      <c r="AE459" s="32">
        <f t="shared" si="140"/>
        <v>1271</v>
      </c>
      <c r="AF459" s="12"/>
      <c r="AG459" s="12"/>
      <c r="AH459" s="12"/>
      <c r="AI459" s="12">
        <f t="shared" si="141"/>
        <v>1271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46002</v>
      </c>
      <c r="C460" s="91">
        <f t="shared" si="142"/>
        <v>7068</v>
      </c>
      <c r="D460" s="32">
        <f>9390+1228+1788</f>
        <v>12406</v>
      </c>
      <c r="E460" s="32"/>
      <c r="F460" s="32"/>
      <c r="G460" s="32">
        <f t="shared" si="136"/>
        <v>12406</v>
      </c>
      <c r="H460" s="12"/>
      <c r="I460" s="12"/>
      <c r="J460" s="12">
        <v>-444</v>
      </c>
      <c r="K460" s="12">
        <f t="shared" si="137"/>
        <v>11962</v>
      </c>
      <c r="M460" s="10">
        <v>9</v>
      </c>
      <c r="N460" s="30"/>
      <c r="O460" s="31"/>
      <c r="P460" s="32"/>
      <c r="Q460" s="32"/>
      <c r="R460" s="32"/>
      <c r="S460" s="32">
        <f t="shared" si="138"/>
        <v>0</v>
      </c>
      <c r="T460" s="12"/>
      <c r="U460" s="12"/>
      <c r="V460" s="12"/>
      <c r="W460" s="12">
        <f t="shared" si="139"/>
        <v>0</v>
      </c>
      <c r="Y460" s="10">
        <v>9</v>
      </c>
      <c r="Z460" s="30">
        <v>46002</v>
      </c>
      <c r="AA460" s="31">
        <f t="shared" si="144"/>
        <v>7118</v>
      </c>
      <c r="AB460" s="32">
        <f>1252+614+456.5+596+416+19</f>
        <v>3353.5</v>
      </c>
      <c r="AC460" s="32"/>
      <c r="AD460" s="32"/>
      <c r="AE460" s="32">
        <f t="shared" si="140"/>
        <v>3353.5</v>
      </c>
      <c r="AF460" s="12"/>
      <c r="AG460" s="58"/>
      <c r="AH460" s="12">
        <v>-624</v>
      </c>
      <c r="AI460" s="12">
        <f t="shared" si="141"/>
        <v>2729.5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46002</v>
      </c>
      <c r="C461" s="91">
        <f t="shared" si="142"/>
        <v>7069</v>
      </c>
      <c r="D461" s="32">
        <f>13146+3576+256</f>
        <v>16978</v>
      </c>
      <c r="E461" s="32"/>
      <c r="F461" s="32"/>
      <c r="G461" s="32">
        <f t="shared" si="136"/>
        <v>16978</v>
      </c>
      <c r="H461" s="12"/>
      <c r="I461" s="12"/>
      <c r="J461" s="12"/>
      <c r="K461" s="12">
        <f t="shared" si="137"/>
        <v>16978</v>
      </c>
      <c r="M461" s="10">
        <v>10</v>
      </c>
      <c r="N461" s="30"/>
      <c r="O461" s="31"/>
      <c r="P461" s="32"/>
      <c r="Q461" s="32"/>
      <c r="R461" s="32"/>
      <c r="S461" s="32">
        <f t="shared" si="138"/>
        <v>0</v>
      </c>
      <c r="T461" s="12"/>
      <c r="U461" s="12"/>
      <c r="V461" s="12"/>
      <c r="W461" s="12">
        <f t="shared" si="139"/>
        <v>0</v>
      </c>
      <c r="Y461" s="10">
        <v>10</v>
      </c>
      <c r="Z461" s="30">
        <v>46002</v>
      </c>
      <c r="AA461" s="31">
        <f t="shared" si="144"/>
        <v>7119</v>
      </c>
      <c r="AB461" s="32">
        <f>626*46+674*4+229*2</f>
        <v>31950</v>
      </c>
      <c r="AC461" s="32">
        <v>-312</v>
      </c>
      <c r="AD461" s="32"/>
      <c r="AE461" s="32">
        <f t="shared" si="140"/>
        <v>31638</v>
      </c>
      <c r="AF461" s="12"/>
      <c r="AG461" s="12"/>
      <c r="AH461" s="12">
        <v>-11100</v>
      </c>
      <c r="AI461" s="12">
        <f t="shared" si="141"/>
        <v>20538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46002</v>
      </c>
      <c r="C462" s="91">
        <f t="shared" si="142"/>
        <v>7070</v>
      </c>
      <c r="D462" s="32">
        <f>6260+1228+1788</f>
        <v>9276</v>
      </c>
      <c r="E462" s="32"/>
      <c r="F462" s="32"/>
      <c r="G462" s="32">
        <f t="shared" si="136"/>
        <v>9276</v>
      </c>
      <c r="H462" s="12"/>
      <c r="I462" s="12"/>
      <c r="J462" s="12"/>
      <c r="K462" s="12">
        <f t="shared" si="137"/>
        <v>9276</v>
      </c>
      <c r="M462" s="10">
        <v>11</v>
      </c>
      <c r="N462" s="30"/>
      <c r="O462" s="31"/>
      <c r="P462" s="32"/>
      <c r="Q462" s="32"/>
      <c r="R462" s="32"/>
      <c r="S462" s="32">
        <f t="shared" si="138"/>
        <v>0</v>
      </c>
      <c r="T462" s="12"/>
      <c r="U462" s="12"/>
      <c r="V462" s="12"/>
      <c r="W462" s="12">
        <f t="shared" si="139"/>
        <v>0</v>
      </c>
      <c r="Y462" s="10">
        <v>11</v>
      </c>
      <c r="Z462" s="30">
        <v>46002</v>
      </c>
      <c r="AA462" s="31">
        <f t="shared" si="144"/>
        <v>7120</v>
      </c>
      <c r="AB462" s="32">
        <f>31300+5960+458</f>
        <v>37718</v>
      </c>
      <c r="AC462" s="32"/>
      <c r="AD462" s="32"/>
      <c r="AE462" s="32">
        <f t="shared" si="140"/>
        <v>37718</v>
      </c>
      <c r="AF462" s="12"/>
      <c r="AG462" s="12">
        <v>54</v>
      </c>
      <c r="AH462" s="12"/>
      <c r="AI462" s="12">
        <f t="shared" si="141"/>
        <v>37772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46002</v>
      </c>
      <c r="C463" s="91">
        <f t="shared" si="142"/>
        <v>7071</v>
      </c>
      <c r="D463" s="32">
        <f>4382+67</f>
        <v>4449</v>
      </c>
      <c r="E463" s="32"/>
      <c r="F463" s="32"/>
      <c r="G463" s="32">
        <f t="shared" si="136"/>
        <v>4449</v>
      </c>
      <c r="H463" s="12"/>
      <c r="I463" s="12"/>
      <c r="J463" s="10"/>
      <c r="K463" s="12">
        <f t="shared" si="137"/>
        <v>4449</v>
      </c>
      <c r="M463" s="10">
        <v>12</v>
      </c>
      <c r="N463" s="30"/>
      <c r="O463" s="31"/>
      <c r="P463" s="32"/>
      <c r="Q463" s="32"/>
      <c r="R463" s="32"/>
      <c r="S463" s="32">
        <f t="shared" si="138"/>
        <v>0</v>
      </c>
      <c r="T463" s="12"/>
      <c r="U463" s="12"/>
      <c r="V463" s="12"/>
      <c r="W463" s="12">
        <f t="shared" si="139"/>
        <v>0</v>
      </c>
      <c r="Y463" s="10">
        <v>12</v>
      </c>
      <c r="Z463" s="30">
        <v>46002</v>
      </c>
      <c r="AA463" s="31">
        <f t="shared" si="144"/>
        <v>7121</v>
      </c>
      <c r="AB463" s="32">
        <f>229</f>
        <v>229</v>
      </c>
      <c r="AC463" s="32"/>
      <c r="AD463" s="32"/>
      <c r="AE463" s="32">
        <f t="shared" si="140"/>
        <v>229</v>
      </c>
      <c r="AF463" s="12"/>
      <c r="AG463" s="12"/>
      <c r="AH463" s="12"/>
      <c r="AI463" s="12">
        <f t="shared" si="141"/>
        <v>229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46002</v>
      </c>
      <c r="C464" s="91">
        <f t="shared" si="142"/>
        <v>7072</v>
      </c>
      <c r="D464" s="32">
        <f>1878+596+38</f>
        <v>2512</v>
      </c>
      <c r="E464" s="32"/>
      <c r="F464" s="32"/>
      <c r="G464" s="32">
        <f t="shared" si="136"/>
        <v>2512</v>
      </c>
      <c r="H464" s="12"/>
      <c r="I464" s="12"/>
      <c r="J464" s="12"/>
      <c r="K464" s="12">
        <f t="shared" si="137"/>
        <v>2512</v>
      </c>
      <c r="M464" s="10">
        <v>13</v>
      </c>
      <c r="N464" s="30"/>
      <c r="O464" s="31"/>
      <c r="P464" s="32"/>
      <c r="Q464" s="32"/>
      <c r="R464" s="32"/>
      <c r="S464" s="32">
        <f t="shared" si="138"/>
        <v>0</v>
      </c>
      <c r="T464" s="12"/>
      <c r="U464" s="12"/>
      <c r="V464" s="12"/>
      <c r="W464" s="12">
        <f t="shared" si="139"/>
        <v>0</v>
      </c>
      <c r="Y464" s="10">
        <v>13</v>
      </c>
      <c r="Z464" s="30"/>
      <c r="AA464" s="11" t="s">
        <v>27</v>
      </c>
      <c r="AB464" s="32"/>
      <c r="AC464" s="32"/>
      <c r="AD464" s="32"/>
      <c r="AE464" s="32">
        <f t="shared" si="140"/>
        <v>0</v>
      </c>
      <c r="AF464" s="12"/>
      <c r="AG464" s="12"/>
      <c r="AH464" s="12"/>
      <c r="AI464" s="12">
        <f t="shared" si="14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46002</v>
      </c>
      <c r="C465" s="91">
        <f t="shared" si="142"/>
        <v>7073</v>
      </c>
      <c r="D465" s="32">
        <f>3130+614+47.5</f>
        <v>3791.5</v>
      </c>
      <c r="E465" s="32"/>
      <c r="F465" s="32"/>
      <c r="G465" s="32">
        <f t="shared" si="136"/>
        <v>3791.5</v>
      </c>
      <c r="H465" s="12"/>
      <c r="I465" s="12"/>
      <c r="J465" s="12"/>
      <c r="K465" s="12">
        <f t="shared" si="137"/>
        <v>3791.5</v>
      </c>
      <c r="M465" s="10">
        <v>14</v>
      </c>
      <c r="N465" s="30"/>
      <c r="O465" s="31"/>
      <c r="P465" s="32"/>
      <c r="Q465" s="32"/>
      <c r="R465" s="32"/>
      <c r="S465" s="32">
        <f t="shared" si="138"/>
        <v>0</v>
      </c>
      <c r="T465" s="12"/>
      <c r="U465" s="12"/>
      <c r="V465" s="12"/>
      <c r="W465" s="12">
        <f t="shared" si="13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0"/>
        <v>0</v>
      </c>
      <c r="AF465" s="12"/>
      <c r="AG465" s="12"/>
      <c r="AH465" s="12"/>
      <c r="AI465" s="12">
        <f t="shared" si="14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46002</v>
      </c>
      <c r="C466" s="91">
        <f t="shared" si="142"/>
        <v>7074</v>
      </c>
      <c r="D466" s="32">
        <f>59470+1842+913+852+1005+1832+500</f>
        <v>66414</v>
      </c>
      <c r="E466" s="32"/>
      <c r="F466" s="32"/>
      <c r="G466" s="32">
        <f t="shared" si="136"/>
        <v>66414</v>
      </c>
      <c r="H466" s="12"/>
      <c r="I466" s="12">
        <f>240+90</f>
        <v>330</v>
      </c>
      <c r="J466" s="12"/>
      <c r="K466" s="12">
        <f t="shared" si="137"/>
        <v>66744</v>
      </c>
      <c r="M466" s="10">
        <v>15</v>
      </c>
      <c r="N466" s="30"/>
      <c r="O466" s="31"/>
      <c r="P466" s="32"/>
      <c r="Q466" s="32"/>
      <c r="R466" s="32"/>
      <c r="S466" s="32">
        <f t="shared" si="138"/>
        <v>0</v>
      </c>
      <c r="T466" s="12"/>
      <c r="U466" s="12"/>
      <c r="V466" s="12"/>
      <c r="W466" s="12">
        <f t="shared" si="13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0"/>
        <v>0</v>
      </c>
      <c r="AF466" s="12"/>
      <c r="AG466" s="12"/>
      <c r="AH466" s="12"/>
      <c r="AI466" s="12">
        <f t="shared" si="14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46002</v>
      </c>
      <c r="C467" s="91">
        <f t="shared" si="142"/>
        <v>7075</v>
      </c>
      <c r="D467" s="32">
        <f>1252+674</f>
        <v>1926</v>
      </c>
      <c r="E467" s="32"/>
      <c r="F467" s="32"/>
      <c r="G467" s="32">
        <f t="shared" si="136"/>
        <v>1926</v>
      </c>
      <c r="H467" s="12"/>
      <c r="I467" s="12"/>
      <c r="J467" s="12"/>
      <c r="K467" s="12">
        <f t="shared" si="137"/>
        <v>1926</v>
      </c>
      <c r="M467" s="10">
        <v>16</v>
      </c>
      <c r="N467" s="30"/>
      <c r="O467" s="31"/>
      <c r="P467" s="32"/>
      <c r="Q467" s="32"/>
      <c r="R467" s="32"/>
      <c r="S467" s="32">
        <f t="shared" si="138"/>
        <v>0</v>
      </c>
      <c r="T467" s="12"/>
      <c r="U467" s="12"/>
      <c r="V467" s="12"/>
      <c r="W467" s="12">
        <f t="shared" si="139"/>
        <v>0</v>
      </c>
      <c r="Y467" s="10">
        <v>16</v>
      </c>
      <c r="Z467" s="30"/>
      <c r="AB467" s="32"/>
      <c r="AC467" s="32"/>
      <c r="AD467" s="32"/>
      <c r="AE467" s="32">
        <f t="shared" si="140"/>
        <v>0</v>
      </c>
      <c r="AF467" s="12"/>
      <c r="AG467" s="12"/>
      <c r="AH467" s="12"/>
      <c r="AI467" s="12">
        <f t="shared" si="14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>
        <v>46002</v>
      </c>
      <c r="C468" s="91">
        <f t="shared" si="142"/>
        <v>7076</v>
      </c>
      <c r="D468" s="32"/>
      <c r="E468" s="32"/>
      <c r="F468" s="32"/>
      <c r="G468" s="32">
        <f t="shared" si="136"/>
        <v>0</v>
      </c>
      <c r="H468" s="12"/>
      <c r="I468" s="12"/>
      <c r="J468" s="12"/>
      <c r="K468" s="12">
        <f t="shared" si="137"/>
        <v>0</v>
      </c>
      <c r="M468" s="10">
        <v>17</v>
      </c>
      <c r="N468" s="30"/>
      <c r="O468" s="31"/>
      <c r="P468" s="35"/>
      <c r="Q468" s="32"/>
      <c r="R468" s="32"/>
      <c r="S468" s="32">
        <f t="shared" si="138"/>
        <v>0</v>
      </c>
      <c r="T468" s="12"/>
      <c r="U468" s="12"/>
      <c r="V468" s="12"/>
      <c r="W468" s="12">
        <f t="shared" si="13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0"/>
        <v>0</v>
      </c>
      <c r="AF468" s="12"/>
      <c r="AG468" s="12"/>
      <c r="AH468" s="12"/>
      <c r="AI468" s="12">
        <f t="shared" si="14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>
        <v>46002</v>
      </c>
      <c r="C469" s="91">
        <f t="shared" si="142"/>
        <v>7077</v>
      </c>
      <c r="D469" s="32">
        <f>1252+19</f>
        <v>1271</v>
      </c>
      <c r="E469" s="32"/>
      <c r="F469" s="32"/>
      <c r="G469" s="32">
        <f t="shared" si="136"/>
        <v>1271</v>
      </c>
      <c r="H469" s="12"/>
      <c r="I469" s="12">
        <v>3</v>
      </c>
      <c r="J469" s="12"/>
      <c r="K469" s="12">
        <f t="shared" si="137"/>
        <v>1274</v>
      </c>
      <c r="M469" s="10">
        <v>18</v>
      </c>
      <c r="N469" s="30"/>
      <c r="O469" s="31"/>
      <c r="P469" s="32"/>
      <c r="Q469" s="32"/>
      <c r="R469" s="32"/>
      <c r="S469" s="32">
        <f t="shared" si="138"/>
        <v>0</v>
      </c>
      <c r="T469" s="12"/>
      <c r="U469" s="12"/>
      <c r="V469" s="12"/>
      <c r="W469" s="12">
        <f t="shared" si="13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0"/>
        <v>0</v>
      </c>
      <c r="AF469" s="12"/>
      <c r="AG469" s="12"/>
      <c r="AH469" s="12"/>
      <c r="AI469" s="12">
        <f t="shared" si="14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11" t="s">
        <v>27</v>
      </c>
      <c r="D470" s="32"/>
      <c r="E470" s="32"/>
      <c r="F470" s="32"/>
      <c r="G470" s="32">
        <f t="shared" si="136"/>
        <v>0</v>
      </c>
      <c r="H470" s="12"/>
      <c r="I470" s="12"/>
      <c r="J470" s="12"/>
      <c r="K470" s="12">
        <f t="shared" si="137"/>
        <v>0</v>
      </c>
      <c r="M470" s="10">
        <v>19</v>
      </c>
      <c r="N470" s="30"/>
      <c r="O470" s="31"/>
      <c r="P470" s="32"/>
      <c r="Q470" s="32"/>
      <c r="R470" s="32"/>
      <c r="S470" s="32">
        <f t="shared" si="138"/>
        <v>0</v>
      </c>
      <c r="T470" s="12"/>
      <c r="U470" s="12"/>
      <c r="V470" s="12"/>
      <c r="W470" s="12">
        <f t="shared" si="13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0"/>
        <v>0</v>
      </c>
      <c r="AF470" s="12"/>
      <c r="AG470" s="12"/>
      <c r="AH470" s="12"/>
      <c r="AI470" s="12">
        <f t="shared" si="14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91"/>
      <c r="D471" s="32"/>
      <c r="E471" s="32"/>
      <c r="F471" s="32"/>
      <c r="G471" s="32">
        <f t="shared" si="136"/>
        <v>0</v>
      </c>
      <c r="H471" s="12"/>
      <c r="I471" s="12"/>
      <c r="J471" s="12"/>
      <c r="K471" s="12">
        <f t="shared" si="137"/>
        <v>0</v>
      </c>
      <c r="M471" s="10">
        <v>20</v>
      </c>
      <c r="N471" s="30"/>
      <c r="O471" s="31"/>
      <c r="P471" s="32"/>
      <c r="Q471" s="32"/>
      <c r="R471" s="32"/>
      <c r="S471" s="32">
        <f t="shared" si="138"/>
        <v>0</v>
      </c>
      <c r="T471" s="12"/>
      <c r="U471" s="12"/>
      <c r="V471" s="12"/>
      <c r="W471" s="12">
        <f t="shared" si="139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0"/>
        <v>0</v>
      </c>
      <c r="AF471" s="12"/>
      <c r="AG471" s="12"/>
      <c r="AH471" s="12"/>
      <c r="AI471" s="12">
        <f t="shared" si="14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91"/>
      <c r="D472" s="32"/>
      <c r="E472" s="32"/>
      <c r="F472" s="32"/>
      <c r="G472" s="32">
        <f t="shared" si="136"/>
        <v>0</v>
      </c>
      <c r="H472" s="10"/>
      <c r="I472" s="10"/>
      <c r="J472" s="10"/>
      <c r="K472" s="12">
        <f t="shared" si="137"/>
        <v>0</v>
      </c>
      <c r="M472" s="10">
        <v>21</v>
      </c>
      <c r="N472" s="30"/>
      <c r="P472" s="46"/>
      <c r="Q472" s="31"/>
      <c r="R472" s="31"/>
      <c r="S472" s="32">
        <f t="shared" si="138"/>
        <v>0</v>
      </c>
      <c r="T472" s="10"/>
      <c r="U472" s="10"/>
      <c r="V472" s="10"/>
      <c r="W472" s="12">
        <f t="shared" si="13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40"/>
        <v>0</v>
      </c>
      <c r="AF472" s="10"/>
      <c r="AG472" s="10"/>
      <c r="AH472" s="10"/>
      <c r="AI472" s="12">
        <f t="shared" si="14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91"/>
      <c r="D473" s="32"/>
      <c r="E473" s="32"/>
      <c r="F473" s="32"/>
      <c r="G473" s="32">
        <f t="shared" si="136"/>
        <v>0</v>
      </c>
      <c r="H473" s="10"/>
      <c r="I473" s="10"/>
      <c r="J473" s="10"/>
      <c r="K473" s="12">
        <f t="shared" si="137"/>
        <v>0</v>
      </c>
      <c r="M473" s="10">
        <v>22</v>
      </c>
      <c r="N473" s="30"/>
      <c r="O473" s="31"/>
      <c r="P473" s="45"/>
      <c r="Q473" s="31"/>
      <c r="R473" s="31"/>
      <c r="S473" s="32">
        <f t="shared" si="138"/>
        <v>0</v>
      </c>
      <c r="T473" s="10"/>
      <c r="U473" s="10"/>
      <c r="V473" s="10"/>
      <c r="W473" s="12">
        <f t="shared" si="13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40"/>
        <v>0</v>
      </c>
      <c r="AF473" s="10"/>
      <c r="AG473" s="10"/>
      <c r="AH473" s="10"/>
      <c r="AI473" s="12">
        <f t="shared" si="14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D474" s="32"/>
      <c r="E474" s="32"/>
      <c r="F474" s="32"/>
      <c r="G474" s="32">
        <f t="shared" si="136"/>
        <v>0</v>
      </c>
      <c r="H474" s="10"/>
      <c r="I474" s="10"/>
      <c r="J474" s="12"/>
      <c r="K474" s="12">
        <f t="shared" si="137"/>
        <v>0</v>
      </c>
      <c r="M474" s="10">
        <v>23</v>
      </c>
      <c r="N474" s="30"/>
      <c r="O474" s="31"/>
      <c r="P474" s="47"/>
      <c r="Q474" s="31"/>
      <c r="S474" s="32">
        <f t="shared" si="138"/>
        <v>0</v>
      </c>
      <c r="T474" s="10"/>
      <c r="U474" s="10"/>
      <c r="V474" s="10"/>
      <c r="W474" s="12">
        <f t="shared" si="139"/>
        <v>0</v>
      </c>
      <c r="Y474" s="10">
        <v>23</v>
      </c>
      <c r="Z474" s="30"/>
      <c r="AA474" s="31"/>
      <c r="AB474" s="47"/>
      <c r="AC474" s="31"/>
      <c r="AE474" s="32">
        <f t="shared" si="140"/>
        <v>0</v>
      </c>
      <c r="AF474" s="10"/>
      <c r="AG474" s="10"/>
      <c r="AH474" s="10"/>
      <c r="AI474" s="12">
        <f t="shared" si="14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91"/>
      <c r="D475" s="32"/>
      <c r="E475" s="32"/>
      <c r="F475" s="32"/>
      <c r="G475" s="32">
        <f t="shared" si="136"/>
        <v>0</v>
      </c>
      <c r="H475" s="10"/>
      <c r="I475" s="10"/>
      <c r="J475" s="10"/>
      <c r="K475" s="12">
        <f t="shared" si="137"/>
        <v>0</v>
      </c>
      <c r="M475" s="10">
        <v>24</v>
      </c>
      <c r="N475" s="30"/>
      <c r="O475" s="31"/>
      <c r="P475" s="47"/>
      <c r="Q475" s="31"/>
      <c r="R475" s="31"/>
      <c r="S475" s="32">
        <f t="shared" si="138"/>
        <v>0</v>
      </c>
      <c r="T475" s="10"/>
      <c r="U475" s="10"/>
      <c r="V475" s="10"/>
      <c r="W475" s="12">
        <f t="shared" si="13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0"/>
        <v>0</v>
      </c>
      <c r="AF475" s="10"/>
      <c r="AG475" s="10"/>
      <c r="AH475" s="10"/>
      <c r="AI475" s="12">
        <f t="shared" si="14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91"/>
      <c r="D476" s="32"/>
      <c r="E476" s="32"/>
      <c r="F476" s="32"/>
      <c r="G476" s="32">
        <f t="shared" si="136"/>
        <v>0</v>
      </c>
      <c r="H476" s="10"/>
      <c r="I476" s="10"/>
      <c r="J476" s="10"/>
      <c r="K476" s="12">
        <f t="shared" si="137"/>
        <v>0</v>
      </c>
      <c r="M476" s="10">
        <v>25</v>
      </c>
      <c r="N476" s="30"/>
      <c r="O476" s="31"/>
      <c r="P476" s="47"/>
      <c r="Q476" s="31"/>
      <c r="R476" s="31"/>
      <c r="S476" s="32">
        <f t="shared" si="138"/>
        <v>0</v>
      </c>
      <c r="T476" s="10"/>
      <c r="U476" s="10"/>
      <c r="V476" s="10"/>
      <c r="W476" s="12">
        <f t="shared" si="139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0"/>
        <v>0</v>
      </c>
      <c r="AF476" s="10"/>
      <c r="AG476" s="10"/>
      <c r="AH476" s="10"/>
      <c r="AI476" s="12">
        <f t="shared" si="14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91"/>
      <c r="D477" s="32"/>
      <c r="E477" s="32"/>
      <c r="F477" s="32"/>
      <c r="G477" s="32">
        <f t="shared" si="136"/>
        <v>0</v>
      </c>
      <c r="H477" s="10"/>
      <c r="I477" s="10"/>
      <c r="J477" s="10"/>
      <c r="K477" s="12">
        <f t="shared" si="137"/>
        <v>0</v>
      </c>
      <c r="M477" s="10">
        <v>26</v>
      </c>
      <c r="N477" s="30"/>
      <c r="O477" s="31"/>
      <c r="P477" s="47"/>
      <c r="Q477" s="31"/>
      <c r="R477" s="31"/>
      <c r="S477" s="32">
        <f t="shared" si="138"/>
        <v>0</v>
      </c>
      <c r="T477" s="10"/>
      <c r="U477" s="10"/>
      <c r="V477" s="10"/>
      <c r="W477" s="12">
        <f t="shared" si="139"/>
        <v>0</v>
      </c>
      <c r="Y477" s="10">
        <v>26</v>
      </c>
      <c r="Z477" s="30"/>
      <c r="AB477" s="47"/>
      <c r="AC477" s="31"/>
      <c r="AD477" s="31"/>
      <c r="AE477" s="32">
        <f t="shared" si="140"/>
        <v>0</v>
      </c>
      <c r="AF477" s="10"/>
      <c r="AG477" s="10"/>
      <c r="AH477" s="10"/>
      <c r="AI477" s="12">
        <f t="shared" si="14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91"/>
      <c r="D478" s="32"/>
      <c r="E478" s="32"/>
      <c r="F478" s="32"/>
      <c r="G478" s="32">
        <f t="shared" si="136"/>
        <v>0</v>
      </c>
      <c r="H478" s="10"/>
      <c r="I478" s="10"/>
      <c r="J478" s="10"/>
      <c r="K478" s="12">
        <f t="shared" si="137"/>
        <v>0</v>
      </c>
      <c r="M478" s="10">
        <v>27</v>
      </c>
      <c r="N478" s="30"/>
      <c r="O478" s="31"/>
      <c r="P478" s="47"/>
      <c r="Q478" s="31"/>
      <c r="R478" s="31"/>
      <c r="S478" s="32">
        <f t="shared" si="138"/>
        <v>0</v>
      </c>
      <c r="T478" s="10"/>
      <c r="U478" s="10"/>
      <c r="V478" s="10"/>
      <c r="W478" s="12">
        <f t="shared" si="13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0"/>
        <v>0</v>
      </c>
      <c r="AF478" s="10"/>
      <c r="AG478" s="10"/>
      <c r="AH478" s="10"/>
      <c r="AI478" s="12">
        <f t="shared" si="14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91"/>
      <c r="D479" s="32"/>
      <c r="E479" s="32"/>
      <c r="F479" s="32"/>
      <c r="G479" s="32">
        <f t="shared" si="136"/>
        <v>0</v>
      </c>
      <c r="H479" s="10"/>
      <c r="I479" s="10"/>
      <c r="J479" s="10"/>
      <c r="K479" s="12">
        <f t="shared" si="137"/>
        <v>0</v>
      </c>
      <c r="M479" s="10">
        <v>28</v>
      </c>
      <c r="N479" s="30"/>
      <c r="O479" s="31"/>
      <c r="P479" s="47"/>
      <c r="Q479" s="31"/>
      <c r="R479" s="31"/>
      <c r="S479" s="32">
        <f t="shared" si="138"/>
        <v>0</v>
      </c>
      <c r="T479" s="10"/>
      <c r="U479" s="10"/>
      <c r="V479" s="10"/>
      <c r="W479" s="12">
        <f t="shared" si="13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0"/>
        <v>0</v>
      </c>
      <c r="AF479" s="10"/>
      <c r="AG479" s="10"/>
      <c r="AH479" s="10"/>
      <c r="AI479" s="12">
        <f t="shared" si="14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91"/>
      <c r="D480" s="32"/>
      <c r="E480" s="32"/>
      <c r="F480" s="32"/>
      <c r="G480" s="32">
        <f t="shared" si="136"/>
        <v>0</v>
      </c>
      <c r="H480" s="10"/>
      <c r="I480" s="10"/>
      <c r="J480" s="10"/>
      <c r="K480" s="12">
        <f t="shared" si="137"/>
        <v>0</v>
      </c>
      <c r="M480" s="10">
        <v>29</v>
      </c>
      <c r="N480" s="30"/>
      <c r="O480" s="31"/>
      <c r="P480" s="47"/>
      <c r="Q480" s="31"/>
      <c r="R480" s="31"/>
      <c r="S480" s="32">
        <f t="shared" si="138"/>
        <v>0</v>
      </c>
      <c r="T480" s="10"/>
      <c r="U480" s="10"/>
      <c r="V480" s="10"/>
      <c r="W480" s="12">
        <f t="shared" si="13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0"/>
        <v>0</v>
      </c>
      <c r="AF480" s="10"/>
      <c r="AG480" s="10"/>
      <c r="AH480" s="10"/>
      <c r="AI480" s="12">
        <f t="shared" si="14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57"/>
      <c r="D481" s="32"/>
      <c r="E481" s="32"/>
      <c r="F481" s="32"/>
      <c r="G481" s="32">
        <f t="shared" si="136"/>
        <v>0</v>
      </c>
      <c r="H481" s="10"/>
      <c r="I481" s="10"/>
      <c r="J481" s="10"/>
      <c r="K481" s="12">
        <f t="shared" si="137"/>
        <v>0</v>
      </c>
      <c r="M481" s="10">
        <v>30</v>
      </c>
      <c r="N481" s="30"/>
      <c r="O481" s="31"/>
      <c r="P481" s="47"/>
      <c r="Q481" s="31"/>
      <c r="R481" s="31"/>
      <c r="S481" s="32">
        <f t="shared" si="138"/>
        <v>0</v>
      </c>
      <c r="T481" s="10"/>
      <c r="U481" s="10"/>
      <c r="V481" s="10"/>
      <c r="W481" s="12">
        <f t="shared" si="13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40"/>
        <v>0</v>
      </c>
      <c r="AF481" s="10"/>
      <c r="AG481" s="10"/>
      <c r="AH481" s="10"/>
      <c r="AI481" s="12">
        <f t="shared" si="14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91"/>
      <c r="D482" s="32"/>
      <c r="E482" s="32"/>
      <c r="F482" s="32"/>
      <c r="G482" s="32">
        <f t="shared" si="136"/>
        <v>0</v>
      </c>
      <c r="H482" s="10"/>
      <c r="I482" s="10"/>
      <c r="J482" s="10"/>
      <c r="K482" s="12">
        <f t="shared" si="137"/>
        <v>0</v>
      </c>
      <c r="M482" s="10">
        <v>31</v>
      </c>
      <c r="N482" s="30"/>
      <c r="O482" s="31"/>
      <c r="P482" s="47"/>
      <c r="Q482" s="31"/>
      <c r="R482" s="31"/>
      <c r="S482" s="32">
        <f t="shared" si="138"/>
        <v>0</v>
      </c>
      <c r="T482" s="10"/>
      <c r="U482" s="10"/>
      <c r="V482" s="10"/>
      <c r="W482" s="12">
        <f t="shared" si="13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40"/>
        <v>0</v>
      </c>
      <c r="AF482" s="10"/>
      <c r="AG482" s="10"/>
      <c r="AH482" s="10"/>
      <c r="AI482" s="12">
        <f t="shared" si="14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91"/>
      <c r="D483" s="32"/>
      <c r="E483" s="32"/>
      <c r="F483" s="32"/>
      <c r="G483" s="32">
        <f t="shared" si="136"/>
        <v>0</v>
      </c>
      <c r="H483" s="10"/>
      <c r="I483" s="10"/>
      <c r="J483" s="10"/>
      <c r="K483" s="12">
        <f t="shared" si="137"/>
        <v>0</v>
      </c>
      <c r="M483" s="10">
        <v>32</v>
      </c>
      <c r="N483" s="30"/>
      <c r="O483" s="31"/>
      <c r="P483" s="47"/>
      <c r="Q483" s="31"/>
      <c r="R483" s="31"/>
      <c r="S483" s="32">
        <f t="shared" si="138"/>
        <v>0</v>
      </c>
      <c r="T483" s="10"/>
      <c r="U483" s="10"/>
      <c r="V483" s="10"/>
      <c r="W483" s="12">
        <f t="shared" si="13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0"/>
        <v>0</v>
      </c>
      <c r="AF483" s="10"/>
      <c r="AG483" s="10"/>
      <c r="AH483" s="10"/>
      <c r="AI483" s="12">
        <f t="shared" si="14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91"/>
      <c r="D484" s="32"/>
      <c r="E484" s="32"/>
      <c r="F484" s="32"/>
      <c r="G484" s="32">
        <f t="shared" si="136"/>
        <v>0</v>
      </c>
      <c r="H484" s="10"/>
      <c r="I484" s="10"/>
      <c r="J484" s="10"/>
      <c r="K484" s="12">
        <f t="shared" si="137"/>
        <v>0</v>
      </c>
      <c r="M484" s="10">
        <v>33</v>
      </c>
      <c r="N484" s="30"/>
      <c r="O484" s="31"/>
      <c r="P484" s="47"/>
      <c r="Q484" s="31"/>
      <c r="R484" s="31"/>
      <c r="S484" s="32">
        <f t="shared" si="138"/>
        <v>0</v>
      </c>
      <c r="T484" s="10"/>
      <c r="U484" s="10"/>
      <c r="V484" s="10"/>
      <c r="W484" s="12">
        <f t="shared" si="13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0"/>
        <v>0</v>
      </c>
      <c r="AF484" s="10"/>
      <c r="AG484" s="10"/>
      <c r="AH484" s="10"/>
      <c r="AI484" s="12">
        <f t="shared" si="14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91"/>
      <c r="D485" s="32"/>
      <c r="E485" s="32"/>
      <c r="F485" s="32"/>
      <c r="G485" s="32">
        <f t="shared" si="136"/>
        <v>0</v>
      </c>
      <c r="H485" s="10"/>
      <c r="I485" s="10"/>
      <c r="J485" s="10"/>
      <c r="K485" s="12">
        <f t="shared" si="137"/>
        <v>0</v>
      </c>
      <c r="M485" s="10">
        <v>34</v>
      </c>
      <c r="N485" s="30"/>
      <c r="P485" s="47"/>
      <c r="Q485" s="31"/>
      <c r="R485" s="31"/>
      <c r="S485" s="32">
        <f t="shared" ref="S485:S490" si="145">SUM(P485:Q485)</f>
        <v>0</v>
      </c>
      <c r="T485" s="10"/>
      <c r="U485" s="10"/>
      <c r="V485" s="10"/>
      <c r="W485" s="12">
        <f t="shared" si="139"/>
        <v>0</v>
      </c>
      <c r="Y485" s="10">
        <v>34</v>
      </c>
      <c r="Z485" s="30"/>
      <c r="AB485" s="47"/>
      <c r="AC485" s="31"/>
      <c r="AD485" s="31"/>
      <c r="AE485" s="32">
        <f t="shared" si="140"/>
        <v>0</v>
      </c>
      <c r="AF485" s="10"/>
      <c r="AG485" s="10"/>
      <c r="AH485" s="10"/>
      <c r="AI485" s="12">
        <f t="shared" si="14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5"/>
        <v>0</v>
      </c>
      <c r="T486" s="10"/>
      <c r="U486" s="10"/>
      <c r="V486" s="10"/>
      <c r="W486" s="12">
        <f t="shared" si="139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0"/>
        <v>0</v>
      </c>
      <c r="AF486" s="10"/>
      <c r="AG486" s="10"/>
      <c r="AH486" s="10"/>
      <c r="AI486" s="12">
        <f t="shared" si="14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5"/>
        <v>0</v>
      </c>
      <c r="T487" s="10"/>
      <c r="U487" s="10"/>
      <c r="V487" s="10"/>
      <c r="W487" s="12">
        <f t="shared" si="139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0"/>
        <v>0</v>
      </c>
      <c r="AF487" s="10"/>
      <c r="AG487" s="10"/>
      <c r="AH487" s="10"/>
      <c r="AI487" s="12">
        <f t="shared" si="14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5"/>
        <v>0</v>
      </c>
      <c r="T488" s="10"/>
      <c r="U488" s="10"/>
      <c r="V488" s="10"/>
      <c r="W488" s="12">
        <f t="shared" si="139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0"/>
        <v>0</v>
      </c>
      <c r="AF488" s="10"/>
      <c r="AG488" s="10"/>
      <c r="AH488" s="10"/>
      <c r="AI488" s="12">
        <f t="shared" si="14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5"/>
        <v>0</v>
      </c>
      <c r="T489" s="10"/>
      <c r="U489" s="10"/>
      <c r="V489" s="10"/>
      <c r="W489" s="12">
        <f t="shared" si="139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0"/>
        <v>0</v>
      </c>
      <c r="AF489" s="10"/>
      <c r="AG489" s="10"/>
      <c r="AH489" s="10"/>
      <c r="AI489" s="12">
        <f t="shared" si="14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5"/>
        <v>0</v>
      </c>
      <c r="T490" s="10"/>
      <c r="U490" s="10"/>
      <c r="V490" s="10"/>
      <c r="W490" s="12">
        <f t="shared" si="139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0"/>
        <v>0</v>
      </c>
      <c r="AF490" s="10"/>
      <c r="AG490" s="10"/>
      <c r="AH490" s="10"/>
      <c r="AI490" s="12">
        <f t="shared" si="14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39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46">SUM(D492:E492)</f>
        <v>0</v>
      </c>
      <c r="H492" s="10"/>
      <c r="I492" s="10"/>
      <c r="J492" s="10"/>
      <c r="K492" s="12">
        <f t="shared" ref="K492" si="147">SUM(G492:J492)</f>
        <v>0</v>
      </c>
      <c r="M492" s="10"/>
      <c r="N492" s="30"/>
      <c r="O492" s="31"/>
      <c r="P492" s="47"/>
      <c r="Q492" s="31"/>
      <c r="R492" s="31"/>
      <c r="S492" s="32">
        <f t="shared" ref="S492" si="148">SUM(P492:Q492)</f>
        <v>0</v>
      </c>
      <c r="T492" s="10"/>
      <c r="U492" s="10"/>
      <c r="V492" s="10"/>
      <c r="W492" s="12">
        <f t="shared" si="139"/>
        <v>0</v>
      </c>
      <c r="Y492" s="10"/>
      <c r="Z492" s="30"/>
      <c r="AA492" s="31"/>
      <c r="AB492" s="47"/>
      <c r="AC492" s="31"/>
      <c r="AD492" s="31"/>
      <c r="AE492" s="32">
        <f t="shared" ref="AE492" si="149">SUM(AB492:AC492)</f>
        <v>0</v>
      </c>
      <c r="AF492" s="10"/>
      <c r="AG492" s="10"/>
      <c r="AH492" s="10"/>
      <c r="AI492" s="12">
        <f t="shared" si="14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39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157979</v>
      </c>
      <c r="E495" s="38">
        <f t="shared" ref="E495:F495" si="150">SUM(E452:E492)</f>
        <v>0</v>
      </c>
      <c r="F495" s="38">
        <f t="shared" si="150"/>
        <v>0</v>
      </c>
      <c r="G495" s="38">
        <f>SUM(G452:G494)</f>
        <v>157979</v>
      </c>
      <c r="H495" s="4"/>
      <c r="I495" s="39">
        <f>SUM(I452:I494)</f>
        <v>658</v>
      </c>
      <c r="J495" s="39">
        <f>SUM(J452:J494)</f>
        <v>-777</v>
      </c>
      <c r="K495" s="40">
        <f>SUM(K452:K494)</f>
        <v>157860</v>
      </c>
      <c r="N495" s="57"/>
      <c r="O495" s="57"/>
      <c r="P495" s="38">
        <f>SUM(P452:P494)</f>
        <v>137535.5</v>
      </c>
      <c r="Q495" s="38">
        <f>SUM(Q452:Q476)</f>
        <v>-1863</v>
      </c>
      <c r="R495" s="38">
        <f>SUM(R452:R476)</f>
        <v>0</v>
      </c>
      <c r="S495" s="38">
        <f>SUM(S452:S494)</f>
        <v>135672.5</v>
      </c>
      <c r="T495" s="4"/>
      <c r="U495" s="41">
        <f>SUM(U452:U494)</f>
        <v>3732</v>
      </c>
      <c r="V495" s="41">
        <f>SUM(V452:V476)</f>
        <v>-333</v>
      </c>
      <c r="W495" s="42">
        <f>SUM(W452:W494)</f>
        <v>139071.5</v>
      </c>
      <c r="Z495" s="57"/>
      <c r="AA495" s="57"/>
      <c r="AB495" s="38">
        <f>SUM(AB452:AB494)</f>
        <v>132635.5</v>
      </c>
      <c r="AC495" s="38">
        <f>SUM(AC452:AC476)</f>
        <v>-312</v>
      </c>
      <c r="AD495" s="38">
        <f>SUM(AD452:AD476)</f>
        <v>0</v>
      </c>
      <c r="AE495" s="38">
        <f>SUM(AE452:AE494)</f>
        <v>132323.5</v>
      </c>
      <c r="AF495" s="4"/>
      <c r="AG495" s="41">
        <f>SUM(AG452:AG494)</f>
        <v>54</v>
      </c>
      <c r="AH495" s="41">
        <f>SUM(AH452:AH476)</f>
        <v>-11724</v>
      </c>
      <c r="AI495" s="42">
        <f>SUM(AI452:AI494)</f>
        <v>120653.5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89"/>
      <c r="C497" s="89"/>
      <c r="D497" s="89"/>
      <c r="E497" s="89"/>
      <c r="F497" s="89"/>
      <c r="G497" s="89"/>
      <c r="H497" s="62"/>
      <c r="I497" s="62"/>
      <c r="J497" s="62"/>
      <c r="K497" s="62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89"/>
      <c r="C498" s="89"/>
      <c r="D498" s="89"/>
      <c r="E498" s="89"/>
      <c r="F498" s="89"/>
      <c r="G498" s="89"/>
      <c r="H498" s="62"/>
      <c r="I498" s="62"/>
      <c r="J498" s="62"/>
      <c r="K498" s="62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89"/>
      <c r="C499" s="89"/>
      <c r="D499" s="89"/>
      <c r="E499" s="89"/>
      <c r="F499" s="89"/>
      <c r="G499" s="89"/>
      <c r="H499" s="62"/>
      <c r="I499" s="62"/>
      <c r="J499" s="62"/>
      <c r="K499" s="62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89"/>
      <c r="C500" s="89"/>
      <c r="D500" s="89"/>
      <c r="E500" s="89"/>
      <c r="F500" s="89"/>
      <c r="G500" s="89"/>
      <c r="H500" s="62"/>
      <c r="I500" s="62"/>
      <c r="J500" s="62"/>
      <c r="K500" s="62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89"/>
      <c r="C501" s="89"/>
      <c r="D501" s="89"/>
      <c r="E501" s="89"/>
      <c r="F501" s="89"/>
      <c r="G501" s="89"/>
      <c r="H501" s="62"/>
      <c r="I501" s="62"/>
      <c r="J501" s="62"/>
      <c r="K501" s="62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89"/>
      <c r="C502" s="89"/>
      <c r="D502" s="89"/>
      <c r="E502" s="89"/>
      <c r="F502" s="89"/>
      <c r="G502" s="89"/>
      <c r="H502" s="62"/>
      <c r="I502" s="89"/>
      <c r="J502" s="74"/>
      <c r="K502" s="62"/>
      <c r="M502" t="s">
        <v>50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50</v>
      </c>
      <c r="Z502" s="57"/>
      <c r="AA502" s="57"/>
      <c r="AB502" s="57"/>
      <c r="AC502" s="57"/>
      <c r="AD502" s="57"/>
      <c r="AE502" s="57"/>
      <c r="AG502" s="57" t="s">
        <v>15</v>
      </c>
      <c r="AH502" s="19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89"/>
      <c r="C503" s="89"/>
      <c r="D503" s="89"/>
      <c r="E503" s="89"/>
      <c r="F503" s="89"/>
      <c r="G503" s="89"/>
      <c r="H503" s="62"/>
      <c r="I503" s="65"/>
      <c r="J503" s="65"/>
      <c r="K503" s="62"/>
      <c r="M503" s="21" t="s">
        <v>64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42</v>
      </c>
      <c r="W503" s="24"/>
      <c r="Y503" s="21" t="s">
        <v>64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89"/>
      <c r="C504" s="89"/>
      <c r="D504" s="89"/>
      <c r="E504" s="89"/>
      <c r="F504" s="89"/>
      <c r="G504" s="89"/>
      <c r="H504" s="62"/>
      <c r="I504" s="62"/>
      <c r="J504" s="62"/>
      <c r="K504" s="62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89"/>
      <c r="D505" s="110"/>
      <c r="E505" s="110"/>
      <c r="F505" s="89"/>
      <c r="G505" s="89"/>
      <c r="H505" s="62"/>
      <c r="I505" s="110"/>
      <c r="J505" s="110"/>
      <c r="K505" s="109"/>
      <c r="N505" s="25"/>
      <c r="O505" s="26"/>
      <c r="P505" s="111" t="s">
        <v>17</v>
      </c>
      <c r="Q505" s="111"/>
      <c r="R505" s="100"/>
      <c r="S505" s="27"/>
      <c r="U505" s="114" t="s">
        <v>18</v>
      </c>
      <c r="V505" s="115"/>
      <c r="W505" s="112" t="s">
        <v>19</v>
      </c>
      <c r="Z505" s="25"/>
      <c r="AA505" s="26"/>
      <c r="AB505" s="111" t="s">
        <v>17</v>
      </c>
      <c r="AC505" s="111"/>
      <c r="AD505" s="100"/>
      <c r="AE505" s="27"/>
      <c r="AG505" s="114" t="s">
        <v>18</v>
      </c>
      <c r="AH505" s="115"/>
      <c r="AI505" s="112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A506" s="62"/>
      <c r="B506" s="89"/>
      <c r="C506" s="89"/>
      <c r="D506" s="81"/>
      <c r="E506" s="82"/>
      <c r="F506" s="83"/>
      <c r="G506" s="83"/>
      <c r="H506" s="62"/>
      <c r="I506" s="88"/>
      <c r="J506" s="88"/>
      <c r="K506" s="109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3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9"/>
      <c r="D507" s="60"/>
      <c r="E507" s="60"/>
      <c r="F507" s="60"/>
      <c r="G507" s="60"/>
      <c r="H507" s="61"/>
      <c r="I507" s="61"/>
      <c r="J507" s="61"/>
      <c r="K507" s="61"/>
      <c r="M507" s="10">
        <v>1</v>
      </c>
      <c r="N507" s="30" t="s">
        <v>65</v>
      </c>
      <c r="O507" s="31">
        <v>7151</v>
      </c>
      <c r="P507" s="32">
        <f>626+596+19</f>
        <v>1241</v>
      </c>
      <c r="Q507" s="32"/>
      <c r="R507" s="32"/>
      <c r="S507" s="32">
        <f>SUM(P507:Q507)</f>
        <v>1241</v>
      </c>
      <c r="T507" s="12"/>
      <c r="U507" s="12"/>
      <c r="V507" s="12"/>
      <c r="W507" s="12">
        <f>SUM(S507:V507)</f>
        <v>1241</v>
      </c>
      <c r="Y507" s="10">
        <v>1</v>
      </c>
      <c r="Z507" s="30" t="s">
        <v>65</v>
      </c>
      <c r="AA507" s="31">
        <v>7122</v>
      </c>
      <c r="AB507" s="32">
        <f>125200+29800+5025+2290</f>
        <v>162315</v>
      </c>
      <c r="AC507" s="32">
        <v>-1590</v>
      </c>
      <c r="AD507" s="32"/>
      <c r="AE507" s="32">
        <f>SUM(AB507:AC507)</f>
        <v>160725</v>
      </c>
      <c r="AF507" s="12"/>
      <c r="AG507" s="12">
        <f>600+18648+780</f>
        <v>20028</v>
      </c>
      <c r="AH507" s="12">
        <v>-252</v>
      </c>
      <c r="AI507" s="12">
        <f>SUM(AE507:AH507)</f>
        <v>180501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9"/>
      <c r="D508" s="60"/>
      <c r="E508" s="60"/>
      <c r="F508" s="60"/>
      <c r="G508" s="60"/>
      <c r="H508" s="61"/>
      <c r="I508" s="61"/>
      <c r="J508" s="61"/>
      <c r="K508" s="61"/>
      <c r="M508" s="10">
        <v>2</v>
      </c>
      <c r="N508" s="30" t="s">
        <v>65</v>
      </c>
      <c r="O508" s="31">
        <f>O507+1</f>
        <v>7152</v>
      </c>
      <c r="P508" s="32">
        <f>626+596+19</f>
        <v>1241</v>
      </c>
      <c r="Q508" s="32"/>
      <c r="R508" s="32"/>
      <c r="S508" s="32">
        <f t="shared" ref="S508:S539" si="151">SUM(P508:Q508)</f>
        <v>1241</v>
      </c>
      <c r="T508" s="12"/>
      <c r="U508" s="12"/>
      <c r="V508" s="12"/>
      <c r="W508" s="12">
        <f t="shared" ref="W508:W548" si="152">SUM(S508:V508)</f>
        <v>1241</v>
      </c>
      <c r="Y508" s="10">
        <v>2</v>
      </c>
      <c r="Z508" s="30" t="s">
        <v>65</v>
      </c>
      <c r="AA508" s="31">
        <f>AA507+1</f>
        <v>7123</v>
      </c>
      <c r="AB508" s="32">
        <f>25040+3070+2980+458</f>
        <v>31548</v>
      </c>
      <c r="AC508" s="32">
        <v>-312</v>
      </c>
      <c r="AD508" s="32"/>
      <c r="AE508" s="32">
        <f t="shared" ref="AE508:AE545" si="153">SUM(AB508:AC508)</f>
        <v>31236</v>
      </c>
      <c r="AF508" s="12"/>
      <c r="AG508" s="12"/>
      <c r="AH508" s="12"/>
      <c r="AI508" s="12">
        <f t="shared" ref="AI508:AI548" si="154">SUM(AE508:AH508)</f>
        <v>31236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9"/>
      <c r="D509" s="60"/>
      <c r="E509" s="60"/>
      <c r="F509" s="60"/>
      <c r="G509" s="60"/>
      <c r="H509" s="61"/>
      <c r="I509" s="61"/>
      <c r="J509" s="61"/>
      <c r="K509" s="61"/>
      <c r="M509" s="10">
        <v>3</v>
      </c>
      <c r="N509" s="30" t="s">
        <v>65</v>
      </c>
      <c r="O509" s="31">
        <f t="shared" ref="O509:O518" si="155">O508+1</f>
        <v>7153</v>
      </c>
      <c r="P509" s="32">
        <f>1252+596+28.5</f>
        <v>1876.5</v>
      </c>
      <c r="Q509" s="32"/>
      <c r="R509" s="32"/>
      <c r="S509" s="32">
        <f t="shared" si="151"/>
        <v>1876.5</v>
      </c>
      <c r="T509" s="12"/>
      <c r="U509" s="12"/>
      <c r="V509" s="12"/>
      <c r="W509" s="12">
        <f t="shared" si="152"/>
        <v>1876.5</v>
      </c>
      <c r="Y509" s="10">
        <v>3</v>
      </c>
      <c r="Z509" s="30" t="s">
        <v>65</v>
      </c>
      <c r="AA509" s="31">
        <f t="shared" ref="AA509:AA510" si="156">AA508+1</f>
        <v>7124</v>
      </c>
      <c r="AB509" s="33">
        <f>18780+2384+458</f>
        <v>21622</v>
      </c>
      <c r="AC509" s="33"/>
      <c r="AD509" s="32"/>
      <c r="AE509" s="32">
        <f t="shared" si="153"/>
        <v>21622</v>
      </c>
      <c r="AF509" s="12"/>
      <c r="AG509" s="12"/>
      <c r="AH509" s="12"/>
      <c r="AI509" s="12">
        <f t="shared" si="154"/>
        <v>21622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9"/>
      <c r="D510" s="60"/>
      <c r="E510" s="60"/>
      <c r="F510" s="60"/>
      <c r="G510" s="60"/>
      <c r="H510" s="61"/>
      <c r="I510" s="61"/>
      <c r="J510" s="61"/>
      <c r="K510" s="61"/>
      <c r="M510" s="10">
        <v>4</v>
      </c>
      <c r="N510" s="30" t="s">
        <v>65</v>
      </c>
      <c r="O510" s="31">
        <f t="shared" si="155"/>
        <v>7154</v>
      </c>
      <c r="P510" s="32">
        <f>1878+28.5</f>
        <v>1906.5</v>
      </c>
      <c r="Q510" s="32"/>
      <c r="R510" s="32"/>
      <c r="S510" s="32">
        <f t="shared" si="151"/>
        <v>1906.5</v>
      </c>
      <c r="T510" s="12"/>
      <c r="U510" s="12"/>
      <c r="V510" s="12"/>
      <c r="W510" s="12">
        <f t="shared" si="152"/>
        <v>1906.5</v>
      </c>
      <c r="Y510" s="10">
        <v>4</v>
      </c>
      <c r="Z510" s="30" t="s">
        <v>65</v>
      </c>
      <c r="AA510" s="31">
        <f t="shared" si="156"/>
        <v>7125</v>
      </c>
      <c r="AB510" s="32">
        <f>6886+3070+832</f>
        <v>10788</v>
      </c>
      <c r="AC510" s="32"/>
      <c r="AD510" s="32"/>
      <c r="AE510" s="32">
        <f t="shared" si="153"/>
        <v>10788</v>
      </c>
      <c r="AF510" s="12"/>
      <c r="AH510" s="12"/>
      <c r="AI510" s="12">
        <f t="shared" si="154"/>
        <v>10788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9"/>
      <c r="D511" s="60"/>
      <c r="E511" s="60"/>
      <c r="F511" s="60"/>
      <c r="G511" s="60"/>
      <c r="H511" s="61"/>
      <c r="I511" s="61"/>
      <c r="J511" s="61"/>
      <c r="K511" s="61"/>
      <c r="M511" s="10">
        <v>5</v>
      </c>
      <c r="N511" s="30" t="s">
        <v>65</v>
      </c>
      <c r="O511" s="31">
        <f t="shared" si="155"/>
        <v>7155</v>
      </c>
      <c r="P511" s="32">
        <f>626+596+19</f>
        <v>1241</v>
      </c>
      <c r="Q511" s="32"/>
      <c r="R511" s="32"/>
      <c r="S511" s="32">
        <f t="shared" si="151"/>
        <v>1241</v>
      </c>
      <c r="T511" s="12"/>
      <c r="U511" s="12"/>
      <c r="V511" s="12"/>
      <c r="W511" s="12">
        <f t="shared" si="152"/>
        <v>1241</v>
      </c>
      <c r="Y511" s="10">
        <v>5</v>
      </c>
      <c r="Z511" s="30"/>
      <c r="AA511" s="11" t="s">
        <v>27</v>
      </c>
      <c r="AB511" s="32"/>
      <c r="AC511" s="32"/>
      <c r="AD511" s="32"/>
      <c r="AE511" s="32">
        <f t="shared" si="153"/>
        <v>0</v>
      </c>
      <c r="AF511" s="12"/>
      <c r="AG511" s="12"/>
      <c r="AH511" s="12"/>
      <c r="AI511" s="12">
        <f t="shared" si="154"/>
        <v>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9"/>
      <c r="D512" s="60"/>
      <c r="E512" s="60"/>
      <c r="F512" s="60"/>
      <c r="G512" s="60"/>
      <c r="H512" s="61"/>
      <c r="I512" s="61"/>
      <c r="J512" s="61"/>
      <c r="K512" s="61"/>
      <c r="M512" s="10">
        <v>6</v>
      </c>
      <c r="N512" s="30" t="s">
        <v>65</v>
      </c>
      <c r="O512" s="31">
        <f t="shared" si="155"/>
        <v>7156</v>
      </c>
      <c r="P512" s="32">
        <f>1252+19</f>
        <v>1271</v>
      </c>
      <c r="Q512" s="32"/>
      <c r="R512" s="32"/>
      <c r="S512" s="32">
        <f t="shared" si="151"/>
        <v>1271</v>
      </c>
      <c r="T512" s="12"/>
      <c r="U512" s="12"/>
      <c r="V512" s="10"/>
      <c r="W512" s="12">
        <f t="shared" si="152"/>
        <v>1271</v>
      </c>
      <c r="Y512" s="10">
        <v>6</v>
      </c>
      <c r="Z512" s="30"/>
      <c r="AA512" s="31"/>
      <c r="AB512" s="32"/>
      <c r="AC512" s="32"/>
      <c r="AD512" s="32"/>
      <c r="AE512" s="32">
        <f t="shared" si="153"/>
        <v>0</v>
      </c>
      <c r="AF512" s="12"/>
      <c r="AG512" s="12"/>
      <c r="AH512" s="10"/>
      <c r="AI512" s="12">
        <f t="shared" si="154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9"/>
      <c r="D513" s="60"/>
      <c r="E513" s="60"/>
      <c r="F513" s="60"/>
      <c r="G513" s="60"/>
      <c r="H513" s="61"/>
      <c r="I513" s="61"/>
      <c r="J513" s="61"/>
      <c r="K513" s="61"/>
      <c r="M513" s="10">
        <v>7</v>
      </c>
      <c r="N513" s="30" t="s">
        <v>65</v>
      </c>
      <c r="O513" s="31">
        <f t="shared" si="155"/>
        <v>7157</v>
      </c>
      <c r="P513" s="32">
        <f>1878+456.5+28.5</f>
        <v>2363</v>
      </c>
      <c r="Q513" s="32"/>
      <c r="R513" s="32"/>
      <c r="S513" s="32">
        <f t="shared" si="151"/>
        <v>2363</v>
      </c>
      <c r="T513" s="12"/>
      <c r="U513" s="12"/>
      <c r="V513" s="12"/>
      <c r="W513" s="12">
        <f t="shared" si="152"/>
        <v>2363</v>
      </c>
      <c r="Y513" s="10">
        <v>7</v>
      </c>
      <c r="Z513" s="30"/>
      <c r="AA513" s="31"/>
      <c r="AB513" s="32"/>
      <c r="AC513" s="32"/>
      <c r="AD513" s="32"/>
      <c r="AE513" s="32">
        <f t="shared" si="153"/>
        <v>0</v>
      </c>
      <c r="AF513" s="12"/>
      <c r="AG513" s="58"/>
      <c r="AH513" s="12"/>
      <c r="AI513" s="12">
        <f t="shared" si="154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9"/>
      <c r="D514" s="60"/>
      <c r="E514" s="60"/>
      <c r="F514" s="60"/>
      <c r="G514" s="60"/>
      <c r="H514" s="61"/>
      <c r="I514" s="61"/>
      <c r="J514" s="61"/>
      <c r="K514" s="61"/>
      <c r="M514" s="10">
        <v>8</v>
      </c>
      <c r="N514" s="30" t="s">
        <v>65</v>
      </c>
      <c r="O514" s="31">
        <f t="shared" si="155"/>
        <v>7158</v>
      </c>
      <c r="P514" s="32">
        <f>2504+38</f>
        <v>2542</v>
      </c>
      <c r="Q514" s="32"/>
      <c r="R514" s="32"/>
      <c r="S514" s="32">
        <f t="shared" si="151"/>
        <v>2542</v>
      </c>
      <c r="T514" s="12"/>
      <c r="U514" s="12"/>
      <c r="V514" s="12"/>
      <c r="W514" s="12">
        <f t="shared" si="152"/>
        <v>2542</v>
      </c>
      <c r="Y514" s="10">
        <v>8</v>
      </c>
      <c r="Z514" s="30"/>
      <c r="AA514" s="31"/>
      <c r="AB514" s="32"/>
      <c r="AC514" s="32"/>
      <c r="AE514" s="32">
        <f t="shared" si="153"/>
        <v>0</v>
      </c>
      <c r="AF514" s="12"/>
      <c r="AG514" s="12"/>
      <c r="AH514" s="12"/>
      <c r="AI514" s="12">
        <f t="shared" si="154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9"/>
      <c r="D515" s="60"/>
      <c r="E515" s="60"/>
      <c r="F515" s="60"/>
      <c r="G515" s="60"/>
      <c r="H515" s="61"/>
      <c r="I515" s="61"/>
      <c r="J515" s="61"/>
      <c r="K515" s="61"/>
      <c r="M515" s="10">
        <v>9</v>
      </c>
      <c r="N515" s="30" t="s">
        <v>65</v>
      </c>
      <c r="O515" s="31">
        <f t="shared" si="155"/>
        <v>7159</v>
      </c>
      <c r="P515" s="32">
        <f>1252+596+28.5</f>
        <v>1876.5</v>
      </c>
      <c r="Q515" s="32"/>
      <c r="R515" s="32"/>
      <c r="S515" s="32">
        <f t="shared" si="151"/>
        <v>1876.5</v>
      </c>
      <c r="T515" s="12"/>
      <c r="U515" s="12"/>
      <c r="V515" s="12"/>
      <c r="W515" s="12">
        <f t="shared" si="152"/>
        <v>1876.5</v>
      </c>
      <c r="Y515" s="10">
        <v>9</v>
      </c>
      <c r="Z515" s="30"/>
      <c r="AA515" s="31"/>
      <c r="AB515" s="32"/>
      <c r="AC515" s="32"/>
      <c r="AD515" s="32"/>
      <c r="AE515" s="32">
        <f t="shared" si="153"/>
        <v>0</v>
      </c>
      <c r="AF515" s="12"/>
      <c r="AG515" s="58"/>
      <c r="AH515" s="12"/>
      <c r="AI515" s="12">
        <f t="shared" si="154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9"/>
      <c r="D516" s="60"/>
      <c r="E516" s="60"/>
      <c r="F516" s="60"/>
      <c r="G516" s="60"/>
      <c r="H516" s="61"/>
      <c r="I516" s="61"/>
      <c r="J516" s="61"/>
      <c r="K516" s="61"/>
      <c r="M516" s="10">
        <v>10</v>
      </c>
      <c r="N516" s="30" t="s">
        <v>65</v>
      </c>
      <c r="O516" s="31">
        <f t="shared" si="155"/>
        <v>7160</v>
      </c>
      <c r="P516" s="32">
        <f>8138+1192+142.5</f>
        <v>9472.5</v>
      </c>
      <c r="Q516" s="32"/>
      <c r="R516" s="32"/>
      <c r="S516" s="32">
        <f t="shared" si="151"/>
        <v>9472.5</v>
      </c>
      <c r="T516" s="12"/>
      <c r="U516" s="12"/>
      <c r="V516" s="12">
        <f>-333+-78+-42</f>
        <v>-453</v>
      </c>
      <c r="W516" s="12">
        <f t="shared" si="152"/>
        <v>9019.5</v>
      </c>
      <c r="Y516" s="10">
        <v>10</v>
      </c>
      <c r="Z516" s="30"/>
      <c r="AA516" s="31"/>
      <c r="AB516" s="32"/>
      <c r="AC516" s="32"/>
      <c r="AD516" s="32"/>
      <c r="AE516" s="32">
        <f t="shared" si="153"/>
        <v>0</v>
      </c>
      <c r="AF516" s="12"/>
      <c r="AG516" s="12"/>
      <c r="AH516" s="12"/>
      <c r="AI516" s="12">
        <f t="shared" si="154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9"/>
      <c r="D517" s="60"/>
      <c r="E517" s="60"/>
      <c r="F517" s="60"/>
      <c r="G517" s="60"/>
      <c r="H517" s="61"/>
      <c r="I517" s="61"/>
      <c r="J517" s="61"/>
      <c r="K517" s="61"/>
      <c r="M517" s="10">
        <v>11</v>
      </c>
      <c r="N517" s="30" t="s">
        <v>65</v>
      </c>
      <c r="O517" s="31">
        <f t="shared" si="155"/>
        <v>7161</v>
      </c>
      <c r="P517" s="32">
        <f>626+9.5</f>
        <v>635.5</v>
      </c>
      <c r="Q517" s="32"/>
      <c r="R517" s="32"/>
      <c r="S517" s="32">
        <f t="shared" si="151"/>
        <v>635.5</v>
      </c>
      <c r="T517" s="12"/>
      <c r="U517" s="12"/>
      <c r="V517" s="12"/>
      <c r="W517" s="12">
        <f t="shared" si="152"/>
        <v>635.5</v>
      </c>
      <c r="Y517" s="10">
        <v>11</v>
      </c>
      <c r="Z517" s="30"/>
      <c r="AA517" s="31"/>
      <c r="AB517" s="32"/>
      <c r="AC517" s="32"/>
      <c r="AD517" s="32"/>
      <c r="AE517" s="32">
        <f t="shared" si="153"/>
        <v>0</v>
      </c>
      <c r="AF517" s="12"/>
      <c r="AG517" s="12"/>
      <c r="AH517" s="12"/>
      <c r="AI517" s="12">
        <f t="shared" si="154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9"/>
      <c r="D518" s="60"/>
      <c r="E518" s="60"/>
      <c r="F518" s="60"/>
      <c r="G518" s="60"/>
      <c r="H518" s="61"/>
      <c r="I518" s="61"/>
      <c r="J518" s="62"/>
      <c r="K518" s="61"/>
      <c r="M518" s="10">
        <v>12</v>
      </c>
      <c r="N518" s="30" t="s">
        <v>65</v>
      </c>
      <c r="O518" s="31">
        <f t="shared" si="155"/>
        <v>7162</v>
      </c>
      <c r="P518" s="32">
        <f>135216+1374</f>
        <v>136590</v>
      </c>
      <c r="Q518" s="32">
        <v>-1998</v>
      </c>
      <c r="R518" s="32"/>
      <c r="S518" s="32">
        <f t="shared" si="151"/>
        <v>134592</v>
      </c>
      <c r="T518" s="12"/>
      <c r="U518" s="12">
        <v>75</v>
      </c>
      <c r="V518" s="12">
        <f>-28194+-1092+-1008</f>
        <v>-30294</v>
      </c>
      <c r="W518" s="12">
        <f t="shared" si="152"/>
        <v>104373</v>
      </c>
      <c r="Y518" s="10">
        <v>12</v>
      </c>
      <c r="Z518" s="30"/>
      <c r="AA518" s="31"/>
      <c r="AB518" s="32"/>
      <c r="AC518" s="32"/>
      <c r="AD518" s="32"/>
      <c r="AE518" s="32">
        <f t="shared" si="153"/>
        <v>0</v>
      </c>
      <c r="AF518" s="12"/>
      <c r="AG518" s="12"/>
      <c r="AH518" s="12"/>
      <c r="AI518" s="12">
        <f t="shared" si="154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9"/>
      <c r="D519" s="60"/>
      <c r="E519" s="60"/>
      <c r="F519" s="60"/>
      <c r="G519" s="60"/>
      <c r="H519" s="61"/>
      <c r="I519" s="61"/>
      <c r="J519" s="61"/>
      <c r="K519" s="61"/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1"/>
        <v>0</v>
      </c>
      <c r="T519" s="12"/>
      <c r="U519" s="12"/>
      <c r="V519" s="12"/>
      <c r="W519" s="12">
        <f t="shared" si="152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3"/>
        <v>0</v>
      </c>
      <c r="AF519" s="12"/>
      <c r="AG519" s="12"/>
      <c r="AH519" s="12"/>
      <c r="AI519" s="12">
        <f t="shared" si="154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9"/>
      <c r="D520" s="60"/>
      <c r="E520" s="60"/>
      <c r="F520" s="60"/>
      <c r="G520" s="60"/>
      <c r="H520" s="61"/>
      <c r="I520" s="61"/>
      <c r="J520" s="61"/>
      <c r="K520" s="61"/>
      <c r="M520" s="10">
        <v>14</v>
      </c>
      <c r="N520" s="30"/>
      <c r="O520" s="31"/>
      <c r="P520" s="32"/>
      <c r="Q520" s="32"/>
      <c r="R520" s="32"/>
      <c r="S520" s="32">
        <f t="shared" si="151"/>
        <v>0</v>
      </c>
      <c r="T520" s="12"/>
      <c r="U520" s="12"/>
      <c r="V520" s="12"/>
      <c r="W520" s="12">
        <f t="shared" si="152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3"/>
        <v>0</v>
      </c>
      <c r="AF520" s="12"/>
      <c r="AG520" s="12"/>
      <c r="AH520" s="12"/>
      <c r="AI520" s="12">
        <f t="shared" si="154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9"/>
      <c r="D521" s="60"/>
      <c r="E521" s="60"/>
      <c r="F521" s="60"/>
      <c r="G521" s="60"/>
      <c r="H521" s="61"/>
      <c r="I521" s="61"/>
      <c r="J521" s="61"/>
      <c r="K521" s="61"/>
      <c r="M521" s="10">
        <v>15</v>
      </c>
      <c r="N521" s="30"/>
      <c r="O521" s="31"/>
      <c r="P521" s="32"/>
      <c r="Q521" s="32"/>
      <c r="R521" s="32"/>
      <c r="S521" s="32">
        <f t="shared" si="151"/>
        <v>0</v>
      </c>
      <c r="T521" s="12"/>
      <c r="U521" s="12"/>
      <c r="V521" s="12"/>
      <c r="W521" s="12">
        <f t="shared" si="152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3"/>
        <v>0</v>
      </c>
      <c r="AF521" s="12"/>
      <c r="AG521" s="12"/>
      <c r="AH521" s="12"/>
      <c r="AI521" s="12">
        <f t="shared" si="154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9"/>
      <c r="D522" s="60"/>
      <c r="E522" s="60"/>
      <c r="F522" s="60"/>
      <c r="G522" s="60"/>
      <c r="H522" s="61"/>
      <c r="I522" s="61"/>
      <c r="J522" s="61"/>
      <c r="K522" s="61"/>
      <c r="M522" s="10">
        <v>16</v>
      </c>
      <c r="N522" s="30"/>
      <c r="P522" s="32"/>
      <c r="Q522" s="32"/>
      <c r="R522" s="32"/>
      <c r="S522" s="32">
        <f t="shared" si="151"/>
        <v>0</v>
      </c>
      <c r="T522" s="12"/>
      <c r="U522" s="12"/>
      <c r="V522" s="12"/>
      <c r="W522" s="12">
        <f t="shared" si="152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3"/>
        <v>0</v>
      </c>
      <c r="AF522" s="12"/>
      <c r="AG522" s="12"/>
      <c r="AH522" s="12"/>
      <c r="AI522" s="12">
        <f t="shared" si="154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9"/>
      <c r="D523" s="60"/>
      <c r="E523" s="60"/>
      <c r="F523" s="60"/>
      <c r="G523" s="60"/>
      <c r="H523" s="61"/>
      <c r="I523" s="61"/>
      <c r="J523" s="61"/>
      <c r="K523" s="61"/>
      <c r="M523" s="10">
        <v>17</v>
      </c>
      <c r="N523" s="30"/>
      <c r="O523" s="31"/>
      <c r="P523" s="35"/>
      <c r="Q523" s="32"/>
      <c r="R523" s="32"/>
      <c r="S523" s="32">
        <f t="shared" si="151"/>
        <v>0</v>
      </c>
      <c r="T523" s="12"/>
      <c r="U523" s="12"/>
      <c r="V523" s="12"/>
      <c r="W523" s="12">
        <f t="shared" si="152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3"/>
        <v>0</v>
      </c>
      <c r="AF523" s="12"/>
      <c r="AG523" s="12"/>
      <c r="AH523" s="12"/>
      <c r="AI523" s="12">
        <f t="shared" si="154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9"/>
      <c r="D524" s="60"/>
      <c r="E524" s="60"/>
      <c r="F524" s="60"/>
      <c r="G524" s="60"/>
      <c r="H524" s="61"/>
      <c r="I524" s="61"/>
      <c r="J524" s="61"/>
      <c r="K524" s="61"/>
      <c r="M524" s="10">
        <v>18</v>
      </c>
      <c r="N524" s="30"/>
      <c r="O524" s="31"/>
      <c r="P524" s="32"/>
      <c r="Q524" s="32"/>
      <c r="R524" s="32"/>
      <c r="S524" s="32">
        <f t="shared" si="151"/>
        <v>0</v>
      </c>
      <c r="T524" s="12"/>
      <c r="U524" s="12"/>
      <c r="V524" s="12"/>
      <c r="W524" s="12">
        <f t="shared" si="152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3"/>
        <v>0</v>
      </c>
      <c r="AF524" s="12"/>
      <c r="AG524" s="12"/>
      <c r="AH524" s="12"/>
      <c r="AI524" s="12">
        <f t="shared" si="154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9"/>
      <c r="D525" s="60"/>
      <c r="E525" s="60"/>
      <c r="F525" s="60"/>
      <c r="G525" s="60"/>
      <c r="H525" s="61"/>
      <c r="I525" s="61"/>
      <c r="J525" s="61"/>
      <c r="K525" s="61"/>
      <c r="M525" s="10">
        <v>19</v>
      </c>
      <c r="N525" s="30"/>
      <c r="O525" s="31"/>
      <c r="P525" s="32"/>
      <c r="Q525" s="32"/>
      <c r="R525" s="32"/>
      <c r="S525" s="32">
        <f t="shared" si="151"/>
        <v>0</v>
      </c>
      <c r="T525" s="12"/>
      <c r="U525" s="12"/>
      <c r="V525" s="12"/>
      <c r="W525" s="12">
        <f t="shared" si="152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3"/>
        <v>0</v>
      </c>
      <c r="AF525" s="12"/>
      <c r="AG525" s="12"/>
      <c r="AH525" s="12"/>
      <c r="AI525" s="12">
        <f t="shared" si="154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9"/>
      <c r="D526" s="60"/>
      <c r="E526" s="60"/>
      <c r="F526" s="60"/>
      <c r="G526" s="60"/>
      <c r="H526" s="61"/>
      <c r="I526" s="61"/>
      <c r="J526" s="61"/>
      <c r="K526" s="61"/>
      <c r="M526" s="10">
        <v>20</v>
      </c>
      <c r="N526" s="30"/>
      <c r="O526" s="31"/>
      <c r="P526" s="32"/>
      <c r="Q526" s="32"/>
      <c r="R526" s="32"/>
      <c r="S526" s="32">
        <f t="shared" si="151"/>
        <v>0</v>
      </c>
      <c r="T526" s="12"/>
      <c r="U526" s="12"/>
      <c r="V526" s="12"/>
      <c r="W526" s="12">
        <f t="shared" si="152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3"/>
        <v>0</v>
      </c>
      <c r="AF526" s="12"/>
      <c r="AG526" s="12"/>
      <c r="AH526" s="12"/>
      <c r="AI526" s="12">
        <f t="shared" si="154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89"/>
      <c r="D527" s="60"/>
      <c r="E527" s="60"/>
      <c r="F527" s="60"/>
      <c r="G527" s="60"/>
      <c r="H527" s="62"/>
      <c r="I527" s="62"/>
      <c r="J527" s="62"/>
      <c r="K527" s="61"/>
      <c r="M527" s="10">
        <v>21</v>
      </c>
      <c r="N527" s="30"/>
      <c r="P527" s="46"/>
      <c r="Q527" s="31"/>
      <c r="R527" s="31"/>
      <c r="S527" s="32">
        <f t="shared" si="151"/>
        <v>0</v>
      </c>
      <c r="T527" s="10"/>
      <c r="U527" s="10"/>
      <c r="V527" s="10"/>
      <c r="W527" s="12">
        <f t="shared" si="152"/>
        <v>0</v>
      </c>
      <c r="Y527" s="10">
        <v>21</v>
      </c>
      <c r="Z527" s="30"/>
      <c r="AB527" s="46"/>
      <c r="AC527" s="31"/>
      <c r="AD527" s="31"/>
      <c r="AE527" s="32">
        <f t="shared" si="153"/>
        <v>0</v>
      </c>
      <c r="AF527" s="10"/>
      <c r="AG527" s="10"/>
      <c r="AH527" s="10"/>
      <c r="AI527" s="12">
        <f t="shared" si="154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65"/>
      <c r="D528" s="60"/>
      <c r="E528" s="60"/>
      <c r="F528" s="60"/>
      <c r="G528" s="60"/>
      <c r="H528" s="62"/>
      <c r="I528" s="62"/>
      <c r="J528" s="62"/>
      <c r="K528" s="61"/>
      <c r="M528" s="10">
        <v>22</v>
      </c>
      <c r="N528" s="30"/>
      <c r="O528" s="31"/>
      <c r="P528" s="45"/>
      <c r="Q528" s="31"/>
      <c r="R528" s="31"/>
      <c r="S528" s="32">
        <f t="shared" si="151"/>
        <v>0</v>
      </c>
      <c r="T528" s="10"/>
      <c r="U528" s="10"/>
      <c r="V528" s="10"/>
      <c r="W528" s="12">
        <f t="shared" si="152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3"/>
        <v>0</v>
      </c>
      <c r="AF528" s="10"/>
      <c r="AG528" s="10"/>
      <c r="AH528" s="10"/>
      <c r="AI528" s="12">
        <f t="shared" si="154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9"/>
      <c r="D529" s="60"/>
      <c r="E529" s="60"/>
      <c r="F529" s="60"/>
      <c r="G529" s="60"/>
      <c r="H529" s="62"/>
      <c r="I529" s="62"/>
      <c r="J529" s="61"/>
      <c r="K529" s="61"/>
      <c r="M529" s="10">
        <v>23</v>
      </c>
      <c r="N529" s="30"/>
      <c r="O529" s="31"/>
      <c r="P529" s="47"/>
      <c r="Q529" s="31"/>
      <c r="S529" s="32">
        <f t="shared" si="151"/>
        <v>0</v>
      </c>
      <c r="T529" s="10"/>
      <c r="U529" s="10"/>
      <c r="V529" s="10"/>
      <c r="W529" s="12">
        <f t="shared" si="152"/>
        <v>0</v>
      </c>
      <c r="Y529" s="10">
        <v>23</v>
      </c>
      <c r="Z529" s="30"/>
      <c r="AA529" s="31"/>
      <c r="AB529" s="47"/>
      <c r="AC529" s="31"/>
      <c r="AE529" s="32">
        <f t="shared" si="153"/>
        <v>0</v>
      </c>
      <c r="AF529" s="10"/>
      <c r="AG529" s="10"/>
      <c r="AH529" s="10"/>
      <c r="AI529" s="12">
        <f t="shared" si="154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9"/>
      <c r="D530" s="60"/>
      <c r="E530" s="60"/>
      <c r="F530" s="60"/>
      <c r="G530" s="60"/>
      <c r="H530" s="62"/>
      <c r="I530" s="62"/>
      <c r="J530" s="62"/>
      <c r="K530" s="61"/>
      <c r="M530" s="10">
        <v>24</v>
      </c>
      <c r="N530" s="30"/>
      <c r="O530" s="31"/>
      <c r="P530" s="47"/>
      <c r="Q530" s="31"/>
      <c r="R530" s="31"/>
      <c r="S530" s="32">
        <f t="shared" si="151"/>
        <v>0</v>
      </c>
      <c r="T530" s="10"/>
      <c r="U530" s="10"/>
      <c r="V530" s="10"/>
      <c r="W530" s="12">
        <f t="shared" si="152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3"/>
        <v>0</v>
      </c>
      <c r="AF530" s="10"/>
      <c r="AG530" s="10"/>
      <c r="AH530" s="10"/>
      <c r="AI530" s="12">
        <f t="shared" si="154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89"/>
      <c r="D531" s="60"/>
      <c r="E531" s="60"/>
      <c r="F531" s="60"/>
      <c r="G531" s="60"/>
      <c r="H531" s="62"/>
      <c r="I531" s="62"/>
      <c r="J531" s="62"/>
      <c r="K531" s="61"/>
      <c r="M531" s="10">
        <v>25</v>
      </c>
      <c r="N531" s="30"/>
      <c r="O531" s="31"/>
      <c r="P531" s="47"/>
      <c r="Q531" s="31"/>
      <c r="R531" s="31"/>
      <c r="S531" s="32">
        <f t="shared" si="151"/>
        <v>0</v>
      </c>
      <c r="T531" s="10"/>
      <c r="U531" s="10"/>
      <c r="V531" s="10"/>
      <c r="W531" s="12">
        <f t="shared" si="152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3"/>
        <v>0</v>
      </c>
      <c r="AF531" s="10"/>
      <c r="AG531" s="10"/>
      <c r="AH531" s="10"/>
      <c r="AI531" s="12">
        <f t="shared" si="154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9"/>
      <c r="D532" s="60"/>
      <c r="E532" s="60"/>
      <c r="F532" s="60"/>
      <c r="G532" s="60"/>
      <c r="H532" s="62"/>
      <c r="I532" s="62"/>
      <c r="J532" s="62"/>
      <c r="K532" s="61"/>
      <c r="M532" s="10">
        <v>26</v>
      </c>
      <c r="N532" s="30"/>
      <c r="O532" s="31"/>
      <c r="P532" s="47"/>
      <c r="Q532" s="31"/>
      <c r="R532" s="31"/>
      <c r="S532" s="32">
        <f t="shared" si="151"/>
        <v>0</v>
      </c>
      <c r="T532" s="10"/>
      <c r="U532" s="10"/>
      <c r="V532" s="10"/>
      <c r="W532" s="12">
        <f t="shared" si="152"/>
        <v>0</v>
      </c>
      <c r="Y532" s="10">
        <v>26</v>
      </c>
      <c r="Z532" s="30"/>
      <c r="AB532" s="47"/>
      <c r="AC532" s="31"/>
      <c r="AD532" s="31"/>
      <c r="AE532" s="32">
        <f t="shared" si="153"/>
        <v>0</v>
      </c>
      <c r="AF532" s="10"/>
      <c r="AG532" s="10"/>
      <c r="AH532" s="10"/>
      <c r="AI532" s="12">
        <f t="shared" si="154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9"/>
      <c r="D533" s="60"/>
      <c r="E533" s="60"/>
      <c r="F533" s="60"/>
      <c r="G533" s="60"/>
      <c r="H533" s="62"/>
      <c r="I533" s="62"/>
      <c r="J533" s="62"/>
      <c r="K533" s="61"/>
      <c r="M533" s="10">
        <v>27</v>
      </c>
      <c r="N533" s="30"/>
      <c r="O533" s="31"/>
      <c r="P533" s="47"/>
      <c r="Q533" s="31"/>
      <c r="R533" s="31"/>
      <c r="S533" s="32">
        <f t="shared" si="151"/>
        <v>0</v>
      </c>
      <c r="T533" s="10"/>
      <c r="U533" s="10"/>
      <c r="V533" s="10"/>
      <c r="W533" s="12">
        <f t="shared" si="152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3"/>
        <v>0</v>
      </c>
      <c r="AF533" s="10"/>
      <c r="AG533" s="10"/>
      <c r="AH533" s="10"/>
      <c r="AI533" s="12">
        <f t="shared" si="154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9"/>
      <c r="D534" s="60"/>
      <c r="E534" s="60"/>
      <c r="F534" s="60"/>
      <c r="G534" s="60"/>
      <c r="H534" s="62"/>
      <c r="I534" s="62"/>
      <c r="J534" s="62"/>
      <c r="K534" s="61"/>
      <c r="M534" s="10">
        <v>28</v>
      </c>
      <c r="N534" s="30"/>
      <c r="O534" s="31"/>
      <c r="P534" s="47"/>
      <c r="Q534" s="31"/>
      <c r="R534" s="31"/>
      <c r="S534" s="32">
        <f t="shared" si="151"/>
        <v>0</v>
      </c>
      <c r="T534" s="10"/>
      <c r="U534" s="10"/>
      <c r="V534" s="10"/>
      <c r="W534" s="12">
        <f t="shared" si="152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3"/>
        <v>0</v>
      </c>
      <c r="AF534" s="10"/>
      <c r="AG534" s="10"/>
      <c r="AH534" s="10"/>
      <c r="AI534" s="12">
        <f t="shared" si="154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9"/>
      <c r="D535" s="60"/>
      <c r="E535" s="60"/>
      <c r="F535" s="60"/>
      <c r="G535" s="60"/>
      <c r="H535" s="62"/>
      <c r="I535" s="62"/>
      <c r="J535" s="62"/>
      <c r="K535" s="61"/>
      <c r="M535" s="10">
        <v>29</v>
      </c>
      <c r="N535" s="30"/>
      <c r="O535" s="31"/>
      <c r="P535" s="47"/>
      <c r="Q535" s="31"/>
      <c r="R535" s="31"/>
      <c r="S535" s="32">
        <f t="shared" si="151"/>
        <v>0</v>
      </c>
      <c r="T535" s="10"/>
      <c r="U535" s="10"/>
      <c r="V535" s="10"/>
      <c r="W535" s="12">
        <f t="shared" si="152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3"/>
        <v>0</v>
      </c>
      <c r="AF535" s="10"/>
      <c r="AG535" s="10"/>
      <c r="AH535" s="10"/>
      <c r="AI535" s="12">
        <f t="shared" si="154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65"/>
      <c r="D536" s="60"/>
      <c r="E536" s="60"/>
      <c r="F536" s="60"/>
      <c r="G536" s="60"/>
      <c r="H536" s="62"/>
      <c r="I536" s="62"/>
      <c r="J536" s="62"/>
      <c r="K536" s="61"/>
      <c r="M536" s="10">
        <v>30</v>
      </c>
      <c r="N536" s="30"/>
      <c r="O536" s="31"/>
      <c r="P536" s="47"/>
      <c r="Q536" s="31"/>
      <c r="R536" s="31"/>
      <c r="S536" s="32">
        <f t="shared" si="151"/>
        <v>0</v>
      </c>
      <c r="T536" s="10"/>
      <c r="U536" s="10"/>
      <c r="V536" s="10"/>
      <c r="W536" s="12">
        <f t="shared" si="152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3"/>
        <v>0</v>
      </c>
      <c r="AF536" s="10"/>
      <c r="AG536" s="10"/>
      <c r="AH536" s="10"/>
      <c r="AI536" s="12">
        <f t="shared" si="154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9"/>
      <c r="D537" s="60"/>
      <c r="E537" s="60"/>
      <c r="F537" s="60"/>
      <c r="G537" s="60"/>
      <c r="H537" s="62"/>
      <c r="I537" s="62"/>
      <c r="J537" s="62"/>
      <c r="K537" s="61"/>
      <c r="M537" s="10">
        <v>31</v>
      </c>
      <c r="N537" s="30"/>
      <c r="O537" s="31"/>
      <c r="P537" s="47"/>
      <c r="Q537" s="31"/>
      <c r="R537" s="31"/>
      <c r="S537" s="32">
        <f t="shared" si="151"/>
        <v>0</v>
      </c>
      <c r="T537" s="10"/>
      <c r="U537" s="10"/>
      <c r="V537" s="10"/>
      <c r="W537" s="12">
        <f t="shared" si="152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3"/>
        <v>0</v>
      </c>
      <c r="AF537" s="10"/>
      <c r="AG537" s="10"/>
      <c r="AH537" s="10"/>
      <c r="AI537" s="12">
        <f t="shared" si="154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9"/>
      <c r="D538" s="60"/>
      <c r="E538" s="60"/>
      <c r="F538" s="60"/>
      <c r="G538" s="60"/>
      <c r="H538" s="62"/>
      <c r="I538" s="62"/>
      <c r="J538" s="62"/>
      <c r="K538" s="61"/>
      <c r="M538" s="10">
        <v>32</v>
      </c>
      <c r="N538" s="30"/>
      <c r="O538" s="31"/>
      <c r="P538" s="47"/>
      <c r="Q538" s="31"/>
      <c r="R538" s="31"/>
      <c r="S538" s="32">
        <f t="shared" si="151"/>
        <v>0</v>
      </c>
      <c r="T538" s="10"/>
      <c r="U538" s="10"/>
      <c r="V538" s="10"/>
      <c r="W538" s="12">
        <f t="shared" si="152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3"/>
        <v>0</v>
      </c>
      <c r="AF538" s="10"/>
      <c r="AG538" s="10"/>
      <c r="AH538" s="10"/>
      <c r="AI538" s="12">
        <f t="shared" si="154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9"/>
      <c r="D539" s="60"/>
      <c r="E539" s="60"/>
      <c r="F539" s="60"/>
      <c r="G539" s="60"/>
      <c r="H539" s="62"/>
      <c r="I539" s="62"/>
      <c r="J539" s="62"/>
      <c r="K539" s="61"/>
      <c r="M539" s="10">
        <v>33</v>
      </c>
      <c r="N539" s="30"/>
      <c r="O539" s="31"/>
      <c r="P539" s="47"/>
      <c r="Q539" s="31"/>
      <c r="R539" s="31"/>
      <c r="S539" s="32">
        <f t="shared" si="151"/>
        <v>0</v>
      </c>
      <c r="T539" s="10"/>
      <c r="U539" s="10"/>
      <c r="V539" s="10"/>
      <c r="W539" s="12">
        <f t="shared" si="152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3"/>
        <v>0</v>
      </c>
      <c r="AF539" s="10"/>
      <c r="AG539" s="10"/>
      <c r="AH539" s="10"/>
      <c r="AI539" s="12">
        <f t="shared" si="154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9"/>
      <c r="D540" s="60"/>
      <c r="E540" s="60"/>
      <c r="F540" s="60"/>
      <c r="G540" s="60"/>
      <c r="H540" s="62"/>
      <c r="I540" s="62"/>
      <c r="J540" s="62"/>
      <c r="K540" s="61"/>
      <c r="M540" s="10">
        <v>34</v>
      </c>
      <c r="N540" s="30"/>
      <c r="P540" s="47"/>
      <c r="Q540" s="31"/>
      <c r="R540" s="31"/>
      <c r="S540" s="32">
        <f t="shared" ref="S540:S545" si="157">SUM(P540:Q540)</f>
        <v>0</v>
      </c>
      <c r="T540" s="10"/>
      <c r="U540" s="10"/>
      <c r="V540" s="10"/>
      <c r="W540" s="12">
        <f t="shared" si="152"/>
        <v>0</v>
      </c>
      <c r="Y540" s="10">
        <v>34</v>
      </c>
      <c r="Z540" s="30"/>
      <c r="AB540" s="47"/>
      <c r="AC540" s="31"/>
      <c r="AD540" s="31"/>
      <c r="AE540" s="32">
        <f t="shared" si="153"/>
        <v>0</v>
      </c>
      <c r="AF540" s="10"/>
      <c r="AG540" s="10"/>
      <c r="AH540" s="10"/>
      <c r="AI540" s="12">
        <f t="shared" si="154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9"/>
      <c r="D541" s="60"/>
      <c r="E541" s="60"/>
      <c r="F541" s="60"/>
      <c r="G541" s="60"/>
      <c r="H541" s="62"/>
      <c r="I541" s="62"/>
      <c r="J541" s="62"/>
      <c r="K541" s="61"/>
      <c r="M541" s="10">
        <v>35</v>
      </c>
      <c r="N541" s="30"/>
      <c r="O541" s="31"/>
      <c r="P541" s="47"/>
      <c r="Q541" s="31"/>
      <c r="R541" s="31"/>
      <c r="S541" s="32">
        <f t="shared" si="157"/>
        <v>0</v>
      </c>
      <c r="T541" s="10"/>
      <c r="U541" s="10"/>
      <c r="V541" s="10"/>
      <c r="W541" s="12">
        <f t="shared" si="15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3"/>
        <v>0</v>
      </c>
      <c r="AF541" s="10"/>
      <c r="AG541" s="10"/>
      <c r="AH541" s="10"/>
      <c r="AI541" s="12">
        <f t="shared" si="154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9"/>
      <c r="D542" s="60"/>
      <c r="E542" s="60"/>
      <c r="F542" s="60"/>
      <c r="G542" s="60"/>
      <c r="H542" s="62"/>
      <c r="I542" s="62"/>
      <c r="J542" s="62"/>
      <c r="K542" s="61"/>
      <c r="M542" s="10">
        <v>36</v>
      </c>
      <c r="N542" s="30"/>
      <c r="O542" s="31"/>
      <c r="P542" s="47"/>
      <c r="Q542" s="31"/>
      <c r="R542" s="31"/>
      <c r="S542" s="32">
        <f t="shared" si="157"/>
        <v>0</v>
      </c>
      <c r="T542" s="10"/>
      <c r="U542" s="10"/>
      <c r="V542" s="10"/>
      <c r="W542" s="12">
        <f t="shared" si="15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3"/>
        <v>0</v>
      </c>
      <c r="AF542" s="10"/>
      <c r="AG542" s="10"/>
      <c r="AH542" s="10"/>
      <c r="AI542" s="12">
        <f t="shared" si="154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89"/>
      <c r="D543" s="60"/>
      <c r="E543" s="60"/>
      <c r="F543" s="60"/>
      <c r="G543" s="60"/>
      <c r="H543" s="62"/>
      <c r="I543" s="62"/>
      <c r="J543" s="62"/>
      <c r="K543" s="61"/>
      <c r="M543" s="10">
        <v>37</v>
      </c>
      <c r="N543" s="30"/>
      <c r="P543" s="47"/>
      <c r="Q543" s="31"/>
      <c r="R543" s="31"/>
      <c r="S543" s="32">
        <f t="shared" si="157"/>
        <v>0</v>
      </c>
      <c r="T543" s="10"/>
      <c r="U543" s="10"/>
      <c r="V543" s="10"/>
      <c r="W543" s="12">
        <f t="shared" si="15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3"/>
        <v>0</v>
      </c>
      <c r="AF543" s="10"/>
      <c r="AG543" s="10"/>
      <c r="AH543" s="10"/>
      <c r="AI543" s="12">
        <f t="shared" si="154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89"/>
      <c r="D544" s="60"/>
      <c r="E544" s="60"/>
      <c r="F544" s="60"/>
      <c r="G544" s="60"/>
      <c r="H544" s="62"/>
      <c r="I544" s="62"/>
      <c r="J544" s="62"/>
      <c r="K544" s="61"/>
      <c r="M544" s="10">
        <v>38</v>
      </c>
      <c r="N544" s="30"/>
      <c r="O544" s="31"/>
      <c r="P544" s="47"/>
      <c r="Q544" s="31"/>
      <c r="R544" s="31"/>
      <c r="S544" s="32">
        <f t="shared" si="157"/>
        <v>0</v>
      </c>
      <c r="T544" s="10"/>
      <c r="U544" s="10"/>
      <c r="V544" s="10"/>
      <c r="W544" s="12">
        <f t="shared" si="15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3"/>
        <v>0</v>
      </c>
      <c r="AF544" s="10"/>
      <c r="AG544" s="10"/>
      <c r="AH544" s="10"/>
      <c r="AI544" s="12">
        <f t="shared" si="154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89"/>
      <c r="D545" s="60"/>
      <c r="E545" s="60"/>
      <c r="F545" s="60"/>
      <c r="G545" s="60"/>
      <c r="H545" s="62"/>
      <c r="I545" s="62"/>
      <c r="J545" s="62"/>
      <c r="K545" s="61"/>
      <c r="M545" s="10">
        <v>39</v>
      </c>
      <c r="N545" s="30"/>
      <c r="O545" s="31"/>
      <c r="P545" s="47"/>
      <c r="Q545" s="31"/>
      <c r="R545" s="31"/>
      <c r="S545" s="32">
        <f t="shared" si="157"/>
        <v>0</v>
      </c>
      <c r="T545" s="10"/>
      <c r="U545" s="10"/>
      <c r="V545" s="10"/>
      <c r="W545" s="12">
        <f t="shared" si="15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3"/>
        <v>0</v>
      </c>
      <c r="AF545" s="10"/>
      <c r="AG545" s="10"/>
      <c r="AH545" s="10"/>
      <c r="AI545" s="12">
        <f t="shared" si="154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89"/>
      <c r="D546" s="60"/>
      <c r="E546" s="60"/>
      <c r="F546" s="60"/>
      <c r="G546" s="60"/>
      <c r="H546" s="62"/>
      <c r="I546" s="62"/>
      <c r="J546" s="62"/>
      <c r="K546" s="61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54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89"/>
      <c r="D547" s="60"/>
      <c r="E547" s="60"/>
      <c r="F547" s="60"/>
      <c r="G547" s="60"/>
      <c r="H547" s="62"/>
      <c r="I547" s="62"/>
      <c r="J547" s="62"/>
      <c r="K547" s="61"/>
      <c r="M547" s="10"/>
      <c r="N547" s="30"/>
      <c r="O547" s="31"/>
      <c r="P547" s="47"/>
      <c r="Q547" s="31"/>
      <c r="R547" s="31"/>
      <c r="S547" s="32">
        <f t="shared" ref="S547" si="158">SUM(P547:Q547)</f>
        <v>0</v>
      </c>
      <c r="T547" s="10"/>
      <c r="U547" s="10"/>
      <c r="V547" s="10"/>
      <c r="W547" s="12">
        <f t="shared" si="152"/>
        <v>0</v>
      </c>
      <c r="Y547" s="10"/>
      <c r="Z547" s="30"/>
      <c r="AA547" s="31"/>
      <c r="AB547" s="47"/>
      <c r="AC547" s="31"/>
      <c r="AD547" s="31"/>
      <c r="AE547" s="32">
        <f t="shared" ref="AE547" si="159">SUM(AB547:AC547)</f>
        <v>0</v>
      </c>
      <c r="AF547" s="10"/>
      <c r="AG547" s="10"/>
      <c r="AH547" s="10"/>
      <c r="AI547" s="12">
        <f t="shared" si="154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54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89"/>
      <c r="C549" s="89"/>
      <c r="D549" s="89"/>
      <c r="E549" s="89"/>
      <c r="F549" s="89"/>
      <c r="G549" s="89"/>
      <c r="H549" s="62"/>
      <c r="I549" s="62"/>
      <c r="J549" s="62"/>
      <c r="K549" s="62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89"/>
      <c r="C550" s="89"/>
      <c r="D550" s="70"/>
      <c r="E550" s="70"/>
      <c r="F550" s="70"/>
      <c r="G550" s="70"/>
      <c r="H550" s="63"/>
      <c r="I550" s="70"/>
      <c r="J550" s="70"/>
      <c r="K550" s="70"/>
      <c r="N550" s="57"/>
      <c r="O550" s="57"/>
      <c r="P550" s="38">
        <f>SUM(P507:P549)</f>
        <v>162256.5</v>
      </c>
      <c r="Q550" s="38">
        <f>SUM(Q507:Q531)</f>
        <v>-1998</v>
      </c>
      <c r="R550" s="38">
        <f>SUM(R507:R531)</f>
        <v>0</v>
      </c>
      <c r="S550" s="38">
        <f>SUM(S507:S549)</f>
        <v>160258.5</v>
      </c>
      <c r="T550" s="4"/>
      <c r="U550" s="41">
        <f>SUM(U507:U549)</f>
        <v>75</v>
      </c>
      <c r="V550" s="41">
        <f>SUM(V507:V531)</f>
        <v>-30747</v>
      </c>
      <c r="W550" s="42">
        <f>SUM(W507:W549)</f>
        <v>129586.5</v>
      </c>
      <c r="Z550" s="57"/>
      <c r="AA550" s="57"/>
      <c r="AB550" s="38">
        <f>SUM(AB507:AB549)</f>
        <v>226273</v>
      </c>
      <c r="AC550" s="38">
        <f>SUM(AC507:AC531)</f>
        <v>-1902</v>
      </c>
      <c r="AD550" s="38">
        <f>SUM(AD507:AD531)</f>
        <v>0</v>
      </c>
      <c r="AE550" s="38">
        <f>SUM(AE507:AE549)</f>
        <v>224371</v>
      </c>
      <c r="AF550" s="4"/>
      <c r="AG550" s="41">
        <f>SUM(AG507:AG549)</f>
        <v>20028</v>
      </c>
      <c r="AH550" s="41">
        <f>SUM(AH507:AH531)</f>
        <v>-252</v>
      </c>
      <c r="AI550" s="42">
        <f>SUM(AI507:AI549)</f>
        <v>244147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52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52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52</v>
      </c>
      <c r="Z557" s="57"/>
      <c r="AA557" s="57"/>
      <c r="AB557" s="57"/>
      <c r="AC557" s="57"/>
      <c r="AD557" s="57"/>
      <c r="AE557" s="57"/>
      <c r="AG557" s="57" t="s">
        <v>15</v>
      </c>
      <c r="AH557" s="19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67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67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42</v>
      </c>
      <c r="W558" s="24"/>
      <c r="Y558" s="21" t="s">
        <v>67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1" t="s">
        <v>17</v>
      </c>
      <c r="E560" s="111"/>
      <c r="F560" s="101"/>
      <c r="G560" s="27"/>
      <c r="I560" s="114" t="s">
        <v>18</v>
      </c>
      <c r="J560" s="115"/>
      <c r="K560" s="112" t="s">
        <v>19</v>
      </c>
      <c r="N560" s="25"/>
      <c r="O560" s="26"/>
      <c r="P560" s="111" t="s">
        <v>17</v>
      </c>
      <c r="Q560" s="111"/>
      <c r="R560" s="101"/>
      <c r="S560" s="27"/>
      <c r="U560" s="114" t="s">
        <v>18</v>
      </c>
      <c r="V560" s="115"/>
      <c r="W560" s="112" t="s">
        <v>19</v>
      </c>
      <c r="Z560" s="25"/>
      <c r="AA560" s="26"/>
      <c r="AB560" s="111" t="s">
        <v>17</v>
      </c>
      <c r="AC560" s="111"/>
      <c r="AD560" s="101"/>
      <c r="AE560" s="27"/>
      <c r="AG560" s="114" t="s">
        <v>18</v>
      </c>
      <c r="AH560" s="115"/>
      <c r="AI560" s="112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3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3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68</v>
      </c>
      <c r="C562" s="91">
        <v>7076</v>
      </c>
      <c r="D562" s="32">
        <f>1252+19</f>
        <v>1271</v>
      </c>
      <c r="E562" s="32"/>
      <c r="F562" s="32"/>
      <c r="G562" s="32">
        <f t="shared" ref="G562:G595" si="160">SUM(D562:E562)</f>
        <v>1271</v>
      </c>
      <c r="H562" s="12"/>
      <c r="I562" s="12"/>
      <c r="J562" s="12"/>
      <c r="K562" s="12">
        <f t="shared" ref="K562:K595" si="161">SUM(G562:J562)</f>
        <v>1271</v>
      </c>
      <c r="M562" s="10">
        <v>1</v>
      </c>
      <c r="N562" s="30" t="s">
        <v>68</v>
      </c>
      <c r="O562" s="31">
        <v>7047</v>
      </c>
      <c r="P562" s="32">
        <f>50080+687</f>
        <v>50767</v>
      </c>
      <c r="Q562" s="32">
        <v>-664</v>
      </c>
      <c r="R562" s="32"/>
      <c r="S562" s="32">
        <f>SUM(P562:Q562)</f>
        <v>50103</v>
      </c>
      <c r="T562" s="12"/>
      <c r="U562" s="12">
        <v>141</v>
      </c>
      <c r="V562" s="12"/>
      <c r="W562" s="12">
        <f>SUM(S562:V562)</f>
        <v>50244</v>
      </c>
      <c r="Y562" s="10">
        <v>1</v>
      </c>
      <c r="Z562" s="30" t="s">
        <v>68</v>
      </c>
      <c r="AA562" s="31">
        <v>7126</v>
      </c>
      <c r="AB562" s="32">
        <f>75120+17880+1374</f>
        <v>94374</v>
      </c>
      <c r="AC562" s="32">
        <f>-156*6</f>
        <v>-936</v>
      </c>
      <c r="AD562" s="32"/>
      <c r="AE562" s="32">
        <f>SUM(AB562:AC562)</f>
        <v>93438</v>
      </c>
      <c r="AF562" s="12"/>
      <c r="AG562" s="12">
        <v>17118</v>
      </c>
      <c r="AH562" s="12"/>
      <c r="AI562" s="12">
        <f>SUM(AE562:AH562)</f>
        <v>110556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68</v>
      </c>
      <c r="C563" s="91">
        <f>C562+1</f>
        <v>7077</v>
      </c>
      <c r="D563" s="32"/>
      <c r="E563" s="32"/>
      <c r="F563" s="32"/>
      <c r="G563" s="32">
        <f t="shared" si="160"/>
        <v>0</v>
      </c>
      <c r="H563" s="12"/>
      <c r="I563" s="12"/>
      <c r="J563" s="12"/>
      <c r="K563" s="12">
        <f t="shared" si="161"/>
        <v>0</v>
      </c>
      <c r="M563" s="10">
        <v>2</v>
      </c>
      <c r="N563" s="30" t="s">
        <v>68</v>
      </c>
      <c r="O563" s="31">
        <f>O562+1</f>
        <v>7048</v>
      </c>
      <c r="P563" s="32">
        <f>1252+19</f>
        <v>1271</v>
      </c>
      <c r="Q563" s="32"/>
      <c r="R563" s="32"/>
      <c r="S563" s="32">
        <f t="shared" ref="S563:S594" si="162">SUM(P563:Q563)</f>
        <v>1271</v>
      </c>
      <c r="T563" s="12"/>
      <c r="U563" s="12"/>
      <c r="V563" s="12"/>
      <c r="W563" s="12">
        <f t="shared" ref="W563:W603" si="163">SUM(S563:V563)</f>
        <v>1271</v>
      </c>
      <c r="Y563" s="10">
        <v>2</v>
      </c>
      <c r="Z563" s="30" t="s">
        <v>68</v>
      </c>
      <c r="AA563" s="31">
        <f>AA562+1</f>
        <v>7127</v>
      </c>
      <c r="AB563" s="32">
        <f>135216+6140+29800+1704+2748+1300</f>
        <v>176908</v>
      </c>
      <c r="AC563" s="32">
        <v>-1752</v>
      </c>
      <c r="AD563" s="32"/>
      <c r="AE563" s="32">
        <f t="shared" ref="AE563:AE600" si="164">SUM(AB563:AC563)</f>
        <v>175156</v>
      </c>
      <c r="AF563" s="12"/>
      <c r="AG563" s="12"/>
      <c r="AH563" s="12"/>
      <c r="AI563" s="12">
        <f t="shared" ref="AI563:AI603" si="165">SUM(AE563:AH563)</f>
        <v>175156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68</v>
      </c>
      <c r="C564" s="91">
        <f t="shared" ref="C564:C574" si="166">C563+1</f>
        <v>7078</v>
      </c>
      <c r="D564" s="33">
        <f>41085+5025+4160+1000</f>
        <v>51270</v>
      </c>
      <c r="E564" s="33"/>
      <c r="F564" s="33"/>
      <c r="G564" s="33">
        <f t="shared" si="160"/>
        <v>51270</v>
      </c>
      <c r="H564" s="34"/>
      <c r="I564" s="34"/>
      <c r="J564" s="34"/>
      <c r="K564" s="34">
        <f t="shared" si="161"/>
        <v>51270</v>
      </c>
      <c r="M564" s="10">
        <v>3</v>
      </c>
      <c r="N564" s="30" t="s">
        <v>68</v>
      </c>
      <c r="O564" s="31">
        <f t="shared" ref="O564:O582" si="167">O563+1</f>
        <v>7049</v>
      </c>
      <c r="P564" s="32">
        <f>1878+28.5</f>
        <v>1906.5</v>
      </c>
      <c r="Q564" s="32"/>
      <c r="R564" s="32"/>
      <c r="S564" s="32">
        <f t="shared" si="162"/>
        <v>1906.5</v>
      </c>
      <c r="T564" s="12"/>
      <c r="U564" s="12"/>
      <c r="V564" s="12"/>
      <c r="W564" s="12">
        <f t="shared" si="163"/>
        <v>1906.5</v>
      </c>
      <c r="Y564" s="10">
        <v>3</v>
      </c>
      <c r="Z564" s="30" t="s">
        <v>68</v>
      </c>
      <c r="AA564" s="31">
        <f t="shared" ref="AA564" si="168">AA563+1</f>
        <v>7128</v>
      </c>
      <c r="AB564" s="33">
        <f>39438+2456+1192</f>
        <v>43086</v>
      </c>
      <c r="AC564" s="33">
        <v>-414</v>
      </c>
      <c r="AD564" s="32"/>
      <c r="AE564" s="32">
        <f t="shared" si="164"/>
        <v>42672</v>
      </c>
      <c r="AF564" s="12"/>
      <c r="AG564" s="12"/>
      <c r="AH564" s="12">
        <v>-2220</v>
      </c>
      <c r="AI564" s="12">
        <f t="shared" si="165"/>
        <v>40452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68</v>
      </c>
      <c r="C565" s="91">
        <f t="shared" si="166"/>
        <v>7079</v>
      </c>
      <c r="D565" s="32">
        <f>2504+614+38</f>
        <v>3156</v>
      </c>
      <c r="E565" s="32"/>
      <c r="F565" s="32"/>
      <c r="G565" s="32">
        <f t="shared" si="160"/>
        <v>3156</v>
      </c>
      <c r="H565" s="12"/>
      <c r="I565" s="12">
        <v>84</v>
      </c>
      <c r="J565" s="12"/>
      <c r="K565" s="12">
        <f t="shared" si="161"/>
        <v>3240</v>
      </c>
      <c r="M565" s="10">
        <v>4</v>
      </c>
      <c r="N565" s="30" t="s">
        <v>68</v>
      </c>
      <c r="O565" s="31">
        <f t="shared" si="167"/>
        <v>7050</v>
      </c>
      <c r="P565" s="32">
        <f>626+9.5</f>
        <v>635.5</v>
      </c>
      <c r="Q565" s="32"/>
      <c r="R565" s="32"/>
      <c r="S565" s="32">
        <f t="shared" si="162"/>
        <v>635.5</v>
      </c>
      <c r="T565" s="12"/>
      <c r="U565" s="12"/>
      <c r="V565" s="12"/>
      <c r="W565" s="12">
        <f t="shared" si="163"/>
        <v>635.5</v>
      </c>
      <c r="Y565" s="10">
        <v>4</v>
      </c>
      <c r="Z565" s="30"/>
      <c r="AA565" s="11" t="s">
        <v>27</v>
      </c>
      <c r="AB565" s="32"/>
      <c r="AC565" s="32"/>
      <c r="AD565" s="32"/>
      <c r="AE565" s="32">
        <f t="shared" si="164"/>
        <v>0</v>
      </c>
      <c r="AF565" s="12"/>
      <c r="AH565" s="12"/>
      <c r="AI565" s="12">
        <f t="shared" si="165"/>
        <v>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68</v>
      </c>
      <c r="C566" s="91">
        <f t="shared" si="166"/>
        <v>7080</v>
      </c>
      <c r="D566" s="32">
        <f>6260+95</f>
        <v>6355</v>
      </c>
      <c r="E566" s="32"/>
      <c r="F566" s="32"/>
      <c r="G566" s="32">
        <f t="shared" si="160"/>
        <v>6355</v>
      </c>
      <c r="H566" s="12"/>
      <c r="I566" s="12">
        <v>99</v>
      </c>
      <c r="J566" s="12"/>
      <c r="K566" s="12">
        <f t="shared" si="161"/>
        <v>6454</v>
      </c>
      <c r="M566" s="10">
        <v>5</v>
      </c>
      <c r="N566" s="30" t="s">
        <v>68</v>
      </c>
      <c r="O566" s="31">
        <v>7163</v>
      </c>
      <c r="P566" s="32">
        <f>626+9.5</f>
        <v>635.5</v>
      </c>
      <c r="Q566" s="32"/>
      <c r="R566" s="32"/>
      <c r="S566" s="32">
        <f t="shared" si="162"/>
        <v>635.5</v>
      </c>
      <c r="T566" s="12"/>
      <c r="U566" s="12"/>
      <c r="V566" s="12"/>
      <c r="W566" s="12">
        <f t="shared" si="163"/>
        <v>635.5</v>
      </c>
      <c r="Y566" s="10">
        <v>5</v>
      </c>
      <c r="Z566" s="30"/>
      <c r="AA566" s="31"/>
      <c r="AB566" s="32"/>
      <c r="AC566" s="32"/>
      <c r="AD566" s="32"/>
      <c r="AE566" s="32">
        <f t="shared" si="164"/>
        <v>0</v>
      </c>
      <c r="AF566" s="12"/>
      <c r="AG566" s="12"/>
      <c r="AH566" s="12"/>
      <c r="AI566" s="12">
        <f t="shared" si="165"/>
        <v>0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68</v>
      </c>
      <c r="C567" s="91">
        <f t="shared" si="166"/>
        <v>7081</v>
      </c>
      <c r="D567" s="32">
        <f>5634+614+1788+426+416</f>
        <v>8878</v>
      </c>
      <c r="E567" s="32"/>
      <c r="F567" s="32"/>
      <c r="G567" s="32">
        <f t="shared" si="160"/>
        <v>8878</v>
      </c>
      <c r="H567" s="12"/>
      <c r="I567" s="12">
        <v>13</v>
      </c>
      <c r="J567" s="12"/>
      <c r="K567" s="12">
        <f t="shared" si="161"/>
        <v>8891</v>
      </c>
      <c r="M567" s="10">
        <v>6</v>
      </c>
      <c r="N567" s="30" t="s">
        <v>68</v>
      </c>
      <c r="O567" s="31">
        <f t="shared" si="167"/>
        <v>7164</v>
      </c>
      <c r="P567" s="32">
        <f>5008+1192+95</f>
        <v>6295</v>
      </c>
      <c r="Q567" s="32"/>
      <c r="R567" s="32"/>
      <c r="S567" s="32">
        <f t="shared" si="162"/>
        <v>6295</v>
      </c>
      <c r="T567" s="12"/>
      <c r="U567" s="12"/>
      <c r="V567" s="10"/>
      <c r="W567" s="12">
        <f t="shared" si="163"/>
        <v>6295</v>
      </c>
      <c r="Y567" s="10">
        <v>6</v>
      </c>
      <c r="Z567" s="30"/>
      <c r="AA567" s="31"/>
      <c r="AB567" s="32"/>
      <c r="AC567" s="32"/>
      <c r="AD567" s="32"/>
      <c r="AE567" s="32">
        <f t="shared" si="164"/>
        <v>0</v>
      </c>
      <c r="AF567" s="12"/>
      <c r="AG567" s="12"/>
      <c r="AH567" s="10"/>
      <c r="AI567" s="12">
        <f t="shared" si="165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68</v>
      </c>
      <c r="C568" s="91">
        <f t="shared" si="166"/>
        <v>7082</v>
      </c>
      <c r="D568" s="32">
        <f>1878+596+38</f>
        <v>2512</v>
      </c>
      <c r="E568" s="32"/>
      <c r="F568" s="32"/>
      <c r="G568" s="32">
        <f t="shared" si="160"/>
        <v>2512</v>
      </c>
      <c r="H568" s="12"/>
      <c r="I568" s="12"/>
      <c r="J568" s="12"/>
      <c r="K568" s="12">
        <f t="shared" si="161"/>
        <v>2512</v>
      </c>
      <c r="M568" s="10">
        <v>7</v>
      </c>
      <c r="N568" s="30" t="s">
        <v>68</v>
      </c>
      <c r="O568" s="31">
        <f t="shared" si="167"/>
        <v>7165</v>
      </c>
      <c r="P568" s="32">
        <f>1878+614+596+38</f>
        <v>3126</v>
      </c>
      <c r="Q568" s="32"/>
      <c r="R568" s="32"/>
      <c r="S568" s="32">
        <f t="shared" si="162"/>
        <v>3126</v>
      </c>
      <c r="T568" s="12"/>
      <c r="U568" s="12"/>
      <c r="V568" s="12"/>
      <c r="W568" s="12">
        <f t="shared" si="163"/>
        <v>3126</v>
      </c>
      <c r="Y568" s="10">
        <v>7</v>
      </c>
      <c r="Z568" s="30"/>
      <c r="AA568" s="31"/>
      <c r="AB568" s="32"/>
      <c r="AC568" s="32"/>
      <c r="AD568" s="32"/>
      <c r="AE568" s="32">
        <f t="shared" si="164"/>
        <v>0</v>
      </c>
      <c r="AF568" s="12"/>
      <c r="AG568" s="58"/>
      <c r="AH568" s="12"/>
      <c r="AI568" s="12">
        <f t="shared" si="165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68</v>
      </c>
      <c r="C569" s="91">
        <f t="shared" si="166"/>
        <v>7083</v>
      </c>
      <c r="D569" s="32">
        <f>1878+28.5</f>
        <v>1906.5</v>
      </c>
      <c r="E569" s="32"/>
      <c r="F569" s="32"/>
      <c r="G569" s="32">
        <f t="shared" si="160"/>
        <v>1906.5</v>
      </c>
      <c r="H569" s="12"/>
      <c r="I569" s="12"/>
      <c r="J569" s="12"/>
      <c r="K569" s="12">
        <f t="shared" si="161"/>
        <v>1906.5</v>
      </c>
      <c r="M569" s="10">
        <v>8</v>
      </c>
      <c r="N569" s="30" t="s">
        <v>68</v>
      </c>
      <c r="O569" s="31">
        <f t="shared" si="167"/>
        <v>7166</v>
      </c>
      <c r="P569" s="32">
        <f>19406+3684+1788+324</f>
        <v>25202</v>
      </c>
      <c r="Q569" s="32"/>
      <c r="R569" s="32"/>
      <c r="S569" s="32">
        <f t="shared" si="162"/>
        <v>25202</v>
      </c>
      <c r="T569" s="12"/>
      <c r="U569" s="12"/>
      <c r="V569" s="12"/>
      <c r="W569" s="12">
        <f t="shared" si="163"/>
        <v>25202</v>
      </c>
      <c r="Y569" s="10">
        <v>8</v>
      </c>
      <c r="Z569" s="30"/>
      <c r="AA569" s="31"/>
      <c r="AB569" s="32"/>
      <c r="AC569" s="32"/>
      <c r="AE569" s="32">
        <f t="shared" si="164"/>
        <v>0</v>
      </c>
      <c r="AF569" s="12"/>
      <c r="AG569" s="12"/>
      <c r="AH569" s="12"/>
      <c r="AI569" s="12">
        <f t="shared" si="165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68</v>
      </c>
      <c r="C570" s="91">
        <f t="shared" si="166"/>
        <v>7084</v>
      </c>
      <c r="D570" s="32">
        <f>626+614+9.5</f>
        <v>1249.5</v>
      </c>
      <c r="E570" s="32"/>
      <c r="F570" s="32"/>
      <c r="G570" s="32">
        <f t="shared" si="160"/>
        <v>1249.5</v>
      </c>
      <c r="H570" s="12"/>
      <c r="I570" s="12"/>
      <c r="J570" s="12"/>
      <c r="K570" s="12">
        <f t="shared" si="161"/>
        <v>1249.5</v>
      </c>
      <c r="M570" s="10">
        <v>9</v>
      </c>
      <c r="N570" s="30" t="s">
        <v>68</v>
      </c>
      <c r="O570" s="31">
        <f t="shared" si="167"/>
        <v>7167</v>
      </c>
      <c r="P570" s="32">
        <v>2733</v>
      </c>
      <c r="Q570" s="32"/>
      <c r="R570" s="32"/>
      <c r="S570" s="32">
        <f t="shared" si="162"/>
        <v>2733</v>
      </c>
      <c r="T570" s="12"/>
      <c r="U570" s="12"/>
      <c r="V570" s="12"/>
      <c r="W570" s="12">
        <f t="shared" si="163"/>
        <v>2733</v>
      </c>
      <c r="Y570" s="10">
        <v>9</v>
      </c>
      <c r="Z570" s="30"/>
      <c r="AA570" s="31"/>
      <c r="AB570" s="32"/>
      <c r="AC570" s="32"/>
      <c r="AD570" s="32"/>
      <c r="AE570" s="32">
        <f t="shared" si="164"/>
        <v>0</v>
      </c>
      <c r="AF570" s="12"/>
      <c r="AG570" s="58"/>
      <c r="AH570" s="12"/>
      <c r="AI570" s="12">
        <f t="shared" si="165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68</v>
      </c>
      <c r="C571" s="91">
        <f t="shared" si="166"/>
        <v>7085</v>
      </c>
      <c r="D571" s="32">
        <f>1878+28.5</f>
        <v>1906.5</v>
      </c>
      <c r="E571" s="32"/>
      <c r="F571" s="32"/>
      <c r="G571" s="32">
        <f t="shared" si="160"/>
        <v>1906.5</v>
      </c>
      <c r="H571" s="12"/>
      <c r="I571" s="12"/>
      <c r="J571" s="12"/>
      <c r="K571" s="12">
        <f t="shared" si="161"/>
        <v>1906.5</v>
      </c>
      <c r="M571" s="10">
        <v>10</v>
      </c>
      <c r="N571" s="30" t="s">
        <v>68</v>
      </c>
      <c r="O571" s="31">
        <f t="shared" si="167"/>
        <v>7168</v>
      </c>
      <c r="P571" s="32">
        <f>596+9.5</f>
        <v>605.5</v>
      </c>
      <c r="Q571" s="32"/>
      <c r="R571" s="32"/>
      <c r="S571" s="32">
        <f t="shared" si="162"/>
        <v>605.5</v>
      </c>
      <c r="T571" s="12"/>
      <c r="U571" s="12"/>
      <c r="V571" s="12"/>
      <c r="W571" s="12">
        <f t="shared" si="163"/>
        <v>605.5</v>
      </c>
      <c r="Y571" s="10">
        <v>10</v>
      </c>
      <c r="Z571" s="30"/>
      <c r="AA571" s="31"/>
      <c r="AB571" s="32"/>
      <c r="AC571" s="32"/>
      <c r="AD571" s="32"/>
      <c r="AE571" s="32">
        <f t="shared" si="164"/>
        <v>0</v>
      </c>
      <c r="AF571" s="12"/>
      <c r="AG571" s="12"/>
      <c r="AH571" s="12"/>
      <c r="AI571" s="12">
        <f t="shared" si="165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68</v>
      </c>
      <c r="C572" s="91">
        <f t="shared" si="166"/>
        <v>7086</v>
      </c>
      <c r="D572" s="32">
        <f>6260+1228+2980+500+832+650</f>
        <v>12450</v>
      </c>
      <c r="E572" s="32"/>
      <c r="F572" s="32"/>
      <c r="G572" s="32">
        <f t="shared" si="160"/>
        <v>12450</v>
      </c>
      <c r="H572" s="12"/>
      <c r="I572" s="12"/>
      <c r="J572" s="12"/>
      <c r="K572" s="12">
        <f t="shared" si="161"/>
        <v>12450</v>
      </c>
      <c r="M572" s="10">
        <v>11</v>
      </c>
      <c r="N572" s="30" t="s">
        <v>68</v>
      </c>
      <c r="O572" s="31">
        <f t="shared" si="167"/>
        <v>7169</v>
      </c>
      <c r="P572" s="32">
        <f>1252+19</f>
        <v>1271</v>
      </c>
      <c r="Q572" s="32"/>
      <c r="R572" s="32"/>
      <c r="S572" s="32">
        <f t="shared" si="162"/>
        <v>1271</v>
      </c>
      <c r="T572" s="12"/>
      <c r="U572" s="12"/>
      <c r="V572" s="12"/>
      <c r="W572" s="12">
        <f t="shared" si="163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64"/>
        <v>0</v>
      </c>
      <c r="AF572" s="12"/>
      <c r="AG572" s="12"/>
      <c r="AH572" s="12"/>
      <c r="AI572" s="12">
        <f t="shared" si="165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68</v>
      </c>
      <c r="C573" s="91">
        <f t="shared" si="166"/>
        <v>7087</v>
      </c>
      <c r="D573" s="32">
        <f>852+1005+832</f>
        <v>2689</v>
      </c>
      <c r="E573" s="32"/>
      <c r="F573" s="32"/>
      <c r="G573" s="32">
        <f t="shared" si="160"/>
        <v>2689</v>
      </c>
      <c r="H573" s="12"/>
      <c r="I573" s="12"/>
      <c r="J573" s="10"/>
      <c r="K573" s="12">
        <f t="shared" si="161"/>
        <v>2689</v>
      </c>
      <c r="M573" s="10">
        <v>12</v>
      </c>
      <c r="N573" s="30" t="s">
        <v>68</v>
      </c>
      <c r="O573" s="31">
        <f t="shared" si="167"/>
        <v>7170</v>
      </c>
      <c r="P573" s="32">
        <f>3130</f>
        <v>3130</v>
      </c>
      <c r="Q573" s="32"/>
      <c r="R573" s="32"/>
      <c r="S573" s="32">
        <f t="shared" si="162"/>
        <v>3130</v>
      </c>
      <c r="T573" s="12"/>
      <c r="U573" s="12"/>
      <c r="V573" s="12"/>
      <c r="W573" s="12">
        <f t="shared" si="163"/>
        <v>3130</v>
      </c>
      <c r="Y573" s="10">
        <v>12</v>
      </c>
      <c r="Z573" s="30"/>
      <c r="AA573" s="31"/>
      <c r="AB573" s="32"/>
      <c r="AC573" s="32"/>
      <c r="AD573" s="32"/>
      <c r="AE573" s="32">
        <f t="shared" si="164"/>
        <v>0</v>
      </c>
      <c r="AF573" s="12"/>
      <c r="AG573" s="12"/>
      <c r="AH573" s="12"/>
      <c r="AI573" s="12">
        <f t="shared" si="165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68</v>
      </c>
      <c r="C574" s="91">
        <f t="shared" si="166"/>
        <v>7088</v>
      </c>
      <c r="D574" s="32">
        <f>1228</f>
        <v>1228</v>
      </c>
      <c r="E574" s="32"/>
      <c r="F574" s="32"/>
      <c r="G574" s="32">
        <f t="shared" si="160"/>
        <v>1228</v>
      </c>
      <c r="H574" s="12"/>
      <c r="I574" s="12"/>
      <c r="J574" s="12"/>
      <c r="K574" s="12">
        <f t="shared" si="161"/>
        <v>1228</v>
      </c>
      <c r="M574" s="10">
        <v>13</v>
      </c>
      <c r="N574" s="30" t="s">
        <v>68</v>
      </c>
      <c r="O574" s="31">
        <f t="shared" si="167"/>
        <v>7171</v>
      </c>
      <c r="P574" s="32">
        <f>2504+38</f>
        <v>2542</v>
      </c>
      <c r="Q574" s="32"/>
      <c r="R574" s="32"/>
      <c r="S574" s="32">
        <f t="shared" si="162"/>
        <v>2542</v>
      </c>
      <c r="T574" s="12"/>
      <c r="U574" s="12"/>
      <c r="V574" s="12"/>
      <c r="W574" s="12">
        <f t="shared" si="163"/>
        <v>2542</v>
      </c>
      <c r="Y574" s="10">
        <v>13</v>
      </c>
      <c r="Z574" s="30"/>
      <c r="AA574" s="31"/>
      <c r="AB574" s="32"/>
      <c r="AC574" s="32"/>
      <c r="AD574" s="32"/>
      <c r="AE574" s="32">
        <f t="shared" si="164"/>
        <v>0</v>
      </c>
      <c r="AF574" s="12"/>
      <c r="AG574" s="12"/>
      <c r="AH574" s="12"/>
      <c r="AI574" s="12">
        <f t="shared" si="165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11" t="s">
        <v>27</v>
      </c>
      <c r="D575" s="32"/>
      <c r="E575" s="32"/>
      <c r="F575" s="32"/>
      <c r="G575" s="32">
        <f t="shared" si="160"/>
        <v>0</v>
      </c>
      <c r="H575" s="12"/>
      <c r="I575" s="12"/>
      <c r="J575" s="12"/>
      <c r="K575" s="12">
        <f t="shared" si="161"/>
        <v>0</v>
      </c>
      <c r="M575" s="10">
        <v>14</v>
      </c>
      <c r="N575" s="30" t="s">
        <v>68</v>
      </c>
      <c r="O575" s="31">
        <f t="shared" si="167"/>
        <v>7172</v>
      </c>
      <c r="P575" s="32">
        <f>1252+19</f>
        <v>1271</v>
      </c>
      <c r="Q575" s="32"/>
      <c r="R575" s="32"/>
      <c r="S575" s="32">
        <f t="shared" si="162"/>
        <v>1271</v>
      </c>
      <c r="T575" s="12"/>
      <c r="U575" s="12"/>
      <c r="V575" s="12"/>
      <c r="W575" s="12">
        <f t="shared" si="163"/>
        <v>1271</v>
      </c>
      <c r="Y575" s="10">
        <v>14</v>
      </c>
      <c r="Z575" s="30"/>
      <c r="AA575" s="31"/>
      <c r="AB575" s="32"/>
      <c r="AC575" s="32"/>
      <c r="AD575" s="32"/>
      <c r="AE575" s="32">
        <f t="shared" si="164"/>
        <v>0</v>
      </c>
      <c r="AF575" s="12"/>
      <c r="AG575" s="12"/>
      <c r="AH575" s="12"/>
      <c r="AI575" s="12">
        <f t="shared" si="165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0"/>
        <v>0</v>
      </c>
      <c r="H576" s="12"/>
      <c r="I576" s="12"/>
      <c r="J576" s="12"/>
      <c r="K576" s="12">
        <f t="shared" si="161"/>
        <v>0</v>
      </c>
      <c r="M576" s="10">
        <v>15</v>
      </c>
      <c r="N576" s="30" t="s">
        <v>68</v>
      </c>
      <c r="O576" s="31">
        <f t="shared" si="167"/>
        <v>7173</v>
      </c>
      <c r="P576" s="32">
        <f>1252</f>
        <v>1252</v>
      </c>
      <c r="Q576" s="32"/>
      <c r="R576" s="32"/>
      <c r="S576" s="32">
        <f t="shared" si="162"/>
        <v>1252</v>
      </c>
      <c r="T576" s="12"/>
      <c r="U576" s="12"/>
      <c r="V576" s="12"/>
      <c r="W576" s="12">
        <f t="shared" si="163"/>
        <v>1252</v>
      </c>
      <c r="Y576" s="10">
        <v>15</v>
      </c>
      <c r="Z576" s="30"/>
      <c r="AA576" s="31"/>
      <c r="AB576" s="32"/>
      <c r="AC576" s="32"/>
      <c r="AD576" s="32"/>
      <c r="AE576" s="32">
        <f t="shared" si="164"/>
        <v>0</v>
      </c>
      <c r="AF576" s="12"/>
      <c r="AG576" s="12"/>
      <c r="AH576" s="12"/>
      <c r="AI576" s="12">
        <f t="shared" si="165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91"/>
      <c r="D577" s="32"/>
      <c r="E577" s="32"/>
      <c r="F577" s="32"/>
      <c r="G577" s="32">
        <f t="shared" si="160"/>
        <v>0</v>
      </c>
      <c r="H577" s="12"/>
      <c r="I577" s="12"/>
      <c r="J577" s="12"/>
      <c r="K577" s="12">
        <f t="shared" si="161"/>
        <v>0</v>
      </c>
      <c r="M577" s="10">
        <v>16</v>
      </c>
      <c r="N577" s="30" t="s">
        <v>68</v>
      </c>
      <c r="O577" s="31">
        <f t="shared" si="167"/>
        <v>7174</v>
      </c>
      <c r="P577" s="32">
        <f>626+9.5</f>
        <v>635.5</v>
      </c>
      <c r="Q577" s="32"/>
      <c r="R577" s="32"/>
      <c r="S577" s="32">
        <f t="shared" si="162"/>
        <v>635.5</v>
      </c>
      <c r="T577" s="12"/>
      <c r="U577" s="12"/>
      <c r="V577" s="12"/>
      <c r="W577" s="12">
        <f t="shared" si="163"/>
        <v>635.5</v>
      </c>
      <c r="Y577" s="10">
        <v>16</v>
      </c>
      <c r="Z577" s="30"/>
      <c r="AB577" s="32"/>
      <c r="AC577" s="32"/>
      <c r="AD577" s="32"/>
      <c r="AE577" s="32">
        <f t="shared" si="164"/>
        <v>0</v>
      </c>
      <c r="AF577" s="12"/>
      <c r="AG577" s="12"/>
      <c r="AH577" s="12"/>
      <c r="AI577" s="12">
        <f t="shared" si="165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0"/>
        <v>0</v>
      </c>
      <c r="H578" s="12"/>
      <c r="I578" s="12"/>
      <c r="J578" s="12"/>
      <c r="K578" s="12">
        <f t="shared" si="161"/>
        <v>0</v>
      </c>
      <c r="M578" s="10">
        <v>17</v>
      </c>
      <c r="N578" s="30" t="s">
        <v>68</v>
      </c>
      <c r="O578" s="31">
        <f t="shared" si="167"/>
        <v>7175</v>
      </c>
      <c r="P578" s="35">
        <f>2504+614+38</f>
        <v>3156</v>
      </c>
      <c r="Q578" s="32"/>
      <c r="R578" s="32"/>
      <c r="S578" s="32">
        <f t="shared" si="162"/>
        <v>3156</v>
      </c>
      <c r="T578" s="12"/>
      <c r="U578" s="12">
        <v>54</v>
      </c>
      <c r="V578" s="12"/>
      <c r="W578" s="12">
        <f t="shared" si="163"/>
        <v>3210</v>
      </c>
      <c r="Y578" s="10">
        <v>17</v>
      </c>
      <c r="Z578" s="30"/>
      <c r="AA578" s="31"/>
      <c r="AB578" s="35"/>
      <c r="AC578" s="32"/>
      <c r="AD578" s="32"/>
      <c r="AE578" s="32">
        <f t="shared" si="164"/>
        <v>0</v>
      </c>
      <c r="AF578" s="12"/>
      <c r="AG578" s="12"/>
      <c r="AH578" s="12"/>
      <c r="AI578" s="12">
        <f t="shared" si="165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91"/>
      <c r="D579" s="32"/>
      <c r="E579" s="32"/>
      <c r="F579" s="32"/>
      <c r="G579" s="32">
        <f t="shared" si="160"/>
        <v>0</v>
      </c>
      <c r="H579" s="12"/>
      <c r="I579" s="12"/>
      <c r="J579" s="12"/>
      <c r="K579" s="12">
        <f t="shared" si="161"/>
        <v>0</v>
      </c>
      <c r="M579" s="10">
        <v>18</v>
      </c>
      <c r="N579" s="30" t="s">
        <v>68</v>
      </c>
      <c r="O579" s="31">
        <f t="shared" si="167"/>
        <v>7176</v>
      </c>
      <c r="P579" s="32">
        <f>12520</f>
        <v>12520</v>
      </c>
      <c r="Q579" s="32"/>
      <c r="R579" s="32"/>
      <c r="S579" s="32">
        <f t="shared" si="162"/>
        <v>12520</v>
      </c>
      <c r="T579" s="12"/>
      <c r="U579" s="12"/>
      <c r="V579" s="12"/>
      <c r="W579" s="12">
        <f t="shared" si="163"/>
        <v>12520</v>
      </c>
      <c r="Y579" s="10">
        <v>18</v>
      </c>
      <c r="Z579" s="30"/>
      <c r="AA579" s="31"/>
      <c r="AB579" s="32"/>
      <c r="AC579" s="32"/>
      <c r="AD579" s="32"/>
      <c r="AE579" s="32">
        <f t="shared" si="164"/>
        <v>0</v>
      </c>
      <c r="AF579" s="12"/>
      <c r="AG579" s="12"/>
      <c r="AH579" s="12"/>
      <c r="AI579" s="12">
        <f t="shared" si="165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D580" s="32"/>
      <c r="E580" s="32"/>
      <c r="F580" s="32"/>
      <c r="G580" s="32">
        <f t="shared" si="160"/>
        <v>0</v>
      </c>
      <c r="H580" s="12"/>
      <c r="I580" s="12"/>
      <c r="J580" s="12"/>
      <c r="K580" s="12">
        <f t="shared" si="161"/>
        <v>0</v>
      </c>
      <c r="M580" s="10">
        <v>19</v>
      </c>
      <c r="N580" s="30" t="s">
        <v>68</v>
      </c>
      <c r="O580" s="31">
        <f t="shared" si="167"/>
        <v>7177</v>
      </c>
      <c r="P580" s="32">
        <f>6886</f>
        <v>6886</v>
      </c>
      <c r="Q580" s="32"/>
      <c r="R580" s="32"/>
      <c r="S580" s="32">
        <f t="shared" si="162"/>
        <v>6886</v>
      </c>
      <c r="T580" s="12"/>
      <c r="U580" s="12"/>
      <c r="V580" s="12">
        <v>-555</v>
      </c>
      <c r="W580" s="12">
        <f t="shared" si="163"/>
        <v>6331</v>
      </c>
      <c r="Y580" s="10">
        <v>19</v>
      </c>
      <c r="Z580" s="30"/>
      <c r="AA580" s="31"/>
      <c r="AB580" s="32"/>
      <c r="AC580" s="32"/>
      <c r="AD580" s="32"/>
      <c r="AE580" s="32">
        <f t="shared" si="164"/>
        <v>0</v>
      </c>
      <c r="AF580" s="12"/>
      <c r="AG580" s="12"/>
      <c r="AH580" s="12"/>
      <c r="AI580" s="12">
        <f t="shared" si="165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0"/>
        <v>0</v>
      </c>
      <c r="H581" s="12"/>
      <c r="I581" s="12"/>
      <c r="J581" s="12"/>
      <c r="K581" s="12">
        <f t="shared" si="161"/>
        <v>0</v>
      </c>
      <c r="M581" s="10">
        <v>20</v>
      </c>
      <c r="N581" s="30" t="s">
        <v>68</v>
      </c>
      <c r="O581" s="31">
        <f t="shared" si="167"/>
        <v>7178</v>
      </c>
      <c r="P581" s="32">
        <f>626+614+596+19</f>
        <v>1855</v>
      </c>
      <c r="Q581" s="32"/>
      <c r="R581" s="32"/>
      <c r="S581" s="32">
        <f t="shared" si="162"/>
        <v>1855</v>
      </c>
      <c r="T581" s="12"/>
      <c r="U581" s="12"/>
      <c r="V581" s="12"/>
      <c r="W581" s="12">
        <f t="shared" si="163"/>
        <v>1855</v>
      </c>
      <c r="Y581" s="10">
        <v>20</v>
      </c>
      <c r="Z581" s="30"/>
      <c r="AA581" s="31"/>
      <c r="AB581" s="32"/>
      <c r="AC581" s="32"/>
      <c r="AD581" s="32"/>
      <c r="AE581" s="32">
        <f t="shared" si="164"/>
        <v>0</v>
      </c>
      <c r="AF581" s="12"/>
      <c r="AG581" s="12"/>
      <c r="AH581" s="12"/>
      <c r="AI581" s="12">
        <f t="shared" si="165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D582" s="32"/>
      <c r="E582" s="32"/>
      <c r="F582" s="32"/>
      <c r="G582" s="32">
        <f t="shared" si="160"/>
        <v>0</v>
      </c>
      <c r="H582" s="10"/>
      <c r="I582" s="10"/>
      <c r="J582" s="10"/>
      <c r="K582" s="12">
        <f t="shared" si="161"/>
        <v>0</v>
      </c>
      <c r="M582" s="10">
        <v>21</v>
      </c>
      <c r="N582" s="30" t="s">
        <v>68</v>
      </c>
      <c r="O582" s="31">
        <f t="shared" si="167"/>
        <v>7179</v>
      </c>
      <c r="P582" s="46">
        <f>626</f>
        <v>626</v>
      </c>
      <c r="Q582" s="31"/>
      <c r="R582" s="31"/>
      <c r="S582" s="32">
        <f t="shared" si="162"/>
        <v>626</v>
      </c>
      <c r="T582" s="10"/>
      <c r="U582" s="10"/>
      <c r="V582" s="10"/>
      <c r="W582" s="12">
        <f t="shared" si="163"/>
        <v>626</v>
      </c>
      <c r="Y582" s="10">
        <v>21</v>
      </c>
      <c r="Z582" s="30"/>
      <c r="AB582" s="46"/>
      <c r="AC582" s="31"/>
      <c r="AD582" s="31"/>
      <c r="AE582" s="32">
        <f t="shared" si="164"/>
        <v>0</v>
      </c>
      <c r="AF582" s="10"/>
      <c r="AG582" s="10"/>
      <c r="AH582" s="10"/>
      <c r="AI582" s="12">
        <f t="shared" si="165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0"/>
        <v>0</v>
      </c>
      <c r="H583" s="10"/>
      <c r="I583" s="10"/>
      <c r="J583" s="10"/>
      <c r="K583" s="12">
        <f t="shared" si="161"/>
        <v>0</v>
      </c>
      <c r="M583" s="10">
        <v>22</v>
      </c>
      <c r="N583" s="30"/>
      <c r="O583" s="11" t="s">
        <v>27</v>
      </c>
      <c r="P583" s="45"/>
      <c r="Q583" s="31"/>
      <c r="R583" s="31"/>
      <c r="S583" s="32">
        <f t="shared" si="162"/>
        <v>0</v>
      </c>
      <c r="T583" s="10"/>
      <c r="U583" s="10"/>
      <c r="V583" s="10"/>
      <c r="W583" s="12">
        <f t="shared" si="163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4"/>
        <v>0</v>
      </c>
      <c r="AF583" s="10"/>
      <c r="AG583" s="10"/>
      <c r="AH583" s="10"/>
      <c r="AI583" s="12">
        <f t="shared" si="165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0"/>
        <v>0</v>
      </c>
      <c r="H584" s="10"/>
      <c r="I584" s="10"/>
      <c r="J584" s="12"/>
      <c r="K584" s="12">
        <f t="shared" si="161"/>
        <v>0</v>
      </c>
      <c r="M584" s="10">
        <v>23</v>
      </c>
      <c r="N584" s="30"/>
      <c r="O584" s="31"/>
      <c r="P584" s="47"/>
      <c r="Q584" s="31"/>
      <c r="S584" s="32">
        <f t="shared" si="162"/>
        <v>0</v>
      </c>
      <c r="T584" s="10"/>
      <c r="U584" s="10"/>
      <c r="V584" s="10"/>
      <c r="W584" s="12">
        <f t="shared" si="163"/>
        <v>0</v>
      </c>
      <c r="Y584" s="10">
        <v>23</v>
      </c>
      <c r="Z584" s="30"/>
      <c r="AA584" s="31"/>
      <c r="AB584" s="47"/>
      <c r="AC584" s="31"/>
      <c r="AE584" s="32">
        <f t="shared" si="164"/>
        <v>0</v>
      </c>
      <c r="AF584" s="10"/>
      <c r="AG584" s="10"/>
      <c r="AH584" s="10"/>
      <c r="AI584" s="12">
        <f t="shared" si="165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91"/>
      <c r="D585" s="32"/>
      <c r="E585" s="32"/>
      <c r="F585" s="32"/>
      <c r="G585" s="32">
        <f t="shared" si="160"/>
        <v>0</v>
      </c>
      <c r="H585" s="10"/>
      <c r="I585" s="10"/>
      <c r="J585" s="10"/>
      <c r="K585" s="12">
        <f t="shared" si="161"/>
        <v>0</v>
      </c>
      <c r="M585" s="10">
        <v>24</v>
      </c>
      <c r="N585" s="30"/>
      <c r="O585" s="31"/>
      <c r="P585" s="47"/>
      <c r="Q585" s="31"/>
      <c r="R585" s="31"/>
      <c r="S585" s="32">
        <f t="shared" si="162"/>
        <v>0</v>
      </c>
      <c r="T585" s="10"/>
      <c r="U585" s="10"/>
      <c r="V585" s="10"/>
      <c r="W585" s="12">
        <f t="shared" si="163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4"/>
        <v>0</v>
      </c>
      <c r="AF585" s="10"/>
      <c r="AG585" s="10"/>
      <c r="AH585" s="10"/>
      <c r="AI585" s="12">
        <f t="shared" si="165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91"/>
      <c r="D586" s="32"/>
      <c r="E586" s="32"/>
      <c r="F586" s="32"/>
      <c r="G586" s="32">
        <f t="shared" si="160"/>
        <v>0</v>
      </c>
      <c r="H586" s="10"/>
      <c r="I586" s="10"/>
      <c r="J586" s="10"/>
      <c r="K586" s="12">
        <f t="shared" si="161"/>
        <v>0</v>
      </c>
      <c r="M586" s="10">
        <v>25</v>
      </c>
      <c r="N586" s="30"/>
      <c r="O586" s="31"/>
      <c r="P586" s="47"/>
      <c r="Q586" s="31"/>
      <c r="R586" s="31"/>
      <c r="S586" s="32">
        <f t="shared" si="162"/>
        <v>0</v>
      </c>
      <c r="T586" s="10"/>
      <c r="U586" s="10"/>
      <c r="V586" s="10"/>
      <c r="W586" s="12">
        <f t="shared" si="163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64"/>
        <v>0</v>
      </c>
      <c r="AF586" s="10"/>
      <c r="AG586" s="10"/>
      <c r="AH586" s="10"/>
      <c r="AI586" s="12">
        <f t="shared" si="165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91"/>
      <c r="D587" s="32"/>
      <c r="E587" s="32"/>
      <c r="F587" s="32"/>
      <c r="G587" s="32">
        <f t="shared" si="160"/>
        <v>0</v>
      </c>
      <c r="H587" s="10"/>
      <c r="I587" s="10"/>
      <c r="J587" s="10"/>
      <c r="K587" s="12">
        <f t="shared" si="161"/>
        <v>0</v>
      </c>
      <c r="M587" s="10">
        <v>26</v>
      </c>
      <c r="N587" s="30"/>
      <c r="O587" s="31"/>
      <c r="P587" s="47"/>
      <c r="Q587" s="31"/>
      <c r="R587" s="31"/>
      <c r="S587" s="32">
        <f t="shared" si="162"/>
        <v>0</v>
      </c>
      <c r="T587" s="10"/>
      <c r="U587" s="10"/>
      <c r="V587" s="10"/>
      <c r="W587" s="12">
        <f t="shared" si="163"/>
        <v>0</v>
      </c>
      <c r="Y587" s="10">
        <v>26</v>
      </c>
      <c r="Z587" s="30"/>
      <c r="AB587" s="47"/>
      <c r="AC587" s="31"/>
      <c r="AD587" s="31"/>
      <c r="AE587" s="32">
        <f t="shared" si="164"/>
        <v>0</v>
      </c>
      <c r="AF587" s="10"/>
      <c r="AG587" s="10"/>
      <c r="AH587" s="10"/>
      <c r="AI587" s="12">
        <f t="shared" si="165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91"/>
      <c r="D588" s="32"/>
      <c r="E588" s="32"/>
      <c r="F588" s="32"/>
      <c r="G588" s="32">
        <f t="shared" si="160"/>
        <v>0</v>
      </c>
      <c r="H588" s="10"/>
      <c r="I588" s="10"/>
      <c r="J588" s="10"/>
      <c r="K588" s="12">
        <f t="shared" si="161"/>
        <v>0</v>
      </c>
      <c r="M588" s="10">
        <v>27</v>
      </c>
      <c r="N588" s="30"/>
      <c r="O588" s="31"/>
      <c r="P588" s="47"/>
      <c r="Q588" s="31"/>
      <c r="R588" s="31"/>
      <c r="S588" s="32">
        <f t="shared" si="162"/>
        <v>0</v>
      </c>
      <c r="T588" s="10"/>
      <c r="U588" s="10"/>
      <c r="V588" s="10"/>
      <c r="W588" s="12">
        <f t="shared" si="163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4"/>
        <v>0</v>
      </c>
      <c r="AF588" s="10"/>
      <c r="AG588" s="10"/>
      <c r="AH588" s="10"/>
      <c r="AI588" s="12">
        <f t="shared" si="165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91"/>
      <c r="D589" s="32"/>
      <c r="E589" s="32"/>
      <c r="F589" s="32"/>
      <c r="G589" s="32">
        <f t="shared" si="160"/>
        <v>0</v>
      </c>
      <c r="H589" s="10"/>
      <c r="I589" s="10"/>
      <c r="J589" s="10"/>
      <c r="K589" s="12">
        <f t="shared" si="161"/>
        <v>0</v>
      </c>
      <c r="M589" s="10">
        <v>28</v>
      </c>
      <c r="N589" s="30"/>
      <c r="O589" s="31"/>
      <c r="P589" s="47"/>
      <c r="Q589" s="31"/>
      <c r="R589" s="31"/>
      <c r="S589" s="32">
        <f t="shared" si="162"/>
        <v>0</v>
      </c>
      <c r="T589" s="10"/>
      <c r="U589" s="10"/>
      <c r="V589" s="10"/>
      <c r="W589" s="12">
        <f t="shared" si="163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4"/>
        <v>0</v>
      </c>
      <c r="AF589" s="10"/>
      <c r="AG589" s="10"/>
      <c r="AH589" s="10"/>
      <c r="AI589" s="12">
        <f t="shared" si="165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91"/>
      <c r="D590" s="32"/>
      <c r="E590" s="32"/>
      <c r="F590" s="32"/>
      <c r="G590" s="32">
        <f t="shared" si="160"/>
        <v>0</v>
      </c>
      <c r="H590" s="10"/>
      <c r="I590" s="10"/>
      <c r="J590" s="10"/>
      <c r="K590" s="12">
        <f t="shared" si="161"/>
        <v>0</v>
      </c>
      <c r="M590" s="10">
        <v>29</v>
      </c>
      <c r="N590" s="30"/>
      <c r="O590" s="31"/>
      <c r="P590" s="47"/>
      <c r="Q590" s="31"/>
      <c r="R590" s="31"/>
      <c r="S590" s="32">
        <f t="shared" si="162"/>
        <v>0</v>
      </c>
      <c r="T590" s="10"/>
      <c r="U590" s="10"/>
      <c r="V590" s="10"/>
      <c r="W590" s="12">
        <f t="shared" si="163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4"/>
        <v>0</v>
      </c>
      <c r="AF590" s="10"/>
      <c r="AG590" s="10"/>
      <c r="AH590" s="10"/>
      <c r="AI590" s="12">
        <f t="shared" si="165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0"/>
        <v>0</v>
      </c>
      <c r="H591" s="10"/>
      <c r="I591" s="10"/>
      <c r="J591" s="10"/>
      <c r="K591" s="12">
        <f t="shared" si="161"/>
        <v>0</v>
      </c>
      <c r="M591" s="10">
        <v>30</v>
      </c>
      <c r="N591" s="30"/>
      <c r="P591" s="47"/>
      <c r="Q591" s="31"/>
      <c r="R591" s="31"/>
      <c r="S591" s="32">
        <f t="shared" si="162"/>
        <v>0</v>
      </c>
      <c r="T591" s="10"/>
      <c r="U591" s="10"/>
      <c r="V591" s="10"/>
      <c r="W591" s="12">
        <f t="shared" si="163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4"/>
        <v>0</v>
      </c>
      <c r="AF591" s="10"/>
      <c r="AG591" s="10"/>
      <c r="AH591" s="10"/>
      <c r="AI591" s="12">
        <f t="shared" si="165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91"/>
      <c r="D592" s="32"/>
      <c r="E592" s="32"/>
      <c r="F592" s="32"/>
      <c r="G592" s="32">
        <f t="shared" si="160"/>
        <v>0</v>
      </c>
      <c r="H592" s="10"/>
      <c r="I592" s="10"/>
      <c r="J592" s="10"/>
      <c r="K592" s="12">
        <f t="shared" si="161"/>
        <v>0</v>
      </c>
      <c r="M592" s="10">
        <v>31</v>
      </c>
      <c r="N592" s="30"/>
      <c r="O592" s="31"/>
      <c r="P592" s="47"/>
      <c r="Q592" s="31"/>
      <c r="R592" s="31"/>
      <c r="S592" s="32">
        <f t="shared" si="162"/>
        <v>0</v>
      </c>
      <c r="T592" s="10"/>
      <c r="U592" s="10"/>
      <c r="V592" s="10"/>
      <c r="W592" s="12">
        <f t="shared" si="163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4"/>
        <v>0</v>
      </c>
      <c r="AF592" s="10"/>
      <c r="AG592" s="10"/>
      <c r="AH592" s="10"/>
      <c r="AI592" s="12">
        <f t="shared" si="165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91"/>
      <c r="D593" s="32"/>
      <c r="E593" s="32"/>
      <c r="F593" s="32"/>
      <c r="G593" s="32">
        <f t="shared" si="160"/>
        <v>0</v>
      </c>
      <c r="H593" s="10"/>
      <c r="I593" s="10"/>
      <c r="J593" s="10"/>
      <c r="K593" s="12">
        <f t="shared" si="161"/>
        <v>0</v>
      </c>
      <c r="M593" s="10">
        <v>32</v>
      </c>
      <c r="N593" s="30"/>
      <c r="O593" s="31"/>
      <c r="P593" s="47"/>
      <c r="Q593" s="31"/>
      <c r="R593" s="31"/>
      <c r="S593" s="32">
        <f t="shared" si="162"/>
        <v>0</v>
      </c>
      <c r="T593" s="10"/>
      <c r="U593" s="10"/>
      <c r="V593" s="10"/>
      <c r="W593" s="12">
        <f t="shared" si="163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4"/>
        <v>0</v>
      </c>
      <c r="AF593" s="10"/>
      <c r="AG593" s="10"/>
      <c r="AH593" s="10"/>
      <c r="AI593" s="12">
        <f t="shared" si="165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91"/>
      <c r="D594" s="32"/>
      <c r="E594" s="32"/>
      <c r="F594" s="32"/>
      <c r="G594" s="32">
        <f t="shared" si="160"/>
        <v>0</v>
      </c>
      <c r="H594" s="10"/>
      <c r="I594" s="10"/>
      <c r="J594" s="10"/>
      <c r="K594" s="12">
        <f t="shared" si="161"/>
        <v>0</v>
      </c>
      <c r="M594" s="10">
        <v>33</v>
      </c>
      <c r="N594" s="30"/>
      <c r="O594" s="31"/>
      <c r="P594" s="47"/>
      <c r="Q594" s="31"/>
      <c r="R594" s="31"/>
      <c r="S594" s="32">
        <f t="shared" si="162"/>
        <v>0</v>
      </c>
      <c r="T594" s="10"/>
      <c r="U594" s="10"/>
      <c r="V594" s="10"/>
      <c r="W594" s="12">
        <f t="shared" si="163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4"/>
        <v>0</v>
      </c>
      <c r="AF594" s="10"/>
      <c r="AG594" s="10"/>
      <c r="AH594" s="10"/>
      <c r="AI594" s="12">
        <f t="shared" si="165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91"/>
      <c r="D595" s="32"/>
      <c r="E595" s="32"/>
      <c r="F595" s="32"/>
      <c r="G595" s="32">
        <f t="shared" si="160"/>
        <v>0</v>
      </c>
      <c r="H595" s="10"/>
      <c r="I595" s="10"/>
      <c r="J595" s="10"/>
      <c r="K595" s="12">
        <f t="shared" si="161"/>
        <v>0</v>
      </c>
      <c r="M595" s="10">
        <v>34</v>
      </c>
      <c r="N595" s="30"/>
      <c r="P595" s="47"/>
      <c r="Q595" s="31"/>
      <c r="R595" s="31"/>
      <c r="S595" s="32">
        <f t="shared" ref="S595:S600" si="169">SUM(P595:Q595)</f>
        <v>0</v>
      </c>
      <c r="T595" s="10"/>
      <c r="U595" s="10"/>
      <c r="V595" s="10"/>
      <c r="W595" s="12">
        <f t="shared" si="163"/>
        <v>0</v>
      </c>
      <c r="Y595" s="10">
        <v>34</v>
      </c>
      <c r="Z595" s="30"/>
      <c r="AB595" s="47"/>
      <c r="AC595" s="31"/>
      <c r="AD595" s="31"/>
      <c r="AE595" s="32">
        <f t="shared" si="164"/>
        <v>0</v>
      </c>
      <c r="AF595" s="10"/>
      <c r="AG595" s="10"/>
      <c r="AH595" s="10"/>
      <c r="AI595" s="12">
        <f t="shared" si="165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69"/>
        <v>0</v>
      </c>
      <c r="T596" s="10"/>
      <c r="U596" s="10"/>
      <c r="V596" s="10"/>
      <c r="W596" s="12">
        <f t="shared" si="163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4"/>
        <v>0</v>
      </c>
      <c r="AF596" s="10"/>
      <c r="AG596" s="10"/>
      <c r="AH596" s="10"/>
      <c r="AI596" s="12">
        <f t="shared" si="165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9"/>
        <v>0</v>
      </c>
      <c r="T597" s="10"/>
      <c r="U597" s="10"/>
      <c r="V597" s="10"/>
      <c r="W597" s="12">
        <f t="shared" si="163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4"/>
        <v>0</v>
      </c>
      <c r="AF597" s="10"/>
      <c r="AG597" s="10"/>
      <c r="AH597" s="10"/>
      <c r="AI597" s="12">
        <f t="shared" si="165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69"/>
        <v>0</v>
      </c>
      <c r="T598" s="10"/>
      <c r="U598" s="10"/>
      <c r="V598" s="10"/>
      <c r="W598" s="12">
        <f t="shared" si="163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4"/>
        <v>0</v>
      </c>
      <c r="AF598" s="10"/>
      <c r="AG598" s="10"/>
      <c r="AH598" s="10"/>
      <c r="AI598" s="12">
        <f t="shared" si="165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9"/>
        <v>0</v>
      </c>
      <c r="T599" s="10"/>
      <c r="U599" s="10"/>
      <c r="V599" s="10"/>
      <c r="W599" s="12">
        <f t="shared" si="163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4"/>
        <v>0</v>
      </c>
      <c r="AF599" s="10"/>
      <c r="AG599" s="10"/>
      <c r="AH599" s="10"/>
      <c r="AI599" s="12">
        <f t="shared" si="165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9"/>
        <v>0</v>
      </c>
      <c r="T600" s="10"/>
      <c r="U600" s="10"/>
      <c r="V600" s="10"/>
      <c r="W600" s="12">
        <f t="shared" si="163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4"/>
        <v>0</v>
      </c>
      <c r="AF600" s="10"/>
      <c r="AG600" s="10"/>
      <c r="AH600" s="10"/>
      <c r="AI600" s="12">
        <f t="shared" si="165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3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5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3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5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3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5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94871.5</v>
      </c>
      <c r="E605" s="38">
        <f t="shared" ref="E605:F605" si="174">SUM(E562:E602)</f>
        <v>0</v>
      </c>
      <c r="F605" s="38">
        <f t="shared" si="174"/>
        <v>0</v>
      </c>
      <c r="G605" s="38">
        <f>SUM(G562:G604)</f>
        <v>94871.5</v>
      </c>
      <c r="H605" s="4"/>
      <c r="I605" s="39">
        <f>SUM(I562:I604)</f>
        <v>196</v>
      </c>
      <c r="J605" s="39">
        <f>SUM(J562:J604)</f>
        <v>0</v>
      </c>
      <c r="K605" s="40">
        <f>SUM(K562:K604)</f>
        <v>95067.5</v>
      </c>
      <c r="N605" s="57"/>
      <c r="O605" s="57"/>
      <c r="P605" s="38">
        <f>SUM(P562:P604)</f>
        <v>128321.5</v>
      </c>
      <c r="Q605" s="38">
        <f>SUM(Q562:Q586)</f>
        <v>-664</v>
      </c>
      <c r="R605" s="38">
        <f>SUM(R562:R586)</f>
        <v>0</v>
      </c>
      <c r="S605" s="38">
        <f>SUM(S562:S604)</f>
        <v>127657.5</v>
      </c>
      <c r="T605" s="4"/>
      <c r="U605" s="41">
        <f>SUM(U562:U604)</f>
        <v>195</v>
      </c>
      <c r="V605" s="41">
        <f>SUM(V562:V586)</f>
        <v>-555</v>
      </c>
      <c r="W605" s="42">
        <f>SUM(W562:W604)</f>
        <v>127297.5</v>
      </c>
      <c r="Z605" s="57"/>
      <c r="AA605" s="57"/>
      <c r="AB605" s="38">
        <f>SUM(AB562:AB604)</f>
        <v>314368</v>
      </c>
      <c r="AC605" s="38">
        <f>SUM(AC562:AC586)</f>
        <v>-3102</v>
      </c>
      <c r="AD605" s="38">
        <f>SUM(AD562:AD586)</f>
        <v>0</v>
      </c>
      <c r="AE605" s="38">
        <f>SUM(AE562:AE604)</f>
        <v>311266</v>
      </c>
      <c r="AF605" s="4"/>
      <c r="AG605" s="41">
        <f>SUM(AG562:AG604)</f>
        <v>17118</v>
      </c>
      <c r="AH605" s="41">
        <f>SUM(AH562:AH586)</f>
        <v>-2220</v>
      </c>
      <c r="AI605" s="42">
        <f>SUM(AI562:AI604)</f>
        <v>326164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9"/>
      <c r="O607" s="89"/>
      <c r="P607" s="89"/>
      <c r="Q607" s="89"/>
      <c r="R607" s="89"/>
      <c r="S607" s="89"/>
      <c r="T607" s="62"/>
      <c r="U607" s="62"/>
      <c r="V607" s="62"/>
      <c r="W607" s="62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s="62"/>
      <c r="N608" s="89"/>
      <c r="O608" s="89"/>
      <c r="P608" s="89"/>
      <c r="Q608" s="89"/>
      <c r="R608" s="89"/>
      <c r="S608" s="89"/>
      <c r="T608" s="62"/>
      <c r="U608" s="62"/>
      <c r="V608" s="62"/>
      <c r="W608" s="62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9"/>
      <c r="O609" s="89"/>
      <c r="P609" s="89"/>
      <c r="Q609" s="89"/>
      <c r="R609" s="89"/>
      <c r="S609" s="89"/>
      <c r="T609" s="62"/>
      <c r="U609" s="62"/>
      <c r="V609" s="62"/>
      <c r="W609" s="62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63"/>
      <c r="N610" s="89"/>
      <c r="O610" s="89"/>
      <c r="P610" s="89"/>
      <c r="Q610" s="89"/>
      <c r="R610" s="89"/>
      <c r="S610" s="89"/>
      <c r="T610" s="62"/>
      <c r="U610" s="62"/>
      <c r="V610" s="62"/>
      <c r="W610" s="62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9"/>
      <c r="O611" s="89"/>
      <c r="P611" s="89"/>
      <c r="Q611" s="89"/>
      <c r="R611" s="89"/>
      <c r="S611" s="89"/>
      <c r="T611" s="62"/>
      <c r="U611" s="62"/>
      <c r="V611" s="62"/>
      <c r="W611" s="62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34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s="62"/>
      <c r="N612" s="89"/>
      <c r="O612" s="89"/>
      <c r="P612" s="89"/>
      <c r="Q612" s="89"/>
      <c r="R612" s="89"/>
      <c r="S612" s="89"/>
      <c r="T612" s="62"/>
      <c r="U612" s="89"/>
      <c r="V612" s="74"/>
      <c r="W612" s="62"/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19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70</v>
      </c>
      <c r="B613" s="20"/>
      <c r="C613" s="57"/>
      <c r="D613" s="57"/>
      <c r="E613" s="57"/>
      <c r="G613" s="57"/>
      <c r="I613" s="22" t="s">
        <v>16</v>
      </c>
      <c r="J613" s="23" t="s">
        <v>72</v>
      </c>
      <c r="K613" s="24"/>
      <c r="M613" s="64"/>
      <c r="N613" s="89"/>
      <c r="O613" s="89"/>
      <c r="P613" s="89"/>
      <c r="Q613" s="89"/>
      <c r="R613" s="89"/>
      <c r="S613" s="89"/>
      <c r="T613" s="62"/>
      <c r="U613" s="65"/>
      <c r="V613" s="65"/>
      <c r="W613" s="62"/>
      <c r="Y613" s="21" t="s">
        <v>70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9"/>
      <c r="O614" s="89"/>
      <c r="P614" s="89"/>
      <c r="Q614" s="89"/>
      <c r="R614" s="89"/>
      <c r="S614" s="89"/>
      <c r="T614" s="62"/>
      <c r="U614" s="62"/>
      <c r="V614" s="62"/>
      <c r="W614" s="62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1" t="s">
        <v>17</v>
      </c>
      <c r="E615" s="111"/>
      <c r="F615" s="102"/>
      <c r="G615" s="27"/>
      <c r="I615" s="114" t="s">
        <v>18</v>
      </c>
      <c r="J615" s="115"/>
      <c r="K615" s="112" t="s">
        <v>19</v>
      </c>
      <c r="M615" s="62"/>
      <c r="N615" s="65"/>
      <c r="O615" s="89"/>
      <c r="P615" s="110"/>
      <c r="Q615" s="110"/>
      <c r="R615" s="89"/>
      <c r="S615" s="89"/>
      <c r="T615" s="62"/>
      <c r="U615" s="110"/>
      <c r="V615" s="110"/>
      <c r="W615" s="109"/>
      <c r="Z615" s="25"/>
      <c r="AA615" s="26"/>
      <c r="AB615" s="111" t="s">
        <v>17</v>
      </c>
      <c r="AC615" s="111"/>
      <c r="AD615" s="102"/>
      <c r="AE615" s="27"/>
      <c r="AG615" s="114" t="s">
        <v>18</v>
      </c>
      <c r="AH615" s="115"/>
      <c r="AI615" s="112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3"/>
      <c r="M616" s="62"/>
      <c r="N616" s="89"/>
      <c r="O616" s="89"/>
      <c r="P616" s="81"/>
      <c r="Q616" s="83"/>
      <c r="R616" s="83"/>
      <c r="S616" s="83"/>
      <c r="T616" s="62"/>
      <c r="U616" s="88"/>
      <c r="V616" s="88"/>
      <c r="W616" s="109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3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71</v>
      </c>
      <c r="C617" s="91">
        <v>7089</v>
      </c>
      <c r="D617" s="32">
        <f>2504+38</f>
        <v>2542</v>
      </c>
      <c r="E617" s="32"/>
      <c r="F617" s="32"/>
      <c r="G617" s="32">
        <f t="shared" ref="G617:G650" si="175">SUM(D617:E617)</f>
        <v>2542</v>
      </c>
      <c r="H617" s="12"/>
      <c r="I617" s="12"/>
      <c r="J617" s="12"/>
      <c r="K617" s="12">
        <f t="shared" ref="K617:K650" si="176">SUM(G617:J617)</f>
        <v>2542</v>
      </c>
      <c r="M617" s="62"/>
      <c r="N617" s="66"/>
      <c r="O617" s="89"/>
      <c r="P617" s="60"/>
      <c r="Q617" s="60"/>
      <c r="R617" s="60"/>
      <c r="S617" s="60"/>
      <c r="T617" s="61"/>
      <c r="U617" s="61"/>
      <c r="V617" s="61"/>
      <c r="W617" s="61"/>
      <c r="Y617" s="10">
        <v>1</v>
      </c>
      <c r="Z617" s="30" t="s">
        <v>71</v>
      </c>
      <c r="AA617" s="31">
        <v>7129</v>
      </c>
      <c r="AB617" s="32">
        <f>71520+1145</f>
        <v>72665</v>
      </c>
      <c r="AC617" s="32">
        <v>-750</v>
      </c>
      <c r="AD617" s="32"/>
      <c r="AE617" s="32">
        <f>SUM(AB617:AC617)</f>
        <v>71915</v>
      </c>
      <c r="AF617" s="12"/>
      <c r="AG617" s="12">
        <v>180</v>
      </c>
      <c r="AH617" s="12"/>
      <c r="AI617" s="12">
        <f>SUM(AE617:AH617)</f>
        <v>72095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71</v>
      </c>
      <c r="C618" s="91">
        <f>C617+1</f>
        <v>7090</v>
      </c>
      <c r="D618" s="32">
        <f>1878+28.5</f>
        <v>1906.5</v>
      </c>
      <c r="E618" s="32"/>
      <c r="F618" s="32"/>
      <c r="G618" s="32">
        <f t="shared" si="175"/>
        <v>1906.5</v>
      </c>
      <c r="H618" s="12"/>
      <c r="I618" s="12"/>
      <c r="J618" s="12"/>
      <c r="K618" s="12">
        <f t="shared" si="176"/>
        <v>1906.5</v>
      </c>
      <c r="M618" s="62"/>
      <c r="N618" s="66"/>
      <c r="O618" s="89"/>
      <c r="P618" s="60"/>
      <c r="Q618" s="60"/>
      <c r="R618" s="60"/>
      <c r="S618" s="60"/>
      <c r="T618" s="61"/>
      <c r="U618" s="61"/>
      <c r="V618" s="61"/>
      <c r="W618" s="61"/>
      <c r="Y618" s="10">
        <v>2</v>
      </c>
      <c r="Z618" s="30" t="s">
        <v>71</v>
      </c>
      <c r="AA618" s="31">
        <f>AA617+1</f>
        <v>7130</v>
      </c>
      <c r="AB618" s="32">
        <f>626*40+596*10+229*2</f>
        <v>31458</v>
      </c>
      <c r="AC618" s="32">
        <v>-312</v>
      </c>
      <c r="AD618" s="32"/>
      <c r="AE618" s="32">
        <f t="shared" ref="AE618:AE655" si="177">SUM(AB618:AC618)</f>
        <v>31146</v>
      </c>
      <c r="AF618" s="12"/>
      <c r="AG618" s="12"/>
      <c r="AH618" s="12"/>
      <c r="AI618" s="12">
        <f t="shared" ref="AI618:AI658" si="178">SUM(AE618:AH618)</f>
        <v>31146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71</v>
      </c>
      <c r="C619" s="91">
        <f t="shared" ref="C619:C639" si="179">C618+1</f>
        <v>7091</v>
      </c>
      <c r="D619" s="33">
        <f>4382+614+66.5</f>
        <v>5062.5</v>
      </c>
      <c r="E619" s="33"/>
      <c r="F619" s="33"/>
      <c r="G619" s="33">
        <f t="shared" si="175"/>
        <v>5062.5</v>
      </c>
      <c r="H619" s="34"/>
      <c r="I619" s="34"/>
      <c r="J619" s="34"/>
      <c r="K619" s="34">
        <f t="shared" si="176"/>
        <v>5062.5</v>
      </c>
      <c r="M619" s="62"/>
      <c r="N619" s="66"/>
      <c r="O619" s="89"/>
      <c r="P619" s="60"/>
      <c r="Q619" s="60"/>
      <c r="R619" s="60"/>
      <c r="S619" s="60"/>
      <c r="T619" s="61"/>
      <c r="U619" s="61"/>
      <c r="V619" s="61"/>
      <c r="W619" s="61"/>
      <c r="Y619" s="10">
        <v>3</v>
      </c>
      <c r="Z619" s="30" t="s">
        <v>71</v>
      </c>
      <c r="AA619" s="31">
        <f t="shared" ref="AA619:AA620" si="180">AA618+1</f>
        <v>7131</v>
      </c>
      <c r="AB619" s="33">
        <f>626*455+596*45+229*20</f>
        <v>316230</v>
      </c>
      <c r="AC619" s="33">
        <v>-3120</v>
      </c>
      <c r="AD619" s="32"/>
      <c r="AE619" s="32">
        <f t="shared" si="177"/>
        <v>313110</v>
      </c>
      <c r="AF619" s="12"/>
      <c r="AG619" s="12">
        <f>37074+1248</f>
        <v>38322</v>
      </c>
      <c r="AH619" s="12"/>
      <c r="AI619" s="12">
        <f t="shared" si="178"/>
        <v>351432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71</v>
      </c>
      <c r="C620" s="91">
        <f t="shared" si="179"/>
        <v>7092</v>
      </c>
      <c r="D620" s="32">
        <f>10642+161.5</f>
        <v>10803.5</v>
      </c>
      <c r="E620" s="32"/>
      <c r="F620" s="32"/>
      <c r="G620" s="32">
        <f t="shared" si="175"/>
        <v>10803.5</v>
      </c>
      <c r="H620" s="12"/>
      <c r="I620" s="12"/>
      <c r="J620" s="12"/>
      <c r="K620" s="12">
        <f t="shared" si="176"/>
        <v>10803.5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Y620" s="10">
        <v>4</v>
      </c>
      <c r="Z620" s="30" t="s">
        <v>71</v>
      </c>
      <c r="AA620" s="31">
        <f t="shared" si="180"/>
        <v>7132</v>
      </c>
      <c r="AB620" s="32">
        <f>14398+2980+832</f>
        <v>18210</v>
      </c>
      <c r="AC620" s="32"/>
      <c r="AD620" s="32"/>
      <c r="AE620" s="32">
        <f t="shared" si="177"/>
        <v>18210</v>
      </c>
      <c r="AF620" s="12"/>
      <c r="AH620" s="12"/>
      <c r="AI620" s="12">
        <f t="shared" si="178"/>
        <v>18210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71</v>
      </c>
      <c r="C621" s="91">
        <f t="shared" si="179"/>
        <v>7093</v>
      </c>
      <c r="D621" s="32">
        <f>4382+66.5</f>
        <v>4448.5</v>
      </c>
      <c r="E621" s="32"/>
      <c r="F621" s="32"/>
      <c r="G621" s="32">
        <f t="shared" si="175"/>
        <v>4448.5</v>
      </c>
      <c r="H621" s="12"/>
      <c r="I621" s="12"/>
      <c r="J621" s="12"/>
      <c r="K621" s="12">
        <f t="shared" si="176"/>
        <v>4448.5</v>
      </c>
      <c r="M621" s="62"/>
      <c r="N621" s="66"/>
      <c r="O621" s="89"/>
      <c r="P621" s="60"/>
      <c r="Q621" s="60"/>
      <c r="R621" s="60"/>
      <c r="S621" s="60"/>
      <c r="T621" s="61"/>
      <c r="U621" s="61"/>
      <c r="V621" s="61"/>
      <c r="W621" s="61"/>
      <c r="Y621" s="10">
        <v>5</v>
      </c>
      <c r="Z621" s="30"/>
      <c r="AA621" s="11" t="s">
        <v>27</v>
      </c>
      <c r="AB621" s="32"/>
      <c r="AC621" s="32"/>
      <c r="AD621" s="32"/>
      <c r="AE621" s="32">
        <f t="shared" si="177"/>
        <v>0</v>
      </c>
      <c r="AF621" s="12"/>
      <c r="AG621" s="12"/>
      <c r="AH621" s="12"/>
      <c r="AI621" s="12">
        <f t="shared" si="178"/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71</v>
      </c>
      <c r="C622" s="91">
        <f t="shared" si="179"/>
        <v>7094</v>
      </c>
      <c r="D622" s="32">
        <f>15650+5960+229+650</f>
        <v>22489</v>
      </c>
      <c r="E622" s="32"/>
      <c r="F622" s="32"/>
      <c r="G622" s="32">
        <f t="shared" si="175"/>
        <v>22489</v>
      </c>
      <c r="H622" s="12"/>
      <c r="I622" s="12">
        <v>222</v>
      </c>
      <c r="J622" s="12">
        <v>-135</v>
      </c>
      <c r="K622" s="12">
        <f t="shared" si="176"/>
        <v>22576</v>
      </c>
      <c r="M622" s="62"/>
      <c r="N622" s="66"/>
      <c r="O622" s="89"/>
      <c r="P622" s="60"/>
      <c r="Q622" s="60"/>
      <c r="R622" s="60"/>
      <c r="S622" s="60"/>
      <c r="T622" s="61"/>
      <c r="U622" s="61"/>
      <c r="V622" s="62"/>
      <c r="W622" s="61"/>
      <c r="Y622" s="10">
        <v>6</v>
      </c>
      <c r="Z622" s="30"/>
      <c r="AA622" s="31"/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71</v>
      </c>
      <c r="C623" s="91">
        <f t="shared" si="179"/>
        <v>7095</v>
      </c>
      <c r="D623" s="32">
        <f>13772+1348</f>
        <v>15120</v>
      </c>
      <c r="E623" s="32"/>
      <c r="F623" s="32"/>
      <c r="G623" s="32">
        <f t="shared" si="175"/>
        <v>15120</v>
      </c>
      <c r="H623" s="12"/>
      <c r="I623" s="12"/>
      <c r="J623" s="12">
        <f>-222+-84</f>
        <v>-306</v>
      </c>
      <c r="K623" s="12">
        <f t="shared" si="176"/>
        <v>14814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71</v>
      </c>
      <c r="C624" s="91">
        <f t="shared" si="179"/>
        <v>7096</v>
      </c>
      <c r="D624" s="32">
        <f>1878+28.5</f>
        <v>1906.5</v>
      </c>
      <c r="E624" s="32"/>
      <c r="F624" s="32"/>
      <c r="G624" s="32">
        <f t="shared" si="175"/>
        <v>1906.5</v>
      </c>
      <c r="H624" s="12"/>
      <c r="I624" s="12"/>
      <c r="J624" s="12"/>
      <c r="K624" s="12">
        <f t="shared" si="176"/>
        <v>1906.5</v>
      </c>
      <c r="M624" s="62"/>
      <c r="N624" s="66"/>
      <c r="O624" s="89"/>
      <c r="P624" s="60"/>
      <c r="Q624" s="60"/>
      <c r="R624" s="60"/>
      <c r="S624" s="60"/>
      <c r="T624" s="61"/>
      <c r="U624" s="61"/>
      <c r="V624" s="61"/>
      <c r="W624" s="61"/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71</v>
      </c>
      <c r="C625" s="91">
        <f t="shared" si="179"/>
        <v>7097</v>
      </c>
      <c r="D625" s="32">
        <f>1878+28.5</f>
        <v>1906.5</v>
      </c>
      <c r="E625" s="32"/>
      <c r="F625" s="32"/>
      <c r="G625" s="32">
        <f t="shared" si="175"/>
        <v>1906.5</v>
      </c>
      <c r="H625" s="12"/>
      <c r="I625" s="12"/>
      <c r="J625" s="12"/>
      <c r="K625" s="12">
        <f t="shared" si="176"/>
        <v>1906.5</v>
      </c>
      <c r="M625" s="62"/>
      <c r="N625" s="66"/>
      <c r="O625" s="89"/>
      <c r="P625" s="60"/>
      <c r="Q625" s="60"/>
      <c r="R625" s="60"/>
      <c r="S625" s="60"/>
      <c r="T625" s="61"/>
      <c r="U625" s="61"/>
      <c r="V625" s="61"/>
      <c r="W625" s="61"/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G625" s="58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71</v>
      </c>
      <c r="C626" s="91">
        <f t="shared" si="179"/>
        <v>7098</v>
      </c>
      <c r="D626" s="32">
        <f>1878+28.5</f>
        <v>1906.5</v>
      </c>
      <c r="E626" s="32"/>
      <c r="F626" s="32"/>
      <c r="G626" s="32">
        <f t="shared" si="175"/>
        <v>1906.5</v>
      </c>
      <c r="H626" s="12"/>
      <c r="I626" s="12"/>
      <c r="J626" s="12"/>
      <c r="K626" s="12">
        <f t="shared" si="176"/>
        <v>1906.5</v>
      </c>
      <c r="M626" s="62"/>
      <c r="N626" s="66"/>
      <c r="O626" s="89"/>
      <c r="P626" s="60"/>
      <c r="Q626" s="60"/>
      <c r="R626" s="60"/>
      <c r="S626" s="60"/>
      <c r="T626" s="61"/>
      <c r="U626" s="61"/>
      <c r="V626" s="61"/>
      <c r="W626" s="61"/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71</v>
      </c>
      <c r="C627" s="91">
        <f t="shared" si="179"/>
        <v>7099</v>
      </c>
      <c r="D627" s="32">
        <f>2504+38</f>
        <v>2542</v>
      </c>
      <c r="E627" s="32"/>
      <c r="F627" s="32"/>
      <c r="G627" s="32">
        <f t="shared" si="175"/>
        <v>2542</v>
      </c>
      <c r="H627" s="12"/>
      <c r="I627" s="12"/>
      <c r="J627" s="12"/>
      <c r="K627" s="12">
        <f t="shared" si="176"/>
        <v>2542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Y627" s="10">
        <v>11</v>
      </c>
      <c r="Z627" s="30"/>
      <c r="AB627" s="32"/>
      <c r="AC627" s="32"/>
      <c r="AD627" s="32"/>
      <c r="AE627" s="32">
        <f t="shared" si="177"/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71</v>
      </c>
      <c r="C628" s="91">
        <f t="shared" si="179"/>
        <v>7100</v>
      </c>
      <c r="D628" s="32">
        <f>1878+28.5</f>
        <v>1906.5</v>
      </c>
      <c r="E628" s="32"/>
      <c r="F628" s="32"/>
      <c r="G628" s="32">
        <f t="shared" si="175"/>
        <v>1906.5</v>
      </c>
      <c r="H628" s="12"/>
      <c r="I628" s="12"/>
      <c r="J628" s="10"/>
      <c r="K628" s="12">
        <f t="shared" si="176"/>
        <v>1906.5</v>
      </c>
      <c r="M628" s="62"/>
      <c r="N628" s="66"/>
      <c r="O628" s="89"/>
      <c r="P628" s="60"/>
      <c r="Q628" s="60"/>
      <c r="R628" s="60"/>
      <c r="S628" s="60"/>
      <c r="T628" s="61"/>
      <c r="U628" s="61"/>
      <c r="V628" s="61"/>
      <c r="W628" s="61"/>
      <c r="Y628" s="10">
        <v>12</v>
      </c>
      <c r="Z628" s="30"/>
      <c r="AA628" s="31"/>
      <c r="AB628" s="32"/>
      <c r="AC628" s="32"/>
      <c r="AD628" s="32"/>
      <c r="AE628" s="32">
        <f t="shared" si="177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71</v>
      </c>
      <c r="C629" s="91">
        <v>7180</v>
      </c>
      <c r="D629" s="32">
        <f>9390</f>
        <v>9390</v>
      </c>
      <c r="E629" s="32"/>
      <c r="F629" s="32"/>
      <c r="G629" s="32">
        <f t="shared" si="175"/>
        <v>9390</v>
      </c>
      <c r="H629" s="12"/>
      <c r="I629" s="12"/>
      <c r="J629" s="12"/>
      <c r="K629" s="12">
        <f t="shared" si="176"/>
        <v>9390</v>
      </c>
      <c r="M629" s="62"/>
      <c r="N629" s="66"/>
      <c r="O629" s="89"/>
      <c r="P629" s="60"/>
      <c r="Q629" s="60"/>
      <c r="R629" s="60"/>
      <c r="S629" s="60"/>
      <c r="T629" s="61"/>
      <c r="U629" s="61"/>
      <c r="V629" s="61"/>
      <c r="W629" s="61"/>
      <c r="Y629" s="10">
        <v>13</v>
      </c>
      <c r="Z629" s="30"/>
      <c r="AA629" s="31"/>
      <c r="AB629" s="32"/>
      <c r="AC629" s="32"/>
      <c r="AD629" s="32"/>
      <c r="AE629" s="32">
        <f t="shared" si="177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71</v>
      </c>
      <c r="C630" s="91">
        <f t="shared" si="179"/>
        <v>7181</v>
      </c>
      <c r="D630" s="32">
        <f>1252+19</f>
        <v>1271</v>
      </c>
      <c r="E630" s="32"/>
      <c r="F630" s="32"/>
      <c r="G630" s="32">
        <f t="shared" si="175"/>
        <v>1271</v>
      </c>
      <c r="H630" s="12"/>
      <c r="I630" s="12"/>
      <c r="J630" s="12"/>
      <c r="K630" s="12">
        <f t="shared" si="176"/>
        <v>1271</v>
      </c>
      <c r="M630" s="62"/>
      <c r="N630" s="66"/>
      <c r="O630" s="89"/>
      <c r="P630" s="60"/>
      <c r="Q630" s="60"/>
      <c r="R630" s="60"/>
      <c r="S630" s="60"/>
      <c r="T630" s="61"/>
      <c r="U630" s="61"/>
      <c r="V630" s="61"/>
      <c r="W630" s="61"/>
      <c r="Y630" s="10">
        <v>14</v>
      </c>
      <c r="Z630" s="30"/>
      <c r="AA630" s="31"/>
      <c r="AB630" s="32"/>
      <c r="AC630" s="32"/>
      <c r="AD630" s="32"/>
      <c r="AE630" s="32">
        <f t="shared" si="177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71</v>
      </c>
      <c r="C631" s="91">
        <f t="shared" si="179"/>
        <v>7182</v>
      </c>
      <c r="D631" s="32">
        <f>3130+47.5</f>
        <v>3177.5</v>
      </c>
      <c r="E631" s="32"/>
      <c r="F631" s="32"/>
      <c r="G631" s="32">
        <f t="shared" si="175"/>
        <v>3177.5</v>
      </c>
      <c r="H631" s="12"/>
      <c r="I631" s="12"/>
      <c r="J631" s="12"/>
      <c r="K631" s="12">
        <f t="shared" si="176"/>
        <v>3177.5</v>
      </c>
      <c r="M631" s="62"/>
      <c r="N631" s="66"/>
      <c r="O631" s="89"/>
      <c r="P631" s="60"/>
      <c r="Q631" s="60"/>
      <c r="R631" s="60"/>
      <c r="S631" s="60"/>
      <c r="T631" s="61"/>
      <c r="U631" s="61"/>
      <c r="V631" s="61"/>
      <c r="W631" s="61"/>
      <c r="Y631" s="10">
        <v>15</v>
      </c>
      <c r="Z631" s="30"/>
      <c r="AA631" s="31"/>
      <c r="AB631" s="32"/>
      <c r="AC631" s="32"/>
      <c r="AD631" s="32"/>
      <c r="AE631" s="32">
        <f t="shared" si="177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71</v>
      </c>
      <c r="C632" s="91">
        <f t="shared" si="179"/>
        <v>7183</v>
      </c>
      <c r="D632" s="32">
        <f>5008+76</f>
        <v>5084</v>
      </c>
      <c r="E632" s="32"/>
      <c r="F632" s="32"/>
      <c r="G632" s="32">
        <f t="shared" si="175"/>
        <v>5084</v>
      </c>
      <c r="H632" s="12"/>
      <c r="I632" s="12"/>
      <c r="J632" s="12"/>
      <c r="K632" s="12">
        <f t="shared" si="176"/>
        <v>5084</v>
      </c>
      <c r="M632" s="62"/>
      <c r="N632" s="66"/>
      <c r="O632" s="89"/>
      <c r="P632" s="60"/>
      <c r="Q632" s="60"/>
      <c r="R632" s="60"/>
      <c r="S632" s="60"/>
      <c r="T632" s="61"/>
      <c r="U632" s="61"/>
      <c r="V632" s="61"/>
      <c r="W632" s="61"/>
      <c r="Y632" s="10">
        <v>16</v>
      </c>
      <c r="Z632" s="30"/>
      <c r="AB632" s="32"/>
      <c r="AC632" s="32"/>
      <c r="AD632" s="32"/>
      <c r="AE632" s="32">
        <f t="shared" si="177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71</v>
      </c>
      <c r="C633" s="91">
        <f t="shared" si="179"/>
        <v>7184</v>
      </c>
      <c r="D633" s="32">
        <f>626+614+9.5</f>
        <v>1249.5</v>
      </c>
      <c r="E633" s="32"/>
      <c r="F633" s="32"/>
      <c r="G633" s="32">
        <f t="shared" si="175"/>
        <v>1249.5</v>
      </c>
      <c r="H633" s="12"/>
      <c r="I633" s="12"/>
      <c r="J633" s="12"/>
      <c r="K633" s="12">
        <f t="shared" si="176"/>
        <v>1249.5</v>
      </c>
      <c r="M633" s="62"/>
      <c r="N633" s="66"/>
      <c r="O633" s="89"/>
      <c r="P633" s="60"/>
      <c r="Q633" s="60"/>
      <c r="R633" s="60"/>
      <c r="S633" s="60"/>
      <c r="T633" s="61"/>
      <c r="U633" s="61"/>
      <c r="V633" s="61"/>
      <c r="W633" s="61"/>
      <c r="Y633" s="10">
        <v>17</v>
      </c>
      <c r="Z633" s="30"/>
      <c r="AA633" s="31"/>
      <c r="AB633" s="35"/>
      <c r="AC633" s="32"/>
      <c r="AD633" s="32"/>
      <c r="AE633" s="32">
        <f t="shared" si="177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71</v>
      </c>
      <c r="C634" s="91">
        <f t="shared" si="179"/>
        <v>7185</v>
      </c>
      <c r="D634" s="32">
        <f>626+614+9.5</f>
        <v>1249.5</v>
      </c>
      <c r="E634" s="32"/>
      <c r="F634" s="32"/>
      <c r="G634" s="32">
        <f t="shared" si="175"/>
        <v>1249.5</v>
      </c>
      <c r="H634" s="12"/>
      <c r="I634" s="12"/>
      <c r="J634" s="12"/>
      <c r="K634" s="12">
        <f t="shared" si="176"/>
        <v>1249.5</v>
      </c>
      <c r="M634" s="62"/>
      <c r="N634" s="66"/>
      <c r="O634" s="89"/>
      <c r="P634" s="60"/>
      <c r="Q634" s="60"/>
      <c r="R634" s="60"/>
      <c r="S634" s="60"/>
      <c r="T634" s="61"/>
      <c r="U634" s="61"/>
      <c r="V634" s="61"/>
      <c r="W634" s="61"/>
      <c r="Y634" s="10">
        <v>18</v>
      </c>
      <c r="Z634" s="30"/>
      <c r="AA634" s="31"/>
      <c r="AB634" s="32"/>
      <c r="AC634" s="32"/>
      <c r="AD634" s="32"/>
      <c r="AE634" s="32">
        <f t="shared" si="177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 t="s">
        <v>71</v>
      </c>
      <c r="C635" s="91">
        <f t="shared" si="179"/>
        <v>7186</v>
      </c>
      <c r="D635" s="32">
        <f>37560+913+8940+1704+458</f>
        <v>49575</v>
      </c>
      <c r="E635" s="32"/>
      <c r="F635" s="32"/>
      <c r="G635" s="32">
        <f t="shared" si="175"/>
        <v>49575</v>
      </c>
      <c r="H635" s="12"/>
      <c r="I635" s="12"/>
      <c r="J635" s="12"/>
      <c r="K635" s="12">
        <f t="shared" si="176"/>
        <v>49575</v>
      </c>
      <c r="M635" s="62"/>
      <c r="N635" s="66"/>
      <c r="O635" s="89"/>
      <c r="P635" s="60"/>
      <c r="Q635" s="60"/>
      <c r="R635" s="60"/>
      <c r="S635" s="60"/>
      <c r="T635" s="61"/>
      <c r="U635" s="61"/>
      <c r="V635" s="61"/>
      <c r="W635" s="61"/>
      <c r="Y635" s="10">
        <v>19</v>
      </c>
      <c r="Z635" s="30"/>
      <c r="AA635" s="31"/>
      <c r="AB635" s="32"/>
      <c r="AC635" s="32"/>
      <c r="AD635" s="32"/>
      <c r="AE635" s="32">
        <f t="shared" si="177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 t="s">
        <v>71</v>
      </c>
      <c r="C636" s="91">
        <f t="shared" si="179"/>
        <v>7187</v>
      </c>
      <c r="D636" s="32">
        <f>1192</f>
        <v>1192</v>
      </c>
      <c r="E636" s="32"/>
      <c r="F636" s="32"/>
      <c r="G636" s="32">
        <f t="shared" si="175"/>
        <v>1192</v>
      </c>
      <c r="H636" s="12"/>
      <c r="I636" s="12"/>
      <c r="J636" s="12"/>
      <c r="K636" s="12">
        <f t="shared" si="176"/>
        <v>1192</v>
      </c>
      <c r="M636" s="62"/>
      <c r="N636" s="66"/>
      <c r="O636" s="89"/>
      <c r="P636" s="60"/>
      <c r="Q636" s="60"/>
      <c r="R636" s="60"/>
      <c r="S636" s="60"/>
      <c r="T636" s="61"/>
      <c r="U636" s="61"/>
      <c r="V636" s="61"/>
      <c r="W636" s="61"/>
      <c r="Y636" s="10">
        <v>20</v>
      </c>
      <c r="Z636" s="30"/>
      <c r="AA636" s="31"/>
      <c r="AB636" s="32"/>
      <c r="AC636" s="32"/>
      <c r="AD636" s="32"/>
      <c r="AE636" s="32">
        <f t="shared" si="177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 t="s">
        <v>71</v>
      </c>
      <c r="C637" s="91">
        <f t="shared" si="179"/>
        <v>7188</v>
      </c>
      <c r="D637" s="32">
        <f>1878+28.5</f>
        <v>1906.5</v>
      </c>
      <c r="E637" s="32"/>
      <c r="F637" s="32"/>
      <c r="G637" s="32">
        <f t="shared" si="175"/>
        <v>1906.5</v>
      </c>
      <c r="H637" s="10"/>
      <c r="I637" s="10"/>
      <c r="J637" s="10"/>
      <c r="K637" s="12">
        <f t="shared" si="176"/>
        <v>1906.5</v>
      </c>
      <c r="M637" s="62"/>
      <c r="N637" s="66"/>
      <c r="O637" s="89"/>
      <c r="P637" s="67"/>
      <c r="Q637" s="89"/>
      <c r="R637" s="89"/>
      <c r="S637" s="60"/>
      <c r="T637" s="62"/>
      <c r="U637" s="62"/>
      <c r="V637" s="62"/>
      <c r="W637" s="61"/>
      <c r="Y637" s="10">
        <v>21</v>
      </c>
      <c r="Z637" s="30"/>
      <c r="AB637" s="46"/>
      <c r="AC637" s="31"/>
      <c r="AD637" s="31"/>
      <c r="AE637" s="32">
        <f t="shared" si="177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 t="s">
        <v>71</v>
      </c>
      <c r="C638" s="91">
        <f t="shared" si="179"/>
        <v>7189</v>
      </c>
      <c r="D638" s="32">
        <f>1878+1192+47.5</f>
        <v>3117.5</v>
      </c>
      <c r="E638" s="32"/>
      <c r="F638" s="32"/>
      <c r="G638" s="32">
        <f t="shared" si="175"/>
        <v>3117.5</v>
      </c>
      <c r="H638" s="10"/>
      <c r="I638" s="10"/>
      <c r="J638" s="10"/>
      <c r="K638" s="12">
        <f t="shared" si="176"/>
        <v>3117.5</v>
      </c>
      <c r="M638" s="62"/>
      <c r="N638" s="66"/>
      <c r="O638" s="89"/>
      <c r="P638" s="68"/>
      <c r="Q638" s="89"/>
      <c r="R638" s="89"/>
      <c r="S638" s="60"/>
      <c r="T638" s="62"/>
      <c r="U638" s="62"/>
      <c r="V638" s="62"/>
      <c r="W638" s="61"/>
      <c r="Y638" s="10">
        <v>22</v>
      </c>
      <c r="Z638" s="30"/>
      <c r="AA638" s="31"/>
      <c r="AB638" s="45"/>
      <c r="AC638" s="31"/>
      <c r="AD638" s="31"/>
      <c r="AE638" s="32">
        <f t="shared" si="177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 t="s">
        <v>71</v>
      </c>
      <c r="C639" s="91">
        <f t="shared" si="179"/>
        <v>7190</v>
      </c>
      <c r="D639" s="32">
        <f>3130+614+47.5</f>
        <v>3791.5</v>
      </c>
      <c r="E639" s="32"/>
      <c r="F639" s="32"/>
      <c r="G639" s="32">
        <f t="shared" si="175"/>
        <v>3791.5</v>
      </c>
      <c r="H639" s="10"/>
      <c r="I639" s="10"/>
      <c r="J639" s="12"/>
      <c r="K639" s="12">
        <f t="shared" si="176"/>
        <v>3791.5</v>
      </c>
      <c r="M639" s="62"/>
      <c r="N639" s="66"/>
      <c r="O639" s="89"/>
      <c r="P639" s="69"/>
      <c r="Q639" s="62"/>
      <c r="R639" s="62"/>
      <c r="S639" s="60"/>
      <c r="T639" s="62"/>
      <c r="U639" s="62"/>
      <c r="V639" s="62"/>
      <c r="W639" s="61"/>
      <c r="Y639" s="10">
        <v>23</v>
      </c>
      <c r="Z639" s="30"/>
      <c r="AA639" s="31"/>
      <c r="AB639" s="47"/>
      <c r="AC639" s="31"/>
      <c r="AE639" s="32">
        <f t="shared" si="177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11" t="s">
        <v>27</v>
      </c>
      <c r="D640" s="32"/>
      <c r="E640" s="32"/>
      <c r="F640" s="32"/>
      <c r="G640" s="32">
        <f t="shared" si="175"/>
        <v>0</v>
      </c>
      <c r="H640" s="10"/>
      <c r="I640" s="10"/>
      <c r="J640" s="10"/>
      <c r="K640" s="12">
        <f t="shared" si="176"/>
        <v>0</v>
      </c>
      <c r="M640" s="62"/>
      <c r="N640" s="66"/>
      <c r="O640" s="89"/>
      <c r="P640" s="69"/>
      <c r="Q640" s="89"/>
      <c r="R640" s="89"/>
      <c r="S640" s="60"/>
      <c r="T640" s="62"/>
      <c r="U640" s="62"/>
      <c r="V640" s="62"/>
      <c r="W640" s="61"/>
      <c r="Y640" s="10">
        <v>24</v>
      </c>
      <c r="Z640" s="30"/>
      <c r="AA640" s="31"/>
      <c r="AB640" s="47"/>
      <c r="AC640" s="31"/>
      <c r="AD640" s="31"/>
      <c r="AE640" s="32">
        <f t="shared" si="177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91"/>
      <c r="D641" s="32"/>
      <c r="E641" s="32"/>
      <c r="F641" s="32"/>
      <c r="G641" s="32">
        <f t="shared" si="175"/>
        <v>0</v>
      </c>
      <c r="H641" s="10"/>
      <c r="I641" s="10"/>
      <c r="J641" s="10"/>
      <c r="K641" s="12">
        <f t="shared" si="176"/>
        <v>0</v>
      </c>
      <c r="M641" s="62"/>
      <c r="N641" s="66"/>
      <c r="O641" s="89"/>
      <c r="P641" s="69"/>
      <c r="Q641" s="89"/>
      <c r="R641" s="89"/>
      <c r="S641" s="60"/>
      <c r="T641" s="62"/>
      <c r="U641" s="62"/>
      <c r="V641" s="62"/>
      <c r="W641" s="61"/>
      <c r="Y641" s="10">
        <v>25</v>
      </c>
      <c r="Z641" s="30"/>
      <c r="AA641" s="11"/>
      <c r="AB641" s="47"/>
      <c r="AC641" s="31"/>
      <c r="AD641" s="31"/>
      <c r="AE641" s="32">
        <f t="shared" si="177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91"/>
      <c r="D642" s="32"/>
      <c r="E642" s="32"/>
      <c r="F642" s="32"/>
      <c r="G642" s="32">
        <f t="shared" si="175"/>
        <v>0</v>
      </c>
      <c r="H642" s="10"/>
      <c r="I642" s="10"/>
      <c r="J642" s="10"/>
      <c r="K642" s="12">
        <f t="shared" si="176"/>
        <v>0</v>
      </c>
      <c r="M642" s="62"/>
      <c r="N642" s="66"/>
      <c r="O642" s="89"/>
      <c r="P642" s="69"/>
      <c r="Q642" s="89"/>
      <c r="R642" s="89"/>
      <c r="S642" s="60"/>
      <c r="T642" s="62"/>
      <c r="U642" s="62"/>
      <c r="V642" s="62"/>
      <c r="W642" s="61"/>
      <c r="Y642" s="10">
        <v>26</v>
      </c>
      <c r="Z642" s="30"/>
      <c r="AB642" s="47"/>
      <c r="AC642" s="31"/>
      <c r="AD642" s="31"/>
      <c r="AE642" s="32">
        <f t="shared" si="177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91"/>
      <c r="D643" s="32"/>
      <c r="E643" s="32"/>
      <c r="F643" s="32"/>
      <c r="G643" s="32">
        <f t="shared" si="175"/>
        <v>0</v>
      </c>
      <c r="H643" s="10"/>
      <c r="I643" s="10"/>
      <c r="J643" s="10"/>
      <c r="K643" s="12">
        <f t="shared" si="176"/>
        <v>0</v>
      </c>
      <c r="M643" s="62"/>
      <c r="N643" s="66"/>
      <c r="O643" s="89"/>
      <c r="P643" s="69"/>
      <c r="Q643" s="89"/>
      <c r="R643" s="89"/>
      <c r="S643" s="60"/>
      <c r="T643" s="62"/>
      <c r="U643" s="62"/>
      <c r="V643" s="62"/>
      <c r="W643" s="61"/>
      <c r="Y643" s="10">
        <v>27</v>
      </c>
      <c r="Z643" s="30"/>
      <c r="AA643" s="31"/>
      <c r="AB643" s="47"/>
      <c r="AC643" s="31"/>
      <c r="AD643" s="31"/>
      <c r="AE643" s="32">
        <f t="shared" si="177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91"/>
      <c r="D644" s="32"/>
      <c r="E644" s="32"/>
      <c r="F644" s="32"/>
      <c r="G644" s="32">
        <f t="shared" si="175"/>
        <v>0</v>
      </c>
      <c r="H644" s="10"/>
      <c r="I644" s="10"/>
      <c r="J644" s="10"/>
      <c r="K644" s="12">
        <f t="shared" si="176"/>
        <v>0</v>
      </c>
      <c r="M644" s="62"/>
      <c r="N644" s="66"/>
      <c r="O644" s="89"/>
      <c r="P644" s="69"/>
      <c r="Q644" s="89"/>
      <c r="R644" s="89"/>
      <c r="S644" s="60"/>
      <c r="T644" s="62"/>
      <c r="U644" s="62"/>
      <c r="V644" s="62"/>
      <c r="W644" s="61"/>
      <c r="Y644" s="10">
        <v>28</v>
      </c>
      <c r="Z644" s="30"/>
      <c r="AA644" s="31"/>
      <c r="AB644" s="47"/>
      <c r="AC644" s="31"/>
      <c r="AD644" s="31"/>
      <c r="AE644" s="32">
        <f t="shared" si="177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91"/>
      <c r="D645" s="32"/>
      <c r="E645" s="32"/>
      <c r="F645" s="32"/>
      <c r="G645" s="32">
        <f t="shared" si="175"/>
        <v>0</v>
      </c>
      <c r="H645" s="10"/>
      <c r="I645" s="10"/>
      <c r="J645" s="10"/>
      <c r="K645" s="12">
        <f t="shared" si="176"/>
        <v>0</v>
      </c>
      <c r="M645" s="62"/>
      <c r="N645" s="66"/>
      <c r="O645" s="62"/>
      <c r="P645" s="69"/>
      <c r="Q645" s="89"/>
      <c r="R645" s="89"/>
      <c r="S645" s="60"/>
      <c r="T645" s="62"/>
      <c r="U645" s="62"/>
      <c r="V645" s="62"/>
      <c r="W645" s="61"/>
      <c r="Y645" s="10">
        <v>29</v>
      </c>
      <c r="Z645" s="30"/>
      <c r="AA645" s="31"/>
      <c r="AB645" s="47"/>
      <c r="AC645" s="31"/>
      <c r="AD645" s="31"/>
      <c r="AE645" s="32">
        <f t="shared" si="177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D646" s="32"/>
      <c r="E646" s="32"/>
      <c r="F646" s="32"/>
      <c r="G646" s="32">
        <f t="shared" si="175"/>
        <v>0</v>
      </c>
      <c r="H646" s="10"/>
      <c r="I646" s="10"/>
      <c r="J646" s="10"/>
      <c r="K646" s="12">
        <f t="shared" si="176"/>
        <v>0</v>
      </c>
      <c r="M646" s="62"/>
      <c r="N646" s="66"/>
      <c r="O646" s="62"/>
      <c r="P646" s="69"/>
      <c r="Q646" s="89"/>
      <c r="R646" s="89"/>
      <c r="S646" s="60"/>
      <c r="T646" s="62"/>
      <c r="U646" s="62"/>
      <c r="V646" s="62"/>
      <c r="W646" s="61"/>
      <c r="Y646" s="10">
        <v>30</v>
      </c>
      <c r="Z646" s="30"/>
      <c r="AA646" s="31"/>
      <c r="AB646" s="47"/>
      <c r="AC646" s="31"/>
      <c r="AD646" s="31"/>
      <c r="AE646" s="32">
        <f t="shared" si="177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91"/>
      <c r="D647" s="32"/>
      <c r="E647" s="32"/>
      <c r="F647" s="32"/>
      <c r="G647" s="32">
        <f t="shared" si="175"/>
        <v>0</v>
      </c>
      <c r="H647" s="10"/>
      <c r="I647" s="10"/>
      <c r="J647" s="10"/>
      <c r="K647" s="12">
        <f t="shared" si="176"/>
        <v>0</v>
      </c>
      <c r="M647" s="62"/>
      <c r="N647" s="66"/>
      <c r="O647" s="89"/>
      <c r="P647" s="69"/>
      <c r="Q647" s="89"/>
      <c r="R647" s="89"/>
      <c r="S647" s="60"/>
      <c r="T647" s="62"/>
      <c r="U647" s="62"/>
      <c r="V647" s="62"/>
      <c r="W647" s="61"/>
      <c r="Y647" s="10">
        <v>31</v>
      </c>
      <c r="Z647" s="30"/>
      <c r="AA647" s="31"/>
      <c r="AB647" s="47"/>
      <c r="AC647" s="31"/>
      <c r="AD647" s="31"/>
      <c r="AE647" s="32">
        <f t="shared" si="177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91"/>
      <c r="D648" s="32"/>
      <c r="E648" s="32"/>
      <c r="F648" s="32"/>
      <c r="G648" s="32">
        <f t="shared" si="175"/>
        <v>0</v>
      </c>
      <c r="H648" s="10"/>
      <c r="I648" s="10"/>
      <c r="J648" s="10"/>
      <c r="K648" s="12">
        <f t="shared" si="176"/>
        <v>0</v>
      </c>
      <c r="M648" s="62"/>
      <c r="N648" s="66"/>
      <c r="O648" s="62"/>
      <c r="P648" s="69"/>
      <c r="Q648" s="89"/>
      <c r="R648" s="89"/>
      <c r="S648" s="60"/>
      <c r="T648" s="62"/>
      <c r="U648" s="62"/>
      <c r="V648" s="62"/>
      <c r="W648" s="61"/>
      <c r="Y648" s="10">
        <v>32</v>
      </c>
      <c r="Z648" s="30"/>
      <c r="AA648" s="31"/>
      <c r="AB648" s="47"/>
      <c r="AC648" s="31"/>
      <c r="AD648" s="31"/>
      <c r="AE648" s="32">
        <f t="shared" si="177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91"/>
      <c r="D649" s="32"/>
      <c r="E649" s="32"/>
      <c r="F649" s="32"/>
      <c r="G649" s="32">
        <f t="shared" si="175"/>
        <v>0</v>
      </c>
      <c r="H649" s="10"/>
      <c r="I649" s="10"/>
      <c r="J649" s="10"/>
      <c r="K649" s="12">
        <f t="shared" si="176"/>
        <v>0</v>
      </c>
      <c r="M649" s="62"/>
      <c r="N649" s="66"/>
      <c r="O649" s="89"/>
      <c r="P649" s="69"/>
      <c r="Q649" s="89"/>
      <c r="R649" s="89"/>
      <c r="S649" s="60"/>
      <c r="T649" s="62"/>
      <c r="U649" s="62"/>
      <c r="V649" s="62"/>
      <c r="W649" s="61"/>
      <c r="Y649" s="10">
        <v>33</v>
      </c>
      <c r="Z649" s="30"/>
      <c r="AA649" s="31"/>
      <c r="AB649" s="47"/>
      <c r="AC649" s="31"/>
      <c r="AD649" s="31"/>
      <c r="AE649" s="32">
        <f t="shared" si="177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91"/>
      <c r="D650" s="32"/>
      <c r="E650" s="32"/>
      <c r="F650" s="32"/>
      <c r="G650" s="32">
        <f t="shared" si="175"/>
        <v>0</v>
      </c>
      <c r="H650" s="10"/>
      <c r="I650" s="10"/>
      <c r="J650" s="10"/>
      <c r="K650" s="12">
        <f t="shared" si="176"/>
        <v>0</v>
      </c>
      <c r="M650" s="62"/>
      <c r="N650" s="66"/>
      <c r="O650" s="89"/>
      <c r="P650" s="69"/>
      <c r="Q650" s="89"/>
      <c r="R650" s="89"/>
      <c r="S650" s="60"/>
      <c r="T650" s="62"/>
      <c r="U650" s="62"/>
      <c r="V650" s="62"/>
      <c r="W650" s="61"/>
      <c r="Y650" s="10">
        <v>34</v>
      </c>
      <c r="Z650" s="30"/>
      <c r="AB650" s="47"/>
      <c r="AC650" s="31"/>
      <c r="AD650" s="31"/>
      <c r="AE650" s="32">
        <f t="shared" si="177"/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9"/>
      <c r="P651" s="69"/>
      <c r="Q651" s="89"/>
      <c r="R651" s="89"/>
      <c r="S651" s="60"/>
      <c r="T651" s="62"/>
      <c r="U651" s="62"/>
      <c r="V651" s="62"/>
      <c r="W651" s="61"/>
      <c r="Y651" s="10">
        <v>35</v>
      </c>
      <c r="Z651" s="30"/>
      <c r="AA651" s="31"/>
      <c r="AB651" s="47"/>
      <c r="AC651" s="31"/>
      <c r="AD651" s="31"/>
      <c r="AE651" s="32">
        <f t="shared" si="177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9"/>
      <c r="P652" s="69"/>
      <c r="Q652" s="89"/>
      <c r="R652" s="89"/>
      <c r="S652" s="60"/>
      <c r="T652" s="62"/>
      <c r="U652" s="62"/>
      <c r="V652" s="62"/>
      <c r="W652" s="61"/>
      <c r="Y652" s="10">
        <v>36</v>
      </c>
      <c r="Z652" s="30"/>
      <c r="AA652" s="31"/>
      <c r="AB652" s="47"/>
      <c r="AC652" s="31"/>
      <c r="AD652" s="31"/>
      <c r="AE652" s="32">
        <f t="shared" si="177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9"/>
      <c r="R653" s="89"/>
      <c r="S653" s="60"/>
      <c r="T653" s="62"/>
      <c r="U653" s="62"/>
      <c r="V653" s="62"/>
      <c r="W653" s="61"/>
      <c r="Y653" s="10">
        <v>37</v>
      </c>
      <c r="Z653" s="30"/>
      <c r="AA653" s="31"/>
      <c r="AB653" s="47"/>
      <c r="AC653" s="31"/>
      <c r="AD653" s="31"/>
      <c r="AE653" s="32">
        <f t="shared" si="177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9"/>
      <c r="P654" s="69"/>
      <c r="Q654" s="89"/>
      <c r="R654" s="89"/>
      <c r="S654" s="60"/>
      <c r="T654" s="62"/>
      <c r="U654" s="62"/>
      <c r="V654" s="62"/>
      <c r="W654" s="61"/>
      <c r="Y654" s="10">
        <v>38</v>
      </c>
      <c r="Z654" s="30"/>
      <c r="AA654" s="31"/>
      <c r="AB654" s="47"/>
      <c r="AC654" s="31"/>
      <c r="AD654" s="31"/>
      <c r="AE654" s="32">
        <f t="shared" si="177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9"/>
      <c r="P655" s="69"/>
      <c r="Q655" s="89"/>
      <c r="R655" s="89"/>
      <c r="S655" s="60"/>
      <c r="T655" s="62"/>
      <c r="U655" s="62"/>
      <c r="V655" s="62"/>
      <c r="W655" s="61"/>
      <c r="Y655" s="10">
        <v>39</v>
      </c>
      <c r="Z655" s="30"/>
      <c r="AA655" s="31"/>
      <c r="AB655" s="47"/>
      <c r="AC655" s="31"/>
      <c r="AD655" s="31"/>
      <c r="AE655" s="32">
        <f t="shared" si="177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9"/>
      <c r="R656" s="89"/>
      <c r="S656" s="60"/>
      <c r="T656" s="62"/>
      <c r="U656" s="62"/>
      <c r="V656" s="62"/>
      <c r="W656" s="61"/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81">SUM(D657:E657)</f>
        <v>0</v>
      </c>
      <c r="H657" s="10"/>
      <c r="I657" s="10"/>
      <c r="J657" s="10"/>
      <c r="K657" s="12">
        <f t="shared" ref="K657" si="182">SUM(G657:J657)</f>
        <v>0</v>
      </c>
      <c r="M657" s="62"/>
      <c r="N657" s="66"/>
      <c r="O657" s="89"/>
      <c r="P657" s="69"/>
      <c r="Q657" s="89"/>
      <c r="R657" s="89"/>
      <c r="S657" s="60"/>
      <c r="T657" s="62"/>
      <c r="U657" s="62"/>
      <c r="V657" s="62"/>
      <c r="W657" s="61"/>
      <c r="Y657" s="10"/>
      <c r="Z657" s="30"/>
      <c r="AA657" s="31"/>
      <c r="AB657" s="47"/>
      <c r="AC657" s="31"/>
      <c r="AD657" s="31"/>
      <c r="AE657" s="32">
        <f t="shared" ref="AE657" si="183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9"/>
      <c r="O658" s="89"/>
      <c r="P658" s="89"/>
      <c r="Q658" s="89"/>
      <c r="R658" s="89"/>
      <c r="S658" s="89"/>
      <c r="T658" s="62"/>
      <c r="U658" s="62"/>
      <c r="V658" s="62"/>
      <c r="W658" s="61"/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9"/>
      <c r="O659" s="89"/>
      <c r="P659" s="89"/>
      <c r="Q659" s="89"/>
      <c r="R659" s="89"/>
      <c r="S659" s="89"/>
      <c r="T659" s="62"/>
      <c r="U659" s="62"/>
      <c r="V659" s="62"/>
      <c r="W659" s="62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153544</v>
      </c>
      <c r="E660" s="38">
        <f t="shared" ref="E660:F660" si="184">SUM(E617:E657)</f>
        <v>0</v>
      </c>
      <c r="F660" s="38">
        <f t="shared" si="184"/>
        <v>0</v>
      </c>
      <c r="G660" s="38">
        <f>SUM(G617:G659)</f>
        <v>153544</v>
      </c>
      <c r="H660" s="4"/>
      <c r="I660" s="39">
        <f>SUM(I617:I659)</f>
        <v>222</v>
      </c>
      <c r="J660" s="39">
        <f>SUM(J617:J659)</f>
        <v>-441</v>
      </c>
      <c r="K660" s="40">
        <f>SUM(K617:K659)</f>
        <v>153325</v>
      </c>
      <c r="M660" s="62"/>
      <c r="N660" s="89"/>
      <c r="O660" s="89"/>
      <c r="P660" s="70"/>
      <c r="Q660" s="70"/>
      <c r="R660" s="70"/>
      <c r="S660" s="70"/>
      <c r="T660" s="63"/>
      <c r="U660" s="71"/>
      <c r="V660" s="71"/>
      <c r="W660" s="71"/>
      <c r="Z660" s="57"/>
      <c r="AA660" s="57"/>
      <c r="AB660" s="38">
        <f>SUM(AB617:AB659)</f>
        <v>438563</v>
      </c>
      <c r="AC660" s="38">
        <f>SUM(AC617:AC641)</f>
        <v>-4182</v>
      </c>
      <c r="AD660" s="38">
        <f>SUM(AD617:AD641)</f>
        <v>0</v>
      </c>
      <c r="AE660" s="38">
        <f>SUM(AE617:AE659)</f>
        <v>434381</v>
      </c>
      <c r="AF660" s="4"/>
      <c r="AG660" s="41">
        <f>SUM(AG617:AG659)</f>
        <v>38502</v>
      </c>
      <c r="AH660" s="41">
        <f>SUM(AH617:AH641)</f>
        <v>0</v>
      </c>
      <c r="AI660" s="42">
        <f>SUM(AI617:AI659)</f>
        <v>472883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35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35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35</v>
      </c>
      <c r="Z667" s="57"/>
      <c r="AA667" s="57"/>
      <c r="AB667" s="57"/>
      <c r="AC667" s="57"/>
      <c r="AD667" s="57"/>
      <c r="AE667" s="57"/>
      <c r="AG667" s="57" t="s">
        <v>15</v>
      </c>
      <c r="AH667" s="19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74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74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42</v>
      </c>
      <c r="W668" s="24"/>
      <c r="Y668" s="21" t="s">
        <v>74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1" t="s">
        <v>17</v>
      </c>
      <c r="E670" s="111"/>
      <c r="F670" s="103"/>
      <c r="G670" s="27"/>
      <c r="I670" s="114" t="s">
        <v>18</v>
      </c>
      <c r="J670" s="115"/>
      <c r="K670" s="112" t="s">
        <v>19</v>
      </c>
      <c r="N670" s="25"/>
      <c r="O670" s="26"/>
      <c r="P670" s="111" t="s">
        <v>17</v>
      </c>
      <c r="Q670" s="111"/>
      <c r="R670" s="103"/>
      <c r="S670" s="27"/>
      <c r="U670" s="114" t="s">
        <v>18</v>
      </c>
      <c r="V670" s="115"/>
      <c r="W670" s="112" t="s">
        <v>19</v>
      </c>
      <c r="Z670" s="25"/>
      <c r="AA670" s="26"/>
      <c r="AB670" s="111" t="s">
        <v>17</v>
      </c>
      <c r="AC670" s="111"/>
      <c r="AD670" s="103"/>
      <c r="AE670" s="27"/>
      <c r="AG670" s="114" t="s">
        <v>18</v>
      </c>
      <c r="AH670" s="115"/>
      <c r="AI670" s="112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3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3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75</v>
      </c>
      <c r="C672" s="91">
        <v>7251</v>
      </c>
      <c r="D672" s="32">
        <f>11268+1192</f>
        <v>12460</v>
      </c>
      <c r="E672" s="32"/>
      <c r="F672" s="32"/>
      <c r="G672" s="32">
        <f t="shared" ref="G672:G705" si="185">SUM(D672:E672)</f>
        <v>12460</v>
      </c>
      <c r="H672" s="12"/>
      <c r="I672" s="12"/>
      <c r="J672" s="12">
        <v>-888</v>
      </c>
      <c r="K672" s="12">
        <f t="shared" ref="K672:K705" si="186">SUM(G672:J672)</f>
        <v>11572</v>
      </c>
      <c r="M672" s="10">
        <v>1</v>
      </c>
      <c r="N672" s="30" t="s">
        <v>75</v>
      </c>
      <c r="O672" s="31">
        <v>7191</v>
      </c>
      <c r="P672" s="32">
        <f>626*11+614</f>
        <v>7500</v>
      </c>
      <c r="Q672" s="32"/>
      <c r="R672" s="32"/>
      <c r="S672" s="32">
        <f>SUM(P672:Q672)</f>
        <v>7500</v>
      </c>
      <c r="T672" s="12"/>
      <c r="U672" s="12"/>
      <c r="V672" s="12"/>
      <c r="W672" s="12">
        <f>SUM(S672:V672)</f>
        <v>7500</v>
      </c>
      <c r="Y672" s="10">
        <v>1</v>
      </c>
      <c r="Z672" s="30" t="s">
        <v>75</v>
      </c>
      <c r="AA672" s="31">
        <v>7133</v>
      </c>
      <c r="AB672" s="32">
        <f>5008</f>
        <v>5008</v>
      </c>
      <c r="AC672" s="32"/>
      <c r="AD672" s="32"/>
      <c r="AE672" s="32">
        <f>SUM(AB672:AC672)</f>
        <v>5008</v>
      </c>
      <c r="AF672" s="12"/>
      <c r="AG672" s="12"/>
      <c r="AH672" s="12">
        <v>-1332</v>
      </c>
      <c r="AI672" s="12">
        <f>SUM(AE672:AH672)</f>
        <v>3676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75</v>
      </c>
      <c r="C673" s="91">
        <f>C672+1</f>
        <v>7252</v>
      </c>
      <c r="D673" s="32">
        <f>39438+1842+2980</f>
        <v>44260</v>
      </c>
      <c r="E673" s="32"/>
      <c r="F673" s="32"/>
      <c r="G673" s="32">
        <f t="shared" si="185"/>
        <v>44260</v>
      </c>
      <c r="H673" s="12"/>
      <c r="I673" s="12">
        <v>30</v>
      </c>
      <c r="J673" s="12"/>
      <c r="K673" s="12">
        <f t="shared" si="186"/>
        <v>44290</v>
      </c>
      <c r="M673" s="10">
        <v>2</v>
      </c>
      <c r="N673" s="30" t="s">
        <v>75</v>
      </c>
      <c r="O673" s="31">
        <f>O672+1</f>
        <v>7192</v>
      </c>
      <c r="P673" s="32">
        <f>2504+614+38</f>
        <v>3156</v>
      </c>
      <c r="Q673" s="32"/>
      <c r="R673" s="32"/>
      <c r="S673" s="32">
        <f t="shared" ref="S673:S704" si="187">SUM(P673:Q673)</f>
        <v>3156</v>
      </c>
      <c r="T673" s="12"/>
      <c r="U673" s="12"/>
      <c r="V673" s="12"/>
      <c r="W673" s="12">
        <f t="shared" ref="W673:W713" si="188">SUM(S673:V673)</f>
        <v>3156</v>
      </c>
      <c r="Y673" s="10">
        <v>2</v>
      </c>
      <c r="Z673" s="30" t="s">
        <v>75</v>
      </c>
      <c r="AA673" s="31">
        <f>AA672+1</f>
        <v>7134</v>
      </c>
      <c r="AB673" s="32">
        <f>56340+3070+2980+916</f>
        <v>63306</v>
      </c>
      <c r="AC673" s="32">
        <v>-624</v>
      </c>
      <c r="AD673" s="32"/>
      <c r="AE673" s="32">
        <f t="shared" ref="AE673:AE710" si="189">SUM(AB673:AC673)</f>
        <v>62682</v>
      </c>
      <c r="AF673" s="12"/>
      <c r="AG673" s="12"/>
      <c r="AH673" s="12">
        <v>-1110</v>
      </c>
      <c r="AI673" s="12">
        <f t="shared" ref="AI673:AI713" si="190">SUM(AE673:AH673)</f>
        <v>61572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75</v>
      </c>
      <c r="C674" s="91">
        <f t="shared" ref="C674:C687" si="191">C673+1</f>
        <v>7253</v>
      </c>
      <c r="D674" s="33">
        <f>3130+614+674+596+57</f>
        <v>5071</v>
      </c>
      <c r="E674" s="33"/>
      <c r="F674" s="33"/>
      <c r="G674" s="33">
        <f t="shared" si="185"/>
        <v>5071</v>
      </c>
      <c r="H674" s="34"/>
      <c r="I674" s="34">
        <v>108</v>
      </c>
      <c r="J674" s="34"/>
      <c r="K674" s="34">
        <f t="shared" si="186"/>
        <v>5179</v>
      </c>
      <c r="M674" s="10">
        <v>3</v>
      </c>
      <c r="N674" s="30" t="s">
        <v>75</v>
      </c>
      <c r="O674" s="31">
        <f t="shared" ref="O674:O692" si="192">O673+1</f>
        <v>7193</v>
      </c>
      <c r="P674" s="32">
        <f>3756+57</f>
        <v>3813</v>
      </c>
      <c r="Q674" s="32"/>
      <c r="R674" s="32"/>
      <c r="S674" s="32">
        <f t="shared" si="187"/>
        <v>3813</v>
      </c>
      <c r="T674" s="12"/>
      <c r="U674" s="12"/>
      <c r="V674" s="12"/>
      <c r="W674" s="12">
        <f t="shared" si="188"/>
        <v>3813</v>
      </c>
      <c r="Y674" s="10">
        <v>3</v>
      </c>
      <c r="Z674" s="30" t="s">
        <v>75</v>
      </c>
      <c r="AA674" s="31">
        <f t="shared" ref="AA674:AA675" si="193">AA673+1</f>
        <v>7135</v>
      </c>
      <c r="AB674" s="33">
        <f>28170+2384</f>
        <v>30554</v>
      </c>
      <c r="AC674" s="33"/>
      <c r="AD674" s="32"/>
      <c r="AE674" s="32">
        <f t="shared" si="189"/>
        <v>30554</v>
      </c>
      <c r="AF674" s="12"/>
      <c r="AG674" s="12"/>
      <c r="AH674" s="12"/>
      <c r="AI674" s="12">
        <f t="shared" si="190"/>
        <v>30554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75</v>
      </c>
      <c r="C675" s="91">
        <f t="shared" si="191"/>
        <v>7254</v>
      </c>
      <c r="D675" s="32">
        <f>626+9.5</f>
        <v>635.5</v>
      </c>
      <c r="E675" s="32"/>
      <c r="F675" s="32"/>
      <c r="G675" s="32">
        <f t="shared" si="185"/>
        <v>635.5</v>
      </c>
      <c r="H675" s="12"/>
      <c r="I675" s="12"/>
      <c r="J675" s="12"/>
      <c r="K675" s="12">
        <f t="shared" si="186"/>
        <v>635.5</v>
      </c>
      <c r="M675" s="10">
        <v>4</v>
      </c>
      <c r="N675" s="30" t="s">
        <v>75</v>
      </c>
      <c r="O675" s="31">
        <f t="shared" si="192"/>
        <v>7194</v>
      </c>
      <c r="P675" s="32">
        <f>626+9.5</f>
        <v>635.5</v>
      </c>
      <c r="Q675" s="32"/>
      <c r="R675" s="32"/>
      <c r="S675" s="32">
        <f t="shared" si="187"/>
        <v>635.5</v>
      </c>
      <c r="T675" s="12"/>
      <c r="U675" s="12"/>
      <c r="V675" s="12"/>
      <c r="W675" s="12">
        <f t="shared" si="188"/>
        <v>635.5</v>
      </c>
      <c r="Y675" s="10">
        <v>4</v>
      </c>
      <c r="Z675" s="30" t="s">
        <v>75</v>
      </c>
      <c r="AA675" s="31">
        <f t="shared" si="193"/>
        <v>7136</v>
      </c>
      <c r="AB675" s="32">
        <f>28170+2980</f>
        <v>31150</v>
      </c>
      <c r="AC675" s="32"/>
      <c r="AD675" s="32"/>
      <c r="AE675" s="32">
        <f t="shared" si="189"/>
        <v>31150</v>
      </c>
      <c r="AF675" s="12"/>
      <c r="AH675" s="12"/>
      <c r="AI675" s="12">
        <f t="shared" si="190"/>
        <v>31150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 t="s">
        <v>75</v>
      </c>
      <c r="C676" s="91">
        <f t="shared" si="191"/>
        <v>7255</v>
      </c>
      <c r="D676" s="32">
        <f>5634</f>
        <v>5634</v>
      </c>
      <c r="E676" s="32"/>
      <c r="F676" s="32"/>
      <c r="G676" s="32">
        <f t="shared" si="185"/>
        <v>5634</v>
      </c>
      <c r="H676" s="12"/>
      <c r="I676" s="12"/>
      <c r="J676" s="12"/>
      <c r="K676" s="12">
        <f t="shared" si="186"/>
        <v>5634</v>
      </c>
      <c r="M676" s="10">
        <v>5</v>
      </c>
      <c r="N676" s="30" t="s">
        <v>75</v>
      </c>
      <c r="O676" s="31">
        <f t="shared" si="192"/>
        <v>7195</v>
      </c>
      <c r="P676" s="32">
        <f>25040+596*13</f>
        <v>32788</v>
      </c>
      <c r="Q676" s="32">
        <v>-424</v>
      </c>
      <c r="R676" s="32"/>
      <c r="S676" s="32">
        <f t="shared" si="187"/>
        <v>32364</v>
      </c>
      <c r="T676" s="12"/>
      <c r="U676" s="12"/>
      <c r="V676" s="12"/>
      <c r="W676" s="12">
        <f t="shared" si="188"/>
        <v>32364</v>
      </c>
      <c r="Y676" s="10">
        <v>5</v>
      </c>
      <c r="Z676" s="30"/>
      <c r="AA676" s="11" t="s">
        <v>27</v>
      </c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 t="s">
        <v>75</v>
      </c>
      <c r="C677" s="91">
        <f t="shared" si="191"/>
        <v>7256</v>
      </c>
      <c r="D677" s="32">
        <f>6260+95</f>
        <v>6355</v>
      </c>
      <c r="E677" s="32"/>
      <c r="F677" s="32"/>
      <c r="G677" s="32">
        <f t="shared" si="185"/>
        <v>6355</v>
      </c>
      <c r="H677" s="12"/>
      <c r="I677" s="12"/>
      <c r="J677" s="12"/>
      <c r="K677" s="12">
        <f t="shared" si="186"/>
        <v>6355</v>
      </c>
      <c r="M677" s="10">
        <v>6</v>
      </c>
      <c r="N677" s="30" t="s">
        <v>75</v>
      </c>
      <c r="O677" s="31">
        <f t="shared" si="192"/>
        <v>7196</v>
      </c>
      <c r="P677" s="32">
        <f>626*25+596*5</f>
        <v>18630</v>
      </c>
      <c r="Q677" s="32"/>
      <c r="R677" s="32"/>
      <c r="S677" s="32">
        <f t="shared" si="187"/>
        <v>18630</v>
      </c>
      <c r="T677" s="12"/>
      <c r="U677" s="12"/>
      <c r="V677" s="10"/>
      <c r="W677" s="12">
        <f t="shared" si="188"/>
        <v>18630</v>
      </c>
      <c r="Y677" s="10">
        <v>6</v>
      </c>
      <c r="Z677" s="30"/>
      <c r="AA677" s="31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 t="s">
        <v>75</v>
      </c>
      <c r="C678" s="91">
        <f t="shared" si="191"/>
        <v>7257</v>
      </c>
      <c r="D678" s="32">
        <f>626+614+9.5</f>
        <v>1249.5</v>
      </c>
      <c r="E678" s="32"/>
      <c r="F678" s="32"/>
      <c r="G678" s="32">
        <f t="shared" si="185"/>
        <v>1249.5</v>
      </c>
      <c r="H678" s="12"/>
      <c r="I678" s="12"/>
      <c r="J678" s="12"/>
      <c r="K678" s="12">
        <f t="shared" si="186"/>
        <v>1249.5</v>
      </c>
      <c r="M678" s="10">
        <v>7</v>
      </c>
      <c r="N678" s="30" t="s">
        <v>75</v>
      </c>
      <c r="O678" s="31">
        <f t="shared" si="192"/>
        <v>7197</v>
      </c>
      <c r="P678" s="32">
        <f>1878+1192+47.5</f>
        <v>3117.5</v>
      </c>
      <c r="Q678" s="32"/>
      <c r="R678" s="32"/>
      <c r="S678" s="32">
        <f t="shared" si="187"/>
        <v>3117.5</v>
      </c>
      <c r="T678" s="12"/>
      <c r="U678" s="12"/>
      <c r="V678" s="12"/>
      <c r="W678" s="12">
        <f t="shared" si="188"/>
        <v>3117.5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 t="s">
        <v>75</v>
      </c>
      <c r="C679" s="91">
        <f t="shared" si="191"/>
        <v>7258</v>
      </c>
      <c r="D679" s="32">
        <f>1878+28</f>
        <v>1906</v>
      </c>
      <c r="E679" s="32"/>
      <c r="F679" s="32"/>
      <c r="G679" s="32">
        <f t="shared" si="185"/>
        <v>1906</v>
      </c>
      <c r="H679" s="12"/>
      <c r="I679" s="12"/>
      <c r="J679" s="12"/>
      <c r="K679" s="12">
        <f t="shared" si="186"/>
        <v>1906</v>
      </c>
      <c r="M679" s="10">
        <v>8</v>
      </c>
      <c r="N679" s="30" t="s">
        <v>75</v>
      </c>
      <c r="O679" s="31">
        <f t="shared" si="192"/>
        <v>7198</v>
      </c>
      <c r="P679" s="32">
        <f>21910+4172+229</f>
        <v>26311</v>
      </c>
      <c r="Q679" s="32"/>
      <c r="R679" s="32"/>
      <c r="S679" s="32">
        <f t="shared" si="187"/>
        <v>26311</v>
      </c>
      <c r="T679" s="12"/>
      <c r="U679" s="12"/>
      <c r="V679" s="12"/>
      <c r="W679" s="12">
        <f t="shared" si="188"/>
        <v>26311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 t="s">
        <v>75</v>
      </c>
      <c r="C680" s="91">
        <f t="shared" si="191"/>
        <v>7259</v>
      </c>
      <c r="D680" s="32">
        <f>1252+19</f>
        <v>1271</v>
      </c>
      <c r="E680" s="32"/>
      <c r="F680" s="32"/>
      <c r="G680" s="32">
        <f t="shared" si="185"/>
        <v>1271</v>
      </c>
      <c r="H680" s="12"/>
      <c r="I680" s="12"/>
      <c r="J680" s="12"/>
      <c r="K680" s="12">
        <f t="shared" si="186"/>
        <v>1271</v>
      </c>
      <c r="M680" s="10">
        <v>9</v>
      </c>
      <c r="N680" s="30" t="s">
        <v>75</v>
      </c>
      <c r="O680" s="31">
        <f t="shared" si="192"/>
        <v>7199</v>
      </c>
      <c r="P680" s="32">
        <f>626+9.5</f>
        <v>635.5</v>
      </c>
      <c r="Q680" s="32"/>
      <c r="R680" s="32"/>
      <c r="S680" s="32">
        <f t="shared" si="187"/>
        <v>635.5</v>
      </c>
      <c r="T680" s="12"/>
      <c r="U680" s="12"/>
      <c r="V680" s="12"/>
      <c r="W680" s="12">
        <f t="shared" si="188"/>
        <v>635.5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G680" s="58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 t="s">
        <v>75</v>
      </c>
      <c r="C681" s="91">
        <f t="shared" si="191"/>
        <v>7260</v>
      </c>
      <c r="D681" s="32">
        <f>1252+19</f>
        <v>1271</v>
      </c>
      <c r="E681" s="32"/>
      <c r="F681" s="32"/>
      <c r="G681" s="32">
        <f t="shared" si="185"/>
        <v>1271</v>
      </c>
      <c r="H681" s="12"/>
      <c r="I681" s="12"/>
      <c r="J681" s="12"/>
      <c r="K681" s="12">
        <f t="shared" si="186"/>
        <v>1271</v>
      </c>
      <c r="M681" s="10">
        <v>10</v>
      </c>
      <c r="N681" s="30" t="s">
        <v>75</v>
      </c>
      <c r="O681" s="31">
        <f t="shared" si="192"/>
        <v>7200</v>
      </c>
      <c r="P681" s="32">
        <f>2384+832+38</f>
        <v>3254</v>
      </c>
      <c r="Q681" s="32"/>
      <c r="R681" s="32"/>
      <c r="S681" s="32">
        <f t="shared" si="187"/>
        <v>3254</v>
      </c>
      <c r="T681" s="12"/>
      <c r="U681" s="12">
        <v>90</v>
      </c>
      <c r="V681" s="12"/>
      <c r="W681" s="12">
        <f t="shared" si="188"/>
        <v>3344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 t="s">
        <v>75</v>
      </c>
      <c r="C682" s="91">
        <f t="shared" si="191"/>
        <v>7261</v>
      </c>
      <c r="D682" s="32">
        <f>3130+614+47.5</f>
        <v>3791.5</v>
      </c>
      <c r="E682" s="32"/>
      <c r="F682" s="32"/>
      <c r="G682" s="32">
        <f t="shared" si="185"/>
        <v>3791.5</v>
      </c>
      <c r="H682" s="12"/>
      <c r="I682" s="12"/>
      <c r="J682" s="12"/>
      <c r="K682" s="12">
        <f t="shared" si="186"/>
        <v>3791.5</v>
      </c>
      <c r="M682" s="10">
        <v>11</v>
      </c>
      <c r="N682" s="30" t="s">
        <v>75</v>
      </c>
      <c r="O682" s="31">
        <f t="shared" si="192"/>
        <v>7201</v>
      </c>
      <c r="P682" s="32">
        <f>1192+19</f>
        <v>1211</v>
      </c>
      <c r="Q682" s="32"/>
      <c r="R682" s="32"/>
      <c r="S682" s="32">
        <f t="shared" si="187"/>
        <v>1211</v>
      </c>
      <c r="T682" s="12"/>
      <c r="U682" s="12"/>
      <c r="V682" s="12"/>
      <c r="W682" s="12">
        <f t="shared" si="188"/>
        <v>1211</v>
      </c>
      <c r="Y682" s="10">
        <v>11</v>
      </c>
      <c r="Z682" s="30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 t="s">
        <v>75</v>
      </c>
      <c r="C683" s="91">
        <f t="shared" si="191"/>
        <v>7262</v>
      </c>
      <c r="D683" s="32">
        <f>1252+614+596+28.5</f>
        <v>2490.5</v>
      </c>
      <c r="E683" s="32"/>
      <c r="F683" s="32"/>
      <c r="G683" s="32">
        <f t="shared" si="185"/>
        <v>2490.5</v>
      </c>
      <c r="H683" s="12"/>
      <c r="I683" s="12"/>
      <c r="J683" s="10"/>
      <c r="K683" s="12">
        <f t="shared" si="186"/>
        <v>2490.5</v>
      </c>
      <c r="M683" s="10">
        <v>12</v>
      </c>
      <c r="N683" s="30" t="s">
        <v>75</v>
      </c>
      <c r="O683" s="31">
        <f t="shared" si="192"/>
        <v>7202</v>
      </c>
      <c r="P683" s="32">
        <f>1252+614+19</f>
        <v>1885</v>
      </c>
      <c r="Q683" s="32"/>
      <c r="R683" s="32"/>
      <c r="S683" s="32">
        <f t="shared" si="187"/>
        <v>1885</v>
      </c>
      <c r="T683" s="12"/>
      <c r="U683" s="12"/>
      <c r="V683" s="12"/>
      <c r="W683" s="12">
        <f t="shared" si="188"/>
        <v>1885</v>
      </c>
      <c r="Y683" s="10">
        <v>12</v>
      </c>
      <c r="Z683" s="30"/>
      <c r="AA683" s="31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 t="s">
        <v>75</v>
      </c>
      <c r="C684" s="91">
        <f t="shared" si="191"/>
        <v>7263</v>
      </c>
      <c r="D684" s="32">
        <f>3130+47.5</f>
        <v>3177.5</v>
      </c>
      <c r="E684" s="32"/>
      <c r="F684" s="32"/>
      <c r="G684" s="32">
        <f t="shared" si="185"/>
        <v>3177.5</v>
      </c>
      <c r="H684" s="12"/>
      <c r="I684" s="12"/>
      <c r="J684" s="12"/>
      <c r="K684" s="12">
        <f t="shared" si="186"/>
        <v>3177.5</v>
      </c>
      <c r="M684" s="10">
        <v>13</v>
      </c>
      <c r="N684" s="30" t="s">
        <v>75</v>
      </c>
      <c r="O684" s="31">
        <f t="shared" si="192"/>
        <v>7203</v>
      </c>
      <c r="P684" s="32">
        <f>1252+19</f>
        <v>1271</v>
      </c>
      <c r="Q684" s="32"/>
      <c r="R684" s="32"/>
      <c r="S684" s="32">
        <f t="shared" si="187"/>
        <v>1271</v>
      </c>
      <c r="T684" s="12"/>
      <c r="U684" s="12"/>
      <c r="V684" s="12"/>
      <c r="W684" s="12">
        <f t="shared" si="188"/>
        <v>1271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 t="s">
        <v>75</v>
      </c>
      <c r="C685" s="91">
        <f t="shared" si="191"/>
        <v>7264</v>
      </c>
      <c r="D685" s="32">
        <f>8764+1788+9.5*17</f>
        <v>10713.5</v>
      </c>
      <c r="E685" s="32"/>
      <c r="F685" s="32"/>
      <c r="G685" s="32">
        <f t="shared" si="185"/>
        <v>10713.5</v>
      </c>
      <c r="H685" s="12"/>
      <c r="I685" s="12"/>
      <c r="J685" s="12">
        <v>-444</v>
      </c>
      <c r="K685" s="12">
        <f t="shared" si="186"/>
        <v>10269.5</v>
      </c>
      <c r="M685" s="10">
        <v>14</v>
      </c>
      <c r="N685" s="30" t="s">
        <v>75</v>
      </c>
      <c r="O685" s="31">
        <f t="shared" si="192"/>
        <v>7204</v>
      </c>
      <c r="P685" s="32">
        <f>1252</f>
        <v>1252</v>
      </c>
      <c r="Q685" s="32"/>
      <c r="R685" s="32"/>
      <c r="S685" s="32">
        <f t="shared" si="187"/>
        <v>1252</v>
      </c>
      <c r="T685" s="12"/>
      <c r="U685" s="12"/>
      <c r="V685" s="12"/>
      <c r="W685" s="12">
        <f t="shared" si="188"/>
        <v>1252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 t="s">
        <v>75</v>
      </c>
      <c r="C686" s="91">
        <f t="shared" si="191"/>
        <v>7265</v>
      </c>
      <c r="D686" s="32">
        <f>626*120+614*2+852+1005+1175+1145+500</f>
        <v>81025</v>
      </c>
      <c r="E686" s="32"/>
      <c r="F686" s="32"/>
      <c r="G686" s="32">
        <f t="shared" si="185"/>
        <v>81025</v>
      </c>
      <c r="H686" s="12"/>
      <c r="I686" s="12">
        <f>156+756+27</f>
        <v>939</v>
      </c>
      <c r="J686" s="12"/>
      <c r="K686" s="12">
        <f t="shared" si="186"/>
        <v>81964</v>
      </c>
      <c r="M686" s="10">
        <v>15</v>
      </c>
      <c r="N686" s="30" t="s">
        <v>75</v>
      </c>
      <c r="O686" s="31">
        <f t="shared" si="192"/>
        <v>7205</v>
      </c>
      <c r="P686" s="32">
        <f>5008+614+76</f>
        <v>5698</v>
      </c>
      <c r="Q686" s="32"/>
      <c r="R686" s="32"/>
      <c r="S686" s="32">
        <f t="shared" si="187"/>
        <v>5698</v>
      </c>
      <c r="T686" s="12"/>
      <c r="U686" s="12"/>
      <c r="V686" s="12"/>
      <c r="W686" s="12">
        <f t="shared" si="188"/>
        <v>5698</v>
      </c>
      <c r="Y686" s="10">
        <v>15</v>
      </c>
      <c r="Z686" s="30"/>
      <c r="AA686" s="31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 t="s">
        <v>75</v>
      </c>
      <c r="C687" s="91">
        <f t="shared" si="191"/>
        <v>7266</v>
      </c>
      <c r="D687" s="32">
        <f>1788+9.5*3</f>
        <v>1816.5</v>
      </c>
      <c r="E687" s="32"/>
      <c r="F687" s="32"/>
      <c r="G687" s="32">
        <f t="shared" si="185"/>
        <v>1816.5</v>
      </c>
      <c r="H687" s="12"/>
      <c r="I687" s="12"/>
      <c r="J687" s="12"/>
      <c r="K687" s="12">
        <f t="shared" si="186"/>
        <v>1816.5</v>
      </c>
      <c r="M687" s="10">
        <v>16</v>
      </c>
      <c r="N687" s="30" t="s">
        <v>75</v>
      </c>
      <c r="O687" s="31">
        <f t="shared" si="192"/>
        <v>7206</v>
      </c>
      <c r="P687" s="32">
        <f>6260+95</f>
        <v>6355</v>
      </c>
      <c r="Q687" s="32"/>
      <c r="R687" s="32"/>
      <c r="S687" s="32">
        <f t="shared" si="187"/>
        <v>6355</v>
      </c>
      <c r="T687" s="12"/>
      <c r="U687" s="12"/>
      <c r="V687" s="12"/>
      <c r="W687" s="12">
        <f t="shared" si="188"/>
        <v>6355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11" t="s">
        <v>27</v>
      </c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 t="s">
        <v>75</v>
      </c>
      <c r="O688" s="31">
        <f t="shared" si="192"/>
        <v>7207</v>
      </c>
      <c r="P688" s="35">
        <f>6886+104.5</f>
        <v>6990.5</v>
      </c>
      <c r="Q688" s="32"/>
      <c r="R688" s="32"/>
      <c r="S688" s="32">
        <f t="shared" si="187"/>
        <v>6990.5</v>
      </c>
      <c r="T688" s="12"/>
      <c r="U688" s="12"/>
      <c r="V688" s="12"/>
      <c r="W688" s="12">
        <f t="shared" si="188"/>
        <v>6990.5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 t="s">
        <v>75</v>
      </c>
      <c r="O689" s="31">
        <f t="shared" si="192"/>
        <v>7208</v>
      </c>
      <c r="P689" s="32">
        <f>1252+19</f>
        <v>1271</v>
      </c>
      <c r="Q689" s="32"/>
      <c r="R689" s="32"/>
      <c r="S689" s="32">
        <f t="shared" si="187"/>
        <v>1271</v>
      </c>
      <c r="T689" s="12"/>
      <c r="U689" s="12"/>
      <c r="V689" s="12"/>
      <c r="W689" s="12">
        <f t="shared" si="188"/>
        <v>1271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91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 t="s">
        <v>75</v>
      </c>
      <c r="O690" s="31">
        <f t="shared" si="192"/>
        <v>7209</v>
      </c>
      <c r="P690" s="32">
        <f>626+9.5</f>
        <v>635.5</v>
      </c>
      <c r="Q690" s="32"/>
      <c r="R690" s="32"/>
      <c r="S690" s="32">
        <f t="shared" si="187"/>
        <v>635.5</v>
      </c>
      <c r="T690" s="12"/>
      <c r="U690" s="12"/>
      <c r="V690" s="12"/>
      <c r="W690" s="12">
        <f t="shared" si="188"/>
        <v>635.5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91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 t="s">
        <v>75</v>
      </c>
      <c r="O691" s="31">
        <f t="shared" si="192"/>
        <v>7210</v>
      </c>
      <c r="P691" s="32">
        <f>1252+19</f>
        <v>1271</v>
      </c>
      <c r="Q691" s="32"/>
      <c r="R691" s="32"/>
      <c r="S691" s="32">
        <f t="shared" si="187"/>
        <v>1271</v>
      </c>
      <c r="T691" s="12"/>
      <c r="U691" s="12"/>
      <c r="V691" s="12"/>
      <c r="W691" s="12">
        <f t="shared" si="188"/>
        <v>1271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 t="s">
        <v>75</v>
      </c>
      <c r="O692" s="31">
        <f t="shared" si="192"/>
        <v>7211</v>
      </c>
      <c r="P692" s="46">
        <f>1878</f>
        <v>1878</v>
      </c>
      <c r="Q692" s="31"/>
      <c r="R692" s="31"/>
      <c r="S692" s="32">
        <f t="shared" si="187"/>
        <v>1878</v>
      </c>
      <c r="T692" s="10"/>
      <c r="U692" s="10"/>
      <c r="V692" s="10"/>
      <c r="W692" s="12">
        <f t="shared" si="188"/>
        <v>1878</v>
      </c>
      <c r="Y692" s="10">
        <v>21</v>
      </c>
      <c r="Z692" s="30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11" t="s">
        <v>27</v>
      </c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91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C694" s="31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91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1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91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91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91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91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91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91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91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91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P705" s="47"/>
      <c r="Q705" s="31"/>
      <c r="R705" s="31"/>
      <c r="S705" s="32">
        <f t="shared" ref="S705:S710" si="194">SUM(P705:Q705)</f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194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94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194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94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94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5">SUM(D712:E712)</f>
        <v>0</v>
      </c>
      <c r="H712" s="10"/>
      <c r="I712" s="10"/>
      <c r="J712" s="10"/>
      <c r="K712" s="12">
        <f t="shared" ref="K712" si="196">SUM(G712:J712)</f>
        <v>0</v>
      </c>
      <c r="M712" s="10"/>
      <c r="N712" s="30"/>
      <c r="O712" s="31"/>
      <c r="P712" s="47"/>
      <c r="Q712" s="31"/>
      <c r="R712" s="31"/>
      <c r="S712" s="32">
        <f t="shared" ref="S712" si="197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8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183127.5</v>
      </c>
      <c r="E715" s="38">
        <f t="shared" ref="E715:F715" si="199">SUM(E672:E712)</f>
        <v>0</v>
      </c>
      <c r="F715" s="38">
        <f t="shared" si="199"/>
        <v>0</v>
      </c>
      <c r="G715" s="38">
        <f>SUM(G672:G714)</f>
        <v>183127.5</v>
      </c>
      <c r="H715" s="4"/>
      <c r="I715" s="39">
        <f>SUM(I672:I714)</f>
        <v>1077</v>
      </c>
      <c r="J715" s="39">
        <f>SUM(J672:J714)</f>
        <v>-1332</v>
      </c>
      <c r="K715" s="40">
        <f>SUM(K672:K714)</f>
        <v>182872.5</v>
      </c>
      <c r="N715" s="57"/>
      <c r="O715" s="57"/>
      <c r="P715" s="38">
        <f>SUM(P672:P714)</f>
        <v>129558.5</v>
      </c>
      <c r="Q715" s="38">
        <f>SUM(Q672:Q696)</f>
        <v>-424</v>
      </c>
      <c r="R715" s="38">
        <f>SUM(R672:R696)</f>
        <v>0</v>
      </c>
      <c r="S715" s="38">
        <f>SUM(S672:S714)</f>
        <v>129134.5</v>
      </c>
      <c r="T715" s="4"/>
      <c r="U715" s="41">
        <f>SUM(U672:U714)</f>
        <v>90</v>
      </c>
      <c r="V715" s="41">
        <f>SUM(V672:V696)</f>
        <v>0</v>
      </c>
      <c r="W715" s="42">
        <f>SUM(W672:W714)</f>
        <v>129224.5</v>
      </c>
      <c r="Z715" s="57"/>
      <c r="AA715" s="57"/>
      <c r="AB715" s="38">
        <f>SUM(AB672:AB714)</f>
        <v>130018</v>
      </c>
      <c r="AC715" s="38">
        <f>SUM(AC672:AC696)</f>
        <v>-624</v>
      </c>
      <c r="AD715" s="38">
        <f>SUM(AD672:AD696)</f>
        <v>0</v>
      </c>
      <c r="AE715" s="38">
        <f>SUM(AE672:AE714)</f>
        <v>129394</v>
      </c>
      <c r="AF715" s="4"/>
      <c r="AG715" s="41">
        <f>SUM(AG672:AG714)</f>
        <v>0</v>
      </c>
      <c r="AH715" s="41">
        <f>SUM(AH672:AH696)</f>
        <v>-2442</v>
      </c>
      <c r="AI715" s="42">
        <f>SUM(AI672:AI714)</f>
        <v>126952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40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40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40</v>
      </c>
      <c r="Z722" s="57"/>
      <c r="AA722" s="57"/>
      <c r="AB722" s="57"/>
      <c r="AC722" s="57"/>
      <c r="AD722" s="57"/>
      <c r="AE722" s="57"/>
      <c r="AG722" s="57" t="s">
        <v>15</v>
      </c>
      <c r="AH722" s="19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77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77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42</v>
      </c>
      <c r="W723" s="24"/>
      <c r="Y723" s="21" t="s">
        <v>77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1" t="s">
        <v>17</v>
      </c>
      <c r="E725" s="111"/>
      <c r="F725" s="104"/>
      <c r="G725" s="27"/>
      <c r="I725" s="114" t="s">
        <v>18</v>
      </c>
      <c r="J725" s="115"/>
      <c r="K725" s="112" t="s">
        <v>19</v>
      </c>
      <c r="N725" s="25"/>
      <c r="O725" s="26"/>
      <c r="P725" s="111" t="s">
        <v>17</v>
      </c>
      <c r="Q725" s="111"/>
      <c r="R725" s="104"/>
      <c r="S725" s="27"/>
      <c r="U725" s="114" t="s">
        <v>18</v>
      </c>
      <c r="V725" s="115"/>
      <c r="W725" s="112" t="s">
        <v>19</v>
      </c>
      <c r="Z725" s="25"/>
      <c r="AA725" s="26"/>
      <c r="AB725" s="111" t="s">
        <v>17</v>
      </c>
      <c r="AC725" s="111"/>
      <c r="AD725" s="104"/>
      <c r="AE725" s="27"/>
      <c r="AG725" s="114" t="s">
        <v>18</v>
      </c>
      <c r="AH725" s="115"/>
      <c r="AI725" s="112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3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3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78</v>
      </c>
      <c r="C727" s="91">
        <v>7268</v>
      </c>
      <c r="D727" s="32">
        <f>3756+57</f>
        <v>3813</v>
      </c>
      <c r="E727" s="32"/>
      <c r="F727" s="32"/>
      <c r="G727" s="32">
        <f t="shared" ref="G727:G771" si="200">SUM(D727:E727)</f>
        <v>3813</v>
      </c>
      <c r="H727" s="12"/>
      <c r="I727" s="12"/>
      <c r="J727" s="12"/>
      <c r="K727" s="12">
        <f t="shared" ref="K727:K771" si="201">SUM(G727:J727)</f>
        <v>3813</v>
      </c>
      <c r="M727" s="10">
        <v>1</v>
      </c>
      <c r="N727" s="30" t="s">
        <v>78</v>
      </c>
      <c r="O727" s="31">
        <v>7212</v>
      </c>
      <c r="P727" s="32">
        <f>123948+1832+1300</f>
        <v>127080</v>
      </c>
      <c r="Q727" s="32">
        <v>-1854</v>
      </c>
      <c r="R727" s="32"/>
      <c r="S727" s="32">
        <f>SUM(P727:Q727)</f>
        <v>125226</v>
      </c>
      <c r="T727" s="12"/>
      <c r="U727" s="12">
        <f>1110+546</f>
        <v>1656</v>
      </c>
      <c r="V727" s="12">
        <f>-120+-360+-1176+-84</f>
        <v>-1740</v>
      </c>
      <c r="W727" s="12">
        <f>SUM(S727:V727)</f>
        <v>125142</v>
      </c>
      <c r="Y727" s="10">
        <v>1</v>
      </c>
      <c r="Z727" s="30" t="s">
        <v>78</v>
      </c>
      <c r="AA727" s="31">
        <v>7137</v>
      </c>
      <c r="AB727" s="32">
        <f>62600+1175+916</f>
        <v>64691</v>
      </c>
      <c r="AC727" s="32">
        <v>-630</v>
      </c>
      <c r="AD727" s="32"/>
      <c r="AE727" s="32">
        <f>SUM(AB727:AC727)</f>
        <v>64061</v>
      </c>
      <c r="AF727" s="12"/>
      <c r="AG727" s="12">
        <f>6549+234</f>
        <v>6783</v>
      </c>
      <c r="AH727" s="12">
        <f>-168+-210</f>
        <v>-378</v>
      </c>
      <c r="AI727" s="12">
        <f>SUM(AE727:AH727)</f>
        <v>70466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78</v>
      </c>
      <c r="C728" s="91">
        <f>C727+1</f>
        <v>7269</v>
      </c>
      <c r="D728" s="32">
        <f>2504+614+852</f>
        <v>3970</v>
      </c>
      <c r="E728" s="32"/>
      <c r="F728" s="32"/>
      <c r="G728" s="32">
        <f t="shared" si="200"/>
        <v>3970</v>
      </c>
      <c r="H728" s="12"/>
      <c r="I728" s="12"/>
      <c r="J728" s="12"/>
      <c r="K728" s="12">
        <f t="shared" si="201"/>
        <v>3970</v>
      </c>
      <c r="M728" s="10">
        <v>2</v>
      </c>
      <c r="N728" s="30" t="s">
        <v>78</v>
      </c>
      <c r="O728" s="31">
        <f>O727+1</f>
        <v>7213</v>
      </c>
      <c r="P728" s="32">
        <f>5634+85.5</f>
        <v>5719.5</v>
      </c>
      <c r="Q728" s="32"/>
      <c r="R728" s="32"/>
      <c r="S728" s="32">
        <f t="shared" ref="S728:S771" si="202">SUM(P728:Q728)</f>
        <v>5719.5</v>
      </c>
      <c r="T728" s="12"/>
      <c r="U728" s="12"/>
      <c r="V728" s="12">
        <v>-666</v>
      </c>
      <c r="W728" s="12">
        <f t="shared" ref="W728:W771" si="203">SUM(S728:V728)</f>
        <v>5053.5</v>
      </c>
      <c r="Y728" s="10">
        <v>2</v>
      </c>
      <c r="Z728" s="30" t="s">
        <v>78</v>
      </c>
      <c r="AA728" s="31">
        <f>AA727+1</f>
        <v>7138</v>
      </c>
      <c r="AB728" s="32">
        <f>202824+11052+47680+2556+2010+2496+3893</f>
        <v>272511</v>
      </c>
      <c r="AC728" s="32">
        <v>-2682</v>
      </c>
      <c r="AD728" s="32"/>
      <c r="AE728" s="32">
        <f t="shared" ref="AE728:AE771" si="204">SUM(AB728:AC728)</f>
        <v>269829</v>
      </c>
      <c r="AF728" s="12"/>
      <c r="AG728" s="12">
        <f>360+546+252</f>
        <v>1158</v>
      </c>
      <c r="AH728" s="12"/>
      <c r="AI728" s="12">
        <f t="shared" ref="AI728:AI771" si="205">SUM(AE728:AH728)</f>
        <v>270987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78</v>
      </c>
      <c r="C729" s="91">
        <f t="shared" ref="C729:C755" si="206">C728+1</f>
        <v>7270</v>
      </c>
      <c r="D729" s="33">
        <f>5008+1228</f>
        <v>6236</v>
      </c>
      <c r="E729" s="33"/>
      <c r="F729" s="33"/>
      <c r="G729" s="33">
        <f t="shared" si="200"/>
        <v>6236</v>
      </c>
      <c r="H729" s="34"/>
      <c r="I729" s="34"/>
      <c r="J729" s="34"/>
      <c r="K729" s="34">
        <f t="shared" si="201"/>
        <v>6236</v>
      </c>
      <c r="M729" s="10">
        <v>3</v>
      </c>
      <c r="N729" s="30" t="s">
        <v>78</v>
      </c>
      <c r="O729" s="31">
        <f t="shared" ref="O729:O747" si="207">O728+1</f>
        <v>7214</v>
      </c>
      <c r="P729" s="32">
        <v>4465.5</v>
      </c>
      <c r="Q729" s="32"/>
      <c r="R729" s="32"/>
      <c r="S729" s="32">
        <f t="shared" si="202"/>
        <v>4465.5</v>
      </c>
      <c r="T729" s="12"/>
      <c r="U729" s="12">
        <f>222+1.5+13.5</f>
        <v>237</v>
      </c>
      <c r="V729" s="12"/>
      <c r="W729" s="12">
        <f t="shared" si="203"/>
        <v>4702.5</v>
      </c>
      <c r="Y729" s="10">
        <v>3</v>
      </c>
      <c r="Z729" s="30" t="s">
        <v>78</v>
      </c>
      <c r="AA729" s="31">
        <f t="shared" ref="AA729:AA741" si="208">AA728+1</f>
        <v>7139</v>
      </c>
      <c r="AB729" s="33">
        <f>20032+1228+11324+458+1000</f>
        <v>34042</v>
      </c>
      <c r="AC729" s="33">
        <v>-300</v>
      </c>
      <c r="AD729" s="32"/>
      <c r="AE729" s="32">
        <f t="shared" si="204"/>
        <v>33742</v>
      </c>
      <c r="AF729" s="12"/>
      <c r="AG729" s="12"/>
      <c r="AH729" s="12"/>
      <c r="AI729" s="12">
        <f t="shared" si="205"/>
        <v>33742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78</v>
      </c>
      <c r="C730" s="91">
        <f t="shared" si="206"/>
        <v>7271</v>
      </c>
      <c r="D730" s="32">
        <f>8138+123.5</f>
        <v>8261.5</v>
      </c>
      <c r="E730" s="32"/>
      <c r="F730" s="32"/>
      <c r="G730" s="32">
        <f t="shared" si="200"/>
        <v>8261.5</v>
      </c>
      <c r="H730" s="12"/>
      <c r="I730" s="12"/>
      <c r="J730" s="12"/>
      <c r="K730" s="12">
        <f t="shared" si="201"/>
        <v>8261.5</v>
      </c>
      <c r="M730" s="10">
        <v>4</v>
      </c>
      <c r="N730" s="30" t="s">
        <v>78</v>
      </c>
      <c r="O730" s="31">
        <f t="shared" si="207"/>
        <v>7215</v>
      </c>
      <c r="P730" s="32">
        <f>614</f>
        <v>614</v>
      </c>
      <c r="Q730" s="32"/>
      <c r="R730" s="32"/>
      <c r="S730" s="32">
        <f t="shared" si="202"/>
        <v>614</v>
      </c>
      <c r="T730" s="12"/>
      <c r="U730" s="12"/>
      <c r="V730" s="12"/>
      <c r="W730" s="12">
        <f t="shared" si="203"/>
        <v>614</v>
      </c>
      <c r="Y730" s="10">
        <v>4</v>
      </c>
      <c r="Z730" s="30" t="s">
        <v>78</v>
      </c>
      <c r="AA730" s="31">
        <f t="shared" si="208"/>
        <v>7140</v>
      </c>
      <c r="AB730" s="32">
        <f>3130+1788</f>
        <v>4918</v>
      </c>
      <c r="AC730" s="32"/>
      <c r="AD730" s="32"/>
      <c r="AE730" s="32">
        <f t="shared" si="204"/>
        <v>4918</v>
      </c>
      <c r="AF730" s="12"/>
      <c r="AH730" s="12"/>
      <c r="AI730" s="12">
        <f t="shared" si="205"/>
        <v>4918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78</v>
      </c>
      <c r="C731" s="91">
        <f t="shared" si="206"/>
        <v>7272</v>
      </c>
      <c r="D731" s="32">
        <f>3756+57</f>
        <v>3813</v>
      </c>
      <c r="E731" s="32"/>
      <c r="F731" s="32"/>
      <c r="G731" s="32">
        <f t="shared" si="200"/>
        <v>3813</v>
      </c>
      <c r="H731" s="12"/>
      <c r="I731" s="12">
        <v>18</v>
      </c>
      <c r="J731" s="12"/>
      <c r="K731" s="12">
        <f t="shared" si="201"/>
        <v>3831</v>
      </c>
      <c r="M731" s="10">
        <v>5</v>
      </c>
      <c r="N731" s="30" t="s">
        <v>78</v>
      </c>
      <c r="O731" s="31">
        <f t="shared" si="207"/>
        <v>7216</v>
      </c>
      <c r="P731" s="32">
        <f>1252+19</f>
        <v>1271</v>
      </c>
      <c r="Q731" s="32"/>
      <c r="R731" s="32"/>
      <c r="S731" s="32">
        <f t="shared" si="202"/>
        <v>1271</v>
      </c>
      <c r="T731" s="12"/>
      <c r="U731" s="12"/>
      <c r="V731" s="12"/>
      <c r="W731" s="12">
        <f t="shared" si="203"/>
        <v>1271</v>
      </c>
      <c r="Y731" s="10">
        <v>5</v>
      </c>
      <c r="Z731" s="30"/>
      <c r="AA731" s="11" t="s">
        <v>27</v>
      </c>
      <c r="AB731" s="32"/>
      <c r="AC731" s="32"/>
      <c r="AD731" s="32"/>
      <c r="AE731" s="32">
        <f t="shared" si="204"/>
        <v>0</v>
      </c>
      <c r="AF731" s="12"/>
      <c r="AG731" s="12"/>
      <c r="AH731" s="12"/>
      <c r="AI731" s="12">
        <f t="shared" si="205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78</v>
      </c>
      <c r="C732" s="91">
        <f t="shared" si="206"/>
        <v>7273</v>
      </c>
      <c r="D732" s="32">
        <f>7512+114</f>
        <v>7626</v>
      </c>
      <c r="E732" s="32"/>
      <c r="F732" s="32"/>
      <c r="G732" s="32">
        <f t="shared" si="200"/>
        <v>7626</v>
      </c>
      <c r="H732" s="12"/>
      <c r="I732" s="12"/>
      <c r="J732" s="12"/>
      <c r="K732" s="12">
        <f t="shared" si="201"/>
        <v>7626</v>
      </c>
      <c r="M732" s="10">
        <v>6</v>
      </c>
      <c r="N732" s="30" t="s">
        <v>78</v>
      </c>
      <c r="O732" s="31">
        <f t="shared" si="207"/>
        <v>7217</v>
      </c>
      <c r="P732" s="32">
        <f>6260+614+95</f>
        <v>6969</v>
      </c>
      <c r="Q732" s="32"/>
      <c r="R732" s="32"/>
      <c r="S732" s="32">
        <f t="shared" si="202"/>
        <v>6969</v>
      </c>
      <c r="T732" s="12"/>
      <c r="U732" s="12"/>
      <c r="V732" s="10">
        <v>-666</v>
      </c>
      <c r="W732" s="12">
        <f t="shared" si="203"/>
        <v>6303</v>
      </c>
      <c r="Y732" s="10">
        <v>6</v>
      </c>
      <c r="Z732" s="30"/>
      <c r="AA732" s="31"/>
      <c r="AB732" s="32"/>
      <c r="AC732" s="32"/>
      <c r="AD732" s="32"/>
      <c r="AE732" s="32">
        <f t="shared" si="204"/>
        <v>0</v>
      </c>
      <c r="AF732" s="12"/>
      <c r="AG732" s="12"/>
      <c r="AH732" s="10"/>
      <c r="AI732" s="12">
        <f t="shared" si="20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78</v>
      </c>
      <c r="C733" s="91">
        <f t="shared" si="206"/>
        <v>7274</v>
      </c>
      <c r="D733" s="32">
        <f>10016</f>
        <v>10016</v>
      </c>
      <c r="E733" s="32"/>
      <c r="F733" s="32"/>
      <c r="G733" s="32">
        <f t="shared" si="200"/>
        <v>10016</v>
      </c>
      <c r="H733" s="12"/>
      <c r="I733" s="12"/>
      <c r="J733" s="12"/>
      <c r="K733" s="12">
        <f t="shared" si="201"/>
        <v>10016</v>
      </c>
      <c r="M733" s="10">
        <v>7</v>
      </c>
      <c r="N733" s="30" t="s">
        <v>78</v>
      </c>
      <c r="O733" s="31">
        <f t="shared" si="207"/>
        <v>7218</v>
      </c>
      <c r="P733" s="32">
        <f>1192+19</f>
        <v>1211</v>
      </c>
      <c r="Q733" s="32"/>
      <c r="R733" s="32"/>
      <c r="S733" s="32">
        <f t="shared" si="202"/>
        <v>1211</v>
      </c>
      <c r="T733" s="12"/>
      <c r="U733" s="12"/>
      <c r="V733" s="12"/>
      <c r="W733" s="12">
        <f t="shared" si="203"/>
        <v>1211</v>
      </c>
      <c r="Y733" s="10">
        <v>7</v>
      </c>
      <c r="Z733" s="30"/>
      <c r="AA733" s="31"/>
      <c r="AB733" s="32"/>
      <c r="AC733" s="32"/>
      <c r="AD733" s="32"/>
      <c r="AE733" s="32">
        <f t="shared" si="204"/>
        <v>0</v>
      </c>
      <c r="AF733" s="12"/>
      <c r="AG733" s="58"/>
      <c r="AH733" s="12"/>
      <c r="AI733" s="12">
        <f t="shared" si="20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78</v>
      </c>
      <c r="C734" s="91">
        <f t="shared" si="206"/>
        <v>7275</v>
      </c>
      <c r="D734" s="32">
        <f>5634+596</f>
        <v>6230</v>
      </c>
      <c r="E734" s="32"/>
      <c r="F734" s="32"/>
      <c r="G734" s="32">
        <f t="shared" si="200"/>
        <v>6230</v>
      </c>
      <c r="H734" s="12"/>
      <c r="I734" s="12"/>
      <c r="J734" s="12"/>
      <c r="K734" s="12">
        <f t="shared" si="201"/>
        <v>6230</v>
      </c>
      <c r="M734" s="10">
        <v>8</v>
      </c>
      <c r="N734" s="30"/>
      <c r="O734" s="11" t="s">
        <v>27</v>
      </c>
      <c r="P734" s="32"/>
      <c r="Q734" s="32"/>
      <c r="R734" s="32"/>
      <c r="S734" s="32">
        <f t="shared" si="202"/>
        <v>0</v>
      </c>
      <c r="T734" s="12"/>
      <c r="U734" s="12"/>
      <c r="V734" s="12"/>
      <c r="W734" s="12">
        <f t="shared" si="203"/>
        <v>0</v>
      </c>
      <c r="Y734" s="10">
        <v>8</v>
      </c>
      <c r="Z734" s="30"/>
      <c r="AA734" s="31"/>
      <c r="AB734" s="32"/>
      <c r="AC734" s="32"/>
      <c r="AE734" s="32">
        <f t="shared" si="204"/>
        <v>0</v>
      </c>
      <c r="AF734" s="12"/>
      <c r="AG734" s="12"/>
      <c r="AH734" s="12"/>
      <c r="AI734" s="12">
        <f t="shared" si="20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78</v>
      </c>
      <c r="C735" s="91">
        <f t="shared" si="206"/>
        <v>7276</v>
      </c>
      <c r="D735" s="32">
        <f>6886+104.5</f>
        <v>6990.5</v>
      </c>
      <c r="E735" s="32"/>
      <c r="F735" s="32"/>
      <c r="G735" s="32">
        <f t="shared" si="200"/>
        <v>6990.5</v>
      </c>
      <c r="H735" s="12"/>
      <c r="I735" s="12"/>
      <c r="J735" s="12"/>
      <c r="K735" s="12">
        <f t="shared" si="201"/>
        <v>6990.5</v>
      </c>
      <c r="M735" s="10">
        <v>9</v>
      </c>
      <c r="N735" s="30"/>
      <c r="O735" s="31"/>
      <c r="P735" s="32"/>
      <c r="Q735" s="32"/>
      <c r="R735" s="32"/>
      <c r="S735" s="32">
        <f t="shared" si="202"/>
        <v>0</v>
      </c>
      <c r="T735" s="12"/>
      <c r="U735" s="12"/>
      <c r="V735" s="12"/>
      <c r="W735" s="12">
        <f t="shared" si="203"/>
        <v>0</v>
      </c>
      <c r="Y735" s="10">
        <v>9</v>
      </c>
      <c r="Z735" s="30"/>
      <c r="AA735" s="31"/>
      <c r="AB735" s="32"/>
      <c r="AC735" s="32"/>
      <c r="AD735" s="32"/>
      <c r="AE735" s="32">
        <f t="shared" si="204"/>
        <v>0</v>
      </c>
      <c r="AF735" s="12"/>
      <c r="AG735" s="58"/>
      <c r="AH735" s="12"/>
      <c r="AI735" s="12">
        <f t="shared" si="20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78</v>
      </c>
      <c r="C736" s="91">
        <f t="shared" si="206"/>
        <v>7277</v>
      </c>
      <c r="D736" s="32">
        <f>5634+1788+114</f>
        <v>7536</v>
      </c>
      <c r="E736" s="32"/>
      <c r="F736" s="32"/>
      <c r="G736" s="32">
        <f t="shared" si="200"/>
        <v>7536</v>
      </c>
      <c r="H736" s="12"/>
      <c r="I736" s="12">
        <v>555</v>
      </c>
      <c r="J736" s="12"/>
      <c r="K736" s="12">
        <f t="shared" si="201"/>
        <v>8091</v>
      </c>
      <c r="M736" s="10">
        <v>10</v>
      </c>
      <c r="N736" s="30"/>
      <c r="O736" s="31"/>
      <c r="P736" s="32"/>
      <c r="Q736" s="32"/>
      <c r="R736" s="32"/>
      <c r="S736" s="32">
        <f t="shared" si="202"/>
        <v>0</v>
      </c>
      <c r="T736" s="12"/>
      <c r="U736" s="12"/>
      <c r="V736" s="12"/>
      <c r="W736" s="12">
        <f t="shared" si="203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04"/>
        <v>0</v>
      </c>
      <c r="AF736" s="12"/>
      <c r="AG736" s="12"/>
      <c r="AH736" s="12"/>
      <c r="AI736" s="12">
        <f t="shared" si="20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78</v>
      </c>
      <c r="C737" s="91">
        <f t="shared" si="206"/>
        <v>7278</v>
      </c>
      <c r="D737" s="32">
        <f>18780+2384</f>
        <v>21164</v>
      </c>
      <c r="E737" s="32"/>
      <c r="F737" s="32"/>
      <c r="G737" s="32">
        <f t="shared" si="200"/>
        <v>21164</v>
      </c>
      <c r="H737" s="12"/>
      <c r="I737" s="12"/>
      <c r="J737" s="12"/>
      <c r="K737" s="12">
        <f t="shared" si="201"/>
        <v>21164</v>
      </c>
      <c r="M737" s="10">
        <v>11</v>
      </c>
      <c r="N737" s="30"/>
      <c r="O737" s="31"/>
      <c r="P737" s="32"/>
      <c r="Q737" s="32"/>
      <c r="R737" s="32"/>
      <c r="S737" s="32">
        <f t="shared" si="202"/>
        <v>0</v>
      </c>
      <c r="T737" s="12"/>
      <c r="U737" s="12"/>
      <c r="V737" s="12"/>
      <c r="W737" s="12">
        <f t="shared" si="203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04"/>
        <v>0</v>
      </c>
      <c r="AF737" s="12"/>
      <c r="AG737" s="12"/>
      <c r="AH737" s="12"/>
      <c r="AI737" s="12">
        <f t="shared" si="20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78</v>
      </c>
      <c r="C738" s="91">
        <f t="shared" si="206"/>
        <v>7279</v>
      </c>
      <c r="D738" s="32">
        <f>7512+1788+500</f>
        <v>9800</v>
      </c>
      <c r="E738" s="32"/>
      <c r="F738" s="32"/>
      <c r="G738" s="32">
        <f t="shared" si="200"/>
        <v>9800</v>
      </c>
      <c r="H738" s="12"/>
      <c r="I738" s="12"/>
      <c r="J738" s="10"/>
      <c r="K738" s="12">
        <f t="shared" si="201"/>
        <v>9800</v>
      </c>
      <c r="M738" s="10">
        <v>12</v>
      </c>
      <c r="N738" s="30"/>
      <c r="O738" s="31"/>
      <c r="P738" s="32"/>
      <c r="Q738" s="32"/>
      <c r="R738" s="32"/>
      <c r="S738" s="32">
        <f t="shared" si="202"/>
        <v>0</v>
      </c>
      <c r="T738" s="12"/>
      <c r="U738" s="12"/>
      <c r="V738" s="12"/>
      <c r="W738" s="12">
        <f t="shared" si="203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04"/>
        <v>0</v>
      </c>
      <c r="AF738" s="12"/>
      <c r="AG738" s="12"/>
      <c r="AH738" s="12"/>
      <c r="AI738" s="12">
        <f t="shared" si="20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78</v>
      </c>
      <c r="C739" s="91">
        <f t="shared" si="206"/>
        <v>7280</v>
      </c>
      <c r="D739" s="32">
        <f>6260</f>
        <v>6260</v>
      </c>
      <c r="E739" s="32"/>
      <c r="F739" s="32"/>
      <c r="G739" s="32">
        <f t="shared" si="200"/>
        <v>6260</v>
      </c>
      <c r="H739" s="12"/>
      <c r="I739" s="12">
        <v>27</v>
      </c>
      <c r="J739" s="12"/>
      <c r="K739" s="12">
        <f t="shared" si="201"/>
        <v>6287</v>
      </c>
      <c r="M739" s="10">
        <v>13</v>
      </c>
      <c r="N739" s="30"/>
      <c r="O739" s="31"/>
      <c r="P739" s="32"/>
      <c r="Q739" s="32"/>
      <c r="R739" s="32"/>
      <c r="S739" s="32">
        <f t="shared" si="202"/>
        <v>0</v>
      </c>
      <c r="T739" s="12"/>
      <c r="U739" s="12"/>
      <c r="V739" s="12"/>
      <c r="W739" s="12">
        <f t="shared" si="203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04"/>
        <v>0</v>
      </c>
      <c r="AF739" s="12"/>
      <c r="AG739" s="12"/>
      <c r="AH739" s="12"/>
      <c r="AI739" s="12">
        <f t="shared" si="20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78</v>
      </c>
      <c r="C740" s="91">
        <f t="shared" si="206"/>
        <v>7281</v>
      </c>
      <c r="D740" s="32">
        <f>1252+19</f>
        <v>1271</v>
      </c>
      <c r="E740" s="32"/>
      <c r="F740" s="32"/>
      <c r="G740" s="32">
        <f t="shared" si="200"/>
        <v>1271</v>
      </c>
      <c r="H740" s="12"/>
      <c r="I740" s="12"/>
      <c r="J740" s="12"/>
      <c r="K740" s="12">
        <f t="shared" si="201"/>
        <v>1271</v>
      </c>
      <c r="M740" s="10">
        <v>14</v>
      </c>
      <c r="N740" s="30"/>
      <c r="O740" s="31"/>
      <c r="P740" s="32"/>
      <c r="Q740" s="32"/>
      <c r="R740" s="32"/>
      <c r="S740" s="32">
        <f t="shared" si="202"/>
        <v>0</v>
      </c>
      <c r="T740" s="12"/>
      <c r="U740" s="12"/>
      <c r="V740" s="12"/>
      <c r="W740" s="12">
        <f t="shared" si="203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04"/>
        <v>0</v>
      </c>
      <c r="AF740" s="12"/>
      <c r="AG740" s="12"/>
      <c r="AH740" s="12"/>
      <c r="AI740" s="12">
        <f t="shared" si="20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78</v>
      </c>
      <c r="C741" s="91">
        <f t="shared" si="206"/>
        <v>7282</v>
      </c>
      <c r="D741" s="32">
        <f>626*74+596*4+832+500</f>
        <v>50040</v>
      </c>
      <c r="E741" s="32"/>
      <c r="F741" s="32"/>
      <c r="G741" s="32">
        <f t="shared" si="200"/>
        <v>50040</v>
      </c>
      <c r="H741" s="12"/>
      <c r="I741" s="12"/>
      <c r="J741" s="12"/>
      <c r="K741" s="12">
        <f t="shared" si="201"/>
        <v>50040</v>
      </c>
      <c r="M741" s="10">
        <v>15</v>
      </c>
      <c r="N741" s="30"/>
      <c r="O741" s="31"/>
      <c r="P741" s="32"/>
      <c r="Q741" s="32"/>
      <c r="R741" s="32"/>
      <c r="S741" s="32">
        <f t="shared" si="202"/>
        <v>0</v>
      </c>
      <c r="T741" s="12"/>
      <c r="U741" s="12"/>
      <c r="V741" s="12"/>
      <c r="W741" s="12">
        <f t="shared" si="203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04"/>
        <v>0</v>
      </c>
      <c r="AF741" s="12"/>
      <c r="AG741" s="12"/>
      <c r="AH741" s="12"/>
      <c r="AI741" s="12">
        <f t="shared" si="20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78</v>
      </c>
      <c r="C742" s="91">
        <f t="shared" si="206"/>
        <v>7283</v>
      </c>
      <c r="D742" s="32">
        <f>6260+95</f>
        <v>6355</v>
      </c>
      <c r="E742" s="32"/>
      <c r="F742" s="32"/>
      <c r="G742" s="32">
        <f t="shared" si="200"/>
        <v>6355</v>
      </c>
      <c r="H742" s="12"/>
      <c r="I742" s="12"/>
      <c r="J742" s="12"/>
      <c r="K742" s="12">
        <f t="shared" si="201"/>
        <v>6355</v>
      </c>
      <c r="M742" s="10">
        <v>16</v>
      </c>
      <c r="N742" s="30"/>
      <c r="O742" s="31"/>
      <c r="P742" s="32"/>
      <c r="Q742" s="32"/>
      <c r="R742" s="32"/>
      <c r="S742" s="32">
        <f t="shared" si="202"/>
        <v>0</v>
      </c>
      <c r="T742" s="12"/>
      <c r="U742" s="12"/>
      <c r="V742" s="12"/>
      <c r="W742" s="12">
        <f t="shared" si="203"/>
        <v>0</v>
      </c>
      <c r="Y742" s="10">
        <v>16</v>
      </c>
      <c r="Z742" s="30"/>
      <c r="AB742" s="32"/>
      <c r="AC742" s="32"/>
      <c r="AD742" s="32"/>
      <c r="AE742" s="32">
        <f t="shared" si="204"/>
        <v>0</v>
      </c>
      <c r="AF742" s="12"/>
      <c r="AG742" s="12"/>
      <c r="AH742" s="12"/>
      <c r="AI742" s="12">
        <f t="shared" si="20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78</v>
      </c>
      <c r="C743" s="91">
        <f t="shared" si="206"/>
        <v>7284</v>
      </c>
      <c r="D743" s="32">
        <f>1252+19</f>
        <v>1271</v>
      </c>
      <c r="E743" s="32"/>
      <c r="F743" s="32"/>
      <c r="G743" s="32">
        <f t="shared" si="200"/>
        <v>1271</v>
      </c>
      <c r="H743" s="12"/>
      <c r="I743" s="12"/>
      <c r="J743" s="12"/>
      <c r="K743" s="12">
        <f t="shared" si="201"/>
        <v>1271</v>
      </c>
      <c r="M743" s="10">
        <v>17</v>
      </c>
      <c r="N743" s="30"/>
      <c r="O743" s="31"/>
      <c r="P743" s="35"/>
      <c r="Q743" s="32"/>
      <c r="R743" s="32"/>
      <c r="S743" s="32">
        <f t="shared" si="202"/>
        <v>0</v>
      </c>
      <c r="T743" s="12"/>
      <c r="U743" s="12"/>
      <c r="V743" s="12"/>
      <c r="W743" s="12">
        <f t="shared" si="203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04"/>
        <v>0</v>
      </c>
      <c r="AF743" s="12"/>
      <c r="AG743" s="12"/>
      <c r="AH743" s="12"/>
      <c r="AI743" s="12">
        <f t="shared" si="20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78</v>
      </c>
      <c r="C744" s="91">
        <f t="shared" si="206"/>
        <v>7285</v>
      </c>
      <c r="D744" s="32">
        <f>1878+28.5</f>
        <v>1906.5</v>
      </c>
      <c r="E744" s="32"/>
      <c r="F744" s="32"/>
      <c r="G744" s="32">
        <f t="shared" si="200"/>
        <v>1906.5</v>
      </c>
      <c r="H744" s="12"/>
      <c r="I744" s="12"/>
      <c r="J744" s="12"/>
      <c r="K744" s="12">
        <f t="shared" si="201"/>
        <v>1906.5</v>
      </c>
      <c r="M744" s="10">
        <v>18</v>
      </c>
      <c r="N744" s="30"/>
      <c r="O744" s="31"/>
      <c r="P744" s="32"/>
      <c r="Q744" s="32"/>
      <c r="R744" s="32"/>
      <c r="S744" s="32">
        <f t="shared" si="202"/>
        <v>0</v>
      </c>
      <c r="T744" s="12"/>
      <c r="U744" s="12"/>
      <c r="V744" s="12"/>
      <c r="W744" s="12">
        <f t="shared" si="203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04"/>
        <v>0</v>
      </c>
      <c r="AF744" s="12"/>
      <c r="AG744" s="12"/>
      <c r="AH744" s="12"/>
      <c r="AI744" s="12">
        <f t="shared" si="20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78</v>
      </c>
      <c r="C745" s="91">
        <f t="shared" si="206"/>
        <v>7286</v>
      </c>
      <c r="D745" s="32">
        <f>1878+28.5</f>
        <v>1906.5</v>
      </c>
      <c r="E745" s="32"/>
      <c r="F745" s="32"/>
      <c r="G745" s="32">
        <f t="shared" si="200"/>
        <v>1906.5</v>
      </c>
      <c r="H745" s="12"/>
      <c r="I745" s="12"/>
      <c r="J745" s="12"/>
      <c r="K745" s="12">
        <f t="shared" si="201"/>
        <v>1906.5</v>
      </c>
      <c r="M745" s="10">
        <v>19</v>
      </c>
      <c r="N745" s="30"/>
      <c r="O745" s="31"/>
      <c r="P745" s="32"/>
      <c r="Q745" s="32"/>
      <c r="R745" s="32"/>
      <c r="S745" s="32">
        <f t="shared" si="202"/>
        <v>0</v>
      </c>
      <c r="T745" s="12"/>
      <c r="U745" s="12"/>
      <c r="V745" s="12"/>
      <c r="W745" s="12">
        <f t="shared" si="203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4"/>
        <v>0</v>
      </c>
      <c r="AF745" s="12"/>
      <c r="AG745" s="12"/>
      <c r="AH745" s="12"/>
      <c r="AI745" s="12">
        <f t="shared" si="20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78</v>
      </c>
      <c r="C746" s="91">
        <f t="shared" si="206"/>
        <v>7287</v>
      </c>
      <c r="D746" s="32">
        <f>4382+66.5</f>
        <v>4448.5</v>
      </c>
      <c r="E746" s="32"/>
      <c r="F746" s="32"/>
      <c r="G746" s="32">
        <f t="shared" si="200"/>
        <v>4448.5</v>
      </c>
      <c r="H746" s="12"/>
      <c r="I746" s="12"/>
      <c r="J746" s="12"/>
      <c r="K746" s="12">
        <f t="shared" si="201"/>
        <v>4448.5</v>
      </c>
      <c r="M746" s="10">
        <v>20</v>
      </c>
      <c r="N746" s="30"/>
      <c r="O746" s="31"/>
      <c r="P746" s="32"/>
      <c r="Q746" s="32"/>
      <c r="R746" s="32"/>
      <c r="S746" s="32">
        <f t="shared" si="202"/>
        <v>0</v>
      </c>
      <c r="T746" s="12"/>
      <c r="U746" s="12"/>
      <c r="V746" s="12"/>
      <c r="W746" s="12">
        <f t="shared" si="203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4"/>
        <v>0</v>
      </c>
      <c r="AF746" s="12"/>
      <c r="AG746" s="12"/>
      <c r="AH746" s="12"/>
      <c r="AI746" s="12">
        <f t="shared" si="20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78</v>
      </c>
      <c r="C747" s="91">
        <f t="shared" si="206"/>
        <v>7288</v>
      </c>
      <c r="D747" s="32">
        <f>1878+28.5+250</f>
        <v>2156.5</v>
      </c>
      <c r="E747" s="32"/>
      <c r="F747" s="32"/>
      <c r="G747" s="32">
        <f t="shared" si="200"/>
        <v>2156.5</v>
      </c>
      <c r="H747" s="10"/>
      <c r="I747" s="10">
        <v>13</v>
      </c>
      <c r="J747" s="10"/>
      <c r="K747" s="12">
        <f t="shared" si="201"/>
        <v>2169.5</v>
      </c>
      <c r="M747" s="10">
        <v>21</v>
      </c>
      <c r="N747" s="30"/>
      <c r="O747" s="31"/>
      <c r="P747" s="46"/>
      <c r="Q747" s="31"/>
      <c r="R747" s="31"/>
      <c r="S747" s="32">
        <f t="shared" si="202"/>
        <v>0</v>
      </c>
      <c r="T747" s="10"/>
      <c r="U747" s="10"/>
      <c r="V747" s="10"/>
      <c r="W747" s="12">
        <f t="shared" si="203"/>
        <v>0</v>
      </c>
      <c r="Y747" s="10">
        <v>21</v>
      </c>
      <c r="Z747" s="30"/>
      <c r="AB747" s="46"/>
      <c r="AC747" s="31"/>
      <c r="AD747" s="31"/>
      <c r="AE747" s="32">
        <f t="shared" si="204"/>
        <v>0</v>
      </c>
      <c r="AF747" s="10"/>
      <c r="AG747" s="10"/>
      <c r="AH747" s="10"/>
      <c r="AI747" s="12">
        <f t="shared" si="20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78</v>
      </c>
      <c r="C748" s="91">
        <f t="shared" si="206"/>
        <v>7289</v>
      </c>
      <c r="D748" s="32">
        <f>9390+458</f>
        <v>9848</v>
      </c>
      <c r="E748" s="32"/>
      <c r="F748" s="32"/>
      <c r="G748" s="32">
        <f t="shared" si="200"/>
        <v>9848</v>
      </c>
      <c r="H748" s="10"/>
      <c r="I748" s="10"/>
      <c r="J748" s="10"/>
      <c r="K748" s="12">
        <f t="shared" si="201"/>
        <v>9848</v>
      </c>
      <c r="M748" s="10">
        <v>22</v>
      </c>
      <c r="N748" s="30"/>
      <c r="P748" s="45"/>
      <c r="Q748" s="31"/>
      <c r="R748" s="31"/>
      <c r="S748" s="32">
        <f t="shared" si="202"/>
        <v>0</v>
      </c>
      <c r="T748" s="10"/>
      <c r="U748" s="10"/>
      <c r="V748" s="10"/>
      <c r="W748" s="12">
        <f t="shared" si="203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4"/>
        <v>0</v>
      </c>
      <c r="AF748" s="10"/>
      <c r="AG748" s="10"/>
      <c r="AH748" s="10"/>
      <c r="AI748" s="12">
        <f t="shared" si="20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11" t="s">
        <v>27</v>
      </c>
      <c r="D749" s="32"/>
      <c r="E749" s="32"/>
      <c r="F749" s="32"/>
      <c r="G749" s="32">
        <f t="shared" si="200"/>
        <v>0</v>
      </c>
      <c r="H749" s="10"/>
      <c r="I749" s="10"/>
      <c r="J749" s="12"/>
      <c r="K749" s="12">
        <f t="shared" si="201"/>
        <v>0</v>
      </c>
      <c r="M749" s="10">
        <v>23</v>
      </c>
      <c r="N749" s="30"/>
      <c r="O749" s="31"/>
      <c r="P749" s="47"/>
      <c r="Q749" s="31"/>
      <c r="S749" s="32">
        <f t="shared" si="202"/>
        <v>0</v>
      </c>
      <c r="T749" s="10"/>
      <c r="U749" s="10"/>
      <c r="V749" s="10"/>
      <c r="W749" s="12">
        <f t="shared" si="203"/>
        <v>0</v>
      </c>
      <c r="Y749" s="10">
        <v>23</v>
      </c>
      <c r="Z749" s="30"/>
      <c r="AA749" s="31"/>
      <c r="AB749" s="47"/>
      <c r="AC749" s="31"/>
      <c r="AE749" s="32">
        <f t="shared" si="204"/>
        <v>0</v>
      </c>
      <c r="AF749" s="10"/>
      <c r="AG749" s="10"/>
      <c r="AH749" s="10"/>
      <c r="AI749" s="12">
        <f t="shared" si="20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91"/>
      <c r="D750" s="32"/>
      <c r="E750" s="32"/>
      <c r="F750" s="32"/>
      <c r="G750" s="32">
        <f t="shared" si="200"/>
        <v>0</v>
      </c>
      <c r="H750" s="10"/>
      <c r="I750" s="10"/>
      <c r="J750" s="10"/>
      <c r="K750" s="12">
        <f t="shared" si="201"/>
        <v>0</v>
      </c>
      <c r="M750" s="10">
        <v>24</v>
      </c>
      <c r="N750" s="30"/>
      <c r="O750" s="31"/>
      <c r="P750" s="47"/>
      <c r="Q750" s="31"/>
      <c r="R750" s="31"/>
      <c r="S750" s="32">
        <f t="shared" si="202"/>
        <v>0</v>
      </c>
      <c r="T750" s="10"/>
      <c r="U750" s="10"/>
      <c r="V750" s="10"/>
      <c r="W750" s="12">
        <f t="shared" si="203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4"/>
        <v>0</v>
      </c>
      <c r="AF750" s="10"/>
      <c r="AG750" s="10"/>
      <c r="AH750" s="10"/>
      <c r="AI750" s="12">
        <f t="shared" si="20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91"/>
      <c r="D751" s="32"/>
      <c r="E751" s="32"/>
      <c r="F751" s="32"/>
      <c r="G751" s="32">
        <f t="shared" si="200"/>
        <v>0</v>
      </c>
      <c r="H751" s="10"/>
      <c r="I751" s="10"/>
      <c r="J751" s="10"/>
      <c r="K751" s="12">
        <f t="shared" si="201"/>
        <v>0</v>
      </c>
      <c r="M751" s="10">
        <v>25</v>
      </c>
      <c r="N751" s="30"/>
      <c r="O751" s="31"/>
      <c r="P751" s="47"/>
      <c r="Q751" s="31"/>
      <c r="R751" s="31"/>
      <c r="S751" s="32">
        <f t="shared" si="202"/>
        <v>0</v>
      </c>
      <c r="T751" s="10"/>
      <c r="U751" s="10"/>
      <c r="V751" s="10"/>
      <c r="W751" s="12">
        <f t="shared" si="203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04"/>
        <v>0</v>
      </c>
      <c r="AF751" s="10"/>
      <c r="AG751" s="10"/>
      <c r="AH751" s="10"/>
      <c r="AI751" s="12">
        <f t="shared" si="20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91"/>
      <c r="D752" s="32"/>
      <c r="E752" s="32"/>
      <c r="F752" s="32"/>
      <c r="G752" s="32">
        <f t="shared" si="200"/>
        <v>0</v>
      </c>
      <c r="H752" s="10"/>
      <c r="I752" s="10"/>
      <c r="J752" s="10"/>
      <c r="K752" s="12">
        <f t="shared" si="201"/>
        <v>0</v>
      </c>
      <c r="M752" s="10">
        <v>26</v>
      </c>
      <c r="N752" s="30"/>
      <c r="O752" s="31"/>
      <c r="P752" s="47"/>
      <c r="Q752" s="31"/>
      <c r="R752" s="31"/>
      <c r="S752" s="32">
        <f t="shared" si="202"/>
        <v>0</v>
      </c>
      <c r="T752" s="10"/>
      <c r="U752" s="10"/>
      <c r="V752" s="10"/>
      <c r="W752" s="12">
        <f t="shared" si="203"/>
        <v>0</v>
      </c>
      <c r="Y752" s="10">
        <v>26</v>
      </c>
      <c r="Z752" s="30"/>
      <c r="AB752" s="47"/>
      <c r="AC752" s="31"/>
      <c r="AD752" s="31"/>
      <c r="AE752" s="32">
        <f t="shared" si="204"/>
        <v>0</v>
      </c>
      <c r="AF752" s="10"/>
      <c r="AG752" s="10"/>
      <c r="AH752" s="10"/>
      <c r="AI752" s="12">
        <f t="shared" si="20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91"/>
      <c r="D753" s="32"/>
      <c r="E753" s="32"/>
      <c r="F753" s="32"/>
      <c r="G753" s="32">
        <f t="shared" si="200"/>
        <v>0</v>
      </c>
      <c r="H753" s="10"/>
      <c r="I753" s="10"/>
      <c r="J753" s="10"/>
      <c r="K753" s="12">
        <f t="shared" si="201"/>
        <v>0</v>
      </c>
      <c r="M753" s="10">
        <v>27</v>
      </c>
      <c r="N753" s="30"/>
      <c r="O753" s="31"/>
      <c r="P753" s="47"/>
      <c r="Q753" s="31"/>
      <c r="R753" s="31"/>
      <c r="S753" s="32">
        <f t="shared" si="202"/>
        <v>0</v>
      </c>
      <c r="T753" s="10"/>
      <c r="U753" s="10"/>
      <c r="V753" s="10"/>
      <c r="W753" s="12">
        <f t="shared" si="203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4"/>
        <v>0</v>
      </c>
      <c r="AF753" s="10"/>
      <c r="AG753" s="10"/>
      <c r="AH753" s="10"/>
      <c r="AI753" s="12">
        <f t="shared" si="20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91"/>
      <c r="D754" s="32"/>
      <c r="E754" s="32"/>
      <c r="F754" s="32"/>
      <c r="G754" s="32">
        <f t="shared" si="200"/>
        <v>0</v>
      </c>
      <c r="H754" s="10"/>
      <c r="I754" s="10"/>
      <c r="J754" s="10"/>
      <c r="K754" s="12">
        <f t="shared" si="201"/>
        <v>0</v>
      </c>
      <c r="M754" s="10">
        <v>28</v>
      </c>
      <c r="N754" s="30"/>
      <c r="O754" s="31"/>
      <c r="P754" s="47"/>
      <c r="Q754" s="31"/>
      <c r="R754" s="31"/>
      <c r="S754" s="32">
        <f t="shared" si="202"/>
        <v>0</v>
      </c>
      <c r="T754" s="10"/>
      <c r="U754" s="10"/>
      <c r="V754" s="10"/>
      <c r="W754" s="12">
        <f t="shared" si="203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4"/>
        <v>0</v>
      </c>
      <c r="AF754" s="10"/>
      <c r="AG754" s="10"/>
      <c r="AH754" s="10"/>
      <c r="AI754" s="12">
        <f t="shared" si="20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91"/>
      <c r="D755" s="32"/>
      <c r="E755" s="32"/>
      <c r="F755" s="32"/>
      <c r="G755" s="32">
        <f t="shared" si="200"/>
        <v>0</v>
      </c>
      <c r="H755" s="10"/>
      <c r="I755" s="10"/>
      <c r="J755" s="10"/>
      <c r="K755" s="12">
        <f t="shared" si="201"/>
        <v>0</v>
      </c>
      <c r="M755" s="10">
        <v>29</v>
      </c>
      <c r="N755" s="30"/>
      <c r="O755" s="31"/>
      <c r="P755" s="47"/>
      <c r="Q755" s="31"/>
      <c r="R755" s="31"/>
      <c r="S755" s="32">
        <f t="shared" si="202"/>
        <v>0</v>
      </c>
      <c r="T755" s="10"/>
      <c r="U755" s="10"/>
      <c r="V755" s="10"/>
      <c r="W755" s="12">
        <f t="shared" si="203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4"/>
        <v>0</v>
      </c>
      <c r="AF755" s="10"/>
      <c r="AG755" s="10"/>
      <c r="AH755" s="10"/>
      <c r="AI755" s="12">
        <f t="shared" si="20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D756" s="32"/>
      <c r="E756" s="32"/>
      <c r="F756" s="32"/>
      <c r="G756" s="32">
        <f t="shared" si="200"/>
        <v>0</v>
      </c>
      <c r="H756" s="10"/>
      <c r="I756" s="10"/>
      <c r="J756" s="10"/>
      <c r="K756" s="12">
        <f t="shared" si="201"/>
        <v>0</v>
      </c>
      <c r="M756" s="10">
        <v>30</v>
      </c>
      <c r="N756" s="30"/>
      <c r="P756" s="47"/>
      <c r="Q756" s="31"/>
      <c r="R756" s="31"/>
      <c r="S756" s="32">
        <f t="shared" si="202"/>
        <v>0</v>
      </c>
      <c r="T756" s="10"/>
      <c r="U756" s="10"/>
      <c r="V756" s="10"/>
      <c r="W756" s="12">
        <f t="shared" si="203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04"/>
        <v>0</v>
      </c>
      <c r="AF756" s="10"/>
      <c r="AG756" s="10"/>
      <c r="AH756" s="10"/>
      <c r="AI756" s="12">
        <f t="shared" si="20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91"/>
      <c r="D757" s="32"/>
      <c r="E757" s="32"/>
      <c r="F757" s="32"/>
      <c r="G757" s="32">
        <f t="shared" si="200"/>
        <v>0</v>
      </c>
      <c r="H757" s="10"/>
      <c r="I757" s="10"/>
      <c r="J757" s="10"/>
      <c r="K757" s="12">
        <f t="shared" si="201"/>
        <v>0</v>
      </c>
      <c r="M757" s="10">
        <v>31</v>
      </c>
      <c r="N757" s="30"/>
      <c r="O757" s="31"/>
      <c r="P757" s="47"/>
      <c r="Q757" s="31"/>
      <c r="R757" s="31"/>
      <c r="S757" s="32">
        <f t="shared" si="202"/>
        <v>0</v>
      </c>
      <c r="T757" s="10"/>
      <c r="U757" s="10"/>
      <c r="V757" s="10"/>
      <c r="W757" s="12">
        <f t="shared" si="203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4"/>
        <v>0</v>
      </c>
      <c r="AF757" s="10"/>
      <c r="AG757" s="10"/>
      <c r="AH757" s="10"/>
      <c r="AI757" s="12">
        <f t="shared" si="20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91"/>
      <c r="D758" s="32"/>
      <c r="E758" s="32"/>
      <c r="F758" s="32"/>
      <c r="G758" s="32">
        <f t="shared" si="200"/>
        <v>0</v>
      </c>
      <c r="H758" s="10"/>
      <c r="I758" s="10"/>
      <c r="J758" s="10"/>
      <c r="K758" s="12">
        <f t="shared" si="201"/>
        <v>0</v>
      </c>
      <c r="M758" s="10">
        <v>32</v>
      </c>
      <c r="N758" s="30"/>
      <c r="O758" s="31"/>
      <c r="P758" s="47"/>
      <c r="Q758" s="31"/>
      <c r="R758" s="31"/>
      <c r="S758" s="32">
        <f t="shared" si="202"/>
        <v>0</v>
      </c>
      <c r="T758" s="10"/>
      <c r="U758" s="10"/>
      <c r="V758" s="10"/>
      <c r="W758" s="12">
        <f t="shared" si="203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4"/>
        <v>0</v>
      </c>
      <c r="AF758" s="10"/>
      <c r="AG758" s="10"/>
      <c r="AH758" s="10"/>
      <c r="AI758" s="12">
        <f t="shared" si="20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91"/>
      <c r="D759" s="32"/>
      <c r="E759" s="32"/>
      <c r="F759" s="32"/>
      <c r="G759" s="32">
        <f t="shared" si="200"/>
        <v>0</v>
      </c>
      <c r="H759" s="10"/>
      <c r="I759" s="10"/>
      <c r="J759" s="10"/>
      <c r="K759" s="12">
        <f t="shared" si="201"/>
        <v>0</v>
      </c>
      <c r="M759" s="10">
        <v>33</v>
      </c>
      <c r="N759" s="30"/>
      <c r="O759" s="31"/>
      <c r="P759" s="47"/>
      <c r="Q759" s="31"/>
      <c r="R759" s="31"/>
      <c r="S759" s="32">
        <f t="shared" si="202"/>
        <v>0</v>
      </c>
      <c r="T759" s="10"/>
      <c r="U759" s="10"/>
      <c r="V759" s="10"/>
      <c r="W759" s="12">
        <f t="shared" si="203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4"/>
        <v>0</v>
      </c>
      <c r="AF759" s="10"/>
      <c r="AG759" s="10"/>
      <c r="AH759" s="10"/>
      <c r="AI759" s="12">
        <f t="shared" si="20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91"/>
      <c r="D760" s="32"/>
      <c r="E760" s="32"/>
      <c r="F760" s="32"/>
      <c r="G760" s="32">
        <f t="shared" si="200"/>
        <v>0</v>
      </c>
      <c r="H760" s="10"/>
      <c r="I760" s="10"/>
      <c r="J760" s="10"/>
      <c r="K760" s="12">
        <f t="shared" si="201"/>
        <v>0</v>
      </c>
      <c r="M760" s="10">
        <v>34</v>
      </c>
      <c r="N760" s="30"/>
      <c r="P760" s="47"/>
      <c r="Q760" s="31"/>
      <c r="R760" s="31"/>
      <c r="S760" s="32">
        <f t="shared" ref="S760:S770" si="209">SUM(P760:Q760)</f>
        <v>0</v>
      </c>
      <c r="T760" s="10"/>
      <c r="U760" s="10"/>
      <c r="V760" s="10"/>
      <c r="W760" s="12">
        <f t="shared" si="203"/>
        <v>0</v>
      </c>
      <c r="Y760" s="10">
        <v>34</v>
      </c>
      <c r="Z760" s="30"/>
      <c r="AB760" s="47"/>
      <c r="AC760" s="31"/>
      <c r="AD760" s="31"/>
      <c r="AE760" s="32">
        <f t="shared" si="204"/>
        <v>0</v>
      </c>
      <c r="AF760" s="10"/>
      <c r="AG760" s="10"/>
      <c r="AH760" s="10"/>
      <c r="AI760" s="12">
        <f t="shared" si="20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09"/>
        <v>0</v>
      </c>
      <c r="T761" s="10"/>
      <c r="U761" s="10"/>
      <c r="V761" s="10"/>
      <c r="W761" s="12">
        <f t="shared" si="203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4"/>
        <v>0</v>
      </c>
      <c r="AF761" s="10"/>
      <c r="AG761" s="10"/>
      <c r="AH761" s="10"/>
      <c r="AI761" s="12">
        <f t="shared" si="20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9"/>
        <v>0</v>
      </c>
      <c r="T762" s="10"/>
      <c r="U762" s="10"/>
      <c r="V762" s="10"/>
      <c r="W762" s="12">
        <f t="shared" si="203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4"/>
        <v>0</v>
      </c>
      <c r="AF762" s="10"/>
      <c r="AG762" s="10"/>
      <c r="AH762" s="10"/>
      <c r="AI762" s="12">
        <f t="shared" si="20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09"/>
        <v>0</v>
      </c>
      <c r="T763" s="10"/>
      <c r="U763" s="10"/>
      <c r="V763" s="10"/>
      <c r="W763" s="12">
        <f t="shared" si="203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4"/>
        <v>0</v>
      </c>
      <c r="AF763" s="10"/>
      <c r="AG763" s="10"/>
      <c r="AH763" s="10"/>
      <c r="AI763" s="12">
        <f t="shared" si="20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9"/>
        <v>0</v>
      </c>
      <c r="T764" s="10"/>
      <c r="U764" s="10"/>
      <c r="V764" s="10"/>
      <c r="W764" s="12">
        <f t="shared" si="203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4"/>
        <v>0</v>
      </c>
      <c r="AF764" s="10"/>
      <c r="AG764" s="10"/>
      <c r="AH764" s="10"/>
      <c r="AI764" s="12">
        <f t="shared" si="20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9"/>
        <v>0</v>
      </c>
      <c r="T765" s="10"/>
      <c r="U765" s="10"/>
      <c r="V765" s="10"/>
      <c r="W765" s="12">
        <f t="shared" si="203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4"/>
        <v>0</v>
      </c>
      <c r="AF765" s="10"/>
      <c r="AG765" s="10"/>
      <c r="AH765" s="10"/>
      <c r="AI765" s="12">
        <f t="shared" si="20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3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10">SUM(D767:E767)</f>
        <v>0</v>
      </c>
      <c r="H767" s="10"/>
      <c r="I767" s="10"/>
      <c r="J767" s="10"/>
      <c r="K767" s="12">
        <f t="shared" ref="K767" si="211">SUM(G767:J767)</f>
        <v>0</v>
      </c>
      <c r="M767" s="10"/>
      <c r="N767" s="30"/>
      <c r="O767" s="31"/>
      <c r="P767" s="47"/>
      <c r="Q767" s="31"/>
      <c r="R767" s="31"/>
      <c r="S767" s="32">
        <f t="shared" ref="S767" si="212">SUM(P767:Q767)</f>
        <v>0</v>
      </c>
      <c r="T767" s="10"/>
      <c r="U767" s="10"/>
      <c r="V767" s="10"/>
      <c r="W767" s="12">
        <f t="shared" si="203"/>
        <v>0</v>
      </c>
      <c r="Y767" s="10"/>
      <c r="Z767" s="30"/>
      <c r="AA767" s="31"/>
      <c r="AB767" s="47"/>
      <c r="AC767" s="31"/>
      <c r="AD767" s="31"/>
      <c r="AE767" s="32">
        <f t="shared" ref="AE767" si="213">SUM(AB767:AC767)</f>
        <v>0</v>
      </c>
      <c r="AF767" s="10"/>
      <c r="AG767" s="10"/>
      <c r="AH767" s="10"/>
      <c r="AI767" s="12">
        <f t="shared" si="20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3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180919</v>
      </c>
      <c r="E770" s="38">
        <f t="shared" ref="E770:G770" si="214">SUM(E727:E767)</f>
        <v>0</v>
      </c>
      <c r="F770" s="38">
        <f t="shared" si="214"/>
        <v>0</v>
      </c>
      <c r="G770" s="38">
        <f>SUM(G727:G769)</f>
        <v>180919</v>
      </c>
      <c r="H770" s="4"/>
      <c r="I770" s="39">
        <f>SUM(I727:I769)</f>
        <v>613</v>
      </c>
      <c r="J770" s="39">
        <f>SUM(J727:J769)</f>
        <v>0</v>
      </c>
      <c r="K770" s="40">
        <f>SUM(K727:K769)</f>
        <v>181532</v>
      </c>
      <c r="N770" s="57"/>
      <c r="O770" s="57"/>
      <c r="P770" s="38">
        <f>SUM(P727:P769)</f>
        <v>147330</v>
      </c>
      <c r="Q770" s="38">
        <f>SUM(Q727:Q751)</f>
        <v>-1854</v>
      </c>
      <c r="R770" s="38">
        <f>SUM(R727:R751)</f>
        <v>0</v>
      </c>
      <c r="S770" s="38">
        <f>SUM(S727:S769)</f>
        <v>145476</v>
      </c>
      <c r="T770" s="4"/>
      <c r="U770" s="41">
        <f>SUM(U727:U769)</f>
        <v>1893</v>
      </c>
      <c r="V770" s="41">
        <f>SUM(V727:V751)</f>
        <v>-3072</v>
      </c>
      <c r="W770" s="42">
        <f>SUM(W727:W769)</f>
        <v>144297</v>
      </c>
      <c r="Z770" s="57"/>
      <c r="AA770" s="57"/>
      <c r="AB770" s="38">
        <f>SUM(AB727:AB769)</f>
        <v>376162</v>
      </c>
      <c r="AC770" s="38">
        <f>SUM(AC727:AC751)</f>
        <v>-3612</v>
      </c>
      <c r="AD770" s="38">
        <f>SUM(AD727:AD751)</f>
        <v>0</v>
      </c>
      <c r="AE770" s="38">
        <f>SUM(AE727:AE769)</f>
        <v>372550</v>
      </c>
      <c r="AF770" s="4"/>
      <c r="AG770" s="41">
        <f>SUM(AG727:AG769)</f>
        <v>7941</v>
      </c>
      <c r="AH770" s="41">
        <f>SUM(AH727:AH751)</f>
        <v>-378</v>
      </c>
      <c r="AI770" s="42">
        <f>SUM(AI727:AI769)</f>
        <v>380113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9"/>
      <c r="C772" s="89"/>
      <c r="D772" s="89"/>
      <c r="E772" s="89"/>
      <c r="F772" s="89"/>
      <c r="G772" s="89"/>
      <c r="H772" s="62"/>
      <c r="I772" s="62"/>
      <c r="J772" s="62"/>
      <c r="K772" s="62"/>
      <c r="L772" s="62"/>
      <c r="M772" s="62"/>
      <c r="N772" s="89"/>
      <c r="O772" s="89"/>
      <c r="P772" s="89"/>
      <c r="Q772" s="89"/>
      <c r="R772" s="89"/>
      <c r="S772" s="89"/>
      <c r="T772" s="62"/>
      <c r="U772" s="62"/>
      <c r="V772" s="62"/>
      <c r="W772" s="62"/>
      <c r="X772" s="62"/>
      <c r="Y772" s="62"/>
      <c r="Z772" s="89"/>
      <c r="AA772" s="89"/>
      <c r="AB772" s="89"/>
      <c r="AC772" s="89"/>
      <c r="AD772" s="89"/>
      <c r="AE772" s="89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9"/>
      <c r="C773" s="89"/>
      <c r="D773" s="89"/>
      <c r="E773" s="89"/>
      <c r="F773" s="89"/>
      <c r="G773" s="89"/>
      <c r="H773" s="62"/>
      <c r="I773" s="62"/>
      <c r="J773" s="62"/>
      <c r="K773" s="62"/>
      <c r="L773" s="62"/>
      <c r="M773" s="62"/>
      <c r="N773" s="89"/>
      <c r="O773" s="89"/>
      <c r="P773" s="89"/>
      <c r="Q773" s="89"/>
      <c r="R773" s="89"/>
      <c r="S773" s="89"/>
      <c r="T773" s="62"/>
      <c r="U773" s="62"/>
      <c r="V773" s="62"/>
      <c r="W773" s="62"/>
      <c r="X773" s="62"/>
      <c r="Y773" s="62"/>
      <c r="Z773" s="89"/>
      <c r="AA773" s="89"/>
      <c r="AB773" s="89"/>
      <c r="AC773" s="89"/>
      <c r="AD773" s="89"/>
      <c r="AE773" s="89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9"/>
      <c r="C774" s="89"/>
      <c r="D774" s="89"/>
      <c r="E774" s="89"/>
      <c r="F774" s="89"/>
      <c r="G774" s="89"/>
      <c r="H774" s="62"/>
      <c r="I774" s="62"/>
      <c r="J774" s="62"/>
      <c r="K774" s="62"/>
      <c r="L774" s="62"/>
      <c r="M774" s="62"/>
      <c r="N774" s="89"/>
      <c r="O774" s="89"/>
      <c r="P774" s="89"/>
      <c r="Q774" s="89"/>
      <c r="R774" s="89"/>
      <c r="S774" s="89"/>
      <c r="T774" s="62"/>
      <c r="U774" s="62"/>
      <c r="V774" s="62"/>
      <c r="W774" s="62"/>
      <c r="X774" s="62"/>
      <c r="Y774" s="62"/>
      <c r="Z774" s="89"/>
      <c r="AA774" s="89"/>
      <c r="AB774" s="89"/>
      <c r="AC774" s="89"/>
      <c r="AD774" s="89"/>
      <c r="AE774" s="89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9"/>
      <c r="C775" s="89"/>
      <c r="D775" s="89"/>
      <c r="E775" s="89"/>
      <c r="F775" s="89"/>
      <c r="G775" s="89"/>
      <c r="H775" s="62"/>
      <c r="I775" s="62"/>
      <c r="J775" s="62"/>
      <c r="K775" s="62"/>
      <c r="L775" s="62"/>
      <c r="M775" s="63"/>
      <c r="N775" s="89"/>
      <c r="O775" s="89"/>
      <c r="P775" s="89"/>
      <c r="Q775" s="89"/>
      <c r="R775" s="89"/>
      <c r="S775" s="89"/>
      <c r="T775" s="62"/>
      <c r="U775" s="62"/>
      <c r="V775" s="62"/>
      <c r="W775" s="62"/>
      <c r="X775" s="62"/>
      <c r="Y775" s="63"/>
      <c r="Z775" s="89"/>
      <c r="AA775" s="89"/>
      <c r="AB775" s="89"/>
      <c r="AC775" s="89"/>
      <c r="AD775" s="89"/>
      <c r="AE775" s="89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9"/>
      <c r="C776" s="89"/>
      <c r="D776" s="89"/>
      <c r="E776" s="89"/>
      <c r="F776" s="89"/>
      <c r="G776" s="89"/>
      <c r="H776" s="62"/>
      <c r="I776" s="62"/>
      <c r="J776" s="62"/>
      <c r="K776" s="62"/>
      <c r="L776" s="62"/>
      <c r="M776" s="62"/>
      <c r="N776" s="89"/>
      <c r="O776" s="89"/>
      <c r="P776" s="89"/>
      <c r="Q776" s="89"/>
      <c r="R776" s="89"/>
      <c r="S776" s="89"/>
      <c r="T776" s="62"/>
      <c r="U776" s="62"/>
      <c r="V776" s="62"/>
      <c r="W776" s="62"/>
      <c r="X776" s="62"/>
      <c r="Y776" s="62"/>
      <c r="Z776" s="89"/>
      <c r="AA776" s="89"/>
      <c r="AB776" s="89"/>
      <c r="AC776" s="89"/>
      <c r="AD776" s="89"/>
      <c r="AE776" s="89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9"/>
      <c r="C777" s="89"/>
      <c r="D777" s="89"/>
      <c r="E777" s="89"/>
      <c r="F777" s="89"/>
      <c r="G777" s="89"/>
      <c r="H777" s="62"/>
      <c r="I777" s="89"/>
      <c r="J777" s="74"/>
      <c r="K777" s="62"/>
      <c r="L777" s="62"/>
      <c r="M777" s="62"/>
      <c r="N777" s="89"/>
      <c r="O777" s="89"/>
      <c r="P777" s="89"/>
      <c r="Q777" s="89"/>
      <c r="R777" s="89"/>
      <c r="S777" s="89"/>
      <c r="T777" s="62"/>
      <c r="U777" s="89"/>
      <c r="V777" s="74"/>
      <c r="W777" s="62"/>
      <c r="X777" s="62"/>
      <c r="Y777" s="62"/>
      <c r="Z777" s="89"/>
      <c r="AA777" s="89"/>
      <c r="AB777" s="89"/>
      <c r="AC777" s="89"/>
      <c r="AD777" s="89"/>
      <c r="AE777" s="89"/>
      <c r="AF777" s="62"/>
      <c r="AG777" s="89"/>
      <c r="AH777" s="89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9"/>
      <c r="C778" s="89"/>
      <c r="D778" s="89"/>
      <c r="E778" s="89"/>
      <c r="F778" s="89"/>
      <c r="G778" s="89"/>
      <c r="H778" s="62"/>
      <c r="I778" s="65"/>
      <c r="J778" s="65"/>
      <c r="K778" s="62"/>
      <c r="L778" s="62"/>
      <c r="M778" s="64"/>
      <c r="N778" s="89"/>
      <c r="O778" s="89"/>
      <c r="P778" s="89"/>
      <c r="Q778" s="89"/>
      <c r="R778" s="89"/>
      <c r="S778" s="89"/>
      <c r="T778" s="62"/>
      <c r="U778" s="65"/>
      <c r="V778" s="65"/>
      <c r="W778" s="62"/>
      <c r="X778" s="62"/>
      <c r="Y778" s="64"/>
      <c r="Z778" s="89"/>
      <c r="AA778" s="89"/>
      <c r="AB778" s="89"/>
      <c r="AC778" s="89"/>
      <c r="AD778" s="89"/>
      <c r="AE778" s="89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9"/>
      <c r="C779" s="89"/>
      <c r="D779" s="89"/>
      <c r="E779" s="89"/>
      <c r="F779" s="89"/>
      <c r="G779" s="89"/>
      <c r="H779" s="62"/>
      <c r="I779" s="62"/>
      <c r="J779" s="62"/>
      <c r="K779" s="62"/>
      <c r="L779" s="62"/>
      <c r="M779" s="62"/>
      <c r="N779" s="89"/>
      <c r="O779" s="89"/>
      <c r="P779" s="89"/>
      <c r="Q779" s="89"/>
      <c r="R779" s="89"/>
      <c r="S779" s="89"/>
      <c r="T779" s="62"/>
      <c r="U779" s="62"/>
      <c r="V779" s="62"/>
      <c r="W779" s="62"/>
      <c r="X779" s="62"/>
      <c r="Y779" s="62"/>
      <c r="Z779" s="89"/>
      <c r="AA779" s="89"/>
      <c r="AB779" s="89"/>
      <c r="AC779" s="89"/>
      <c r="AD779" s="89"/>
      <c r="AE779" s="89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9"/>
      <c r="D780" s="110"/>
      <c r="E780" s="110"/>
      <c r="F780" s="89"/>
      <c r="G780" s="89"/>
      <c r="H780" s="62"/>
      <c r="I780" s="110"/>
      <c r="J780" s="110"/>
      <c r="K780" s="109"/>
      <c r="L780" s="62"/>
      <c r="M780" s="62"/>
      <c r="N780" s="65"/>
      <c r="O780" s="89"/>
      <c r="P780" s="110"/>
      <c r="Q780" s="110"/>
      <c r="R780" s="89"/>
      <c r="S780" s="89"/>
      <c r="T780" s="62"/>
      <c r="U780" s="110"/>
      <c r="V780" s="110"/>
      <c r="W780" s="109"/>
      <c r="X780" s="62"/>
      <c r="Y780" s="62"/>
      <c r="Z780" s="65"/>
      <c r="AA780" s="89"/>
      <c r="AB780" s="110"/>
      <c r="AC780" s="110"/>
      <c r="AD780" s="89"/>
      <c r="AE780" s="89"/>
      <c r="AF780" s="62"/>
      <c r="AG780" s="110"/>
      <c r="AH780" s="110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9"/>
      <c r="C781" s="89"/>
      <c r="D781" s="81"/>
      <c r="E781" s="82"/>
      <c r="F781" s="83"/>
      <c r="G781" s="83"/>
      <c r="H781" s="62"/>
      <c r="I781" s="88"/>
      <c r="J781" s="88"/>
      <c r="K781" s="109"/>
      <c r="L781" s="62"/>
      <c r="M781" s="62"/>
      <c r="N781" s="89"/>
      <c r="O781" s="89"/>
      <c r="P781" s="81"/>
      <c r="Q781" s="83"/>
      <c r="R781" s="83"/>
      <c r="S781" s="83"/>
      <c r="T781" s="62"/>
      <c r="U781" s="88"/>
      <c r="V781" s="88"/>
      <c r="W781" s="109"/>
      <c r="X781" s="62"/>
      <c r="Y781" s="62"/>
      <c r="Z781" s="89"/>
      <c r="AA781" s="89"/>
      <c r="AB781" s="81"/>
      <c r="AC781" s="83"/>
      <c r="AD781" s="83"/>
      <c r="AE781" s="83"/>
      <c r="AF781" s="62"/>
      <c r="AG781" s="88"/>
      <c r="AH781" s="88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9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9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9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9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9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9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9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9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65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9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9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9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9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9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9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9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9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9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9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9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9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9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9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9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9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9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9"/>
      <c r="AB790" s="9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9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9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9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9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9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9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9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9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9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9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9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9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9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9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9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9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9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9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9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9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9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9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9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9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65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9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62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9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9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9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9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9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9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62"/>
      <c r="P802" s="67"/>
      <c r="Q802" s="89"/>
      <c r="R802" s="89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89"/>
      <c r="AD802" s="89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9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9"/>
      <c r="P803" s="68"/>
      <c r="Q803" s="89"/>
      <c r="R803" s="89"/>
      <c r="S803" s="60"/>
      <c r="T803" s="62"/>
      <c r="U803" s="62"/>
      <c r="V803" s="62"/>
      <c r="W803" s="61"/>
      <c r="X803" s="62"/>
      <c r="Y803" s="62"/>
      <c r="Z803" s="66"/>
      <c r="AA803" s="89"/>
      <c r="AB803" s="68"/>
      <c r="AC803" s="89"/>
      <c r="AD803" s="89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9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9"/>
      <c r="P804" s="69"/>
      <c r="Q804" s="89"/>
      <c r="R804" s="62"/>
      <c r="S804" s="60"/>
      <c r="T804" s="62"/>
      <c r="U804" s="62"/>
      <c r="V804" s="62"/>
      <c r="W804" s="61"/>
      <c r="X804" s="62"/>
      <c r="Y804" s="62"/>
      <c r="Z804" s="66"/>
      <c r="AA804" s="89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9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9"/>
      <c r="P805" s="69"/>
      <c r="Q805" s="89"/>
      <c r="R805" s="89"/>
      <c r="S805" s="60"/>
      <c r="T805" s="62"/>
      <c r="U805" s="62"/>
      <c r="V805" s="62"/>
      <c r="W805" s="61"/>
      <c r="X805" s="62"/>
      <c r="Y805" s="62"/>
      <c r="Z805" s="66"/>
      <c r="AA805" s="89"/>
      <c r="AB805" s="69"/>
      <c r="AC805" s="89"/>
      <c r="AD805" s="89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9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9"/>
      <c r="P806" s="69"/>
      <c r="Q806" s="89"/>
      <c r="R806" s="89"/>
      <c r="S806" s="60"/>
      <c r="T806" s="62"/>
      <c r="U806" s="62"/>
      <c r="V806" s="62"/>
      <c r="W806" s="61"/>
      <c r="X806" s="62"/>
      <c r="Y806" s="62"/>
      <c r="Z806" s="66"/>
      <c r="AA806" s="89"/>
      <c r="AB806" s="69"/>
      <c r="AC806" s="89"/>
      <c r="AD806" s="89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9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62"/>
      <c r="P807" s="69"/>
      <c r="Q807" s="89"/>
      <c r="R807" s="89"/>
      <c r="S807" s="60"/>
      <c r="T807" s="62"/>
      <c r="U807" s="62"/>
      <c r="V807" s="62"/>
      <c r="W807" s="61"/>
      <c r="X807" s="62"/>
      <c r="Y807" s="62"/>
      <c r="Z807" s="66"/>
      <c r="AA807" s="89"/>
      <c r="AB807" s="69"/>
      <c r="AC807" s="89"/>
      <c r="AD807" s="89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9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9"/>
      <c r="P808" s="69"/>
      <c r="Q808" s="89"/>
      <c r="R808" s="89"/>
      <c r="S808" s="60"/>
      <c r="T808" s="62"/>
      <c r="U808" s="62"/>
      <c r="V808" s="62"/>
      <c r="W808" s="61"/>
      <c r="X808" s="62"/>
      <c r="Y808" s="62"/>
      <c r="Z808" s="66"/>
      <c r="AA808" s="89"/>
      <c r="AB808" s="69"/>
      <c r="AC808" s="89"/>
      <c r="AD808" s="89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9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9"/>
      <c r="P809" s="69"/>
      <c r="Q809" s="89"/>
      <c r="R809" s="89"/>
      <c r="S809" s="60"/>
      <c r="T809" s="62"/>
      <c r="U809" s="62"/>
      <c r="V809" s="62"/>
      <c r="W809" s="61"/>
      <c r="X809" s="62"/>
      <c r="Y809" s="62"/>
      <c r="Z809" s="66"/>
      <c r="AA809" s="89"/>
      <c r="AB809" s="69"/>
      <c r="AC809" s="89"/>
      <c r="AD809" s="89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9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9"/>
      <c r="P810" s="69"/>
      <c r="Q810" s="89"/>
      <c r="R810" s="89"/>
      <c r="S810" s="60"/>
      <c r="T810" s="62"/>
      <c r="U810" s="62"/>
      <c r="V810" s="62"/>
      <c r="W810" s="61"/>
      <c r="X810" s="62"/>
      <c r="Y810" s="62"/>
      <c r="Z810" s="66"/>
      <c r="AA810" s="89"/>
      <c r="AB810" s="69"/>
      <c r="AC810" s="89"/>
      <c r="AD810" s="89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65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89"/>
      <c r="R811" s="89"/>
      <c r="S811" s="60"/>
      <c r="T811" s="62"/>
      <c r="U811" s="62"/>
      <c r="V811" s="62"/>
      <c r="W811" s="61"/>
      <c r="X811" s="62"/>
      <c r="Y811" s="62"/>
      <c r="Z811" s="66"/>
      <c r="AA811" s="89"/>
      <c r="AB811" s="69"/>
      <c r="AC811" s="89"/>
      <c r="AD811" s="89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65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9"/>
      <c r="P812" s="69"/>
      <c r="Q812" s="89"/>
      <c r="R812" s="89"/>
      <c r="S812" s="60"/>
      <c r="T812" s="62"/>
      <c r="U812" s="62"/>
      <c r="V812" s="62"/>
      <c r="W812" s="61"/>
      <c r="X812" s="62"/>
      <c r="Y812" s="62"/>
      <c r="Z812" s="66"/>
      <c r="AA812" s="89"/>
      <c r="AB812" s="69"/>
      <c r="AC812" s="89"/>
      <c r="AD812" s="89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65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9"/>
      <c r="P813" s="69"/>
      <c r="Q813" s="89"/>
      <c r="R813" s="89"/>
      <c r="S813" s="60"/>
      <c r="T813" s="62"/>
      <c r="U813" s="62"/>
      <c r="V813" s="62"/>
      <c r="W813" s="61"/>
      <c r="X813" s="62"/>
      <c r="Y813" s="62"/>
      <c r="Z813" s="66"/>
      <c r="AA813" s="89"/>
      <c r="AB813" s="69"/>
      <c r="AC813" s="89"/>
      <c r="AD813" s="89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65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9"/>
      <c r="P814" s="69"/>
      <c r="Q814" s="89"/>
      <c r="R814" s="89"/>
      <c r="S814" s="60"/>
      <c r="T814" s="62"/>
      <c r="U814" s="62"/>
      <c r="V814" s="62"/>
      <c r="W814" s="61"/>
      <c r="X814" s="62"/>
      <c r="Y814" s="62"/>
      <c r="Z814" s="66"/>
      <c r="AA814" s="89"/>
      <c r="AB814" s="69"/>
      <c r="AC814" s="89"/>
      <c r="AD814" s="89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65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9"/>
      <c r="P815" s="69"/>
      <c r="Q815" s="89"/>
      <c r="R815" s="89"/>
      <c r="S815" s="60"/>
      <c r="T815" s="62"/>
      <c r="U815" s="62"/>
      <c r="V815" s="62"/>
      <c r="W815" s="61"/>
      <c r="X815" s="62"/>
      <c r="Y815" s="62"/>
      <c r="Z815" s="66"/>
      <c r="AA815" s="89"/>
      <c r="AB815" s="69"/>
      <c r="AC815" s="89"/>
      <c r="AD815" s="89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65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9"/>
      <c r="P816" s="69"/>
      <c r="Q816" s="89"/>
      <c r="R816" s="89"/>
      <c r="S816" s="60"/>
      <c r="T816" s="62"/>
      <c r="U816" s="62"/>
      <c r="V816" s="62"/>
      <c r="W816" s="61"/>
      <c r="X816" s="62"/>
      <c r="Y816" s="62"/>
      <c r="Z816" s="66"/>
      <c r="AA816" s="89"/>
      <c r="AB816" s="69"/>
      <c r="AC816" s="89"/>
      <c r="AD816" s="89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65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9"/>
      <c r="P817" s="69"/>
      <c r="Q817" s="89"/>
      <c r="R817" s="89"/>
      <c r="S817" s="60"/>
      <c r="T817" s="62"/>
      <c r="U817" s="62"/>
      <c r="V817" s="62"/>
      <c r="W817" s="61"/>
      <c r="X817" s="62"/>
      <c r="Y817" s="62"/>
      <c r="Z817" s="66"/>
      <c r="AA817" s="89"/>
      <c r="AB817" s="69"/>
      <c r="AC817" s="89"/>
      <c r="AD817" s="89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65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9"/>
      <c r="R818" s="89"/>
      <c r="S818" s="60"/>
      <c r="T818" s="62"/>
      <c r="U818" s="62"/>
      <c r="V818" s="62"/>
      <c r="W818" s="61"/>
      <c r="X818" s="62"/>
      <c r="Y818" s="62"/>
      <c r="Z818" s="66"/>
      <c r="AA818" s="89"/>
      <c r="AB818" s="69"/>
      <c r="AC818" s="89"/>
      <c r="AD818" s="89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9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9"/>
      <c r="P819" s="69"/>
      <c r="Q819" s="89"/>
      <c r="R819" s="89"/>
      <c r="S819" s="60"/>
      <c r="T819" s="62"/>
      <c r="U819" s="62"/>
      <c r="V819" s="62"/>
      <c r="W819" s="61"/>
      <c r="X819" s="62"/>
      <c r="Y819" s="62"/>
      <c r="Z819" s="66"/>
      <c r="AA819" s="89"/>
      <c r="AB819" s="69"/>
      <c r="AC819" s="89"/>
      <c r="AD819" s="89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9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9"/>
      <c r="P820" s="69"/>
      <c r="Q820" s="89"/>
      <c r="R820" s="89"/>
      <c r="S820" s="60"/>
      <c r="T820" s="62"/>
      <c r="U820" s="62"/>
      <c r="V820" s="62"/>
      <c r="W820" s="61"/>
      <c r="X820" s="62"/>
      <c r="Y820" s="62"/>
      <c r="Z820" s="66"/>
      <c r="AA820" s="89"/>
      <c r="AB820" s="69"/>
      <c r="AC820" s="89"/>
      <c r="AD820" s="89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9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9"/>
      <c r="R821" s="89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9"/>
      <c r="AD821" s="89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9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9"/>
      <c r="P822" s="69"/>
      <c r="Q822" s="89"/>
      <c r="R822" s="89"/>
      <c r="S822" s="60"/>
      <c r="T822" s="62"/>
      <c r="U822" s="62"/>
      <c r="V822" s="62"/>
      <c r="W822" s="61"/>
      <c r="X822" s="62"/>
      <c r="Y822" s="62"/>
      <c r="Z822" s="66"/>
      <c r="AA822" s="89"/>
      <c r="AB822" s="69"/>
      <c r="AC822" s="89"/>
      <c r="AD822" s="89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9"/>
      <c r="O823" s="89"/>
      <c r="P823" s="89"/>
      <c r="Q823" s="89"/>
      <c r="R823" s="89"/>
      <c r="S823" s="89"/>
      <c r="T823" s="62"/>
      <c r="U823" s="62"/>
      <c r="V823" s="62"/>
      <c r="W823" s="61"/>
      <c r="X823" s="62"/>
      <c r="Y823" s="62"/>
      <c r="Z823" s="89"/>
      <c r="AA823" s="89"/>
      <c r="AB823" s="89"/>
      <c r="AC823" s="89"/>
      <c r="AD823" s="89"/>
      <c r="AE823" s="89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9"/>
      <c r="C824" s="89"/>
      <c r="D824" s="89"/>
      <c r="E824" s="89"/>
      <c r="F824" s="89"/>
      <c r="G824" s="89"/>
      <c r="H824" s="62"/>
      <c r="I824" s="62"/>
      <c r="J824" s="62"/>
      <c r="K824" s="62"/>
      <c r="L824" s="62"/>
      <c r="M824" s="62"/>
      <c r="N824" s="89"/>
      <c r="O824" s="89"/>
      <c r="P824" s="89"/>
      <c r="Q824" s="89"/>
      <c r="R824" s="89"/>
      <c r="S824" s="89"/>
      <c r="T824" s="62"/>
      <c r="U824" s="62"/>
      <c r="V824" s="62"/>
      <c r="W824" s="62"/>
      <c r="X824" s="62"/>
      <c r="Y824" s="62"/>
      <c r="Z824" s="89"/>
      <c r="AA824" s="89"/>
      <c r="AB824" s="89"/>
      <c r="AC824" s="89"/>
      <c r="AD824" s="89"/>
      <c r="AE824" s="89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9"/>
      <c r="C825" s="89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9"/>
      <c r="O825" s="89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9"/>
      <c r="AA825" s="89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9"/>
      <c r="C827" s="89"/>
      <c r="D827" s="89"/>
      <c r="E827" s="89"/>
      <c r="F827" s="89"/>
      <c r="G827" s="89"/>
      <c r="H827" s="62"/>
      <c r="I827" s="62"/>
      <c r="J827" s="62"/>
      <c r="K827" s="62"/>
      <c r="L827" s="62"/>
      <c r="M827" s="62"/>
      <c r="N827" s="89"/>
      <c r="O827" s="89"/>
      <c r="P827" s="89"/>
      <c r="Q827" s="89"/>
      <c r="R827" s="89"/>
      <c r="S827" s="89"/>
      <c r="T827" s="62"/>
      <c r="U827" s="62"/>
      <c r="V827" s="62"/>
      <c r="W827" s="62"/>
      <c r="X827" s="62"/>
      <c r="Y827" s="62"/>
      <c r="Z827" s="89"/>
      <c r="AA827" s="89"/>
      <c r="AB827" s="89"/>
      <c r="AC827" s="89"/>
      <c r="AD827" s="89"/>
      <c r="AE827" s="89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4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4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10"/>
      <c r="E835" s="110"/>
      <c r="F835" s="89"/>
      <c r="G835" s="89"/>
      <c r="H835" s="62"/>
      <c r="I835" s="110"/>
      <c r="J835" s="110"/>
      <c r="K835" s="109"/>
      <c r="L835" s="62"/>
      <c r="M835" s="62"/>
      <c r="N835" s="65"/>
      <c r="O835" s="89"/>
      <c r="P835" s="110"/>
      <c r="Q835" s="110"/>
      <c r="R835" s="89"/>
      <c r="S835" s="89"/>
      <c r="T835" s="62"/>
      <c r="U835" s="110"/>
      <c r="V835" s="110"/>
      <c r="W835" s="109"/>
      <c r="X835" s="62"/>
      <c r="Y835" s="62"/>
      <c r="Z835" s="65"/>
      <c r="AA835" s="89"/>
      <c r="AB835" s="110"/>
      <c r="AC835" s="110"/>
      <c r="AD835" s="89"/>
      <c r="AE835" s="89"/>
      <c r="AF835" s="62"/>
      <c r="AG835" s="110"/>
      <c r="AH835" s="110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81"/>
      <c r="E836" s="82"/>
      <c r="F836" s="83"/>
      <c r="G836" s="83"/>
      <c r="H836" s="62"/>
      <c r="I836" s="88"/>
      <c r="J836" s="88"/>
      <c r="K836" s="109"/>
      <c r="L836" s="62"/>
      <c r="M836" s="62"/>
      <c r="N836" s="89"/>
      <c r="O836" s="89"/>
      <c r="P836" s="81"/>
      <c r="Q836" s="83"/>
      <c r="R836" s="83"/>
      <c r="S836" s="83"/>
      <c r="T836" s="62"/>
      <c r="U836" s="88"/>
      <c r="V836" s="88"/>
      <c r="W836" s="109"/>
      <c r="X836" s="62"/>
      <c r="Y836" s="62"/>
      <c r="Z836" s="89"/>
      <c r="AA836" s="89"/>
      <c r="AB836" s="81"/>
      <c r="AC836" s="83"/>
      <c r="AD836" s="83"/>
      <c r="AE836" s="83"/>
      <c r="AF836" s="62"/>
      <c r="AG836" s="88"/>
      <c r="AH836" s="88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9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9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9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9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9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9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9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9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9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9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9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9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9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9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9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9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9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9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9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9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9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9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9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9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9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9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89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9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65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9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9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9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9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65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65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65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65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65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65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65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4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4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10"/>
      <c r="E890" s="110"/>
      <c r="F890" s="89"/>
      <c r="G890" s="89"/>
      <c r="H890" s="62"/>
      <c r="I890" s="110"/>
      <c r="J890" s="110"/>
      <c r="K890" s="109"/>
      <c r="L890" s="62"/>
      <c r="M890" s="62"/>
      <c r="N890" s="65"/>
      <c r="O890" s="89"/>
      <c r="P890" s="110"/>
      <c r="Q890" s="110"/>
      <c r="R890" s="89"/>
      <c r="S890" s="89"/>
      <c r="T890" s="62"/>
      <c r="U890" s="110"/>
      <c r="V890" s="110"/>
      <c r="W890" s="109"/>
      <c r="X890" s="62"/>
      <c r="Y890" s="62"/>
      <c r="Z890" s="65"/>
      <c r="AA890" s="89"/>
      <c r="AB890" s="110"/>
      <c r="AC890" s="110"/>
      <c r="AD890" s="89"/>
      <c r="AE890" s="89"/>
      <c r="AF890" s="62"/>
      <c r="AG890" s="110"/>
      <c r="AH890" s="110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81"/>
      <c r="E891" s="82"/>
      <c r="F891" s="83"/>
      <c r="G891" s="83"/>
      <c r="H891" s="62"/>
      <c r="I891" s="88"/>
      <c r="J891" s="88"/>
      <c r="K891" s="109"/>
      <c r="L891" s="62"/>
      <c r="M891" s="62"/>
      <c r="N891" s="89"/>
      <c r="O891" s="89"/>
      <c r="P891" s="81"/>
      <c r="Q891" s="83"/>
      <c r="R891" s="83"/>
      <c r="S891" s="83"/>
      <c r="T891" s="62"/>
      <c r="U891" s="88"/>
      <c r="V891" s="88"/>
      <c r="W891" s="109"/>
      <c r="X891" s="62"/>
      <c r="Y891" s="62"/>
      <c r="Z891" s="89"/>
      <c r="AA891" s="89"/>
      <c r="AB891" s="81"/>
      <c r="AC891" s="83"/>
      <c r="AD891" s="83"/>
      <c r="AE891" s="83"/>
      <c r="AF891" s="62"/>
      <c r="AG891" s="88"/>
      <c r="AH891" s="88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9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9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9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9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9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9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9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9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9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9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65"/>
      <c r="AB900" s="9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9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9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9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9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62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9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9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65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9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2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9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9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9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9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62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9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62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9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89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9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9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9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2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9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9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9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65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2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65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65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65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65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65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65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65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4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4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10"/>
      <c r="E945" s="110"/>
      <c r="F945" s="89"/>
      <c r="G945" s="89"/>
      <c r="H945" s="62"/>
      <c r="I945" s="110"/>
      <c r="J945" s="110"/>
      <c r="K945" s="109"/>
      <c r="L945" s="62"/>
      <c r="M945" s="62"/>
      <c r="N945" s="65"/>
      <c r="O945" s="89"/>
      <c r="P945" s="110"/>
      <c r="Q945" s="110"/>
      <c r="R945" s="89"/>
      <c r="S945" s="89"/>
      <c r="T945" s="62"/>
      <c r="U945" s="110"/>
      <c r="V945" s="110"/>
      <c r="W945" s="109"/>
      <c r="X945" s="62"/>
      <c r="Y945" s="62"/>
      <c r="Z945" s="65"/>
      <c r="AA945" s="89"/>
      <c r="AB945" s="110"/>
      <c r="AC945" s="110"/>
      <c r="AD945" s="89"/>
      <c r="AE945" s="89"/>
      <c r="AF945" s="62"/>
      <c r="AG945" s="110"/>
      <c r="AH945" s="110"/>
      <c r="AI945" s="109"/>
      <c r="AJ945" s="62"/>
      <c r="AK945" s="62"/>
      <c r="AL945" s="65"/>
      <c r="AM945" s="87"/>
      <c r="AN945" s="110"/>
      <c r="AO945" s="110"/>
      <c r="AP945" s="87"/>
      <c r="AQ945" s="84"/>
      <c r="AR945" s="62"/>
      <c r="AS945" s="110"/>
      <c r="AT945" s="110"/>
      <c r="AU945" s="109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81"/>
      <c r="E946" s="82"/>
      <c r="F946" s="83"/>
      <c r="G946" s="83"/>
      <c r="H946" s="62"/>
      <c r="I946" s="88"/>
      <c r="J946" s="88"/>
      <c r="K946" s="109"/>
      <c r="L946" s="62"/>
      <c r="M946" s="62"/>
      <c r="N946" s="89"/>
      <c r="O946" s="89"/>
      <c r="P946" s="81"/>
      <c r="Q946" s="83"/>
      <c r="R946" s="83"/>
      <c r="S946" s="83"/>
      <c r="T946" s="62"/>
      <c r="U946" s="88"/>
      <c r="V946" s="88"/>
      <c r="W946" s="109"/>
      <c r="X946" s="62"/>
      <c r="Y946" s="62"/>
      <c r="Z946" s="89"/>
      <c r="AA946" s="89"/>
      <c r="AB946" s="81"/>
      <c r="AC946" s="83"/>
      <c r="AD946" s="83"/>
      <c r="AE946" s="83"/>
      <c r="AF946" s="62"/>
      <c r="AG946" s="88"/>
      <c r="AH946" s="88"/>
      <c r="AI946" s="109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09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9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9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9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9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9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9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9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9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9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9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9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9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9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9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9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9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9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9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9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9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9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9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9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9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67"/>
      <c r="Q967" s="60"/>
      <c r="R967" s="89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9"/>
      <c r="P968" s="68"/>
      <c r="Q968" s="60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9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60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9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9"/>
      <c r="P970" s="69"/>
      <c r="Q970" s="60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9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60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9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9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9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9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9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9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9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9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9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9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9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9"/>
      <c r="C992" s="89"/>
      <c r="D992" s="89"/>
      <c r="E992" s="89"/>
      <c r="F992" s="89"/>
      <c r="G992" s="89"/>
      <c r="H992" s="62"/>
      <c r="I992" s="62"/>
      <c r="J992" s="62"/>
      <c r="K992" s="62"/>
      <c r="L992" s="62"/>
      <c r="M992" s="62"/>
      <c r="N992" s="89"/>
      <c r="O992" s="89"/>
      <c r="P992" s="89"/>
      <c r="Q992" s="89"/>
      <c r="R992" s="89"/>
      <c r="S992" s="89"/>
      <c r="T992" s="62"/>
      <c r="U992" s="62"/>
      <c r="V992" s="62"/>
      <c r="W992" s="62"/>
      <c r="X992" s="62"/>
      <c r="Y992" s="62"/>
      <c r="Z992" s="89"/>
      <c r="AA992" s="89"/>
      <c r="AB992" s="89"/>
      <c r="AC992" s="89"/>
      <c r="AD992" s="89"/>
      <c r="AE992" s="89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9"/>
      <c r="C993" s="89"/>
      <c r="D993" s="89"/>
      <c r="E993" s="89"/>
      <c r="F993" s="89"/>
      <c r="G993" s="89"/>
      <c r="H993" s="62"/>
      <c r="I993" s="62"/>
      <c r="J993" s="62"/>
      <c r="K993" s="62"/>
      <c r="L993" s="62"/>
      <c r="M993" s="62"/>
      <c r="N993" s="89"/>
      <c r="O993" s="89"/>
      <c r="P993" s="89"/>
      <c r="Q993" s="89"/>
      <c r="R993" s="89"/>
      <c r="S993" s="89"/>
      <c r="T993" s="62"/>
      <c r="U993" s="62"/>
      <c r="V993" s="62"/>
      <c r="W993" s="62"/>
      <c r="X993" s="62"/>
      <c r="Y993" s="62"/>
      <c r="Z993" s="89"/>
      <c r="AA993" s="89"/>
      <c r="AB993" s="89"/>
      <c r="AC993" s="89"/>
      <c r="AD993" s="89"/>
      <c r="AE993" s="89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9"/>
      <c r="C994" s="89"/>
      <c r="D994" s="89"/>
      <c r="E994" s="89"/>
      <c r="F994" s="89"/>
      <c r="G994" s="89"/>
      <c r="H994" s="62"/>
      <c r="I994" s="62"/>
      <c r="J994" s="62"/>
      <c r="K994" s="62"/>
      <c r="L994" s="62"/>
      <c r="M994" s="62"/>
      <c r="N994" s="89"/>
      <c r="O994" s="89"/>
      <c r="P994" s="89"/>
      <c r="Q994" s="89"/>
      <c r="R994" s="89"/>
      <c r="S994" s="89"/>
      <c r="T994" s="62"/>
      <c r="U994" s="62"/>
      <c r="V994" s="62"/>
      <c r="W994" s="62"/>
      <c r="X994" s="62"/>
      <c r="Y994" s="62"/>
      <c r="Z994" s="89"/>
      <c r="AA994" s="89"/>
      <c r="AB994" s="89"/>
      <c r="AC994" s="89"/>
      <c r="AD994" s="89"/>
      <c r="AE994" s="89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9"/>
      <c r="C995" s="89"/>
      <c r="D995" s="89"/>
      <c r="E995" s="89"/>
      <c r="F995" s="89"/>
      <c r="G995" s="89"/>
      <c r="H995" s="62"/>
      <c r="I995" s="62"/>
      <c r="J995" s="62"/>
      <c r="K995" s="62"/>
      <c r="L995" s="62"/>
      <c r="M995" s="63"/>
      <c r="N995" s="89"/>
      <c r="O995" s="89"/>
      <c r="P995" s="89"/>
      <c r="Q995" s="89"/>
      <c r="R995" s="89"/>
      <c r="S995" s="89"/>
      <c r="T995" s="62"/>
      <c r="U995" s="62"/>
      <c r="V995" s="62"/>
      <c r="W995" s="62"/>
      <c r="X995" s="62"/>
      <c r="Y995" s="63"/>
      <c r="Z995" s="89"/>
      <c r="AA995" s="89"/>
      <c r="AB995" s="89"/>
      <c r="AC995" s="89"/>
      <c r="AD995" s="89"/>
      <c r="AE995" s="89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9"/>
      <c r="C996" s="89"/>
      <c r="D996" s="89"/>
      <c r="E996" s="89"/>
      <c r="F996" s="89"/>
      <c r="G996" s="89"/>
      <c r="H996" s="62"/>
      <c r="I996" s="62"/>
      <c r="J996" s="62"/>
      <c r="K996" s="62"/>
      <c r="L996" s="62"/>
      <c r="M996" s="62"/>
      <c r="N996" s="89"/>
      <c r="O996" s="89"/>
      <c r="P996" s="89"/>
      <c r="Q996" s="89"/>
      <c r="R996" s="89"/>
      <c r="S996" s="89"/>
      <c r="T996" s="62"/>
      <c r="U996" s="62"/>
      <c r="V996" s="62"/>
      <c r="W996" s="62"/>
      <c r="X996" s="62"/>
      <c r="Y996" s="62"/>
      <c r="Z996" s="89"/>
      <c r="AA996" s="89"/>
      <c r="AB996" s="89"/>
      <c r="AC996" s="89"/>
      <c r="AD996" s="89"/>
      <c r="AE996" s="89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9"/>
      <c r="C997" s="89"/>
      <c r="D997" s="89"/>
      <c r="E997" s="89"/>
      <c r="F997" s="89"/>
      <c r="G997" s="89"/>
      <c r="H997" s="62"/>
      <c r="I997" s="89"/>
      <c r="J997" s="74"/>
      <c r="K997" s="62"/>
      <c r="L997" s="62"/>
      <c r="M997" s="62"/>
      <c r="N997" s="89"/>
      <c r="O997" s="89"/>
      <c r="P997" s="89"/>
      <c r="Q997" s="89"/>
      <c r="R997" s="89"/>
      <c r="S997" s="89"/>
      <c r="T997" s="62"/>
      <c r="U997" s="89"/>
      <c r="V997" s="74"/>
      <c r="W997" s="62"/>
      <c r="X997" s="62"/>
      <c r="Y997" s="62"/>
      <c r="Z997" s="89"/>
      <c r="AA997" s="89"/>
      <c r="AB997" s="89"/>
      <c r="AC997" s="89"/>
      <c r="AD997" s="89"/>
      <c r="AE997" s="89"/>
      <c r="AF997" s="62"/>
      <c r="AG997" s="89"/>
      <c r="AH997" s="89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9"/>
      <c r="C998" s="89"/>
      <c r="D998" s="89"/>
      <c r="E998" s="89"/>
      <c r="F998" s="89"/>
      <c r="G998" s="89"/>
      <c r="H998" s="62"/>
      <c r="I998" s="65"/>
      <c r="J998" s="65"/>
      <c r="K998" s="62"/>
      <c r="L998" s="62"/>
      <c r="M998" s="64"/>
      <c r="N998" s="89"/>
      <c r="O998" s="89"/>
      <c r="P998" s="89"/>
      <c r="Q998" s="89"/>
      <c r="R998" s="89"/>
      <c r="S998" s="89"/>
      <c r="T998" s="62"/>
      <c r="U998" s="65"/>
      <c r="V998" s="65"/>
      <c r="W998" s="62"/>
      <c r="X998" s="62"/>
      <c r="Y998" s="64"/>
      <c r="Z998" s="89"/>
      <c r="AA998" s="89"/>
      <c r="AB998" s="89"/>
      <c r="AC998" s="89"/>
      <c r="AD998" s="89"/>
      <c r="AE998" s="89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9"/>
      <c r="C999" s="89"/>
      <c r="D999" s="89"/>
      <c r="E999" s="89"/>
      <c r="F999" s="89"/>
      <c r="G999" s="89"/>
      <c r="H999" s="62"/>
      <c r="I999" s="62"/>
      <c r="J999" s="62"/>
      <c r="K999" s="62"/>
      <c r="L999" s="62"/>
      <c r="M999" s="62"/>
      <c r="N999" s="89"/>
      <c r="O999" s="89"/>
      <c r="P999" s="89"/>
      <c r="Q999" s="89"/>
      <c r="R999" s="89"/>
      <c r="S999" s="89"/>
      <c r="T999" s="62"/>
      <c r="U999" s="62"/>
      <c r="V999" s="62"/>
      <c r="W999" s="62"/>
      <c r="X999" s="62"/>
      <c r="Y999" s="62"/>
      <c r="Z999" s="89"/>
      <c r="AA999" s="89"/>
      <c r="AB999" s="89"/>
      <c r="AC999" s="89"/>
      <c r="AD999" s="89"/>
      <c r="AE999" s="89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9"/>
      <c r="D1000" s="110"/>
      <c r="E1000" s="110"/>
      <c r="F1000" s="89"/>
      <c r="G1000" s="89"/>
      <c r="H1000" s="62"/>
      <c r="I1000" s="110"/>
      <c r="J1000" s="110"/>
      <c r="K1000" s="109"/>
      <c r="L1000" s="62"/>
      <c r="M1000" s="62"/>
      <c r="N1000" s="65"/>
      <c r="O1000" s="89"/>
      <c r="P1000" s="110"/>
      <c r="Q1000" s="110"/>
      <c r="R1000" s="89"/>
      <c r="S1000" s="89"/>
      <c r="T1000" s="62"/>
      <c r="U1000" s="110"/>
      <c r="V1000" s="110"/>
      <c r="W1000" s="109"/>
      <c r="X1000" s="62"/>
      <c r="Y1000" s="62"/>
      <c r="Z1000" s="65"/>
      <c r="AA1000" s="89"/>
      <c r="AB1000" s="110"/>
      <c r="AC1000" s="110"/>
      <c r="AD1000" s="89"/>
      <c r="AE1000" s="89"/>
      <c r="AF1000" s="62"/>
      <c r="AG1000" s="110"/>
      <c r="AH1000" s="110"/>
      <c r="AI1000" s="109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9"/>
      <c r="C1001" s="89"/>
      <c r="D1001" s="81"/>
      <c r="E1001" s="82"/>
      <c r="F1001" s="83"/>
      <c r="G1001" s="83"/>
      <c r="H1001" s="62"/>
      <c r="I1001" s="88"/>
      <c r="J1001" s="88"/>
      <c r="K1001" s="109"/>
      <c r="L1001" s="62"/>
      <c r="M1001" s="62"/>
      <c r="N1001" s="89"/>
      <c r="O1001" s="89"/>
      <c r="P1001" s="81"/>
      <c r="Q1001" s="83"/>
      <c r="R1001" s="83"/>
      <c r="S1001" s="83"/>
      <c r="T1001" s="62"/>
      <c r="U1001" s="88"/>
      <c r="V1001" s="88"/>
      <c r="W1001" s="109"/>
      <c r="X1001" s="62"/>
      <c r="Y1001" s="62"/>
      <c r="Z1001" s="89"/>
      <c r="AA1001" s="89"/>
      <c r="AB1001" s="81"/>
      <c r="AC1001" s="83"/>
      <c r="AD1001" s="83"/>
      <c r="AE1001" s="83"/>
      <c r="AF1001" s="62"/>
      <c r="AG1001" s="88"/>
      <c r="AH1001" s="88"/>
      <c r="AI1001" s="109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9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9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9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9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9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9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9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9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9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9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9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89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9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9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9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9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9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9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9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9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9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65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9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65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9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9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9"/>
      <c r="AB1010" s="90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9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9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9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9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9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9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9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65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62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9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9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9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9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62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9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9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9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9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9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62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9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9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9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9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9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9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9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9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62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9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9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9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9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9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89"/>
      <c r="R1022" s="89"/>
      <c r="S1022" s="60"/>
      <c r="T1022" s="62"/>
      <c r="U1022" s="62"/>
      <c r="V1022" s="62"/>
      <c r="W1022" s="61"/>
      <c r="X1022" s="62"/>
      <c r="Y1022" s="62"/>
      <c r="Z1022" s="66"/>
      <c r="AA1022" s="89"/>
      <c r="AB1022" s="67"/>
      <c r="AC1022" s="89"/>
      <c r="AD1022" s="89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9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9"/>
      <c r="P1023" s="68"/>
      <c r="Q1023" s="89"/>
      <c r="R1023" s="89"/>
      <c r="S1023" s="60"/>
      <c r="T1023" s="62"/>
      <c r="U1023" s="62"/>
      <c r="V1023" s="62"/>
      <c r="W1023" s="61"/>
      <c r="X1023" s="62"/>
      <c r="Y1023" s="62"/>
      <c r="Z1023" s="66"/>
      <c r="AA1023" s="89"/>
      <c r="AB1023" s="68"/>
      <c r="AC1023" s="89"/>
      <c r="AD1023" s="89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9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9"/>
      <c r="P1024" s="69"/>
      <c r="Q1024" s="89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9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9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9"/>
      <c r="P1025" s="69"/>
      <c r="Q1025" s="89"/>
      <c r="R1025" s="89"/>
      <c r="S1025" s="60"/>
      <c r="T1025" s="62"/>
      <c r="U1025" s="62"/>
      <c r="V1025" s="62"/>
      <c r="W1025" s="61"/>
      <c r="X1025" s="62"/>
      <c r="Y1025" s="62"/>
      <c r="Z1025" s="66"/>
      <c r="AA1025" s="89"/>
      <c r="AB1025" s="69"/>
      <c r="AC1025" s="89"/>
      <c r="AD1025" s="89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9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9"/>
      <c r="P1026" s="69"/>
      <c r="Q1026" s="89"/>
      <c r="R1026" s="89"/>
      <c r="S1026" s="60"/>
      <c r="T1026" s="62"/>
      <c r="U1026" s="62"/>
      <c r="V1026" s="62"/>
      <c r="W1026" s="61"/>
      <c r="X1026" s="62"/>
      <c r="Y1026" s="62"/>
      <c r="Z1026" s="66"/>
      <c r="AA1026" s="89"/>
      <c r="AB1026" s="69"/>
      <c r="AC1026" s="89"/>
      <c r="AD1026" s="89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9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62"/>
      <c r="P1027" s="69"/>
      <c r="Q1027" s="89"/>
      <c r="R1027" s="89"/>
      <c r="S1027" s="60"/>
      <c r="T1027" s="62"/>
      <c r="U1027" s="62"/>
      <c r="V1027" s="62"/>
      <c r="W1027" s="61"/>
      <c r="X1027" s="62"/>
      <c r="Y1027" s="62"/>
      <c r="Z1027" s="66"/>
      <c r="AA1027" s="89"/>
      <c r="AB1027" s="69"/>
      <c r="AC1027" s="89"/>
      <c r="AD1027" s="89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9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9"/>
      <c r="P1028" s="69"/>
      <c r="Q1028" s="89"/>
      <c r="R1028" s="89"/>
      <c r="S1028" s="60"/>
      <c r="T1028" s="62"/>
      <c r="U1028" s="62"/>
      <c r="V1028" s="62"/>
      <c r="W1028" s="61"/>
      <c r="X1028" s="62"/>
      <c r="Y1028" s="62"/>
      <c r="Z1028" s="66"/>
      <c r="AA1028" s="89"/>
      <c r="AB1028" s="69"/>
      <c r="AC1028" s="89"/>
      <c r="AD1028" s="89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9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9"/>
      <c r="P1029" s="69"/>
      <c r="Q1029" s="89"/>
      <c r="R1029" s="89"/>
      <c r="S1029" s="60"/>
      <c r="T1029" s="62"/>
      <c r="U1029" s="62"/>
      <c r="V1029" s="62"/>
      <c r="W1029" s="61"/>
      <c r="X1029" s="62"/>
      <c r="Y1029" s="62"/>
      <c r="Z1029" s="66"/>
      <c r="AA1029" s="89"/>
      <c r="AB1029" s="69"/>
      <c r="AC1029" s="89"/>
      <c r="AD1029" s="89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9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9"/>
      <c r="P1030" s="69"/>
      <c r="Q1030" s="89"/>
      <c r="R1030" s="89"/>
      <c r="S1030" s="60"/>
      <c r="T1030" s="62"/>
      <c r="U1030" s="62"/>
      <c r="V1030" s="62"/>
      <c r="W1030" s="61"/>
      <c r="X1030" s="62"/>
      <c r="Y1030" s="62"/>
      <c r="Z1030" s="66"/>
      <c r="AA1030" s="89"/>
      <c r="AB1030" s="69"/>
      <c r="AC1030" s="89"/>
      <c r="AD1030" s="89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65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89"/>
      <c r="R1031" s="89"/>
      <c r="S1031" s="60"/>
      <c r="T1031" s="62"/>
      <c r="U1031" s="62"/>
      <c r="V1031" s="62"/>
      <c r="W1031" s="61"/>
      <c r="X1031" s="62"/>
      <c r="Y1031" s="62"/>
      <c r="Z1031" s="66"/>
      <c r="AA1031" s="89"/>
      <c r="AB1031" s="69"/>
      <c r="AC1031" s="89"/>
      <c r="AD1031" s="89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65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9"/>
      <c r="P1032" s="69"/>
      <c r="Q1032" s="89"/>
      <c r="R1032" s="89"/>
      <c r="S1032" s="60"/>
      <c r="T1032" s="62"/>
      <c r="U1032" s="62"/>
      <c r="V1032" s="62"/>
      <c r="W1032" s="61"/>
      <c r="X1032" s="62"/>
      <c r="Y1032" s="62"/>
      <c r="Z1032" s="66"/>
      <c r="AA1032" s="89"/>
      <c r="AB1032" s="69"/>
      <c r="AC1032" s="89"/>
      <c r="AD1032" s="89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65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9"/>
      <c r="P1033" s="69"/>
      <c r="Q1033" s="89"/>
      <c r="R1033" s="89"/>
      <c r="S1033" s="60"/>
      <c r="T1033" s="62"/>
      <c r="U1033" s="62"/>
      <c r="V1033" s="62"/>
      <c r="W1033" s="61"/>
      <c r="X1033" s="62"/>
      <c r="Y1033" s="62"/>
      <c r="Z1033" s="66"/>
      <c r="AA1033" s="89"/>
      <c r="AB1033" s="69"/>
      <c r="AC1033" s="89"/>
      <c r="AD1033" s="89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65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9"/>
      <c r="P1034" s="69"/>
      <c r="Q1034" s="89"/>
      <c r="R1034" s="89"/>
      <c r="S1034" s="60"/>
      <c r="T1034" s="62"/>
      <c r="U1034" s="62"/>
      <c r="V1034" s="62"/>
      <c r="W1034" s="61"/>
      <c r="X1034" s="62"/>
      <c r="Y1034" s="62"/>
      <c r="Z1034" s="66"/>
      <c r="AA1034" s="89"/>
      <c r="AB1034" s="69"/>
      <c r="AC1034" s="89"/>
      <c r="AD1034" s="89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65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9"/>
      <c r="P1035" s="69"/>
      <c r="Q1035" s="89"/>
      <c r="R1035" s="89"/>
      <c r="S1035" s="60"/>
      <c r="T1035" s="62"/>
      <c r="U1035" s="62"/>
      <c r="V1035" s="62"/>
      <c r="W1035" s="61"/>
      <c r="X1035" s="62"/>
      <c r="Y1035" s="62"/>
      <c r="Z1035" s="66"/>
      <c r="AA1035" s="89"/>
      <c r="AB1035" s="69"/>
      <c r="AC1035" s="89"/>
      <c r="AD1035" s="89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65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9"/>
      <c r="P1036" s="69"/>
      <c r="Q1036" s="89"/>
      <c r="R1036" s="89"/>
      <c r="S1036" s="60"/>
      <c r="T1036" s="62"/>
      <c r="U1036" s="62"/>
      <c r="V1036" s="62"/>
      <c r="W1036" s="61"/>
      <c r="X1036" s="62"/>
      <c r="Y1036" s="62"/>
      <c r="Z1036" s="66"/>
      <c r="AA1036" s="89"/>
      <c r="AB1036" s="69"/>
      <c r="AC1036" s="89"/>
      <c r="AD1036" s="89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65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9"/>
      <c r="P1037" s="69"/>
      <c r="Q1037" s="89"/>
      <c r="R1037" s="89"/>
      <c r="S1037" s="60"/>
      <c r="T1037" s="62"/>
      <c r="U1037" s="62"/>
      <c r="V1037" s="62"/>
      <c r="W1037" s="61"/>
      <c r="X1037" s="62"/>
      <c r="Y1037" s="62"/>
      <c r="Z1037" s="66"/>
      <c r="AA1037" s="89"/>
      <c r="AB1037" s="69"/>
      <c r="AC1037" s="89"/>
      <c r="AD1037" s="89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65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9"/>
      <c r="R1038" s="89"/>
      <c r="S1038" s="60"/>
      <c r="T1038" s="62"/>
      <c r="U1038" s="62"/>
      <c r="V1038" s="62"/>
      <c r="W1038" s="61"/>
      <c r="X1038" s="62"/>
      <c r="Y1038" s="62"/>
      <c r="Z1038" s="66"/>
      <c r="AA1038" s="89"/>
      <c r="AB1038" s="69"/>
      <c r="AC1038" s="89"/>
      <c r="AD1038" s="89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9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9"/>
      <c r="P1039" s="69"/>
      <c r="Q1039" s="89"/>
      <c r="R1039" s="89"/>
      <c r="S1039" s="60"/>
      <c r="T1039" s="62"/>
      <c r="U1039" s="62"/>
      <c r="V1039" s="62"/>
      <c r="W1039" s="61"/>
      <c r="X1039" s="62"/>
      <c r="Y1039" s="62"/>
      <c r="Z1039" s="66"/>
      <c r="AA1039" s="89"/>
      <c r="AB1039" s="69"/>
      <c r="AC1039" s="89"/>
      <c r="AD1039" s="89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9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9"/>
      <c r="P1040" s="69"/>
      <c r="Q1040" s="89"/>
      <c r="R1040" s="89"/>
      <c r="S1040" s="60"/>
      <c r="T1040" s="62"/>
      <c r="U1040" s="62"/>
      <c r="V1040" s="62"/>
      <c r="W1040" s="61"/>
      <c r="X1040" s="62"/>
      <c r="Y1040" s="62"/>
      <c r="Z1040" s="66"/>
      <c r="AA1040" s="89"/>
      <c r="AB1040" s="69"/>
      <c r="AC1040" s="89"/>
      <c r="AD1040" s="89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9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9"/>
      <c r="R1041" s="89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9"/>
      <c r="AD1041" s="89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9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9"/>
      <c r="P1042" s="69"/>
      <c r="Q1042" s="89"/>
      <c r="R1042" s="89"/>
      <c r="S1042" s="60"/>
      <c r="T1042" s="62"/>
      <c r="U1042" s="62"/>
      <c r="V1042" s="62"/>
      <c r="W1042" s="61"/>
      <c r="X1042" s="62"/>
      <c r="Y1042" s="62"/>
      <c r="Z1042" s="66"/>
      <c r="AA1042" s="89"/>
      <c r="AB1042" s="69"/>
      <c r="AC1042" s="89"/>
      <c r="AD1042" s="89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9"/>
      <c r="O1043" s="89"/>
      <c r="P1043" s="89"/>
      <c r="Q1043" s="89"/>
      <c r="R1043" s="89"/>
      <c r="S1043" s="89"/>
      <c r="T1043" s="62"/>
      <c r="U1043" s="62"/>
      <c r="V1043" s="62"/>
      <c r="W1043" s="61"/>
      <c r="X1043" s="62"/>
      <c r="Y1043" s="62"/>
      <c r="Z1043" s="89"/>
      <c r="AA1043" s="89"/>
      <c r="AB1043" s="89"/>
      <c r="AC1043" s="89"/>
      <c r="AD1043" s="89"/>
      <c r="AE1043" s="89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9"/>
      <c r="C1044" s="89"/>
      <c r="D1044" s="89"/>
      <c r="E1044" s="89"/>
      <c r="F1044" s="89"/>
      <c r="G1044" s="89"/>
      <c r="H1044" s="62"/>
      <c r="I1044" s="62"/>
      <c r="J1044" s="62"/>
      <c r="K1044" s="62"/>
      <c r="L1044" s="62"/>
      <c r="M1044" s="62"/>
      <c r="N1044" s="89"/>
      <c r="O1044" s="89"/>
      <c r="P1044" s="89"/>
      <c r="Q1044" s="89"/>
      <c r="R1044" s="89"/>
      <c r="S1044" s="89"/>
      <c r="T1044" s="62"/>
      <c r="U1044" s="62"/>
      <c r="V1044" s="62"/>
      <c r="W1044" s="62"/>
      <c r="X1044" s="62"/>
      <c r="Y1044" s="62"/>
      <c r="Z1044" s="89"/>
      <c r="AA1044" s="89"/>
      <c r="AB1044" s="89"/>
      <c r="AC1044" s="89"/>
      <c r="AD1044" s="89"/>
      <c r="AE1044" s="89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9"/>
      <c r="C1045" s="89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9"/>
      <c r="O1045" s="89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9"/>
      <c r="AA1045" s="89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9"/>
      <c r="C1047" s="89"/>
      <c r="D1047" s="89"/>
      <c r="E1047" s="89"/>
      <c r="F1047" s="89"/>
      <c r="G1047" s="89"/>
      <c r="H1047" s="62"/>
      <c r="I1047" s="62"/>
      <c r="J1047" s="62"/>
      <c r="K1047" s="62"/>
      <c r="L1047" s="62"/>
      <c r="M1047" s="62"/>
      <c r="N1047" s="89"/>
      <c r="O1047" s="89"/>
      <c r="P1047" s="89"/>
      <c r="Q1047" s="89"/>
      <c r="R1047" s="89"/>
      <c r="S1047" s="89"/>
      <c r="T1047" s="62"/>
      <c r="U1047" s="62"/>
      <c r="V1047" s="62"/>
      <c r="W1047" s="62"/>
      <c r="X1047" s="62"/>
      <c r="Y1047" s="62"/>
      <c r="Z1047" s="89"/>
      <c r="AA1047" s="89"/>
      <c r="AB1047" s="89"/>
      <c r="AC1047" s="89"/>
      <c r="AD1047" s="89"/>
      <c r="AE1047" s="89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9"/>
      <c r="C1048" s="89"/>
      <c r="D1048" s="89"/>
      <c r="E1048" s="89"/>
      <c r="F1048" s="89"/>
      <c r="G1048" s="89"/>
      <c r="H1048" s="62"/>
      <c r="I1048" s="62"/>
      <c r="J1048" s="62"/>
      <c r="K1048" s="62"/>
      <c r="L1048" s="62"/>
      <c r="M1048" s="62"/>
      <c r="N1048" s="89"/>
      <c r="O1048" s="89"/>
      <c r="P1048" s="89"/>
      <c r="Q1048" s="89"/>
      <c r="R1048" s="89"/>
      <c r="S1048" s="89"/>
      <c r="T1048" s="62"/>
      <c r="U1048" s="62"/>
      <c r="V1048" s="62"/>
      <c r="W1048" s="62"/>
      <c r="X1048" s="62"/>
      <c r="Y1048" s="62"/>
      <c r="Z1048" s="89"/>
      <c r="AA1048" s="89"/>
      <c r="AB1048" s="89"/>
      <c r="AC1048" s="89"/>
      <c r="AD1048" s="89"/>
      <c r="AE1048" s="89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9"/>
      <c r="C1049" s="89"/>
      <c r="D1049" s="89"/>
      <c r="E1049" s="89"/>
      <c r="F1049" s="89"/>
      <c r="G1049" s="89"/>
      <c r="H1049" s="62"/>
      <c r="I1049" s="62"/>
      <c r="J1049" s="62"/>
      <c r="K1049" s="62"/>
      <c r="L1049" s="62"/>
      <c r="M1049" s="62"/>
      <c r="N1049" s="89"/>
      <c r="O1049" s="89"/>
      <c r="P1049" s="89"/>
      <c r="Q1049" s="89"/>
      <c r="R1049" s="89"/>
      <c r="S1049" s="89"/>
      <c r="T1049" s="62"/>
      <c r="U1049" s="62"/>
      <c r="V1049" s="62"/>
      <c r="W1049" s="62"/>
      <c r="X1049" s="62"/>
      <c r="Y1049" s="62"/>
      <c r="Z1049" s="89"/>
      <c r="AA1049" s="89"/>
      <c r="AB1049" s="89"/>
      <c r="AC1049" s="89"/>
      <c r="AD1049" s="89"/>
      <c r="AE1049" s="89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9"/>
      <c r="C1050" s="89"/>
      <c r="D1050" s="89"/>
      <c r="E1050" s="89"/>
      <c r="F1050" s="89"/>
      <c r="G1050" s="89"/>
      <c r="H1050" s="62"/>
      <c r="I1050" s="62"/>
      <c r="J1050" s="62"/>
      <c r="K1050" s="62"/>
      <c r="L1050" s="62"/>
      <c r="M1050" s="63"/>
      <c r="N1050" s="89"/>
      <c r="O1050" s="89"/>
      <c r="P1050" s="89"/>
      <c r="Q1050" s="89"/>
      <c r="R1050" s="89"/>
      <c r="S1050" s="89"/>
      <c r="T1050" s="62"/>
      <c r="U1050" s="62"/>
      <c r="V1050" s="62"/>
      <c r="W1050" s="62"/>
      <c r="X1050" s="62"/>
      <c r="Y1050" s="63"/>
      <c r="Z1050" s="89"/>
      <c r="AA1050" s="89"/>
      <c r="AB1050" s="89"/>
      <c r="AC1050" s="89"/>
      <c r="AD1050" s="89"/>
      <c r="AE1050" s="89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9"/>
      <c r="C1051" s="89"/>
      <c r="D1051" s="89"/>
      <c r="E1051" s="89"/>
      <c r="F1051" s="89"/>
      <c r="G1051" s="89"/>
      <c r="H1051" s="62"/>
      <c r="I1051" s="62"/>
      <c r="J1051" s="62"/>
      <c r="K1051" s="62"/>
      <c r="L1051" s="62"/>
      <c r="M1051" s="62"/>
      <c r="N1051" s="89"/>
      <c r="O1051" s="89"/>
      <c r="P1051" s="89"/>
      <c r="Q1051" s="89"/>
      <c r="R1051" s="89"/>
      <c r="S1051" s="89"/>
      <c r="T1051" s="62"/>
      <c r="U1051" s="62"/>
      <c r="V1051" s="62"/>
      <c r="W1051" s="62"/>
      <c r="X1051" s="62"/>
      <c r="Y1051" s="62"/>
      <c r="Z1051" s="89"/>
      <c r="AA1051" s="89"/>
      <c r="AB1051" s="89"/>
      <c r="AC1051" s="89"/>
      <c r="AD1051" s="89"/>
      <c r="AE1051" s="89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9"/>
      <c r="C1052" s="89"/>
      <c r="D1052" s="89"/>
      <c r="E1052" s="89"/>
      <c r="F1052" s="89"/>
      <c r="G1052" s="89"/>
      <c r="H1052" s="62"/>
      <c r="I1052" s="89"/>
      <c r="J1052" s="74"/>
      <c r="K1052" s="62"/>
      <c r="L1052" s="62"/>
      <c r="M1052" s="62"/>
      <c r="N1052" s="89"/>
      <c r="O1052" s="89"/>
      <c r="P1052" s="89"/>
      <c r="Q1052" s="89"/>
      <c r="R1052" s="89"/>
      <c r="S1052" s="89"/>
      <c r="T1052" s="62"/>
      <c r="U1052" s="89"/>
      <c r="V1052" s="74"/>
      <c r="W1052" s="62"/>
      <c r="X1052" s="62"/>
      <c r="Y1052" s="62"/>
      <c r="Z1052" s="89"/>
      <c r="AA1052" s="89"/>
      <c r="AB1052" s="89"/>
      <c r="AC1052" s="89"/>
      <c r="AD1052" s="89"/>
      <c r="AE1052" s="89"/>
      <c r="AF1052" s="62"/>
      <c r="AG1052" s="89"/>
      <c r="AH1052" s="89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9"/>
      <c r="C1053" s="89"/>
      <c r="D1053" s="89"/>
      <c r="E1053" s="89"/>
      <c r="F1053" s="89"/>
      <c r="G1053" s="89"/>
      <c r="H1053" s="62"/>
      <c r="I1053" s="65"/>
      <c r="J1053" s="65"/>
      <c r="K1053" s="62"/>
      <c r="L1053" s="62"/>
      <c r="M1053" s="64"/>
      <c r="N1053" s="89"/>
      <c r="O1053" s="89"/>
      <c r="P1053" s="89"/>
      <c r="Q1053" s="89"/>
      <c r="R1053" s="89"/>
      <c r="S1053" s="89"/>
      <c r="T1053" s="62"/>
      <c r="U1053" s="65"/>
      <c r="V1053" s="65"/>
      <c r="W1053" s="62"/>
      <c r="X1053" s="62"/>
      <c r="Y1053" s="64"/>
      <c r="Z1053" s="89"/>
      <c r="AA1053" s="89"/>
      <c r="AB1053" s="89"/>
      <c r="AC1053" s="89"/>
      <c r="AD1053" s="89"/>
      <c r="AE1053" s="89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9"/>
      <c r="C1054" s="89"/>
      <c r="D1054" s="89"/>
      <c r="E1054" s="89"/>
      <c r="F1054" s="89"/>
      <c r="G1054" s="89"/>
      <c r="H1054" s="62"/>
      <c r="I1054" s="62"/>
      <c r="J1054" s="62"/>
      <c r="K1054" s="62"/>
      <c r="L1054" s="62"/>
      <c r="M1054" s="62"/>
      <c r="N1054" s="89"/>
      <c r="O1054" s="89"/>
      <c r="P1054" s="89"/>
      <c r="Q1054" s="89"/>
      <c r="R1054" s="89"/>
      <c r="S1054" s="89"/>
      <c r="T1054" s="62"/>
      <c r="U1054" s="62"/>
      <c r="V1054" s="62"/>
      <c r="W1054" s="62"/>
      <c r="X1054" s="62"/>
      <c r="Y1054" s="62"/>
      <c r="Z1054" s="89"/>
      <c r="AA1054" s="89"/>
      <c r="AB1054" s="89"/>
      <c r="AC1054" s="89"/>
      <c r="AD1054" s="89"/>
      <c r="AE1054" s="89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9"/>
      <c r="D1055" s="110"/>
      <c r="E1055" s="110"/>
      <c r="F1055" s="89"/>
      <c r="G1055" s="89"/>
      <c r="H1055" s="62"/>
      <c r="I1055" s="110"/>
      <c r="J1055" s="110"/>
      <c r="K1055" s="109"/>
      <c r="L1055" s="62"/>
      <c r="M1055" s="62"/>
      <c r="N1055" s="65"/>
      <c r="O1055" s="89"/>
      <c r="P1055" s="110"/>
      <c r="Q1055" s="110"/>
      <c r="R1055" s="89"/>
      <c r="S1055" s="89"/>
      <c r="T1055" s="62"/>
      <c r="U1055" s="110"/>
      <c r="V1055" s="110"/>
      <c r="W1055" s="109"/>
      <c r="X1055" s="62"/>
      <c r="Y1055" s="62"/>
      <c r="Z1055" s="65"/>
      <c r="AA1055" s="89"/>
      <c r="AB1055" s="110"/>
      <c r="AC1055" s="110"/>
      <c r="AD1055" s="89"/>
      <c r="AE1055" s="89"/>
      <c r="AF1055" s="62"/>
      <c r="AG1055" s="110"/>
      <c r="AH1055" s="110"/>
      <c r="AI1055" s="109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9"/>
      <c r="C1056" s="89"/>
      <c r="D1056" s="81"/>
      <c r="E1056" s="82"/>
      <c r="F1056" s="83"/>
      <c r="G1056" s="83"/>
      <c r="H1056" s="62"/>
      <c r="I1056" s="88"/>
      <c r="J1056" s="88"/>
      <c r="K1056" s="109"/>
      <c r="L1056" s="62"/>
      <c r="M1056" s="62"/>
      <c r="N1056" s="89"/>
      <c r="O1056" s="89"/>
      <c r="P1056" s="81"/>
      <c r="Q1056" s="83"/>
      <c r="R1056" s="83"/>
      <c r="S1056" s="83"/>
      <c r="T1056" s="62"/>
      <c r="U1056" s="88"/>
      <c r="V1056" s="88"/>
      <c r="W1056" s="109"/>
      <c r="X1056" s="62"/>
      <c r="Y1056" s="62"/>
      <c r="Z1056" s="89"/>
      <c r="AA1056" s="89"/>
      <c r="AB1056" s="81"/>
      <c r="AC1056" s="83"/>
      <c r="AD1056" s="83"/>
      <c r="AE1056" s="83"/>
      <c r="AF1056" s="62"/>
      <c r="AG1056" s="88"/>
      <c r="AH1056" s="88"/>
      <c r="AI1056" s="109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9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9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9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9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9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9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9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9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9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9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9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65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9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9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9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9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9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9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9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9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9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9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9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62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9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9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9"/>
      <c r="AB1065" s="9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9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9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9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9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9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9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9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2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65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9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9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9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9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9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9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9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9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9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9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9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9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9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9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9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65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9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9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9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9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9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9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9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9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89"/>
      <c r="R1077" s="89"/>
      <c r="S1077" s="60"/>
      <c r="T1077" s="62"/>
      <c r="U1077" s="62"/>
      <c r="V1077" s="62"/>
      <c r="W1077" s="61"/>
      <c r="X1077" s="62"/>
      <c r="Y1077" s="62"/>
      <c r="Z1077" s="66"/>
      <c r="AA1077" s="89"/>
      <c r="AB1077" s="67"/>
      <c r="AC1077" s="89"/>
      <c r="AD1077" s="89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9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9"/>
      <c r="P1078" s="68"/>
      <c r="Q1078" s="89"/>
      <c r="R1078" s="89"/>
      <c r="S1078" s="60"/>
      <c r="T1078" s="62"/>
      <c r="U1078" s="62"/>
      <c r="V1078" s="62"/>
      <c r="W1078" s="61"/>
      <c r="X1078" s="62"/>
      <c r="Y1078" s="62"/>
      <c r="Z1078" s="66"/>
      <c r="AA1078" s="89"/>
      <c r="AB1078" s="68"/>
      <c r="AC1078" s="89"/>
      <c r="AD1078" s="89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9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9"/>
      <c r="P1079" s="69"/>
      <c r="Q1079" s="89"/>
      <c r="R1079" s="62"/>
      <c r="S1079" s="60"/>
      <c r="T1079" s="62"/>
      <c r="U1079" s="62"/>
      <c r="V1079" s="62"/>
      <c r="W1079" s="61"/>
      <c r="X1079" s="62"/>
      <c r="Y1079" s="62"/>
      <c r="Z1079" s="66"/>
      <c r="AA1079" s="89"/>
      <c r="AB1079" s="69"/>
      <c r="AC1079" s="62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9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9"/>
      <c r="P1080" s="69"/>
      <c r="Q1080" s="89"/>
      <c r="R1080" s="89"/>
      <c r="S1080" s="60"/>
      <c r="T1080" s="62"/>
      <c r="U1080" s="62"/>
      <c r="V1080" s="62"/>
      <c r="W1080" s="61"/>
      <c r="X1080" s="62"/>
      <c r="Y1080" s="62"/>
      <c r="Z1080" s="66"/>
      <c r="AA1080" s="89"/>
      <c r="AB1080" s="69"/>
      <c r="AC1080" s="89"/>
      <c r="AD1080" s="89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9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9"/>
      <c r="P1081" s="69"/>
      <c r="Q1081" s="89"/>
      <c r="R1081" s="89"/>
      <c r="S1081" s="60"/>
      <c r="T1081" s="62"/>
      <c r="U1081" s="62"/>
      <c r="V1081" s="62"/>
      <c r="W1081" s="61"/>
      <c r="X1081" s="62"/>
      <c r="Y1081" s="62"/>
      <c r="Z1081" s="66"/>
      <c r="AA1081" s="89"/>
      <c r="AB1081" s="69"/>
      <c r="AC1081" s="89"/>
      <c r="AD1081" s="89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9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62"/>
      <c r="P1082" s="69"/>
      <c r="Q1082" s="89"/>
      <c r="R1082" s="89"/>
      <c r="S1082" s="60"/>
      <c r="T1082" s="62"/>
      <c r="U1082" s="62"/>
      <c r="V1082" s="62"/>
      <c r="W1082" s="61"/>
      <c r="X1082" s="62"/>
      <c r="Y1082" s="62"/>
      <c r="Z1082" s="66"/>
      <c r="AA1082" s="89"/>
      <c r="AB1082" s="69"/>
      <c r="AC1082" s="89"/>
      <c r="AD1082" s="89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9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9"/>
      <c r="P1083" s="69"/>
      <c r="Q1083" s="89"/>
      <c r="R1083" s="89"/>
      <c r="S1083" s="60"/>
      <c r="T1083" s="62"/>
      <c r="U1083" s="62"/>
      <c r="V1083" s="62"/>
      <c r="W1083" s="61"/>
      <c r="X1083" s="62"/>
      <c r="Y1083" s="62"/>
      <c r="Z1083" s="66"/>
      <c r="AA1083" s="89"/>
      <c r="AB1083" s="69"/>
      <c r="AC1083" s="89"/>
      <c r="AD1083" s="89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9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9"/>
      <c r="P1084" s="69"/>
      <c r="Q1084" s="89"/>
      <c r="R1084" s="89"/>
      <c r="S1084" s="60"/>
      <c r="T1084" s="62"/>
      <c r="U1084" s="62"/>
      <c r="V1084" s="62"/>
      <c r="W1084" s="61"/>
      <c r="X1084" s="62"/>
      <c r="Y1084" s="62"/>
      <c r="Z1084" s="66"/>
      <c r="AA1084" s="89"/>
      <c r="AB1084" s="69"/>
      <c r="AC1084" s="89"/>
      <c r="AD1084" s="89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9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9"/>
      <c r="P1085" s="69"/>
      <c r="Q1085" s="89"/>
      <c r="R1085" s="89"/>
      <c r="S1085" s="60"/>
      <c r="T1085" s="62"/>
      <c r="U1085" s="62"/>
      <c r="V1085" s="62"/>
      <c r="W1085" s="61"/>
      <c r="X1085" s="62"/>
      <c r="Y1085" s="62"/>
      <c r="Z1085" s="66"/>
      <c r="AA1085" s="89"/>
      <c r="AB1085" s="69"/>
      <c r="AC1085" s="89"/>
      <c r="AD1085" s="89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65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89"/>
      <c r="R1086" s="89"/>
      <c r="S1086" s="60"/>
      <c r="T1086" s="62"/>
      <c r="U1086" s="62"/>
      <c r="V1086" s="62"/>
      <c r="W1086" s="61"/>
      <c r="X1086" s="62"/>
      <c r="Y1086" s="62"/>
      <c r="Z1086" s="66"/>
      <c r="AA1086" s="89"/>
      <c r="AB1086" s="69"/>
      <c r="AC1086" s="89"/>
      <c r="AD1086" s="89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65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9"/>
      <c r="P1087" s="69"/>
      <c r="Q1087" s="89"/>
      <c r="R1087" s="89"/>
      <c r="S1087" s="60"/>
      <c r="T1087" s="62"/>
      <c r="U1087" s="62"/>
      <c r="V1087" s="62"/>
      <c r="W1087" s="61"/>
      <c r="X1087" s="62"/>
      <c r="Y1087" s="62"/>
      <c r="Z1087" s="66"/>
      <c r="AA1087" s="89"/>
      <c r="AB1087" s="69"/>
      <c r="AC1087" s="89"/>
      <c r="AD1087" s="89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65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9"/>
      <c r="P1088" s="69"/>
      <c r="Q1088" s="89"/>
      <c r="R1088" s="89"/>
      <c r="S1088" s="60"/>
      <c r="T1088" s="62"/>
      <c r="U1088" s="62"/>
      <c r="V1088" s="62"/>
      <c r="W1088" s="61"/>
      <c r="X1088" s="62"/>
      <c r="Y1088" s="62"/>
      <c r="Z1088" s="66"/>
      <c r="AA1088" s="89"/>
      <c r="AB1088" s="69"/>
      <c r="AC1088" s="89"/>
      <c r="AD1088" s="89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65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9"/>
      <c r="P1089" s="69"/>
      <c r="Q1089" s="89"/>
      <c r="R1089" s="89"/>
      <c r="S1089" s="60"/>
      <c r="T1089" s="62"/>
      <c r="U1089" s="62"/>
      <c r="V1089" s="62"/>
      <c r="W1089" s="61"/>
      <c r="X1089" s="62"/>
      <c r="Y1089" s="62"/>
      <c r="Z1089" s="66"/>
      <c r="AA1089" s="89"/>
      <c r="AB1089" s="69"/>
      <c r="AC1089" s="89"/>
      <c r="AD1089" s="89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65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9"/>
      <c r="P1090" s="69"/>
      <c r="Q1090" s="89"/>
      <c r="R1090" s="89"/>
      <c r="S1090" s="60"/>
      <c r="T1090" s="62"/>
      <c r="U1090" s="62"/>
      <c r="V1090" s="62"/>
      <c r="W1090" s="61"/>
      <c r="X1090" s="62"/>
      <c r="Y1090" s="62"/>
      <c r="Z1090" s="66"/>
      <c r="AA1090" s="89"/>
      <c r="AB1090" s="69"/>
      <c r="AC1090" s="89"/>
      <c r="AD1090" s="89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65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9"/>
      <c r="P1091" s="69"/>
      <c r="Q1091" s="89"/>
      <c r="R1091" s="89"/>
      <c r="S1091" s="60"/>
      <c r="T1091" s="62"/>
      <c r="U1091" s="62"/>
      <c r="V1091" s="62"/>
      <c r="W1091" s="61"/>
      <c r="X1091" s="62"/>
      <c r="Y1091" s="62"/>
      <c r="Z1091" s="66"/>
      <c r="AA1091" s="89"/>
      <c r="AB1091" s="69"/>
      <c r="AC1091" s="89"/>
      <c r="AD1091" s="89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65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9"/>
      <c r="P1092" s="69"/>
      <c r="Q1092" s="89"/>
      <c r="R1092" s="89"/>
      <c r="S1092" s="60"/>
      <c r="T1092" s="62"/>
      <c r="U1092" s="62"/>
      <c r="V1092" s="62"/>
      <c r="W1092" s="61"/>
      <c r="X1092" s="62"/>
      <c r="Y1092" s="62"/>
      <c r="Z1092" s="66"/>
      <c r="AA1092" s="89"/>
      <c r="AB1092" s="69"/>
      <c r="AC1092" s="89"/>
      <c r="AD1092" s="89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65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9"/>
      <c r="R1093" s="89"/>
      <c r="S1093" s="60"/>
      <c r="T1093" s="62"/>
      <c r="U1093" s="62"/>
      <c r="V1093" s="62"/>
      <c r="W1093" s="61"/>
      <c r="X1093" s="62"/>
      <c r="Y1093" s="62"/>
      <c r="Z1093" s="66"/>
      <c r="AA1093" s="89"/>
      <c r="AB1093" s="69"/>
      <c r="AC1093" s="89"/>
      <c r="AD1093" s="89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9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9"/>
      <c r="P1094" s="69"/>
      <c r="Q1094" s="89"/>
      <c r="R1094" s="89"/>
      <c r="S1094" s="60"/>
      <c r="T1094" s="62"/>
      <c r="U1094" s="62"/>
      <c r="V1094" s="62"/>
      <c r="W1094" s="61"/>
      <c r="X1094" s="62"/>
      <c r="Y1094" s="62"/>
      <c r="Z1094" s="66"/>
      <c r="AA1094" s="89"/>
      <c r="AB1094" s="69"/>
      <c r="AC1094" s="89"/>
      <c r="AD1094" s="89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9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9"/>
      <c r="P1095" s="69"/>
      <c r="Q1095" s="89"/>
      <c r="R1095" s="89"/>
      <c r="S1095" s="60"/>
      <c r="T1095" s="62"/>
      <c r="U1095" s="62"/>
      <c r="V1095" s="62"/>
      <c r="W1095" s="61"/>
      <c r="X1095" s="62"/>
      <c r="Y1095" s="62"/>
      <c r="Z1095" s="66"/>
      <c r="AA1095" s="89"/>
      <c r="AB1095" s="69"/>
      <c r="AC1095" s="89"/>
      <c r="AD1095" s="89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9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9"/>
      <c r="R1096" s="89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9"/>
      <c r="AD1096" s="89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9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9"/>
      <c r="P1097" s="69"/>
      <c r="Q1097" s="89"/>
      <c r="R1097" s="89"/>
      <c r="S1097" s="60"/>
      <c r="T1097" s="62"/>
      <c r="U1097" s="62"/>
      <c r="V1097" s="62"/>
      <c r="W1097" s="61"/>
      <c r="X1097" s="62"/>
      <c r="Y1097" s="62"/>
      <c r="Z1097" s="66"/>
      <c r="AA1097" s="89"/>
      <c r="AB1097" s="69"/>
      <c r="AC1097" s="89"/>
      <c r="AD1097" s="89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9"/>
      <c r="O1098" s="89"/>
      <c r="P1098" s="89"/>
      <c r="Q1098" s="89"/>
      <c r="R1098" s="89"/>
      <c r="S1098" s="89"/>
      <c r="T1098" s="62"/>
      <c r="U1098" s="62"/>
      <c r="V1098" s="62"/>
      <c r="W1098" s="61"/>
      <c r="X1098" s="62"/>
      <c r="Y1098" s="62"/>
      <c r="Z1098" s="89"/>
      <c r="AA1098" s="89"/>
      <c r="AB1098" s="89"/>
      <c r="AC1098" s="89"/>
      <c r="AD1098" s="89"/>
      <c r="AE1098" s="89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9"/>
      <c r="C1099" s="89"/>
      <c r="D1099" s="89"/>
      <c r="E1099" s="89"/>
      <c r="F1099" s="89"/>
      <c r="G1099" s="89"/>
      <c r="H1099" s="62"/>
      <c r="I1099" s="62"/>
      <c r="J1099" s="62"/>
      <c r="K1099" s="62"/>
      <c r="L1099" s="62"/>
      <c r="M1099" s="62"/>
      <c r="N1099" s="89"/>
      <c r="O1099" s="89"/>
      <c r="P1099" s="89"/>
      <c r="Q1099" s="89"/>
      <c r="R1099" s="89"/>
      <c r="S1099" s="89"/>
      <c r="T1099" s="62"/>
      <c r="U1099" s="62"/>
      <c r="V1099" s="62"/>
      <c r="W1099" s="62"/>
      <c r="X1099" s="62"/>
      <c r="Y1099" s="62"/>
      <c r="Z1099" s="89"/>
      <c r="AA1099" s="89"/>
      <c r="AB1099" s="89"/>
      <c r="AC1099" s="89"/>
      <c r="AD1099" s="89"/>
      <c r="AE1099" s="89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9"/>
      <c r="C1100" s="89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9"/>
      <c r="O1100" s="89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9"/>
      <c r="AA1100" s="89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0"/>
      <c r="E1110" s="110"/>
      <c r="F1110" s="89"/>
      <c r="G1110" s="89"/>
      <c r="H1110" s="62"/>
      <c r="I1110" s="110"/>
      <c r="J1110" s="110"/>
      <c r="K1110" s="109"/>
      <c r="L1110" s="62"/>
      <c r="M1110" s="62"/>
      <c r="N1110" s="65"/>
      <c r="O1110" s="89"/>
      <c r="P1110" s="110"/>
      <c r="Q1110" s="110"/>
      <c r="R1110" s="89"/>
      <c r="S1110" s="89"/>
      <c r="T1110" s="62"/>
      <c r="U1110" s="110"/>
      <c r="V1110" s="110"/>
      <c r="W1110" s="109"/>
      <c r="X1110" s="62"/>
      <c r="Y1110" s="62"/>
      <c r="Z1110" s="65"/>
      <c r="AA1110" s="89"/>
      <c r="AB1110" s="110"/>
      <c r="AC1110" s="110"/>
      <c r="AD1110" s="89"/>
      <c r="AE1110" s="89"/>
      <c r="AF1110" s="62"/>
      <c r="AG1110" s="110"/>
      <c r="AH1110" s="110"/>
      <c r="AI1110" s="109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09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09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09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0"/>
      <c r="E1165" s="110"/>
      <c r="F1165" s="89"/>
      <c r="G1165" s="89"/>
      <c r="H1165" s="62"/>
      <c r="I1165" s="110"/>
      <c r="J1165" s="110"/>
      <c r="K1165" s="109"/>
      <c r="L1165" s="62"/>
      <c r="M1165" s="62"/>
      <c r="N1165" s="65"/>
      <c r="O1165" s="89"/>
      <c r="P1165" s="110"/>
      <c r="Q1165" s="110"/>
      <c r="R1165" s="89"/>
      <c r="S1165" s="89"/>
      <c r="T1165" s="62"/>
      <c r="U1165" s="110"/>
      <c r="V1165" s="110"/>
      <c r="W1165" s="109"/>
      <c r="X1165" s="62"/>
      <c r="Y1165" s="62"/>
      <c r="Z1165" s="65"/>
      <c r="AA1165" s="89"/>
      <c r="AB1165" s="110"/>
      <c r="AC1165" s="110"/>
      <c r="AD1165" s="89"/>
      <c r="AE1165" s="89"/>
      <c r="AF1165" s="62"/>
      <c r="AG1165" s="110"/>
      <c r="AH1165" s="110"/>
      <c r="AI1165" s="109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09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09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09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0"/>
      <c r="E1221" s="110"/>
      <c r="F1221" s="87"/>
      <c r="G1221" s="87"/>
      <c r="H1221" s="62"/>
      <c r="I1221" s="110"/>
      <c r="J1221" s="110"/>
      <c r="K1221" s="109"/>
      <c r="L1221" s="62"/>
      <c r="M1221" s="62"/>
      <c r="N1221" s="65"/>
      <c r="O1221" s="87"/>
      <c r="P1221" s="110"/>
      <c r="Q1221" s="110"/>
      <c r="R1221" s="87"/>
      <c r="S1221" s="87"/>
      <c r="T1221" s="62"/>
      <c r="U1221" s="110"/>
      <c r="V1221" s="110"/>
      <c r="W1221" s="109"/>
      <c r="X1221" s="62"/>
      <c r="Y1221" s="62"/>
      <c r="Z1221" s="65"/>
      <c r="AA1221" s="87"/>
      <c r="AB1221" s="110"/>
      <c r="AC1221" s="110"/>
      <c r="AD1221" s="87"/>
      <c r="AE1221" s="87"/>
      <c r="AF1221" s="62"/>
      <c r="AG1221" s="110"/>
      <c r="AH1221" s="110"/>
      <c r="AI1221" s="109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09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09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09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0"/>
      <c r="E1283" s="110"/>
      <c r="F1283" s="84"/>
      <c r="G1283" s="84"/>
      <c r="H1283" s="62"/>
      <c r="I1283" s="110"/>
      <c r="J1283" s="110"/>
      <c r="K1283" s="109"/>
      <c r="L1283" s="62"/>
      <c r="M1283" s="62"/>
      <c r="N1283" s="65"/>
      <c r="O1283" s="84"/>
      <c r="P1283" s="110"/>
      <c r="Q1283" s="110"/>
      <c r="R1283" s="84"/>
      <c r="S1283" s="84"/>
      <c r="T1283" s="62"/>
      <c r="U1283" s="110"/>
      <c r="V1283" s="110"/>
      <c r="W1283" s="109"/>
      <c r="X1283" s="62"/>
      <c r="Y1283" s="62"/>
      <c r="Z1283" s="65"/>
      <c r="AA1283" s="84"/>
      <c r="AB1283" s="110"/>
      <c r="AC1283" s="110"/>
      <c r="AD1283" s="84"/>
      <c r="AE1283" s="84"/>
      <c r="AF1283" s="62"/>
      <c r="AG1283" s="110"/>
      <c r="AH1283" s="110"/>
      <c r="AI1283" s="109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09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09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09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NOVEMBER</vt:lpstr>
      <vt:lpstr>DSIS | NOVEMBER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2025-11-19T00:34:08Z</dcterms:modified>
</cp:coreProperties>
</file>