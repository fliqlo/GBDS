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6F9942DD-A6B4-4BD2-85A7-AF28AB1B1E46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NOVEMBER" sheetId="1" r:id="rId1"/>
    <sheet name="DSIS | NOVEM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14" i="2" l="1"/>
  <c r="AB14" i="2"/>
  <c r="AB13" i="2"/>
  <c r="AB12" i="2"/>
  <c r="P15" i="2"/>
  <c r="P14" i="2"/>
  <c r="P13" i="2"/>
  <c r="P12" i="2"/>
  <c r="O14" i="2"/>
  <c r="O15" i="2" s="1"/>
  <c r="D30" i="2"/>
  <c r="D29" i="2"/>
  <c r="I28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C15" i="2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13" i="2"/>
  <c r="J35" i="1" l="1"/>
  <c r="D35" i="1" s="1"/>
  <c r="J36" i="1"/>
  <c r="D36" i="1" s="1"/>
  <c r="J37" i="1"/>
  <c r="J27" i="1"/>
  <c r="J28" i="1"/>
  <c r="J29" i="1"/>
  <c r="J30" i="1"/>
  <c r="J20" i="1"/>
  <c r="D20" i="1" s="1"/>
  <c r="J21" i="1"/>
  <c r="D21" i="1" s="1"/>
  <c r="J22" i="1"/>
  <c r="D22" i="1" s="1"/>
  <c r="J23" i="1"/>
  <c r="D23" i="1" s="1"/>
  <c r="J24" i="1"/>
  <c r="J13" i="1"/>
  <c r="J14" i="1"/>
  <c r="J15" i="1"/>
  <c r="J16" i="1"/>
  <c r="J17" i="1"/>
  <c r="D38" i="1"/>
  <c r="D37" i="1"/>
  <c r="D34" i="1"/>
  <c r="D33" i="1"/>
  <c r="D31" i="1"/>
  <c r="D30" i="1"/>
  <c r="D29" i="1"/>
  <c r="D28" i="1"/>
  <c r="D27" i="1"/>
  <c r="D26" i="1"/>
  <c r="D24" i="1"/>
  <c r="D19" i="1"/>
  <c r="D10" i="1"/>
  <c r="D14" i="1"/>
  <c r="D16" i="1" l="1"/>
  <c r="D17" i="1"/>
  <c r="J19" i="1"/>
  <c r="J31" i="1"/>
  <c r="J38" i="1"/>
  <c r="J33" i="1" l="1"/>
  <c r="J34" i="1"/>
  <c r="J26" i="1"/>
  <c r="J12" i="1"/>
  <c r="D12" i="1" s="1"/>
  <c r="D13" i="1"/>
  <c r="D15" i="1"/>
  <c r="J10" i="1" l="1"/>
  <c r="AA13" i="2" l="1"/>
  <c r="AA14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93709BCB-34EB-4ED0-A48D-81EA5CAD15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2" authorId="0" shapeId="0" xr:uid="{B3C86E52-8849-450F-89CA-F1E81A1F5B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2" authorId="0" shapeId="0" xr:uid="{B5D232D8-3FAF-4014-A1CB-DA5B89C0AE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MERIAM APDOHAN
CANAWAN, SALUG</t>
        </r>
      </text>
    </comment>
    <comment ref="C13" authorId="0" shapeId="0" xr:uid="{EA1F9226-68ED-42B0-BBA7-ED4138B37F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13" authorId="0" shapeId="0" xr:uid="{F1C9E566-9A2E-4ED2-900D-D24A50C05F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3" authorId="0" shapeId="0" xr:uid="{A2C8137E-5671-4BA8-B67C-C05A0DAD2E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14" authorId="0" shapeId="0" xr:uid="{7516EF2E-FCCD-4F5E-9978-48B637C369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4" authorId="0" shapeId="0" xr:uid="{6F98CB71-96CB-489E-B17A-6EB4705EA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POB, SINDANGAN</t>
        </r>
      </text>
    </comment>
    <comment ref="AA14" authorId="0" shapeId="0" xr:uid="{635CCE8A-292B-498A-BA0E-3EA0558217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5" authorId="0" shapeId="0" xr:uid="{286C3BE7-BE69-40FD-B988-595916638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SORIA-MORIA STORE
DAPAON, SINDANGAN</t>
        </r>
      </text>
    </comment>
    <comment ref="O15" authorId="0" shapeId="0" xr:uid="{D9AFBC77-F04B-4532-B8E1-76FE69A6C3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C16" authorId="0" shapeId="0" xr:uid="{5226D3CB-56DE-4C39-A337-C437981424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SNHS
DAPAON, SINDANGAN</t>
        </r>
      </text>
    </comment>
    <comment ref="C17" authorId="0" shapeId="0" xr:uid="{8AE4F6FC-027F-430E-A0CC-16D52159CA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
RM, SINDANGAN</t>
        </r>
      </text>
    </comment>
    <comment ref="C18" authorId="0" shapeId="0" xr:uid="{0432C3D9-C32D-43A0-AFA7-4A8C9F6BC9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VILLAESPIN
DISUD, SINDANGAN</t>
        </r>
      </text>
    </comment>
    <comment ref="C19" authorId="0" shapeId="0" xr:uid="{DE0B6DD5-5C68-4DBB-9C5C-774399A449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RM, SINDANGAN</t>
        </r>
      </text>
    </comment>
    <comment ref="C20" authorId="0" shapeId="0" xr:uid="{76C5FB28-8843-41B7-8F2E-77B2C109BA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RM, SINDANGAN</t>
        </r>
      </text>
    </comment>
    <comment ref="C21" authorId="0" shapeId="0" xr:uid="{D3493E21-0C6D-426F-991B-CFB26744B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C22" authorId="0" shapeId="0" xr:uid="{5812B6E1-3762-422E-86AE-68A28CCA07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C23" authorId="0" shapeId="0" xr:uid="{1FF0DF9C-0CA1-474C-B604-6D9C9F2EC0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
DISUD, SINDANGAN</t>
        </r>
      </text>
    </comment>
    <comment ref="C24" authorId="0" shapeId="0" xr:uid="{EF33A903-2C53-4EE8-AE34-B78BE41CA6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C25" authorId="0" shapeId="0" xr:uid="{41EB5DBC-1C8C-4D12-B232-95C8BEFDBE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C26" authorId="0" shapeId="0" xr:uid="{33D98D1B-2B72-4D2B-A833-31244B80B7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C27" authorId="0" shapeId="0" xr:uid="{7BED3591-1233-463F-A985-814D1BDFD1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C28" authorId="0" shapeId="0" xr:uid="{C8F622A4-FDCD-4CC2-9EA4-8154B1D0E3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C29" authorId="0" shapeId="0" xr:uid="{0E026FA1-0321-4525-8C7C-9BF689B6FE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
LABAKID, SINDANGAN</t>
        </r>
      </text>
    </comment>
    <comment ref="C30" authorId="0" shapeId="0" xr:uid="{0DACC015-7318-40F5-A8CC-0CC3784A92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ANETA VILLALUNA
LABAKID, SINDANGAN</t>
        </r>
      </text>
    </comment>
  </commentList>
</comments>
</file>

<file path=xl/sharedStrings.xml><?xml version="1.0" encoding="utf-8"?>
<sst xmlns="http://schemas.openxmlformats.org/spreadsheetml/2006/main" count="113" uniqueCount="42">
  <si>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</si>
  <si>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</si>
  <si>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</si>
  <si>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</si>
  <si>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</si>
  <si>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</si>
  <si>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</si>
  <si>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</si>
  <si>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</si>
  <si>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</si>
  <si>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</si>
  <si>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</si>
  <si>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</si>
  <si>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R3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</si>
  <si>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</si>
  <si>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</si>
  <si>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</si>
  <si>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</si>
  <si>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</si>
  <si>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</si>
  <si>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</si>
  <si>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</si>
  <si>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</si>
  <si>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</si>
  <si>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</si>
  <si>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</si>
  <si>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</si>
  <si>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</si>
  <si>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</si>
  <si>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</si>
  <si>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</si>
  <si>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</si>
  <si>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R4</t>
  </si>
  <si>
    <t>DANDAYO, RONNEL</t>
  </si>
  <si>
    <t>PROMO</t>
  </si>
  <si>
    <t>PORMENTO, ESTEMARK</t>
  </si>
  <si>
    <t>SATURDAY</t>
  </si>
  <si>
    <t>MONDAY</t>
  </si>
  <si>
    <t>NOVEMBER 2025</t>
  </si>
  <si>
    <t>NOVEMBER 03, 2025</t>
  </si>
  <si>
    <t>MOCOY, JULIET</t>
  </si>
  <si>
    <t>6699-6700,6901-6917/6823-6826/6867-6869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</si>
</sst>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14" fillId="0" borderId="0" xfId="1" applyFont="1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G13" sqref="G1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29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3" t="s">
        <v>38</v>
      </c>
      <c r="B6" s="9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13</v>
      </c>
      <c r="I8" s="52" t="s">
        <v>32</v>
      </c>
      <c r="J8" s="53" t="s">
        <v>14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36</v>
      </c>
      <c r="C10" s="12"/>
      <c r="D10" s="16">
        <f t="shared" ref="D10:D17" si="0">J10</f>
        <v>0</v>
      </c>
      <c r="F10" s="14"/>
      <c r="G10" s="14"/>
      <c r="H10" s="14"/>
      <c r="I10" s="14"/>
      <c r="J10" s="17">
        <f t="shared" ref="J10:J38" si="1">F10+G10+H10</f>
        <v>0</v>
      </c>
    </row>
    <row r="11" spans="1:10" x14ac:dyDescent="0.25">
      <c r="A11" s="10">
        <f>A10+1</f>
        <v>2</v>
      </c>
      <c r="B11" s="13" t="s">
        <v>6</v>
      </c>
      <c r="C11" s="44" t="s">
        <v>30</v>
      </c>
      <c r="D11" s="55" t="s">
        <v>30</v>
      </c>
      <c r="F11" s="14"/>
      <c r="G11" s="14"/>
      <c r="H11" s="14"/>
      <c r="I11" s="14"/>
      <c r="J11" s="59"/>
    </row>
    <row r="12" spans="1:10" x14ac:dyDescent="0.25">
      <c r="A12" s="10">
        <f t="shared" ref="A12:A39" si="2">A11+1</f>
        <v>3</v>
      </c>
      <c r="B12" s="11" t="s">
        <v>7</v>
      </c>
      <c r="C12" s="12" t="s">
        <v>41</v>
      </c>
      <c r="D12" s="16">
        <f t="shared" si="0"/>
        <v>560363</v>
      </c>
      <c r="F12" s="14">
        <v>148665</v>
      </c>
      <c r="G12" s="14">
        <v>212392</v>
      </c>
      <c r="H12" s="14">
        <v>199306</v>
      </c>
      <c r="I12" s="14"/>
      <c r="J12" s="17">
        <f t="shared" si="1"/>
        <v>560363</v>
      </c>
    </row>
    <row r="13" spans="1:10" x14ac:dyDescent="0.25">
      <c r="A13" s="10">
        <f t="shared" si="2"/>
        <v>4</v>
      </c>
      <c r="B13" s="43" t="s">
        <v>8</v>
      </c>
      <c r="C13" s="12"/>
      <c r="D13" s="16">
        <f t="shared" si="0"/>
        <v>0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56" t="s">
        <v>9</v>
      </c>
      <c r="C14" s="12"/>
      <c r="D14" s="16">
        <f t="shared" si="0"/>
        <v>0</v>
      </c>
      <c r="F14" s="14"/>
      <c r="G14" s="14"/>
      <c r="H14" s="14"/>
      <c r="I14" s="14"/>
      <c r="J14" s="17">
        <f t="shared" si="1"/>
        <v>0</v>
      </c>
    </row>
    <row r="15" spans="1:10" x14ac:dyDescent="0.25">
      <c r="A15" s="10">
        <f t="shared" si="2"/>
        <v>6</v>
      </c>
      <c r="B15" s="11" t="s">
        <v>31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43" t="s">
        <v>4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56" t="s">
        <v>5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13" t="s">
        <v>6</v>
      </c>
      <c r="C18" s="44" t="s">
        <v>30</v>
      </c>
      <c r="D18" s="55" t="s">
        <v>30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1" t="s">
        <v>7</v>
      </c>
      <c r="C19" s="12"/>
      <c r="D19" s="16">
        <f t="shared" ref="D19:D24" si="3">J19</f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43" t="s">
        <v>8</v>
      </c>
      <c r="C20" s="12"/>
      <c r="D20" s="16">
        <f t="shared" si="3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56" t="s">
        <v>9</v>
      </c>
      <c r="C21" s="12"/>
      <c r="D21" s="16">
        <f t="shared" si="3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11" t="s">
        <v>31</v>
      </c>
      <c r="C22" s="12"/>
      <c r="D22" s="16">
        <f t="shared" si="3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43" t="s">
        <v>4</v>
      </c>
      <c r="C23" s="12"/>
      <c r="D23" s="16">
        <f t="shared" si="3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56" t="s">
        <v>5</v>
      </c>
      <c r="C24" s="12"/>
      <c r="D24" s="16">
        <f t="shared" si="3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13" t="s">
        <v>6</v>
      </c>
      <c r="C25" s="44" t="s">
        <v>30</v>
      </c>
      <c r="D25" s="55" t="s">
        <v>30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1" t="s">
        <v>7</v>
      </c>
      <c r="C26" s="12"/>
      <c r="D26" s="16">
        <f t="shared" ref="D26:D31" si="4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43" t="s">
        <v>8</v>
      </c>
      <c r="C27" s="12"/>
      <c r="D27" s="16">
        <f t="shared" si="4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56" t="s">
        <v>9</v>
      </c>
      <c r="C28" s="12"/>
      <c r="D28" s="16">
        <f t="shared" si="4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11" t="s">
        <v>31</v>
      </c>
      <c r="C29" s="12"/>
      <c r="D29" s="16">
        <f t="shared" si="4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4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5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3" t="s">
        <v>6</v>
      </c>
      <c r="C32" s="44" t="s">
        <v>30</v>
      </c>
      <c r="D32" s="55" t="s">
        <v>30</v>
      </c>
      <c r="E32" s="15"/>
      <c r="F32" s="15"/>
      <c r="G32" s="14"/>
      <c r="H32" s="54"/>
      <c r="I32" s="54"/>
      <c r="J32" s="59"/>
    </row>
    <row r="33" spans="1:10" x14ac:dyDescent="0.25">
      <c r="A33" s="10">
        <f t="shared" si="2"/>
        <v>24</v>
      </c>
      <c r="B33" s="11" t="s">
        <v>7</v>
      </c>
      <c r="C33" s="12"/>
      <c r="D33" s="16">
        <f t="shared" ref="D33:D38" si="5">J33</f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43" t="s">
        <v>8</v>
      </c>
      <c r="C34" s="12"/>
      <c r="D34" s="16">
        <f t="shared" si="5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56" t="s">
        <v>9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11" t="s">
        <v>31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4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5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3" t="s">
        <v>6</v>
      </c>
      <c r="C39" s="44" t="s">
        <v>30</v>
      </c>
      <c r="D39" s="55" t="s">
        <v>30</v>
      </c>
      <c r="E39" s="14"/>
      <c r="F39" s="14"/>
      <c r="G39" s="14"/>
      <c r="H39" s="14"/>
      <c r="I39" s="14"/>
      <c r="J39" s="59"/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4" t="s">
        <v>10</v>
      </c>
      <c r="B42" s="95"/>
      <c r="C42" s="96"/>
      <c r="D42" s="48">
        <f>SUM(D2:D39)</f>
        <v>560363</v>
      </c>
      <c r="J42" s="49">
        <f>SUM(J10:J41)</f>
        <v>560363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4" zoomScaleNormal="100" workbookViewId="0">
      <selection activeCell="AE55" sqref="AE5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29</v>
      </c>
      <c r="B3" s="57"/>
      <c r="C3" s="57"/>
      <c r="D3" s="57"/>
      <c r="E3" s="57"/>
      <c r="G3" s="57"/>
      <c r="M3" t="s">
        <v>29</v>
      </c>
      <c r="N3" s="57"/>
      <c r="O3" s="57"/>
      <c r="P3" s="57"/>
      <c r="Q3" s="57"/>
      <c r="R3" s="57"/>
      <c r="S3" s="57"/>
      <c r="Y3" t="s">
        <v>29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15</v>
      </c>
      <c r="B5" s="57"/>
      <c r="C5" s="57"/>
      <c r="D5" s="57"/>
      <c r="E5" s="57"/>
      <c r="G5" s="57"/>
      <c r="M5" s="4" t="s">
        <v>15</v>
      </c>
      <c r="N5" s="57"/>
      <c r="O5" s="57"/>
      <c r="P5" s="57"/>
      <c r="Q5" s="57"/>
      <c r="R5" s="57"/>
      <c r="S5" s="57"/>
      <c r="Y5" s="4" t="s">
        <v>15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16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16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16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17</v>
      </c>
      <c r="J8" s="23" t="s">
        <v>35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17</v>
      </c>
      <c r="V8" s="23" t="s">
        <v>40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17</v>
      </c>
      <c r="AH8" s="23" t="s">
        <v>33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3" t="s">
        <v>18</v>
      </c>
      <c r="E10" s="103"/>
      <c r="F10" s="77"/>
      <c r="G10" s="27"/>
      <c r="I10" s="101" t="s">
        <v>19</v>
      </c>
      <c r="J10" s="102"/>
      <c r="K10" s="99" t="s">
        <v>20</v>
      </c>
      <c r="N10" s="25"/>
      <c r="O10" s="26"/>
      <c r="P10" s="103" t="s">
        <v>18</v>
      </c>
      <c r="Q10" s="103"/>
      <c r="R10" s="77"/>
      <c r="S10" s="27"/>
      <c r="U10" s="101" t="s">
        <v>19</v>
      </c>
      <c r="V10" s="102"/>
      <c r="W10" s="99" t="s">
        <v>20</v>
      </c>
      <c r="Z10" s="25"/>
      <c r="AA10" s="26"/>
      <c r="AB10" s="103" t="s">
        <v>18</v>
      </c>
      <c r="AC10" s="103"/>
      <c r="AD10" s="77"/>
      <c r="AE10" s="27"/>
      <c r="AG10" s="101" t="s">
        <v>19</v>
      </c>
      <c r="AH10" s="102"/>
      <c r="AI10" s="99" t="s">
        <v>20</v>
      </c>
    </row>
    <row r="11" spans="1:35" ht="30" x14ac:dyDescent="0.25">
      <c r="B11" s="28" t="s">
        <v>21</v>
      </c>
      <c r="C11" s="28" t="s">
        <v>22</v>
      </c>
      <c r="D11" s="79" t="s">
        <v>23</v>
      </c>
      <c r="E11" s="78" t="s">
        <v>24</v>
      </c>
      <c r="F11" s="80" t="s">
        <v>34</v>
      </c>
      <c r="G11" s="80" t="s">
        <v>25</v>
      </c>
      <c r="I11" s="29" t="s">
        <v>26</v>
      </c>
      <c r="J11" s="29" t="s">
        <v>27</v>
      </c>
      <c r="K11" s="100"/>
      <c r="N11" s="28" t="s">
        <v>21</v>
      </c>
      <c r="O11" s="28" t="s">
        <v>22</v>
      </c>
      <c r="P11" s="79" t="s">
        <v>23</v>
      </c>
      <c r="Q11" s="80" t="s">
        <v>24</v>
      </c>
      <c r="R11" s="80" t="s">
        <v>34</v>
      </c>
      <c r="S11" s="80" t="s">
        <v>25</v>
      </c>
      <c r="U11" s="29" t="s">
        <v>26</v>
      </c>
      <c r="V11" s="29" t="s">
        <v>27</v>
      </c>
      <c r="W11" s="100"/>
      <c r="Z11" s="28" t="s">
        <v>21</v>
      </c>
      <c r="AA11" s="28" t="s">
        <v>22</v>
      </c>
      <c r="AB11" s="79" t="s">
        <v>23</v>
      </c>
      <c r="AC11" s="80" t="s">
        <v>24</v>
      </c>
      <c r="AD11" s="80" t="s">
        <v>34</v>
      </c>
      <c r="AE11" s="80" t="s">
        <v>25</v>
      </c>
      <c r="AG11" s="29" t="s">
        <v>26</v>
      </c>
      <c r="AH11" s="29" t="s">
        <v>27</v>
      </c>
      <c r="AI11" s="100"/>
    </row>
    <row r="12" spans="1:35" x14ac:dyDescent="0.25">
      <c r="A12" s="10">
        <v>1</v>
      </c>
      <c r="B12" s="30">
        <v>45727</v>
      </c>
      <c r="C12" s="92">
        <v>6699</v>
      </c>
      <c r="D12" s="32">
        <f>16902+1788</f>
        <v>18690</v>
      </c>
      <c r="E12" s="32"/>
      <c r="F12" s="32"/>
      <c r="G12" s="32">
        <f t="shared" ref="G12:G45" si="0">SUM(D12:E12)</f>
        <v>18690</v>
      </c>
      <c r="H12" s="12"/>
      <c r="I12" s="12"/>
      <c r="J12" s="12"/>
      <c r="K12" s="12">
        <f t="shared" ref="K12:K45" si="1">SUM(G12:J12)</f>
        <v>18690</v>
      </c>
      <c r="M12" s="10">
        <v>1</v>
      </c>
      <c r="N12" s="30">
        <v>45727</v>
      </c>
      <c r="O12" s="31">
        <v>6823</v>
      </c>
      <c r="P12" s="32">
        <f>135216+1374</f>
        <v>136590</v>
      </c>
      <c r="Q12" s="32">
        <v>-1998</v>
      </c>
      <c r="R12" s="32"/>
      <c r="S12" s="32">
        <f>SUM(P12:Q12)</f>
        <v>134592</v>
      </c>
      <c r="T12" s="12"/>
      <c r="U12" s="12">
        <v>216</v>
      </c>
      <c r="V12" s="12">
        <v>-48</v>
      </c>
      <c r="W12" s="12">
        <f>SUM(S12:V12)</f>
        <v>134760</v>
      </c>
      <c r="Y12" s="10">
        <v>1</v>
      </c>
      <c r="Z12" s="30">
        <v>45727</v>
      </c>
      <c r="AA12" s="31">
        <v>6867</v>
      </c>
      <c r="AB12" s="32">
        <f>9390+2980</f>
        <v>12370</v>
      </c>
      <c r="AC12" s="32"/>
      <c r="AD12" s="32"/>
      <c r="AE12" s="32">
        <f>SUM(AB12:AC12)</f>
        <v>12370</v>
      </c>
      <c r="AF12" s="12"/>
      <c r="AG12" s="12"/>
      <c r="AH12" s="12"/>
      <c r="AI12" s="12">
        <f>SUM(AE12:AH12)</f>
        <v>12370</v>
      </c>
    </row>
    <row r="13" spans="1:35" x14ac:dyDescent="0.25">
      <c r="A13" s="10">
        <v>2</v>
      </c>
      <c r="B13" s="30">
        <v>45727</v>
      </c>
      <c r="C13" s="92">
        <f>C12+1</f>
        <v>6700</v>
      </c>
      <c r="D13" s="32">
        <f>34430+2980</f>
        <v>37410</v>
      </c>
      <c r="E13" s="32"/>
      <c r="F13" s="32"/>
      <c r="G13" s="32">
        <f t="shared" si="0"/>
        <v>37410</v>
      </c>
      <c r="H13" s="12"/>
      <c r="I13" s="12"/>
      <c r="J13" s="12"/>
      <c r="K13" s="12">
        <f t="shared" si="1"/>
        <v>37410</v>
      </c>
      <c r="M13" s="10">
        <v>2</v>
      </c>
      <c r="N13" s="30">
        <v>45727</v>
      </c>
      <c r="O13" s="31">
        <f>O12+1</f>
        <v>6824</v>
      </c>
      <c r="P13" s="32">
        <f>63852+7748+916</f>
        <v>72516</v>
      </c>
      <c r="Q13" s="32">
        <v>-1071</v>
      </c>
      <c r="R13" s="32"/>
      <c r="S13" s="32">
        <f t="shared" ref="S13:S44" si="2">SUM(P13:Q13)</f>
        <v>71445</v>
      </c>
      <c r="T13" s="12"/>
      <c r="U13" s="12"/>
      <c r="V13" s="12"/>
      <c r="W13" s="12">
        <f t="shared" ref="W13:W44" si="3">SUM(S13:V13)</f>
        <v>71445</v>
      </c>
      <c r="Y13" s="10">
        <v>2</v>
      </c>
      <c r="Z13" s="30">
        <v>45727</v>
      </c>
      <c r="AA13" s="31">
        <f>AA12+1</f>
        <v>6868</v>
      </c>
      <c r="AB13" s="32">
        <f>62600+3070+16688+852+1005+1145</f>
        <v>85360</v>
      </c>
      <c r="AC13" s="32">
        <v>-840</v>
      </c>
      <c r="AD13" s="32"/>
      <c r="AE13" s="32">
        <f t="shared" ref="AE13:AE44" si="4">SUM(AB13:AC13)</f>
        <v>84520</v>
      </c>
      <c r="AF13" s="12"/>
      <c r="AG13" s="12"/>
      <c r="AH13" s="12"/>
      <c r="AI13" s="12">
        <f t="shared" ref="AI13:AI44" si="5">SUM(AE13:AH13)</f>
        <v>84520</v>
      </c>
    </row>
    <row r="14" spans="1:35" x14ac:dyDescent="0.25">
      <c r="A14" s="10">
        <v>3</v>
      </c>
      <c r="B14" s="30">
        <v>45727</v>
      </c>
      <c r="C14" s="92">
        <v>6901</v>
      </c>
      <c r="D14" s="33">
        <f>2504+1228+913+674+38</f>
        <v>5357</v>
      </c>
      <c r="E14" s="33"/>
      <c r="F14" s="33"/>
      <c r="G14" s="33">
        <f t="shared" si="0"/>
        <v>5357</v>
      </c>
      <c r="H14" s="34"/>
      <c r="I14" s="34"/>
      <c r="J14" s="34"/>
      <c r="K14" s="34">
        <f t="shared" si="1"/>
        <v>5357</v>
      </c>
      <c r="M14" s="10">
        <v>3</v>
      </c>
      <c r="N14" s="30">
        <v>45727</v>
      </c>
      <c r="O14" s="31">
        <f t="shared" ref="O14:O15" si="6">O13+1</f>
        <v>6825</v>
      </c>
      <c r="P14" s="32">
        <f>626+9.5</f>
        <v>635.5</v>
      </c>
      <c r="Q14" s="32"/>
      <c r="R14" s="32"/>
      <c r="S14" s="32">
        <f t="shared" si="2"/>
        <v>635.5</v>
      </c>
      <c r="T14" s="12"/>
      <c r="U14" s="12">
        <v>1.5</v>
      </c>
      <c r="V14" s="12"/>
      <c r="W14" s="12">
        <f t="shared" si="3"/>
        <v>637</v>
      </c>
      <c r="Y14" s="10">
        <v>3</v>
      </c>
      <c r="Z14" s="30">
        <v>45727</v>
      </c>
      <c r="AA14" s="31">
        <f t="shared" ref="AA14" si="7">AA13+1</f>
        <v>6869</v>
      </c>
      <c r="AB14" s="33">
        <f>92648+3370+6556+832</f>
        <v>103406</v>
      </c>
      <c r="AC14" s="33">
        <v>-990</v>
      </c>
      <c r="AD14" s="32"/>
      <c r="AE14" s="32">
        <f t="shared" si="4"/>
        <v>102416</v>
      </c>
      <c r="AF14" s="12"/>
      <c r="AG14" s="12"/>
      <c r="AH14" s="12">
        <f>-480+-555</f>
        <v>-1035</v>
      </c>
      <c r="AI14" s="12">
        <f t="shared" si="5"/>
        <v>101381</v>
      </c>
    </row>
    <row r="15" spans="1:35" x14ac:dyDescent="0.25">
      <c r="A15" s="10">
        <v>4</v>
      </c>
      <c r="B15" s="30">
        <v>45727</v>
      </c>
      <c r="C15" s="92">
        <f t="shared" ref="C15:C30" si="8">C14+1</f>
        <v>6902</v>
      </c>
      <c r="D15" s="32">
        <f>626+500</f>
        <v>1126</v>
      </c>
      <c r="E15" s="32"/>
      <c r="F15" s="32"/>
      <c r="G15" s="32">
        <f t="shared" si="0"/>
        <v>1126</v>
      </c>
      <c r="H15" s="12"/>
      <c r="I15" s="12"/>
      <c r="J15" s="12"/>
      <c r="K15" s="12">
        <f t="shared" si="1"/>
        <v>1126</v>
      </c>
      <c r="M15" s="10">
        <v>4</v>
      </c>
      <c r="N15" s="30">
        <v>45727</v>
      </c>
      <c r="O15" s="31">
        <f t="shared" si="6"/>
        <v>6826</v>
      </c>
      <c r="P15" s="32">
        <f>5634+85.5</f>
        <v>5719.5</v>
      </c>
      <c r="Q15" s="32"/>
      <c r="R15" s="32"/>
      <c r="S15" s="32">
        <f t="shared" si="2"/>
        <v>5719.5</v>
      </c>
      <c r="T15" s="12"/>
      <c r="U15" s="12"/>
      <c r="V15" s="12"/>
      <c r="W15" s="12">
        <f t="shared" si="3"/>
        <v>5719.5</v>
      </c>
      <c r="Y15" s="10">
        <v>4</v>
      </c>
      <c r="Z15" s="30"/>
      <c r="AA15" s="11" t="s">
        <v>28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45727</v>
      </c>
      <c r="C16" s="92">
        <f t="shared" si="8"/>
        <v>6903</v>
      </c>
      <c r="D16" s="32">
        <f>1145</f>
        <v>1145</v>
      </c>
      <c r="E16" s="32"/>
      <c r="F16" s="32"/>
      <c r="G16" s="32">
        <f t="shared" si="0"/>
        <v>1145</v>
      </c>
      <c r="H16" s="12"/>
      <c r="I16" s="12"/>
      <c r="J16" s="12"/>
      <c r="K16" s="12">
        <f t="shared" si="1"/>
        <v>1145</v>
      </c>
      <c r="M16" s="10">
        <v>5</v>
      </c>
      <c r="N16" s="30"/>
      <c r="O16" s="11" t="s">
        <v>28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/>
      <c r="AA16" s="31"/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45727</v>
      </c>
      <c r="C17" s="92">
        <f t="shared" si="8"/>
        <v>6904</v>
      </c>
      <c r="D17" s="32">
        <f>5634+614+596+95</f>
        <v>6939</v>
      </c>
      <c r="E17" s="32"/>
      <c r="F17" s="32"/>
      <c r="G17" s="32">
        <f t="shared" si="0"/>
        <v>6939</v>
      </c>
      <c r="H17" s="12"/>
      <c r="I17" s="12">
        <v>130</v>
      </c>
      <c r="J17" s="12"/>
      <c r="K17" s="12">
        <f t="shared" si="1"/>
        <v>7069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31"/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45727</v>
      </c>
      <c r="C18" s="92">
        <f t="shared" si="8"/>
        <v>6905</v>
      </c>
      <c r="D18" s="32">
        <f>3756+1842+596+67</f>
        <v>6261</v>
      </c>
      <c r="E18" s="32"/>
      <c r="F18" s="32"/>
      <c r="G18" s="32">
        <f t="shared" si="0"/>
        <v>6261</v>
      </c>
      <c r="H18" s="12"/>
      <c r="I18" s="12"/>
      <c r="J18" s="12"/>
      <c r="K18" s="12">
        <f t="shared" si="1"/>
        <v>6261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45727</v>
      </c>
      <c r="C19" s="92">
        <f t="shared" si="8"/>
        <v>6906</v>
      </c>
      <c r="D19" s="32">
        <f>1252+19</f>
        <v>1271</v>
      </c>
      <c r="E19" s="32"/>
      <c r="F19" s="32"/>
      <c r="G19" s="32">
        <f t="shared" si="0"/>
        <v>1271</v>
      </c>
      <c r="H19" s="12"/>
      <c r="I19" s="12"/>
      <c r="J19" s="12"/>
      <c r="K19" s="12">
        <f t="shared" si="1"/>
        <v>1271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45727</v>
      </c>
      <c r="C20" s="92">
        <f t="shared" si="8"/>
        <v>6907</v>
      </c>
      <c r="D20" s="32">
        <f>3130+1228+48</f>
        <v>4406</v>
      </c>
      <c r="E20" s="32"/>
      <c r="F20" s="32"/>
      <c r="G20" s="32">
        <f t="shared" si="0"/>
        <v>4406</v>
      </c>
      <c r="H20" s="12"/>
      <c r="I20" s="12"/>
      <c r="J20" s="12"/>
      <c r="K20" s="12">
        <f t="shared" si="1"/>
        <v>4406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45727</v>
      </c>
      <c r="C21" s="92">
        <f t="shared" si="8"/>
        <v>6908</v>
      </c>
      <c r="D21" s="32">
        <f>6260+95</f>
        <v>6355</v>
      </c>
      <c r="E21" s="32"/>
      <c r="F21" s="32"/>
      <c r="G21" s="32">
        <f t="shared" si="0"/>
        <v>6355</v>
      </c>
      <c r="H21" s="12"/>
      <c r="I21" s="12"/>
      <c r="J21" s="12"/>
      <c r="K21" s="12">
        <f t="shared" si="1"/>
        <v>6355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45727</v>
      </c>
      <c r="C22" s="92">
        <f t="shared" si="8"/>
        <v>6909</v>
      </c>
      <c r="D22" s="32">
        <f>3130+614+48</f>
        <v>3792</v>
      </c>
      <c r="E22" s="32"/>
      <c r="F22" s="32"/>
      <c r="G22" s="32">
        <f t="shared" si="0"/>
        <v>3792</v>
      </c>
      <c r="H22" s="12"/>
      <c r="I22" s="12"/>
      <c r="J22" s="12"/>
      <c r="K22" s="12">
        <f t="shared" si="1"/>
        <v>3792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45727</v>
      </c>
      <c r="C23" s="92">
        <f t="shared" si="8"/>
        <v>6910</v>
      </c>
      <c r="D23" s="32">
        <f>2504+38</f>
        <v>2542</v>
      </c>
      <c r="E23" s="32"/>
      <c r="F23" s="32"/>
      <c r="G23" s="32">
        <f t="shared" si="0"/>
        <v>2542</v>
      </c>
      <c r="H23" s="12"/>
      <c r="I23" s="12"/>
      <c r="J23" s="10"/>
      <c r="K23" s="12">
        <f t="shared" si="1"/>
        <v>2542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45727</v>
      </c>
      <c r="C24" s="92">
        <f t="shared" si="8"/>
        <v>6911</v>
      </c>
      <c r="D24" s="32">
        <f>1878+614</f>
        <v>2492</v>
      </c>
      <c r="E24" s="32"/>
      <c r="F24" s="32"/>
      <c r="G24" s="32">
        <f t="shared" si="0"/>
        <v>2492</v>
      </c>
      <c r="H24" s="12"/>
      <c r="I24" s="12"/>
      <c r="J24" s="12"/>
      <c r="K24" s="12">
        <f t="shared" si="1"/>
        <v>2492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45727</v>
      </c>
      <c r="C25" s="92">
        <f t="shared" si="8"/>
        <v>6912</v>
      </c>
      <c r="D25" s="32">
        <f>3130+48</f>
        <v>3178</v>
      </c>
      <c r="E25" s="32"/>
      <c r="F25" s="32"/>
      <c r="G25" s="32">
        <f t="shared" si="0"/>
        <v>3178</v>
      </c>
      <c r="H25" s="12"/>
      <c r="I25" s="12"/>
      <c r="J25" s="12"/>
      <c r="K25" s="12">
        <f t="shared" si="1"/>
        <v>3178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45727</v>
      </c>
      <c r="C26" s="92">
        <f t="shared" si="8"/>
        <v>6913</v>
      </c>
      <c r="D26" s="32">
        <f>1878+596</f>
        <v>2474</v>
      </c>
      <c r="E26" s="32"/>
      <c r="F26" s="32"/>
      <c r="G26" s="32">
        <f t="shared" si="0"/>
        <v>2474</v>
      </c>
      <c r="H26" s="12"/>
      <c r="I26" s="12"/>
      <c r="J26" s="12"/>
      <c r="K26" s="12">
        <f t="shared" si="1"/>
        <v>2474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45727</v>
      </c>
      <c r="C27" s="92">
        <f t="shared" si="8"/>
        <v>6914</v>
      </c>
      <c r="D27" s="32">
        <f>2504+38</f>
        <v>2542</v>
      </c>
      <c r="E27" s="32"/>
      <c r="F27" s="32"/>
      <c r="G27" s="32">
        <f t="shared" si="0"/>
        <v>2542</v>
      </c>
      <c r="H27" s="12"/>
      <c r="I27" s="12">
        <v>14</v>
      </c>
      <c r="J27" s="12"/>
      <c r="K27" s="12">
        <f t="shared" si="1"/>
        <v>2556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>
        <v>45727</v>
      </c>
      <c r="C28" s="92">
        <f t="shared" si="8"/>
        <v>6915</v>
      </c>
      <c r="D28" s="32">
        <f>6886+1005+3306+1664+2600+1175</f>
        <v>16636</v>
      </c>
      <c r="E28" s="32"/>
      <c r="F28" s="32"/>
      <c r="G28" s="32">
        <f t="shared" si="0"/>
        <v>16636</v>
      </c>
      <c r="H28" s="12"/>
      <c r="I28" s="12">
        <f>4.5+55.5</f>
        <v>60</v>
      </c>
      <c r="J28" s="12"/>
      <c r="K28" s="12">
        <f t="shared" si="1"/>
        <v>16696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>
        <v>45727</v>
      </c>
      <c r="C29" s="92">
        <f t="shared" si="8"/>
        <v>6916</v>
      </c>
      <c r="D29" s="32">
        <f>16276+5960</f>
        <v>22236</v>
      </c>
      <c r="E29" s="32"/>
      <c r="F29" s="32"/>
      <c r="G29" s="32">
        <f t="shared" si="0"/>
        <v>22236</v>
      </c>
      <c r="H29" s="12"/>
      <c r="I29" s="12"/>
      <c r="J29" s="12"/>
      <c r="K29" s="12">
        <f t="shared" si="1"/>
        <v>22236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>
        <v>45727</v>
      </c>
      <c r="C30" s="92">
        <f t="shared" si="8"/>
        <v>6917</v>
      </c>
      <c r="D30" s="32">
        <f>3756+57</f>
        <v>3813</v>
      </c>
      <c r="E30" s="32"/>
      <c r="F30" s="32"/>
      <c r="G30" s="32">
        <f t="shared" si="0"/>
        <v>3813</v>
      </c>
      <c r="H30" s="12"/>
      <c r="I30" s="12"/>
      <c r="J30" s="12"/>
      <c r="K30" s="12">
        <f t="shared" si="1"/>
        <v>3813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11" t="s">
        <v>28</v>
      </c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148665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148665</v>
      </c>
      <c r="H55" s="4"/>
      <c r="I55" s="39">
        <f>SUM(I12:I54)</f>
        <v>204</v>
      </c>
      <c r="J55" s="39">
        <f>SUM(J12:J54)</f>
        <v>0</v>
      </c>
      <c r="K55" s="40">
        <f>SUM(K12:K54)</f>
        <v>148869</v>
      </c>
      <c r="N55" s="57"/>
      <c r="O55" s="57"/>
      <c r="P55" s="38">
        <f>SUM(P12:P54)</f>
        <v>215461</v>
      </c>
      <c r="Q55" s="38">
        <f>SUM(Q12:Q36)</f>
        <v>-3069</v>
      </c>
      <c r="R55" s="38">
        <f>SUM(R12:R36)</f>
        <v>0</v>
      </c>
      <c r="S55" s="38">
        <f>SUM(S12:S54)</f>
        <v>212392</v>
      </c>
      <c r="T55" s="4"/>
      <c r="U55" s="41">
        <f>SUM(U12:U54)</f>
        <v>217.5</v>
      </c>
      <c r="V55" s="41">
        <f>SUM(V12:V36)</f>
        <v>-48</v>
      </c>
      <c r="W55" s="42">
        <f>SUM(W12:W54)</f>
        <v>212561.5</v>
      </c>
      <c r="Z55" s="57"/>
      <c r="AA55" s="57"/>
      <c r="AB55" s="38">
        <f>SUM(AB12:AB54)</f>
        <v>201136</v>
      </c>
      <c r="AC55" s="38">
        <f>SUM(AC12:AC36)</f>
        <v>-1830</v>
      </c>
      <c r="AD55" s="38">
        <f>SUM(AD12:AD36)</f>
        <v>0</v>
      </c>
      <c r="AE55" s="38">
        <f>SUM(AE12:AE54)</f>
        <v>199306</v>
      </c>
      <c r="AF55" s="4"/>
      <c r="AG55" s="41">
        <f>SUM(AG12:AG54)</f>
        <v>0</v>
      </c>
      <c r="AH55" s="41">
        <f>SUM(AH12:AH36)</f>
        <v>-1035</v>
      </c>
      <c r="AI55" s="42">
        <f>SUM(AI12:AI54)</f>
        <v>198271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s="62"/>
      <c r="B57" s="89"/>
      <c r="C57" s="89"/>
      <c r="D57" s="89"/>
      <c r="E57" s="89"/>
      <c r="F57" s="89"/>
      <c r="G57" s="89"/>
      <c r="H57" s="62"/>
      <c r="I57" s="62"/>
      <c r="J57" s="62"/>
      <c r="K57" s="62"/>
      <c r="L57" s="62"/>
      <c r="M57" s="62"/>
      <c r="N57" s="89"/>
      <c r="O57" s="89"/>
      <c r="P57" s="89"/>
      <c r="Q57" s="89"/>
      <c r="R57" s="89"/>
      <c r="S57" s="89"/>
      <c r="T57" s="62"/>
      <c r="U57" s="62"/>
      <c r="V57" s="62"/>
      <c r="W57" s="62"/>
      <c r="X57" s="62"/>
      <c r="Y57" s="62"/>
      <c r="Z57" s="89"/>
      <c r="AA57" s="89"/>
      <c r="AB57" s="89"/>
      <c r="AC57" s="89"/>
      <c r="AD57" s="89"/>
      <c r="AE57" s="89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s="62"/>
      <c r="B58" s="89"/>
      <c r="C58" s="89"/>
      <c r="D58" s="89"/>
      <c r="E58" s="89"/>
      <c r="F58" s="89"/>
      <c r="G58" s="89"/>
      <c r="H58" s="62"/>
      <c r="I58" s="62"/>
      <c r="J58" s="62"/>
      <c r="K58" s="62"/>
      <c r="L58" s="62"/>
      <c r="M58" s="62"/>
      <c r="N58" s="89"/>
      <c r="O58" s="89"/>
      <c r="P58" s="89"/>
      <c r="Q58" s="89"/>
      <c r="R58" s="89"/>
      <c r="S58" s="89"/>
      <c r="T58" s="62"/>
      <c r="U58" s="62"/>
      <c r="V58" s="62"/>
      <c r="W58" s="62"/>
      <c r="X58" s="62"/>
      <c r="Y58" s="62"/>
      <c r="Z58" s="89"/>
      <c r="AA58" s="89"/>
      <c r="AB58" s="89"/>
      <c r="AC58" s="89"/>
      <c r="AD58" s="89"/>
      <c r="AE58" s="89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9"/>
      <c r="C59" s="89"/>
      <c r="D59" s="89"/>
      <c r="E59" s="89"/>
      <c r="F59" s="89"/>
      <c r="G59" s="89"/>
      <c r="H59" s="62"/>
      <c r="I59" s="62"/>
      <c r="J59" s="62"/>
      <c r="K59" s="62"/>
      <c r="L59" s="62"/>
      <c r="M59" s="62"/>
      <c r="N59" s="89"/>
      <c r="O59" s="89"/>
      <c r="P59" s="89"/>
      <c r="Q59" s="89"/>
      <c r="R59" s="89"/>
      <c r="S59" s="89"/>
      <c r="T59" s="62"/>
      <c r="U59" s="62"/>
      <c r="V59" s="62"/>
      <c r="W59" s="62"/>
      <c r="X59" s="62"/>
      <c r="Y59" s="62"/>
      <c r="Z59" s="89"/>
      <c r="AA59" s="89"/>
      <c r="AB59" s="89"/>
      <c r="AC59" s="89"/>
      <c r="AD59" s="89"/>
      <c r="AE59" s="89"/>
      <c r="AF59" s="62"/>
      <c r="AG59" s="62"/>
      <c r="AH59" s="62"/>
      <c r="AI59" s="62"/>
      <c r="AJ59" s="62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9"/>
      <c r="C60" s="89"/>
      <c r="D60" s="89"/>
      <c r="E60" s="89"/>
      <c r="F60" s="89"/>
      <c r="G60" s="89"/>
      <c r="H60" s="62"/>
      <c r="I60" s="62"/>
      <c r="J60" s="62"/>
      <c r="K60" s="62"/>
      <c r="L60" s="62"/>
      <c r="M60" s="63"/>
      <c r="N60" s="89"/>
      <c r="O60" s="89"/>
      <c r="P60" s="89"/>
      <c r="Q60" s="89"/>
      <c r="R60" s="89"/>
      <c r="S60" s="89"/>
      <c r="T60" s="62"/>
      <c r="U60" s="62"/>
      <c r="V60" s="62"/>
      <c r="W60" s="62"/>
      <c r="X60" s="62"/>
      <c r="Y60" s="63"/>
      <c r="Z60" s="89"/>
      <c r="AA60" s="89"/>
      <c r="AB60" s="89"/>
      <c r="AC60" s="89"/>
      <c r="AD60" s="89"/>
      <c r="AE60" s="89"/>
      <c r="AF60" s="62"/>
      <c r="AG60" s="62"/>
      <c r="AH60" s="62"/>
      <c r="AI60" s="62"/>
      <c r="AJ60" s="62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9"/>
      <c r="C61" s="89"/>
      <c r="D61" s="89"/>
      <c r="E61" s="89"/>
      <c r="F61" s="89"/>
      <c r="G61" s="89"/>
      <c r="H61" s="62"/>
      <c r="I61" s="62"/>
      <c r="J61" s="62"/>
      <c r="K61" s="62"/>
      <c r="L61" s="62"/>
      <c r="M61" s="62"/>
      <c r="N61" s="89"/>
      <c r="O61" s="89"/>
      <c r="P61" s="89"/>
      <c r="Q61" s="89"/>
      <c r="R61" s="89"/>
      <c r="S61" s="89"/>
      <c r="T61" s="62"/>
      <c r="U61" s="62"/>
      <c r="V61" s="62"/>
      <c r="W61" s="62"/>
      <c r="X61" s="62"/>
      <c r="Y61" s="62"/>
      <c r="Z61" s="89"/>
      <c r="AA61" s="89"/>
      <c r="AB61" s="89"/>
      <c r="AC61" s="89"/>
      <c r="AD61" s="89"/>
      <c r="AE61" s="89"/>
      <c r="AF61" s="62"/>
      <c r="AG61" s="62"/>
      <c r="AH61" s="62"/>
      <c r="AI61" s="62"/>
      <c r="AJ61" s="62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9"/>
      <c r="C62" s="89"/>
      <c r="D62" s="89"/>
      <c r="E62" s="89"/>
      <c r="F62" s="89"/>
      <c r="G62" s="89"/>
      <c r="H62" s="62"/>
      <c r="I62" s="89"/>
      <c r="J62" s="74"/>
      <c r="K62" s="62"/>
      <c r="L62" s="62"/>
      <c r="M62" s="62"/>
      <c r="N62" s="89"/>
      <c r="O62" s="89"/>
      <c r="P62" s="89"/>
      <c r="Q62" s="89"/>
      <c r="R62" s="89"/>
      <c r="S62" s="89"/>
      <c r="T62" s="62"/>
      <c r="U62" s="89"/>
      <c r="V62" s="74"/>
      <c r="W62" s="62"/>
      <c r="X62" s="62"/>
      <c r="Y62" s="62"/>
      <c r="Z62" s="89"/>
      <c r="AA62" s="89"/>
      <c r="AB62" s="89"/>
      <c r="AC62" s="89"/>
      <c r="AD62" s="89"/>
      <c r="AE62" s="89"/>
      <c r="AF62" s="62"/>
      <c r="AG62" s="89"/>
      <c r="AH62" s="89"/>
      <c r="AI62" s="62"/>
      <c r="AJ62" s="62"/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9"/>
      <c r="C63" s="89"/>
      <c r="D63" s="89"/>
      <c r="E63" s="89"/>
      <c r="F63" s="89"/>
      <c r="G63" s="89"/>
      <c r="H63" s="62"/>
      <c r="I63" s="65"/>
      <c r="J63" s="65"/>
      <c r="K63" s="62"/>
      <c r="L63" s="62"/>
      <c r="M63" s="64"/>
      <c r="N63" s="89"/>
      <c r="O63" s="89"/>
      <c r="P63" s="89"/>
      <c r="Q63" s="89"/>
      <c r="R63" s="89"/>
      <c r="S63" s="89"/>
      <c r="T63" s="62"/>
      <c r="U63" s="65"/>
      <c r="V63" s="65"/>
      <c r="W63" s="62"/>
      <c r="X63" s="62"/>
      <c r="Y63" s="64"/>
      <c r="Z63" s="89"/>
      <c r="AA63" s="89"/>
      <c r="AB63" s="89"/>
      <c r="AC63" s="89"/>
      <c r="AD63" s="89"/>
      <c r="AE63" s="89"/>
      <c r="AF63" s="62"/>
      <c r="AG63" s="65"/>
      <c r="AH63" s="65"/>
      <c r="AI63" s="62"/>
      <c r="AJ63" s="62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9"/>
      <c r="C64" s="89"/>
      <c r="D64" s="89"/>
      <c r="E64" s="89"/>
      <c r="F64" s="89"/>
      <c r="G64" s="89"/>
      <c r="H64" s="62"/>
      <c r="I64" s="62"/>
      <c r="J64" s="62"/>
      <c r="K64" s="62"/>
      <c r="L64" s="62"/>
      <c r="M64" s="62"/>
      <c r="N64" s="89"/>
      <c r="O64" s="89"/>
      <c r="P64" s="89"/>
      <c r="Q64" s="89"/>
      <c r="R64" s="89"/>
      <c r="S64" s="89"/>
      <c r="T64" s="62"/>
      <c r="U64" s="62"/>
      <c r="V64" s="62"/>
      <c r="W64" s="62"/>
      <c r="X64" s="62"/>
      <c r="Y64" s="62"/>
      <c r="Z64" s="89"/>
      <c r="AA64" s="89"/>
      <c r="AB64" s="89"/>
      <c r="AC64" s="89"/>
      <c r="AD64" s="89"/>
      <c r="AE64" s="89"/>
      <c r="AF64" s="62"/>
      <c r="AG64" s="62"/>
      <c r="AH64" s="62"/>
      <c r="AI64" s="62"/>
      <c r="AJ64" s="62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A65" s="62"/>
      <c r="B65" s="65"/>
      <c r="C65" s="89"/>
      <c r="D65" s="98"/>
      <c r="E65" s="98"/>
      <c r="F65" s="89"/>
      <c r="G65" s="89"/>
      <c r="H65" s="62"/>
      <c r="I65" s="98"/>
      <c r="J65" s="98"/>
      <c r="K65" s="97"/>
      <c r="L65" s="62"/>
      <c r="M65" s="62"/>
      <c r="N65" s="65"/>
      <c r="O65" s="89"/>
      <c r="P65" s="98"/>
      <c r="Q65" s="98"/>
      <c r="R65" s="89"/>
      <c r="S65" s="89"/>
      <c r="T65" s="62"/>
      <c r="U65" s="98"/>
      <c r="V65" s="98"/>
      <c r="W65" s="97"/>
      <c r="X65" s="62"/>
      <c r="Y65" s="62"/>
      <c r="Z65" s="65"/>
      <c r="AA65" s="89"/>
      <c r="AB65" s="98"/>
      <c r="AC65" s="98"/>
      <c r="AD65" s="89"/>
      <c r="AE65" s="89"/>
      <c r="AF65" s="62"/>
      <c r="AG65" s="98"/>
      <c r="AH65" s="98"/>
      <c r="AI65" s="97"/>
      <c r="AJ65" s="62"/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x14ac:dyDescent="0.25">
      <c r="A66" s="62"/>
      <c r="B66" s="89"/>
      <c r="C66" s="89"/>
      <c r="D66" s="81"/>
      <c r="E66" s="82"/>
      <c r="F66" s="83"/>
      <c r="G66" s="83"/>
      <c r="H66" s="62"/>
      <c r="I66" s="88"/>
      <c r="J66" s="88"/>
      <c r="K66" s="97"/>
      <c r="L66" s="62"/>
      <c r="M66" s="62"/>
      <c r="N66" s="89"/>
      <c r="O66" s="89"/>
      <c r="P66" s="81"/>
      <c r="Q66" s="83"/>
      <c r="R66" s="83"/>
      <c r="S66" s="83"/>
      <c r="T66" s="62"/>
      <c r="U66" s="88"/>
      <c r="V66" s="88"/>
      <c r="W66" s="97"/>
      <c r="X66" s="62"/>
      <c r="Y66" s="62"/>
      <c r="Z66" s="89"/>
      <c r="AA66" s="89"/>
      <c r="AB66" s="81"/>
      <c r="AC66" s="83"/>
      <c r="AD66" s="83"/>
      <c r="AE66" s="83"/>
      <c r="AF66" s="62"/>
      <c r="AG66" s="88"/>
      <c r="AH66" s="88"/>
      <c r="AI66" s="97"/>
      <c r="AJ66" s="62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9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9"/>
      <c r="P67" s="60"/>
      <c r="Q67" s="60"/>
      <c r="R67" s="60"/>
      <c r="S67" s="60"/>
      <c r="T67" s="61"/>
      <c r="U67" s="61"/>
      <c r="V67" s="61"/>
      <c r="W67" s="61"/>
      <c r="X67" s="62"/>
      <c r="Y67" s="62"/>
      <c r="Z67" s="66"/>
      <c r="AA67" s="89"/>
      <c r="AB67" s="60"/>
      <c r="AC67" s="60"/>
      <c r="AD67" s="60"/>
      <c r="AE67" s="60"/>
      <c r="AF67" s="61"/>
      <c r="AG67" s="61"/>
      <c r="AH67" s="61"/>
      <c r="AI67" s="61"/>
      <c r="AJ67" s="62"/>
      <c r="AK67" s="62"/>
      <c r="AL67" s="65"/>
      <c r="AM67" s="87"/>
      <c r="AN67" s="98"/>
      <c r="AO67" s="98"/>
      <c r="AP67" s="87"/>
      <c r="AQ67" s="62"/>
      <c r="AR67" s="98"/>
      <c r="AS67" s="98"/>
      <c r="AT67" s="97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9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9"/>
      <c r="P68" s="60"/>
      <c r="Q68" s="60"/>
      <c r="R68" s="60"/>
      <c r="S68" s="60"/>
      <c r="T68" s="61"/>
      <c r="U68" s="61"/>
      <c r="V68" s="61"/>
      <c r="W68" s="61"/>
      <c r="X68" s="62"/>
      <c r="Y68" s="62"/>
      <c r="Z68" s="66"/>
      <c r="AA68" s="89"/>
      <c r="AB68" s="60"/>
      <c r="AC68" s="60"/>
      <c r="AD68" s="60"/>
      <c r="AE68" s="60"/>
      <c r="AF68" s="61"/>
      <c r="AG68" s="61"/>
      <c r="AH68" s="61"/>
      <c r="AI68" s="61"/>
      <c r="AJ68" s="62"/>
      <c r="AK68" s="62"/>
      <c r="AL68" s="87"/>
      <c r="AM68" s="87"/>
      <c r="AN68" s="87"/>
      <c r="AO68" s="86"/>
      <c r="AP68" s="86"/>
      <c r="AQ68" s="62"/>
      <c r="AR68" s="85"/>
      <c r="AS68" s="85"/>
      <c r="AT68" s="97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9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9"/>
      <c r="P69" s="60"/>
      <c r="Q69" s="60"/>
      <c r="R69" s="60"/>
      <c r="S69" s="60"/>
      <c r="T69" s="61"/>
      <c r="U69" s="61"/>
      <c r="V69" s="61"/>
      <c r="W69" s="61"/>
      <c r="X69" s="62"/>
      <c r="Y69" s="62"/>
      <c r="Z69" s="66"/>
      <c r="AA69" s="89"/>
      <c r="AB69" s="60"/>
      <c r="AC69" s="60"/>
      <c r="AD69" s="60"/>
      <c r="AE69" s="60"/>
      <c r="AF69" s="61"/>
      <c r="AG69" s="61"/>
      <c r="AH69" s="61"/>
      <c r="AI69" s="61"/>
      <c r="AJ69" s="62"/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9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9"/>
      <c r="P70" s="60"/>
      <c r="Q70" s="60"/>
      <c r="R70" s="60"/>
      <c r="S70" s="60"/>
      <c r="T70" s="61"/>
      <c r="U70" s="61"/>
      <c r="V70" s="61"/>
      <c r="W70" s="61"/>
      <c r="X70" s="62"/>
      <c r="Y70" s="62"/>
      <c r="Z70" s="66"/>
      <c r="AA70" s="89"/>
      <c r="AB70" s="60"/>
      <c r="AC70" s="60"/>
      <c r="AD70" s="60"/>
      <c r="AE70" s="60"/>
      <c r="AF70" s="61"/>
      <c r="AG70" s="62"/>
      <c r="AH70" s="61"/>
      <c r="AI70" s="61"/>
      <c r="AJ70" s="62"/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9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89"/>
      <c r="P71" s="60"/>
      <c r="Q71" s="60"/>
      <c r="R71" s="60"/>
      <c r="S71" s="60"/>
      <c r="T71" s="61"/>
      <c r="U71" s="61"/>
      <c r="V71" s="61"/>
      <c r="W71" s="61"/>
      <c r="X71" s="62"/>
      <c r="Y71" s="62"/>
      <c r="Z71" s="66"/>
      <c r="AA71" s="89"/>
      <c r="AB71" s="60"/>
      <c r="AC71" s="60"/>
      <c r="AD71" s="60"/>
      <c r="AE71" s="60"/>
      <c r="AF71" s="61"/>
      <c r="AG71" s="61"/>
      <c r="AH71" s="61"/>
      <c r="AI71" s="61"/>
      <c r="AJ71" s="62"/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9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9"/>
      <c r="P72" s="60"/>
      <c r="Q72" s="60"/>
      <c r="R72" s="60"/>
      <c r="S72" s="60"/>
      <c r="T72" s="61"/>
      <c r="U72" s="61"/>
      <c r="V72" s="62"/>
      <c r="W72" s="61"/>
      <c r="X72" s="62"/>
      <c r="Y72" s="62"/>
      <c r="Z72" s="66"/>
      <c r="AA72" s="65"/>
      <c r="AB72" s="60"/>
      <c r="AC72" s="60"/>
      <c r="AD72" s="60"/>
      <c r="AE72" s="60"/>
      <c r="AF72" s="61"/>
      <c r="AG72" s="61"/>
      <c r="AH72" s="62"/>
      <c r="AI72" s="61"/>
      <c r="AJ72" s="62"/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9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9"/>
      <c r="P73" s="60"/>
      <c r="Q73" s="60"/>
      <c r="R73" s="60"/>
      <c r="S73" s="60"/>
      <c r="T73" s="61"/>
      <c r="U73" s="61"/>
      <c r="V73" s="61"/>
      <c r="W73" s="61"/>
      <c r="X73" s="62"/>
      <c r="Y73" s="62"/>
      <c r="Z73" s="66"/>
      <c r="AA73" s="89"/>
      <c r="AB73" s="60"/>
      <c r="AC73" s="60"/>
      <c r="AD73" s="60"/>
      <c r="AE73" s="60"/>
      <c r="AF73" s="61"/>
      <c r="AG73" s="61"/>
      <c r="AH73" s="61"/>
      <c r="AI73" s="61"/>
      <c r="AJ73" s="62"/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89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65"/>
      <c r="P74" s="60"/>
      <c r="Q74" s="60"/>
      <c r="R74" s="60"/>
      <c r="S74" s="60"/>
      <c r="T74" s="61"/>
      <c r="U74" s="61"/>
      <c r="V74" s="61"/>
      <c r="W74" s="61"/>
      <c r="X74" s="62"/>
      <c r="Y74" s="62"/>
      <c r="Z74" s="66"/>
      <c r="AA74" s="89"/>
      <c r="AB74" s="60"/>
      <c r="AC74" s="60"/>
      <c r="AD74" s="62"/>
      <c r="AE74" s="60"/>
      <c r="AF74" s="61"/>
      <c r="AG74" s="61"/>
      <c r="AH74" s="61"/>
      <c r="AI74" s="61"/>
      <c r="AJ74" s="62"/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9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89"/>
      <c r="P75" s="60"/>
      <c r="Q75" s="60"/>
      <c r="R75" s="60"/>
      <c r="S75" s="60"/>
      <c r="T75" s="61"/>
      <c r="U75" s="61"/>
      <c r="V75" s="61"/>
      <c r="W75" s="61"/>
      <c r="X75" s="62"/>
      <c r="Y75" s="62"/>
      <c r="Z75" s="66"/>
      <c r="AA75" s="89"/>
      <c r="AB75" s="62"/>
      <c r="AC75" s="60"/>
      <c r="AD75" s="60"/>
      <c r="AE75" s="60"/>
      <c r="AF75" s="61"/>
      <c r="AG75" s="62"/>
      <c r="AH75" s="61"/>
      <c r="AI75" s="61"/>
      <c r="AJ75" s="62"/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9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9"/>
      <c r="P76" s="60"/>
      <c r="Q76" s="60"/>
      <c r="R76" s="60"/>
      <c r="S76" s="60"/>
      <c r="T76" s="61"/>
      <c r="U76" s="61"/>
      <c r="V76" s="61"/>
      <c r="W76" s="61"/>
      <c r="X76" s="62"/>
      <c r="Y76" s="62"/>
      <c r="Z76" s="66"/>
      <c r="AA76" s="89"/>
      <c r="AB76" s="60"/>
      <c r="AC76" s="60"/>
      <c r="AD76" s="60"/>
      <c r="AE76" s="60"/>
      <c r="AF76" s="61"/>
      <c r="AG76" s="61"/>
      <c r="AH76" s="61"/>
      <c r="AI76" s="61"/>
      <c r="AJ76" s="62"/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89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62"/>
      <c r="P77" s="60"/>
      <c r="Q77" s="60"/>
      <c r="R77" s="60"/>
      <c r="S77" s="60"/>
      <c r="T77" s="61"/>
      <c r="U77" s="61"/>
      <c r="V77" s="61"/>
      <c r="W77" s="61"/>
      <c r="X77" s="62"/>
      <c r="Y77" s="62"/>
      <c r="Z77" s="66"/>
      <c r="AA77" s="89"/>
      <c r="AB77" s="60"/>
      <c r="AC77" s="60"/>
      <c r="AD77" s="60"/>
      <c r="AE77" s="60"/>
      <c r="AF77" s="61"/>
      <c r="AG77" s="61"/>
      <c r="AH77" s="61"/>
      <c r="AI77" s="61"/>
      <c r="AJ77" s="62"/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9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9"/>
      <c r="P78" s="60"/>
      <c r="Q78" s="60"/>
      <c r="R78" s="60"/>
      <c r="S78" s="60"/>
      <c r="T78" s="61"/>
      <c r="U78" s="61"/>
      <c r="V78" s="61"/>
      <c r="W78" s="61"/>
      <c r="X78" s="62"/>
      <c r="Y78" s="62"/>
      <c r="Z78" s="66"/>
      <c r="AA78" s="89"/>
      <c r="AB78" s="60"/>
      <c r="AC78" s="60"/>
      <c r="AD78" s="60"/>
      <c r="AE78" s="60"/>
      <c r="AF78" s="61"/>
      <c r="AG78" s="61"/>
      <c r="AH78" s="61"/>
      <c r="AI78" s="61"/>
      <c r="AJ78" s="62"/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89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9"/>
      <c r="P79" s="60"/>
      <c r="Q79" s="60"/>
      <c r="R79" s="60"/>
      <c r="S79" s="60"/>
      <c r="T79" s="61"/>
      <c r="U79" s="61"/>
      <c r="V79" s="61"/>
      <c r="W79" s="61"/>
      <c r="X79" s="62"/>
      <c r="Y79" s="62"/>
      <c r="Z79" s="66"/>
      <c r="AA79" s="89"/>
      <c r="AB79" s="60"/>
      <c r="AC79" s="60"/>
      <c r="AD79" s="60"/>
      <c r="AE79" s="60"/>
      <c r="AF79" s="61"/>
      <c r="AG79" s="61"/>
      <c r="AH79" s="61"/>
      <c r="AI79" s="61"/>
      <c r="AJ79" s="62"/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9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9"/>
      <c r="P80" s="60"/>
      <c r="Q80" s="60"/>
      <c r="R80" s="60"/>
      <c r="S80" s="60"/>
      <c r="T80" s="61"/>
      <c r="U80" s="61"/>
      <c r="V80" s="61"/>
      <c r="W80" s="61"/>
      <c r="X80" s="62"/>
      <c r="Y80" s="62"/>
      <c r="Z80" s="66"/>
      <c r="AA80" s="89"/>
      <c r="AB80" s="60"/>
      <c r="AC80" s="60"/>
      <c r="AD80" s="60"/>
      <c r="AE80" s="60"/>
      <c r="AF80" s="61"/>
      <c r="AG80" s="61"/>
      <c r="AH80" s="61"/>
      <c r="AI80" s="61"/>
      <c r="AJ80" s="62"/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9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9"/>
      <c r="P81" s="60"/>
      <c r="Q81" s="60"/>
      <c r="R81" s="60"/>
      <c r="S81" s="60"/>
      <c r="T81" s="61"/>
      <c r="U81" s="61"/>
      <c r="V81" s="61"/>
      <c r="W81" s="61"/>
      <c r="X81" s="62"/>
      <c r="Y81" s="62"/>
      <c r="Z81" s="66"/>
      <c r="AA81" s="89"/>
      <c r="AB81" s="60"/>
      <c r="AC81" s="60"/>
      <c r="AD81" s="60"/>
      <c r="AE81" s="60"/>
      <c r="AF81" s="61"/>
      <c r="AG81" s="61"/>
      <c r="AH81" s="61"/>
      <c r="AI81" s="61"/>
      <c r="AJ81" s="62"/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9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89"/>
      <c r="P82" s="60"/>
      <c r="Q82" s="60"/>
      <c r="R82" s="60"/>
      <c r="S82" s="60"/>
      <c r="T82" s="61"/>
      <c r="U82" s="61"/>
      <c r="V82" s="61"/>
      <c r="W82" s="61"/>
      <c r="X82" s="62"/>
      <c r="Y82" s="62"/>
      <c r="Z82" s="66"/>
      <c r="AA82" s="62"/>
      <c r="AB82" s="60"/>
      <c r="AC82" s="60"/>
      <c r="AD82" s="60"/>
      <c r="AE82" s="60"/>
      <c r="AF82" s="61"/>
      <c r="AG82" s="61"/>
      <c r="AH82" s="61"/>
      <c r="AI82" s="61"/>
      <c r="AJ82" s="62"/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9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9"/>
      <c r="P83" s="60"/>
      <c r="Q83" s="60"/>
      <c r="R83" s="60"/>
      <c r="S83" s="60"/>
      <c r="T83" s="61"/>
      <c r="U83" s="61"/>
      <c r="V83" s="61"/>
      <c r="W83" s="61"/>
      <c r="X83" s="62"/>
      <c r="Y83" s="62"/>
      <c r="Z83" s="66"/>
      <c r="AA83" s="89"/>
      <c r="AB83" s="60"/>
      <c r="AC83" s="60"/>
      <c r="AD83" s="60"/>
      <c r="AE83" s="60"/>
      <c r="AF83" s="61"/>
      <c r="AG83" s="61"/>
      <c r="AH83" s="61"/>
      <c r="AI83" s="61"/>
      <c r="AJ83" s="62"/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9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9"/>
      <c r="P84" s="60"/>
      <c r="Q84" s="60"/>
      <c r="R84" s="60"/>
      <c r="S84" s="60"/>
      <c r="T84" s="61"/>
      <c r="U84" s="61"/>
      <c r="V84" s="61"/>
      <c r="W84" s="61"/>
      <c r="X84" s="62"/>
      <c r="Y84" s="62"/>
      <c r="Z84" s="66"/>
      <c r="AA84" s="89"/>
      <c r="AB84" s="60"/>
      <c r="AC84" s="60"/>
      <c r="AD84" s="60"/>
      <c r="AE84" s="60"/>
      <c r="AF84" s="61"/>
      <c r="AG84" s="61"/>
      <c r="AH84" s="61"/>
      <c r="AI84" s="61"/>
      <c r="AJ84" s="62"/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9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9"/>
      <c r="P85" s="60"/>
      <c r="Q85" s="60"/>
      <c r="R85" s="60"/>
      <c r="S85" s="60"/>
      <c r="T85" s="61"/>
      <c r="U85" s="61"/>
      <c r="V85" s="61"/>
      <c r="W85" s="61"/>
      <c r="X85" s="62"/>
      <c r="Y85" s="62"/>
      <c r="Z85" s="66"/>
      <c r="AA85" s="89"/>
      <c r="AB85" s="60"/>
      <c r="AC85" s="60"/>
      <c r="AD85" s="60"/>
      <c r="AE85" s="60"/>
      <c r="AF85" s="61"/>
      <c r="AG85" s="61"/>
      <c r="AH85" s="61"/>
      <c r="AI85" s="61"/>
      <c r="AJ85" s="62"/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9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9"/>
      <c r="P86" s="60"/>
      <c r="Q86" s="60"/>
      <c r="R86" s="60"/>
      <c r="S86" s="60"/>
      <c r="T86" s="61"/>
      <c r="U86" s="61"/>
      <c r="V86" s="61"/>
      <c r="W86" s="61"/>
      <c r="X86" s="62"/>
      <c r="Y86" s="62"/>
      <c r="Z86" s="66"/>
      <c r="AA86" s="62"/>
      <c r="AB86" s="60"/>
      <c r="AC86" s="60"/>
      <c r="AD86" s="60"/>
      <c r="AE86" s="60"/>
      <c r="AF86" s="61"/>
      <c r="AG86" s="61"/>
      <c r="AH86" s="61"/>
      <c r="AI86" s="61"/>
      <c r="AJ86" s="62"/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9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9"/>
      <c r="P87" s="67"/>
      <c r="Q87" s="89"/>
      <c r="R87" s="89"/>
      <c r="S87" s="60"/>
      <c r="T87" s="62"/>
      <c r="U87" s="62"/>
      <c r="V87" s="62"/>
      <c r="W87" s="61"/>
      <c r="X87" s="62"/>
      <c r="Y87" s="62"/>
      <c r="Z87" s="66"/>
      <c r="AA87" s="89"/>
      <c r="AB87" s="67"/>
      <c r="AC87" s="89"/>
      <c r="AD87" s="89"/>
      <c r="AE87" s="60"/>
      <c r="AF87" s="62"/>
      <c r="AG87" s="62"/>
      <c r="AH87" s="62"/>
      <c r="AI87" s="61"/>
      <c r="AJ87" s="62"/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9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62"/>
      <c r="P88" s="68"/>
      <c r="Q88" s="89"/>
      <c r="R88" s="89"/>
      <c r="S88" s="60"/>
      <c r="T88" s="62"/>
      <c r="U88" s="62"/>
      <c r="V88" s="62"/>
      <c r="W88" s="61"/>
      <c r="X88" s="62"/>
      <c r="Y88" s="62"/>
      <c r="Z88" s="66"/>
      <c r="AA88" s="89"/>
      <c r="AB88" s="68"/>
      <c r="AC88" s="89"/>
      <c r="AD88" s="89"/>
      <c r="AE88" s="60"/>
      <c r="AF88" s="62"/>
      <c r="AG88" s="62"/>
      <c r="AH88" s="62"/>
      <c r="AI88" s="61"/>
      <c r="AJ88" s="62"/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9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9"/>
      <c r="P89" s="69"/>
      <c r="Q89" s="62"/>
      <c r="R89" s="62"/>
      <c r="S89" s="60"/>
      <c r="T89" s="62"/>
      <c r="U89" s="62"/>
      <c r="V89" s="62"/>
      <c r="W89" s="61"/>
      <c r="X89" s="62"/>
      <c r="Y89" s="62"/>
      <c r="Z89" s="66"/>
      <c r="AA89" s="89"/>
      <c r="AB89" s="69"/>
      <c r="AC89" s="62"/>
      <c r="AD89" s="62"/>
      <c r="AE89" s="60"/>
      <c r="AF89" s="62"/>
      <c r="AG89" s="62"/>
      <c r="AH89" s="62"/>
      <c r="AI89" s="61"/>
      <c r="AJ89" s="62"/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9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65"/>
      <c r="P90" s="69"/>
      <c r="Q90" s="89"/>
      <c r="R90" s="89"/>
      <c r="S90" s="60"/>
      <c r="T90" s="62"/>
      <c r="U90" s="62"/>
      <c r="V90" s="62"/>
      <c r="W90" s="61"/>
      <c r="X90" s="62"/>
      <c r="Y90" s="62"/>
      <c r="Z90" s="66"/>
      <c r="AA90" s="89"/>
      <c r="AB90" s="69"/>
      <c r="AC90" s="89"/>
      <c r="AD90" s="89"/>
      <c r="AE90" s="60"/>
      <c r="AF90" s="62"/>
      <c r="AG90" s="62"/>
      <c r="AH90" s="62"/>
      <c r="AI90" s="61"/>
      <c r="AJ90" s="62"/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9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9"/>
      <c r="P91" s="69"/>
      <c r="Q91" s="89"/>
      <c r="R91" s="89"/>
      <c r="S91" s="60"/>
      <c r="T91" s="62"/>
      <c r="U91" s="62"/>
      <c r="V91" s="62"/>
      <c r="W91" s="61"/>
      <c r="X91" s="62"/>
      <c r="Y91" s="62"/>
      <c r="Z91" s="66"/>
      <c r="AA91" s="65"/>
      <c r="AB91" s="69"/>
      <c r="AC91" s="89"/>
      <c r="AD91" s="89"/>
      <c r="AE91" s="60"/>
      <c r="AF91" s="62"/>
      <c r="AG91" s="62"/>
      <c r="AH91" s="62"/>
      <c r="AI91" s="61"/>
      <c r="AJ91" s="62"/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9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9"/>
      <c r="P92" s="69"/>
      <c r="Q92" s="89"/>
      <c r="R92" s="89"/>
      <c r="S92" s="60"/>
      <c r="T92" s="62"/>
      <c r="U92" s="62"/>
      <c r="V92" s="62"/>
      <c r="W92" s="61"/>
      <c r="X92" s="62"/>
      <c r="Y92" s="62"/>
      <c r="Z92" s="66"/>
      <c r="AA92" s="62"/>
      <c r="AB92" s="69"/>
      <c r="AC92" s="89"/>
      <c r="AD92" s="89"/>
      <c r="AE92" s="60"/>
      <c r="AF92" s="62"/>
      <c r="AG92" s="62"/>
      <c r="AH92" s="62"/>
      <c r="AI92" s="61"/>
      <c r="AJ92" s="62"/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9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9"/>
      <c r="P93" s="69"/>
      <c r="Q93" s="89"/>
      <c r="R93" s="89"/>
      <c r="S93" s="60"/>
      <c r="T93" s="62"/>
      <c r="U93" s="62"/>
      <c r="V93" s="62"/>
      <c r="W93" s="61"/>
      <c r="X93" s="62"/>
      <c r="Y93" s="62"/>
      <c r="Z93" s="66"/>
      <c r="AA93" s="89"/>
      <c r="AB93" s="69"/>
      <c r="AC93" s="89"/>
      <c r="AD93" s="89"/>
      <c r="AE93" s="60"/>
      <c r="AF93" s="62"/>
      <c r="AG93" s="62"/>
      <c r="AH93" s="62"/>
      <c r="AI93" s="61"/>
      <c r="AJ93" s="62"/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9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9"/>
      <c r="P94" s="69"/>
      <c r="Q94" s="89"/>
      <c r="R94" s="89"/>
      <c r="S94" s="60"/>
      <c r="T94" s="62"/>
      <c r="U94" s="62"/>
      <c r="V94" s="62"/>
      <c r="W94" s="61"/>
      <c r="X94" s="62"/>
      <c r="Y94" s="62"/>
      <c r="Z94" s="66"/>
      <c r="AA94" s="89"/>
      <c r="AB94" s="69"/>
      <c r="AC94" s="89"/>
      <c r="AD94" s="89"/>
      <c r="AE94" s="60"/>
      <c r="AF94" s="62"/>
      <c r="AG94" s="62"/>
      <c r="AH94" s="62"/>
      <c r="AI94" s="61"/>
      <c r="AJ94" s="62"/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9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62"/>
      <c r="P95" s="69"/>
      <c r="Q95" s="89"/>
      <c r="R95" s="89"/>
      <c r="S95" s="60"/>
      <c r="T95" s="62"/>
      <c r="U95" s="62"/>
      <c r="V95" s="62"/>
      <c r="W95" s="61"/>
      <c r="X95" s="62"/>
      <c r="Y95" s="62"/>
      <c r="Z95" s="66"/>
      <c r="AA95" s="89"/>
      <c r="AB95" s="69"/>
      <c r="AC95" s="89"/>
      <c r="AD95" s="89"/>
      <c r="AE95" s="60"/>
      <c r="AF95" s="62"/>
      <c r="AG95" s="62"/>
      <c r="AH95" s="62"/>
      <c r="AI95" s="61"/>
      <c r="AJ95" s="62"/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9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62"/>
      <c r="P96" s="69"/>
      <c r="Q96" s="89"/>
      <c r="R96" s="89"/>
      <c r="S96" s="60"/>
      <c r="T96" s="62"/>
      <c r="U96" s="62"/>
      <c r="V96" s="62"/>
      <c r="W96" s="61"/>
      <c r="X96" s="62"/>
      <c r="Y96" s="62"/>
      <c r="Z96" s="66"/>
      <c r="AA96" s="62"/>
      <c r="AB96" s="69"/>
      <c r="AC96" s="89"/>
      <c r="AD96" s="89"/>
      <c r="AE96" s="60"/>
      <c r="AF96" s="62"/>
      <c r="AG96" s="62"/>
      <c r="AH96" s="62"/>
      <c r="AI96" s="61"/>
      <c r="AJ96" s="62"/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9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9"/>
      <c r="P97" s="69"/>
      <c r="Q97" s="89"/>
      <c r="R97" s="89"/>
      <c r="S97" s="60"/>
      <c r="T97" s="62"/>
      <c r="U97" s="62"/>
      <c r="V97" s="62"/>
      <c r="W97" s="61"/>
      <c r="X97" s="62"/>
      <c r="Y97" s="62"/>
      <c r="Z97" s="66"/>
      <c r="AA97" s="62"/>
      <c r="AB97" s="69"/>
      <c r="AC97" s="89"/>
      <c r="AD97" s="89"/>
      <c r="AE97" s="60"/>
      <c r="AF97" s="62"/>
      <c r="AG97" s="62"/>
      <c r="AH97" s="62"/>
      <c r="AI97" s="61"/>
      <c r="AJ97" s="62"/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65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62"/>
      <c r="P98" s="69"/>
      <c r="Q98" s="89"/>
      <c r="R98" s="89"/>
      <c r="S98" s="60"/>
      <c r="T98" s="62"/>
      <c r="U98" s="62"/>
      <c r="V98" s="62"/>
      <c r="W98" s="61"/>
      <c r="X98" s="62"/>
      <c r="Y98" s="62"/>
      <c r="Z98" s="66"/>
      <c r="AA98" s="89"/>
      <c r="AB98" s="69"/>
      <c r="AC98" s="89"/>
      <c r="AD98" s="89"/>
      <c r="AE98" s="60"/>
      <c r="AF98" s="62"/>
      <c r="AG98" s="62"/>
      <c r="AH98" s="62"/>
      <c r="AI98" s="61"/>
      <c r="AJ98" s="62"/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9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9"/>
      <c r="P99" s="69"/>
      <c r="Q99" s="89"/>
      <c r="R99" s="89"/>
      <c r="S99" s="60"/>
      <c r="T99" s="62"/>
      <c r="U99" s="62"/>
      <c r="V99" s="62"/>
      <c r="W99" s="61"/>
      <c r="X99" s="62"/>
      <c r="Y99" s="62"/>
      <c r="Z99" s="66"/>
      <c r="AA99" s="89"/>
      <c r="AB99" s="69"/>
      <c r="AC99" s="89"/>
      <c r="AD99" s="89"/>
      <c r="AE99" s="60"/>
      <c r="AF99" s="62"/>
      <c r="AG99" s="62"/>
      <c r="AH99" s="62"/>
      <c r="AI99" s="61"/>
      <c r="AJ99" s="62"/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9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9"/>
      <c r="P100" s="69"/>
      <c r="Q100" s="89"/>
      <c r="R100" s="89"/>
      <c r="S100" s="60"/>
      <c r="T100" s="62"/>
      <c r="U100" s="62"/>
      <c r="V100" s="62"/>
      <c r="W100" s="61"/>
      <c r="X100" s="62"/>
      <c r="Y100" s="62"/>
      <c r="Z100" s="66"/>
      <c r="AA100" s="62"/>
      <c r="AB100" s="69"/>
      <c r="AC100" s="89"/>
      <c r="AD100" s="89"/>
      <c r="AE100" s="60"/>
      <c r="AF100" s="62"/>
      <c r="AG100" s="62"/>
      <c r="AH100" s="62"/>
      <c r="AI100" s="61"/>
      <c r="AJ100" s="62"/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9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9"/>
      <c r="P101" s="69"/>
      <c r="Q101" s="89"/>
      <c r="R101" s="89"/>
      <c r="S101" s="60"/>
      <c r="T101" s="62"/>
      <c r="U101" s="62"/>
      <c r="V101" s="62"/>
      <c r="W101" s="61"/>
      <c r="X101" s="62"/>
      <c r="Y101" s="62"/>
      <c r="Z101" s="66"/>
      <c r="AA101" s="89"/>
      <c r="AB101" s="69"/>
      <c r="AC101" s="89"/>
      <c r="AD101" s="89"/>
      <c r="AE101" s="60"/>
      <c r="AF101" s="62"/>
      <c r="AG101" s="62"/>
      <c r="AH101" s="62"/>
      <c r="AI101" s="61"/>
      <c r="AJ101" s="62"/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9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9"/>
      <c r="P102" s="69"/>
      <c r="Q102" s="89"/>
      <c r="R102" s="89"/>
      <c r="S102" s="60"/>
      <c r="T102" s="62"/>
      <c r="U102" s="62"/>
      <c r="V102" s="62"/>
      <c r="W102" s="61"/>
      <c r="X102" s="62"/>
      <c r="Y102" s="62"/>
      <c r="Z102" s="66"/>
      <c r="AA102" s="89"/>
      <c r="AB102" s="69"/>
      <c r="AC102" s="89"/>
      <c r="AD102" s="89"/>
      <c r="AE102" s="60"/>
      <c r="AF102" s="62"/>
      <c r="AG102" s="62"/>
      <c r="AH102" s="62"/>
      <c r="AI102" s="61"/>
      <c r="AJ102" s="62"/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9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9"/>
      <c r="R103" s="89"/>
      <c r="S103" s="60"/>
      <c r="T103" s="62"/>
      <c r="U103" s="62"/>
      <c r="V103" s="62"/>
      <c r="W103" s="61"/>
      <c r="X103" s="62"/>
      <c r="Y103" s="62"/>
      <c r="Z103" s="66"/>
      <c r="AA103" s="89"/>
      <c r="AB103" s="69"/>
      <c r="AC103" s="89"/>
      <c r="AD103" s="89"/>
      <c r="AE103" s="60"/>
      <c r="AF103" s="62"/>
      <c r="AG103" s="62"/>
      <c r="AH103" s="62"/>
      <c r="AI103" s="61"/>
      <c r="AJ103" s="62"/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9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9"/>
      <c r="P104" s="69"/>
      <c r="Q104" s="89"/>
      <c r="R104" s="89"/>
      <c r="S104" s="60"/>
      <c r="T104" s="62"/>
      <c r="U104" s="62"/>
      <c r="V104" s="62"/>
      <c r="W104" s="61"/>
      <c r="X104" s="62"/>
      <c r="Y104" s="62"/>
      <c r="Z104" s="66"/>
      <c r="AA104" s="89"/>
      <c r="AB104" s="69"/>
      <c r="AC104" s="89"/>
      <c r="AD104" s="89"/>
      <c r="AE104" s="60"/>
      <c r="AF104" s="62"/>
      <c r="AG104" s="62"/>
      <c r="AH104" s="62"/>
      <c r="AI104" s="61"/>
      <c r="AJ104" s="62"/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9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9"/>
      <c r="P105" s="69"/>
      <c r="Q105" s="89"/>
      <c r="R105" s="89"/>
      <c r="S105" s="60"/>
      <c r="T105" s="62"/>
      <c r="U105" s="62"/>
      <c r="V105" s="62"/>
      <c r="W105" s="61"/>
      <c r="X105" s="62"/>
      <c r="Y105" s="62"/>
      <c r="Z105" s="66"/>
      <c r="AA105" s="89"/>
      <c r="AB105" s="69"/>
      <c r="AC105" s="89"/>
      <c r="AD105" s="89"/>
      <c r="AE105" s="60"/>
      <c r="AF105" s="62"/>
      <c r="AG105" s="62"/>
      <c r="AH105" s="62"/>
      <c r="AI105" s="61"/>
      <c r="AJ105" s="62"/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9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9"/>
      <c r="R106" s="89"/>
      <c r="S106" s="60"/>
      <c r="T106" s="62"/>
      <c r="U106" s="62"/>
      <c r="V106" s="62"/>
      <c r="W106" s="61"/>
      <c r="X106" s="62"/>
      <c r="Y106" s="62"/>
      <c r="Z106" s="66"/>
      <c r="AA106" s="62"/>
      <c r="AB106" s="69"/>
      <c r="AC106" s="89"/>
      <c r="AD106" s="89"/>
      <c r="AE106" s="60"/>
      <c r="AF106" s="62"/>
      <c r="AG106" s="62"/>
      <c r="AH106" s="62"/>
      <c r="AI106" s="61"/>
      <c r="AJ106" s="62"/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9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9"/>
      <c r="P107" s="69"/>
      <c r="Q107" s="89"/>
      <c r="R107" s="89"/>
      <c r="S107" s="60"/>
      <c r="T107" s="62"/>
      <c r="U107" s="62"/>
      <c r="V107" s="62"/>
      <c r="W107" s="61"/>
      <c r="X107" s="62"/>
      <c r="Y107" s="62"/>
      <c r="Z107" s="66"/>
      <c r="AA107" s="89"/>
      <c r="AB107" s="69"/>
      <c r="AC107" s="89"/>
      <c r="AD107" s="89"/>
      <c r="AE107" s="60"/>
      <c r="AF107" s="62"/>
      <c r="AG107" s="62"/>
      <c r="AH107" s="62"/>
      <c r="AI107" s="61"/>
      <c r="AJ107" s="62"/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9"/>
      <c r="O108" s="89"/>
      <c r="P108" s="89"/>
      <c r="Q108" s="89"/>
      <c r="R108" s="89"/>
      <c r="S108" s="89"/>
      <c r="T108" s="62"/>
      <c r="U108" s="62"/>
      <c r="V108" s="62"/>
      <c r="W108" s="61"/>
      <c r="X108" s="62"/>
      <c r="Y108" s="62"/>
      <c r="Z108" s="89"/>
      <c r="AA108" s="89"/>
      <c r="AB108" s="89"/>
      <c r="AC108" s="89"/>
      <c r="AD108" s="89"/>
      <c r="AE108" s="89"/>
      <c r="AF108" s="62"/>
      <c r="AG108" s="62"/>
      <c r="AH108" s="62"/>
      <c r="AI108" s="61"/>
      <c r="AJ108" s="62"/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9"/>
      <c r="C109" s="89"/>
      <c r="D109" s="89"/>
      <c r="E109" s="89"/>
      <c r="F109" s="89"/>
      <c r="G109" s="89"/>
      <c r="H109" s="62"/>
      <c r="I109" s="62"/>
      <c r="J109" s="62"/>
      <c r="K109" s="62"/>
      <c r="L109" s="62"/>
      <c r="M109" s="62"/>
      <c r="N109" s="89"/>
      <c r="O109" s="89"/>
      <c r="P109" s="89"/>
      <c r="Q109" s="89"/>
      <c r="R109" s="89"/>
      <c r="S109" s="89"/>
      <c r="T109" s="62"/>
      <c r="U109" s="62"/>
      <c r="V109" s="62"/>
      <c r="W109" s="62"/>
      <c r="X109" s="62"/>
      <c r="Y109" s="62"/>
      <c r="Z109" s="89"/>
      <c r="AA109" s="89"/>
      <c r="AB109" s="89"/>
      <c r="AC109" s="89"/>
      <c r="AD109" s="89"/>
      <c r="AE109" s="89"/>
      <c r="AF109" s="62"/>
      <c r="AG109" s="62"/>
      <c r="AH109" s="62"/>
      <c r="AI109" s="62"/>
      <c r="AJ109" s="62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9"/>
      <c r="C110" s="89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9"/>
      <c r="O110" s="89"/>
      <c r="P110" s="70"/>
      <c r="Q110" s="70"/>
      <c r="R110" s="70"/>
      <c r="S110" s="70"/>
      <c r="T110" s="63"/>
      <c r="U110" s="71"/>
      <c r="V110" s="71"/>
      <c r="W110" s="71"/>
      <c r="X110" s="62"/>
      <c r="Y110" s="62"/>
      <c r="Z110" s="89"/>
      <c r="AA110" s="89"/>
      <c r="AB110" s="70"/>
      <c r="AC110" s="70"/>
      <c r="AD110" s="70"/>
      <c r="AE110" s="70"/>
      <c r="AF110" s="63"/>
      <c r="AG110" s="71"/>
      <c r="AH110" s="71"/>
      <c r="AI110" s="71"/>
      <c r="AJ110" s="62"/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s="62"/>
      <c r="B112" s="89"/>
      <c r="C112" s="89"/>
      <c r="D112" s="89"/>
      <c r="E112" s="89"/>
      <c r="F112" s="89"/>
      <c r="G112" s="89"/>
      <c r="H112" s="62"/>
      <c r="I112" s="62"/>
      <c r="J112" s="62"/>
      <c r="K112" s="62"/>
      <c r="L112" s="62"/>
      <c r="M112" s="62"/>
      <c r="N112" s="89"/>
      <c r="O112" s="89"/>
      <c r="P112" s="89"/>
      <c r="Q112" s="89"/>
      <c r="R112" s="89"/>
      <c r="S112" s="89"/>
      <c r="T112" s="62"/>
      <c r="U112" s="62"/>
      <c r="V112" s="62"/>
      <c r="W112" s="62"/>
      <c r="X112" s="62"/>
      <c r="Y112" s="62"/>
      <c r="Z112" s="89"/>
      <c r="AA112" s="89"/>
      <c r="AB112" s="89"/>
      <c r="AC112" s="89"/>
      <c r="AD112" s="89"/>
      <c r="AE112" s="89"/>
      <c r="AF112" s="62"/>
      <c r="AG112" s="62"/>
      <c r="AH112" s="62"/>
      <c r="AI112" s="62"/>
      <c r="AJ112" s="62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s="62"/>
      <c r="B113" s="89"/>
      <c r="C113" s="89"/>
      <c r="D113" s="89"/>
      <c r="E113" s="89"/>
      <c r="F113" s="89"/>
      <c r="G113" s="89"/>
      <c r="H113" s="62"/>
      <c r="I113" s="62"/>
      <c r="J113" s="62"/>
      <c r="K113" s="62"/>
      <c r="L113" s="62"/>
      <c r="M113" s="62"/>
      <c r="N113" s="89"/>
      <c r="O113" s="89"/>
      <c r="P113" s="89"/>
      <c r="Q113" s="89"/>
      <c r="R113" s="89"/>
      <c r="S113" s="89"/>
      <c r="T113" s="62"/>
      <c r="U113" s="62"/>
      <c r="V113" s="62"/>
      <c r="W113" s="62"/>
      <c r="X113" s="62"/>
      <c r="Y113" s="62"/>
      <c r="Z113" s="89"/>
      <c r="AA113" s="89"/>
      <c r="AB113" s="89"/>
      <c r="AC113" s="89"/>
      <c r="AD113" s="89"/>
      <c r="AE113" s="89"/>
      <c r="AF113" s="62"/>
      <c r="AG113" s="62"/>
      <c r="AH113" s="62"/>
      <c r="AI113" s="62"/>
      <c r="AJ113" s="62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A114" s="62"/>
      <c r="B114" s="89"/>
      <c r="C114" s="89"/>
      <c r="D114" s="89"/>
      <c r="E114" s="89"/>
      <c r="F114" s="89"/>
      <c r="G114" s="89"/>
      <c r="H114" s="62"/>
      <c r="I114" s="62"/>
      <c r="J114" s="62"/>
      <c r="K114" s="62"/>
      <c r="L114" s="62"/>
      <c r="M114" s="62"/>
      <c r="N114" s="89"/>
      <c r="O114" s="89"/>
      <c r="P114" s="89"/>
      <c r="Q114" s="89"/>
      <c r="R114" s="89"/>
      <c r="S114" s="89"/>
      <c r="T114" s="62"/>
      <c r="U114" s="62"/>
      <c r="V114" s="62"/>
      <c r="W114" s="62"/>
      <c r="X114" s="62"/>
      <c r="Y114" s="62"/>
      <c r="Z114" s="89"/>
      <c r="AA114" s="89"/>
      <c r="AB114" s="89"/>
      <c r="AC114" s="89"/>
      <c r="AD114" s="89"/>
      <c r="AE114" s="89"/>
      <c r="AF114" s="62"/>
      <c r="AG114" s="62"/>
      <c r="AH114" s="62"/>
      <c r="AI114" s="62"/>
      <c r="AJ114" s="62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63"/>
      <c r="B115" s="89"/>
      <c r="C115" s="89"/>
      <c r="D115" s="89"/>
      <c r="E115" s="89"/>
      <c r="F115" s="89"/>
      <c r="G115" s="89"/>
      <c r="H115" s="62"/>
      <c r="I115" s="62"/>
      <c r="J115" s="62"/>
      <c r="K115" s="62"/>
      <c r="L115" s="62"/>
      <c r="M115" s="63"/>
      <c r="N115" s="89"/>
      <c r="O115" s="89"/>
      <c r="P115" s="89"/>
      <c r="Q115" s="89"/>
      <c r="R115" s="89"/>
      <c r="S115" s="89"/>
      <c r="T115" s="62"/>
      <c r="U115" s="62"/>
      <c r="V115" s="62"/>
      <c r="W115" s="62"/>
      <c r="X115" s="62"/>
      <c r="Y115" s="63"/>
      <c r="Z115" s="89"/>
      <c r="AA115" s="89"/>
      <c r="AB115" s="89"/>
      <c r="AC115" s="89"/>
      <c r="AD115" s="89"/>
      <c r="AE115" s="89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A116" s="62"/>
      <c r="B116" s="89"/>
      <c r="C116" s="89"/>
      <c r="D116" s="89"/>
      <c r="E116" s="89"/>
      <c r="F116" s="89"/>
      <c r="G116" s="89"/>
      <c r="H116" s="62"/>
      <c r="I116" s="62"/>
      <c r="J116" s="62"/>
      <c r="K116" s="62"/>
      <c r="L116" s="62"/>
      <c r="M116" s="62"/>
      <c r="N116" s="89"/>
      <c r="O116" s="89"/>
      <c r="P116" s="89"/>
      <c r="Q116" s="89"/>
      <c r="R116" s="89"/>
      <c r="S116" s="89"/>
      <c r="T116" s="62"/>
      <c r="U116" s="62"/>
      <c r="V116" s="62"/>
      <c r="W116" s="62"/>
      <c r="X116" s="62"/>
      <c r="Y116" s="62"/>
      <c r="Z116" s="89"/>
      <c r="AA116" s="89"/>
      <c r="AB116" s="89"/>
      <c r="AC116" s="89"/>
      <c r="AD116" s="89"/>
      <c r="AE116" s="89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s="62"/>
      <c r="B117" s="89"/>
      <c r="C117" s="89"/>
      <c r="D117" s="89"/>
      <c r="E117" s="89"/>
      <c r="F117" s="89"/>
      <c r="G117" s="89"/>
      <c r="H117" s="62"/>
      <c r="I117" s="89"/>
      <c r="J117" s="74"/>
      <c r="K117" s="62"/>
      <c r="L117" s="62"/>
      <c r="M117" s="62"/>
      <c r="N117" s="89"/>
      <c r="O117" s="89"/>
      <c r="P117" s="89"/>
      <c r="Q117" s="89"/>
      <c r="R117" s="89"/>
      <c r="S117" s="89"/>
      <c r="T117" s="62"/>
      <c r="U117" s="89"/>
      <c r="V117" s="74"/>
      <c r="W117" s="62"/>
      <c r="X117" s="62"/>
      <c r="Y117" s="62"/>
      <c r="Z117" s="89"/>
      <c r="AA117" s="89"/>
      <c r="AB117" s="89"/>
      <c r="AC117" s="89"/>
      <c r="AD117" s="89"/>
      <c r="AE117" s="89"/>
      <c r="AF117" s="62"/>
      <c r="AG117" s="89"/>
      <c r="AH117" s="89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64"/>
      <c r="B118" s="89"/>
      <c r="C118" s="89"/>
      <c r="D118" s="89"/>
      <c r="E118" s="89"/>
      <c r="F118" s="89"/>
      <c r="G118" s="89"/>
      <c r="H118" s="62"/>
      <c r="I118" s="65"/>
      <c r="J118" s="65"/>
      <c r="K118" s="62"/>
      <c r="L118" s="62"/>
      <c r="M118" s="64"/>
      <c r="N118" s="89"/>
      <c r="O118" s="89"/>
      <c r="P118" s="89"/>
      <c r="Q118" s="89"/>
      <c r="R118" s="89"/>
      <c r="S118" s="89"/>
      <c r="T118" s="62"/>
      <c r="U118" s="65"/>
      <c r="V118" s="65"/>
      <c r="W118" s="62"/>
      <c r="X118" s="62"/>
      <c r="Y118" s="64"/>
      <c r="Z118" s="89"/>
      <c r="AA118" s="89"/>
      <c r="AB118" s="89"/>
      <c r="AC118" s="89"/>
      <c r="AD118" s="89"/>
      <c r="AE118" s="89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A119" s="62"/>
      <c r="B119" s="89"/>
      <c r="C119" s="89"/>
      <c r="D119" s="89"/>
      <c r="E119" s="89"/>
      <c r="F119" s="89"/>
      <c r="G119" s="89"/>
      <c r="H119" s="62"/>
      <c r="I119" s="62"/>
      <c r="J119" s="62"/>
      <c r="K119" s="62"/>
      <c r="L119" s="62"/>
      <c r="M119" s="62"/>
      <c r="N119" s="89"/>
      <c r="O119" s="89"/>
      <c r="P119" s="89"/>
      <c r="Q119" s="89"/>
      <c r="R119" s="89"/>
      <c r="S119" s="89"/>
      <c r="T119" s="62"/>
      <c r="U119" s="62"/>
      <c r="V119" s="62"/>
      <c r="W119" s="62"/>
      <c r="X119" s="62"/>
      <c r="Y119" s="62"/>
      <c r="Z119" s="89"/>
      <c r="AA119" s="89"/>
      <c r="AB119" s="89"/>
      <c r="AC119" s="89"/>
      <c r="AD119" s="89"/>
      <c r="AE119" s="89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A120" s="62"/>
      <c r="B120" s="65"/>
      <c r="C120" s="89"/>
      <c r="D120" s="98"/>
      <c r="E120" s="98"/>
      <c r="F120" s="89"/>
      <c r="G120" s="89"/>
      <c r="H120" s="62"/>
      <c r="I120" s="98"/>
      <c r="J120" s="98"/>
      <c r="K120" s="97"/>
      <c r="L120" s="62"/>
      <c r="M120" s="62"/>
      <c r="N120" s="65"/>
      <c r="O120" s="89"/>
      <c r="P120" s="98"/>
      <c r="Q120" s="98"/>
      <c r="R120" s="89"/>
      <c r="S120" s="89"/>
      <c r="T120" s="62"/>
      <c r="U120" s="98"/>
      <c r="V120" s="98"/>
      <c r="W120" s="97"/>
      <c r="X120" s="62"/>
      <c r="Y120" s="62"/>
      <c r="Z120" s="65"/>
      <c r="AA120" s="89"/>
      <c r="AB120" s="98"/>
      <c r="AC120" s="98"/>
      <c r="AD120" s="89"/>
      <c r="AE120" s="89"/>
      <c r="AF120" s="62"/>
      <c r="AG120" s="98"/>
      <c r="AH120" s="98"/>
      <c r="AI120" s="97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x14ac:dyDescent="0.25">
      <c r="A121" s="62"/>
      <c r="B121" s="89"/>
      <c r="C121" s="89"/>
      <c r="D121" s="81"/>
      <c r="E121" s="82"/>
      <c r="F121" s="83"/>
      <c r="G121" s="83"/>
      <c r="H121" s="62"/>
      <c r="I121" s="88"/>
      <c r="J121" s="88"/>
      <c r="K121" s="97"/>
      <c r="L121" s="62"/>
      <c r="M121" s="62"/>
      <c r="N121" s="89"/>
      <c r="O121" s="89"/>
      <c r="P121" s="81"/>
      <c r="Q121" s="83"/>
      <c r="R121" s="83"/>
      <c r="S121" s="83"/>
      <c r="T121" s="62"/>
      <c r="U121" s="88"/>
      <c r="V121" s="88"/>
      <c r="W121" s="97"/>
      <c r="X121" s="62"/>
      <c r="Y121" s="62"/>
      <c r="Z121" s="89"/>
      <c r="AA121" s="89"/>
      <c r="AB121" s="81"/>
      <c r="AC121" s="83"/>
      <c r="AD121" s="83"/>
      <c r="AE121" s="83"/>
      <c r="AF121" s="62"/>
      <c r="AG121" s="88"/>
      <c r="AH121" s="88"/>
      <c r="AI121" s="97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62"/>
      <c r="B122" s="66"/>
      <c r="C122" s="89"/>
      <c r="D122" s="60"/>
      <c r="E122" s="60"/>
      <c r="F122" s="60"/>
      <c r="G122" s="60"/>
      <c r="H122" s="61"/>
      <c r="I122" s="61"/>
      <c r="J122" s="61"/>
      <c r="K122" s="61"/>
      <c r="L122" s="62"/>
      <c r="M122" s="62"/>
      <c r="N122" s="66"/>
      <c r="O122" s="89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89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62"/>
      <c r="B123" s="66"/>
      <c r="C123" s="89"/>
      <c r="D123" s="60"/>
      <c r="E123" s="60"/>
      <c r="F123" s="60"/>
      <c r="G123" s="60"/>
      <c r="H123" s="61"/>
      <c r="I123" s="61"/>
      <c r="J123" s="61"/>
      <c r="K123" s="61"/>
      <c r="L123" s="62"/>
      <c r="M123" s="62"/>
      <c r="N123" s="66"/>
      <c r="O123" s="89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89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62"/>
      <c r="B124" s="66"/>
      <c r="C124" s="89"/>
      <c r="D124" s="60"/>
      <c r="E124" s="60"/>
      <c r="F124" s="60"/>
      <c r="G124" s="60"/>
      <c r="H124" s="61"/>
      <c r="I124" s="61"/>
      <c r="J124" s="61"/>
      <c r="K124" s="61"/>
      <c r="L124" s="62"/>
      <c r="M124" s="62"/>
      <c r="N124" s="66"/>
      <c r="O124" s="89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65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62"/>
      <c r="B125" s="66"/>
      <c r="C125" s="89"/>
      <c r="D125" s="60"/>
      <c r="E125" s="60"/>
      <c r="F125" s="60"/>
      <c r="G125" s="60"/>
      <c r="H125" s="61"/>
      <c r="I125" s="61"/>
      <c r="J125" s="61"/>
      <c r="K125" s="61"/>
      <c r="L125" s="62"/>
      <c r="M125" s="62"/>
      <c r="N125" s="66"/>
      <c r="O125" s="89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89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62"/>
      <c r="B126" s="66"/>
      <c r="C126" s="89"/>
      <c r="D126" s="60"/>
      <c r="E126" s="60"/>
      <c r="F126" s="60"/>
      <c r="G126" s="60"/>
      <c r="H126" s="61"/>
      <c r="I126" s="61"/>
      <c r="J126" s="61"/>
      <c r="K126" s="61"/>
      <c r="L126" s="62"/>
      <c r="M126" s="62"/>
      <c r="N126" s="66"/>
      <c r="O126" s="89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89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62"/>
      <c r="B127" s="66"/>
      <c r="C127" s="89"/>
      <c r="D127" s="60"/>
      <c r="E127" s="60"/>
      <c r="F127" s="60"/>
      <c r="G127" s="60"/>
      <c r="H127" s="61"/>
      <c r="I127" s="61"/>
      <c r="J127" s="61"/>
      <c r="K127" s="61"/>
      <c r="L127" s="62"/>
      <c r="M127" s="62"/>
      <c r="N127" s="66"/>
      <c r="O127" s="89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62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62"/>
      <c r="B128" s="66"/>
      <c r="C128" s="89"/>
      <c r="D128" s="60"/>
      <c r="E128" s="60"/>
      <c r="F128" s="60"/>
      <c r="G128" s="60"/>
      <c r="H128" s="61"/>
      <c r="I128" s="61"/>
      <c r="J128" s="61"/>
      <c r="K128" s="61"/>
      <c r="L128" s="62"/>
      <c r="M128" s="62"/>
      <c r="N128" s="66"/>
      <c r="O128" s="89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89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62"/>
      <c r="B129" s="66"/>
      <c r="C129" s="65"/>
      <c r="D129" s="60"/>
      <c r="E129" s="60"/>
      <c r="F129" s="60"/>
      <c r="G129" s="60"/>
      <c r="H129" s="61"/>
      <c r="I129" s="61"/>
      <c r="J129" s="61"/>
      <c r="K129" s="61"/>
      <c r="L129" s="62"/>
      <c r="M129" s="62"/>
      <c r="N129" s="66"/>
      <c r="O129" s="89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89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62"/>
      <c r="B130" s="66"/>
      <c r="C130" s="89"/>
      <c r="D130" s="60"/>
      <c r="E130" s="60"/>
      <c r="F130" s="60"/>
      <c r="G130" s="60"/>
      <c r="H130" s="61"/>
      <c r="I130" s="61"/>
      <c r="J130" s="61"/>
      <c r="K130" s="61"/>
      <c r="L130" s="62"/>
      <c r="M130" s="62"/>
      <c r="N130" s="66"/>
      <c r="O130" s="89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89"/>
      <c r="AB130" s="62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62"/>
      <c r="B131" s="66"/>
      <c r="C131" s="89"/>
      <c r="D131" s="60"/>
      <c r="E131" s="60"/>
      <c r="F131" s="60"/>
      <c r="G131" s="60"/>
      <c r="H131" s="61"/>
      <c r="I131" s="61"/>
      <c r="J131" s="61"/>
      <c r="K131" s="61"/>
      <c r="L131" s="62"/>
      <c r="M131" s="62"/>
      <c r="N131" s="66"/>
      <c r="O131" s="89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89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62"/>
      <c r="B132" s="66"/>
      <c r="C132" s="89"/>
      <c r="D132" s="90"/>
      <c r="E132" s="60"/>
      <c r="F132" s="60"/>
      <c r="G132" s="60"/>
      <c r="H132" s="61"/>
      <c r="I132" s="61"/>
      <c r="J132" s="61"/>
      <c r="K132" s="61"/>
      <c r="L132" s="62"/>
      <c r="M132" s="62"/>
      <c r="N132" s="66"/>
      <c r="O132" s="89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89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62"/>
      <c r="B133" s="66"/>
      <c r="C133" s="89"/>
      <c r="D133" s="60"/>
      <c r="E133" s="60"/>
      <c r="F133" s="60"/>
      <c r="G133" s="60"/>
      <c r="H133" s="61"/>
      <c r="I133" s="61"/>
      <c r="J133" s="62"/>
      <c r="K133" s="61"/>
      <c r="L133" s="62"/>
      <c r="M133" s="62"/>
      <c r="N133" s="66"/>
      <c r="O133" s="89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89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62"/>
      <c r="B134" s="66"/>
      <c r="C134" s="89"/>
      <c r="D134" s="60"/>
      <c r="E134" s="60"/>
      <c r="F134" s="60"/>
      <c r="G134" s="60"/>
      <c r="H134" s="61"/>
      <c r="I134" s="61"/>
      <c r="J134" s="61"/>
      <c r="K134" s="61"/>
      <c r="L134" s="62"/>
      <c r="M134" s="62"/>
      <c r="N134" s="66"/>
      <c r="O134" s="89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89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62"/>
      <c r="B135" s="66"/>
      <c r="C135" s="89"/>
      <c r="D135" s="60"/>
      <c r="E135" s="60"/>
      <c r="F135" s="60"/>
      <c r="G135" s="60"/>
      <c r="H135" s="61"/>
      <c r="I135" s="61"/>
      <c r="J135" s="61"/>
      <c r="K135" s="61"/>
      <c r="L135" s="62"/>
      <c r="M135" s="62"/>
      <c r="N135" s="66"/>
      <c r="O135" s="65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89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62"/>
      <c r="B136" s="66"/>
      <c r="C136" s="89"/>
      <c r="D136" s="60"/>
      <c r="E136" s="60"/>
      <c r="F136" s="60"/>
      <c r="G136" s="60"/>
      <c r="H136" s="61"/>
      <c r="I136" s="61"/>
      <c r="J136" s="61"/>
      <c r="K136" s="61"/>
      <c r="L136" s="62"/>
      <c r="M136" s="62"/>
      <c r="N136" s="66"/>
      <c r="O136" s="89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89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62"/>
      <c r="B137" s="66"/>
      <c r="C137" s="89"/>
      <c r="D137" s="60"/>
      <c r="E137" s="60"/>
      <c r="F137" s="60"/>
      <c r="G137" s="60"/>
      <c r="H137" s="61"/>
      <c r="I137" s="61"/>
      <c r="J137" s="61"/>
      <c r="K137" s="61"/>
      <c r="L137" s="62"/>
      <c r="M137" s="62"/>
      <c r="N137" s="66"/>
      <c r="O137" s="89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2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62"/>
      <c r="B138" s="66"/>
      <c r="C138" s="89"/>
      <c r="D138" s="60"/>
      <c r="E138" s="60"/>
      <c r="F138" s="60"/>
      <c r="G138" s="60"/>
      <c r="H138" s="61"/>
      <c r="I138" s="61"/>
      <c r="J138" s="61"/>
      <c r="K138" s="61"/>
      <c r="L138" s="62"/>
      <c r="M138" s="62"/>
      <c r="N138" s="66"/>
      <c r="O138" s="89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89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62"/>
      <c r="B139" s="66"/>
      <c r="C139" s="89"/>
      <c r="D139" s="60"/>
      <c r="E139" s="60"/>
      <c r="F139" s="60"/>
      <c r="G139" s="60"/>
      <c r="H139" s="61"/>
      <c r="I139" s="61"/>
      <c r="J139" s="61"/>
      <c r="K139" s="61"/>
      <c r="L139" s="62"/>
      <c r="M139" s="62"/>
      <c r="N139" s="66"/>
      <c r="O139" s="89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89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62"/>
      <c r="B140" s="66"/>
      <c r="C140" s="89"/>
      <c r="D140" s="60"/>
      <c r="E140" s="60"/>
      <c r="F140" s="60"/>
      <c r="G140" s="60"/>
      <c r="H140" s="61"/>
      <c r="I140" s="61"/>
      <c r="J140" s="61"/>
      <c r="K140" s="61"/>
      <c r="L140" s="62"/>
      <c r="M140" s="62"/>
      <c r="N140" s="66"/>
      <c r="O140" s="62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89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62"/>
      <c r="B141" s="66"/>
      <c r="C141" s="89"/>
      <c r="D141" s="60"/>
      <c r="E141" s="60"/>
      <c r="F141" s="60"/>
      <c r="G141" s="60"/>
      <c r="H141" s="61"/>
      <c r="I141" s="61"/>
      <c r="J141" s="61"/>
      <c r="K141" s="61"/>
      <c r="L141" s="62"/>
      <c r="M141" s="62"/>
      <c r="N141" s="66"/>
      <c r="O141" s="89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62"/>
      <c r="B142" s="66"/>
      <c r="C142" s="89"/>
      <c r="D142" s="60"/>
      <c r="E142" s="60"/>
      <c r="F142" s="60"/>
      <c r="G142" s="60"/>
      <c r="H142" s="62"/>
      <c r="I142" s="62"/>
      <c r="J142" s="62"/>
      <c r="K142" s="61"/>
      <c r="L142" s="62"/>
      <c r="M142" s="62"/>
      <c r="N142" s="66"/>
      <c r="O142" s="62"/>
      <c r="P142" s="67"/>
      <c r="Q142" s="89"/>
      <c r="R142" s="89"/>
      <c r="S142" s="60"/>
      <c r="T142" s="62"/>
      <c r="U142" s="62"/>
      <c r="V142" s="62"/>
      <c r="W142" s="61"/>
      <c r="X142" s="62"/>
      <c r="Y142" s="62"/>
      <c r="Z142" s="66"/>
      <c r="AA142" s="89"/>
      <c r="AB142" s="67"/>
      <c r="AC142" s="89"/>
      <c r="AD142" s="89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62"/>
      <c r="B143" s="66"/>
      <c r="C143" s="89"/>
      <c r="D143" s="60"/>
      <c r="E143" s="60"/>
      <c r="F143" s="60"/>
      <c r="G143" s="60"/>
      <c r="H143" s="62"/>
      <c r="I143" s="62"/>
      <c r="J143" s="62"/>
      <c r="K143" s="61"/>
      <c r="L143" s="62"/>
      <c r="M143" s="62"/>
      <c r="N143" s="66"/>
      <c r="O143" s="62"/>
      <c r="P143" s="68"/>
      <c r="Q143" s="89"/>
      <c r="R143" s="89"/>
      <c r="S143" s="60"/>
      <c r="T143" s="62"/>
      <c r="U143" s="62"/>
      <c r="V143" s="62"/>
      <c r="W143" s="61"/>
      <c r="X143" s="62"/>
      <c r="Y143" s="62"/>
      <c r="Z143" s="66"/>
      <c r="AA143" s="89"/>
      <c r="AB143" s="68"/>
      <c r="AC143" s="89"/>
      <c r="AD143" s="89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62"/>
      <c r="B144" s="66"/>
      <c r="C144" s="89"/>
      <c r="D144" s="60"/>
      <c r="E144" s="60"/>
      <c r="F144" s="60"/>
      <c r="G144" s="60"/>
      <c r="H144" s="62"/>
      <c r="I144" s="62"/>
      <c r="J144" s="61"/>
      <c r="K144" s="61"/>
      <c r="L144" s="62"/>
      <c r="M144" s="62"/>
      <c r="N144" s="66"/>
      <c r="O144" s="89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89"/>
      <c r="AB144" s="69"/>
      <c r="AC144" s="89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62"/>
      <c r="B145" s="66"/>
      <c r="C145" s="89"/>
      <c r="D145" s="60"/>
      <c r="E145" s="60"/>
      <c r="F145" s="60"/>
      <c r="G145" s="60"/>
      <c r="H145" s="62"/>
      <c r="I145" s="62"/>
      <c r="J145" s="62"/>
      <c r="K145" s="61"/>
      <c r="L145" s="62"/>
      <c r="M145" s="62"/>
      <c r="N145" s="66"/>
      <c r="O145" s="65"/>
      <c r="P145" s="69"/>
      <c r="Q145" s="89"/>
      <c r="R145" s="89"/>
      <c r="S145" s="60"/>
      <c r="T145" s="62"/>
      <c r="U145" s="62"/>
      <c r="V145" s="62"/>
      <c r="W145" s="61"/>
      <c r="X145" s="62"/>
      <c r="Y145" s="62"/>
      <c r="Z145" s="66"/>
      <c r="AA145" s="89"/>
      <c r="AB145" s="69"/>
      <c r="AC145" s="89"/>
      <c r="AD145" s="89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62"/>
      <c r="B146" s="66"/>
      <c r="C146" s="89"/>
      <c r="D146" s="60"/>
      <c r="E146" s="60"/>
      <c r="F146" s="60"/>
      <c r="G146" s="60"/>
      <c r="H146" s="62"/>
      <c r="I146" s="62"/>
      <c r="J146" s="62"/>
      <c r="K146" s="61"/>
      <c r="L146" s="62"/>
      <c r="M146" s="62"/>
      <c r="N146" s="66"/>
      <c r="O146" s="89"/>
      <c r="P146" s="69"/>
      <c r="Q146" s="89"/>
      <c r="R146" s="89"/>
      <c r="S146" s="60"/>
      <c r="T146" s="62"/>
      <c r="U146" s="62"/>
      <c r="V146" s="62"/>
      <c r="W146" s="61"/>
      <c r="X146" s="62"/>
      <c r="Y146" s="62"/>
      <c r="Z146" s="66"/>
      <c r="AA146" s="65"/>
      <c r="AB146" s="69"/>
      <c r="AC146" s="89"/>
      <c r="AD146" s="89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62"/>
      <c r="B147" s="66"/>
      <c r="C147" s="65"/>
      <c r="D147" s="60"/>
      <c r="E147" s="60"/>
      <c r="F147" s="60"/>
      <c r="G147" s="60"/>
      <c r="H147" s="62"/>
      <c r="I147" s="62"/>
      <c r="J147" s="62"/>
      <c r="K147" s="61"/>
      <c r="L147" s="62"/>
      <c r="M147" s="62"/>
      <c r="N147" s="66"/>
      <c r="O147" s="89"/>
      <c r="P147" s="69"/>
      <c r="Q147" s="89"/>
      <c r="R147" s="89"/>
      <c r="S147" s="60"/>
      <c r="T147" s="62"/>
      <c r="U147" s="62"/>
      <c r="V147" s="62"/>
      <c r="W147" s="61"/>
      <c r="X147" s="62"/>
      <c r="Y147" s="62"/>
      <c r="Z147" s="66"/>
      <c r="AA147" s="62"/>
      <c r="AB147" s="69"/>
      <c r="AC147" s="89"/>
      <c r="AD147" s="89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62"/>
      <c r="B148" s="66"/>
      <c r="C148" s="89"/>
      <c r="D148" s="60"/>
      <c r="E148" s="60"/>
      <c r="F148" s="60"/>
      <c r="G148" s="60"/>
      <c r="H148" s="62"/>
      <c r="I148" s="62"/>
      <c r="J148" s="62"/>
      <c r="K148" s="61"/>
      <c r="L148" s="62"/>
      <c r="M148" s="62"/>
      <c r="N148" s="66"/>
      <c r="O148" s="89"/>
      <c r="P148" s="69"/>
      <c r="Q148" s="89"/>
      <c r="R148" s="89"/>
      <c r="S148" s="60"/>
      <c r="T148" s="62"/>
      <c r="U148" s="62"/>
      <c r="V148" s="62"/>
      <c r="W148" s="61"/>
      <c r="X148" s="62"/>
      <c r="Y148" s="62"/>
      <c r="Z148" s="66"/>
      <c r="AA148" s="89"/>
      <c r="AB148" s="69"/>
      <c r="AC148" s="89"/>
      <c r="AD148" s="89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62"/>
      <c r="B149" s="66"/>
      <c r="C149" s="89"/>
      <c r="D149" s="60"/>
      <c r="E149" s="60"/>
      <c r="F149" s="60"/>
      <c r="G149" s="60"/>
      <c r="H149" s="62"/>
      <c r="I149" s="62"/>
      <c r="J149" s="62"/>
      <c r="K149" s="61"/>
      <c r="L149" s="62"/>
      <c r="M149" s="62"/>
      <c r="N149" s="66"/>
      <c r="O149" s="89"/>
      <c r="P149" s="69"/>
      <c r="Q149" s="89"/>
      <c r="R149" s="89"/>
      <c r="S149" s="60"/>
      <c r="T149" s="62"/>
      <c r="U149" s="62"/>
      <c r="V149" s="62"/>
      <c r="W149" s="61"/>
      <c r="X149" s="62"/>
      <c r="Y149" s="62"/>
      <c r="Z149" s="66"/>
      <c r="AA149" s="89"/>
      <c r="AB149" s="69"/>
      <c r="AC149" s="89"/>
      <c r="AD149" s="89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62"/>
      <c r="B150" s="66"/>
      <c r="C150" s="89"/>
      <c r="D150" s="60"/>
      <c r="E150" s="60"/>
      <c r="F150" s="60"/>
      <c r="G150" s="60"/>
      <c r="H150" s="62"/>
      <c r="I150" s="62"/>
      <c r="J150" s="62"/>
      <c r="K150" s="61"/>
      <c r="L150" s="62"/>
      <c r="M150" s="62"/>
      <c r="N150" s="66"/>
      <c r="O150" s="62"/>
      <c r="P150" s="69"/>
      <c r="Q150" s="89"/>
      <c r="R150" s="89"/>
      <c r="S150" s="60"/>
      <c r="T150" s="62"/>
      <c r="U150" s="62"/>
      <c r="V150" s="62"/>
      <c r="W150" s="61"/>
      <c r="X150" s="62"/>
      <c r="Y150" s="62"/>
      <c r="Z150" s="66"/>
      <c r="AA150" s="89"/>
      <c r="AB150" s="69"/>
      <c r="AC150" s="89"/>
      <c r="AD150" s="89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62"/>
      <c r="B151" s="66"/>
      <c r="C151" s="89"/>
      <c r="D151" s="60"/>
      <c r="E151" s="60"/>
      <c r="F151" s="60"/>
      <c r="G151" s="60"/>
      <c r="H151" s="62"/>
      <c r="I151" s="62"/>
      <c r="J151" s="62"/>
      <c r="K151" s="61"/>
      <c r="L151" s="62"/>
      <c r="M151" s="62"/>
      <c r="N151" s="66"/>
      <c r="O151" s="62"/>
      <c r="P151" s="69"/>
      <c r="Q151" s="89"/>
      <c r="R151" s="89"/>
      <c r="S151" s="60"/>
      <c r="T151" s="62"/>
      <c r="U151" s="62"/>
      <c r="V151" s="62"/>
      <c r="W151" s="61"/>
      <c r="X151" s="62"/>
      <c r="Y151" s="62"/>
      <c r="Z151" s="66"/>
      <c r="AA151" s="89"/>
      <c r="AB151" s="69"/>
      <c r="AC151" s="89"/>
      <c r="AD151" s="89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62"/>
      <c r="B152" s="66"/>
      <c r="C152" s="89"/>
      <c r="D152" s="60"/>
      <c r="E152" s="60"/>
      <c r="F152" s="60"/>
      <c r="G152" s="60"/>
      <c r="H152" s="62"/>
      <c r="I152" s="62"/>
      <c r="J152" s="62"/>
      <c r="K152" s="61"/>
      <c r="L152" s="62"/>
      <c r="M152" s="62"/>
      <c r="N152" s="66"/>
      <c r="O152" s="89"/>
      <c r="P152" s="69"/>
      <c r="Q152" s="89"/>
      <c r="R152" s="89"/>
      <c r="S152" s="60"/>
      <c r="T152" s="62"/>
      <c r="U152" s="62"/>
      <c r="V152" s="62"/>
      <c r="W152" s="61"/>
      <c r="X152" s="62"/>
      <c r="Y152" s="62"/>
      <c r="Z152" s="66"/>
      <c r="AA152" s="89"/>
      <c r="AB152" s="69"/>
      <c r="AC152" s="89"/>
      <c r="AD152" s="89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62"/>
      <c r="B153" s="66"/>
      <c r="C153" s="89"/>
      <c r="D153" s="60"/>
      <c r="E153" s="60"/>
      <c r="F153" s="60"/>
      <c r="G153" s="60"/>
      <c r="H153" s="62"/>
      <c r="I153" s="62"/>
      <c r="J153" s="62"/>
      <c r="K153" s="61"/>
      <c r="L153" s="62"/>
      <c r="M153" s="62"/>
      <c r="N153" s="66"/>
      <c r="O153" s="62"/>
      <c r="P153" s="69"/>
      <c r="Q153" s="89"/>
      <c r="R153" s="89"/>
      <c r="S153" s="60"/>
      <c r="T153" s="62"/>
      <c r="U153" s="62"/>
      <c r="V153" s="62"/>
      <c r="W153" s="61"/>
      <c r="X153" s="62"/>
      <c r="Y153" s="62"/>
      <c r="Z153" s="66"/>
      <c r="AA153" s="89"/>
      <c r="AB153" s="69"/>
      <c r="AC153" s="89"/>
      <c r="AD153" s="89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62"/>
      <c r="B154" s="66"/>
      <c r="C154" s="89"/>
      <c r="D154" s="60"/>
      <c r="E154" s="60"/>
      <c r="F154" s="60"/>
      <c r="G154" s="60"/>
      <c r="H154" s="62"/>
      <c r="I154" s="62"/>
      <c r="J154" s="62"/>
      <c r="K154" s="61"/>
      <c r="L154" s="62"/>
      <c r="M154" s="62"/>
      <c r="N154" s="66"/>
      <c r="O154" s="89"/>
      <c r="P154" s="69"/>
      <c r="Q154" s="89"/>
      <c r="R154" s="89"/>
      <c r="S154" s="60"/>
      <c r="T154" s="62"/>
      <c r="U154" s="62"/>
      <c r="V154" s="62"/>
      <c r="W154" s="61"/>
      <c r="X154" s="62"/>
      <c r="Y154" s="62"/>
      <c r="Z154" s="66"/>
      <c r="AA154" s="89"/>
      <c r="AB154" s="69"/>
      <c r="AC154" s="89"/>
      <c r="AD154" s="89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62"/>
      <c r="B155" s="66"/>
      <c r="C155" s="89"/>
      <c r="D155" s="60"/>
      <c r="E155" s="60"/>
      <c r="F155" s="60"/>
      <c r="G155" s="60"/>
      <c r="H155" s="62"/>
      <c r="I155" s="62"/>
      <c r="J155" s="62"/>
      <c r="K155" s="61"/>
      <c r="L155" s="62"/>
      <c r="M155" s="62"/>
      <c r="N155" s="66"/>
      <c r="O155" s="89"/>
      <c r="P155" s="69"/>
      <c r="Q155" s="89"/>
      <c r="R155" s="89"/>
      <c r="S155" s="60"/>
      <c r="T155" s="62"/>
      <c r="U155" s="62"/>
      <c r="V155" s="62"/>
      <c r="W155" s="61"/>
      <c r="X155" s="62"/>
      <c r="Y155" s="62"/>
      <c r="Z155" s="66"/>
      <c r="AA155" s="89"/>
      <c r="AB155" s="69"/>
      <c r="AC155" s="89"/>
      <c r="AD155" s="89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62"/>
      <c r="B156" s="66"/>
      <c r="C156" s="89"/>
      <c r="D156" s="60"/>
      <c r="E156" s="60"/>
      <c r="F156" s="60"/>
      <c r="G156" s="60"/>
      <c r="H156" s="62"/>
      <c r="I156" s="62"/>
      <c r="J156" s="62"/>
      <c r="K156" s="61"/>
      <c r="L156" s="62"/>
      <c r="M156" s="62"/>
      <c r="N156" s="66"/>
      <c r="O156" s="89"/>
      <c r="P156" s="69"/>
      <c r="Q156" s="89"/>
      <c r="R156" s="89"/>
      <c r="S156" s="60"/>
      <c r="T156" s="62"/>
      <c r="U156" s="62"/>
      <c r="V156" s="62"/>
      <c r="W156" s="61"/>
      <c r="X156" s="62"/>
      <c r="Y156" s="62"/>
      <c r="Z156" s="66"/>
      <c r="AA156" s="89"/>
      <c r="AB156" s="69"/>
      <c r="AC156" s="89"/>
      <c r="AD156" s="89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62"/>
      <c r="B157" s="66"/>
      <c r="C157" s="89"/>
      <c r="D157" s="60"/>
      <c r="E157" s="60"/>
      <c r="F157" s="60"/>
      <c r="G157" s="60"/>
      <c r="H157" s="62"/>
      <c r="I157" s="62"/>
      <c r="J157" s="62"/>
      <c r="K157" s="61"/>
      <c r="L157" s="62"/>
      <c r="M157" s="62"/>
      <c r="N157" s="66"/>
      <c r="O157" s="89"/>
      <c r="P157" s="69"/>
      <c r="Q157" s="89"/>
      <c r="R157" s="89"/>
      <c r="S157" s="60"/>
      <c r="T157" s="62"/>
      <c r="U157" s="62"/>
      <c r="V157" s="62"/>
      <c r="W157" s="61"/>
      <c r="X157" s="62"/>
      <c r="Y157" s="62"/>
      <c r="Z157" s="66"/>
      <c r="AA157" s="89"/>
      <c r="AB157" s="69"/>
      <c r="AC157" s="89"/>
      <c r="AD157" s="89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62"/>
      <c r="B158" s="66"/>
      <c r="C158" s="89"/>
      <c r="D158" s="60"/>
      <c r="E158" s="60"/>
      <c r="F158" s="60"/>
      <c r="G158" s="60"/>
      <c r="H158" s="62"/>
      <c r="I158" s="62"/>
      <c r="J158" s="62"/>
      <c r="K158" s="61"/>
      <c r="L158" s="62"/>
      <c r="M158" s="62"/>
      <c r="N158" s="66"/>
      <c r="O158" s="62"/>
      <c r="P158" s="69"/>
      <c r="Q158" s="89"/>
      <c r="R158" s="89"/>
      <c r="S158" s="60"/>
      <c r="T158" s="62"/>
      <c r="U158" s="62"/>
      <c r="V158" s="62"/>
      <c r="W158" s="61"/>
      <c r="X158" s="62"/>
      <c r="Y158" s="62"/>
      <c r="Z158" s="66"/>
      <c r="AA158" s="89"/>
      <c r="AB158" s="69"/>
      <c r="AC158" s="89"/>
      <c r="AD158" s="89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62"/>
      <c r="B159" s="66"/>
      <c r="C159" s="89"/>
      <c r="D159" s="60"/>
      <c r="E159" s="60"/>
      <c r="F159" s="60"/>
      <c r="G159" s="60"/>
      <c r="H159" s="62"/>
      <c r="I159" s="62"/>
      <c r="J159" s="62"/>
      <c r="K159" s="61"/>
      <c r="L159" s="62"/>
      <c r="M159" s="62"/>
      <c r="N159" s="66"/>
      <c r="O159" s="89"/>
      <c r="P159" s="69"/>
      <c r="Q159" s="89"/>
      <c r="R159" s="89"/>
      <c r="S159" s="60"/>
      <c r="T159" s="62"/>
      <c r="U159" s="62"/>
      <c r="V159" s="62"/>
      <c r="W159" s="61"/>
      <c r="X159" s="62"/>
      <c r="Y159" s="62"/>
      <c r="Z159" s="66"/>
      <c r="AA159" s="89"/>
      <c r="AB159" s="69"/>
      <c r="AC159" s="89"/>
      <c r="AD159" s="89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62"/>
      <c r="B160" s="66"/>
      <c r="C160" s="89"/>
      <c r="D160" s="60"/>
      <c r="E160" s="60"/>
      <c r="F160" s="60"/>
      <c r="G160" s="60"/>
      <c r="H160" s="62"/>
      <c r="I160" s="62"/>
      <c r="J160" s="62"/>
      <c r="K160" s="61"/>
      <c r="L160" s="62"/>
      <c r="M160" s="62"/>
      <c r="N160" s="66"/>
      <c r="O160" s="89"/>
      <c r="P160" s="69"/>
      <c r="Q160" s="89"/>
      <c r="R160" s="89"/>
      <c r="S160" s="60"/>
      <c r="T160" s="62"/>
      <c r="U160" s="62"/>
      <c r="V160" s="62"/>
      <c r="W160" s="61"/>
      <c r="X160" s="62"/>
      <c r="Y160" s="62"/>
      <c r="Z160" s="66"/>
      <c r="AA160" s="89"/>
      <c r="AB160" s="69"/>
      <c r="AC160" s="89"/>
      <c r="AD160" s="89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62"/>
      <c r="B161" s="66"/>
      <c r="C161" s="89"/>
      <c r="D161" s="60"/>
      <c r="E161" s="60"/>
      <c r="F161" s="60"/>
      <c r="G161" s="60"/>
      <c r="H161" s="62"/>
      <c r="I161" s="62"/>
      <c r="J161" s="62"/>
      <c r="K161" s="61"/>
      <c r="L161" s="62"/>
      <c r="M161" s="62"/>
      <c r="N161" s="66"/>
      <c r="O161" s="62"/>
      <c r="P161" s="69"/>
      <c r="Q161" s="89"/>
      <c r="R161" s="89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89"/>
      <c r="AD161" s="89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62"/>
      <c r="B162" s="66"/>
      <c r="C162" s="89"/>
      <c r="D162" s="60"/>
      <c r="E162" s="60"/>
      <c r="F162" s="60"/>
      <c r="G162" s="60"/>
      <c r="H162" s="62"/>
      <c r="I162" s="62"/>
      <c r="J162" s="62"/>
      <c r="K162" s="61"/>
      <c r="L162" s="62"/>
      <c r="M162" s="62"/>
      <c r="N162" s="66"/>
      <c r="O162" s="89"/>
      <c r="P162" s="69"/>
      <c r="Q162" s="89"/>
      <c r="R162" s="89"/>
      <c r="S162" s="60"/>
      <c r="T162" s="62"/>
      <c r="U162" s="62"/>
      <c r="V162" s="62"/>
      <c r="W162" s="61"/>
      <c r="X162" s="62"/>
      <c r="Y162" s="62"/>
      <c r="Z162" s="66"/>
      <c r="AA162" s="89"/>
      <c r="AB162" s="69"/>
      <c r="AC162" s="89"/>
      <c r="AD162" s="89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62"/>
      <c r="B163" s="66"/>
      <c r="C163" s="66"/>
      <c r="D163" s="60"/>
      <c r="E163" s="60"/>
      <c r="F163" s="60"/>
      <c r="G163" s="60"/>
      <c r="H163" s="62"/>
      <c r="I163" s="62"/>
      <c r="J163" s="62"/>
      <c r="K163" s="61"/>
      <c r="L163" s="62"/>
      <c r="M163" s="62"/>
      <c r="N163" s="89"/>
      <c r="O163" s="89"/>
      <c r="P163" s="89"/>
      <c r="Q163" s="89"/>
      <c r="R163" s="89"/>
      <c r="S163" s="89"/>
      <c r="T163" s="62"/>
      <c r="U163" s="62"/>
      <c r="V163" s="62"/>
      <c r="W163" s="61"/>
      <c r="X163" s="62"/>
      <c r="Y163" s="62"/>
      <c r="Z163" s="89"/>
      <c r="AA163" s="89"/>
      <c r="AB163" s="89"/>
      <c r="AC163" s="89"/>
      <c r="AD163" s="89"/>
      <c r="AE163" s="89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A164" s="62"/>
      <c r="B164" s="89"/>
      <c r="C164" s="89"/>
      <c r="D164" s="89"/>
      <c r="E164" s="89"/>
      <c r="F164" s="89"/>
      <c r="G164" s="89"/>
      <c r="H164" s="62"/>
      <c r="I164" s="62"/>
      <c r="J164" s="62"/>
      <c r="K164" s="62"/>
      <c r="L164" s="62"/>
      <c r="M164" s="62"/>
      <c r="N164" s="89"/>
      <c r="O164" s="89"/>
      <c r="P164" s="89"/>
      <c r="Q164" s="89"/>
      <c r="R164" s="89"/>
      <c r="S164" s="89"/>
      <c r="T164" s="62"/>
      <c r="U164" s="62"/>
      <c r="V164" s="62"/>
      <c r="W164" s="62"/>
      <c r="X164" s="62"/>
      <c r="Y164" s="62"/>
      <c r="Z164" s="89"/>
      <c r="AA164" s="89"/>
      <c r="AB164" s="89"/>
      <c r="AC164" s="89"/>
      <c r="AD164" s="89"/>
      <c r="AE164" s="89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A165" s="62"/>
      <c r="B165" s="89"/>
      <c r="C165" s="89"/>
      <c r="D165" s="70"/>
      <c r="E165" s="70"/>
      <c r="F165" s="70"/>
      <c r="G165" s="70"/>
      <c r="H165" s="63"/>
      <c r="I165" s="70"/>
      <c r="J165" s="70"/>
      <c r="K165" s="70"/>
      <c r="L165" s="62"/>
      <c r="M165" s="62"/>
      <c r="N165" s="89"/>
      <c r="O165" s="89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89"/>
      <c r="AA165" s="89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89"/>
      <c r="C167" s="89"/>
      <c r="D167" s="89"/>
      <c r="E167" s="89"/>
      <c r="F167" s="89"/>
      <c r="G167" s="89"/>
      <c r="H167" s="62"/>
      <c r="I167" s="62"/>
      <c r="J167" s="62"/>
      <c r="K167" s="62"/>
      <c r="L167" s="62"/>
      <c r="M167" s="62"/>
      <c r="N167" s="89"/>
      <c r="O167" s="89"/>
      <c r="P167" s="89"/>
      <c r="Q167" s="89"/>
      <c r="R167" s="89"/>
      <c r="S167" s="89"/>
      <c r="T167" s="62"/>
      <c r="U167" s="62"/>
      <c r="V167" s="62"/>
      <c r="W167" s="62"/>
      <c r="X167" s="62"/>
      <c r="Y167" s="62"/>
      <c r="Z167" s="89"/>
      <c r="AA167" s="89"/>
      <c r="AB167" s="89"/>
      <c r="AC167" s="89"/>
      <c r="AD167" s="89"/>
      <c r="AE167" s="89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89"/>
      <c r="C168" s="89"/>
      <c r="D168" s="89"/>
      <c r="E168" s="89"/>
      <c r="F168" s="89"/>
      <c r="G168" s="89"/>
      <c r="H168" s="62"/>
      <c r="I168" s="62"/>
      <c r="J168" s="62"/>
      <c r="K168" s="62"/>
      <c r="L168" s="62"/>
      <c r="M168" s="62"/>
      <c r="N168" s="89"/>
      <c r="O168" s="89"/>
      <c r="P168" s="89"/>
      <c r="Q168" s="89"/>
      <c r="R168" s="89"/>
      <c r="S168" s="89"/>
      <c r="T168" s="62"/>
      <c r="U168" s="62"/>
      <c r="V168" s="62"/>
      <c r="W168" s="62"/>
      <c r="X168" s="62"/>
      <c r="Y168" s="62"/>
      <c r="Z168" s="89"/>
      <c r="AA168" s="89"/>
      <c r="AB168" s="89"/>
      <c r="AC168" s="89"/>
      <c r="AD168" s="89"/>
      <c r="AE168" s="89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89"/>
      <c r="C169" s="89"/>
      <c r="D169" s="89"/>
      <c r="E169" s="89"/>
      <c r="F169" s="89"/>
      <c r="G169" s="89"/>
      <c r="H169" s="62"/>
      <c r="I169" s="62"/>
      <c r="J169" s="62"/>
      <c r="K169" s="62"/>
      <c r="L169" s="62"/>
      <c r="M169" s="62"/>
      <c r="N169" s="89"/>
      <c r="O169" s="89"/>
      <c r="P169" s="89"/>
      <c r="Q169" s="89"/>
      <c r="R169" s="89"/>
      <c r="S169" s="89"/>
      <c r="T169" s="62"/>
      <c r="U169" s="62"/>
      <c r="V169" s="62"/>
      <c r="W169" s="62"/>
      <c r="X169" s="62"/>
      <c r="Y169" s="62"/>
      <c r="Z169" s="89"/>
      <c r="AA169" s="89"/>
      <c r="AB169" s="89"/>
      <c r="AC169" s="89"/>
      <c r="AD169" s="89"/>
      <c r="AE169" s="89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89"/>
      <c r="C170" s="89"/>
      <c r="D170" s="89"/>
      <c r="E170" s="89"/>
      <c r="F170" s="89"/>
      <c r="G170" s="89"/>
      <c r="H170" s="62"/>
      <c r="I170" s="62"/>
      <c r="J170" s="62"/>
      <c r="K170" s="62"/>
      <c r="L170" s="62"/>
      <c r="M170" s="63"/>
      <c r="N170" s="89"/>
      <c r="O170" s="89"/>
      <c r="P170" s="89"/>
      <c r="Q170" s="89"/>
      <c r="R170" s="89"/>
      <c r="S170" s="89"/>
      <c r="T170" s="62"/>
      <c r="U170" s="62"/>
      <c r="V170" s="62"/>
      <c r="W170" s="62"/>
      <c r="X170" s="62"/>
      <c r="Y170" s="63"/>
      <c r="Z170" s="89"/>
      <c r="AA170" s="89"/>
      <c r="AB170" s="89"/>
      <c r="AC170" s="89"/>
      <c r="AD170" s="89"/>
      <c r="AE170" s="89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89"/>
      <c r="C171" s="89"/>
      <c r="D171" s="89"/>
      <c r="E171" s="89"/>
      <c r="F171" s="89"/>
      <c r="G171" s="89"/>
      <c r="H171" s="62"/>
      <c r="I171" s="62"/>
      <c r="J171" s="62"/>
      <c r="K171" s="62"/>
      <c r="L171" s="62"/>
      <c r="M171" s="62"/>
      <c r="N171" s="89"/>
      <c r="O171" s="89"/>
      <c r="P171" s="89"/>
      <c r="Q171" s="89"/>
      <c r="R171" s="89"/>
      <c r="S171" s="89"/>
      <c r="T171" s="62"/>
      <c r="U171" s="62"/>
      <c r="V171" s="62"/>
      <c r="W171" s="62"/>
      <c r="X171" s="62"/>
      <c r="Y171" s="62"/>
      <c r="Z171" s="89"/>
      <c r="AA171" s="89"/>
      <c r="AB171" s="89"/>
      <c r="AC171" s="89"/>
      <c r="AD171" s="89"/>
      <c r="AE171" s="89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89"/>
      <c r="C172" s="89"/>
      <c r="D172" s="89"/>
      <c r="E172" s="89"/>
      <c r="F172" s="89"/>
      <c r="G172" s="89"/>
      <c r="H172" s="62"/>
      <c r="I172" s="89"/>
      <c r="J172" s="74"/>
      <c r="K172" s="62"/>
      <c r="L172" s="62"/>
      <c r="M172" s="62"/>
      <c r="N172" s="89"/>
      <c r="O172" s="89"/>
      <c r="P172" s="89"/>
      <c r="Q172" s="89"/>
      <c r="R172" s="89"/>
      <c r="S172" s="89"/>
      <c r="T172" s="62"/>
      <c r="U172" s="89"/>
      <c r="V172" s="74"/>
      <c r="W172" s="62"/>
      <c r="X172" s="62"/>
      <c r="Y172" s="62"/>
      <c r="Z172" s="89"/>
      <c r="AA172" s="89"/>
      <c r="AB172" s="89"/>
      <c r="AC172" s="89"/>
      <c r="AD172" s="89"/>
      <c r="AE172" s="89"/>
      <c r="AF172" s="62"/>
      <c r="AG172" s="89"/>
      <c r="AH172" s="89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89"/>
      <c r="C173" s="89"/>
      <c r="D173" s="89"/>
      <c r="E173" s="89"/>
      <c r="F173" s="89"/>
      <c r="G173" s="89"/>
      <c r="H173" s="62"/>
      <c r="I173" s="65"/>
      <c r="J173" s="65"/>
      <c r="K173" s="62"/>
      <c r="L173" s="62"/>
      <c r="M173" s="64"/>
      <c r="N173" s="89"/>
      <c r="O173" s="89"/>
      <c r="P173" s="89"/>
      <c r="Q173" s="89"/>
      <c r="R173" s="89"/>
      <c r="S173" s="89"/>
      <c r="T173" s="62"/>
      <c r="U173" s="65"/>
      <c r="V173" s="65"/>
      <c r="W173" s="62"/>
      <c r="X173" s="62"/>
      <c r="Y173" s="64"/>
      <c r="Z173" s="89"/>
      <c r="AA173" s="89"/>
      <c r="AB173" s="89"/>
      <c r="AC173" s="89"/>
      <c r="AD173" s="89"/>
      <c r="AE173" s="89"/>
      <c r="AF173" s="62"/>
      <c r="AG173" s="65"/>
      <c r="AH173" s="65"/>
      <c r="AI173" s="62"/>
      <c r="AJ173" s="62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89"/>
      <c r="C174" s="89"/>
      <c r="D174" s="89"/>
      <c r="E174" s="89"/>
      <c r="F174" s="89"/>
      <c r="G174" s="89"/>
      <c r="H174" s="62"/>
      <c r="I174" s="62"/>
      <c r="J174" s="62"/>
      <c r="K174" s="62"/>
      <c r="L174" s="62"/>
      <c r="M174" s="62"/>
      <c r="N174" s="89"/>
      <c r="O174" s="89"/>
      <c r="P174" s="89"/>
      <c r="Q174" s="89"/>
      <c r="R174" s="89"/>
      <c r="S174" s="89"/>
      <c r="T174" s="62"/>
      <c r="U174" s="62"/>
      <c r="V174" s="62"/>
      <c r="W174" s="62"/>
      <c r="X174" s="62"/>
      <c r="Y174" s="62"/>
      <c r="Z174" s="89"/>
      <c r="AA174" s="89"/>
      <c r="AB174" s="89"/>
      <c r="AC174" s="89"/>
      <c r="AD174" s="89"/>
      <c r="AE174" s="89"/>
      <c r="AF174" s="62"/>
      <c r="AG174" s="62"/>
      <c r="AH174" s="62"/>
      <c r="AI174" s="62"/>
      <c r="AJ174" s="62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89"/>
      <c r="D175" s="98"/>
      <c r="E175" s="98"/>
      <c r="F175" s="89"/>
      <c r="G175" s="89"/>
      <c r="H175" s="62"/>
      <c r="I175" s="98"/>
      <c r="J175" s="98"/>
      <c r="K175" s="97"/>
      <c r="L175" s="62"/>
      <c r="M175" s="62"/>
      <c r="N175" s="65"/>
      <c r="O175" s="89"/>
      <c r="P175" s="98"/>
      <c r="Q175" s="98"/>
      <c r="R175" s="89"/>
      <c r="S175" s="89"/>
      <c r="T175" s="62"/>
      <c r="U175" s="98"/>
      <c r="V175" s="98"/>
      <c r="W175" s="97"/>
      <c r="X175" s="62"/>
      <c r="Y175" s="62"/>
      <c r="Z175" s="65"/>
      <c r="AA175" s="89"/>
      <c r="AB175" s="98"/>
      <c r="AC175" s="98"/>
      <c r="AD175" s="89"/>
      <c r="AE175" s="89"/>
      <c r="AF175" s="62"/>
      <c r="AG175" s="98"/>
      <c r="AH175" s="98"/>
      <c r="AI175" s="97"/>
      <c r="AJ175" s="62"/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89"/>
      <c r="C176" s="89"/>
      <c r="D176" s="81"/>
      <c r="E176" s="82"/>
      <c r="F176" s="83"/>
      <c r="G176" s="83"/>
      <c r="H176" s="62"/>
      <c r="I176" s="88"/>
      <c r="J176" s="88"/>
      <c r="K176" s="97"/>
      <c r="L176" s="62"/>
      <c r="M176" s="62"/>
      <c r="N176" s="89"/>
      <c r="O176" s="89"/>
      <c r="P176" s="81"/>
      <c r="Q176" s="83"/>
      <c r="R176" s="83"/>
      <c r="S176" s="83"/>
      <c r="T176" s="62"/>
      <c r="U176" s="88"/>
      <c r="V176" s="88"/>
      <c r="W176" s="97"/>
      <c r="X176" s="62"/>
      <c r="Y176" s="62"/>
      <c r="Z176" s="89"/>
      <c r="AA176" s="89"/>
      <c r="AB176" s="81"/>
      <c r="AC176" s="83"/>
      <c r="AD176" s="83"/>
      <c r="AE176" s="83"/>
      <c r="AF176" s="62"/>
      <c r="AG176" s="88"/>
      <c r="AH176" s="88"/>
      <c r="AI176" s="97"/>
      <c r="AJ176" s="62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89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89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89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89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89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89"/>
      <c r="AB178" s="60"/>
      <c r="AC178" s="60"/>
      <c r="AD178" s="60"/>
      <c r="AE178" s="60"/>
      <c r="AF178" s="61"/>
      <c r="AG178" s="61"/>
      <c r="AH178" s="61"/>
      <c r="AI178" s="61"/>
      <c r="AJ178" s="62"/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89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89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89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89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89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89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89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89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89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7"/>
      <c r="AN181" s="98"/>
      <c r="AO181" s="98"/>
      <c r="AP181" s="87"/>
      <c r="AQ181" s="62"/>
      <c r="AR181" s="98"/>
      <c r="AS181" s="98"/>
      <c r="AT181" s="97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89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89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89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7"/>
      <c r="AM182" s="87"/>
      <c r="AN182" s="87"/>
      <c r="AO182" s="86"/>
      <c r="AP182" s="86"/>
      <c r="AQ182" s="62"/>
      <c r="AR182" s="85"/>
      <c r="AS182" s="85"/>
      <c r="AT182" s="97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89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89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65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89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89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89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89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89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89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89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89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89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89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89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62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89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89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89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89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89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89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89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89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89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89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89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89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89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89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89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65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89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65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89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89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89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89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89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89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89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89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89"/>
      <c r="P197" s="67"/>
      <c r="Q197" s="89"/>
      <c r="R197" s="89"/>
      <c r="S197" s="60"/>
      <c r="T197" s="62"/>
      <c r="U197" s="62"/>
      <c r="V197" s="62"/>
      <c r="W197" s="61"/>
      <c r="X197" s="62"/>
      <c r="Y197" s="62"/>
      <c r="Z197" s="66"/>
      <c r="AA197" s="89"/>
      <c r="AB197" s="67"/>
      <c r="AC197" s="89"/>
      <c r="AD197" s="89"/>
      <c r="AE197" s="60"/>
      <c r="AF197" s="62"/>
      <c r="AG197" s="62"/>
      <c r="AH197" s="62"/>
      <c r="AI197" s="61"/>
      <c r="AJ197" s="62"/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89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89"/>
      <c r="P198" s="68"/>
      <c r="Q198" s="89"/>
      <c r="R198" s="89"/>
      <c r="S198" s="60"/>
      <c r="T198" s="62"/>
      <c r="U198" s="62"/>
      <c r="V198" s="62"/>
      <c r="W198" s="61"/>
      <c r="X198" s="62"/>
      <c r="Y198" s="62"/>
      <c r="Z198" s="66"/>
      <c r="AA198" s="89"/>
      <c r="AB198" s="68"/>
      <c r="AC198" s="89"/>
      <c r="AD198" s="89"/>
      <c r="AE198" s="60"/>
      <c r="AF198" s="62"/>
      <c r="AG198" s="62"/>
      <c r="AH198" s="62"/>
      <c r="AI198" s="61"/>
      <c r="AJ198" s="62"/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89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89"/>
      <c r="P199" s="69"/>
      <c r="Q199" s="89"/>
      <c r="R199" s="62"/>
      <c r="S199" s="60"/>
      <c r="T199" s="62"/>
      <c r="U199" s="62"/>
      <c r="V199" s="62"/>
      <c r="W199" s="61"/>
      <c r="X199" s="62"/>
      <c r="Y199" s="62"/>
      <c r="Z199" s="66"/>
      <c r="AA199" s="89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89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89"/>
      <c r="P200" s="69"/>
      <c r="Q200" s="89"/>
      <c r="R200" s="89"/>
      <c r="S200" s="60"/>
      <c r="T200" s="62"/>
      <c r="U200" s="62"/>
      <c r="V200" s="62"/>
      <c r="W200" s="61"/>
      <c r="X200" s="62"/>
      <c r="Y200" s="62"/>
      <c r="Z200" s="66"/>
      <c r="AA200" s="89"/>
      <c r="AB200" s="69"/>
      <c r="AC200" s="89"/>
      <c r="AD200" s="89"/>
      <c r="AE200" s="60"/>
      <c r="AF200" s="62"/>
      <c r="AG200" s="62"/>
      <c r="AH200" s="62"/>
      <c r="AI200" s="61"/>
      <c r="AJ200" s="62"/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89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89"/>
      <c r="P201" s="69"/>
      <c r="Q201" s="89"/>
      <c r="R201" s="89"/>
      <c r="S201" s="60"/>
      <c r="T201" s="62"/>
      <c r="U201" s="62"/>
      <c r="V201" s="62"/>
      <c r="W201" s="61"/>
      <c r="X201" s="62"/>
      <c r="Y201" s="62"/>
      <c r="Z201" s="66"/>
      <c r="AA201" s="65"/>
      <c r="AB201" s="69"/>
      <c r="AC201" s="89"/>
      <c r="AD201" s="89"/>
      <c r="AE201" s="60"/>
      <c r="AF201" s="62"/>
      <c r="AG201" s="62"/>
      <c r="AH201" s="62"/>
      <c r="AI201" s="61"/>
      <c r="AJ201" s="62"/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65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89"/>
      <c r="P202" s="69"/>
      <c r="Q202" s="89"/>
      <c r="R202" s="89"/>
      <c r="S202" s="60"/>
      <c r="T202" s="62"/>
      <c r="U202" s="62"/>
      <c r="V202" s="62"/>
      <c r="W202" s="61"/>
      <c r="X202" s="62"/>
      <c r="Y202" s="62"/>
      <c r="Z202" s="66"/>
      <c r="AA202" s="62"/>
      <c r="AB202" s="69"/>
      <c r="AC202" s="89"/>
      <c r="AD202" s="89"/>
      <c r="AE202" s="60"/>
      <c r="AF202" s="62"/>
      <c r="AG202" s="62"/>
      <c r="AH202" s="62"/>
      <c r="AI202" s="61"/>
      <c r="AJ202" s="62"/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89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89"/>
      <c r="P203" s="69"/>
      <c r="Q203" s="89"/>
      <c r="R203" s="89"/>
      <c r="S203" s="60"/>
      <c r="T203" s="62"/>
      <c r="U203" s="62"/>
      <c r="V203" s="62"/>
      <c r="W203" s="61"/>
      <c r="X203" s="62"/>
      <c r="Y203" s="62"/>
      <c r="Z203" s="66"/>
      <c r="AA203" s="89"/>
      <c r="AB203" s="69"/>
      <c r="AC203" s="89"/>
      <c r="AD203" s="89"/>
      <c r="AE203" s="60"/>
      <c r="AF203" s="62"/>
      <c r="AG203" s="62"/>
      <c r="AH203" s="62"/>
      <c r="AI203" s="61"/>
      <c r="AJ203" s="62"/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89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89"/>
      <c r="P204" s="69"/>
      <c r="Q204" s="89"/>
      <c r="R204" s="89"/>
      <c r="S204" s="60"/>
      <c r="T204" s="62"/>
      <c r="U204" s="62"/>
      <c r="V204" s="62"/>
      <c r="W204" s="61"/>
      <c r="X204" s="62"/>
      <c r="Y204" s="62"/>
      <c r="Z204" s="66"/>
      <c r="AA204" s="89"/>
      <c r="AB204" s="69"/>
      <c r="AC204" s="89"/>
      <c r="AD204" s="89"/>
      <c r="AE204" s="60"/>
      <c r="AF204" s="62"/>
      <c r="AG204" s="62"/>
      <c r="AH204" s="62"/>
      <c r="AI204" s="61"/>
      <c r="AJ204" s="62"/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89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89"/>
      <c r="P205" s="69"/>
      <c r="Q205" s="89"/>
      <c r="R205" s="89"/>
      <c r="S205" s="60"/>
      <c r="T205" s="62"/>
      <c r="U205" s="62"/>
      <c r="V205" s="62"/>
      <c r="W205" s="61"/>
      <c r="X205" s="62"/>
      <c r="Y205" s="62"/>
      <c r="Z205" s="66"/>
      <c r="AA205" s="89"/>
      <c r="AB205" s="69"/>
      <c r="AC205" s="89"/>
      <c r="AD205" s="89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89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89"/>
      <c r="P206" s="69"/>
      <c r="Q206" s="89"/>
      <c r="R206" s="89"/>
      <c r="S206" s="60"/>
      <c r="T206" s="62"/>
      <c r="U206" s="62"/>
      <c r="V206" s="62"/>
      <c r="W206" s="61"/>
      <c r="X206" s="62"/>
      <c r="Y206" s="62"/>
      <c r="Z206" s="66"/>
      <c r="AA206" s="62"/>
      <c r="AB206" s="69"/>
      <c r="AC206" s="89"/>
      <c r="AD206" s="89"/>
      <c r="AE206" s="60"/>
      <c r="AF206" s="62"/>
      <c r="AG206" s="62"/>
      <c r="AH206" s="62"/>
      <c r="AI206" s="61"/>
      <c r="AJ206" s="62"/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89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89"/>
      <c r="P207" s="69"/>
      <c r="Q207" s="89"/>
      <c r="R207" s="89"/>
      <c r="S207" s="60"/>
      <c r="T207" s="62"/>
      <c r="U207" s="62"/>
      <c r="V207" s="62"/>
      <c r="W207" s="61"/>
      <c r="X207" s="62"/>
      <c r="Y207" s="62"/>
      <c r="Z207" s="66"/>
      <c r="AA207" s="62"/>
      <c r="AB207" s="69"/>
      <c r="AC207" s="89"/>
      <c r="AD207" s="89"/>
      <c r="AE207" s="60"/>
      <c r="AF207" s="62"/>
      <c r="AG207" s="62"/>
      <c r="AH207" s="62"/>
      <c r="AI207" s="61"/>
      <c r="AJ207" s="62"/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89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89"/>
      <c r="P208" s="69"/>
      <c r="Q208" s="89"/>
      <c r="R208" s="89"/>
      <c r="S208" s="60"/>
      <c r="T208" s="62"/>
      <c r="U208" s="62"/>
      <c r="V208" s="62"/>
      <c r="W208" s="61"/>
      <c r="X208" s="62"/>
      <c r="Y208" s="62"/>
      <c r="Z208" s="66"/>
      <c r="AA208" s="89"/>
      <c r="AB208" s="69"/>
      <c r="AC208" s="89"/>
      <c r="AD208" s="89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89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89"/>
      <c r="P209" s="69"/>
      <c r="Q209" s="89"/>
      <c r="R209" s="89"/>
      <c r="S209" s="60"/>
      <c r="T209" s="62"/>
      <c r="U209" s="62"/>
      <c r="V209" s="62"/>
      <c r="W209" s="61"/>
      <c r="X209" s="62"/>
      <c r="Y209" s="62"/>
      <c r="Z209" s="66"/>
      <c r="AA209" s="89"/>
      <c r="AB209" s="69"/>
      <c r="AC209" s="89"/>
      <c r="AD209" s="89"/>
      <c r="AE209" s="60"/>
      <c r="AF209" s="62"/>
      <c r="AG209" s="62"/>
      <c r="AH209" s="62"/>
      <c r="AI209" s="61"/>
      <c r="AJ209" s="62"/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89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89"/>
      <c r="P210" s="69"/>
      <c r="Q210" s="89"/>
      <c r="R210" s="89"/>
      <c r="S210" s="60"/>
      <c r="T210" s="62"/>
      <c r="U210" s="62"/>
      <c r="V210" s="62"/>
      <c r="W210" s="61"/>
      <c r="X210" s="62"/>
      <c r="Y210" s="62"/>
      <c r="Z210" s="66"/>
      <c r="AA210" s="62"/>
      <c r="AB210" s="69"/>
      <c r="AC210" s="89"/>
      <c r="AD210" s="89"/>
      <c r="AE210" s="60"/>
      <c r="AF210" s="62"/>
      <c r="AG210" s="62"/>
      <c r="AH210" s="62"/>
      <c r="AI210" s="61"/>
      <c r="AJ210" s="62"/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89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89"/>
      <c r="P211" s="69"/>
      <c r="Q211" s="89"/>
      <c r="R211" s="89"/>
      <c r="S211" s="60"/>
      <c r="T211" s="62"/>
      <c r="U211" s="62"/>
      <c r="V211" s="62"/>
      <c r="W211" s="61"/>
      <c r="X211" s="62"/>
      <c r="Y211" s="62"/>
      <c r="Z211" s="66"/>
      <c r="AA211" s="89"/>
      <c r="AB211" s="69"/>
      <c r="AC211" s="89"/>
      <c r="AD211" s="89"/>
      <c r="AE211" s="60"/>
      <c r="AF211" s="62"/>
      <c r="AG211" s="62"/>
      <c r="AH211" s="62"/>
      <c r="AI211" s="61"/>
      <c r="AJ211" s="62"/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89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89"/>
      <c r="P212" s="69"/>
      <c r="Q212" s="89"/>
      <c r="R212" s="89"/>
      <c r="S212" s="60"/>
      <c r="T212" s="62"/>
      <c r="U212" s="62"/>
      <c r="V212" s="62"/>
      <c r="W212" s="61"/>
      <c r="X212" s="62"/>
      <c r="Y212" s="62"/>
      <c r="Z212" s="66"/>
      <c r="AA212" s="89"/>
      <c r="AB212" s="69"/>
      <c r="AC212" s="89"/>
      <c r="AD212" s="89"/>
      <c r="AE212" s="60"/>
      <c r="AF212" s="62"/>
      <c r="AG212" s="62"/>
      <c r="AH212" s="62"/>
      <c r="AI212" s="61"/>
      <c r="AJ212" s="62"/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89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89"/>
      <c r="R213" s="89"/>
      <c r="S213" s="60"/>
      <c r="T213" s="62"/>
      <c r="U213" s="62"/>
      <c r="V213" s="62"/>
      <c r="W213" s="61"/>
      <c r="X213" s="62"/>
      <c r="Y213" s="62"/>
      <c r="Z213" s="66"/>
      <c r="AA213" s="89"/>
      <c r="AB213" s="69"/>
      <c r="AC213" s="89"/>
      <c r="AD213" s="89"/>
      <c r="AE213" s="60"/>
      <c r="AF213" s="62"/>
      <c r="AG213" s="62"/>
      <c r="AH213" s="62"/>
      <c r="AI213" s="61"/>
      <c r="AJ213" s="62"/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89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89"/>
      <c r="P214" s="69"/>
      <c r="Q214" s="89"/>
      <c r="R214" s="89"/>
      <c r="S214" s="60"/>
      <c r="T214" s="62"/>
      <c r="U214" s="62"/>
      <c r="V214" s="62"/>
      <c r="W214" s="61"/>
      <c r="X214" s="62"/>
      <c r="Y214" s="62"/>
      <c r="Z214" s="66"/>
      <c r="AA214" s="89"/>
      <c r="AB214" s="69"/>
      <c r="AC214" s="89"/>
      <c r="AD214" s="89"/>
      <c r="AE214" s="60"/>
      <c r="AF214" s="62"/>
      <c r="AG214" s="62"/>
      <c r="AH214" s="62"/>
      <c r="AI214" s="61"/>
      <c r="AJ214" s="62"/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89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89"/>
      <c r="P215" s="69"/>
      <c r="Q215" s="89"/>
      <c r="R215" s="89"/>
      <c r="S215" s="60"/>
      <c r="T215" s="62"/>
      <c r="U215" s="62"/>
      <c r="V215" s="62"/>
      <c r="W215" s="61"/>
      <c r="X215" s="62"/>
      <c r="Y215" s="62"/>
      <c r="Z215" s="66"/>
      <c r="AA215" s="89"/>
      <c r="AB215" s="69"/>
      <c r="AC215" s="89"/>
      <c r="AD215" s="89"/>
      <c r="AE215" s="60"/>
      <c r="AF215" s="62"/>
      <c r="AG215" s="62"/>
      <c r="AH215" s="62"/>
      <c r="AI215" s="61"/>
      <c r="AJ215" s="62"/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89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89"/>
      <c r="R216" s="89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89"/>
      <c r="AD216" s="89"/>
      <c r="AE216" s="60"/>
      <c r="AF216" s="62"/>
      <c r="AG216" s="62"/>
      <c r="AH216" s="62"/>
      <c r="AI216" s="61"/>
      <c r="AJ216" s="62"/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89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89"/>
      <c r="P217" s="69"/>
      <c r="Q217" s="89"/>
      <c r="R217" s="89"/>
      <c r="S217" s="60"/>
      <c r="T217" s="62"/>
      <c r="U217" s="62"/>
      <c r="V217" s="62"/>
      <c r="W217" s="61"/>
      <c r="X217" s="62"/>
      <c r="Y217" s="62"/>
      <c r="Z217" s="66"/>
      <c r="AA217" s="89"/>
      <c r="AB217" s="69"/>
      <c r="AC217" s="89"/>
      <c r="AD217" s="89"/>
      <c r="AE217" s="60"/>
      <c r="AF217" s="62"/>
      <c r="AG217" s="62"/>
      <c r="AH217" s="62"/>
      <c r="AI217" s="61"/>
      <c r="AJ217" s="62"/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89"/>
      <c r="O218" s="89"/>
      <c r="P218" s="89"/>
      <c r="Q218" s="89"/>
      <c r="R218" s="89"/>
      <c r="S218" s="89"/>
      <c r="T218" s="62"/>
      <c r="U218" s="62"/>
      <c r="V218" s="62"/>
      <c r="W218" s="61"/>
      <c r="X218" s="62"/>
      <c r="Y218" s="62"/>
      <c r="Z218" s="89"/>
      <c r="AA218" s="89"/>
      <c r="AB218" s="89"/>
      <c r="AC218" s="89"/>
      <c r="AD218" s="89"/>
      <c r="AE218" s="89"/>
      <c r="AF218" s="62"/>
      <c r="AG218" s="62"/>
      <c r="AH218" s="62"/>
      <c r="AI218" s="61"/>
      <c r="AJ218" s="62"/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89"/>
      <c r="C219" s="89"/>
      <c r="D219" s="89"/>
      <c r="E219" s="89"/>
      <c r="F219" s="89"/>
      <c r="G219" s="89"/>
      <c r="H219" s="62"/>
      <c r="I219" s="62"/>
      <c r="J219" s="62"/>
      <c r="K219" s="62"/>
      <c r="L219" s="62"/>
      <c r="M219" s="62"/>
      <c r="N219" s="89"/>
      <c r="O219" s="89"/>
      <c r="P219" s="89"/>
      <c r="Q219" s="89"/>
      <c r="R219" s="89"/>
      <c r="S219" s="89"/>
      <c r="T219" s="62"/>
      <c r="U219" s="62"/>
      <c r="V219" s="62"/>
      <c r="W219" s="62"/>
      <c r="X219" s="62"/>
      <c r="Y219" s="62"/>
      <c r="Z219" s="89"/>
      <c r="AA219" s="89"/>
      <c r="AB219" s="89"/>
      <c r="AC219" s="89"/>
      <c r="AD219" s="89"/>
      <c r="AE219" s="89"/>
      <c r="AF219" s="62"/>
      <c r="AG219" s="62"/>
      <c r="AH219" s="62"/>
      <c r="AI219" s="62"/>
      <c r="AJ219" s="62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89"/>
      <c r="C220" s="89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89"/>
      <c r="O220" s="89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89"/>
      <c r="AA220" s="89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9"/>
      <c r="C222" s="89"/>
      <c r="D222" s="89"/>
      <c r="E222" s="89"/>
      <c r="F222" s="89"/>
      <c r="G222" s="89"/>
      <c r="H222" s="62"/>
      <c r="I222" s="62"/>
      <c r="J222" s="62"/>
      <c r="K222" s="62"/>
      <c r="L222" s="62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X222" s="62"/>
      <c r="Y222" s="62"/>
      <c r="Z222" s="89"/>
      <c r="AA222" s="89"/>
      <c r="AB222" s="89"/>
      <c r="AC222" s="89"/>
      <c r="AD222" s="89"/>
      <c r="AE222" s="89"/>
      <c r="AF222" s="62"/>
      <c r="AG222" s="62"/>
      <c r="AH222" s="62"/>
      <c r="AI222" s="62"/>
      <c r="AJ222" s="62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9"/>
      <c r="C223" s="89"/>
      <c r="D223" s="89"/>
      <c r="E223" s="89"/>
      <c r="F223" s="89"/>
      <c r="G223" s="89"/>
      <c r="H223" s="62"/>
      <c r="I223" s="62"/>
      <c r="J223" s="62"/>
      <c r="K223" s="62"/>
      <c r="L223" s="62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X223" s="62"/>
      <c r="Y223" s="62"/>
      <c r="Z223" s="89"/>
      <c r="AA223" s="89"/>
      <c r="AB223" s="89"/>
      <c r="AC223" s="89"/>
      <c r="AD223" s="89"/>
      <c r="AE223" s="89"/>
      <c r="AF223" s="62"/>
      <c r="AG223" s="62"/>
      <c r="AH223" s="62"/>
      <c r="AI223" s="62"/>
      <c r="AJ223" s="62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9"/>
      <c r="C224" s="89"/>
      <c r="D224" s="89"/>
      <c r="E224" s="89"/>
      <c r="F224" s="89"/>
      <c r="G224" s="89"/>
      <c r="H224" s="62"/>
      <c r="I224" s="62"/>
      <c r="J224" s="62"/>
      <c r="K224" s="62"/>
      <c r="L224" s="62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X224" s="62"/>
      <c r="Y224" s="62"/>
      <c r="Z224" s="89"/>
      <c r="AA224" s="89"/>
      <c r="AB224" s="89"/>
      <c r="AC224" s="89"/>
      <c r="AD224" s="89"/>
      <c r="AE224" s="89"/>
      <c r="AF224" s="62"/>
      <c r="AG224" s="62"/>
      <c r="AH224" s="62"/>
      <c r="AI224" s="62"/>
      <c r="AJ224" s="62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9"/>
      <c r="C225" s="89"/>
      <c r="D225" s="89"/>
      <c r="E225" s="89"/>
      <c r="F225" s="89"/>
      <c r="G225" s="89"/>
      <c r="H225" s="62"/>
      <c r="I225" s="62"/>
      <c r="J225" s="62"/>
      <c r="K225" s="62"/>
      <c r="L225" s="62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X225" s="62"/>
      <c r="Y225" s="63"/>
      <c r="Z225" s="89"/>
      <c r="AA225" s="89"/>
      <c r="AB225" s="89"/>
      <c r="AC225" s="89"/>
      <c r="AD225" s="89"/>
      <c r="AE225" s="89"/>
      <c r="AF225" s="62"/>
      <c r="AG225" s="62"/>
      <c r="AH225" s="62"/>
      <c r="AI225" s="62"/>
      <c r="AJ225" s="62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9"/>
      <c r="C226" s="89"/>
      <c r="D226" s="89"/>
      <c r="E226" s="89"/>
      <c r="F226" s="89"/>
      <c r="G226" s="89"/>
      <c r="H226" s="62"/>
      <c r="I226" s="62"/>
      <c r="J226" s="62"/>
      <c r="K226" s="62"/>
      <c r="L226" s="62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X226" s="62"/>
      <c r="Y226" s="62"/>
      <c r="Z226" s="89"/>
      <c r="AA226" s="89"/>
      <c r="AB226" s="89"/>
      <c r="AC226" s="89"/>
      <c r="AD226" s="89"/>
      <c r="AE226" s="89"/>
      <c r="AF226" s="62"/>
      <c r="AG226" s="62"/>
      <c r="AH226" s="62"/>
      <c r="AI226" s="62"/>
      <c r="AJ226" s="62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9"/>
      <c r="C227" s="89"/>
      <c r="D227" s="89"/>
      <c r="E227" s="89"/>
      <c r="F227" s="89"/>
      <c r="G227" s="89"/>
      <c r="H227" s="62"/>
      <c r="I227" s="89"/>
      <c r="J227" s="74"/>
      <c r="K227" s="62"/>
      <c r="L227" s="62"/>
      <c r="M227" s="62"/>
      <c r="N227" s="89"/>
      <c r="O227" s="89"/>
      <c r="P227" s="89"/>
      <c r="Q227" s="89"/>
      <c r="R227" s="89"/>
      <c r="S227" s="89"/>
      <c r="T227" s="62"/>
      <c r="U227" s="89"/>
      <c r="V227" s="74"/>
      <c r="W227" s="62"/>
      <c r="X227" s="62"/>
      <c r="Y227" s="62"/>
      <c r="Z227" s="89"/>
      <c r="AA227" s="89"/>
      <c r="AB227" s="89"/>
      <c r="AC227" s="89"/>
      <c r="AD227" s="89"/>
      <c r="AE227" s="89"/>
      <c r="AF227" s="62"/>
      <c r="AG227" s="89"/>
      <c r="AH227" s="89"/>
      <c r="AI227" s="62"/>
      <c r="AJ227" s="62"/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9"/>
      <c r="C228" s="89"/>
      <c r="D228" s="89"/>
      <c r="E228" s="89"/>
      <c r="F228" s="89"/>
      <c r="G228" s="89"/>
      <c r="H228" s="62"/>
      <c r="I228" s="65"/>
      <c r="J228" s="65"/>
      <c r="K228" s="62"/>
      <c r="L228" s="62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X228" s="62"/>
      <c r="Y228" s="64"/>
      <c r="Z228" s="89"/>
      <c r="AA228" s="89"/>
      <c r="AB228" s="89"/>
      <c r="AC228" s="89"/>
      <c r="AD228" s="89"/>
      <c r="AE228" s="89"/>
      <c r="AF228" s="62"/>
      <c r="AG228" s="65"/>
      <c r="AH228" s="65"/>
      <c r="AI228" s="62"/>
      <c r="AJ228" s="62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9"/>
      <c r="C229" s="89"/>
      <c r="D229" s="89"/>
      <c r="E229" s="89"/>
      <c r="F229" s="89"/>
      <c r="G229" s="89"/>
      <c r="H229" s="62"/>
      <c r="I229" s="62"/>
      <c r="J229" s="62"/>
      <c r="K229" s="62"/>
      <c r="L229" s="62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X229" s="62"/>
      <c r="Y229" s="62"/>
      <c r="Z229" s="89"/>
      <c r="AA229" s="89"/>
      <c r="AB229" s="89"/>
      <c r="AC229" s="89"/>
      <c r="AD229" s="89"/>
      <c r="AE229" s="89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9"/>
      <c r="D230" s="98"/>
      <c r="E230" s="98"/>
      <c r="F230" s="89"/>
      <c r="G230" s="89"/>
      <c r="H230" s="62"/>
      <c r="I230" s="98"/>
      <c r="J230" s="98"/>
      <c r="K230" s="97"/>
      <c r="L230" s="62"/>
      <c r="M230" s="62"/>
      <c r="N230" s="65"/>
      <c r="O230" s="89"/>
      <c r="P230" s="98"/>
      <c r="Q230" s="98"/>
      <c r="R230" s="89"/>
      <c r="S230" s="89"/>
      <c r="T230" s="62"/>
      <c r="U230" s="98"/>
      <c r="V230" s="98"/>
      <c r="W230" s="97"/>
      <c r="X230" s="62"/>
      <c r="Y230" s="62"/>
      <c r="Z230" s="65"/>
      <c r="AA230" s="89"/>
      <c r="AB230" s="98"/>
      <c r="AC230" s="98"/>
      <c r="AD230" s="89"/>
      <c r="AE230" s="89"/>
      <c r="AF230" s="62"/>
      <c r="AG230" s="98"/>
      <c r="AH230" s="98"/>
      <c r="AI230" s="97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89"/>
      <c r="C231" s="89"/>
      <c r="D231" s="81"/>
      <c r="E231" s="82"/>
      <c r="F231" s="83"/>
      <c r="G231" s="83"/>
      <c r="H231" s="62"/>
      <c r="I231" s="88"/>
      <c r="J231" s="88"/>
      <c r="K231" s="97"/>
      <c r="L231" s="62"/>
      <c r="M231" s="62"/>
      <c r="N231" s="89"/>
      <c r="O231" s="89"/>
      <c r="P231" s="81"/>
      <c r="Q231" s="83"/>
      <c r="R231" s="83"/>
      <c r="S231" s="83"/>
      <c r="T231" s="62"/>
      <c r="U231" s="88"/>
      <c r="V231" s="88"/>
      <c r="W231" s="97"/>
      <c r="X231" s="62"/>
      <c r="Y231" s="62"/>
      <c r="Z231" s="89"/>
      <c r="AA231" s="89"/>
      <c r="AB231" s="81"/>
      <c r="AC231" s="83"/>
      <c r="AD231" s="83"/>
      <c r="AE231" s="83"/>
      <c r="AF231" s="62"/>
      <c r="AG231" s="88"/>
      <c r="AH231" s="88"/>
      <c r="AI231" s="97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9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89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9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89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9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89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9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65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9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89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9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89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9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62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9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9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89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9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89"/>
      <c r="AB240" s="62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9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89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9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62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9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89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9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89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9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89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9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89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9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9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9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89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9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89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9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89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9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9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X252" s="62"/>
      <c r="Y252" s="62"/>
      <c r="Z252" s="66"/>
      <c r="AA252" s="89"/>
      <c r="AB252" s="67"/>
      <c r="AC252" s="89"/>
      <c r="AD252" s="89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9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X253" s="62"/>
      <c r="Y253" s="62"/>
      <c r="Z253" s="66"/>
      <c r="AA253" s="89"/>
      <c r="AB253" s="68"/>
      <c r="AC253" s="89"/>
      <c r="AD253" s="89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9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89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9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X255" s="62"/>
      <c r="Y255" s="62"/>
      <c r="Z255" s="66"/>
      <c r="AA255" s="89"/>
      <c r="AB255" s="69"/>
      <c r="AC255" s="89"/>
      <c r="AD255" s="89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9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X256" s="62"/>
      <c r="Y256" s="62"/>
      <c r="Z256" s="66"/>
      <c r="AA256" s="65"/>
      <c r="AB256" s="69"/>
      <c r="AC256" s="89"/>
      <c r="AD256" s="89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9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X257" s="62"/>
      <c r="Y257" s="62"/>
      <c r="Z257" s="66"/>
      <c r="AA257" s="62"/>
      <c r="AB257" s="69"/>
      <c r="AC257" s="89"/>
      <c r="AD257" s="89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9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X258" s="62"/>
      <c r="Y258" s="62"/>
      <c r="Z258" s="66"/>
      <c r="AA258" s="89"/>
      <c r="AB258" s="69"/>
      <c r="AC258" s="89"/>
      <c r="AD258" s="89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9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X259" s="62"/>
      <c r="Y259" s="62"/>
      <c r="Z259" s="66"/>
      <c r="AA259" s="89"/>
      <c r="AB259" s="69"/>
      <c r="AC259" s="89"/>
      <c r="AD259" s="89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9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62"/>
      <c r="P260" s="69"/>
      <c r="Q260" s="89"/>
      <c r="R260" s="89"/>
      <c r="S260" s="60"/>
      <c r="T260" s="62"/>
      <c r="U260" s="62"/>
      <c r="V260" s="62"/>
      <c r="W260" s="61"/>
      <c r="X260" s="62"/>
      <c r="Y260" s="62"/>
      <c r="Z260" s="66"/>
      <c r="AA260" s="89"/>
      <c r="AB260" s="69"/>
      <c r="AC260" s="89"/>
      <c r="AD260" s="89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65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9"/>
      <c r="R261" s="89"/>
      <c r="S261" s="60"/>
      <c r="T261" s="62"/>
      <c r="U261" s="62"/>
      <c r="V261" s="62"/>
      <c r="W261" s="61"/>
      <c r="X261" s="62"/>
      <c r="Y261" s="62"/>
      <c r="Z261" s="66"/>
      <c r="AA261" s="62"/>
      <c r="AB261" s="69"/>
      <c r="AC261" s="89"/>
      <c r="AD261" s="89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9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X262" s="62"/>
      <c r="Y262" s="62"/>
      <c r="Z262" s="66"/>
      <c r="AA262" s="62"/>
      <c r="AB262" s="69"/>
      <c r="AC262" s="89"/>
      <c r="AD262" s="89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9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62"/>
      <c r="P263" s="69"/>
      <c r="Q263" s="89"/>
      <c r="R263" s="89"/>
      <c r="S263" s="60"/>
      <c r="T263" s="62"/>
      <c r="U263" s="62"/>
      <c r="V263" s="62"/>
      <c r="W263" s="61"/>
      <c r="X263" s="62"/>
      <c r="Y263" s="62"/>
      <c r="Z263" s="66"/>
      <c r="AA263" s="89"/>
      <c r="AB263" s="69"/>
      <c r="AC263" s="89"/>
      <c r="AD263" s="89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9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X264" s="62"/>
      <c r="Y264" s="62"/>
      <c r="Z264" s="66"/>
      <c r="AA264" s="89"/>
      <c r="AB264" s="69"/>
      <c r="AC264" s="89"/>
      <c r="AD264" s="89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9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X265" s="62"/>
      <c r="Y265" s="62"/>
      <c r="Z265" s="66"/>
      <c r="AA265" s="62"/>
      <c r="AB265" s="69"/>
      <c r="AC265" s="89"/>
      <c r="AD265" s="89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9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X266" s="62"/>
      <c r="Y266" s="62"/>
      <c r="Z266" s="66"/>
      <c r="AA266" s="89"/>
      <c r="AB266" s="69"/>
      <c r="AC266" s="89"/>
      <c r="AD266" s="89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9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X267" s="62"/>
      <c r="Y267" s="62"/>
      <c r="Z267" s="66"/>
      <c r="AA267" s="89"/>
      <c r="AB267" s="69"/>
      <c r="AC267" s="89"/>
      <c r="AD267" s="89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9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X268" s="62"/>
      <c r="Y268" s="62"/>
      <c r="Z268" s="66"/>
      <c r="AA268" s="89"/>
      <c r="AB268" s="69"/>
      <c r="AC268" s="89"/>
      <c r="AD268" s="89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9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X269" s="62"/>
      <c r="Y269" s="62"/>
      <c r="Z269" s="66"/>
      <c r="AA269" s="89"/>
      <c r="AB269" s="69"/>
      <c r="AC269" s="89"/>
      <c r="AD269" s="89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9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X270" s="62"/>
      <c r="Y270" s="62"/>
      <c r="Z270" s="66"/>
      <c r="AA270" s="89"/>
      <c r="AB270" s="69"/>
      <c r="AC270" s="89"/>
      <c r="AD270" s="89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9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89"/>
      <c r="AD271" s="89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9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X272" s="62"/>
      <c r="Y272" s="62"/>
      <c r="Z272" s="66"/>
      <c r="AA272" s="89"/>
      <c r="AB272" s="69"/>
      <c r="AC272" s="89"/>
      <c r="AD272" s="89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X273" s="62"/>
      <c r="Y273" s="62"/>
      <c r="Z273" s="89"/>
      <c r="AA273" s="89"/>
      <c r="AB273" s="89"/>
      <c r="AC273" s="89"/>
      <c r="AD273" s="89"/>
      <c r="AE273" s="89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9"/>
      <c r="C274" s="89"/>
      <c r="D274" s="89"/>
      <c r="E274" s="89"/>
      <c r="F274" s="89"/>
      <c r="G274" s="89"/>
      <c r="H274" s="62"/>
      <c r="I274" s="62"/>
      <c r="J274" s="62"/>
      <c r="K274" s="62"/>
      <c r="L274" s="62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X274" s="62"/>
      <c r="Y274" s="62"/>
      <c r="Z274" s="89"/>
      <c r="AA274" s="89"/>
      <c r="AB274" s="89"/>
      <c r="AC274" s="89"/>
      <c r="AD274" s="89"/>
      <c r="AE274" s="89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9"/>
      <c r="C275" s="89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89"/>
      <c r="AA275" s="89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9"/>
      <c r="C277" s="89"/>
      <c r="D277" s="89"/>
      <c r="E277" s="89"/>
      <c r="F277" s="89"/>
      <c r="G277" s="89"/>
      <c r="H277" s="62"/>
      <c r="I277" s="62"/>
      <c r="J277" s="62"/>
      <c r="K277" s="62"/>
      <c r="L277" s="62"/>
      <c r="M277" s="62"/>
      <c r="N277" s="89"/>
      <c r="O277" s="89"/>
      <c r="P277" s="89"/>
      <c r="Q277" s="89"/>
      <c r="R277" s="89"/>
      <c r="S277" s="89"/>
      <c r="T277" s="62"/>
      <c r="U277" s="62"/>
      <c r="V277" s="62"/>
      <c r="W277" s="62"/>
      <c r="X277" s="62"/>
      <c r="Y277" s="62"/>
      <c r="Z277" s="89"/>
      <c r="AA277" s="89"/>
      <c r="AB277" s="89"/>
      <c r="AC277" s="89"/>
      <c r="AD277" s="89"/>
      <c r="AE277" s="89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9"/>
      <c r="C278" s="89"/>
      <c r="D278" s="89"/>
      <c r="E278" s="89"/>
      <c r="F278" s="89"/>
      <c r="G278" s="89"/>
      <c r="H278" s="62"/>
      <c r="I278" s="62"/>
      <c r="J278" s="62"/>
      <c r="K278" s="62"/>
      <c r="L278" s="62"/>
      <c r="M278" s="62"/>
      <c r="N278" s="89"/>
      <c r="O278" s="89"/>
      <c r="P278" s="89"/>
      <c r="Q278" s="89"/>
      <c r="R278" s="89"/>
      <c r="S278" s="89"/>
      <c r="T278" s="62"/>
      <c r="U278" s="62"/>
      <c r="V278" s="62"/>
      <c r="W278" s="62"/>
      <c r="X278" s="62"/>
      <c r="Y278" s="62"/>
      <c r="Z278" s="89"/>
      <c r="AA278" s="89"/>
      <c r="AB278" s="89"/>
      <c r="AC278" s="89"/>
      <c r="AD278" s="89"/>
      <c r="AE278" s="89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9"/>
      <c r="C279" s="89"/>
      <c r="D279" s="89"/>
      <c r="E279" s="89"/>
      <c r="F279" s="89"/>
      <c r="G279" s="89"/>
      <c r="H279" s="62"/>
      <c r="I279" s="62"/>
      <c r="J279" s="62"/>
      <c r="K279" s="62"/>
      <c r="L279" s="62"/>
      <c r="M279" s="62"/>
      <c r="N279" s="89"/>
      <c r="O279" s="89"/>
      <c r="P279" s="89"/>
      <c r="Q279" s="89"/>
      <c r="R279" s="89"/>
      <c r="S279" s="89"/>
      <c r="T279" s="62"/>
      <c r="U279" s="62"/>
      <c r="V279" s="62"/>
      <c r="W279" s="62"/>
      <c r="X279" s="62"/>
      <c r="Y279" s="62"/>
      <c r="Z279" s="89"/>
      <c r="AA279" s="89"/>
      <c r="AB279" s="89"/>
      <c r="AC279" s="89"/>
      <c r="AD279" s="89"/>
      <c r="AE279" s="89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9"/>
      <c r="C280" s="89"/>
      <c r="D280" s="89"/>
      <c r="E280" s="89"/>
      <c r="F280" s="89"/>
      <c r="G280" s="89"/>
      <c r="H280" s="62"/>
      <c r="I280" s="62"/>
      <c r="J280" s="62"/>
      <c r="K280" s="62"/>
      <c r="L280" s="62"/>
      <c r="M280" s="63"/>
      <c r="N280" s="89"/>
      <c r="O280" s="89"/>
      <c r="P280" s="89"/>
      <c r="Q280" s="89"/>
      <c r="R280" s="89"/>
      <c r="S280" s="89"/>
      <c r="T280" s="62"/>
      <c r="U280" s="62"/>
      <c r="V280" s="62"/>
      <c r="W280" s="62"/>
      <c r="X280" s="62"/>
      <c r="Y280" s="63"/>
      <c r="Z280" s="89"/>
      <c r="AA280" s="89"/>
      <c r="AB280" s="89"/>
      <c r="AC280" s="89"/>
      <c r="AD280" s="89"/>
      <c r="AE280" s="89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9"/>
      <c r="C281" s="89"/>
      <c r="D281" s="89"/>
      <c r="E281" s="89"/>
      <c r="F281" s="89"/>
      <c r="G281" s="89"/>
      <c r="H281" s="62"/>
      <c r="I281" s="62"/>
      <c r="J281" s="62"/>
      <c r="K281" s="62"/>
      <c r="L281" s="62"/>
      <c r="M281" s="62"/>
      <c r="N281" s="89"/>
      <c r="O281" s="89"/>
      <c r="P281" s="89"/>
      <c r="Q281" s="89"/>
      <c r="R281" s="89"/>
      <c r="S281" s="89"/>
      <c r="T281" s="62"/>
      <c r="U281" s="62"/>
      <c r="V281" s="62"/>
      <c r="W281" s="62"/>
      <c r="X281" s="62"/>
      <c r="Y281" s="62"/>
      <c r="Z281" s="89"/>
      <c r="AA281" s="89"/>
      <c r="AB281" s="89"/>
      <c r="AC281" s="89"/>
      <c r="AD281" s="89"/>
      <c r="AE281" s="89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9"/>
      <c r="C282" s="89"/>
      <c r="D282" s="89"/>
      <c r="E282" s="89"/>
      <c r="F282" s="89"/>
      <c r="G282" s="89"/>
      <c r="H282" s="62"/>
      <c r="I282" s="89"/>
      <c r="J282" s="74"/>
      <c r="K282" s="62"/>
      <c r="L282" s="62"/>
      <c r="M282" s="62"/>
      <c r="N282" s="89"/>
      <c r="O282" s="89"/>
      <c r="P282" s="89"/>
      <c r="Q282" s="89"/>
      <c r="R282" s="89"/>
      <c r="S282" s="89"/>
      <c r="T282" s="62"/>
      <c r="U282" s="89"/>
      <c r="V282" s="74"/>
      <c r="W282" s="62"/>
      <c r="X282" s="62"/>
      <c r="Y282" s="62"/>
      <c r="Z282" s="89"/>
      <c r="AA282" s="89"/>
      <c r="AB282" s="89"/>
      <c r="AC282" s="89"/>
      <c r="AD282" s="89"/>
      <c r="AE282" s="89"/>
      <c r="AF282" s="62"/>
      <c r="AG282" s="89"/>
      <c r="AH282" s="89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9"/>
      <c r="C283" s="89"/>
      <c r="D283" s="89"/>
      <c r="E283" s="89"/>
      <c r="F283" s="89"/>
      <c r="G283" s="89"/>
      <c r="H283" s="62"/>
      <c r="I283" s="65"/>
      <c r="J283" s="65"/>
      <c r="K283" s="62"/>
      <c r="L283" s="62"/>
      <c r="M283" s="64"/>
      <c r="N283" s="89"/>
      <c r="O283" s="89"/>
      <c r="P283" s="89"/>
      <c r="Q283" s="89"/>
      <c r="R283" s="89"/>
      <c r="S283" s="89"/>
      <c r="T283" s="62"/>
      <c r="U283" s="65"/>
      <c r="V283" s="65"/>
      <c r="W283" s="62"/>
      <c r="X283" s="62"/>
      <c r="Y283" s="64"/>
      <c r="Z283" s="89"/>
      <c r="AA283" s="89"/>
      <c r="AB283" s="89"/>
      <c r="AC283" s="89"/>
      <c r="AD283" s="89"/>
      <c r="AE283" s="89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9"/>
      <c r="C284" s="89"/>
      <c r="D284" s="89"/>
      <c r="E284" s="89"/>
      <c r="F284" s="89"/>
      <c r="G284" s="89"/>
      <c r="H284" s="62"/>
      <c r="I284" s="62"/>
      <c r="J284" s="62"/>
      <c r="K284" s="62"/>
      <c r="L284" s="62"/>
      <c r="M284" s="62"/>
      <c r="N284" s="89"/>
      <c r="O284" s="89"/>
      <c r="P284" s="89"/>
      <c r="Q284" s="89"/>
      <c r="R284" s="89"/>
      <c r="S284" s="89"/>
      <c r="T284" s="62"/>
      <c r="U284" s="62"/>
      <c r="V284" s="62"/>
      <c r="W284" s="62"/>
      <c r="X284" s="62"/>
      <c r="Y284" s="62"/>
      <c r="Z284" s="89"/>
      <c r="AA284" s="89"/>
      <c r="AB284" s="89"/>
      <c r="AC284" s="89"/>
      <c r="AD284" s="89"/>
      <c r="AE284" s="89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9"/>
      <c r="D285" s="98"/>
      <c r="E285" s="98"/>
      <c r="F285" s="89"/>
      <c r="G285" s="89"/>
      <c r="H285" s="62"/>
      <c r="I285" s="98"/>
      <c r="J285" s="98"/>
      <c r="K285" s="97"/>
      <c r="L285" s="62"/>
      <c r="M285" s="62"/>
      <c r="N285" s="65"/>
      <c r="O285" s="89"/>
      <c r="P285" s="98"/>
      <c r="Q285" s="98"/>
      <c r="R285" s="89"/>
      <c r="S285" s="89"/>
      <c r="T285" s="62"/>
      <c r="U285" s="98"/>
      <c r="V285" s="98"/>
      <c r="W285" s="97"/>
      <c r="X285" s="62"/>
      <c r="Y285" s="62"/>
      <c r="Z285" s="65"/>
      <c r="AA285" s="89"/>
      <c r="AB285" s="98"/>
      <c r="AC285" s="98"/>
      <c r="AD285" s="89"/>
      <c r="AE285" s="89"/>
      <c r="AF285" s="62"/>
      <c r="AG285" s="98"/>
      <c r="AH285" s="98"/>
      <c r="AI285" s="97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89"/>
      <c r="C286" s="89"/>
      <c r="D286" s="81"/>
      <c r="E286" s="82"/>
      <c r="F286" s="83"/>
      <c r="G286" s="83"/>
      <c r="H286" s="62"/>
      <c r="I286" s="88"/>
      <c r="J286" s="88"/>
      <c r="K286" s="97"/>
      <c r="L286" s="62"/>
      <c r="M286" s="62"/>
      <c r="N286" s="89"/>
      <c r="O286" s="89"/>
      <c r="P286" s="81"/>
      <c r="Q286" s="83"/>
      <c r="R286" s="83"/>
      <c r="S286" s="83"/>
      <c r="T286" s="62"/>
      <c r="U286" s="88"/>
      <c r="V286" s="88"/>
      <c r="W286" s="97"/>
      <c r="X286" s="62"/>
      <c r="Y286" s="62"/>
      <c r="Z286" s="89"/>
      <c r="AA286" s="89"/>
      <c r="AB286" s="81"/>
      <c r="AC286" s="83"/>
      <c r="AD286" s="83"/>
      <c r="AE286" s="83"/>
      <c r="AF286" s="62"/>
      <c r="AG286" s="88"/>
      <c r="AH286" s="88"/>
      <c r="AI286" s="97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9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9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89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9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9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89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9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9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89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9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9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89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9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89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89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9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9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89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9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9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89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9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89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89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9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9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89"/>
      <c r="AB295" s="91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9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89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89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9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89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89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9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89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89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65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65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89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9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9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89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9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9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89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89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89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5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9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9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89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9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9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89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9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9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89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9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9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89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9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62"/>
      <c r="P307" s="67"/>
      <c r="Q307" s="89"/>
      <c r="R307" s="89"/>
      <c r="S307" s="60"/>
      <c r="T307" s="62"/>
      <c r="U307" s="62"/>
      <c r="V307" s="62"/>
      <c r="W307" s="61"/>
      <c r="X307" s="62"/>
      <c r="Y307" s="62"/>
      <c r="Z307" s="66"/>
      <c r="AA307" s="62"/>
      <c r="AB307" s="67"/>
      <c r="AC307" s="89"/>
      <c r="AD307" s="89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9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9"/>
      <c r="P308" s="68"/>
      <c r="Q308" s="89"/>
      <c r="R308" s="89"/>
      <c r="S308" s="60"/>
      <c r="T308" s="62"/>
      <c r="U308" s="62"/>
      <c r="V308" s="62"/>
      <c r="W308" s="61"/>
      <c r="X308" s="62"/>
      <c r="Y308" s="62"/>
      <c r="Z308" s="66"/>
      <c r="AA308" s="89"/>
      <c r="AB308" s="68"/>
      <c r="AC308" s="89"/>
      <c r="AD308" s="89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9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9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89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9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89"/>
      <c r="P310" s="69"/>
      <c r="Q310" s="89"/>
      <c r="R310" s="89"/>
      <c r="S310" s="60"/>
      <c r="T310" s="62"/>
      <c r="U310" s="62"/>
      <c r="V310" s="62"/>
      <c r="W310" s="61"/>
      <c r="X310" s="62"/>
      <c r="Y310" s="62"/>
      <c r="Z310" s="66"/>
      <c r="AA310" s="89"/>
      <c r="AB310" s="69"/>
      <c r="AC310" s="89"/>
      <c r="AD310" s="89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9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89"/>
      <c r="P311" s="69"/>
      <c r="Q311" s="89"/>
      <c r="R311" s="89"/>
      <c r="S311" s="60"/>
      <c r="T311" s="62"/>
      <c r="U311" s="62"/>
      <c r="V311" s="62"/>
      <c r="W311" s="61"/>
      <c r="X311" s="62"/>
      <c r="Y311" s="62"/>
      <c r="Z311" s="66"/>
      <c r="AA311" s="65"/>
      <c r="AB311" s="69"/>
      <c r="AC311" s="89"/>
      <c r="AD311" s="89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9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89"/>
      <c r="P312" s="69"/>
      <c r="Q312" s="89"/>
      <c r="R312" s="89"/>
      <c r="S312" s="60"/>
      <c r="T312" s="62"/>
      <c r="U312" s="62"/>
      <c r="V312" s="62"/>
      <c r="W312" s="61"/>
      <c r="X312" s="62"/>
      <c r="Y312" s="62"/>
      <c r="Z312" s="66"/>
      <c r="AA312" s="62"/>
      <c r="AB312" s="69"/>
      <c r="AC312" s="89"/>
      <c r="AD312" s="89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9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9"/>
      <c r="P313" s="69"/>
      <c r="Q313" s="89"/>
      <c r="R313" s="89"/>
      <c r="S313" s="60"/>
      <c r="T313" s="62"/>
      <c r="U313" s="62"/>
      <c r="V313" s="62"/>
      <c r="W313" s="61"/>
      <c r="X313" s="62"/>
      <c r="Y313" s="62"/>
      <c r="Z313" s="66"/>
      <c r="AA313" s="89"/>
      <c r="AB313" s="69"/>
      <c r="AC313" s="89"/>
      <c r="AD313" s="89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9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9"/>
      <c r="P314" s="69"/>
      <c r="Q314" s="89"/>
      <c r="R314" s="89"/>
      <c r="S314" s="60"/>
      <c r="T314" s="62"/>
      <c r="U314" s="62"/>
      <c r="V314" s="62"/>
      <c r="W314" s="61"/>
      <c r="X314" s="62"/>
      <c r="Y314" s="62"/>
      <c r="Z314" s="66"/>
      <c r="AA314" s="89"/>
      <c r="AB314" s="69"/>
      <c r="AC314" s="89"/>
      <c r="AD314" s="89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9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62"/>
      <c r="P315" s="69"/>
      <c r="Q315" s="89"/>
      <c r="R315" s="89"/>
      <c r="S315" s="60"/>
      <c r="T315" s="62"/>
      <c r="U315" s="62"/>
      <c r="V315" s="62"/>
      <c r="W315" s="61"/>
      <c r="X315" s="62"/>
      <c r="Y315" s="62"/>
      <c r="Z315" s="66"/>
      <c r="AA315" s="89"/>
      <c r="AB315" s="69"/>
      <c r="AC315" s="89"/>
      <c r="AD315" s="89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9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62"/>
      <c r="P316" s="69"/>
      <c r="Q316" s="89"/>
      <c r="R316" s="89"/>
      <c r="S316" s="60"/>
      <c r="T316" s="62"/>
      <c r="U316" s="62"/>
      <c r="V316" s="62"/>
      <c r="W316" s="61"/>
      <c r="X316" s="62"/>
      <c r="Y316" s="62"/>
      <c r="Z316" s="66"/>
      <c r="AA316" s="62"/>
      <c r="AB316" s="69"/>
      <c r="AC316" s="89"/>
      <c r="AD316" s="89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9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9"/>
      <c r="P317" s="69"/>
      <c r="Q317" s="89"/>
      <c r="R317" s="89"/>
      <c r="S317" s="60"/>
      <c r="T317" s="62"/>
      <c r="U317" s="62"/>
      <c r="V317" s="62"/>
      <c r="W317" s="61"/>
      <c r="X317" s="62"/>
      <c r="Y317" s="62"/>
      <c r="Z317" s="66"/>
      <c r="AA317" s="62"/>
      <c r="AB317" s="69"/>
      <c r="AC317" s="89"/>
      <c r="AD317" s="89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9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62"/>
      <c r="P318" s="69"/>
      <c r="Q318" s="89"/>
      <c r="R318" s="89"/>
      <c r="S318" s="60"/>
      <c r="T318" s="62"/>
      <c r="U318" s="62"/>
      <c r="V318" s="62"/>
      <c r="W318" s="61"/>
      <c r="X318" s="62"/>
      <c r="Y318" s="62"/>
      <c r="Z318" s="66"/>
      <c r="AA318" s="89"/>
      <c r="AB318" s="69"/>
      <c r="AC318" s="89"/>
      <c r="AD318" s="89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9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9"/>
      <c r="P319" s="69"/>
      <c r="Q319" s="89"/>
      <c r="R319" s="89"/>
      <c r="S319" s="60"/>
      <c r="T319" s="62"/>
      <c r="U319" s="62"/>
      <c r="V319" s="62"/>
      <c r="W319" s="61"/>
      <c r="X319" s="62"/>
      <c r="Y319" s="62"/>
      <c r="Z319" s="66"/>
      <c r="AA319" s="89"/>
      <c r="AB319" s="69"/>
      <c r="AC319" s="89"/>
      <c r="AD319" s="89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9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9"/>
      <c r="P320" s="69"/>
      <c r="Q320" s="89"/>
      <c r="R320" s="89"/>
      <c r="S320" s="60"/>
      <c r="T320" s="62"/>
      <c r="U320" s="62"/>
      <c r="V320" s="62"/>
      <c r="W320" s="61"/>
      <c r="X320" s="62"/>
      <c r="Y320" s="62"/>
      <c r="Z320" s="66"/>
      <c r="AA320" s="62"/>
      <c r="AB320" s="69"/>
      <c r="AC320" s="89"/>
      <c r="AD320" s="89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9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9"/>
      <c r="P321" s="69"/>
      <c r="Q321" s="89"/>
      <c r="R321" s="89"/>
      <c r="S321" s="60"/>
      <c r="T321" s="62"/>
      <c r="U321" s="62"/>
      <c r="V321" s="62"/>
      <c r="W321" s="61"/>
      <c r="X321" s="62"/>
      <c r="Y321" s="62"/>
      <c r="Z321" s="66"/>
      <c r="AA321" s="89"/>
      <c r="AB321" s="69"/>
      <c r="AC321" s="89"/>
      <c r="AD321" s="89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9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9"/>
      <c r="P322" s="69"/>
      <c r="Q322" s="89"/>
      <c r="R322" s="89"/>
      <c r="S322" s="60"/>
      <c r="T322" s="62"/>
      <c r="U322" s="62"/>
      <c r="V322" s="62"/>
      <c r="W322" s="61"/>
      <c r="X322" s="62"/>
      <c r="Y322" s="62"/>
      <c r="Z322" s="66"/>
      <c r="AA322" s="89"/>
      <c r="AB322" s="69"/>
      <c r="AC322" s="89"/>
      <c r="AD322" s="89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9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9"/>
      <c r="R323" s="89"/>
      <c r="S323" s="60"/>
      <c r="T323" s="62"/>
      <c r="U323" s="62"/>
      <c r="V323" s="62"/>
      <c r="W323" s="61"/>
      <c r="X323" s="62"/>
      <c r="Y323" s="62"/>
      <c r="Z323" s="66"/>
      <c r="AA323" s="89"/>
      <c r="AB323" s="69"/>
      <c r="AC323" s="89"/>
      <c r="AD323" s="89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9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9"/>
      <c r="P324" s="69"/>
      <c r="Q324" s="89"/>
      <c r="R324" s="89"/>
      <c r="S324" s="60"/>
      <c r="T324" s="62"/>
      <c r="U324" s="62"/>
      <c r="V324" s="62"/>
      <c r="W324" s="61"/>
      <c r="X324" s="62"/>
      <c r="Y324" s="62"/>
      <c r="Z324" s="66"/>
      <c r="AA324" s="89"/>
      <c r="AB324" s="69"/>
      <c r="AC324" s="89"/>
      <c r="AD324" s="89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9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9"/>
      <c r="P325" s="69"/>
      <c r="Q325" s="89"/>
      <c r="R325" s="89"/>
      <c r="S325" s="60"/>
      <c r="T325" s="62"/>
      <c r="U325" s="62"/>
      <c r="V325" s="62"/>
      <c r="W325" s="61"/>
      <c r="X325" s="62"/>
      <c r="Y325" s="62"/>
      <c r="Z325" s="66"/>
      <c r="AA325" s="89"/>
      <c r="AB325" s="69"/>
      <c r="AC325" s="89"/>
      <c r="AD325" s="89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9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9"/>
      <c r="R326" s="89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89"/>
      <c r="AD326" s="89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9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9"/>
      <c r="P327" s="69"/>
      <c r="Q327" s="89"/>
      <c r="R327" s="89"/>
      <c r="S327" s="60"/>
      <c r="T327" s="62"/>
      <c r="U327" s="62"/>
      <c r="V327" s="62"/>
      <c r="W327" s="61"/>
      <c r="X327" s="62"/>
      <c r="Y327" s="62"/>
      <c r="Z327" s="66"/>
      <c r="AA327" s="89"/>
      <c r="AB327" s="69"/>
      <c r="AC327" s="89"/>
      <c r="AD327" s="89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9"/>
      <c r="O328" s="89"/>
      <c r="P328" s="89"/>
      <c r="Q328" s="89"/>
      <c r="R328" s="89"/>
      <c r="S328" s="89"/>
      <c r="T328" s="62"/>
      <c r="U328" s="62"/>
      <c r="V328" s="62"/>
      <c r="W328" s="61"/>
      <c r="X328" s="62"/>
      <c r="Y328" s="62"/>
      <c r="Z328" s="89"/>
      <c r="AA328" s="89"/>
      <c r="AB328" s="89"/>
      <c r="AC328" s="89"/>
      <c r="AD328" s="89"/>
      <c r="AE328" s="89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9"/>
      <c r="C329" s="89"/>
      <c r="D329" s="89"/>
      <c r="E329" s="89"/>
      <c r="F329" s="89"/>
      <c r="G329" s="89"/>
      <c r="H329" s="62"/>
      <c r="I329" s="62"/>
      <c r="J329" s="62"/>
      <c r="K329" s="62"/>
      <c r="L329" s="62"/>
      <c r="M329" s="62"/>
      <c r="N329" s="89"/>
      <c r="O329" s="89"/>
      <c r="P329" s="89"/>
      <c r="Q329" s="89"/>
      <c r="R329" s="89"/>
      <c r="S329" s="89"/>
      <c r="T329" s="62"/>
      <c r="U329" s="62"/>
      <c r="V329" s="62"/>
      <c r="W329" s="62"/>
      <c r="X329" s="62"/>
      <c r="Y329" s="62"/>
      <c r="Z329" s="89"/>
      <c r="AA329" s="89"/>
      <c r="AB329" s="89"/>
      <c r="AC329" s="89"/>
      <c r="AD329" s="89"/>
      <c r="AE329" s="89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9"/>
      <c r="C330" s="89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9"/>
      <c r="O330" s="89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89"/>
      <c r="AA330" s="89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9"/>
      <c r="C332" s="89"/>
      <c r="D332" s="89"/>
      <c r="E332" s="89"/>
      <c r="F332" s="89"/>
      <c r="G332" s="89"/>
      <c r="H332" s="62"/>
      <c r="I332" s="62"/>
      <c r="J332" s="62"/>
      <c r="K332" s="62"/>
      <c r="L332" s="62"/>
      <c r="M332" s="62"/>
      <c r="N332" s="89"/>
      <c r="O332" s="89"/>
      <c r="P332" s="89"/>
      <c r="Q332" s="89"/>
      <c r="R332" s="89"/>
      <c r="S332" s="89"/>
      <c r="T332" s="62"/>
      <c r="U332" s="62"/>
      <c r="V332" s="62"/>
      <c r="W332" s="62"/>
      <c r="X332" s="62"/>
      <c r="Y332" s="62"/>
      <c r="Z332" s="89"/>
      <c r="AA332" s="89"/>
      <c r="AB332" s="89"/>
      <c r="AC332" s="89"/>
      <c r="AD332" s="89"/>
      <c r="AE332" s="89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9"/>
      <c r="C333" s="89"/>
      <c r="D333" s="89"/>
      <c r="E333" s="89"/>
      <c r="F333" s="89"/>
      <c r="G333" s="89"/>
      <c r="H333" s="62"/>
      <c r="I333" s="62"/>
      <c r="J333" s="62"/>
      <c r="K333" s="62"/>
      <c r="L333" s="62"/>
      <c r="M333" s="62"/>
      <c r="N333" s="89"/>
      <c r="O333" s="89"/>
      <c r="P333" s="89"/>
      <c r="Q333" s="89"/>
      <c r="R333" s="89"/>
      <c r="S333" s="89"/>
      <c r="T333" s="62"/>
      <c r="U333" s="62"/>
      <c r="V333" s="62"/>
      <c r="W333" s="62"/>
      <c r="X333" s="62"/>
      <c r="Y333" s="62"/>
      <c r="Z333" s="89"/>
      <c r="AA333" s="89"/>
      <c r="AB333" s="89"/>
      <c r="AC333" s="89"/>
      <c r="AD333" s="89"/>
      <c r="AE333" s="89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9"/>
      <c r="C334" s="89"/>
      <c r="D334" s="89"/>
      <c r="E334" s="89"/>
      <c r="F334" s="89"/>
      <c r="G334" s="89"/>
      <c r="H334" s="62"/>
      <c r="I334" s="62"/>
      <c r="J334" s="62"/>
      <c r="K334" s="62"/>
      <c r="L334" s="62"/>
      <c r="M334" s="62"/>
      <c r="N334" s="89"/>
      <c r="O334" s="89"/>
      <c r="P334" s="89"/>
      <c r="Q334" s="89"/>
      <c r="R334" s="89"/>
      <c r="S334" s="89"/>
      <c r="T334" s="62"/>
      <c r="U334" s="62"/>
      <c r="V334" s="62"/>
      <c r="W334" s="62"/>
      <c r="X334" s="62"/>
      <c r="Y334" s="62"/>
      <c r="Z334" s="89"/>
      <c r="AA334" s="89"/>
      <c r="AB334" s="89"/>
      <c r="AC334" s="89"/>
      <c r="AD334" s="89"/>
      <c r="AE334" s="89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9"/>
      <c r="C335" s="89"/>
      <c r="D335" s="89"/>
      <c r="E335" s="89"/>
      <c r="F335" s="89"/>
      <c r="G335" s="89"/>
      <c r="H335" s="62"/>
      <c r="I335" s="62"/>
      <c r="J335" s="62"/>
      <c r="K335" s="62"/>
      <c r="L335" s="62"/>
      <c r="M335" s="63"/>
      <c r="N335" s="89"/>
      <c r="O335" s="89"/>
      <c r="P335" s="89"/>
      <c r="Q335" s="89"/>
      <c r="R335" s="89"/>
      <c r="S335" s="89"/>
      <c r="T335" s="62"/>
      <c r="U335" s="62"/>
      <c r="V335" s="62"/>
      <c r="W335" s="62"/>
      <c r="X335" s="62"/>
      <c r="Y335" s="63"/>
      <c r="Z335" s="89"/>
      <c r="AA335" s="89"/>
      <c r="AB335" s="89"/>
      <c r="AC335" s="89"/>
      <c r="AD335" s="89"/>
      <c r="AE335" s="89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9"/>
      <c r="C336" s="89"/>
      <c r="D336" s="89"/>
      <c r="E336" s="89"/>
      <c r="F336" s="89"/>
      <c r="G336" s="89"/>
      <c r="H336" s="62"/>
      <c r="I336" s="62"/>
      <c r="J336" s="62"/>
      <c r="K336" s="62"/>
      <c r="L336" s="62"/>
      <c r="M336" s="62"/>
      <c r="N336" s="89"/>
      <c r="O336" s="89"/>
      <c r="P336" s="89"/>
      <c r="Q336" s="89"/>
      <c r="R336" s="89"/>
      <c r="S336" s="89"/>
      <c r="T336" s="62"/>
      <c r="U336" s="62"/>
      <c r="V336" s="62"/>
      <c r="W336" s="62"/>
      <c r="X336" s="62"/>
      <c r="Y336" s="62"/>
      <c r="Z336" s="89"/>
      <c r="AA336" s="89"/>
      <c r="AB336" s="89"/>
      <c r="AC336" s="89"/>
      <c r="AD336" s="89"/>
      <c r="AE336" s="89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9"/>
      <c r="C337" s="89"/>
      <c r="D337" s="89"/>
      <c r="E337" s="89"/>
      <c r="F337" s="89"/>
      <c r="G337" s="89"/>
      <c r="H337" s="62"/>
      <c r="I337" s="89"/>
      <c r="J337" s="74"/>
      <c r="K337" s="62"/>
      <c r="L337" s="62"/>
      <c r="M337" s="62"/>
      <c r="N337" s="89"/>
      <c r="O337" s="89"/>
      <c r="P337" s="89"/>
      <c r="Q337" s="89"/>
      <c r="R337" s="89"/>
      <c r="S337" s="89"/>
      <c r="T337" s="62"/>
      <c r="U337" s="89"/>
      <c r="V337" s="74"/>
      <c r="W337" s="62"/>
      <c r="X337" s="62"/>
      <c r="Y337" s="62"/>
      <c r="Z337" s="89"/>
      <c r="AA337" s="89"/>
      <c r="AB337" s="89"/>
      <c r="AC337" s="89"/>
      <c r="AD337" s="89"/>
      <c r="AE337" s="89"/>
      <c r="AF337" s="62"/>
      <c r="AG337" s="89"/>
      <c r="AH337" s="89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9"/>
      <c r="C338" s="89"/>
      <c r="D338" s="89"/>
      <c r="E338" s="89"/>
      <c r="F338" s="89"/>
      <c r="G338" s="89"/>
      <c r="H338" s="62"/>
      <c r="I338" s="65"/>
      <c r="J338" s="65"/>
      <c r="K338" s="62"/>
      <c r="L338" s="62"/>
      <c r="M338" s="64"/>
      <c r="N338" s="89"/>
      <c r="O338" s="89"/>
      <c r="P338" s="89"/>
      <c r="Q338" s="89"/>
      <c r="R338" s="89"/>
      <c r="S338" s="89"/>
      <c r="T338" s="62"/>
      <c r="U338" s="65"/>
      <c r="V338" s="65"/>
      <c r="W338" s="62"/>
      <c r="X338" s="62"/>
      <c r="Y338" s="64"/>
      <c r="Z338" s="89"/>
      <c r="AA338" s="89"/>
      <c r="AB338" s="89"/>
      <c r="AC338" s="89"/>
      <c r="AD338" s="89"/>
      <c r="AE338" s="89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9"/>
      <c r="C339" s="89"/>
      <c r="D339" s="89"/>
      <c r="E339" s="89"/>
      <c r="F339" s="89"/>
      <c r="G339" s="89"/>
      <c r="H339" s="62"/>
      <c r="I339" s="62"/>
      <c r="J339" s="62"/>
      <c r="K339" s="62"/>
      <c r="L339" s="62"/>
      <c r="M339" s="62"/>
      <c r="N339" s="89"/>
      <c r="O339" s="89"/>
      <c r="P339" s="89"/>
      <c r="Q339" s="89"/>
      <c r="R339" s="89"/>
      <c r="S339" s="89"/>
      <c r="T339" s="62"/>
      <c r="U339" s="62"/>
      <c r="V339" s="62"/>
      <c r="W339" s="62"/>
      <c r="X339" s="62"/>
      <c r="Y339" s="62"/>
      <c r="Z339" s="89"/>
      <c r="AA339" s="89"/>
      <c r="AB339" s="89"/>
      <c r="AC339" s="89"/>
      <c r="AD339" s="89"/>
      <c r="AE339" s="89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9"/>
      <c r="D340" s="98"/>
      <c r="E340" s="98"/>
      <c r="F340" s="89"/>
      <c r="G340" s="89"/>
      <c r="H340" s="62"/>
      <c r="I340" s="98"/>
      <c r="J340" s="98"/>
      <c r="K340" s="97"/>
      <c r="L340" s="62"/>
      <c r="M340" s="62"/>
      <c r="N340" s="65"/>
      <c r="O340" s="89"/>
      <c r="P340" s="98"/>
      <c r="Q340" s="98"/>
      <c r="R340" s="89"/>
      <c r="S340" s="89"/>
      <c r="T340" s="62"/>
      <c r="U340" s="98"/>
      <c r="V340" s="98"/>
      <c r="W340" s="97"/>
      <c r="X340" s="62"/>
      <c r="Y340" s="62"/>
      <c r="Z340" s="65"/>
      <c r="AA340" s="89"/>
      <c r="AB340" s="98"/>
      <c r="AC340" s="98"/>
      <c r="AD340" s="89"/>
      <c r="AE340" s="89"/>
      <c r="AF340" s="62"/>
      <c r="AG340" s="98"/>
      <c r="AH340" s="98"/>
      <c r="AI340" s="97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9"/>
      <c r="C341" s="89"/>
      <c r="D341" s="81"/>
      <c r="E341" s="82"/>
      <c r="F341" s="83"/>
      <c r="G341" s="83"/>
      <c r="H341" s="62"/>
      <c r="I341" s="88"/>
      <c r="J341" s="88"/>
      <c r="K341" s="97"/>
      <c r="L341" s="62"/>
      <c r="M341" s="62"/>
      <c r="N341" s="89"/>
      <c r="O341" s="89"/>
      <c r="P341" s="81"/>
      <c r="Q341" s="83"/>
      <c r="R341" s="83"/>
      <c r="S341" s="83"/>
      <c r="T341" s="62"/>
      <c r="U341" s="88"/>
      <c r="V341" s="88"/>
      <c r="W341" s="97"/>
      <c r="X341" s="62"/>
      <c r="Y341" s="62"/>
      <c r="Z341" s="89"/>
      <c r="AA341" s="89"/>
      <c r="AB341" s="81"/>
      <c r="AC341" s="83"/>
      <c r="AD341" s="83"/>
      <c r="AE341" s="83"/>
      <c r="AF341" s="62"/>
      <c r="AG341" s="88"/>
      <c r="AH341" s="88"/>
      <c r="AI341" s="97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9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9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9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9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9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9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9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65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9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9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89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9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65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9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9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9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89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89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9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9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89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9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89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89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9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9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9"/>
      <c r="AB350" s="91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9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9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89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9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89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89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9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89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9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9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9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9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9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9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9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9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9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9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9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89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89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9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65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65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9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9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9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9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9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9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9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9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89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9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89"/>
      <c r="P362" s="67"/>
      <c r="Q362" s="89"/>
      <c r="R362" s="89"/>
      <c r="S362" s="60"/>
      <c r="T362" s="62"/>
      <c r="U362" s="62"/>
      <c r="V362" s="62"/>
      <c r="W362" s="61"/>
      <c r="X362" s="62"/>
      <c r="Y362" s="62"/>
      <c r="Z362" s="66"/>
      <c r="AA362" s="89"/>
      <c r="AB362" s="67"/>
      <c r="AC362" s="89"/>
      <c r="AD362" s="89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9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9"/>
      <c r="P363" s="68"/>
      <c r="Q363" s="89"/>
      <c r="R363" s="89"/>
      <c r="S363" s="60"/>
      <c r="T363" s="62"/>
      <c r="U363" s="62"/>
      <c r="V363" s="62"/>
      <c r="W363" s="61"/>
      <c r="X363" s="62"/>
      <c r="Y363" s="62"/>
      <c r="Z363" s="66"/>
      <c r="AA363" s="89"/>
      <c r="AB363" s="68"/>
      <c r="AC363" s="89"/>
      <c r="AD363" s="89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9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9"/>
      <c r="P364" s="69"/>
      <c r="Q364" s="89"/>
      <c r="R364" s="62"/>
      <c r="S364" s="60"/>
      <c r="T364" s="62"/>
      <c r="U364" s="62"/>
      <c r="V364" s="62"/>
      <c r="W364" s="61"/>
      <c r="X364" s="62"/>
      <c r="Y364" s="62"/>
      <c r="Z364" s="66"/>
      <c r="AA364" s="89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9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89"/>
      <c r="P365" s="69"/>
      <c r="Q365" s="89"/>
      <c r="R365" s="89"/>
      <c r="S365" s="60"/>
      <c r="T365" s="62"/>
      <c r="U365" s="62"/>
      <c r="V365" s="62"/>
      <c r="W365" s="61"/>
      <c r="X365" s="62"/>
      <c r="Y365" s="62"/>
      <c r="Z365" s="66"/>
      <c r="AA365" s="89"/>
      <c r="AB365" s="69"/>
      <c r="AC365" s="89"/>
      <c r="AD365" s="89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9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9"/>
      <c r="P366" s="69"/>
      <c r="Q366" s="89"/>
      <c r="R366" s="89"/>
      <c r="S366" s="60"/>
      <c r="T366" s="62"/>
      <c r="U366" s="62"/>
      <c r="V366" s="62"/>
      <c r="W366" s="61"/>
      <c r="X366" s="62"/>
      <c r="Y366" s="62"/>
      <c r="Z366" s="66"/>
      <c r="AA366" s="89"/>
      <c r="AB366" s="69"/>
      <c r="AC366" s="89"/>
      <c r="AD366" s="89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9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89"/>
      <c r="P367" s="69"/>
      <c r="Q367" s="89"/>
      <c r="R367" s="89"/>
      <c r="S367" s="60"/>
      <c r="T367" s="62"/>
      <c r="U367" s="62"/>
      <c r="V367" s="62"/>
      <c r="W367" s="61"/>
      <c r="X367" s="62"/>
      <c r="Y367" s="62"/>
      <c r="Z367" s="66"/>
      <c r="AA367" s="89"/>
      <c r="AB367" s="69"/>
      <c r="AC367" s="89"/>
      <c r="AD367" s="89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9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9"/>
      <c r="P368" s="69"/>
      <c r="Q368" s="89"/>
      <c r="R368" s="89"/>
      <c r="S368" s="60"/>
      <c r="T368" s="62"/>
      <c r="U368" s="62"/>
      <c r="V368" s="62"/>
      <c r="W368" s="61"/>
      <c r="X368" s="62"/>
      <c r="Y368" s="62"/>
      <c r="Z368" s="66"/>
      <c r="AA368" s="89"/>
      <c r="AB368" s="69"/>
      <c r="AC368" s="89"/>
      <c r="AD368" s="89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9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9"/>
      <c r="P369" s="69"/>
      <c r="Q369" s="89"/>
      <c r="R369" s="89"/>
      <c r="S369" s="60"/>
      <c r="T369" s="62"/>
      <c r="U369" s="62"/>
      <c r="V369" s="62"/>
      <c r="W369" s="61"/>
      <c r="X369" s="62"/>
      <c r="Y369" s="62"/>
      <c r="Z369" s="66"/>
      <c r="AA369" s="89"/>
      <c r="AB369" s="69"/>
      <c r="AC369" s="89"/>
      <c r="AD369" s="89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9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9"/>
      <c r="P370" s="69"/>
      <c r="Q370" s="89"/>
      <c r="R370" s="89"/>
      <c r="S370" s="60"/>
      <c r="T370" s="62"/>
      <c r="U370" s="62"/>
      <c r="V370" s="62"/>
      <c r="W370" s="61"/>
      <c r="X370" s="62"/>
      <c r="Y370" s="62"/>
      <c r="Z370" s="66"/>
      <c r="AA370" s="89"/>
      <c r="AB370" s="69"/>
      <c r="AC370" s="89"/>
      <c r="AD370" s="89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65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89"/>
      <c r="P371" s="69"/>
      <c r="Q371" s="89"/>
      <c r="R371" s="89"/>
      <c r="S371" s="60"/>
      <c r="T371" s="62"/>
      <c r="U371" s="62"/>
      <c r="V371" s="62"/>
      <c r="W371" s="61"/>
      <c r="X371" s="62"/>
      <c r="Y371" s="62"/>
      <c r="Z371" s="66"/>
      <c r="AA371" s="62"/>
      <c r="AB371" s="69"/>
      <c r="AC371" s="89"/>
      <c r="AD371" s="89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9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9"/>
      <c r="P372" s="69"/>
      <c r="Q372" s="89"/>
      <c r="R372" s="89"/>
      <c r="S372" s="60"/>
      <c r="T372" s="62"/>
      <c r="U372" s="62"/>
      <c r="V372" s="62"/>
      <c r="W372" s="61"/>
      <c r="X372" s="62"/>
      <c r="Y372" s="62"/>
      <c r="Z372" s="66"/>
      <c r="AA372" s="62"/>
      <c r="AB372" s="69"/>
      <c r="AC372" s="89"/>
      <c r="AD372" s="89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9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9"/>
      <c r="P373" s="69"/>
      <c r="Q373" s="89"/>
      <c r="R373" s="89"/>
      <c r="S373" s="60"/>
      <c r="T373" s="62"/>
      <c r="U373" s="62"/>
      <c r="V373" s="62"/>
      <c r="W373" s="61"/>
      <c r="X373" s="62"/>
      <c r="Y373" s="62"/>
      <c r="Z373" s="66"/>
      <c r="AA373" s="89"/>
      <c r="AB373" s="69"/>
      <c r="AC373" s="89"/>
      <c r="AD373" s="89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9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9"/>
      <c r="P374" s="69"/>
      <c r="Q374" s="89"/>
      <c r="R374" s="89"/>
      <c r="S374" s="60"/>
      <c r="T374" s="62"/>
      <c r="U374" s="62"/>
      <c r="V374" s="62"/>
      <c r="W374" s="61"/>
      <c r="X374" s="62"/>
      <c r="Y374" s="62"/>
      <c r="Z374" s="66"/>
      <c r="AA374" s="89"/>
      <c r="AB374" s="69"/>
      <c r="AC374" s="89"/>
      <c r="AD374" s="89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9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9"/>
      <c r="P375" s="69"/>
      <c r="Q375" s="89"/>
      <c r="R375" s="89"/>
      <c r="S375" s="60"/>
      <c r="T375" s="62"/>
      <c r="U375" s="62"/>
      <c r="V375" s="62"/>
      <c r="W375" s="61"/>
      <c r="X375" s="62"/>
      <c r="Y375" s="62"/>
      <c r="Z375" s="66"/>
      <c r="AA375" s="62"/>
      <c r="AB375" s="69"/>
      <c r="AC375" s="89"/>
      <c r="AD375" s="89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9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9"/>
      <c r="P376" s="69"/>
      <c r="Q376" s="89"/>
      <c r="R376" s="89"/>
      <c r="S376" s="60"/>
      <c r="T376" s="62"/>
      <c r="U376" s="62"/>
      <c r="V376" s="62"/>
      <c r="W376" s="61"/>
      <c r="X376" s="62"/>
      <c r="Y376" s="62"/>
      <c r="Z376" s="66"/>
      <c r="AA376" s="89"/>
      <c r="AB376" s="69"/>
      <c r="AC376" s="89"/>
      <c r="AD376" s="89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9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9"/>
      <c r="P377" s="69"/>
      <c r="Q377" s="89"/>
      <c r="R377" s="89"/>
      <c r="S377" s="60"/>
      <c r="T377" s="62"/>
      <c r="U377" s="62"/>
      <c r="V377" s="62"/>
      <c r="W377" s="61"/>
      <c r="X377" s="62"/>
      <c r="Y377" s="62"/>
      <c r="Z377" s="66"/>
      <c r="AA377" s="89"/>
      <c r="AB377" s="69"/>
      <c r="AC377" s="89"/>
      <c r="AD377" s="89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9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9"/>
      <c r="R378" s="89"/>
      <c r="S378" s="60"/>
      <c r="T378" s="62"/>
      <c r="U378" s="62"/>
      <c r="V378" s="62"/>
      <c r="W378" s="61"/>
      <c r="X378" s="62"/>
      <c r="Y378" s="62"/>
      <c r="Z378" s="66"/>
      <c r="AA378" s="89"/>
      <c r="AB378" s="69"/>
      <c r="AC378" s="89"/>
      <c r="AD378" s="89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9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9"/>
      <c r="P379" s="69"/>
      <c r="Q379" s="89"/>
      <c r="R379" s="89"/>
      <c r="S379" s="60"/>
      <c r="T379" s="62"/>
      <c r="U379" s="62"/>
      <c r="V379" s="62"/>
      <c r="W379" s="61"/>
      <c r="X379" s="62"/>
      <c r="Y379" s="62"/>
      <c r="Z379" s="66"/>
      <c r="AA379" s="89"/>
      <c r="AB379" s="69"/>
      <c r="AC379" s="89"/>
      <c r="AD379" s="89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9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9"/>
      <c r="P380" s="69"/>
      <c r="Q380" s="89"/>
      <c r="R380" s="89"/>
      <c r="S380" s="60"/>
      <c r="T380" s="62"/>
      <c r="U380" s="62"/>
      <c r="V380" s="62"/>
      <c r="W380" s="61"/>
      <c r="X380" s="62"/>
      <c r="Y380" s="62"/>
      <c r="Z380" s="66"/>
      <c r="AA380" s="89"/>
      <c r="AB380" s="69"/>
      <c r="AC380" s="89"/>
      <c r="AD380" s="89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9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9"/>
      <c r="R381" s="89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9"/>
      <c r="AD381" s="89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9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9"/>
      <c r="P382" s="69"/>
      <c r="Q382" s="89"/>
      <c r="R382" s="89"/>
      <c r="S382" s="60"/>
      <c r="T382" s="62"/>
      <c r="U382" s="62"/>
      <c r="V382" s="62"/>
      <c r="W382" s="61"/>
      <c r="X382" s="62"/>
      <c r="Y382" s="62"/>
      <c r="Z382" s="66"/>
      <c r="AA382" s="89"/>
      <c r="AB382" s="69"/>
      <c r="AC382" s="89"/>
      <c r="AD382" s="89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9"/>
      <c r="O383" s="89"/>
      <c r="P383" s="89"/>
      <c r="Q383" s="89"/>
      <c r="R383" s="89"/>
      <c r="S383" s="89"/>
      <c r="T383" s="62"/>
      <c r="U383" s="62"/>
      <c r="V383" s="62"/>
      <c r="W383" s="61"/>
      <c r="X383" s="62"/>
      <c r="Y383" s="62"/>
      <c r="Z383" s="89"/>
      <c r="AA383" s="89"/>
      <c r="AB383" s="89"/>
      <c r="AC383" s="89"/>
      <c r="AD383" s="89"/>
      <c r="AE383" s="89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9"/>
      <c r="C384" s="89"/>
      <c r="D384" s="89"/>
      <c r="E384" s="89"/>
      <c r="F384" s="89"/>
      <c r="G384" s="89"/>
      <c r="H384" s="62"/>
      <c r="I384" s="62"/>
      <c r="J384" s="62"/>
      <c r="K384" s="62"/>
      <c r="L384" s="62"/>
      <c r="M384" s="62"/>
      <c r="N384" s="89"/>
      <c r="O384" s="89"/>
      <c r="P384" s="89"/>
      <c r="Q384" s="89"/>
      <c r="R384" s="89"/>
      <c r="S384" s="89"/>
      <c r="T384" s="62"/>
      <c r="U384" s="62"/>
      <c r="V384" s="62"/>
      <c r="W384" s="62"/>
      <c r="X384" s="62"/>
      <c r="Y384" s="62"/>
      <c r="Z384" s="89"/>
      <c r="AA384" s="89"/>
      <c r="AB384" s="89"/>
      <c r="AC384" s="89"/>
      <c r="AD384" s="89"/>
      <c r="AE384" s="89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9"/>
      <c r="C385" s="89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9"/>
      <c r="O385" s="89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9"/>
      <c r="AA385" s="89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9"/>
      <c r="C387" s="89"/>
      <c r="D387" s="89"/>
      <c r="E387" s="89"/>
      <c r="F387" s="89"/>
      <c r="G387" s="89"/>
      <c r="H387" s="62"/>
      <c r="I387" s="62"/>
      <c r="J387" s="62"/>
      <c r="K387" s="62"/>
      <c r="L387" s="62"/>
      <c r="M387" s="62"/>
      <c r="N387" s="89"/>
      <c r="O387" s="89"/>
      <c r="P387" s="89"/>
      <c r="Q387" s="89"/>
      <c r="R387" s="89"/>
      <c r="S387" s="89"/>
      <c r="T387" s="62"/>
      <c r="U387" s="62"/>
      <c r="V387" s="62"/>
      <c r="W387" s="62"/>
      <c r="X387" s="62"/>
      <c r="Y387" s="62"/>
      <c r="Z387" s="89"/>
      <c r="AA387" s="89"/>
      <c r="AB387" s="89"/>
      <c r="AC387" s="89"/>
      <c r="AD387" s="89"/>
      <c r="AE387" s="89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9"/>
      <c r="C388" s="89"/>
      <c r="D388" s="89"/>
      <c r="E388" s="89"/>
      <c r="F388" s="89"/>
      <c r="G388" s="89"/>
      <c r="H388" s="62"/>
      <c r="I388" s="62"/>
      <c r="J388" s="62"/>
      <c r="K388" s="62"/>
      <c r="L388" s="62"/>
      <c r="M388" s="62"/>
      <c r="N388" s="89"/>
      <c r="O388" s="89"/>
      <c r="P388" s="89"/>
      <c r="Q388" s="89"/>
      <c r="R388" s="89"/>
      <c r="S388" s="89"/>
      <c r="T388" s="62"/>
      <c r="U388" s="62"/>
      <c r="V388" s="62"/>
      <c r="W388" s="62"/>
      <c r="X388" s="62"/>
      <c r="Y388" s="62"/>
      <c r="Z388" s="89"/>
      <c r="AA388" s="89"/>
      <c r="AB388" s="89"/>
      <c r="AC388" s="89"/>
      <c r="AD388" s="89"/>
      <c r="AE388" s="89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9"/>
      <c r="C389" s="89"/>
      <c r="D389" s="89"/>
      <c r="E389" s="89"/>
      <c r="F389" s="89"/>
      <c r="G389" s="89"/>
      <c r="H389" s="62"/>
      <c r="I389" s="62"/>
      <c r="J389" s="62"/>
      <c r="K389" s="62"/>
      <c r="L389" s="62"/>
      <c r="M389" s="62"/>
      <c r="N389" s="89"/>
      <c r="O389" s="89"/>
      <c r="P389" s="89"/>
      <c r="Q389" s="89"/>
      <c r="R389" s="89"/>
      <c r="S389" s="89"/>
      <c r="T389" s="62"/>
      <c r="U389" s="62"/>
      <c r="V389" s="62"/>
      <c r="W389" s="62"/>
      <c r="X389" s="62"/>
      <c r="Y389" s="62"/>
      <c r="Z389" s="89"/>
      <c r="AA389" s="89"/>
      <c r="AB389" s="89"/>
      <c r="AC389" s="89"/>
      <c r="AD389" s="89"/>
      <c r="AE389" s="89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9"/>
      <c r="C390" s="89"/>
      <c r="D390" s="89"/>
      <c r="E390" s="89"/>
      <c r="F390" s="89"/>
      <c r="G390" s="89"/>
      <c r="H390" s="62"/>
      <c r="I390" s="62"/>
      <c r="J390" s="62"/>
      <c r="K390" s="62"/>
      <c r="L390" s="62"/>
      <c r="M390" s="63"/>
      <c r="N390" s="89"/>
      <c r="O390" s="89"/>
      <c r="P390" s="89"/>
      <c r="Q390" s="89"/>
      <c r="R390" s="89"/>
      <c r="S390" s="89"/>
      <c r="T390" s="62"/>
      <c r="U390" s="62"/>
      <c r="V390" s="62"/>
      <c r="W390" s="62"/>
      <c r="X390" s="62"/>
      <c r="Y390" s="63"/>
      <c r="Z390" s="89"/>
      <c r="AA390" s="89"/>
      <c r="AB390" s="89"/>
      <c r="AC390" s="89"/>
      <c r="AD390" s="89"/>
      <c r="AE390" s="89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9"/>
      <c r="C391" s="89"/>
      <c r="D391" s="89"/>
      <c r="E391" s="89"/>
      <c r="F391" s="89"/>
      <c r="G391" s="89"/>
      <c r="H391" s="62"/>
      <c r="I391" s="62"/>
      <c r="J391" s="62"/>
      <c r="K391" s="62"/>
      <c r="L391" s="62"/>
      <c r="M391" s="62"/>
      <c r="N391" s="89"/>
      <c r="O391" s="89"/>
      <c r="P391" s="89"/>
      <c r="Q391" s="89"/>
      <c r="R391" s="89"/>
      <c r="S391" s="89"/>
      <c r="T391" s="62"/>
      <c r="U391" s="62"/>
      <c r="V391" s="62"/>
      <c r="W391" s="62"/>
      <c r="X391" s="62"/>
      <c r="Y391" s="62"/>
      <c r="Z391" s="89"/>
      <c r="AA391" s="89"/>
      <c r="AB391" s="89"/>
      <c r="AC391" s="89"/>
      <c r="AD391" s="89"/>
      <c r="AE391" s="89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9"/>
      <c r="C392" s="89"/>
      <c r="D392" s="89"/>
      <c r="E392" s="89"/>
      <c r="F392" s="89"/>
      <c r="G392" s="89"/>
      <c r="H392" s="62"/>
      <c r="I392" s="89"/>
      <c r="J392" s="74"/>
      <c r="K392" s="62"/>
      <c r="L392" s="62"/>
      <c r="M392" s="62"/>
      <c r="N392" s="89"/>
      <c r="O392" s="89"/>
      <c r="P392" s="89"/>
      <c r="Q392" s="89"/>
      <c r="R392" s="89"/>
      <c r="S392" s="89"/>
      <c r="T392" s="62"/>
      <c r="U392" s="89"/>
      <c r="V392" s="74"/>
      <c r="W392" s="62"/>
      <c r="X392" s="62"/>
      <c r="Y392" s="62"/>
      <c r="Z392" s="89"/>
      <c r="AA392" s="89"/>
      <c r="AB392" s="89"/>
      <c r="AC392" s="89"/>
      <c r="AD392" s="89"/>
      <c r="AE392" s="89"/>
      <c r="AF392" s="62"/>
      <c r="AG392" s="89"/>
      <c r="AH392" s="89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9"/>
      <c r="C393" s="89"/>
      <c r="D393" s="89"/>
      <c r="E393" s="89"/>
      <c r="F393" s="89"/>
      <c r="G393" s="89"/>
      <c r="H393" s="62"/>
      <c r="I393" s="65"/>
      <c r="J393" s="65"/>
      <c r="K393" s="62"/>
      <c r="L393" s="62"/>
      <c r="M393" s="64"/>
      <c r="N393" s="89"/>
      <c r="O393" s="89"/>
      <c r="P393" s="89"/>
      <c r="Q393" s="89"/>
      <c r="R393" s="89"/>
      <c r="S393" s="89"/>
      <c r="T393" s="62"/>
      <c r="U393" s="65"/>
      <c r="V393" s="65"/>
      <c r="W393" s="62"/>
      <c r="X393" s="62"/>
      <c r="Y393" s="64"/>
      <c r="Z393" s="89"/>
      <c r="AA393" s="89"/>
      <c r="AB393" s="89"/>
      <c r="AC393" s="89"/>
      <c r="AD393" s="89"/>
      <c r="AE393" s="89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9"/>
      <c r="C394" s="89"/>
      <c r="D394" s="89"/>
      <c r="E394" s="89"/>
      <c r="F394" s="89"/>
      <c r="G394" s="89"/>
      <c r="H394" s="62"/>
      <c r="I394" s="62"/>
      <c r="J394" s="62"/>
      <c r="K394" s="62"/>
      <c r="L394" s="62"/>
      <c r="M394" s="62"/>
      <c r="N394" s="89"/>
      <c r="O394" s="89"/>
      <c r="P394" s="89"/>
      <c r="Q394" s="89"/>
      <c r="R394" s="89"/>
      <c r="S394" s="89"/>
      <c r="T394" s="62"/>
      <c r="U394" s="62"/>
      <c r="V394" s="62"/>
      <c r="W394" s="62"/>
      <c r="X394" s="62"/>
      <c r="Y394" s="62"/>
      <c r="Z394" s="89"/>
      <c r="AA394" s="89"/>
      <c r="AB394" s="89"/>
      <c r="AC394" s="89"/>
      <c r="AD394" s="89"/>
      <c r="AE394" s="89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9"/>
      <c r="D395" s="98"/>
      <c r="E395" s="98"/>
      <c r="F395" s="89"/>
      <c r="G395" s="89"/>
      <c r="H395" s="62"/>
      <c r="I395" s="98"/>
      <c r="J395" s="98"/>
      <c r="K395" s="97"/>
      <c r="L395" s="62"/>
      <c r="M395" s="62"/>
      <c r="N395" s="65"/>
      <c r="O395" s="89"/>
      <c r="P395" s="98"/>
      <c r="Q395" s="98"/>
      <c r="R395" s="89"/>
      <c r="S395" s="89"/>
      <c r="T395" s="62"/>
      <c r="U395" s="98"/>
      <c r="V395" s="98"/>
      <c r="W395" s="97"/>
      <c r="X395" s="62"/>
      <c r="Y395" s="62"/>
      <c r="Z395" s="65"/>
      <c r="AA395" s="89"/>
      <c r="AB395" s="98"/>
      <c r="AC395" s="98"/>
      <c r="AD395" s="89"/>
      <c r="AE395" s="89"/>
      <c r="AF395" s="62"/>
      <c r="AG395" s="98"/>
      <c r="AH395" s="98"/>
      <c r="AI395" s="97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9"/>
      <c r="C396" s="89"/>
      <c r="D396" s="81"/>
      <c r="E396" s="82"/>
      <c r="F396" s="83"/>
      <c r="G396" s="83"/>
      <c r="H396" s="62"/>
      <c r="I396" s="88"/>
      <c r="J396" s="88"/>
      <c r="K396" s="97"/>
      <c r="L396" s="62"/>
      <c r="M396" s="62"/>
      <c r="N396" s="89"/>
      <c r="O396" s="89"/>
      <c r="P396" s="81"/>
      <c r="Q396" s="83"/>
      <c r="R396" s="83"/>
      <c r="S396" s="83"/>
      <c r="T396" s="62"/>
      <c r="U396" s="88"/>
      <c r="V396" s="88"/>
      <c r="W396" s="97"/>
      <c r="X396" s="62"/>
      <c r="Y396" s="62"/>
      <c r="Z396" s="89"/>
      <c r="AA396" s="89"/>
      <c r="AB396" s="81"/>
      <c r="AC396" s="83"/>
      <c r="AD396" s="83"/>
      <c r="AE396" s="83"/>
      <c r="AF396" s="62"/>
      <c r="AG396" s="88"/>
      <c r="AH396" s="88"/>
      <c r="AI396" s="97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9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9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9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9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9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9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9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9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9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9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9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65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9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9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9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9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9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9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65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9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89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9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9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89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9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9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9"/>
      <c r="AB405" s="91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9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9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9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9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89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9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9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9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9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9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9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9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9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9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9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9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9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9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9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9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89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9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9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62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9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9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9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9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9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9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9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9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89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9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9"/>
      <c r="P417" s="67"/>
      <c r="Q417" s="89"/>
      <c r="R417" s="89"/>
      <c r="S417" s="60"/>
      <c r="T417" s="62"/>
      <c r="U417" s="62"/>
      <c r="V417" s="62"/>
      <c r="W417" s="61"/>
      <c r="X417" s="62"/>
      <c r="Y417" s="62"/>
      <c r="Z417" s="66"/>
      <c r="AA417" s="89"/>
      <c r="AB417" s="67"/>
      <c r="AC417" s="89"/>
      <c r="AD417" s="89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9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9"/>
      <c r="P418" s="68"/>
      <c r="Q418" s="89"/>
      <c r="R418" s="89"/>
      <c r="S418" s="60"/>
      <c r="T418" s="62"/>
      <c r="U418" s="62"/>
      <c r="V418" s="62"/>
      <c r="W418" s="61"/>
      <c r="X418" s="62"/>
      <c r="Y418" s="62"/>
      <c r="Z418" s="66"/>
      <c r="AA418" s="89"/>
      <c r="AB418" s="68"/>
      <c r="AC418" s="89"/>
      <c r="AD418" s="89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9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9"/>
      <c r="P419" s="69"/>
      <c r="Q419" s="89"/>
      <c r="R419" s="62"/>
      <c r="S419" s="60"/>
      <c r="T419" s="62"/>
      <c r="U419" s="62"/>
      <c r="V419" s="62"/>
      <c r="W419" s="61"/>
      <c r="X419" s="62"/>
      <c r="Y419" s="62"/>
      <c r="Z419" s="66"/>
      <c r="AA419" s="89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9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9"/>
      <c r="P420" s="69"/>
      <c r="Q420" s="89"/>
      <c r="R420" s="89"/>
      <c r="S420" s="60"/>
      <c r="T420" s="62"/>
      <c r="U420" s="62"/>
      <c r="V420" s="62"/>
      <c r="W420" s="61"/>
      <c r="X420" s="62"/>
      <c r="Y420" s="62"/>
      <c r="Z420" s="66"/>
      <c r="AA420" s="89"/>
      <c r="AB420" s="69"/>
      <c r="AC420" s="89"/>
      <c r="AD420" s="89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9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9"/>
      <c r="P421" s="69"/>
      <c r="Q421" s="89"/>
      <c r="R421" s="89"/>
      <c r="S421" s="60"/>
      <c r="T421" s="62"/>
      <c r="U421" s="62"/>
      <c r="V421" s="62"/>
      <c r="W421" s="61"/>
      <c r="X421" s="62"/>
      <c r="Y421" s="62"/>
      <c r="Z421" s="66"/>
      <c r="AA421" s="89"/>
      <c r="AB421" s="69"/>
      <c r="AC421" s="89"/>
      <c r="AD421" s="89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9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65"/>
      <c r="P422" s="69"/>
      <c r="Q422" s="89"/>
      <c r="R422" s="89"/>
      <c r="S422" s="60"/>
      <c r="T422" s="62"/>
      <c r="U422" s="62"/>
      <c r="V422" s="62"/>
      <c r="W422" s="61"/>
      <c r="X422" s="62"/>
      <c r="Y422" s="62"/>
      <c r="Z422" s="66"/>
      <c r="AA422" s="89"/>
      <c r="AB422" s="69"/>
      <c r="AC422" s="89"/>
      <c r="AD422" s="89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9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9"/>
      <c r="P423" s="69"/>
      <c r="Q423" s="89"/>
      <c r="R423" s="89"/>
      <c r="S423" s="60"/>
      <c r="T423" s="62"/>
      <c r="U423" s="62"/>
      <c r="V423" s="62"/>
      <c r="W423" s="61"/>
      <c r="X423" s="62"/>
      <c r="Y423" s="62"/>
      <c r="Z423" s="66"/>
      <c r="AA423" s="89"/>
      <c r="AB423" s="69"/>
      <c r="AC423" s="89"/>
      <c r="AD423" s="89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9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9"/>
      <c r="P424" s="69"/>
      <c r="Q424" s="89"/>
      <c r="R424" s="89"/>
      <c r="S424" s="60"/>
      <c r="T424" s="62"/>
      <c r="U424" s="62"/>
      <c r="V424" s="62"/>
      <c r="W424" s="61"/>
      <c r="X424" s="62"/>
      <c r="Y424" s="62"/>
      <c r="Z424" s="66"/>
      <c r="AA424" s="89"/>
      <c r="AB424" s="69"/>
      <c r="AC424" s="89"/>
      <c r="AD424" s="89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9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9"/>
      <c r="P425" s="69"/>
      <c r="Q425" s="89"/>
      <c r="R425" s="89"/>
      <c r="S425" s="60"/>
      <c r="T425" s="62"/>
      <c r="U425" s="62"/>
      <c r="V425" s="62"/>
      <c r="W425" s="61"/>
      <c r="X425" s="62"/>
      <c r="Y425" s="62"/>
      <c r="Z425" s="66"/>
      <c r="AA425" s="89"/>
      <c r="AB425" s="69"/>
      <c r="AC425" s="89"/>
      <c r="AD425" s="89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9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62"/>
      <c r="P426" s="69"/>
      <c r="Q426" s="89"/>
      <c r="R426" s="89"/>
      <c r="S426" s="60"/>
      <c r="T426" s="62"/>
      <c r="U426" s="62"/>
      <c r="V426" s="62"/>
      <c r="W426" s="61"/>
      <c r="X426" s="62"/>
      <c r="Y426" s="62"/>
      <c r="Z426" s="66"/>
      <c r="AA426" s="89"/>
      <c r="AB426" s="69"/>
      <c r="AC426" s="89"/>
      <c r="AD426" s="89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9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9"/>
      <c r="P427" s="69"/>
      <c r="Q427" s="89"/>
      <c r="R427" s="89"/>
      <c r="S427" s="60"/>
      <c r="T427" s="62"/>
      <c r="U427" s="62"/>
      <c r="V427" s="62"/>
      <c r="W427" s="61"/>
      <c r="X427" s="62"/>
      <c r="Y427" s="62"/>
      <c r="Z427" s="66"/>
      <c r="AA427" s="89"/>
      <c r="AB427" s="69"/>
      <c r="AC427" s="89"/>
      <c r="AD427" s="89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9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9"/>
      <c r="P428" s="69"/>
      <c r="Q428" s="89"/>
      <c r="R428" s="89"/>
      <c r="S428" s="60"/>
      <c r="T428" s="62"/>
      <c r="U428" s="62"/>
      <c r="V428" s="62"/>
      <c r="W428" s="61"/>
      <c r="X428" s="62"/>
      <c r="Y428" s="62"/>
      <c r="Z428" s="66"/>
      <c r="AA428" s="89"/>
      <c r="AB428" s="69"/>
      <c r="AC428" s="89"/>
      <c r="AD428" s="89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9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9"/>
      <c r="P429" s="69"/>
      <c r="Q429" s="89"/>
      <c r="R429" s="89"/>
      <c r="S429" s="60"/>
      <c r="T429" s="62"/>
      <c r="U429" s="62"/>
      <c r="V429" s="62"/>
      <c r="W429" s="61"/>
      <c r="X429" s="62"/>
      <c r="Y429" s="62"/>
      <c r="Z429" s="66"/>
      <c r="AA429" s="89"/>
      <c r="AB429" s="69"/>
      <c r="AC429" s="89"/>
      <c r="AD429" s="89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9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9"/>
      <c r="P430" s="69"/>
      <c r="Q430" s="89"/>
      <c r="R430" s="89"/>
      <c r="S430" s="60"/>
      <c r="T430" s="62"/>
      <c r="U430" s="62"/>
      <c r="V430" s="62"/>
      <c r="W430" s="61"/>
      <c r="X430" s="62"/>
      <c r="Y430" s="62"/>
      <c r="Z430" s="66"/>
      <c r="AA430" s="89"/>
      <c r="AB430" s="69"/>
      <c r="AC430" s="89"/>
      <c r="AD430" s="89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9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9"/>
      <c r="P431" s="69"/>
      <c r="Q431" s="89"/>
      <c r="R431" s="89"/>
      <c r="S431" s="60"/>
      <c r="T431" s="62"/>
      <c r="U431" s="62"/>
      <c r="V431" s="62"/>
      <c r="W431" s="61"/>
      <c r="X431" s="62"/>
      <c r="Y431" s="62"/>
      <c r="Z431" s="66"/>
      <c r="AA431" s="89"/>
      <c r="AB431" s="69"/>
      <c r="AC431" s="89"/>
      <c r="AD431" s="89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9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9"/>
      <c r="P432" s="69"/>
      <c r="Q432" s="89"/>
      <c r="R432" s="89"/>
      <c r="S432" s="60"/>
      <c r="T432" s="62"/>
      <c r="U432" s="62"/>
      <c r="V432" s="62"/>
      <c r="W432" s="61"/>
      <c r="X432" s="62"/>
      <c r="Y432" s="62"/>
      <c r="Z432" s="66"/>
      <c r="AA432" s="89"/>
      <c r="AB432" s="69"/>
      <c r="AC432" s="89"/>
      <c r="AD432" s="89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9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9"/>
      <c r="R433" s="89"/>
      <c r="S433" s="60"/>
      <c r="T433" s="62"/>
      <c r="U433" s="62"/>
      <c r="V433" s="62"/>
      <c r="W433" s="61"/>
      <c r="X433" s="62"/>
      <c r="Y433" s="62"/>
      <c r="Z433" s="66"/>
      <c r="AA433" s="89"/>
      <c r="AB433" s="69"/>
      <c r="AC433" s="89"/>
      <c r="AD433" s="89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9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9"/>
      <c r="P434" s="69"/>
      <c r="Q434" s="89"/>
      <c r="R434" s="89"/>
      <c r="S434" s="60"/>
      <c r="T434" s="62"/>
      <c r="U434" s="62"/>
      <c r="V434" s="62"/>
      <c r="W434" s="61"/>
      <c r="X434" s="62"/>
      <c r="Y434" s="62"/>
      <c r="Z434" s="66"/>
      <c r="AA434" s="89"/>
      <c r="AB434" s="69"/>
      <c r="AC434" s="89"/>
      <c r="AD434" s="89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9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9"/>
      <c r="P435" s="69"/>
      <c r="Q435" s="89"/>
      <c r="R435" s="89"/>
      <c r="S435" s="60"/>
      <c r="T435" s="62"/>
      <c r="U435" s="62"/>
      <c r="V435" s="62"/>
      <c r="W435" s="61"/>
      <c r="X435" s="62"/>
      <c r="Y435" s="62"/>
      <c r="Z435" s="66"/>
      <c r="AA435" s="89"/>
      <c r="AB435" s="69"/>
      <c r="AC435" s="89"/>
      <c r="AD435" s="89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9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9"/>
      <c r="R436" s="89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9"/>
      <c r="AD436" s="89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9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9"/>
      <c r="P437" s="69"/>
      <c r="Q437" s="89"/>
      <c r="R437" s="89"/>
      <c r="S437" s="60"/>
      <c r="T437" s="62"/>
      <c r="U437" s="62"/>
      <c r="V437" s="62"/>
      <c r="W437" s="61"/>
      <c r="X437" s="62"/>
      <c r="Y437" s="62"/>
      <c r="Z437" s="66"/>
      <c r="AA437" s="89"/>
      <c r="AB437" s="69"/>
      <c r="AC437" s="89"/>
      <c r="AD437" s="89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9"/>
      <c r="O438" s="89"/>
      <c r="P438" s="89"/>
      <c r="Q438" s="89"/>
      <c r="R438" s="89"/>
      <c r="S438" s="89"/>
      <c r="T438" s="62"/>
      <c r="U438" s="62"/>
      <c r="V438" s="62"/>
      <c r="W438" s="61"/>
      <c r="X438" s="62"/>
      <c r="Y438" s="62"/>
      <c r="Z438" s="89"/>
      <c r="AA438" s="89"/>
      <c r="AB438" s="89"/>
      <c r="AC438" s="89"/>
      <c r="AD438" s="89"/>
      <c r="AE438" s="89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9"/>
      <c r="C439" s="89"/>
      <c r="D439" s="89"/>
      <c r="E439" s="89"/>
      <c r="F439" s="89"/>
      <c r="G439" s="89"/>
      <c r="H439" s="62"/>
      <c r="I439" s="62"/>
      <c r="J439" s="62"/>
      <c r="K439" s="62"/>
      <c r="L439" s="62"/>
      <c r="M439" s="62"/>
      <c r="N439" s="89"/>
      <c r="O439" s="89"/>
      <c r="P439" s="89"/>
      <c r="Q439" s="89"/>
      <c r="R439" s="89"/>
      <c r="S439" s="89"/>
      <c r="T439" s="62"/>
      <c r="U439" s="62"/>
      <c r="V439" s="62"/>
      <c r="W439" s="62"/>
      <c r="X439" s="62"/>
      <c r="Y439" s="62"/>
      <c r="Z439" s="89"/>
      <c r="AA439" s="89"/>
      <c r="AB439" s="89"/>
      <c r="AC439" s="89"/>
      <c r="AD439" s="89"/>
      <c r="AE439" s="89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9"/>
      <c r="C440" s="89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9"/>
      <c r="O440" s="89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9"/>
      <c r="AA440" s="89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9"/>
      <c r="C442" s="89"/>
      <c r="D442" s="89"/>
      <c r="E442" s="89"/>
      <c r="F442" s="89"/>
      <c r="G442" s="89"/>
      <c r="H442" s="62"/>
      <c r="I442" s="62"/>
      <c r="J442" s="62"/>
      <c r="K442" s="62"/>
      <c r="L442" s="62"/>
      <c r="M442" s="62"/>
      <c r="N442" s="89"/>
      <c r="O442" s="89"/>
      <c r="P442" s="89"/>
      <c r="Q442" s="89"/>
      <c r="R442" s="89"/>
      <c r="S442" s="89"/>
      <c r="T442" s="62"/>
      <c r="U442" s="62"/>
      <c r="V442" s="62"/>
      <c r="W442" s="62"/>
      <c r="X442" s="62"/>
      <c r="Y442" s="62"/>
      <c r="Z442" s="89"/>
      <c r="AA442" s="89"/>
      <c r="AB442" s="89"/>
      <c r="AC442" s="89"/>
      <c r="AD442" s="89"/>
      <c r="AE442" s="89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9"/>
      <c r="C443" s="89"/>
      <c r="D443" s="89"/>
      <c r="E443" s="89"/>
      <c r="F443" s="89"/>
      <c r="G443" s="89"/>
      <c r="H443" s="62"/>
      <c r="I443" s="62"/>
      <c r="J443" s="62"/>
      <c r="K443" s="62"/>
      <c r="L443" s="62"/>
      <c r="M443" s="62"/>
      <c r="N443" s="89"/>
      <c r="O443" s="89"/>
      <c r="P443" s="89"/>
      <c r="Q443" s="89"/>
      <c r="R443" s="89"/>
      <c r="S443" s="89"/>
      <c r="T443" s="62"/>
      <c r="U443" s="62"/>
      <c r="V443" s="62"/>
      <c r="W443" s="62"/>
      <c r="X443" s="62"/>
      <c r="Y443" s="62"/>
      <c r="Z443" s="89"/>
      <c r="AA443" s="89"/>
      <c r="AB443" s="89"/>
      <c r="AC443" s="89"/>
      <c r="AD443" s="89"/>
      <c r="AE443" s="89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9"/>
      <c r="C444" s="89"/>
      <c r="D444" s="89"/>
      <c r="E444" s="89"/>
      <c r="F444" s="89"/>
      <c r="G444" s="89"/>
      <c r="H444" s="62"/>
      <c r="I444" s="62"/>
      <c r="J444" s="62"/>
      <c r="K444" s="62"/>
      <c r="L444" s="62"/>
      <c r="M444" s="62"/>
      <c r="N444" s="89"/>
      <c r="O444" s="89"/>
      <c r="P444" s="89"/>
      <c r="Q444" s="89"/>
      <c r="R444" s="89"/>
      <c r="S444" s="89"/>
      <c r="T444" s="62"/>
      <c r="U444" s="62"/>
      <c r="V444" s="62"/>
      <c r="W444" s="62"/>
      <c r="X444" s="62"/>
      <c r="Y444" s="62"/>
      <c r="Z444" s="89"/>
      <c r="AA444" s="89"/>
      <c r="AB444" s="89"/>
      <c r="AC444" s="89"/>
      <c r="AD444" s="89"/>
      <c r="AE444" s="89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9"/>
      <c r="C445" s="89"/>
      <c r="D445" s="89"/>
      <c r="E445" s="89"/>
      <c r="F445" s="89"/>
      <c r="G445" s="89"/>
      <c r="H445" s="62"/>
      <c r="I445" s="62"/>
      <c r="J445" s="62"/>
      <c r="K445" s="62"/>
      <c r="L445" s="62"/>
      <c r="M445" s="63"/>
      <c r="N445" s="89"/>
      <c r="O445" s="89"/>
      <c r="P445" s="89"/>
      <c r="Q445" s="89"/>
      <c r="R445" s="89"/>
      <c r="S445" s="89"/>
      <c r="T445" s="62"/>
      <c r="U445" s="62"/>
      <c r="V445" s="62"/>
      <c r="W445" s="62"/>
      <c r="X445" s="62"/>
      <c r="Y445" s="63"/>
      <c r="Z445" s="89"/>
      <c r="AA445" s="89"/>
      <c r="AB445" s="89"/>
      <c r="AC445" s="89"/>
      <c r="AD445" s="89"/>
      <c r="AE445" s="89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9"/>
      <c r="C446" s="89"/>
      <c r="D446" s="89"/>
      <c r="E446" s="89"/>
      <c r="F446" s="89"/>
      <c r="G446" s="89"/>
      <c r="H446" s="62"/>
      <c r="I446" s="62"/>
      <c r="J446" s="62"/>
      <c r="K446" s="62"/>
      <c r="L446" s="62"/>
      <c r="M446" s="62"/>
      <c r="N446" s="89"/>
      <c r="O446" s="89"/>
      <c r="P446" s="89"/>
      <c r="Q446" s="89"/>
      <c r="R446" s="89"/>
      <c r="S446" s="89"/>
      <c r="T446" s="62"/>
      <c r="U446" s="62"/>
      <c r="V446" s="62"/>
      <c r="W446" s="62"/>
      <c r="X446" s="62"/>
      <c r="Y446" s="62"/>
      <c r="Z446" s="89"/>
      <c r="AA446" s="89"/>
      <c r="AB446" s="89"/>
      <c r="AC446" s="89"/>
      <c r="AD446" s="89"/>
      <c r="AE446" s="89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9"/>
      <c r="C447" s="89"/>
      <c r="D447" s="89"/>
      <c r="E447" s="89"/>
      <c r="F447" s="89"/>
      <c r="G447" s="89"/>
      <c r="H447" s="62"/>
      <c r="I447" s="89"/>
      <c r="J447" s="74"/>
      <c r="K447" s="62"/>
      <c r="L447" s="62"/>
      <c r="M447" s="62"/>
      <c r="N447" s="89"/>
      <c r="O447" s="89"/>
      <c r="P447" s="89"/>
      <c r="Q447" s="89"/>
      <c r="R447" s="89"/>
      <c r="S447" s="89"/>
      <c r="T447" s="62"/>
      <c r="U447" s="89"/>
      <c r="V447" s="74"/>
      <c r="W447" s="62"/>
      <c r="X447" s="62"/>
      <c r="Y447" s="62"/>
      <c r="Z447" s="89"/>
      <c r="AA447" s="89"/>
      <c r="AB447" s="89"/>
      <c r="AC447" s="89"/>
      <c r="AD447" s="89"/>
      <c r="AE447" s="89"/>
      <c r="AF447" s="62"/>
      <c r="AG447" s="89"/>
      <c r="AH447" s="89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9"/>
      <c r="C448" s="89"/>
      <c r="D448" s="89"/>
      <c r="E448" s="89"/>
      <c r="F448" s="89"/>
      <c r="G448" s="89"/>
      <c r="H448" s="62"/>
      <c r="I448" s="65"/>
      <c r="J448" s="65"/>
      <c r="K448" s="62"/>
      <c r="L448" s="62"/>
      <c r="M448" s="64"/>
      <c r="N448" s="89"/>
      <c r="O448" s="89"/>
      <c r="P448" s="89"/>
      <c r="Q448" s="89"/>
      <c r="R448" s="89"/>
      <c r="S448" s="89"/>
      <c r="T448" s="62"/>
      <c r="U448" s="65"/>
      <c r="V448" s="65"/>
      <c r="W448" s="62"/>
      <c r="X448" s="62"/>
      <c r="Y448" s="64"/>
      <c r="Z448" s="89"/>
      <c r="AA448" s="89"/>
      <c r="AB448" s="89"/>
      <c r="AC448" s="89"/>
      <c r="AD448" s="89"/>
      <c r="AE448" s="89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9"/>
      <c r="C449" s="89"/>
      <c r="D449" s="89"/>
      <c r="E449" s="89"/>
      <c r="F449" s="89"/>
      <c r="G449" s="89"/>
      <c r="H449" s="62"/>
      <c r="I449" s="62"/>
      <c r="J449" s="62"/>
      <c r="K449" s="62"/>
      <c r="L449" s="62"/>
      <c r="M449" s="62"/>
      <c r="N449" s="89"/>
      <c r="O449" s="89"/>
      <c r="P449" s="89"/>
      <c r="Q449" s="89"/>
      <c r="R449" s="89"/>
      <c r="S449" s="89"/>
      <c r="T449" s="62"/>
      <c r="U449" s="62"/>
      <c r="V449" s="62"/>
      <c r="W449" s="62"/>
      <c r="X449" s="62"/>
      <c r="Y449" s="62"/>
      <c r="Z449" s="89"/>
      <c r="AA449" s="89"/>
      <c r="AB449" s="89"/>
      <c r="AC449" s="89"/>
      <c r="AD449" s="89"/>
      <c r="AE449" s="89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9"/>
      <c r="D450" s="98"/>
      <c r="E450" s="98"/>
      <c r="F450" s="89"/>
      <c r="G450" s="89"/>
      <c r="H450" s="62"/>
      <c r="I450" s="98"/>
      <c r="J450" s="98"/>
      <c r="K450" s="97"/>
      <c r="L450" s="62"/>
      <c r="M450" s="62"/>
      <c r="N450" s="65"/>
      <c r="O450" s="89"/>
      <c r="P450" s="98"/>
      <c r="Q450" s="98"/>
      <c r="R450" s="89"/>
      <c r="S450" s="89"/>
      <c r="T450" s="62"/>
      <c r="U450" s="98"/>
      <c r="V450" s="98"/>
      <c r="W450" s="97"/>
      <c r="X450" s="62"/>
      <c r="Y450" s="62"/>
      <c r="Z450" s="65"/>
      <c r="AA450" s="89"/>
      <c r="AB450" s="98"/>
      <c r="AC450" s="98"/>
      <c r="AD450" s="89"/>
      <c r="AE450" s="89"/>
      <c r="AF450" s="62"/>
      <c r="AG450" s="98"/>
      <c r="AH450" s="98"/>
      <c r="AI450" s="97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9"/>
      <c r="C451" s="89"/>
      <c r="D451" s="81"/>
      <c r="E451" s="82"/>
      <c r="F451" s="83"/>
      <c r="G451" s="83"/>
      <c r="H451" s="62"/>
      <c r="I451" s="88"/>
      <c r="J451" s="88"/>
      <c r="K451" s="97"/>
      <c r="L451" s="62"/>
      <c r="M451" s="62"/>
      <c r="N451" s="89"/>
      <c r="O451" s="89"/>
      <c r="P451" s="81"/>
      <c r="Q451" s="83"/>
      <c r="R451" s="83"/>
      <c r="S451" s="83"/>
      <c r="T451" s="62"/>
      <c r="U451" s="88"/>
      <c r="V451" s="88"/>
      <c r="W451" s="97"/>
      <c r="X451" s="62"/>
      <c r="Y451" s="62"/>
      <c r="Z451" s="89"/>
      <c r="AA451" s="89"/>
      <c r="AB451" s="81"/>
      <c r="AC451" s="83"/>
      <c r="AD451" s="83"/>
      <c r="AE451" s="83"/>
      <c r="AF451" s="62"/>
      <c r="AG451" s="88"/>
      <c r="AH451" s="88"/>
      <c r="AI451" s="97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9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9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9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9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9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9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9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9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9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9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9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65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9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9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9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9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9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9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9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9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9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9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65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9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9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9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9"/>
      <c r="AB460" s="91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9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9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9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9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9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62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9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9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9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9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9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9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9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9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9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9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9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9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9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89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89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65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9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62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9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9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9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9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62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9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9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9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89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9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9"/>
      <c r="P472" s="67"/>
      <c r="Q472" s="89"/>
      <c r="R472" s="89"/>
      <c r="S472" s="60"/>
      <c r="T472" s="62"/>
      <c r="U472" s="62"/>
      <c r="V472" s="62"/>
      <c r="W472" s="61"/>
      <c r="X472" s="62"/>
      <c r="Y472" s="62"/>
      <c r="Z472" s="66"/>
      <c r="AA472" s="89"/>
      <c r="AB472" s="67"/>
      <c r="AC472" s="89"/>
      <c r="AD472" s="89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9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9"/>
      <c r="P473" s="68"/>
      <c r="Q473" s="89"/>
      <c r="R473" s="89"/>
      <c r="S473" s="60"/>
      <c r="T473" s="62"/>
      <c r="U473" s="62"/>
      <c r="V473" s="62"/>
      <c r="W473" s="61"/>
      <c r="X473" s="62"/>
      <c r="Y473" s="62"/>
      <c r="Z473" s="66"/>
      <c r="AA473" s="89"/>
      <c r="AB473" s="68"/>
      <c r="AC473" s="89"/>
      <c r="AD473" s="89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9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9"/>
      <c r="P474" s="69"/>
      <c r="Q474" s="89"/>
      <c r="R474" s="62"/>
      <c r="S474" s="60"/>
      <c r="T474" s="62"/>
      <c r="U474" s="62"/>
      <c r="V474" s="62"/>
      <c r="W474" s="61"/>
      <c r="X474" s="62"/>
      <c r="Y474" s="62"/>
      <c r="Z474" s="66"/>
      <c r="AA474" s="89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9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89"/>
      <c r="P475" s="69"/>
      <c r="Q475" s="89"/>
      <c r="R475" s="89"/>
      <c r="S475" s="60"/>
      <c r="T475" s="62"/>
      <c r="U475" s="62"/>
      <c r="V475" s="62"/>
      <c r="W475" s="61"/>
      <c r="X475" s="62"/>
      <c r="Y475" s="62"/>
      <c r="Z475" s="66"/>
      <c r="AA475" s="89"/>
      <c r="AB475" s="69"/>
      <c r="AC475" s="89"/>
      <c r="AD475" s="89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9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9"/>
      <c r="P476" s="69"/>
      <c r="Q476" s="89"/>
      <c r="R476" s="89"/>
      <c r="S476" s="60"/>
      <c r="T476" s="62"/>
      <c r="U476" s="62"/>
      <c r="V476" s="62"/>
      <c r="W476" s="61"/>
      <c r="X476" s="62"/>
      <c r="Y476" s="62"/>
      <c r="Z476" s="66"/>
      <c r="AA476" s="89"/>
      <c r="AB476" s="69"/>
      <c r="AC476" s="89"/>
      <c r="AD476" s="89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9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62"/>
      <c r="P477" s="69"/>
      <c r="Q477" s="89"/>
      <c r="R477" s="89"/>
      <c r="S477" s="60"/>
      <c r="T477" s="62"/>
      <c r="U477" s="62"/>
      <c r="V477" s="62"/>
      <c r="W477" s="61"/>
      <c r="X477" s="62"/>
      <c r="Y477" s="62"/>
      <c r="Z477" s="66"/>
      <c r="AA477" s="89"/>
      <c r="AB477" s="69"/>
      <c r="AC477" s="89"/>
      <c r="AD477" s="89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9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9"/>
      <c r="P478" s="69"/>
      <c r="Q478" s="89"/>
      <c r="R478" s="89"/>
      <c r="S478" s="60"/>
      <c r="T478" s="62"/>
      <c r="U478" s="62"/>
      <c r="V478" s="62"/>
      <c r="W478" s="61"/>
      <c r="X478" s="62"/>
      <c r="Y478" s="62"/>
      <c r="Z478" s="66"/>
      <c r="AA478" s="89"/>
      <c r="AB478" s="69"/>
      <c r="AC478" s="89"/>
      <c r="AD478" s="89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9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9"/>
      <c r="P479" s="69"/>
      <c r="Q479" s="89"/>
      <c r="R479" s="89"/>
      <c r="S479" s="60"/>
      <c r="T479" s="62"/>
      <c r="U479" s="62"/>
      <c r="V479" s="62"/>
      <c r="W479" s="61"/>
      <c r="X479" s="62"/>
      <c r="Y479" s="62"/>
      <c r="Z479" s="66"/>
      <c r="AA479" s="89"/>
      <c r="AB479" s="69"/>
      <c r="AC479" s="89"/>
      <c r="AD479" s="89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9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9"/>
      <c r="P480" s="69"/>
      <c r="Q480" s="89"/>
      <c r="R480" s="89"/>
      <c r="S480" s="60"/>
      <c r="T480" s="62"/>
      <c r="U480" s="62"/>
      <c r="V480" s="62"/>
      <c r="W480" s="61"/>
      <c r="X480" s="62"/>
      <c r="Y480" s="62"/>
      <c r="Z480" s="66"/>
      <c r="AA480" s="89"/>
      <c r="AB480" s="69"/>
      <c r="AC480" s="89"/>
      <c r="AD480" s="89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65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62"/>
      <c r="P481" s="69"/>
      <c r="Q481" s="89"/>
      <c r="R481" s="89"/>
      <c r="S481" s="60"/>
      <c r="T481" s="62"/>
      <c r="U481" s="62"/>
      <c r="V481" s="62"/>
      <c r="W481" s="61"/>
      <c r="X481" s="62"/>
      <c r="Y481" s="62"/>
      <c r="Z481" s="66"/>
      <c r="AA481" s="89"/>
      <c r="AB481" s="69"/>
      <c r="AC481" s="89"/>
      <c r="AD481" s="89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9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9"/>
      <c r="P482" s="69"/>
      <c r="Q482" s="89"/>
      <c r="R482" s="89"/>
      <c r="S482" s="60"/>
      <c r="T482" s="62"/>
      <c r="U482" s="62"/>
      <c r="V482" s="62"/>
      <c r="W482" s="61"/>
      <c r="X482" s="62"/>
      <c r="Y482" s="62"/>
      <c r="Z482" s="66"/>
      <c r="AA482" s="89"/>
      <c r="AB482" s="69"/>
      <c r="AC482" s="89"/>
      <c r="AD482" s="89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9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9"/>
      <c r="P483" s="69"/>
      <c r="Q483" s="89"/>
      <c r="R483" s="89"/>
      <c r="S483" s="60"/>
      <c r="T483" s="62"/>
      <c r="U483" s="62"/>
      <c r="V483" s="62"/>
      <c r="W483" s="61"/>
      <c r="X483" s="62"/>
      <c r="Y483" s="62"/>
      <c r="Z483" s="66"/>
      <c r="AA483" s="89"/>
      <c r="AB483" s="69"/>
      <c r="AC483" s="89"/>
      <c r="AD483" s="89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9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9"/>
      <c r="P484" s="69"/>
      <c r="Q484" s="89"/>
      <c r="R484" s="89"/>
      <c r="S484" s="60"/>
      <c r="T484" s="62"/>
      <c r="U484" s="62"/>
      <c r="V484" s="62"/>
      <c r="W484" s="61"/>
      <c r="X484" s="62"/>
      <c r="Y484" s="62"/>
      <c r="Z484" s="66"/>
      <c r="AA484" s="89"/>
      <c r="AB484" s="69"/>
      <c r="AC484" s="89"/>
      <c r="AD484" s="89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9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9"/>
      <c r="P485" s="69"/>
      <c r="Q485" s="89"/>
      <c r="R485" s="89"/>
      <c r="S485" s="60"/>
      <c r="T485" s="62"/>
      <c r="U485" s="62"/>
      <c r="V485" s="62"/>
      <c r="W485" s="61"/>
      <c r="X485" s="62"/>
      <c r="Y485" s="62"/>
      <c r="Z485" s="66"/>
      <c r="AA485" s="89"/>
      <c r="AB485" s="69"/>
      <c r="AC485" s="89"/>
      <c r="AD485" s="89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9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9"/>
      <c r="P486" s="69"/>
      <c r="Q486" s="89"/>
      <c r="R486" s="89"/>
      <c r="S486" s="60"/>
      <c r="T486" s="62"/>
      <c r="U486" s="62"/>
      <c r="V486" s="62"/>
      <c r="W486" s="61"/>
      <c r="X486" s="62"/>
      <c r="Y486" s="62"/>
      <c r="Z486" s="66"/>
      <c r="AA486" s="89"/>
      <c r="AB486" s="69"/>
      <c r="AC486" s="89"/>
      <c r="AD486" s="89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9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9"/>
      <c r="P487" s="69"/>
      <c r="Q487" s="89"/>
      <c r="R487" s="89"/>
      <c r="S487" s="60"/>
      <c r="T487" s="62"/>
      <c r="U487" s="62"/>
      <c r="V487" s="62"/>
      <c r="W487" s="61"/>
      <c r="X487" s="62"/>
      <c r="Y487" s="62"/>
      <c r="Z487" s="66"/>
      <c r="AA487" s="89"/>
      <c r="AB487" s="69"/>
      <c r="AC487" s="89"/>
      <c r="AD487" s="89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9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9"/>
      <c r="R488" s="89"/>
      <c r="S488" s="60"/>
      <c r="T488" s="62"/>
      <c r="U488" s="62"/>
      <c r="V488" s="62"/>
      <c r="W488" s="61"/>
      <c r="X488" s="62"/>
      <c r="Y488" s="62"/>
      <c r="Z488" s="66"/>
      <c r="AA488" s="89"/>
      <c r="AB488" s="69"/>
      <c r="AC488" s="89"/>
      <c r="AD488" s="89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9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9"/>
      <c r="P489" s="69"/>
      <c r="Q489" s="89"/>
      <c r="R489" s="89"/>
      <c r="S489" s="60"/>
      <c r="T489" s="62"/>
      <c r="U489" s="62"/>
      <c r="V489" s="62"/>
      <c r="W489" s="61"/>
      <c r="X489" s="62"/>
      <c r="Y489" s="62"/>
      <c r="Z489" s="66"/>
      <c r="AA489" s="89"/>
      <c r="AB489" s="69"/>
      <c r="AC489" s="89"/>
      <c r="AD489" s="89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9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9"/>
      <c r="P490" s="69"/>
      <c r="Q490" s="89"/>
      <c r="R490" s="89"/>
      <c r="S490" s="60"/>
      <c r="T490" s="62"/>
      <c r="U490" s="62"/>
      <c r="V490" s="62"/>
      <c r="W490" s="61"/>
      <c r="X490" s="62"/>
      <c r="Y490" s="62"/>
      <c r="Z490" s="66"/>
      <c r="AA490" s="89"/>
      <c r="AB490" s="69"/>
      <c r="AC490" s="89"/>
      <c r="AD490" s="89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9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9"/>
      <c r="R491" s="89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9"/>
      <c r="AD491" s="89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9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9"/>
      <c r="P492" s="69"/>
      <c r="Q492" s="89"/>
      <c r="R492" s="89"/>
      <c r="S492" s="60"/>
      <c r="T492" s="62"/>
      <c r="U492" s="62"/>
      <c r="V492" s="62"/>
      <c r="W492" s="61"/>
      <c r="X492" s="62"/>
      <c r="Y492" s="62"/>
      <c r="Z492" s="66"/>
      <c r="AA492" s="89"/>
      <c r="AB492" s="69"/>
      <c r="AC492" s="89"/>
      <c r="AD492" s="89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9"/>
      <c r="O493" s="89"/>
      <c r="P493" s="89"/>
      <c r="Q493" s="89"/>
      <c r="R493" s="89"/>
      <c r="S493" s="89"/>
      <c r="T493" s="62"/>
      <c r="U493" s="62"/>
      <c r="V493" s="62"/>
      <c r="W493" s="61"/>
      <c r="X493" s="62"/>
      <c r="Y493" s="62"/>
      <c r="Z493" s="89"/>
      <c r="AA493" s="89"/>
      <c r="AB493" s="89"/>
      <c r="AC493" s="89"/>
      <c r="AD493" s="89"/>
      <c r="AE493" s="89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9"/>
      <c r="C494" s="89"/>
      <c r="D494" s="89"/>
      <c r="E494" s="89"/>
      <c r="F494" s="89"/>
      <c r="G494" s="89"/>
      <c r="H494" s="62"/>
      <c r="I494" s="62"/>
      <c r="J494" s="62"/>
      <c r="K494" s="62"/>
      <c r="L494" s="62"/>
      <c r="M494" s="62"/>
      <c r="N494" s="89"/>
      <c r="O494" s="89"/>
      <c r="P494" s="89"/>
      <c r="Q494" s="89"/>
      <c r="R494" s="89"/>
      <c r="S494" s="89"/>
      <c r="T494" s="62"/>
      <c r="U494" s="62"/>
      <c r="V494" s="62"/>
      <c r="W494" s="62"/>
      <c r="X494" s="62"/>
      <c r="Y494" s="62"/>
      <c r="Z494" s="89"/>
      <c r="AA494" s="89"/>
      <c r="AB494" s="89"/>
      <c r="AC494" s="89"/>
      <c r="AD494" s="89"/>
      <c r="AE494" s="89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9"/>
      <c r="C495" s="89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9"/>
      <c r="O495" s="89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9"/>
      <c r="AA495" s="89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L497" s="62"/>
      <c r="M497" s="62"/>
      <c r="N497" s="89"/>
      <c r="O497" s="89"/>
      <c r="P497" s="89"/>
      <c r="Q497" s="89"/>
      <c r="R497" s="89"/>
      <c r="S497" s="89"/>
      <c r="T497" s="62"/>
      <c r="U497" s="62"/>
      <c r="V497" s="62"/>
      <c r="W497" s="62"/>
      <c r="X497" s="62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L498" s="62"/>
      <c r="M498" s="62"/>
      <c r="N498" s="89"/>
      <c r="O498" s="89"/>
      <c r="P498" s="89"/>
      <c r="Q498" s="89"/>
      <c r="R498" s="89"/>
      <c r="S498" s="89"/>
      <c r="T498" s="62"/>
      <c r="U498" s="62"/>
      <c r="V498" s="62"/>
      <c r="W498" s="62"/>
      <c r="X498" s="62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L499" s="62"/>
      <c r="M499" s="62"/>
      <c r="N499" s="89"/>
      <c r="O499" s="89"/>
      <c r="P499" s="89"/>
      <c r="Q499" s="89"/>
      <c r="R499" s="89"/>
      <c r="S499" s="89"/>
      <c r="T499" s="62"/>
      <c r="U499" s="62"/>
      <c r="V499" s="62"/>
      <c r="W499" s="62"/>
      <c r="X499" s="62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L500" s="62"/>
      <c r="M500" s="63"/>
      <c r="N500" s="89"/>
      <c r="O500" s="89"/>
      <c r="P500" s="89"/>
      <c r="Q500" s="89"/>
      <c r="R500" s="89"/>
      <c r="S500" s="89"/>
      <c r="T500" s="62"/>
      <c r="U500" s="62"/>
      <c r="V500" s="62"/>
      <c r="W500" s="62"/>
      <c r="X500" s="62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L501" s="62"/>
      <c r="M501" s="62"/>
      <c r="N501" s="89"/>
      <c r="O501" s="89"/>
      <c r="P501" s="89"/>
      <c r="Q501" s="89"/>
      <c r="R501" s="89"/>
      <c r="S501" s="89"/>
      <c r="T501" s="62"/>
      <c r="U501" s="62"/>
      <c r="V501" s="62"/>
      <c r="W501" s="62"/>
      <c r="X501" s="62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4"/>
      <c r="K502" s="62"/>
      <c r="L502" s="62"/>
      <c r="M502" s="62"/>
      <c r="N502" s="89"/>
      <c r="O502" s="89"/>
      <c r="P502" s="89"/>
      <c r="Q502" s="89"/>
      <c r="R502" s="89"/>
      <c r="S502" s="89"/>
      <c r="T502" s="62"/>
      <c r="U502" s="89"/>
      <c r="V502" s="74"/>
      <c r="W502" s="62"/>
      <c r="X502" s="62"/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L503" s="62"/>
      <c r="M503" s="64"/>
      <c r="N503" s="89"/>
      <c r="O503" s="89"/>
      <c r="P503" s="89"/>
      <c r="Q503" s="89"/>
      <c r="R503" s="89"/>
      <c r="S503" s="89"/>
      <c r="T503" s="62"/>
      <c r="U503" s="65"/>
      <c r="V503" s="65"/>
      <c r="W503" s="62"/>
      <c r="X503" s="62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L504" s="62"/>
      <c r="M504" s="62"/>
      <c r="N504" s="89"/>
      <c r="O504" s="89"/>
      <c r="P504" s="89"/>
      <c r="Q504" s="89"/>
      <c r="R504" s="89"/>
      <c r="S504" s="89"/>
      <c r="T504" s="62"/>
      <c r="U504" s="62"/>
      <c r="V504" s="62"/>
      <c r="W504" s="62"/>
      <c r="X504" s="62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98"/>
      <c r="E505" s="98"/>
      <c r="F505" s="89"/>
      <c r="G505" s="89"/>
      <c r="H505" s="62"/>
      <c r="I505" s="98"/>
      <c r="J505" s="98"/>
      <c r="K505" s="97"/>
      <c r="L505" s="62"/>
      <c r="M505" s="62"/>
      <c r="N505" s="65"/>
      <c r="O505" s="89"/>
      <c r="P505" s="98"/>
      <c r="Q505" s="98"/>
      <c r="R505" s="89"/>
      <c r="S505" s="89"/>
      <c r="T505" s="62"/>
      <c r="U505" s="98"/>
      <c r="V505" s="98"/>
      <c r="W505" s="97"/>
      <c r="X505" s="62"/>
      <c r="Y505" s="62"/>
      <c r="Z505" s="65"/>
      <c r="AA505" s="89"/>
      <c r="AB505" s="98"/>
      <c r="AC505" s="98"/>
      <c r="AD505" s="89"/>
      <c r="AE505" s="89"/>
      <c r="AF505" s="62"/>
      <c r="AG505" s="98"/>
      <c r="AH505" s="98"/>
      <c r="AI505" s="97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9"/>
      <c r="C506" s="89"/>
      <c r="D506" s="81"/>
      <c r="E506" s="82"/>
      <c r="F506" s="83"/>
      <c r="G506" s="83"/>
      <c r="H506" s="62"/>
      <c r="I506" s="88"/>
      <c r="J506" s="88"/>
      <c r="K506" s="97"/>
      <c r="L506" s="62"/>
      <c r="M506" s="62"/>
      <c r="N506" s="89"/>
      <c r="O506" s="89"/>
      <c r="P506" s="81"/>
      <c r="Q506" s="83"/>
      <c r="R506" s="83"/>
      <c r="S506" s="83"/>
      <c r="T506" s="62"/>
      <c r="U506" s="88"/>
      <c r="V506" s="88"/>
      <c r="W506" s="97"/>
      <c r="X506" s="62"/>
      <c r="Y506" s="62"/>
      <c r="Z506" s="89"/>
      <c r="AA506" s="89"/>
      <c r="AB506" s="81"/>
      <c r="AC506" s="83"/>
      <c r="AD506" s="83"/>
      <c r="AE506" s="83"/>
      <c r="AF506" s="62"/>
      <c r="AG506" s="88"/>
      <c r="AH506" s="88"/>
      <c r="AI506" s="97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9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9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9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9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9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9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9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9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9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9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9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9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65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9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9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9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5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9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9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9"/>
      <c r="AB515" s="91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9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9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9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9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62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9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9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9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9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9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9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9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9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9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9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9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89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9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62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62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9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9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9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62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9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9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89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9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9"/>
      <c r="P527" s="67"/>
      <c r="Q527" s="89"/>
      <c r="R527" s="89"/>
      <c r="S527" s="60"/>
      <c r="T527" s="62"/>
      <c r="U527" s="62"/>
      <c r="V527" s="62"/>
      <c r="W527" s="61"/>
      <c r="X527" s="62"/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9"/>
      <c r="P528" s="68"/>
      <c r="Q528" s="89"/>
      <c r="R528" s="89"/>
      <c r="S528" s="60"/>
      <c r="T528" s="62"/>
      <c r="U528" s="62"/>
      <c r="V528" s="62"/>
      <c r="W528" s="61"/>
      <c r="X528" s="62"/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9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9"/>
      <c r="P529" s="69"/>
      <c r="Q529" s="89"/>
      <c r="R529" s="62"/>
      <c r="S529" s="60"/>
      <c r="T529" s="62"/>
      <c r="U529" s="62"/>
      <c r="V529" s="62"/>
      <c r="W529" s="61"/>
      <c r="X529" s="62"/>
      <c r="Y529" s="62"/>
      <c r="Z529" s="66"/>
      <c r="AA529" s="89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9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9"/>
      <c r="P530" s="69"/>
      <c r="Q530" s="89"/>
      <c r="R530" s="89"/>
      <c r="S530" s="60"/>
      <c r="T530" s="62"/>
      <c r="U530" s="62"/>
      <c r="V530" s="62"/>
      <c r="W530" s="61"/>
      <c r="X530" s="62"/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9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9"/>
      <c r="P531" s="69"/>
      <c r="Q531" s="89"/>
      <c r="R531" s="89"/>
      <c r="S531" s="60"/>
      <c r="T531" s="62"/>
      <c r="U531" s="62"/>
      <c r="V531" s="62"/>
      <c r="W531" s="61"/>
      <c r="X531" s="62"/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9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89"/>
      <c r="R532" s="89"/>
      <c r="S532" s="60"/>
      <c r="T532" s="62"/>
      <c r="U532" s="62"/>
      <c r="V532" s="62"/>
      <c r="W532" s="61"/>
      <c r="X532" s="62"/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9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9"/>
      <c r="P533" s="69"/>
      <c r="Q533" s="89"/>
      <c r="R533" s="89"/>
      <c r="S533" s="60"/>
      <c r="T533" s="62"/>
      <c r="U533" s="62"/>
      <c r="V533" s="62"/>
      <c r="W533" s="61"/>
      <c r="X533" s="62"/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9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9"/>
      <c r="P534" s="69"/>
      <c r="Q534" s="89"/>
      <c r="R534" s="89"/>
      <c r="S534" s="60"/>
      <c r="T534" s="62"/>
      <c r="U534" s="62"/>
      <c r="V534" s="62"/>
      <c r="W534" s="61"/>
      <c r="X534" s="62"/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9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9"/>
      <c r="P535" s="69"/>
      <c r="Q535" s="89"/>
      <c r="R535" s="89"/>
      <c r="S535" s="60"/>
      <c r="T535" s="62"/>
      <c r="U535" s="62"/>
      <c r="V535" s="62"/>
      <c r="W535" s="61"/>
      <c r="X535" s="62"/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89"/>
      <c r="R536" s="89"/>
      <c r="S536" s="60"/>
      <c r="T536" s="62"/>
      <c r="U536" s="62"/>
      <c r="V536" s="62"/>
      <c r="W536" s="61"/>
      <c r="X536" s="62"/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9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9"/>
      <c r="P537" s="69"/>
      <c r="Q537" s="89"/>
      <c r="R537" s="89"/>
      <c r="S537" s="60"/>
      <c r="T537" s="62"/>
      <c r="U537" s="62"/>
      <c r="V537" s="62"/>
      <c r="W537" s="61"/>
      <c r="X537" s="62"/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9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9"/>
      <c r="P538" s="69"/>
      <c r="Q538" s="89"/>
      <c r="R538" s="89"/>
      <c r="S538" s="60"/>
      <c r="T538" s="62"/>
      <c r="U538" s="62"/>
      <c r="V538" s="62"/>
      <c r="W538" s="61"/>
      <c r="X538" s="62"/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9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9"/>
      <c r="P539" s="69"/>
      <c r="Q539" s="89"/>
      <c r="R539" s="89"/>
      <c r="S539" s="60"/>
      <c r="T539" s="62"/>
      <c r="U539" s="62"/>
      <c r="V539" s="62"/>
      <c r="W539" s="61"/>
      <c r="X539" s="62"/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9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9"/>
      <c r="P540" s="69"/>
      <c r="Q540" s="89"/>
      <c r="R540" s="89"/>
      <c r="S540" s="60"/>
      <c r="T540" s="62"/>
      <c r="U540" s="62"/>
      <c r="V540" s="62"/>
      <c r="W540" s="61"/>
      <c r="X540" s="62"/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9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9"/>
      <c r="P541" s="69"/>
      <c r="Q541" s="89"/>
      <c r="R541" s="89"/>
      <c r="S541" s="60"/>
      <c r="T541" s="62"/>
      <c r="U541" s="62"/>
      <c r="V541" s="62"/>
      <c r="W541" s="61"/>
      <c r="X541" s="62"/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9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9"/>
      <c r="P542" s="69"/>
      <c r="Q542" s="89"/>
      <c r="R542" s="89"/>
      <c r="S542" s="60"/>
      <c r="T542" s="62"/>
      <c r="U542" s="62"/>
      <c r="V542" s="62"/>
      <c r="W542" s="61"/>
      <c r="X542" s="62"/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9"/>
      <c r="R543" s="89"/>
      <c r="S543" s="60"/>
      <c r="T543" s="62"/>
      <c r="U543" s="62"/>
      <c r="V543" s="62"/>
      <c r="W543" s="61"/>
      <c r="X543" s="62"/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9"/>
      <c r="P544" s="69"/>
      <c r="Q544" s="89"/>
      <c r="R544" s="89"/>
      <c r="S544" s="60"/>
      <c r="T544" s="62"/>
      <c r="U544" s="62"/>
      <c r="V544" s="62"/>
      <c r="W544" s="61"/>
      <c r="X544" s="62"/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9"/>
      <c r="P545" s="69"/>
      <c r="Q545" s="89"/>
      <c r="R545" s="89"/>
      <c r="S545" s="60"/>
      <c r="T545" s="62"/>
      <c r="U545" s="62"/>
      <c r="V545" s="62"/>
      <c r="W545" s="61"/>
      <c r="X545" s="62"/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9"/>
      <c r="R546" s="89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9"/>
      <c r="P547" s="69"/>
      <c r="Q547" s="89"/>
      <c r="R547" s="89"/>
      <c r="S547" s="60"/>
      <c r="T547" s="62"/>
      <c r="U547" s="62"/>
      <c r="V547" s="62"/>
      <c r="W547" s="61"/>
      <c r="X547" s="62"/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9"/>
      <c r="O548" s="89"/>
      <c r="P548" s="89"/>
      <c r="Q548" s="89"/>
      <c r="R548" s="89"/>
      <c r="S548" s="89"/>
      <c r="T548" s="62"/>
      <c r="U548" s="62"/>
      <c r="V548" s="62"/>
      <c r="W548" s="61"/>
      <c r="X548" s="62"/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L549" s="62"/>
      <c r="M549" s="62"/>
      <c r="N549" s="89"/>
      <c r="O549" s="89"/>
      <c r="P549" s="89"/>
      <c r="Q549" s="89"/>
      <c r="R549" s="89"/>
      <c r="S549" s="89"/>
      <c r="T549" s="62"/>
      <c r="U549" s="62"/>
      <c r="V549" s="62"/>
      <c r="W549" s="62"/>
      <c r="X549" s="62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9"/>
      <c r="O550" s="89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9"/>
      <c r="C552" s="89"/>
      <c r="D552" s="89"/>
      <c r="E552" s="89"/>
      <c r="F552" s="89"/>
      <c r="G552" s="89"/>
      <c r="H552" s="62"/>
      <c r="I552" s="62"/>
      <c r="J552" s="62"/>
      <c r="K552" s="62"/>
      <c r="L552" s="62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X552" s="62"/>
      <c r="Y552" s="62"/>
      <c r="Z552" s="89"/>
      <c r="AA552" s="89"/>
      <c r="AB552" s="89"/>
      <c r="AC552" s="89"/>
      <c r="AD552" s="89"/>
      <c r="AE552" s="89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9"/>
      <c r="C553" s="89"/>
      <c r="D553" s="89"/>
      <c r="E553" s="89"/>
      <c r="F553" s="89"/>
      <c r="G553" s="89"/>
      <c r="H553" s="62"/>
      <c r="I553" s="62"/>
      <c r="J553" s="62"/>
      <c r="K553" s="62"/>
      <c r="L553" s="62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X553" s="62"/>
      <c r="Y553" s="62"/>
      <c r="Z553" s="89"/>
      <c r="AA553" s="89"/>
      <c r="AB553" s="89"/>
      <c r="AC553" s="89"/>
      <c r="AD553" s="89"/>
      <c r="AE553" s="89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9"/>
      <c r="C554" s="89"/>
      <c r="D554" s="89"/>
      <c r="E554" s="89"/>
      <c r="F554" s="89"/>
      <c r="G554" s="89"/>
      <c r="H554" s="62"/>
      <c r="I554" s="62"/>
      <c r="J554" s="62"/>
      <c r="K554" s="62"/>
      <c r="L554" s="62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X554" s="62"/>
      <c r="Y554" s="62"/>
      <c r="Z554" s="89"/>
      <c r="AA554" s="89"/>
      <c r="AB554" s="89"/>
      <c r="AC554" s="89"/>
      <c r="AD554" s="89"/>
      <c r="AE554" s="89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9"/>
      <c r="C555" s="89"/>
      <c r="D555" s="89"/>
      <c r="E555" s="89"/>
      <c r="F555" s="89"/>
      <c r="G555" s="89"/>
      <c r="H555" s="62"/>
      <c r="I555" s="62"/>
      <c r="J555" s="62"/>
      <c r="K555" s="62"/>
      <c r="L555" s="62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X555" s="62"/>
      <c r="Y555" s="63"/>
      <c r="Z555" s="89"/>
      <c r="AA555" s="89"/>
      <c r="AB555" s="89"/>
      <c r="AC555" s="89"/>
      <c r="AD555" s="89"/>
      <c r="AE555" s="89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9"/>
      <c r="C556" s="89"/>
      <c r="D556" s="89"/>
      <c r="E556" s="89"/>
      <c r="F556" s="89"/>
      <c r="G556" s="89"/>
      <c r="H556" s="62"/>
      <c r="I556" s="62"/>
      <c r="J556" s="62"/>
      <c r="K556" s="62"/>
      <c r="L556" s="62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X556" s="62"/>
      <c r="Y556" s="62"/>
      <c r="Z556" s="89"/>
      <c r="AA556" s="89"/>
      <c r="AB556" s="89"/>
      <c r="AC556" s="89"/>
      <c r="AD556" s="89"/>
      <c r="AE556" s="89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9"/>
      <c r="C557" s="89"/>
      <c r="D557" s="89"/>
      <c r="E557" s="89"/>
      <c r="F557" s="89"/>
      <c r="G557" s="89"/>
      <c r="H557" s="62"/>
      <c r="I557" s="89"/>
      <c r="J557" s="74"/>
      <c r="K557" s="62"/>
      <c r="L557" s="62"/>
      <c r="M557" s="62"/>
      <c r="N557" s="89"/>
      <c r="O557" s="89"/>
      <c r="P557" s="89"/>
      <c r="Q557" s="89"/>
      <c r="R557" s="89"/>
      <c r="S557" s="89"/>
      <c r="T557" s="62"/>
      <c r="U557" s="89"/>
      <c r="V557" s="74"/>
      <c r="W557" s="62"/>
      <c r="X557" s="62"/>
      <c r="Y557" s="62"/>
      <c r="Z557" s="89"/>
      <c r="AA557" s="89"/>
      <c r="AB557" s="89"/>
      <c r="AC557" s="89"/>
      <c r="AD557" s="89"/>
      <c r="AE557" s="89"/>
      <c r="AF557" s="62"/>
      <c r="AG557" s="89"/>
      <c r="AH557" s="89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9"/>
      <c r="C558" s="89"/>
      <c r="D558" s="89"/>
      <c r="E558" s="89"/>
      <c r="F558" s="89"/>
      <c r="G558" s="89"/>
      <c r="H558" s="62"/>
      <c r="I558" s="65"/>
      <c r="J558" s="65"/>
      <c r="K558" s="62"/>
      <c r="L558" s="62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X558" s="62"/>
      <c r="Y558" s="64"/>
      <c r="Z558" s="89"/>
      <c r="AA558" s="89"/>
      <c r="AB558" s="89"/>
      <c r="AC558" s="89"/>
      <c r="AD558" s="89"/>
      <c r="AE558" s="89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9"/>
      <c r="C559" s="89"/>
      <c r="D559" s="89"/>
      <c r="E559" s="89"/>
      <c r="F559" s="89"/>
      <c r="G559" s="89"/>
      <c r="H559" s="62"/>
      <c r="I559" s="62"/>
      <c r="J559" s="62"/>
      <c r="K559" s="62"/>
      <c r="L559" s="62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X559" s="62"/>
      <c r="Y559" s="62"/>
      <c r="Z559" s="89"/>
      <c r="AA559" s="89"/>
      <c r="AB559" s="89"/>
      <c r="AC559" s="89"/>
      <c r="AD559" s="89"/>
      <c r="AE559" s="89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9"/>
      <c r="D560" s="98"/>
      <c r="E560" s="98"/>
      <c r="F560" s="89"/>
      <c r="G560" s="89"/>
      <c r="H560" s="62"/>
      <c r="I560" s="98"/>
      <c r="J560" s="98"/>
      <c r="K560" s="97"/>
      <c r="L560" s="62"/>
      <c r="M560" s="62"/>
      <c r="N560" s="65"/>
      <c r="O560" s="89"/>
      <c r="P560" s="98"/>
      <c r="Q560" s="98"/>
      <c r="R560" s="89"/>
      <c r="S560" s="89"/>
      <c r="T560" s="62"/>
      <c r="U560" s="98"/>
      <c r="V560" s="98"/>
      <c r="W560" s="97"/>
      <c r="X560" s="62"/>
      <c r="Y560" s="62"/>
      <c r="Z560" s="65"/>
      <c r="AA560" s="89"/>
      <c r="AB560" s="98"/>
      <c r="AC560" s="98"/>
      <c r="AD560" s="89"/>
      <c r="AE560" s="89"/>
      <c r="AF560" s="62"/>
      <c r="AG560" s="98"/>
      <c r="AH560" s="98"/>
      <c r="AI560" s="97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9"/>
      <c r="C561" s="89"/>
      <c r="D561" s="81"/>
      <c r="E561" s="82"/>
      <c r="F561" s="83"/>
      <c r="G561" s="83"/>
      <c r="H561" s="62"/>
      <c r="I561" s="88"/>
      <c r="J561" s="88"/>
      <c r="K561" s="97"/>
      <c r="L561" s="62"/>
      <c r="M561" s="62"/>
      <c r="N561" s="89"/>
      <c r="O561" s="89"/>
      <c r="P561" s="81"/>
      <c r="Q561" s="83"/>
      <c r="R561" s="83"/>
      <c r="S561" s="83"/>
      <c r="T561" s="62"/>
      <c r="U561" s="88"/>
      <c r="V561" s="88"/>
      <c r="W561" s="97"/>
      <c r="X561" s="62"/>
      <c r="Y561" s="62"/>
      <c r="Z561" s="89"/>
      <c r="AA561" s="89"/>
      <c r="AB561" s="81"/>
      <c r="AC561" s="83"/>
      <c r="AD561" s="83"/>
      <c r="AE561" s="83"/>
      <c r="AF561" s="62"/>
      <c r="AG561" s="88"/>
      <c r="AH561" s="88"/>
      <c r="AI561" s="97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9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9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9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9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9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9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9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9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9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9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9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9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9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9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65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9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89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9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9"/>
      <c r="AB570" s="91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9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9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9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62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9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9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9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9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9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9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65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9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9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89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9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9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9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9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9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9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9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9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89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9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X582" s="62"/>
      <c r="Y582" s="62"/>
      <c r="Z582" s="66"/>
      <c r="AA582" s="89"/>
      <c r="AB582" s="67"/>
      <c r="AC582" s="89"/>
      <c r="AD582" s="89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9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X583" s="62"/>
      <c r="Y583" s="62"/>
      <c r="Z583" s="66"/>
      <c r="AA583" s="89"/>
      <c r="AB583" s="68"/>
      <c r="AC583" s="89"/>
      <c r="AD583" s="89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9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9"/>
      <c r="P584" s="69"/>
      <c r="Q584" s="89"/>
      <c r="R584" s="62"/>
      <c r="S584" s="60"/>
      <c r="T584" s="62"/>
      <c r="U584" s="62"/>
      <c r="V584" s="62"/>
      <c r="W584" s="61"/>
      <c r="X584" s="62"/>
      <c r="Y584" s="62"/>
      <c r="Z584" s="66"/>
      <c r="AA584" s="89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9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X585" s="62"/>
      <c r="Y585" s="62"/>
      <c r="Z585" s="66"/>
      <c r="AA585" s="89"/>
      <c r="AB585" s="69"/>
      <c r="AC585" s="89"/>
      <c r="AD585" s="89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9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X586" s="62"/>
      <c r="Y586" s="62"/>
      <c r="Z586" s="66"/>
      <c r="AA586" s="89"/>
      <c r="AB586" s="69"/>
      <c r="AC586" s="89"/>
      <c r="AD586" s="89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9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89"/>
      <c r="R587" s="89"/>
      <c r="S587" s="60"/>
      <c r="T587" s="62"/>
      <c r="U587" s="62"/>
      <c r="V587" s="62"/>
      <c r="W587" s="61"/>
      <c r="X587" s="62"/>
      <c r="Y587" s="62"/>
      <c r="Z587" s="66"/>
      <c r="AA587" s="89"/>
      <c r="AB587" s="69"/>
      <c r="AC587" s="89"/>
      <c r="AD587" s="89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9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X588" s="62"/>
      <c r="Y588" s="62"/>
      <c r="Z588" s="66"/>
      <c r="AA588" s="89"/>
      <c r="AB588" s="69"/>
      <c r="AC588" s="89"/>
      <c r="AD588" s="89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9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X589" s="62"/>
      <c r="Y589" s="62"/>
      <c r="Z589" s="66"/>
      <c r="AA589" s="89"/>
      <c r="AB589" s="69"/>
      <c r="AC589" s="89"/>
      <c r="AD589" s="89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9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X590" s="62"/>
      <c r="Y590" s="62"/>
      <c r="Z590" s="66"/>
      <c r="AA590" s="89"/>
      <c r="AB590" s="69"/>
      <c r="AC590" s="89"/>
      <c r="AD590" s="89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65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89"/>
      <c r="R591" s="89"/>
      <c r="S591" s="60"/>
      <c r="T591" s="62"/>
      <c r="U591" s="62"/>
      <c r="V591" s="62"/>
      <c r="W591" s="61"/>
      <c r="X591" s="62"/>
      <c r="Y591" s="62"/>
      <c r="Z591" s="66"/>
      <c r="AA591" s="89"/>
      <c r="AB591" s="69"/>
      <c r="AC591" s="89"/>
      <c r="AD591" s="89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65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X592" s="62"/>
      <c r="Y592" s="62"/>
      <c r="Z592" s="66"/>
      <c r="AA592" s="89"/>
      <c r="AB592" s="69"/>
      <c r="AC592" s="89"/>
      <c r="AD592" s="89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65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X593" s="62"/>
      <c r="Y593" s="62"/>
      <c r="Z593" s="66"/>
      <c r="AA593" s="89"/>
      <c r="AB593" s="69"/>
      <c r="AC593" s="89"/>
      <c r="AD593" s="89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65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X594" s="62"/>
      <c r="Y594" s="62"/>
      <c r="Z594" s="66"/>
      <c r="AA594" s="89"/>
      <c r="AB594" s="69"/>
      <c r="AC594" s="89"/>
      <c r="AD594" s="89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65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X595" s="62"/>
      <c r="Y595" s="62"/>
      <c r="Z595" s="66"/>
      <c r="AA595" s="89"/>
      <c r="AB595" s="69"/>
      <c r="AC595" s="89"/>
      <c r="AD595" s="89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65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X596" s="62"/>
      <c r="Y596" s="62"/>
      <c r="Z596" s="66"/>
      <c r="AA596" s="89"/>
      <c r="AB596" s="69"/>
      <c r="AC596" s="89"/>
      <c r="AD596" s="89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65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X597" s="62"/>
      <c r="Y597" s="62"/>
      <c r="Z597" s="66"/>
      <c r="AA597" s="89"/>
      <c r="AB597" s="69"/>
      <c r="AC597" s="89"/>
      <c r="AD597" s="89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65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X598" s="62"/>
      <c r="Y598" s="62"/>
      <c r="Z598" s="66"/>
      <c r="AA598" s="89"/>
      <c r="AB598" s="69"/>
      <c r="AC598" s="89"/>
      <c r="AD598" s="89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9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X599" s="62"/>
      <c r="Y599" s="62"/>
      <c r="Z599" s="66"/>
      <c r="AA599" s="89"/>
      <c r="AB599" s="69"/>
      <c r="AC599" s="89"/>
      <c r="AD599" s="89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9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X600" s="62"/>
      <c r="Y600" s="62"/>
      <c r="Z600" s="66"/>
      <c r="AA600" s="89"/>
      <c r="AB600" s="69"/>
      <c r="AC600" s="89"/>
      <c r="AD600" s="89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9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9"/>
      <c r="AD601" s="89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9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X602" s="62"/>
      <c r="Y602" s="62"/>
      <c r="Z602" s="66"/>
      <c r="AA602" s="89"/>
      <c r="AB602" s="69"/>
      <c r="AC602" s="89"/>
      <c r="AD602" s="89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X603" s="62"/>
      <c r="Y603" s="62"/>
      <c r="Z603" s="89"/>
      <c r="AA603" s="89"/>
      <c r="AB603" s="89"/>
      <c r="AC603" s="89"/>
      <c r="AD603" s="89"/>
      <c r="AE603" s="89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9"/>
      <c r="C604" s="89"/>
      <c r="D604" s="89"/>
      <c r="E604" s="89"/>
      <c r="F604" s="89"/>
      <c r="G604" s="89"/>
      <c r="H604" s="62"/>
      <c r="I604" s="62"/>
      <c r="J604" s="62"/>
      <c r="K604" s="62"/>
      <c r="L604" s="62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X604" s="62"/>
      <c r="Y604" s="62"/>
      <c r="Z604" s="89"/>
      <c r="AA604" s="89"/>
      <c r="AB604" s="89"/>
      <c r="AC604" s="89"/>
      <c r="AD604" s="89"/>
      <c r="AE604" s="89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9"/>
      <c r="C605" s="89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9"/>
      <c r="AA605" s="89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9"/>
      <c r="C607" s="89"/>
      <c r="D607" s="89"/>
      <c r="E607" s="89"/>
      <c r="F607" s="89"/>
      <c r="G607" s="89"/>
      <c r="H607" s="62"/>
      <c r="I607" s="62"/>
      <c r="J607" s="62"/>
      <c r="K607" s="62"/>
      <c r="L607" s="62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X607" s="62"/>
      <c r="Y607" s="62"/>
      <c r="Z607" s="89"/>
      <c r="AA607" s="89"/>
      <c r="AB607" s="89"/>
      <c r="AC607" s="89"/>
      <c r="AD607" s="89"/>
      <c r="AE607" s="89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9"/>
      <c r="C608" s="89"/>
      <c r="D608" s="89"/>
      <c r="E608" s="89"/>
      <c r="F608" s="89"/>
      <c r="G608" s="89"/>
      <c r="H608" s="62"/>
      <c r="I608" s="62"/>
      <c r="J608" s="62"/>
      <c r="K608" s="62"/>
      <c r="L608" s="62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X608" s="62"/>
      <c r="Y608" s="62"/>
      <c r="Z608" s="89"/>
      <c r="AA608" s="89"/>
      <c r="AB608" s="89"/>
      <c r="AC608" s="89"/>
      <c r="AD608" s="89"/>
      <c r="AE608" s="89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9"/>
      <c r="C609" s="89"/>
      <c r="D609" s="89"/>
      <c r="E609" s="89"/>
      <c r="F609" s="89"/>
      <c r="G609" s="89"/>
      <c r="H609" s="62"/>
      <c r="I609" s="62"/>
      <c r="J609" s="62"/>
      <c r="K609" s="62"/>
      <c r="L609" s="62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X609" s="62"/>
      <c r="Y609" s="62"/>
      <c r="Z609" s="89"/>
      <c r="AA609" s="89"/>
      <c r="AB609" s="89"/>
      <c r="AC609" s="89"/>
      <c r="AD609" s="89"/>
      <c r="AE609" s="89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9"/>
      <c r="C610" s="89"/>
      <c r="D610" s="89"/>
      <c r="E610" s="89"/>
      <c r="F610" s="89"/>
      <c r="G610" s="89"/>
      <c r="H610" s="62"/>
      <c r="I610" s="62"/>
      <c r="J610" s="62"/>
      <c r="K610" s="62"/>
      <c r="L610" s="62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X610" s="62"/>
      <c r="Y610" s="63"/>
      <c r="Z610" s="89"/>
      <c r="AA610" s="89"/>
      <c r="AB610" s="89"/>
      <c r="AC610" s="89"/>
      <c r="AD610" s="89"/>
      <c r="AE610" s="89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9"/>
      <c r="C611" s="89"/>
      <c r="D611" s="89"/>
      <c r="E611" s="89"/>
      <c r="F611" s="89"/>
      <c r="G611" s="89"/>
      <c r="H611" s="62"/>
      <c r="I611" s="62"/>
      <c r="J611" s="62"/>
      <c r="K611" s="62"/>
      <c r="L611" s="62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X611" s="62"/>
      <c r="Y611" s="62"/>
      <c r="Z611" s="89"/>
      <c r="AA611" s="89"/>
      <c r="AB611" s="89"/>
      <c r="AC611" s="89"/>
      <c r="AD611" s="89"/>
      <c r="AE611" s="89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9"/>
      <c r="C612" s="89"/>
      <c r="D612" s="89"/>
      <c r="E612" s="89"/>
      <c r="F612" s="89"/>
      <c r="G612" s="89"/>
      <c r="H612" s="62"/>
      <c r="I612" s="89"/>
      <c r="J612" s="74"/>
      <c r="K612" s="62"/>
      <c r="L612" s="62"/>
      <c r="M612" s="62"/>
      <c r="N612" s="89"/>
      <c r="O612" s="89"/>
      <c r="P612" s="89"/>
      <c r="Q612" s="89"/>
      <c r="R612" s="89"/>
      <c r="S612" s="89"/>
      <c r="T612" s="62"/>
      <c r="U612" s="89"/>
      <c r="V612" s="74"/>
      <c r="W612" s="62"/>
      <c r="X612" s="62"/>
      <c r="Y612" s="62"/>
      <c r="Z612" s="89"/>
      <c r="AA612" s="89"/>
      <c r="AB612" s="89"/>
      <c r="AC612" s="89"/>
      <c r="AD612" s="89"/>
      <c r="AE612" s="89"/>
      <c r="AF612" s="62"/>
      <c r="AG612" s="89"/>
      <c r="AH612" s="89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9"/>
      <c r="C613" s="89"/>
      <c r="D613" s="89"/>
      <c r="E613" s="89"/>
      <c r="F613" s="89"/>
      <c r="G613" s="89"/>
      <c r="H613" s="62"/>
      <c r="I613" s="65"/>
      <c r="J613" s="65"/>
      <c r="K613" s="62"/>
      <c r="L613" s="62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X613" s="62"/>
      <c r="Y613" s="64"/>
      <c r="Z613" s="89"/>
      <c r="AA613" s="89"/>
      <c r="AB613" s="89"/>
      <c r="AC613" s="89"/>
      <c r="AD613" s="89"/>
      <c r="AE613" s="89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9"/>
      <c r="C614" s="89"/>
      <c r="D614" s="89"/>
      <c r="E614" s="89"/>
      <c r="F614" s="89"/>
      <c r="G614" s="89"/>
      <c r="H614" s="62"/>
      <c r="I614" s="62"/>
      <c r="J614" s="62"/>
      <c r="K614" s="62"/>
      <c r="L614" s="62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X614" s="62"/>
      <c r="Y614" s="62"/>
      <c r="Z614" s="89"/>
      <c r="AA614" s="89"/>
      <c r="AB614" s="89"/>
      <c r="AC614" s="89"/>
      <c r="AD614" s="89"/>
      <c r="AE614" s="89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9"/>
      <c r="D615" s="98"/>
      <c r="E615" s="98"/>
      <c r="F615" s="89"/>
      <c r="G615" s="89"/>
      <c r="H615" s="62"/>
      <c r="I615" s="98"/>
      <c r="J615" s="98"/>
      <c r="K615" s="97"/>
      <c r="L615" s="62"/>
      <c r="M615" s="62"/>
      <c r="N615" s="65"/>
      <c r="O615" s="89"/>
      <c r="P615" s="98"/>
      <c r="Q615" s="98"/>
      <c r="R615" s="89"/>
      <c r="S615" s="89"/>
      <c r="T615" s="62"/>
      <c r="U615" s="98"/>
      <c r="V615" s="98"/>
      <c r="W615" s="97"/>
      <c r="X615" s="62"/>
      <c r="Y615" s="62"/>
      <c r="Z615" s="65"/>
      <c r="AA615" s="89"/>
      <c r="AB615" s="98"/>
      <c r="AC615" s="98"/>
      <c r="AD615" s="89"/>
      <c r="AE615" s="89"/>
      <c r="AF615" s="62"/>
      <c r="AG615" s="98"/>
      <c r="AH615" s="98"/>
      <c r="AI615" s="97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9"/>
      <c r="C616" s="89"/>
      <c r="D616" s="81"/>
      <c r="E616" s="82"/>
      <c r="F616" s="83"/>
      <c r="G616" s="83"/>
      <c r="H616" s="62"/>
      <c r="I616" s="88"/>
      <c r="J616" s="88"/>
      <c r="K616" s="97"/>
      <c r="L616" s="62"/>
      <c r="M616" s="62"/>
      <c r="N616" s="89"/>
      <c r="O616" s="89"/>
      <c r="P616" s="81"/>
      <c r="Q616" s="83"/>
      <c r="R616" s="83"/>
      <c r="S616" s="83"/>
      <c r="T616" s="62"/>
      <c r="U616" s="88"/>
      <c r="V616" s="88"/>
      <c r="W616" s="97"/>
      <c r="X616" s="62"/>
      <c r="Y616" s="62"/>
      <c r="Z616" s="89"/>
      <c r="AA616" s="89"/>
      <c r="AB616" s="81"/>
      <c r="AC616" s="83"/>
      <c r="AD616" s="83"/>
      <c r="AE616" s="83"/>
      <c r="AF616" s="62"/>
      <c r="AG616" s="88"/>
      <c r="AH616" s="88"/>
      <c r="AI616" s="97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9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9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9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9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65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9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9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9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9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89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9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9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9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9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9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5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9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9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9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9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9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9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9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9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9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9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9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9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9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9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89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9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9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9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9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9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9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9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9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89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9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89"/>
      <c r="AD637" s="89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9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89"/>
      <c r="AD638" s="89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9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89"/>
      <c r="AB639" s="69"/>
      <c r="AC639" s="89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9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X640" s="62"/>
      <c r="Y640" s="62"/>
      <c r="Z640" s="66"/>
      <c r="AA640" s="89"/>
      <c r="AB640" s="69"/>
      <c r="AC640" s="89"/>
      <c r="AD640" s="89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9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89"/>
      <c r="AD641" s="89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9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9"/>
      <c r="P642" s="69"/>
      <c r="Q642" s="89"/>
      <c r="R642" s="89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89"/>
      <c r="AD642" s="89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9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X643" s="62"/>
      <c r="Y643" s="62"/>
      <c r="Z643" s="66"/>
      <c r="AA643" s="89"/>
      <c r="AB643" s="69"/>
      <c r="AC643" s="89"/>
      <c r="AD643" s="89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9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X644" s="62"/>
      <c r="Y644" s="62"/>
      <c r="Z644" s="66"/>
      <c r="AA644" s="89"/>
      <c r="AB644" s="69"/>
      <c r="AC644" s="89"/>
      <c r="AD644" s="89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9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89"/>
      <c r="R645" s="89"/>
      <c r="S645" s="60"/>
      <c r="T645" s="62"/>
      <c r="U645" s="62"/>
      <c r="V645" s="62"/>
      <c r="W645" s="61"/>
      <c r="X645" s="62"/>
      <c r="Y645" s="62"/>
      <c r="Z645" s="66"/>
      <c r="AA645" s="89"/>
      <c r="AB645" s="69"/>
      <c r="AC645" s="89"/>
      <c r="AD645" s="89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65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89"/>
      <c r="R646" s="89"/>
      <c r="S646" s="60"/>
      <c r="T646" s="62"/>
      <c r="U646" s="62"/>
      <c r="V646" s="62"/>
      <c r="W646" s="61"/>
      <c r="X646" s="62"/>
      <c r="Y646" s="62"/>
      <c r="Z646" s="66"/>
      <c r="AA646" s="89"/>
      <c r="AB646" s="69"/>
      <c r="AC646" s="89"/>
      <c r="AD646" s="89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65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X647" s="62"/>
      <c r="Y647" s="62"/>
      <c r="Z647" s="66"/>
      <c r="AA647" s="89"/>
      <c r="AB647" s="69"/>
      <c r="AC647" s="89"/>
      <c r="AD647" s="89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65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89"/>
      <c r="R648" s="89"/>
      <c r="S648" s="60"/>
      <c r="T648" s="62"/>
      <c r="U648" s="62"/>
      <c r="V648" s="62"/>
      <c r="W648" s="61"/>
      <c r="X648" s="62"/>
      <c r="Y648" s="62"/>
      <c r="Z648" s="66"/>
      <c r="AA648" s="89"/>
      <c r="AB648" s="69"/>
      <c r="AC648" s="89"/>
      <c r="AD648" s="89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65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X649" s="62"/>
      <c r="Y649" s="62"/>
      <c r="Z649" s="66"/>
      <c r="AA649" s="89"/>
      <c r="AB649" s="69"/>
      <c r="AC649" s="89"/>
      <c r="AD649" s="89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65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X650" s="62"/>
      <c r="Y650" s="62"/>
      <c r="Z650" s="66"/>
      <c r="AA650" s="89"/>
      <c r="AB650" s="69"/>
      <c r="AC650" s="89"/>
      <c r="AD650" s="89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65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X651" s="62"/>
      <c r="Y651" s="62"/>
      <c r="Z651" s="66"/>
      <c r="AA651" s="89"/>
      <c r="AB651" s="69"/>
      <c r="AC651" s="89"/>
      <c r="AD651" s="89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65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X652" s="62"/>
      <c r="Y652" s="62"/>
      <c r="Z652" s="66"/>
      <c r="AA652" s="89"/>
      <c r="AB652" s="69"/>
      <c r="AC652" s="89"/>
      <c r="AD652" s="89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65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X653" s="62"/>
      <c r="Y653" s="62"/>
      <c r="Z653" s="66"/>
      <c r="AA653" s="89"/>
      <c r="AB653" s="69"/>
      <c r="AC653" s="89"/>
      <c r="AD653" s="89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9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X654" s="62"/>
      <c r="Y654" s="62"/>
      <c r="Z654" s="66"/>
      <c r="AA654" s="89"/>
      <c r="AB654" s="69"/>
      <c r="AC654" s="89"/>
      <c r="AD654" s="89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9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X655" s="62"/>
      <c r="Y655" s="62"/>
      <c r="Z655" s="66"/>
      <c r="AA655" s="89"/>
      <c r="AB655" s="69"/>
      <c r="AC655" s="89"/>
      <c r="AD655" s="89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9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9"/>
      <c r="AD656" s="89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9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X657" s="62"/>
      <c r="Y657" s="62"/>
      <c r="Z657" s="66"/>
      <c r="AA657" s="89"/>
      <c r="AB657" s="69"/>
      <c r="AC657" s="89"/>
      <c r="AD657" s="89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X658" s="62"/>
      <c r="Y658" s="62"/>
      <c r="Z658" s="89"/>
      <c r="AA658" s="89"/>
      <c r="AB658" s="89"/>
      <c r="AC658" s="89"/>
      <c r="AD658" s="89"/>
      <c r="AE658" s="89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9"/>
      <c r="C659" s="89"/>
      <c r="D659" s="89"/>
      <c r="E659" s="89"/>
      <c r="F659" s="89"/>
      <c r="G659" s="89"/>
      <c r="H659" s="62"/>
      <c r="I659" s="62"/>
      <c r="J659" s="62"/>
      <c r="K659" s="62"/>
      <c r="L659" s="62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X659" s="62"/>
      <c r="Y659" s="62"/>
      <c r="Z659" s="89"/>
      <c r="AA659" s="89"/>
      <c r="AB659" s="89"/>
      <c r="AC659" s="89"/>
      <c r="AD659" s="89"/>
      <c r="AE659" s="89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9"/>
      <c r="C660" s="89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9"/>
      <c r="AA660" s="89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L662" s="62"/>
      <c r="M662" s="62"/>
      <c r="N662" s="89"/>
      <c r="O662" s="89"/>
      <c r="P662" s="89"/>
      <c r="Q662" s="89"/>
      <c r="R662" s="89"/>
      <c r="S662" s="89"/>
      <c r="T662" s="62"/>
      <c r="U662" s="62"/>
      <c r="V662" s="62"/>
      <c r="W662" s="62"/>
      <c r="X662" s="62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L663" s="62"/>
      <c r="M663" s="62"/>
      <c r="N663" s="89"/>
      <c r="O663" s="89"/>
      <c r="P663" s="89"/>
      <c r="Q663" s="89"/>
      <c r="R663" s="89"/>
      <c r="S663" s="89"/>
      <c r="T663" s="62"/>
      <c r="U663" s="62"/>
      <c r="V663" s="62"/>
      <c r="W663" s="62"/>
      <c r="X663" s="62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L664" s="62"/>
      <c r="M664" s="62"/>
      <c r="N664" s="89"/>
      <c r="O664" s="89"/>
      <c r="P664" s="89"/>
      <c r="Q664" s="89"/>
      <c r="R664" s="89"/>
      <c r="S664" s="89"/>
      <c r="T664" s="62"/>
      <c r="U664" s="62"/>
      <c r="V664" s="62"/>
      <c r="W664" s="62"/>
      <c r="X664" s="62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L665" s="62"/>
      <c r="M665" s="63"/>
      <c r="N665" s="89"/>
      <c r="O665" s="89"/>
      <c r="P665" s="89"/>
      <c r="Q665" s="89"/>
      <c r="R665" s="89"/>
      <c r="S665" s="89"/>
      <c r="T665" s="62"/>
      <c r="U665" s="62"/>
      <c r="V665" s="62"/>
      <c r="W665" s="62"/>
      <c r="X665" s="62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L666" s="62"/>
      <c r="M666" s="62"/>
      <c r="N666" s="89"/>
      <c r="O666" s="89"/>
      <c r="P666" s="89"/>
      <c r="Q666" s="89"/>
      <c r="R666" s="89"/>
      <c r="S666" s="89"/>
      <c r="T666" s="62"/>
      <c r="U666" s="62"/>
      <c r="V666" s="62"/>
      <c r="W666" s="62"/>
      <c r="X666" s="62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4"/>
      <c r="K667" s="62"/>
      <c r="L667" s="62"/>
      <c r="M667" s="62"/>
      <c r="N667" s="89"/>
      <c r="O667" s="89"/>
      <c r="P667" s="89"/>
      <c r="Q667" s="89"/>
      <c r="R667" s="89"/>
      <c r="S667" s="89"/>
      <c r="T667" s="62"/>
      <c r="U667" s="89"/>
      <c r="V667" s="74"/>
      <c r="W667" s="62"/>
      <c r="X667" s="62"/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L668" s="62"/>
      <c r="M668" s="64"/>
      <c r="N668" s="89"/>
      <c r="O668" s="89"/>
      <c r="P668" s="89"/>
      <c r="Q668" s="89"/>
      <c r="R668" s="89"/>
      <c r="S668" s="89"/>
      <c r="T668" s="62"/>
      <c r="U668" s="65"/>
      <c r="V668" s="65"/>
      <c r="W668" s="62"/>
      <c r="X668" s="62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L669" s="62"/>
      <c r="M669" s="62"/>
      <c r="N669" s="89"/>
      <c r="O669" s="89"/>
      <c r="P669" s="89"/>
      <c r="Q669" s="89"/>
      <c r="R669" s="89"/>
      <c r="S669" s="89"/>
      <c r="T669" s="62"/>
      <c r="U669" s="62"/>
      <c r="V669" s="62"/>
      <c r="W669" s="62"/>
      <c r="X669" s="62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98"/>
      <c r="E670" s="98"/>
      <c r="F670" s="89"/>
      <c r="G670" s="89"/>
      <c r="H670" s="62"/>
      <c r="I670" s="98"/>
      <c r="J670" s="98"/>
      <c r="K670" s="97"/>
      <c r="L670" s="62"/>
      <c r="M670" s="62"/>
      <c r="N670" s="65"/>
      <c r="O670" s="89"/>
      <c r="P670" s="98"/>
      <c r="Q670" s="98"/>
      <c r="R670" s="89"/>
      <c r="S670" s="89"/>
      <c r="T670" s="62"/>
      <c r="U670" s="98"/>
      <c r="V670" s="98"/>
      <c r="W670" s="97"/>
      <c r="X670" s="62"/>
      <c r="Y670" s="62"/>
      <c r="Z670" s="65"/>
      <c r="AA670" s="89"/>
      <c r="AB670" s="98"/>
      <c r="AC670" s="98"/>
      <c r="AD670" s="89"/>
      <c r="AE670" s="89"/>
      <c r="AF670" s="62"/>
      <c r="AG670" s="98"/>
      <c r="AH670" s="98"/>
      <c r="AI670" s="97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9"/>
      <c r="C671" s="89"/>
      <c r="D671" s="81"/>
      <c r="E671" s="82"/>
      <c r="F671" s="83"/>
      <c r="G671" s="83"/>
      <c r="H671" s="62"/>
      <c r="I671" s="88"/>
      <c r="J671" s="88"/>
      <c r="K671" s="97"/>
      <c r="L671" s="62"/>
      <c r="M671" s="62"/>
      <c r="N671" s="89"/>
      <c r="O671" s="89"/>
      <c r="P671" s="81"/>
      <c r="Q671" s="83"/>
      <c r="R671" s="83"/>
      <c r="S671" s="83"/>
      <c r="T671" s="62"/>
      <c r="U671" s="88"/>
      <c r="V671" s="88"/>
      <c r="W671" s="97"/>
      <c r="X671" s="62"/>
      <c r="Y671" s="62"/>
      <c r="Z671" s="89"/>
      <c r="AA671" s="89"/>
      <c r="AB671" s="81"/>
      <c r="AC671" s="83"/>
      <c r="AD671" s="83"/>
      <c r="AE671" s="83"/>
      <c r="AF671" s="62"/>
      <c r="AG671" s="88"/>
      <c r="AH671" s="88"/>
      <c r="AI671" s="97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9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9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9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9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9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9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65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9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9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9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9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9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9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9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9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9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9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9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9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9"/>
      <c r="AB680" s="91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9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9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9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9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5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9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9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9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9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9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9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9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9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9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89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9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9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9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9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9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9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9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9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89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9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89"/>
      <c r="R692" s="89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9"/>
      <c r="P693" s="68"/>
      <c r="Q693" s="89"/>
      <c r="R693" s="89"/>
      <c r="S693" s="60"/>
      <c r="T693" s="62"/>
      <c r="U693" s="62"/>
      <c r="V693" s="62"/>
      <c r="W693" s="61"/>
      <c r="X693" s="62"/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65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9"/>
      <c r="P694" s="69"/>
      <c r="Q694" s="89"/>
      <c r="R694" s="62"/>
      <c r="S694" s="60"/>
      <c r="T694" s="62"/>
      <c r="U694" s="62"/>
      <c r="V694" s="62"/>
      <c r="W694" s="61"/>
      <c r="X694" s="62"/>
      <c r="Y694" s="62"/>
      <c r="Z694" s="66"/>
      <c r="AA694" s="89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9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9"/>
      <c r="P695" s="69"/>
      <c r="Q695" s="89"/>
      <c r="R695" s="89"/>
      <c r="S695" s="60"/>
      <c r="T695" s="62"/>
      <c r="U695" s="62"/>
      <c r="V695" s="62"/>
      <c r="W695" s="61"/>
      <c r="X695" s="62"/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9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9"/>
      <c r="P696" s="69"/>
      <c r="Q696" s="89"/>
      <c r="R696" s="89"/>
      <c r="S696" s="60"/>
      <c r="T696" s="62"/>
      <c r="U696" s="62"/>
      <c r="V696" s="62"/>
      <c r="W696" s="61"/>
      <c r="X696" s="62"/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9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89"/>
      <c r="R697" s="89"/>
      <c r="S697" s="60"/>
      <c r="T697" s="62"/>
      <c r="U697" s="62"/>
      <c r="V697" s="62"/>
      <c r="W697" s="61"/>
      <c r="X697" s="62"/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9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9"/>
      <c r="P698" s="69"/>
      <c r="Q698" s="89"/>
      <c r="R698" s="89"/>
      <c r="S698" s="60"/>
      <c r="T698" s="62"/>
      <c r="U698" s="62"/>
      <c r="V698" s="62"/>
      <c r="W698" s="61"/>
      <c r="X698" s="62"/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9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9"/>
      <c r="P699" s="69"/>
      <c r="Q699" s="89"/>
      <c r="R699" s="89"/>
      <c r="S699" s="60"/>
      <c r="T699" s="62"/>
      <c r="U699" s="62"/>
      <c r="V699" s="62"/>
      <c r="W699" s="61"/>
      <c r="X699" s="62"/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9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9"/>
      <c r="P700" s="69"/>
      <c r="Q700" s="89"/>
      <c r="R700" s="89"/>
      <c r="S700" s="60"/>
      <c r="T700" s="62"/>
      <c r="U700" s="62"/>
      <c r="V700" s="62"/>
      <c r="W700" s="61"/>
      <c r="X700" s="62"/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9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89"/>
      <c r="R701" s="89"/>
      <c r="S701" s="60"/>
      <c r="T701" s="62"/>
      <c r="U701" s="62"/>
      <c r="V701" s="62"/>
      <c r="W701" s="61"/>
      <c r="X701" s="62"/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9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9"/>
      <c r="P702" s="69"/>
      <c r="Q702" s="89"/>
      <c r="R702" s="89"/>
      <c r="S702" s="60"/>
      <c r="T702" s="62"/>
      <c r="U702" s="62"/>
      <c r="V702" s="62"/>
      <c r="W702" s="61"/>
      <c r="X702" s="62"/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9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9"/>
      <c r="P703" s="69"/>
      <c r="Q703" s="89"/>
      <c r="R703" s="89"/>
      <c r="S703" s="60"/>
      <c r="T703" s="62"/>
      <c r="U703" s="62"/>
      <c r="V703" s="62"/>
      <c r="W703" s="61"/>
      <c r="X703" s="62"/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9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9"/>
      <c r="P704" s="69"/>
      <c r="Q704" s="89"/>
      <c r="R704" s="89"/>
      <c r="S704" s="60"/>
      <c r="T704" s="62"/>
      <c r="U704" s="62"/>
      <c r="V704" s="62"/>
      <c r="W704" s="61"/>
      <c r="X704" s="62"/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9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9"/>
      <c r="P705" s="69"/>
      <c r="Q705" s="89"/>
      <c r="R705" s="89"/>
      <c r="S705" s="60"/>
      <c r="T705" s="62"/>
      <c r="U705" s="62"/>
      <c r="V705" s="62"/>
      <c r="W705" s="61"/>
      <c r="X705" s="62"/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9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9"/>
      <c r="P706" s="69"/>
      <c r="Q706" s="89"/>
      <c r="R706" s="89"/>
      <c r="S706" s="60"/>
      <c r="T706" s="62"/>
      <c r="U706" s="62"/>
      <c r="V706" s="62"/>
      <c r="W706" s="61"/>
      <c r="X706" s="62"/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9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9"/>
      <c r="P707" s="69"/>
      <c r="Q707" s="89"/>
      <c r="R707" s="89"/>
      <c r="S707" s="60"/>
      <c r="T707" s="62"/>
      <c r="U707" s="62"/>
      <c r="V707" s="62"/>
      <c r="W707" s="61"/>
      <c r="X707" s="62"/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9"/>
      <c r="R708" s="89"/>
      <c r="S708" s="60"/>
      <c r="T708" s="62"/>
      <c r="U708" s="62"/>
      <c r="V708" s="62"/>
      <c r="W708" s="61"/>
      <c r="X708" s="62"/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9"/>
      <c r="P709" s="69"/>
      <c r="Q709" s="89"/>
      <c r="R709" s="89"/>
      <c r="S709" s="60"/>
      <c r="T709" s="62"/>
      <c r="U709" s="62"/>
      <c r="V709" s="62"/>
      <c r="W709" s="61"/>
      <c r="X709" s="62"/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9"/>
      <c r="P710" s="69"/>
      <c r="Q710" s="89"/>
      <c r="R710" s="89"/>
      <c r="S710" s="60"/>
      <c r="T710" s="62"/>
      <c r="U710" s="62"/>
      <c r="V710" s="62"/>
      <c r="W710" s="61"/>
      <c r="X710" s="62"/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9"/>
      <c r="R711" s="89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9"/>
      <c r="P712" s="69"/>
      <c r="Q712" s="89"/>
      <c r="R712" s="89"/>
      <c r="S712" s="60"/>
      <c r="T712" s="62"/>
      <c r="U712" s="62"/>
      <c r="V712" s="62"/>
      <c r="W712" s="61"/>
      <c r="X712" s="62"/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9"/>
      <c r="O713" s="89"/>
      <c r="P713" s="89"/>
      <c r="Q713" s="89"/>
      <c r="R713" s="89"/>
      <c r="S713" s="89"/>
      <c r="T713" s="62"/>
      <c r="U713" s="62"/>
      <c r="V713" s="62"/>
      <c r="W713" s="61"/>
      <c r="X713" s="62"/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L714" s="62"/>
      <c r="M714" s="62"/>
      <c r="N714" s="89"/>
      <c r="O714" s="89"/>
      <c r="P714" s="89"/>
      <c r="Q714" s="89"/>
      <c r="R714" s="89"/>
      <c r="S714" s="89"/>
      <c r="T714" s="62"/>
      <c r="U714" s="62"/>
      <c r="V714" s="62"/>
      <c r="W714" s="62"/>
      <c r="X714" s="62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9"/>
      <c r="O715" s="89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4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4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98"/>
      <c r="E725" s="98"/>
      <c r="F725" s="89"/>
      <c r="G725" s="89"/>
      <c r="H725" s="62"/>
      <c r="I725" s="98"/>
      <c r="J725" s="98"/>
      <c r="K725" s="97"/>
      <c r="L725" s="62"/>
      <c r="M725" s="62"/>
      <c r="N725" s="65"/>
      <c r="O725" s="89"/>
      <c r="P725" s="98"/>
      <c r="Q725" s="98"/>
      <c r="R725" s="89"/>
      <c r="S725" s="89"/>
      <c r="T725" s="62"/>
      <c r="U725" s="98"/>
      <c r="V725" s="98"/>
      <c r="W725" s="97"/>
      <c r="X725" s="62"/>
      <c r="Y725" s="62"/>
      <c r="Z725" s="65"/>
      <c r="AA725" s="89"/>
      <c r="AB725" s="98"/>
      <c r="AC725" s="98"/>
      <c r="AD725" s="89"/>
      <c r="AE725" s="89"/>
      <c r="AF725" s="62"/>
      <c r="AG725" s="98"/>
      <c r="AH725" s="98"/>
      <c r="AI725" s="97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81"/>
      <c r="E726" s="82"/>
      <c r="F726" s="83"/>
      <c r="G726" s="83"/>
      <c r="H726" s="62"/>
      <c r="I726" s="88"/>
      <c r="J726" s="88"/>
      <c r="K726" s="97"/>
      <c r="L726" s="62"/>
      <c r="M726" s="62"/>
      <c r="N726" s="89"/>
      <c r="O726" s="89"/>
      <c r="P726" s="81"/>
      <c r="Q726" s="83"/>
      <c r="R726" s="83"/>
      <c r="S726" s="83"/>
      <c r="T726" s="62"/>
      <c r="U726" s="88"/>
      <c r="V726" s="88"/>
      <c r="W726" s="97"/>
      <c r="X726" s="62"/>
      <c r="Y726" s="62"/>
      <c r="Z726" s="89"/>
      <c r="AA726" s="89"/>
      <c r="AB726" s="81"/>
      <c r="AC726" s="83"/>
      <c r="AD726" s="83"/>
      <c r="AE726" s="83"/>
      <c r="AF726" s="62"/>
      <c r="AG726" s="88"/>
      <c r="AH726" s="88"/>
      <c r="AI726" s="97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9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9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9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9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9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9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9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9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9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9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9"/>
      <c r="AB735" s="91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9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9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9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9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9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9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9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9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9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9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9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9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9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9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2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9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9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9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9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62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9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89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9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65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9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9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9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9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65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65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65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65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65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65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65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4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4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98"/>
      <c r="E780" s="98"/>
      <c r="F780" s="89"/>
      <c r="G780" s="89"/>
      <c r="H780" s="62"/>
      <c r="I780" s="98"/>
      <c r="J780" s="98"/>
      <c r="K780" s="97"/>
      <c r="L780" s="62"/>
      <c r="M780" s="62"/>
      <c r="N780" s="65"/>
      <c r="O780" s="89"/>
      <c r="P780" s="98"/>
      <c r="Q780" s="98"/>
      <c r="R780" s="89"/>
      <c r="S780" s="89"/>
      <c r="T780" s="62"/>
      <c r="U780" s="98"/>
      <c r="V780" s="98"/>
      <c r="W780" s="97"/>
      <c r="X780" s="62"/>
      <c r="Y780" s="62"/>
      <c r="Z780" s="65"/>
      <c r="AA780" s="89"/>
      <c r="AB780" s="98"/>
      <c r="AC780" s="98"/>
      <c r="AD780" s="89"/>
      <c r="AE780" s="89"/>
      <c r="AF780" s="62"/>
      <c r="AG780" s="98"/>
      <c r="AH780" s="98"/>
      <c r="AI780" s="97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81"/>
      <c r="E781" s="82"/>
      <c r="F781" s="83"/>
      <c r="G781" s="83"/>
      <c r="H781" s="62"/>
      <c r="I781" s="88"/>
      <c r="J781" s="88"/>
      <c r="K781" s="97"/>
      <c r="L781" s="62"/>
      <c r="M781" s="62"/>
      <c r="N781" s="89"/>
      <c r="O781" s="89"/>
      <c r="P781" s="81"/>
      <c r="Q781" s="83"/>
      <c r="R781" s="83"/>
      <c r="S781" s="83"/>
      <c r="T781" s="62"/>
      <c r="U781" s="88"/>
      <c r="V781" s="88"/>
      <c r="W781" s="97"/>
      <c r="X781" s="62"/>
      <c r="Y781" s="62"/>
      <c r="Z781" s="89"/>
      <c r="AA781" s="89"/>
      <c r="AB781" s="81"/>
      <c r="AC781" s="83"/>
      <c r="AD781" s="83"/>
      <c r="AE781" s="83"/>
      <c r="AF781" s="62"/>
      <c r="AG781" s="88"/>
      <c r="AH781" s="88"/>
      <c r="AI781" s="97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9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9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9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65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9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9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9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9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9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9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9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91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9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9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9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9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9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9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9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9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9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9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9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9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65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9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9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5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9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9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9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9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89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9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9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9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9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9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9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65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65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65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65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65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65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65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4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4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98"/>
      <c r="E835" s="98"/>
      <c r="F835" s="89"/>
      <c r="G835" s="89"/>
      <c r="H835" s="62"/>
      <c r="I835" s="98"/>
      <c r="J835" s="98"/>
      <c r="K835" s="97"/>
      <c r="L835" s="62"/>
      <c r="M835" s="62"/>
      <c r="N835" s="65"/>
      <c r="O835" s="89"/>
      <c r="P835" s="98"/>
      <c r="Q835" s="98"/>
      <c r="R835" s="89"/>
      <c r="S835" s="89"/>
      <c r="T835" s="62"/>
      <c r="U835" s="98"/>
      <c r="V835" s="98"/>
      <c r="W835" s="97"/>
      <c r="X835" s="62"/>
      <c r="Y835" s="62"/>
      <c r="Z835" s="65"/>
      <c r="AA835" s="89"/>
      <c r="AB835" s="98"/>
      <c r="AC835" s="98"/>
      <c r="AD835" s="89"/>
      <c r="AE835" s="89"/>
      <c r="AF835" s="62"/>
      <c r="AG835" s="98"/>
      <c r="AH835" s="98"/>
      <c r="AI835" s="97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81"/>
      <c r="E836" s="82"/>
      <c r="F836" s="83"/>
      <c r="G836" s="83"/>
      <c r="H836" s="62"/>
      <c r="I836" s="88"/>
      <c r="J836" s="88"/>
      <c r="K836" s="97"/>
      <c r="L836" s="62"/>
      <c r="M836" s="62"/>
      <c r="N836" s="89"/>
      <c r="O836" s="89"/>
      <c r="P836" s="81"/>
      <c r="Q836" s="83"/>
      <c r="R836" s="83"/>
      <c r="S836" s="83"/>
      <c r="T836" s="62"/>
      <c r="U836" s="88"/>
      <c r="V836" s="88"/>
      <c r="W836" s="97"/>
      <c r="X836" s="62"/>
      <c r="Y836" s="62"/>
      <c r="Z836" s="89"/>
      <c r="AA836" s="89"/>
      <c r="AB836" s="81"/>
      <c r="AC836" s="83"/>
      <c r="AD836" s="83"/>
      <c r="AE836" s="83"/>
      <c r="AF836" s="62"/>
      <c r="AG836" s="88"/>
      <c r="AH836" s="88"/>
      <c r="AI836" s="97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9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9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9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9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9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9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9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9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9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91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9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9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9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9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9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9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9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9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9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9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9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9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9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9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89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9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65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9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9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9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9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65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65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65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65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65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65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65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4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4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98"/>
      <c r="E890" s="98"/>
      <c r="F890" s="89"/>
      <c r="G890" s="89"/>
      <c r="H890" s="62"/>
      <c r="I890" s="98"/>
      <c r="J890" s="98"/>
      <c r="K890" s="97"/>
      <c r="L890" s="62"/>
      <c r="M890" s="62"/>
      <c r="N890" s="65"/>
      <c r="O890" s="89"/>
      <c r="P890" s="98"/>
      <c r="Q890" s="98"/>
      <c r="R890" s="89"/>
      <c r="S890" s="89"/>
      <c r="T890" s="62"/>
      <c r="U890" s="98"/>
      <c r="V890" s="98"/>
      <c r="W890" s="97"/>
      <c r="X890" s="62"/>
      <c r="Y890" s="62"/>
      <c r="Z890" s="65"/>
      <c r="AA890" s="89"/>
      <c r="AB890" s="98"/>
      <c r="AC890" s="98"/>
      <c r="AD890" s="89"/>
      <c r="AE890" s="89"/>
      <c r="AF890" s="62"/>
      <c r="AG890" s="98"/>
      <c r="AH890" s="98"/>
      <c r="AI890" s="97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81"/>
      <c r="E891" s="82"/>
      <c r="F891" s="83"/>
      <c r="G891" s="83"/>
      <c r="H891" s="62"/>
      <c r="I891" s="88"/>
      <c r="J891" s="88"/>
      <c r="K891" s="97"/>
      <c r="L891" s="62"/>
      <c r="M891" s="62"/>
      <c r="N891" s="89"/>
      <c r="O891" s="89"/>
      <c r="P891" s="81"/>
      <c r="Q891" s="83"/>
      <c r="R891" s="83"/>
      <c r="S891" s="83"/>
      <c r="T891" s="62"/>
      <c r="U891" s="88"/>
      <c r="V891" s="88"/>
      <c r="W891" s="97"/>
      <c r="X891" s="62"/>
      <c r="Y891" s="62"/>
      <c r="Z891" s="89"/>
      <c r="AA891" s="89"/>
      <c r="AB891" s="81"/>
      <c r="AC891" s="83"/>
      <c r="AD891" s="83"/>
      <c r="AE891" s="83"/>
      <c r="AF891" s="62"/>
      <c r="AG891" s="88"/>
      <c r="AH891" s="88"/>
      <c r="AI891" s="97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9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9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9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9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9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9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9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9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9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9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91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9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9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9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9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62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9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9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65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9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9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9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9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9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62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9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9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89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9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9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9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9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9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9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65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65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65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65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65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65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65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4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4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98"/>
      <c r="E945" s="98"/>
      <c r="F945" s="89"/>
      <c r="G945" s="89"/>
      <c r="H945" s="62"/>
      <c r="I945" s="98"/>
      <c r="J945" s="98"/>
      <c r="K945" s="97"/>
      <c r="L945" s="62"/>
      <c r="M945" s="62"/>
      <c r="N945" s="65"/>
      <c r="O945" s="89"/>
      <c r="P945" s="98"/>
      <c r="Q945" s="98"/>
      <c r="R945" s="89"/>
      <c r="S945" s="89"/>
      <c r="T945" s="62"/>
      <c r="U945" s="98"/>
      <c r="V945" s="98"/>
      <c r="W945" s="97"/>
      <c r="X945" s="62"/>
      <c r="Y945" s="62"/>
      <c r="Z945" s="65"/>
      <c r="AA945" s="89"/>
      <c r="AB945" s="98"/>
      <c r="AC945" s="98"/>
      <c r="AD945" s="89"/>
      <c r="AE945" s="89"/>
      <c r="AF945" s="62"/>
      <c r="AG945" s="98"/>
      <c r="AH945" s="98"/>
      <c r="AI945" s="97"/>
      <c r="AJ945" s="62"/>
      <c r="AK945" s="62"/>
      <c r="AL945" s="65"/>
      <c r="AM945" s="87"/>
      <c r="AN945" s="98"/>
      <c r="AO945" s="98"/>
      <c r="AP945" s="87"/>
      <c r="AQ945" s="84"/>
      <c r="AR945" s="62"/>
      <c r="AS945" s="98"/>
      <c r="AT945" s="98"/>
      <c r="AU945" s="97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81"/>
      <c r="E946" s="82"/>
      <c r="F946" s="83"/>
      <c r="G946" s="83"/>
      <c r="H946" s="62"/>
      <c r="I946" s="88"/>
      <c r="J946" s="88"/>
      <c r="K946" s="97"/>
      <c r="L946" s="62"/>
      <c r="M946" s="62"/>
      <c r="N946" s="89"/>
      <c r="O946" s="89"/>
      <c r="P946" s="81"/>
      <c r="Q946" s="83"/>
      <c r="R946" s="83"/>
      <c r="S946" s="83"/>
      <c r="T946" s="62"/>
      <c r="U946" s="88"/>
      <c r="V946" s="88"/>
      <c r="W946" s="97"/>
      <c r="X946" s="62"/>
      <c r="Y946" s="62"/>
      <c r="Z946" s="89"/>
      <c r="AA946" s="89"/>
      <c r="AB946" s="81"/>
      <c r="AC946" s="83"/>
      <c r="AD946" s="83"/>
      <c r="AE946" s="83"/>
      <c r="AF946" s="62"/>
      <c r="AG946" s="88"/>
      <c r="AH946" s="88"/>
      <c r="AI946" s="97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97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9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9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9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9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9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9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9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9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9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91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9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9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9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9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9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9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5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9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9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9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9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9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67"/>
      <c r="Q967" s="60"/>
      <c r="R967" s="89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9"/>
      <c r="P968" s="68"/>
      <c r="Q968" s="60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9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60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9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60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9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60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9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60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9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65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9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9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9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9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9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9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9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9"/>
      <c r="C992" s="89"/>
      <c r="D992" s="89"/>
      <c r="E992" s="89"/>
      <c r="F992" s="89"/>
      <c r="G992" s="89"/>
      <c r="H992" s="62"/>
      <c r="I992" s="62"/>
      <c r="J992" s="62"/>
      <c r="K992" s="62"/>
      <c r="L992" s="62"/>
      <c r="M992" s="62"/>
      <c r="N992" s="89"/>
      <c r="O992" s="89"/>
      <c r="P992" s="89"/>
      <c r="Q992" s="89"/>
      <c r="R992" s="89"/>
      <c r="S992" s="89"/>
      <c r="T992" s="62"/>
      <c r="U992" s="62"/>
      <c r="V992" s="62"/>
      <c r="W992" s="62"/>
      <c r="X992" s="62"/>
      <c r="Y992" s="62"/>
      <c r="Z992" s="89"/>
      <c r="AA992" s="89"/>
      <c r="AB992" s="89"/>
      <c r="AC992" s="89"/>
      <c r="AD992" s="89"/>
      <c r="AE992" s="89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9"/>
      <c r="C993" s="89"/>
      <c r="D993" s="89"/>
      <c r="E993" s="89"/>
      <c r="F993" s="89"/>
      <c r="G993" s="89"/>
      <c r="H993" s="62"/>
      <c r="I993" s="62"/>
      <c r="J993" s="62"/>
      <c r="K993" s="62"/>
      <c r="L993" s="62"/>
      <c r="M993" s="62"/>
      <c r="N993" s="89"/>
      <c r="O993" s="89"/>
      <c r="P993" s="89"/>
      <c r="Q993" s="89"/>
      <c r="R993" s="89"/>
      <c r="S993" s="89"/>
      <c r="T993" s="62"/>
      <c r="U993" s="62"/>
      <c r="V993" s="62"/>
      <c r="W993" s="62"/>
      <c r="X993" s="62"/>
      <c r="Y993" s="62"/>
      <c r="Z993" s="89"/>
      <c r="AA993" s="89"/>
      <c r="AB993" s="89"/>
      <c r="AC993" s="89"/>
      <c r="AD993" s="89"/>
      <c r="AE993" s="89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9"/>
      <c r="C994" s="89"/>
      <c r="D994" s="89"/>
      <c r="E994" s="89"/>
      <c r="F994" s="89"/>
      <c r="G994" s="89"/>
      <c r="H994" s="62"/>
      <c r="I994" s="62"/>
      <c r="J994" s="62"/>
      <c r="K994" s="62"/>
      <c r="L994" s="62"/>
      <c r="M994" s="62"/>
      <c r="N994" s="89"/>
      <c r="O994" s="89"/>
      <c r="P994" s="89"/>
      <c r="Q994" s="89"/>
      <c r="R994" s="89"/>
      <c r="S994" s="89"/>
      <c r="T994" s="62"/>
      <c r="U994" s="62"/>
      <c r="V994" s="62"/>
      <c r="W994" s="62"/>
      <c r="X994" s="62"/>
      <c r="Y994" s="62"/>
      <c r="Z994" s="89"/>
      <c r="AA994" s="89"/>
      <c r="AB994" s="89"/>
      <c r="AC994" s="89"/>
      <c r="AD994" s="89"/>
      <c r="AE994" s="89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9"/>
      <c r="C995" s="89"/>
      <c r="D995" s="89"/>
      <c r="E995" s="89"/>
      <c r="F995" s="89"/>
      <c r="G995" s="89"/>
      <c r="H995" s="62"/>
      <c r="I995" s="62"/>
      <c r="J995" s="62"/>
      <c r="K995" s="62"/>
      <c r="L995" s="62"/>
      <c r="M995" s="63"/>
      <c r="N995" s="89"/>
      <c r="O995" s="89"/>
      <c r="P995" s="89"/>
      <c r="Q995" s="89"/>
      <c r="R995" s="89"/>
      <c r="S995" s="89"/>
      <c r="T995" s="62"/>
      <c r="U995" s="62"/>
      <c r="V995" s="62"/>
      <c r="W995" s="62"/>
      <c r="X995" s="62"/>
      <c r="Y995" s="63"/>
      <c r="Z995" s="89"/>
      <c r="AA995" s="89"/>
      <c r="AB995" s="89"/>
      <c r="AC995" s="89"/>
      <c r="AD995" s="89"/>
      <c r="AE995" s="89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9"/>
      <c r="C996" s="89"/>
      <c r="D996" s="89"/>
      <c r="E996" s="89"/>
      <c r="F996" s="89"/>
      <c r="G996" s="89"/>
      <c r="H996" s="62"/>
      <c r="I996" s="62"/>
      <c r="J996" s="62"/>
      <c r="K996" s="62"/>
      <c r="L996" s="62"/>
      <c r="M996" s="62"/>
      <c r="N996" s="89"/>
      <c r="O996" s="89"/>
      <c r="P996" s="89"/>
      <c r="Q996" s="89"/>
      <c r="R996" s="89"/>
      <c r="S996" s="89"/>
      <c r="T996" s="62"/>
      <c r="U996" s="62"/>
      <c r="V996" s="62"/>
      <c r="W996" s="62"/>
      <c r="X996" s="62"/>
      <c r="Y996" s="62"/>
      <c r="Z996" s="89"/>
      <c r="AA996" s="89"/>
      <c r="AB996" s="89"/>
      <c r="AC996" s="89"/>
      <c r="AD996" s="89"/>
      <c r="AE996" s="89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9"/>
      <c r="C997" s="89"/>
      <c r="D997" s="89"/>
      <c r="E997" s="89"/>
      <c r="F997" s="89"/>
      <c r="G997" s="89"/>
      <c r="H997" s="62"/>
      <c r="I997" s="89"/>
      <c r="J997" s="74"/>
      <c r="K997" s="62"/>
      <c r="L997" s="62"/>
      <c r="M997" s="62"/>
      <c r="N997" s="89"/>
      <c r="O997" s="89"/>
      <c r="P997" s="89"/>
      <c r="Q997" s="89"/>
      <c r="R997" s="89"/>
      <c r="S997" s="89"/>
      <c r="T997" s="62"/>
      <c r="U997" s="89"/>
      <c r="V997" s="74"/>
      <c r="W997" s="62"/>
      <c r="X997" s="62"/>
      <c r="Y997" s="62"/>
      <c r="Z997" s="89"/>
      <c r="AA997" s="89"/>
      <c r="AB997" s="89"/>
      <c r="AC997" s="89"/>
      <c r="AD997" s="89"/>
      <c r="AE997" s="89"/>
      <c r="AF997" s="62"/>
      <c r="AG997" s="89"/>
      <c r="AH997" s="89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9"/>
      <c r="C998" s="89"/>
      <c r="D998" s="89"/>
      <c r="E998" s="89"/>
      <c r="F998" s="89"/>
      <c r="G998" s="89"/>
      <c r="H998" s="62"/>
      <c r="I998" s="65"/>
      <c r="J998" s="65"/>
      <c r="K998" s="62"/>
      <c r="L998" s="62"/>
      <c r="M998" s="64"/>
      <c r="N998" s="89"/>
      <c r="O998" s="89"/>
      <c r="P998" s="89"/>
      <c r="Q998" s="89"/>
      <c r="R998" s="89"/>
      <c r="S998" s="89"/>
      <c r="T998" s="62"/>
      <c r="U998" s="65"/>
      <c r="V998" s="65"/>
      <c r="W998" s="62"/>
      <c r="X998" s="62"/>
      <c r="Y998" s="64"/>
      <c r="Z998" s="89"/>
      <c r="AA998" s="89"/>
      <c r="AB998" s="89"/>
      <c r="AC998" s="89"/>
      <c r="AD998" s="89"/>
      <c r="AE998" s="89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9"/>
      <c r="C999" s="89"/>
      <c r="D999" s="89"/>
      <c r="E999" s="89"/>
      <c r="F999" s="89"/>
      <c r="G999" s="89"/>
      <c r="H999" s="62"/>
      <c r="I999" s="62"/>
      <c r="J999" s="62"/>
      <c r="K999" s="62"/>
      <c r="L999" s="62"/>
      <c r="M999" s="62"/>
      <c r="N999" s="89"/>
      <c r="O999" s="89"/>
      <c r="P999" s="89"/>
      <c r="Q999" s="89"/>
      <c r="R999" s="89"/>
      <c r="S999" s="89"/>
      <c r="T999" s="62"/>
      <c r="U999" s="62"/>
      <c r="V999" s="62"/>
      <c r="W999" s="62"/>
      <c r="X999" s="62"/>
      <c r="Y999" s="62"/>
      <c r="Z999" s="89"/>
      <c r="AA999" s="89"/>
      <c r="AB999" s="89"/>
      <c r="AC999" s="89"/>
      <c r="AD999" s="89"/>
      <c r="AE999" s="89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9"/>
      <c r="D1000" s="98"/>
      <c r="E1000" s="98"/>
      <c r="F1000" s="89"/>
      <c r="G1000" s="89"/>
      <c r="H1000" s="62"/>
      <c r="I1000" s="98"/>
      <c r="J1000" s="98"/>
      <c r="K1000" s="97"/>
      <c r="L1000" s="62"/>
      <c r="M1000" s="62"/>
      <c r="N1000" s="65"/>
      <c r="O1000" s="89"/>
      <c r="P1000" s="98"/>
      <c r="Q1000" s="98"/>
      <c r="R1000" s="89"/>
      <c r="S1000" s="89"/>
      <c r="T1000" s="62"/>
      <c r="U1000" s="98"/>
      <c r="V1000" s="98"/>
      <c r="W1000" s="97"/>
      <c r="X1000" s="62"/>
      <c r="Y1000" s="62"/>
      <c r="Z1000" s="65"/>
      <c r="AA1000" s="89"/>
      <c r="AB1000" s="98"/>
      <c r="AC1000" s="98"/>
      <c r="AD1000" s="89"/>
      <c r="AE1000" s="89"/>
      <c r="AF1000" s="62"/>
      <c r="AG1000" s="98"/>
      <c r="AH1000" s="98"/>
      <c r="AI1000" s="97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9"/>
      <c r="C1001" s="89"/>
      <c r="D1001" s="81"/>
      <c r="E1001" s="82"/>
      <c r="F1001" s="83"/>
      <c r="G1001" s="83"/>
      <c r="H1001" s="62"/>
      <c r="I1001" s="88"/>
      <c r="J1001" s="88"/>
      <c r="K1001" s="97"/>
      <c r="L1001" s="62"/>
      <c r="M1001" s="62"/>
      <c r="N1001" s="89"/>
      <c r="O1001" s="89"/>
      <c r="P1001" s="81"/>
      <c r="Q1001" s="83"/>
      <c r="R1001" s="83"/>
      <c r="S1001" s="83"/>
      <c r="T1001" s="62"/>
      <c r="U1001" s="88"/>
      <c r="V1001" s="88"/>
      <c r="W1001" s="97"/>
      <c r="X1001" s="62"/>
      <c r="Y1001" s="62"/>
      <c r="Z1001" s="89"/>
      <c r="AA1001" s="89"/>
      <c r="AB1001" s="81"/>
      <c r="AC1001" s="83"/>
      <c r="AD1001" s="83"/>
      <c r="AE1001" s="83"/>
      <c r="AF1001" s="62"/>
      <c r="AG1001" s="88"/>
      <c r="AH1001" s="88"/>
      <c r="AI1001" s="97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9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9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9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9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9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9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9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9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9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9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9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89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9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9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9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9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9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9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9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9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9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65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9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65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9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9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9"/>
      <c r="AB1010" s="91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9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9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9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9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9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9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9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65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62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9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9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9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9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62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9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9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9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9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9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62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9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9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9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9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9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9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9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9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62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9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9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9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9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9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89"/>
      <c r="R1022" s="89"/>
      <c r="S1022" s="60"/>
      <c r="T1022" s="62"/>
      <c r="U1022" s="62"/>
      <c r="V1022" s="62"/>
      <c r="W1022" s="61"/>
      <c r="X1022" s="62"/>
      <c r="Y1022" s="62"/>
      <c r="Z1022" s="66"/>
      <c r="AA1022" s="89"/>
      <c r="AB1022" s="67"/>
      <c r="AC1022" s="89"/>
      <c r="AD1022" s="89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9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9"/>
      <c r="P1023" s="68"/>
      <c r="Q1023" s="89"/>
      <c r="R1023" s="89"/>
      <c r="S1023" s="60"/>
      <c r="T1023" s="62"/>
      <c r="U1023" s="62"/>
      <c r="V1023" s="62"/>
      <c r="W1023" s="61"/>
      <c r="X1023" s="62"/>
      <c r="Y1023" s="62"/>
      <c r="Z1023" s="66"/>
      <c r="AA1023" s="89"/>
      <c r="AB1023" s="68"/>
      <c r="AC1023" s="89"/>
      <c r="AD1023" s="89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9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9"/>
      <c r="P1024" s="69"/>
      <c r="Q1024" s="89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9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9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9"/>
      <c r="P1025" s="69"/>
      <c r="Q1025" s="89"/>
      <c r="R1025" s="89"/>
      <c r="S1025" s="60"/>
      <c r="T1025" s="62"/>
      <c r="U1025" s="62"/>
      <c r="V1025" s="62"/>
      <c r="W1025" s="61"/>
      <c r="X1025" s="62"/>
      <c r="Y1025" s="62"/>
      <c r="Z1025" s="66"/>
      <c r="AA1025" s="89"/>
      <c r="AB1025" s="69"/>
      <c r="AC1025" s="89"/>
      <c r="AD1025" s="89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9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9"/>
      <c r="P1026" s="69"/>
      <c r="Q1026" s="89"/>
      <c r="R1026" s="89"/>
      <c r="S1026" s="60"/>
      <c r="T1026" s="62"/>
      <c r="U1026" s="62"/>
      <c r="V1026" s="62"/>
      <c r="W1026" s="61"/>
      <c r="X1026" s="62"/>
      <c r="Y1026" s="62"/>
      <c r="Z1026" s="66"/>
      <c r="AA1026" s="89"/>
      <c r="AB1026" s="69"/>
      <c r="AC1026" s="89"/>
      <c r="AD1026" s="89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9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89"/>
      <c r="R1027" s="89"/>
      <c r="S1027" s="60"/>
      <c r="T1027" s="62"/>
      <c r="U1027" s="62"/>
      <c r="V1027" s="62"/>
      <c r="W1027" s="61"/>
      <c r="X1027" s="62"/>
      <c r="Y1027" s="62"/>
      <c r="Z1027" s="66"/>
      <c r="AA1027" s="89"/>
      <c r="AB1027" s="69"/>
      <c r="AC1027" s="89"/>
      <c r="AD1027" s="89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9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9"/>
      <c r="P1028" s="69"/>
      <c r="Q1028" s="89"/>
      <c r="R1028" s="89"/>
      <c r="S1028" s="60"/>
      <c r="T1028" s="62"/>
      <c r="U1028" s="62"/>
      <c r="V1028" s="62"/>
      <c r="W1028" s="61"/>
      <c r="X1028" s="62"/>
      <c r="Y1028" s="62"/>
      <c r="Z1028" s="66"/>
      <c r="AA1028" s="89"/>
      <c r="AB1028" s="69"/>
      <c r="AC1028" s="89"/>
      <c r="AD1028" s="89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9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9"/>
      <c r="P1029" s="69"/>
      <c r="Q1029" s="89"/>
      <c r="R1029" s="89"/>
      <c r="S1029" s="60"/>
      <c r="T1029" s="62"/>
      <c r="U1029" s="62"/>
      <c r="V1029" s="62"/>
      <c r="W1029" s="61"/>
      <c r="X1029" s="62"/>
      <c r="Y1029" s="62"/>
      <c r="Z1029" s="66"/>
      <c r="AA1029" s="89"/>
      <c r="AB1029" s="69"/>
      <c r="AC1029" s="89"/>
      <c r="AD1029" s="89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9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9"/>
      <c r="P1030" s="69"/>
      <c r="Q1030" s="89"/>
      <c r="R1030" s="89"/>
      <c r="S1030" s="60"/>
      <c r="T1030" s="62"/>
      <c r="U1030" s="62"/>
      <c r="V1030" s="62"/>
      <c r="W1030" s="61"/>
      <c r="X1030" s="62"/>
      <c r="Y1030" s="62"/>
      <c r="Z1030" s="66"/>
      <c r="AA1030" s="89"/>
      <c r="AB1030" s="69"/>
      <c r="AC1030" s="89"/>
      <c r="AD1030" s="89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65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89"/>
      <c r="R1031" s="89"/>
      <c r="S1031" s="60"/>
      <c r="T1031" s="62"/>
      <c r="U1031" s="62"/>
      <c r="V1031" s="62"/>
      <c r="W1031" s="61"/>
      <c r="X1031" s="62"/>
      <c r="Y1031" s="62"/>
      <c r="Z1031" s="66"/>
      <c r="AA1031" s="89"/>
      <c r="AB1031" s="69"/>
      <c r="AC1031" s="89"/>
      <c r="AD1031" s="89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65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9"/>
      <c r="P1032" s="69"/>
      <c r="Q1032" s="89"/>
      <c r="R1032" s="89"/>
      <c r="S1032" s="60"/>
      <c r="T1032" s="62"/>
      <c r="U1032" s="62"/>
      <c r="V1032" s="62"/>
      <c r="W1032" s="61"/>
      <c r="X1032" s="62"/>
      <c r="Y1032" s="62"/>
      <c r="Z1032" s="66"/>
      <c r="AA1032" s="89"/>
      <c r="AB1032" s="69"/>
      <c r="AC1032" s="89"/>
      <c r="AD1032" s="89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65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9"/>
      <c r="P1033" s="69"/>
      <c r="Q1033" s="89"/>
      <c r="R1033" s="89"/>
      <c r="S1033" s="60"/>
      <c r="T1033" s="62"/>
      <c r="U1033" s="62"/>
      <c r="V1033" s="62"/>
      <c r="W1033" s="61"/>
      <c r="X1033" s="62"/>
      <c r="Y1033" s="62"/>
      <c r="Z1033" s="66"/>
      <c r="AA1033" s="89"/>
      <c r="AB1033" s="69"/>
      <c r="AC1033" s="89"/>
      <c r="AD1033" s="89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65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9"/>
      <c r="P1034" s="69"/>
      <c r="Q1034" s="89"/>
      <c r="R1034" s="89"/>
      <c r="S1034" s="60"/>
      <c r="T1034" s="62"/>
      <c r="U1034" s="62"/>
      <c r="V1034" s="62"/>
      <c r="W1034" s="61"/>
      <c r="X1034" s="62"/>
      <c r="Y1034" s="62"/>
      <c r="Z1034" s="66"/>
      <c r="AA1034" s="89"/>
      <c r="AB1034" s="69"/>
      <c r="AC1034" s="89"/>
      <c r="AD1034" s="89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65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9"/>
      <c r="P1035" s="69"/>
      <c r="Q1035" s="89"/>
      <c r="R1035" s="89"/>
      <c r="S1035" s="60"/>
      <c r="T1035" s="62"/>
      <c r="U1035" s="62"/>
      <c r="V1035" s="62"/>
      <c r="W1035" s="61"/>
      <c r="X1035" s="62"/>
      <c r="Y1035" s="62"/>
      <c r="Z1035" s="66"/>
      <c r="AA1035" s="89"/>
      <c r="AB1035" s="69"/>
      <c r="AC1035" s="89"/>
      <c r="AD1035" s="89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65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9"/>
      <c r="P1036" s="69"/>
      <c r="Q1036" s="89"/>
      <c r="R1036" s="89"/>
      <c r="S1036" s="60"/>
      <c r="T1036" s="62"/>
      <c r="U1036" s="62"/>
      <c r="V1036" s="62"/>
      <c r="W1036" s="61"/>
      <c r="X1036" s="62"/>
      <c r="Y1036" s="62"/>
      <c r="Z1036" s="66"/>
      <c r="AA1036" s="89"/>
      <c r="AB1036" s="69"/>
      <c r="AC1036" s="89"/>
      <c r="AD1036" s="89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65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9"/>
      <c r="P1037" s="69"/>
      <c r="Q1037" s="89"/>
      <c r="R1037" s="89"/>
      <c r="S1037" s="60"/>
      <c r="T1037" s="62"/>
      <c r="U1037" s="62"/>
      <c r="V1037" s="62"/>
      <c r="W1037" s="61"/>
      <c r="X1037" s="62"/>
      <c r="Y1037" s="62"/>
      <c r="Z1037" s="66"/>
      <c r="AA1037" s="89"/>
      <c r="AB1037" s="69"/>
      <c r="AC1037" s="89"/>
      <c r="AD1037" s="89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65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9"/>
      <c r="R1038" s="89"/>
      <c r="S1038" s="60"/>
      <c r="T1038" s="62"/>
      <c r="U1038" s="62"/>
      <c r="V1038" s="62"/>
      <c r="W1038" s="61"/>
      <c r="X1038" s="62"/>
      <c r="Y1038" s="62"/>
      <c r="Z1038" s="66"/>
      <c r="AA1038" s="89"/>
      <c r="AB1038" s="69"/>
      <c r="AC1038" s="89"/>
      <c r="AD1038" s="89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9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9"/>
      <c r="P1039" s="69"/>
      <c r="Q1039" s="89"/>
      <c r="R1039" s="89"/>
      <c r="S1039" s="60"/>
      <c r="T1039" s="62"/>
      <c r="U1039" s="62"/>
      <c r="V1039" s="62"/>
      <c r="W1039" s="61"/>
      <c r="X1039" s="62"/>
      <c r="Y1039" s="62"/>
      <c r="Z1039" s="66"/>
      <c r="AA1039" s="89"/>
      <c r="AB1039" s="69"/>
      <c r="AC1039" s="89"/>
      <c r="AD1039" s="89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9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9"/>
      <c r="P1040" s="69"/>
      <c r="Q1040" s="89"/>
      <c r="R1040" s="89"/>
      <c r="S1040" s="60"/>
      <c r="T1040" s="62"/>
      <c r="U1040" s="62"/>
      <c r="V1040" s="62"/>
      <c r="W1040" s="61"/>
      <c r="X1040" s="62"/>
      <c r="Y1040" s="62"/>
      <c r="Z1040" s="66"/>
      <c r="AA1040" s="89"/>
      <c r="AB1040" s="69"/>
      <c r="AC1040" s="89"/>
      <c r="AD1040" s="89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9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9"/>
      <c r="R1041" s="89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9"/>
      <c r="AD1041" s="89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9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9"/>
      <c r="P1042" s="69"/>
      <c r="Q1042" s="89"/>
      <c r="R1042" s="89"/>
      <c r="S1042" s="60"/>
      <c r="T1042" s="62"/>
      <c r="U1042" s="62"/>
      <c r="V1042" s="62"/>
      <c r="W1042" s="61"/>
      <c r="X1042" s="62"/>
      <c r="Y1042" s="62"/>
      <c r="Z1042" s="66"/>
      <c r="AA1042" s="89"/>
      <c r="AB1042" s="69"/>
      <c r="AC1042" s="89"/>
      <c r="AD1042" s="89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9"/>
      <c r="O1043" s="89"/>
      <c r="P1043" s="89"/>
      <c r="Q1043" s="89"/>
      <c r="R1043" s="89"/>
      <c r="S1043" s="89"/>
      <c r="T1043" s="62"/>
      <c r="U1043" s="62"/>
      <c r="V1043" s="62"/>
      <c r="W1043" s="61"/>
      <c r="X1043" s="62"/>
      <c r="Y1043" s="62"/>
      <c r="Z1043" s="89"/>
      <c r="AA1043" s="89"/>
      <c r="AB1043" s="89"/>
      <c r="AC1043" s="89"/>
      <c r="AD1043" s="89"/>
      <c r="AE1043" s="89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9"/>
      <c r="C1044" s="89"/>
      <c r="D1044" s="89"/>
      <c r="E1044" s="89"/>
      <c r="F1044" s="89"/>
      <c r="G1044" s="89"/>
      <c r="H1044" s="62"/>
      <c r="I1044" s="62"/>
      <c r="J1044" s="62"/>
      <c r="K1044" s="62"/>
      <c r="L1044" s="62"/>
      <c r="M1044" s="62"/>
      <c r="N1044" s="89"/>
      <c r="O1044" s="89"/>
      <c r="P1044" s="89"/>
      <c r="Q1044" s="89"/>
      <c r="R1044" s="89"/>
      <c r="S1044" s="89"/>
      <c r="T1044" s="62"/>
      <c r="U1044" s="62"/>
      <c r="V1044" s="62"/>
      <c r="W1044" s="62"/>
      <c r="X1044" s="62"/>
      <c r="Y1044" s="62"/>
      <c r="Z1044" s="89"/>
      <c r="AA1044" s="89"/>
      <c r="AB1044" s="89"/>
      <c r="AC1044" s="89"/>
      <c r="AD1044" s="89"/>
      <c r="AE1044" s="89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9"/>
      <c r="C1045" s="89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9"/>
      <c r="O1045" s="89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9"/>
      <c r="AA1045" s="89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9"/>
      <c r="C1047" s="89"/>
      <c r="D1047" s="89"/>
      <c r="E1047" s="89"/>
      <c r="F1047" s="89"/>
      <c r="G1047" s="89"/>
      <c r="H1047" s="62"/>
      <c r="I1047" s="62"/>
      <c r="J1047" s="62"/>
      <c r="K1047" s="62"/>
      <c r="L1047" s="62"/>
      <c r="M1047" s="62"/>
      <c r="N1047" s="89"/>
      <c r="O1047" s="89"/>
      <c r="P1047" s="89"/>
      <c r="Q1047" s="89"/>
      <c r="R1047" s="89"/>
      <c r="S1047" s="89"/>
      <c r="T1047" s="62"/>
      <c r="U1047" s="62"/>
      <c r="V1047" s="62"/>
      <c r="W1047" s="62"/>
      <c r="X1047" s="62"/>
      <c r="Y1047" s="62"/>
      <c r="Z1047" s="89"/>
      <c r="AA1047" s="89"/>
      <c r="AB1047" s="89"/>
      <c r="AC1047" s="89"/>
      <c r="AD1047" s="89"/>
      <c r="AE1047" s="89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9"/>
      <c r="C1048" s="89"/>
      <c r="D1048" s="89"/>
      <c r="E1048" s="89"/>
      <c r="F1048" s="89"/>
      <c r="G1048" s="89"/>
      <c r="H1048" s="62"/>
      <c r="I1048" s="62"/>
      <c r="J1048" s="62"/>
      <c r="K1048" s="62"/>
      <c r="L1048" s="62"/>
      <c r="M1048" s="62"/>
      <c r="N1048" s="89"/>
      <c r="O1048" s="89"/>
      <c r="P1048" s="89"/>
      <c r="Q1048" s="89"/>
      <c r="R1048" s="89"/>
      <c r="S1048" s="89"/>
      <c r="T1048" s="62"/>
      <c r="U1048" s="62"/>
      <c r="V1048" s="62"/>
      <c r="W1048" s="62"/>
      <c r="X1048" s="62"/>
      <c r="Y1048" s="62"/>
      <c r="Z1048" s="89"/>
      <c r="AA1048" s="89"/>
      <c r="AB1048" s="89"/>
      <c r="AC1048" s="89"/>
      <c r="AD1048" s="89"/>
      <c r="AE1048" s="89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9"/>
      <c r="C1049" s="89"/>
      <c r="D1049" s="89"/>
      <c r="E1049" s="89"/>
      <c r="F1049" s="89"/>
      <c r="G1049" s="89"/>
      <c r="H1049" s="62"/>
      <c r="I1049" s="62"/>
      <c r="J1049" s="62"/>
      <c r="K1049" s="62"/>
      <c r="L1049" s="62"/>
      <c r="M1049" s="62"/>
      <c r="N1049" s="89"/>
      <c r="O1049" s="89"/>
      <c r="P1049" s="89"/>
      <c r="Q1049" s="89"/>
      <c r="R1049" s="89"/>
      <c r="S1049" s="89"/>
      <c r="T1049" s="62"/>
      <c r="U1049" s="62"/>
      <c r="V1049" s="62"/>
      <c r="W1049" s="62"/>
      <c r="X1049" s="62"/>
      <c r="Y1049" s="62"/>
      <c r="Z1049" s="89"/>
      <c r="AA1049" s="89"/>
      <c r="AB1049" s="89"/>
      <c r="AC1049" s="89"/>
      <c r="AD1049" s="89"/>
      <c r="AE1049" s="89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9"/>
      <c r="C1050" s="89"/>
      <c r="D1050" s="89"/>
      <c r="E1050" s="89"/>
      <c r="F1050" s="89"/>
      <c r="G1050" s="89"/>
      <c r="H1050" s="62"/>
      <c r="I1050" s="62"/>
      <c r="J1050" s="62"/>
      <c r="K1050" s="62"/>
      <c r="L1050" s="62"/>
      <c r="M1050" s="63"/>
      <c r="N1050" s="89"/>
      <c r="O1050" s="89"/>
      <c r="P1050" s="89"/>
      <c r="Q1050" s="89"/>
      <c r="R1050" s="89"/>
      <c r="S1050" s="89"/>
      <c r="T1050" s="62"/>
      <c r="U1050" s="62"/>
      <c r="V1050" s="62"/>
      <c r="W1050" s="62"/>
      <c r="X1050" s="62"/>
      <c r="Y1050" s="63"/>
      <c r="Z1050" s="89"/>
      <c r="AA1050" s="89"/>
      <c r="AB1050" s="89"/>
      <c r="AC1050" s="89"/>
      <c r="AD1050" s="89"/>
      <c r="AE1050" s="89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9"/>
      <c r="C1051" s="89"/>
      <c r="D1051" s="89"/>
      <c r="E1051" s="89"/>
      <c r="F1051" s="89"/>
      <c r="G1051" s="89"/>
      <c r="H1051" s="62"/>
      <c r="I1051" s="62"/>
      <c r="J1051" s="62"/>
      <c r="K1051" s="62"/>
      <c r="L1051" s="62"/>
      <c r="M1051" s="62"/>
      <c r="N1051" s="89"/>
      <c r="O1051" s="89"/>
      <c r="P1051" s="89"/>
      <c r="Q1051" s="89"/>
      <c r="R1051" s="89"/>
      <c r="S1051" s="89"/>
      <c r="T1051" s="62"/>
      <c r="U1051" s="62"/>
      <c r="V1051" s="62"/>
      <c r="W1051" s="62"/>
      <c r="X1051" s="62"/>
      <c r="Y1051" s="62"/>
      <c r="Z1051" s="89"/>
      <c r="AA1051" s="89"/>
      <c r="AB1051" s="89"/>
      <c r="AC1051" s="89"/>
      <c r="AD1051" s="89"/>
      <c r="AE1051" s="89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9"/>
      <c r="C1052" s="89"/>
      <c r="D1052" s="89"/>
      <c r="E1052" s="89"/>
      <c r="F1052" s="89"/>
      <c r="G1052" s="89"/>
      <c r="H1052" s="62"/>
      <c r="I1052" s="89"/>
      <c r="J1052" s="74"/>
      <c r="K1052" s="62"/>
      <c r="L1052" s="62"/>
      <c r="M1052" s="62"/>
      <c r="N1052" s="89"/>
      <c r="O1052" s="89"/>
      <c r="P1052" s="89"/>
      <c r="Q1052" s="89"/>
      <c r="R1052" s="89"/>
      <c r="S1052" s="89"/>
      <c r="T1052" s="62"/>
      <c r="U1052" s="89"/>
      <c r="V1052" s="74"/>
      <c r="W1052" s="62"/>
      <c r="X1052" s="62"/>
      <c r="Y1052" s="62"/>
      <c r="Z1052" s="89"/>
      <c r="AA1052" s="89"/>
      <c r="AB1052" s="89"/>
      <c r="AC1052" s="89"/>
      <c r="AD1052" s="89"/>
      <c r="AE1052" s="89"/>
      <c r="AF1052" s="62"/>
      <c r="AG1052" s="89"/>
      <c r="AH1052" s="89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9"/>
      <c r="C1053" s="89"/>
      <c r="D1053" s="89"/>
      <c r="E1053" s="89"/>
      <c r="F1053" s="89"/>
      <c r="G1053" s="89"/>
      <c r="H1053" s="62"/>
      <c r="I1053" s="65"/>
      <c r="J1053" s="65"/>
      <c r="K1053" s="62"/>
      <c r="L1053" s="62"/>
      <c r="M1053" s="64"/>
      <c r="N1053" s="89"/>
      <c r="O1053" s="89"/>
      <c r="P1053" s="89"/>
      <c r="Q1053" s="89"/>
      <c r="R1053" s="89"/>
      <c r="S1053" s="89"/>
      <c r="T1053" s="62"/>
      <c r="U1053" s="65"/>
      <c r="V1053" s="65"/>
      <c r="W1053" s="62"/>
      <c r="X1053" s="62"/>
      <c r="Y1053" s="64"/>
      <c r="Z1053" s="89"/>
      <c r="AA1053" s="89"/>
      <c r="AB1053" s="89"/>
      <c r="AC1053" s="89"/>
      <c r="AD1053" s="89"/>
      <c r="AE1053" s="89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9"/>
      <c r="C1054" s="89"/>
      <c r="D1054" s="89"/>
      <c r="E1054" s="89"/>
      <c r="F1054" s="89"/>
      <c r="G1054" s="89"/>
      <c r="H1054" s="62"/>
      <c r="I1054" s="62"/>
      <c r="J1054" s="62"/>
      <c r="K1054" s="62"/>
      <c r="L1054" s="62"/>
      <c r="M1054" s="62"/>
      <c r="N1054" s="89"/>
      <c r="O1054" s="89"/>
      <c r="P1054" s="89"/>
      <c r="Q1054" s="89"/>
      <c r="R1054" s="89"/>
      <c r="S1054" s="89"/>
      <c r="T1054" s="62"/>
      <c r="U1054" s="62"/>
      <c r="V1054" s="62"/>
      <c r="W1054" s="62"/>
      <c r="X1054" s="62"/>
      <c r="Y1054" s="62"/>
      <c r="Z1054" s="89"/>
      <c r="AA1054" s="89"/>
      <c r="AB1054" s="89"/>
      <c r="AC1054" s="89"/>
      <c r="AD1054" s="89"/>
      <c r="AE1054" s="89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9"/>
      <c r="D1055" s="98"/>
      <c r="E1055" s="98"/>
      <c r="F1055" s="89"/>
      <c r="G1055" s="89"/>
      <c r="H1055" s="62"/>
      <c r="I1055" s="98"/>
      <c r="J1055" s="98"/>
      <c r="K1055" s="97"/>
      <c r="L1055" s="62"/>
      <c r="M1055" s="62"/>
      <c r="N1055" s="65"/>
      <c r="O1055" s="89"/>
      <c r="P1055" s="98"/>
      <c r="Q1055" s="98"/>
      <c r="R1055" s="89"/>
      <c r="S1055" s="89"/>
      <c r="T1055" s="62"/>
      <c r="U1055" s="98"/>
      <c r="V1055" s="98"/>
      <c r="W1055" s="97"/>
      <c r="X1055" s="62"/>
      <c r="Y1055" s="62"/>
      <c r="Z1055" s="65"/>
      <c r="AA1055" s="89"/>
      <c r="AB1055" s="98"/>
      <c r="AC1055" s="98"/>
      <c r="AD1055" s="89"/>
      <c r="AE1055" s="89"/>
      <c r="AF1055" s="62"/>
      <c r="AG1055" s="98"/>
      <c r="AH1055" s="98"/>
      <c r="AI1055" s="97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9"/>
      <c r="C1056" s="89"/>
      <c r="D1056" s="81"/>
      <c r="E1056" s="82"/>
      <c r="F1056" s="83"/>
      <c r="G1056" s="83"/>
      <c r="H1056" s="62"/>
      <c r="I1056" s="88"/>
      <c r="J1056" s="88"/>
      <c r="K1056" s="97"/>
      <c r="L1056" s="62"/>
      <c r="M1056" s="62"/>
      <c r="N1056" s="89"/>
      <c r="O1056" s="89"/>
      <c r="P1056" s="81"/>
      <c r="Q1056" s="83"/>
      <c r="R1056" s="83"/>
      <c r="S1056" s="83"/>
      <c r="T1056" s="62"/>
      <c r="U1056" s="88"/>
      <c r="V1056" s="88"/>
      <c r="W1056" s="97"/>
      <c r="X1056" s="62"/>
      <c r="Y1056" s="62"/>
      <c r="Z1056" s="89"/>
      <c r="AA1056" s="89"/>
      <c r="AB1056" s="81"/>
      <c r="AC1056" s="83"/>
      <c r="AD1056" s="83"/>
      <c r="AE1056" s="83"/>
      <c r="AF1056" s="62"/>
      <c r="AG1056" s="88"/>
      <c r="AH1056" s="88"/>
      <c r="AI1056" s="97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9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9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9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9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9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9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9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9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9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9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9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65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9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9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9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9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9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9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9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9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9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9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9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9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9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9"/>
      <c r="AB1065" s="91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9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9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9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9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9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9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9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2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9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9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9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9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9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9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9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9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9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9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9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9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9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9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9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65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9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9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9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9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9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9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9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9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89"/>
      <c r="R1077" s="89"/>
      <c r="S1077" s="60"/>
      <c r="T1077" s="62"/>
      <c r="U1077" s="62"/>
      <c r="V1077" s="62"/>
      <c r="W1077" s="61"/>
      <c r="X1077" s="62"/>
      <c r="Y1077" s="62"/>
      <c r="Z1077" s="66"/>
      <c r="AA1077" s="89"/>
      <c r="AB1077" s="67"/>
      <c r="AC1077" s="89"/>
      <c r="AD1077" s="89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9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9"/>
      <c r="P1078" s="68"/>
      <c r="Q1078" s="89"/>
      <c r="R1078" s="89"/>
      <c r="S1078" s="60"/>
      <c r="T1078" s="62"/>
      <c r="U1078" s="62"/>
      <c r="V1078" s="62"/>
      <c r="W1078" s="61"/>
      <c r="X1078" s="62"/>
      <c r="Y1078" s="62"/>
      <c r="Z1078" s="66"/>
      <c r="AA1078" s="89"/>
      <c r="AB1078" s="68"/>
      <c r="AC1078" s="89"/>
      <c r="AD1078" s="89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9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9"/>
      <c r="P1079" s="69"/>
      <c r="Q1079" s="89"/>
      <c r="R1079" s="62"/>
      <c r="S1079" s="60"/>
      <c r="T1079" s="62"/>
      <c r="U1079" s="62"/>
      <c r="V1079" s="62"/>
      <c r="W1079" s="61"/>
      <c r="X1079" s="62"/>
      <c r="Y1079" s="62"/>
      <c r="Z1079" s="66"/>
      <c r="AA1079" s="89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9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9"/>
      <c r="P1080" s="69"/>
      <c r="Q1080" s="89"/>
      <c r="R1080" s="89"/>
      <c r="S1080" s="60"/>
      <c r="T1080" s="62"/>
      <c r="U1080" s="62"/>
      <c r="V1080" s="62"/>
      <c r="W1080" s="61"/>
      <c r="X1080" s="62"/>
      <c r="Y1080" s="62"/>
      <c r="Z1080" s="66"/>
      <c r="AA1080" s="89"/>
      <c r="AB1080" s="69"/>
      <c r="AC1080" s="89"/>
      <c r="AD1080" s="89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9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9"/>
      <c r="P1081" s="69"/>
      <c r="Q1081" s="89"/>
      <c r="R1081" s="89"/>
      <c r="S1081" s="60"/>
      <c r="T1081" s="62"/>
      <c r="U1081" s="62"/>
      <c r="V1081" s="62"/>
      <c r="W1081" s="61"/>
      <c r="X1081" s="62"/>
      <c r="Y1081" s="62"/>
      <c r="Z1081" s="66"/>
      <c r="AA1081" s="89"/>
      <c r="AB1081" s="69"/>
      <c r="AC1081" s="89"/>
      <c r="AD1081" s="89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9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89"/>
      <c r="R1082" s="89"/>
      <c r="S1082" s="60"/>
      <c r="T1082" s="62"/>
      <c r="U1082" s="62"/>
      <c r="V1082" s="62"/>
      <c r="W1082" s="61"/>
      <c r="X1082" s="62"/>
      <c r="Y1082" s="62"/>
      <c r="Z1082" s="66"/>
      <c r="AA1082" s="89"/>
      <c r="AB1082" s="69"/>
      <c r="AC1082" s="89"/>
      <c r="AD1082" s="89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9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9"/>
      <c r="P1083" s="69"/>
      <c r="Q1083" s="89"/>
      <c r="R1083" s="89"/>
      <c r="S1083" s="60"/>
      <c r="T1083" s="62"/>
      <c r="U1083" s="62"/>
      <c r="V1083" s="62"/>
      <c r="W1083" s="61"/>
      <c r="X1083" s="62"/>
      <c r="Y1083" s="62"/>
      <c r="Z1083" s="66"/>
      <c r="AA1083" s="89"/>
      <c r="AB1083" s="69"/>
      <c r="AC1083" s="89"/>
      <c r="AD1083" s="89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9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9"/>
      <c r="P1084" s="69"/>
      <c r="Q1084" s="89"/>
      <c r="R1084" s="89"/>
      <c r="S1084" s="60"/>
      <c r="T1084" s="62"/>
      <c r="U1084" s="62"/>
      <c r="V1084" s="62"/>
      <c r="W1084" s="61"/>
      <c r="X1084" s="62"/>
      <c r="Y1084" s="62"/>
      <c r="Z1084" s="66"/>
      <c r="AA1084" s="89"/>
      <c r="AB1084" s="69"/>
      <c r="AC1084" s="89"/>
      <c r="AD1084" s="89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9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9"/>
      <c r="P1085" s="69"/>
      <c r="Q1085" s="89"/>
      <c r="R1085" s="89"/>
      <c r="S1085" s="60"/>
      <c r="T1085" s="62"/>
      <c r="U1085" s="62"/>
      <c r="V1085" s="62"/>
      <c r="W1085" s="61"/>
      <c r="X1085" s="62"/>
      <c r="Y1085" s="62"/>
      <c r="Z1085" s="66"/>
      <c r="AA1085" s="89"/>
      <c r="AB1085" s="69"/>
      <c r="AC1085" s="89"/>
      <c r="AD1085" s="89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65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89"/>
      <c r="R1086" s="89"/>
      <c r="S1086" s="60"/>
      <c r="T1086" s="62"/>
      <c r="U1086" s="62"/>
      <c r="V1086" s="62"/>
      <c r="W1086" s="61"/>
      <c r="X1086" s="62"/>
      <c r="Y1086" s="62"/>
      <c r="Z1086" s="66"/>
      <c r="AA1086" s="89"/>
      <c r="AB1086" s="69"/>
      <c r="AC1086" s="89"/>
      <c r="AD1086" s="89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65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9"/>
      <c r="P1087" s="69"/>
      <c r="Q1087" s="89"/>
      <c r="R1087" s="89"/>
      <c r="S1087" s="60"/>
      <c r="T1087" s="62"/>
      <c r="U1087" s="62"/>
      <c r="V1087" s="62"/>
      <c r="W1087" s="61"/>
      <c r="X1087" s="62"/>
      <c r="Y1087" s="62"/>
      <c r="Z1087" s="66"/>
      <c r="AA1087" s="89"/>
      <c r="AB1087" s="69"/>
      <c r="AC1087" s="89"/>
      <c r="AD1087" s="89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65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9"/>
      <c r="P1088" s="69"/>
      <c r="Q1088" s="89"/>
      <c r="R1088" s="89"/>
      <c r="S1088" s="60"/>
      <c r="T1088" s="62"/>
      <c r="U1088" s="62"/>
      <c r="V1088" s="62"/>
      <c r="W1088" s="61"/>
      <c r="X1088" s="62"/>
      <c r="Y1088" s="62"/>
      <c r="Z1088" s="66"/>
      <c r="AA1088" s="89"/>
      <c r="AB1088" s="69"/>
      <c r="AC1088" s="89"/>
      <c r="AD1088" s="89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65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9"/>
      <c r="P1089" s="69"/>
      <c r="Q1089" s="89"/>
      <c r="R1089" s="89"/>
      <c r="S1089" s="60"/>
      <c r="T1089" s="62"/>
      <c r="U1089" s="62"/>
      <c r="V1089" s="62"/>
      <c r="W1089" s="61"/>
      <c r="X1089" s="62"/>
      <c r="Y1089" s="62"/>
      <c r="Z1089" s="66"/>
      <c r="AA1089" s="89"/>
      <c r="AB1089" s="69"/>
      <c r="AC1089" s="89"/>
      <c r="AD1089" s="89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65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9"/>
      <c r="P1090" s="69"/>
      <c r="Q1090" s="89"/>
      <c r="R1090" s="89"/>
      <c r="S1090" s="60"/>
      <c r="T1090" s="62"/>
      <c r="U1090" s="62"/>
      <c r="V1090" s="62"/>
      <c r="W1090" s="61"/>
      <c r="X1090" s="62"/>
      <c r="Y1090" s="62"/>
      <c r="Z1090" s="66"/>
      <c r="AA1090" s="89"/>
      <c r="AB1090" s="69"/>
      <c r="AC1090" s="89"/>
      <c r="AD1090" s="89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65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9"/>
      <c r="P1091" s="69"/>
      <c r="Q1091" s="89"/>
      <c r="R1091" s="89"/>
      <c r="S1091" s="60"/>
      <c r="T1091" s="62"/>
      <c r="U1091" s="62"/>
      <c r="V1091" s="62"/>
      <c r="W1091" s="61"/>
      <c r="X1091" s="62"/>
      <c r="Y1091" s="62"/>
      <c r="Z1091" s="66"/>
      <c r="AA1091" s="89"/>
      <c r="AB1091" s="69"/>
      <c r="AC1091" s="89"/>
      <c r="AD1091" s="89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65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9"/>
      <c r="P1092" s="69"/>
      <c r="Q1092" s="89"/>
      <c r="R1092" s="89"/>
      <c r="S1092" s="60"/>
      <c r="T1092" s="62"/>
      <c r="U1092" s="62"/>
      <c r="V1092" s="62"/>
      <c r="W1092" s="61"/>
      <c r="X1092" s="62"/>
      <c r="Y1092" s="62"/>
      <c r="Z1092" s="66"/>
      <c r="AA1092" s="89"/>
      <c r="AB1092" s="69"/>
      <c r="AC1092" s="89"/>
      <c r="AD1092" s="89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65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9"/>
      <c r="R1093" s="89"/>
      <c r="S1093" s="60"/>
      <c r="T1093" s="62"/>
      <c r="U1093" s="62"/>
      <c r="V1093" s="62"/>
      <c r="W1093" s="61"/>
      <c r="X1093" s="62"/>
      <c r="Y1093" s="62"/>
      <c r="Z1093" s="66"/>
      <c r="AA1093" s="89"/>
      <c r="AB1093" s="69"/>
      <c r="AC1093" s="89"/>
      <c r="AD1093" s="89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9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9"/>
      <c r="P1094" s="69"/>
      <c r="Q1094" s="89"/>
      <c r="R1094" s="89"/>
      <c r="S1094" s="60"/>
      <c r="T1094" s="62"/>
      <c r="U1094" s="62"/>
      <c r="V1094" s="62"/>
      <c r="W1094" s="61"/>
      <c r="X1094" s="62"/>
      <c r="Y1094" s="62"/>
      <c r="Z1094" s="66"/>
      <c r="AA1094" s="89"/>
      <c r="AB1094" s="69"/>
      <c r="AC1094" s="89"/>
      <c r="AD1094" s="89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9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9"/>
      <c r="P1095" s="69"/>
      <c r="Q1095" s="89"/>
      <c r="R1095" s="89"/>
      <c r="S1095" s="60"/>
      <c r="T1095" s="62"/>
      <c r="U1095" s="62"/>
      <c r="V1095" s="62"/>
      <c r="W1095" s="61"/>
      <c r="X1095" s="62"/>
      <c r="Y1095" s="62"/>
      <c r="Z1095" s="66"/>
      <c r="AA1095" s="89"/>
      <c r="AB1095" s="69"/>
      <c r="AC1095" s="89"/>
      <c r="AD1095" s="89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9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9"/>
      <c r="R1096" s="89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9"/>
      <c r="AD1096" s="89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9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9"/>
      <c r="P1097" s="69"/>
      <c r="Q1097" s="89"/>
      <c r="R1097" s="89"/>
      <c r="S1097" s="60"/>
      <c r="T1097" s="62"/>
      <c r="U1097" s="62"/>
      <c r="V1097" s="62"/>
      <c r="W1097" s="61"/>
      <c r="X1097" s="62"/>
      <c r="Y1097" s="62"/>
      <c r="Z1097" s="66"/>
      <c r="AA1097" s="89"/>
      <c r="AB1097" s="69"/>
      <c r="AC1097" s="89"/>
      <c r="AD1097" s="89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9"/>
      <c r="O1098" s="89"/>
      <c r="P1098" s="89"/>
      <c r="Q1098" s="89"/>
      <c r="R1098" s="89"/>
      <c r="S1098" s="89"/>
      <c r="T1098" s="62"/>
      <c r="U1098" s="62"/>
      <c r="V1098" s="62"/>
      <c r="W1098" s="61"/>
      <c r="X1098" s="62"/>
      <c r="Y1098" s="62"/>
      <c r="Z1098" s="89"/>
      <c r="AA1098" s="89"/>
      <c r="AB1098" s="89"/>
      <c r="AC1098" s="89"/>
      <c r="AD1098" s="89"/>
      <c r="AE1098" s="89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9"/>
      <c r="C1099" s="89"/>
      <c r="D1099" s="89"/>
      <c r="E1099" s="89"/>
      <c r="F1099" s="89"/>
      <c r="G1099" s="89"/>
      <c r="H1099" s="62"/>
      <c r="I1099" s="62"/>
      <c r="J1099" s="62"/>
      <c r="K1099" s="62"/>
      <c r="L1099" s="62"/>
      <c r="M1099" s="62"/>
      <c r="N1099" s="89"/>
      <c r="O1099" s="89"/>
      <c r="P1099" s="89"/>
      <c r="Q1099" s="89"/>
      <c r="R1099" s="89"/>
      <c r="S1099" s="89"/>
      <c r="T1099" s="62"/>
      <c r="U1099" s="62"/>
      <c r="V1099" s="62"/>
      <c r="W1099" s="62"/>
      <c r="X1099" s="62"/>
      <c r="Y1099" s="62"/>
      <c r="Z1099" s="89"/>
      <c r="AA1099" s="89"/>
      <c r="AB1099" s="89"/>
      <c r="AC1099" s="89"/>
      <c r="AD1099" s="89"/>
      <c r="AE1099" s="89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9"/>
      <c r="C1100" s="89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9"/>
      <c r="O1100" s="89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9"/>
      <c r="AA1100" s="89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98"/>
      <c r="E1110" s="98"/>
      <c r="F1110" s="89"/>
      <c r="G1110" s="89"/>
      <c r="H1110" s="62"/>
      <c r="I1110" s="98"/>
      <c r="J1110" s="98"/>
      <c r="K1110" s="97"/>
      <c r="L1110" s="62"/>
      <c r="M1110" s="62"/>
      <c r="N1110" s="65"/>
      <c r="O1110" s="89"/>
      <c r="P1110" s="98"/>
      <c r="Q1110" s="98"/>
      <c r="R1110" s="89"/>
      <c r="S1110" s="89"/>
      <c r="T1110" s="62"/>
      <c r="U1110" s="98"/>
      <c r="V1110" s="98"/>
      <c r="W1110" s="97"/>
      <c r="X1110" s="62"/>
      <c r="Y1110" s="62"/>
      <c r="Z1110" s="65"/>
      <c r="AA1110" s="89"/>
      <c r="AB1110" s="98"/>
      <c r="AC1110" s="98"/>
      <c r="AD1110" s="89"/>
      <c r="AE1110" s="89"/>
      <c r="AF1110" s="62"/>
      <c r="AG1110" s="98"/>
      <c r="AH1110" s="98"/>
      <c r="AI1110" s="97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97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97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97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1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98"/>
      <c r="E1165" s="98"/>
      <c r="F1165" s="89"/>
      <c r="G1165" s="89"/>
      <c r="H1165" s="62"/>
      <c r="I1165" s="98"/>
      <c r="J1165" s="98"/>
      <c r="K1165" s="97"/>
      <c r="L1165" s="62"/>
      <c r="M1165" s="62"/>
      <c r="N1165" s="65"/>
      <c r="O1165" s="89"/>
      <c r="P1165" s="98"/>
      <c r="Q1165" s="98"/>
      <c r="R1165" s="89"/>
      <c r="S1165" s="89"/>
      <c r="T1165" s="62"/>
      <c r="U1165" s="98"/>
      <c r="V1165" s="98"/>
      <c r="W1165" s="97"/>
      <c r="X1165" s="62"/>
      <c r="Y1165" s="62"/>
      <c r="Z1165" s="65"/>
      <c r="AA1165" s="89"/>
      <c r="AB1165" s="98"/>
      <c r="AC1165" s="98"/>
      <c r="AD1165" s="89"/>
      <c r="AE1165" s="89"/>
      <c r="AF1165" s="62"/>
      <c r="AG1165" s="98"/>
      <c r="AH1165" s="98"/>
      <c r="AI1165" s="97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97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97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97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1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98"/>
      <c r="E1221" s="98"/>
      <c r="F1221" s="87"/>
      <c r="G1221" s="87"/>
      <c r="H1221" s="62"/>
      <c r="I1221" s="98"/>
      <c r="J1221" s="98"/>
      <c r="K1221" s="97"/>
      <c r="L1221" s="62"/>
      <c r="M1221" s="62"/>
      <c r="N1221" s="65"/>
      <c r="O1221" s="87"/>
      <c r="P1221" s="98"/>
      <c r="Q1221" s="98"/>
      <c r="R1221" s="87"/>
      <c r="S1221" s="87"/>
      <c r="T1221" s="62"/>
      <c r="U1221" s="98"/>
      <c r="V1221" s="98"/>
      <c r="W1221" s="97"/>
      <c r="X1221" s="62"/>
      <c r="Y1221" s="62"/>
      <c r="Z1221" s="65"/>
      <c r="AA1221" s="87"/>
      <c r="AB1221" s="98"/>
      <c r="AC1221" s="98"/>
      <c r="AD1221" s="87"/>
      <c r="AE1221" s="87"/>
      <c r="AF1221" s="62"/>
      <c r="AG1221" s="98"/>
      <c r="AH1221" s="98"/>
      <c r="AI1221" s="97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97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97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97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98"/>
      <c r="E1283" s="98"/>
      <c r="F1283" s="84"/>
      <c r="G1283" s="84"/>
      <c r="H1283" s="62"/>
      <c r="I1283" s="98"/>
      <c r="J1283" s="98"/>
      <c r="K1283" s="97"/>
      <c r="L1283" s="62"/>
      <c r="M1283" s="62"/>
      <c r="N1283" s="65"/>
      <c r="O1283" s="84"/>
      <c r="P1283" s="98"/>
      <c r="Q1283" s="98"/>
      <c r="R1283" s="84"/>
      <c r="S1283" s="84"/>
      <c r="T1283" s="62"/>
      <c r="U1283" s="98"/>
      <c r="V1283" s="98"/>
      <c r="W1283" s="97"/>
      <c r="X1283" s="62"/>
      <c r="Y1283" s="62"/>
      <c r="Z1283" s="65"/>
      <c r="AA1283" s="84"/>
      <c r="AB1283" s="98"/>
      <c r="AC1283" s="98"/>
      <c r="AD1283" s="84"/>
      <c r="AE1283" s="84"/>
      <c r="AF1283" s="62"/>
      <c r="AG1283" s="98"/>
      <c r="AH1283" s="98"/>
      <c r="AI1283" s="97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97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97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97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NOVEMBER</vt:lpstr>
      <vt:lpstr>DSIS | 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2025-11-04T02:51:57Z</dcterms:modified>
</cp:coreProperties>
</file>