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14F54E2-BD5E-44BD-9DF2-EC77E5FE542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79" i="2" l="1"/>
  <c r="AB1278" i="2"/>
  <c r="AB1277" i="2"/>
  <c r="AE1277" i="2"/>
  <c r="AI1277" i="2" s="1"/>
  <c r="AA1278" i="2"/>
  <c r="AE1278" i="2"/>
  <c r="AI1278" i="2" s="1"/>
  <c r="AA1279" i="2"/>
  <c r="AE1279" i="2"/>
  <c r="AI1279" i="2" s="1"/>
  <c r="AG1320" i="2"/>
  <c r="AE1281" i="2"/>
  <c r="AI1281" i="2" s="1"/>
  <c r="AE1282" i="2"/>
  <c r="AI1282" i="2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/>
  <c r="AE1297" i="2"/>
  <c r="AI1297" i="2"/>
  <c r="AE1298" i="2"/>
  <c r="AI1298" i="2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/>
  <c r="AE1305" i="2"/>
  <c r="AI1305" i="2"/>
  <c r="AE1306" i="2"/>
  <c r="AI1306" i="2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C1320" i="2"/>
  <c r="AD1320" i="2"/>
  <c r="AH1320" i="2"/>
  <c r="V1293" i="2"/>
  <c r="P1293" i="2"/>
  <c r="P1292" i="2"/>
  <c r="P1291" i="2"/>
  <c r="S1291" i="2" s="1"/>
  <c r="W1291" i="2" s="1"/>
  <c r="P1290" i="2"/>
  <c r="P1289" i="2"/>
  <c r="S1289" i="2" s="1"/>
  <c r="W1289" i="2" s="1"/>
  <c r="P1288" i="2"/>
  <c r="P1287" i="2"/>
  <c r="U1286" i="2"/>
  <c r="P1286" i="2"/>
  <c r="S1286" i="2" s="1"/>
  <c r="P1285" i="2"/>
  <c r="S1285" i="2" s="1"/>
  <c r="W1285" i="2" s="1"/>
  <c r="P1284" i="2"/>
  <c r="P1283" i="2"/>
  <c r="P1282" i="2"/>
  <c r="U1281" i="2"/>
  <c r="P1281" i="2"/>
  <c r="S1281" i="2" s="1"/>
  <c r="P1280" i="2"/>
  <c r="P1279" i="2"/>
  <c r="P1278" i="2"/>
  <c r="P1277" i="2"/>
  <c r="S1277" i="2"/>
  <c r="W1277" i="2" s="1"/>
  <c r="O1278" i="2"/>
  <c r="O1279" i="2" s="1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S1278" i="2"/>
  <c r="W1278" i="2" s="1"/>
  <c r="S1279" i="2"/>
  <c r="W1279" i="2" s="1"/>
  <c r="S1280" i="2"/>
  <c r="W1280" i="2" s="1"/>
  <c r="S1282" i="2"/>
  <c r="W1282" i="2"/>
  <c r="S1284" i="2"/>
  <c r="W1284" i="2" s="1"/>
  <c r="S1287" i="2"/>
  <c r="W1287" i="2"/>
  <c r="S1288" i="2"/>
  <c r="W1288" i="2" s="1"/>
  <c r="S1290" i="2"/>
  <c r="W1290" i="2"/>
  <c r="S1292" i="2"/>
  <c r="W1292" i="2" s="1"/>
  <c r="S1293" i="2"/>
  <c r="W1293" i="2" s="1"/>
  <c r="S1294" i="2"/>
  <c r="W1294" i="2"/>
  <c r="S1295" i="2"/>
  <c r="W1295" i="2" s="1"/>
  <c r="S1296" i="2"/>
  <c r="W1296" i="2" s="1"/>
  <c r="S1297" i="2"/>
  <c r="W1297" i="2" s="1"/>
  <c r="S1298" i="2"/>
  <c r="W1298" i="2"/>
  <c r="S1299" i="2"/>
  <c r="W1299" i="2" s="1"/>
  <c r="S1300" i="2"/>
  <c r="W1300" i="2"/>
  <c r="S1301" i="2"/>
  <c r="W1301" i="2" s="1"/>
  <c r="S1302" i="2"/>
  <c r="W1302" i="2" s="1"/>
  <c r="S1303" i="2"/>
  <c r="W1303" i="2"/>
  <c r="S1304" i="2"/>
  <c r="W1304" i="2"/>
  <c r="S1305" i="2"/>
  <c r="W1305" i="2"/>
  <c r="S1306" i="2"/>
  <c r="W1306" i="2" s="1"/>
  <c r="S1307" i="2"/>
  <c r="W1307" i="2" s="1"/>
  <c r="S1308" i="2"/>
  <c r="W1308" i="2"/>
  <c r="S1309" i="2"/>
  <c r="W1309" i="2"/>
  <c r="S1310" i="2"/>
  <c r="W1310" i="2"/>
  <c r="S1311" i="2"/>
  <c r="W1311" i="2"/>
  <c r="S1312" i="2"/>
  <c r="W1312" i="2"/>
  <c r="S1313" i="2"/>
  <c r="W1313" i="2"/>
  <c r="S1314" i="2"/>
  <c r="W1314" i="2" s="1"/>
  <c r="S1315" i="2"/>
  <c r="W1315" i="2" s="1"/>
  <c r="W1316" i="2"/>
  <c r="S1317" i="2"/>
  <c r="W1317" i="2"/>
  <c r="W1318" i="2"/>
  <c r="Q1320" i="2"/>
  <c r="R1320" i="2"/>
  <c r="V1320" i="2"/>
  <c r="D1292" i="2"/>
  <c r="D1291" i="2"/>
  <c r="G1291" i="2" s="1"/>
  <c r="K1291" i="2" s="1"/>
  <c r="D1290" i="2"/>
  <c r="D1289" i="2"/>
  <c r="D1288" i="2"/>
  <c r="G1288" i="2" s="1"/>
  <c r="K1288" i="2" s="1"/>
  <c r="D1287" i="2"/>
  <c r="D1286" i="2"/>
  <c r="D1285" i="2"/>
  <c r="D1284" i="2"/>
  <c r="G1284" i="2" s="1"/>
  <c r="K1284" i="2" s="1"/>
  <c r="D1283" i="2"/>
  <c r="G1283" i="2" s="1"/>
  <c r="K1283" i="2" s="1"/>
  <c r="D1282" i="2"/>
  <c r="D1281" i="2"/>
  <c r="D1280" i="2"/>
  <c r="D1279" i="2"/>
  <c r="D1278" i="2"/>
  <c r="D1277" i="2"/>
  <c r="C1279" i="2"/>
  <c r="C1280" i="2" s="1"/>
  <c r="C1281" i="2" s="1"/>
  <c r="C1282" i="2" s="1"/>
  <c r="C1283" i="2" s="1"/>
  <c r="C1284" i="2" s="1"/>
  <c r="C1285" i="2" s="1"/>
  <c r="C1286" i="2" s="1"/>
  <c r="C1287" i="2" s="1"/>
  <c r="C1288" i="2" s="1"/>
  <c r="C1289" i="2" s="1"/>
  <c r="C1290" i="2" s="1"/>
  <c r="C1291" i="2" s="1"/>
  <c r="C1292" i="2" s="1"/>
  <c r="G1277" i="2"/>
  <c r="C1278" i="2"/>
  <c r="G1278" i="2"/>
  <c r="K1278" i="2" s="1"/>
  <c r="G1279" i="2"/>
  <c r="K1279" i="2" s="1"/>
  <c r="G1280" i="2"/>
  <c r="K1280" i="2" s="1"/>
  <c r="G1281" i="2"/>
  <c r="K1281" i="2" s="1"/>
  <c r="G1282" i="2"/>
  <c r="K1282" i="2" s="1"/>
  <c r="G1285" i="2"/>
  <c r="K1285" i="2" s="1"/>
  <c r="G1286" i="2"/>
  <c r="K1286" i="2" s="1"/>
  <c r="G1287" i="2"/>
  <c r="K1287" i="2"/>
  <c r="G1289" i="2"/>
  <c r="K1289" i="2"/>
  <c r="G1290" i="2"/>
  <c r="K1290" i="2"/>
  <c r="G1292" i="2"/>
  <c r="K1292" i="2" s="1"/>
  <c r="G1293" i="2"/>
  <c r="K1293" i="2"/>
  <c r="G1294" i="2"/>
  <c r="K1294" i="2" s="1"/>
  <c r="G1295" i="2"/>
  <c r="K1295" i="2"/>
  <c r="G1296" i="2"/>
  <c r="K1296" i="2" s="1"/>
  <c r="G1297" i="2"/>
  <c r="K1297" i="2"/>
  <c r="G1298" i="2"/>
  <c r="K1298" i="2"/>
  <c r="G1299" i="2"/>
  <c r="K1299" i="2"/>
  <c r="G1300" i="2"/>
  <c r="K1300" i="2"/>
  <c r="G1301" i="2"/>
  <c r="K1301" i="2"/>
  <c r="G1302" i="2"/>
  <c r="K1302" i="2" s="1"/>
  <c r="G1303" i="2"/>
  <c r="K1303" i="2"/>
  <c r="G1304" i="2"/>
  <c r="K1304" i="2"/>
  <c r="G1305" i="2"/>
  <c r="K1305" i="2"/>
  <c r="G1306" i="2"/>
  <c r="K1306" i="2"/>
  <c r="G1307" i="2"/>
  <c r="K1307" i="2" s="1"/>
  <c r="G1308" i="2"/>
  <c r="K1308" i="2"/>
  <c r="G1309" i="2"/>
  <c r="K1309" i="2"/>
  <c r="G1310" i="2"/>
  <c r="K1310" i="2" s="1"/>
  <c r="G1317" i="2"/>
  <c r="K1317" i="2"/>
  <c r="E1320" i="2"/>
  <c r="F1320" i="2"/>
  <c r="I1320" i="2"/>
  <c r="J1320" i="2"/>
  <c r="AB1320" i="2" l="1"/>
  <c r="AE1280" i="2"/>
  <c r="U1320" i="2"/>
  <c r="W1286" i="2"/>
  <c r="P1320" i="2"/>
  <c r="S1283" i="2"/>
  <c r="W1283" i="2" s="1"/>
  <c r="W1281" i="2"/>
  <c r="S1320" i="2"/>
  <c r="W1320" i="2"/>
  <c r="K1277" i="2"/>
  <c r="K1320" i="2" s="1"/>
  <c r="G1320" i="2"/>
  <c r="D1320" i="2"/>
  <c r="AB1226" i="2"/>
  <c r="AB1225" i="2"/>
  <c r="AG1224" i="2"/>
  <c r="AB1224" i="2"/>
  <c r="AB1223" i="2"/>
  <c r="AB1265" i="2" s="1"/>
  <c r="AB1222" i="2"/>
  <c r="AE1222" i="2" s="1"/>
  <c r="AI1222" i="2" s="1"/>
  <c r="AA1223" i="2"/>
  <c r="AA1224" i="2" s="1"/>
  <c r="AA1225" i="2" s="1"/>
  <c r="AA1226" i="2" s="1"/>
  <c r="AE1224" i="2"/>
  <c r="AI1224" i="2" s="1"/>
  <c r="AE1225" i="2"/>
  <c r="AI1225" i="2"/>
  <c r="AE1226" i="2"/>
  <c r="AI1226" i="2" s="1"/>
  <c r="AE1227" i="2"/>
  <c r="AI1227" i="2" s="1"/>
  <c r="AE1228" i="2"/>
  <c r="AI1228" i="2" s="1"/>
  <c r="AE1229" i="2"/>
  <c r="AI1229" i="2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G1265" i="2"/>
  <c r="AH1265" i="2"/>
  <c r="P1248" i="2"/>
  <c r="S1248" i="2" s="1"/>
  <c r="W1248" i="2" s="1"/>
  <c r="P1247" i="2"/>
  <c r="S1247" i="2" s="1"/>
  <c r="W1247" i="2" s="1"/>
  <c r="P1246" i="2"/>
  <c r="S1246" i="2" s="1"/>
  <c r="W1246" i="2" s="1"/>
  <c r="P1245" i="2"/>
  <c r="S1245" i="2" s="1"/>
  <c r="W1245" i="2" s="1"/>
  <c r="P1244" i="2"/>
  <c r="S1244" i="2" s="1"/>
  <c r="W1244" i="2" s="1"/>
  <c r="P1243" i="2"/>
  <c r="P1242" i="2"/>
  <c r="P1241" i="2"/>
  <c r="P1240" i="2"/>
  <c r="P1239" i="2"/>
  <c r="S1239" i="2" s="1"/>
  <c r="W1239" i="2" s="1"/>
  <c r="P1238" i="2"/>
  <c r="S1238" i="2" s="1"/>
  <c r="W1238" i="2" s="1"/>
  <c r="P1237" i="2"/>
  <c r="S1237" i="2" s="1"/>
  <c r="W1237" i="2" s="1"/>
  <c r="P1236" i="2"/>
  <c r="S1236" i="2" s="1"/>
  <c r="W1236" i="2" s="1"/>
  <c r="P1235" i="2"/>
  <c r="P1234" i="2"/>
  <c r="P1233" i="2"/>
  <c r="P1232" i="2"/>
  <c r="P1231" i="2"/>
  <c r="P1230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P1224" i="2"/>
  <c r="P1223" i="2"/>
  <c r="P1222" i="2"/>
  <c r="S1222" i="2"/>
  <c r="W1222" i="2" s="1"/>
  <c r="O1223" i="2"/>
  <c r="S1223" i="2"/>
  <c r="W1223" i="2" s="1"/>
  <c r="O1224" i="2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S1224" i="2"/>
  <c r="S1225" i="2"/>
  <c r="W1225" i="2" s="1"/>
  <c r="S1229" i="2"/>
  <c r="W1229" i="2" s="1"/>
  <c r="S1230" i="2"/>
  <c r="W1230" i="2" s="1"/>
  <c r="S1231" i="2"/>
  <c r="W1231" i="2" s="1"/>
  <c r="S1232" i="2"/>
  <c r="W1232" i="2" s="1"/>
  <c r="S1233" i="2"/>
  <c r="W1233" i="2" s="1"/>
  <c r="S1234" i="2"/>
  <c r="W1234" i="2" s="1"/>
  <c r="S1235" i="2"/>
  <c r="W1235" i="2" s="1"/>
  <c r="S1240" i="2"/>
  <c r="W1240" i="2" s="1"/>
  <c r="S1241" i="2"/>
  <c r="W1241" i="2" s="1"/>
  <c r="S1242" i="2"/>
  <c r="W1242" i="2" s="1"/>
  <c r="S1243" i="2"/>
  <c r="W1243" i="2" s="1"/>
  <c r="U1265" i="2"/>
  <c r="S1249" i="2"/>
  <c r="W1249" i="2" s="1"/>
  <c r="S1250" i="2"/>
  <c r="W1250" i="2" s="1"/>
  <c r="S1251" i="2"/>
  <c r="W1251" i="2" s="1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 s="1"/>
  <c r="S1258" i="2"/>
  <c r="W1258" i="2" s="1"/>
  <c r="S1259" i="2"/>
  <c r="W1259" i="2"/>
  <c r="S1260" i="2"/>
  <c r="W1260" i="2"/>
  <c r="W1261" i="2"/>
  <c r="S1262" i="2"/>
  <c r="W1262" i="2" s="1"/>
  <c r="W1263" i="2"/>
  <c r="Q1265" i="2"/>
  <c r="R1265" i="2"/>
  <c r="V1265" i="2"/>
  <c r="D1223" i="2"/>
  <c r="J1222" i="2"/>
  <c r="J1265" i="2"/>
  <c r="D1222" i="2"/>
  <c r="D1265" i="2" s="1"/>
  <c r="G1222" i="2"/>
  <c r="C1223" i="2"/>
  <c r="G1223" i="2"/>
  <c r="K1223" i="2"/>
  <c r="G1224" i="2"/>
  <c r="K1224" i="2" s="1"/>
  <c r="G1225" i="2"/>
  <c r="K1225" i="2" s="1"/>
  <c r="I1265" i="2"/>
  <c r="G1226" i="2"/>
  <c r="K1226" i="2" s="1"/>
  <c r="G1227" i="2"/>
  <c r="K1227" i="2"/>
  <c r="G1228" i="2"/>
  <c r="K1228" i="2"/>
  <c r="G1229" i="2"/>
  <c r="K1229" i="2"/>
  <c r="G1230" i="2"/>
  <c r="K1230" i="2"/>
  <c r="G1231" i="2"/>
  <c r="K1231" i="2"/>
  <c r="G1232" i="2"/>
  <c r="K1232" i="2"/>
  <c r="G1233" i="2"/>
  <c r="K1233" i="2" s="1"/>
  <c r="G1234" i="2"/>
  <c r="K1234" i="2" s="1"/>
  <c r="G1235" i="2"/>
  <c r="K1235" i="2"/>
  <c r="G1236" i="2"/>
  <c r="K1236" i="2"/>
  <c r="G1237" i="2"/>
  <c r="K1237" i="2"/>
  <c r="G1238" i="2"/>
  <c r="K1238" i="2"/>
  <c r="G1239" i="2"/>
  <c r="K1239" i="2"/>
  <c r="G1240" i="2"/>
  <c r="K1240" i="2"/>
  <c r="G1241" i="2"/>
  <c r="K1241" i="2" s="1"/>
  <c r="G1242" i="2"/>
  <c r="K1242" i="2" s="1"/>
  <c r="G1243" i="2"/>
  <c r="K1243" i="2"/>
  <c r="G1244" i="2"/>
  <c r="K1244" i="2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 s="1"/>
  <c r="G1251" i="2"/>
  <c r="K1251" i="2"/>
  <c r="G1252" i="2"/>
  <c r="K1252" i="2"/>
  <c r="G1253" i="2"/>
  <c r="K1253" i="2"/>
  <c r="G1254" i="2"/>
  <c r="K1254" i="2"/>
  <c r="G1255" i="2"/>
  <c r="K1255" i="2"/>
  <c r="G1262" i="2"/>
  <c r="K1262" i="2"/>
  <c r="E1265" i="2"/>
  <c r="F1265" i="2"/>
  <c r="AE1320" i="2" l="1"/>
  <c r="AI1280" i="2"/>
  <c r="AI1320" i="2" s="1"/>
  <c r="AE1223" i="2"/>
  <c r="AE1265" i="2" s="1"/>
  <c r="AI1223" i="2"/>
  <c r="AI1265" i="2" s="1"/>
  <c r="P1265" i="2"/>
  <c r="S1265" i="2"/>
  <c r="W1224" i="2"/>
  <c r="W1265" i="2"/>
  <c r="K1222" i="2"/>
  <c r="K1265" i="2"/>
  <c r="G1265" i="2"/>
  <c r="U1190" i="2"/>
  <c r="P1190" i="2"/>
  <c r="S1190" i="2" s="1"/>
  <c r="P1189" i="2"/>
  <c r="S1189" i="2" s="1"/>
  <c r="W1189" i="2" s="1"/>
  <c r="P1188" i="2"/>
  <c r="P1187" i="2"/>
  <c r="S1187" i="2" s="1"/>
  <c r="W1187" i="2" s="1"/>
  <c r="P1186" i="2"/>
  <c r="P1185" i="2"/>
  <c r="P1184" i="2"/>
  <c r="S1184" i="2" s="1"/>
  <c r="W1184" i="2" s="1"/>
  <c r="P1183" i="2"/>
  <c r="P1182" i="2"/>
  <c r="P1181" i="2"/>
  <c r="S1181" i="2" s="1"/>
  <c r="W1181" i="2" s="1"/>
  <c r="P1180" i="2"/>
  <c r="P1179" i="2"/>
  <c r="S1179" i="2" s="1"/>
  <c r="W1179" i="2" s="1"/>
  <c r="P1178" i="2"/>
  <c r="S1178" i="2" s="1"/>
  <c r="W1178" i="2" s="1"/>
  <c r="P1177" i="2"/>
  <c r="P1176" i="2"/>
  <c r="S1176" i="2" s="1"/>
  <c r="W1176" i="2" s="1"/>
  <c r="P1175" i="2"/>
  <c r="S1175" i="2" s="1"/>
  <c r="W1175" i="2" s="1"/>
  <c r="P1174" i="2"/>
  <c r="S1174" i="2" s="1"/>
  <c r="W1174" i="2" s="1"/>
  <c r="P1173" i="2"/>
  <c r="S1173" i="2" s="1"/>
  <c r="W1173" i="2" s="1"/>
  <c r="P1172" i="2"/>
  <c r="S1172" i="2"/>
  <c r="W1172" i="2" s="1"/>
  <c r="P1171" i="2"/>
  <c r="S1171" i="2" s="1"/>
  <c r="W1171" i="2" s="1"/>
  <c r="P1170" i="2"/>
  <c r="P1169" i="2"/>
  <c r="P1168" i="2"/>
  <c r="S1168" i="2" s="1"/>
  <c r="W1168" i="2" s="1"/>
  <c r="P1167" i="2"/>
  <c r="S1167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68" i="2"/>
  <c r="S1169" i="2"/>
  <c r="W1169" i="2" s="1"/>
  <c r="S1170" i="2"/>
  <c r="W1170" i="2" s="1"/>
  <c r="S1177" i="2"/>
  <c r="W1177" i="2" s="1"/>
  <c r="S1180" i="2"/>
  <c r="W1180" i="2"/>
  <c r="S1182" i="2"/>
  <c r="W1182" i="2" s="1"/>
  <c r="S1183" i="2"/>
  <c r="W1183" i="2"/>
  <c r="S1185" i="2"/>
  <c r="W1185" i="2" s="1"/>
  <c r="S1186" i="2"/>
  <c r="W1186" i="2"/>
  <c r="S1188" i="2"/>
  <c r="W1188" i="2" s="1"/>
  <c r="S1191" i="2"/>
  <c r="W1191" i="2" s="1"/>
  <c r="S1192" i="2"/>
  <c r="W1192" i="2"/>
  <c r="S1193" i="2"/>
  <c r="W1193" i="2" s="1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 s="1"/>
  <c r="S1202" i="2"/>
  <c r="W1202" i="2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W1190" i="2" l="1"/>
  <c r="W1167" i="2"/>
  <c r="W1210" i="2" s="1"/>
  <c r="S1210" i="2"/>
  <c r="P1210" i="2"/>
  <c r="AB1171" i="2"/>
  <c r="AB1170" i="2"/>
  <c r="AB1169" i="2"/>
  <c r="AE1169" i="2" s="1"/>
  <c r="AI1169" i="2" s="1"/>
  <c r="AH1168" i="2"/>
  <c r="AH1210" i="2" s="1"/>
  <c r="AB1168" i="2"/>
  <c r="AB1167" i="2"/>
  <c r="AE1167" i="2" s="1"/>
  <c r="AA1168" i="2"/>
  <c r="AA1169" i="2" s="1"/>
  <c r="AA1170" i="2" s="1"/>
  <c r="AA1171" i="2" s="1"/>
  <c r="AE1168" i="2"/>
  <c r="AE1170" i="2"/>
  <c r="AI1170" i="2" s="1"/>
  <c r="AE1171" i="2"/>
  <c r="AI1171" i="2" s="1"/>
  <c r="AE1172" i="2"/>
  <c r="AI1172" i="2"/>
  <c r="AE1173" i="2"/>
  <c r="AI1173" i="2"/>
  <c r="AE1174" i="2"/>
  <c r="AI1174" i="2"/>
  <c r="AE1175" i="2"/>
  <c r="AI1175" i="2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G1210" i="2"/>
  <c r="D1171" i="2"/>
  <c r="G1171" i="2" s="1"/>
  <c r="K1171" i="2" s="1"/>
  <c r="I1170" i="2"/>
  <c r="I1210" i="2" s="1"/>
  <c r="D1170" i="2"/>
  <c r="G1170" i="2" s="1"/>
  <c r="K1170" i="2" s="1"/>
  <c r="D1169" i="2"/>
  <c r="D1168" i="2"/>
  <c r="J1167" i="2"/>
  <c r="J1210" i="2"/>
  <c r="D1167" i="2"/>
  <c r="G1167" i="2"/>
  <c r="C1168" i="2"/>
  <c r="C1169" i="2" s="1"/>
  <c r="C1170" i="2" s="1"/>
  <c r="C1171" i="2" s="1"/>
  <c r="G1168" i="2"/>
  <c r="K1168" i="2" s="1"/>
  <c r="G1169" i="2"/>
  <c r="G1172" i="2"/>
  <c r="K1172" i="2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/>
  <c r="G1200" i="2"/>
  <c r="K1200" i="2"/>
  <c r="G1207" i="2"/>
  <c r="K1207" i="2"/>
  <c r="E1210" i="2"/>
  <c r="F1210" i="2"/>
  <c r="AI1168" i="2" l="1"/>
  <c r="AE1210" i="2"/>
  <c r="AI1167" i="2"/>
  <c r="AB1210" i="2"/>
  <c r="D1210" i="2"/>
  <c r="K1167" i="2"/>
  <c r="G1210" i="2"/>
  <c r="K1169" i="2"/>
  <c r="K1210" i="2" s="1"/>
  <c r="AB1117" i="2"/>
  <c r="AE1117" i="2" s="1"/>
  <c r="AI1117" i="2" s="1"/>
  <c r="AB1116" i="2"/>
  <c r="AB1115" i="2"/>
  <c r="AB1114" i="2"/>
  <c r="AB1113" i="2"/>
  <c r="AB1112" i="2"/>
  <c r="AB1155" i="2" s="1"/>
  <c r="AE1112" i="2"/>
  <c r="AI1112" i="2" s="1"/>
  <c r="AA1113" i="2"/>
  <c r="AE1113" i="2"/>
  <c r="AI1113" i="2" s="1"/>
  <c r="AA1114" i="2"/>
  <c r="AA1115" i="2" s="1"/>
  <c r="AA1116" i="2" s="1"/>
  <c r="AA1117" i="2" s="1"/>
  <c r="AE1114" i="2"/>
  <c r="AI1114" i="2" s="1"/>
  <c r="AE1115" i="2"/>
  <c r="AE1116" i="2"/>
  <c r="AI1116" i="2" s="1"/>
  <c r="AE1118" i="2"/>
  <c r="AI1118" i="2"/>
  <c r="AE1119" i="2"/>
  <c r="AI1119" i="2" s="1"/>
  <c r="AE1120" i="2"/>
  <c r="AI1120" i="2"/>
  <c r="AE1121" i="2"/>
  <c r="AI1121" i="2" s="1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 s="1"/>
  <c r="AE1128" i="2"/>
  <c r="AI1128" i="2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 s="1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 s="1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G1155" i="2"/>
  <c r="AH1155" i="2"/>
  <c r="P1112" i="2"/>
  <c r="S1112" i="2"/>
  <c r="W1112" i="2" s="1"/>
  <c r="P1155" i="2"/>
  <c r="S1113" i="2"/>
  <c r="W1113" i="2"/>
  <c r="S1114" i="2"/>
  <c r="W1114" i="2"/>
  <c r="S1115" i="2"/>
  <c r="W1115" i="2"/>
  <c r="S1116" i="2"/>
  <c r="W1116" i="2"/>
  <c r="S1117" i="2"/>
  <c r="W1117" i="2" s="1"/>
  <c r="S1118" i="2"/>
  <c r="W1118" i="2"/>
  <c r="S1119" i="2"/>
  <c r="W1119" i="2" s="1"/>
  <c r="S1120" i="2"/>
  <c r="W1120" i="2" s="1"/>
  <c r="S1121" i="2"/>
  <c r="W1121" i="2"/>
  <c r="S1122" i="2"/>
  <c r="W1122" i="2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U1155" i="2"/>
  <c r="V1155" i="2"/>
  <c r="I1114" i="2"/>
  <c r="J1114" i="2"/>
  <c r="I1155" i="2"/>
  <c r="J1155" i="2"/>
  <c r="D1114" i="2"/>
  <c r="G1114" i="2" s="1"/>
  <c r="D1113" i="2"/>
  <c r="D1155" i="2" s="1"/>
  <c r="D1112" i="2"/>
  <c r="G1112" i="2"/>
  <c r="K1112" i="2" s="1"/>
  <c r="C1113" i="2"/>
  <c r="C1114" i="2" s="1"/>
  <c r="G1115" i="2"/>
  <c r="K1115" i="2" s="1"/>
  <c r="G1116" i="2"/>
  <c r="K1116" i="2" s="1"/>
  <c r="G1117" i="2"/>
  <c r="K1117" i="2" s="1"/>
  <c r="G1118" i="2"/>
  <c r="K1118" i="2" s="1"/>
  <c r="G1119" i="2"/>
  <c r="K1119" i="2"/>
  <c r="G1120" i="2"/>
  <c r="K1120" i="2" s="1"/>
  <c r="G1121" i="2"/>
  <c r="K1121" i="2" s="1"/>
  <c r="G1122" i="2"/>
  <c r="K1122" i="2" s="1"/>
  <c r="G1123" i="2"/>
  <c r="K1123" i="2" s="1"/>
  <c r="G1124" i="2"/>
  <c r="K1124" i="2" s="1"/>
  <c r="G1125" i="2"/>
  <c r="K1125" i="2" s="1"/>
  <c r="G1126" i="2"/>
  <c r="K1126" i="2" s="1"/>
  <c r="G1127" i="2"/>
  <c r="K1127" i="2"/>
  <c r="G1128" i="2"/>
  <c r="K1128" i="2"/>
  <c r="G1129" i="2"/>
  <c r="K1129" i="2" s="1"/>
  <c r="G1130" i="2"/>
  <c r="K1130" i="2" s="1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 s="1"/>
  <c r="G1138" i="2"/>
  <c r="K1138" i="2" s="1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 s="1"/>
  <c r="G1152" i="2"/>
  <c r="K1152" i="2" s="1"/>
  <c r="E1155" i="2"/>
  <c r="F1155" i="2"/>
  <c r="AI1210" i="2" l="1"/>
  <c r="AE1155" i="2"/>
  <c r="AI1115" i="2"/>
  <c r="AI1155" i="2"/>
  <c r="S1155" i="2"/>
  <c r="W1155" i="2"/>
  <c r="K1114" i="2"/>
  <c r="G1113" i="2"/>
  <c r="K1113" i="2" s="1"/>
  <c r="AB1060" i="2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K1155" i="2" l="1"/>
  <c r="G1155" i="2"/>
  <c r="AE1100" i="2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D37" i="1" s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10" i="1"/>
  <c r="D16" i="1" l="1"/>
  <c r="D17" i="1"/>
  <c r="J19" i="1"/>
  <c r="D19" i="1" s="1"/>
  <c r="J31" i="1"/>
  <c r="D31" i="1" s="1"/>
  <c r="J38" i="1"/>
  <c r="D38" i="1" s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family val="2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1112" authorId="0" shapeId="0" xr:uid="{6471219C-A258-4F29-B9AB-BC9555D0C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112" authorId="0" shapeId="0" xr:uid="{C9F69907-4A50-4AFF-8C8B-801AEE3A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2" authorId="0" shapeId="0" xr:uid="{5D4A94E0-21D6-4444-9C6C-E4ECEF3547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</t>
        </r>
      </text>
    </comment>
    <comment ref="C1113" authorId="0" shapeId="0" xr:uid="{683AA04D-90AA-4049-ACB3-53E262E06B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3" authorId="0" shapeId="0" xr:uid="{6DB7DA31-D607-4E20-809C-C1EAC30020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JAMIRI ADIMAR
POB, SALUG</t>
        </r>
      </text>
    </comment>
    <comment ref="C1114" authorId="0" shapeId="0" xr:uid="{0828447F-CEE2-465B-A1E1-F72A3765E9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4" authorId="0" shapeId="0" xr:uid="{A99B5150-3586-4B93-8B1A-06E7AD0D5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AA1115" authorId="0" shapeId="0" xr:uid="{89CD013D-50AC-418C-A45D-51B5966A63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1116" authorId="0" shapeId="0" xr:uid="{6507A4E9-E2E0-41E1-9CE1-C6C6D2A6E1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</t>
        </r>
      </text>
    </comment>
    <comment ref="AA1117" authorId="0" shapeId="0" xr:uid="{0B984783-8757-4372-85F0-73A9FA6654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 EATERY
POB, SALUG</t>
        </r>
      </text>
    </comment>
    <comment ref="C1167" authorId="0" shapeId="0" xr:uid="{5839E03B-DB2F-490C-BFB9-C4803417F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1167" authorId="0" shapeId="0" xr:uid="{39F43530-056D-43DD-90C9-A508EE390C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INUMAN, SINDANGAN</t>
        </r>
      </text>
    </comment>
    <comment ref="AA1167" authorId="0" shapeId="0" xr:uid="{E4875D3D-886F-4FB6-971E-F220031792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ZAMORA
DISUD, SINDANGAN</t>
        </r>
      </text>
    </comment>
    <comment ref="C1168" authorId="0" shapeId="0" xr:uid="{7971814A-01E8-4F04-B1D8-92FE85F765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EDORAH MADULA/ MADULA STORE
CALACAS, SIAYAN</t>
        </r>
      </text>
    </comment>
    <comment ref="O1168" authorId="0" shapeId="0" xr:uid="{27A858C8-6D7A-4A9C-A905-D8E9102CC3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ELENA REBOLONA
INUMAN, SINDANGAN</t>
        </r>
      </text>
    </comment>
    <comment ref="AA1168" authorId="0" shapeId="0" xr:uid="{E6BA2F32-B38C-419A-875D-CF69581358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169" authorId="0" shapeId="0" xr:uid="{55DB8A72-07DD-4FE0-9A0F-FDF43A3DC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169" authorId="0" shapeId="0" xr:uid="{43104ACC-C061-4533-BFAD-E8D29FF120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 SATORE
INUMAN, SINDANGAN</t>
        </r>
      </text>
    </comment>
    <comment ref="AA1169" authorId="0" shapeId="0" xr:uid="{D2B2BFA3-B429-4DBE-9EBC-610B2C35A8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170" authorId="0" shapeId="0" xr:uid="{C0DF2CDB-FC50-46A7-84A0-BADF7ED8F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1170" authorId="0" shapeId="0" xr:uid="{AF93B4B7-F38F-4847-B3B2-BF02853179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70" authorId="0" shapeId="0" xr:uid="{338C2E41-6050-4A0D-ABEC-BBDEDA796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ARVIN SOLO
SALUG, BACONG</t>
        </r>
      </text>
    </comment>
    <comment ref="C1171" authorId="0" shapeId="0" xr:uid="{064E2865-AC9B-4A60-A2FD-3FA69A1A0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O1171" authorId="0" shapeId="0" xr:uid="{43947D1C-C948-4108-8898-2B8E3B6939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AA1171" authorId="0" shapeId="0" xr:uid="{68406DEF-4C87-4085-8DBC-773E4F7552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 / RAZIEL NUGAS
BACONG, SALUG</t>
        </r>
      </text>
    </comment>
    <comment ref="O1172" authorId="0" shapeId="0" xr:uid="{C7673BE4-F84B-4972-8D4D-913FA43ED1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1173" authorId="0" shapeId="0" xr:uid="{0A81EA21-EF5F-470D-916C-B54DC16E9D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O1174" authorId="0" shapeId="0" xr:uid="{70708ECB-5C21-4FBB-AA31-DE647FA73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175" authorId="0" shapeId="0" xr:uid="{EB08FA72-49E3-4BF0-A27C-50B18676F1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1176" authorId="0" shapeId="0" xr:uid="{250FE74C-BF52-4376-9743-CF2A3A233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1177" authorId="0" shapeId="0" xr:uid="{10FB8690-FA78-4EB6-AB00-B6272FB08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8" authorId="0" shapeId="0" xr:uid="{759AC8AF-69D5-4E5A-B98F-C7A6D2343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9" authorId="0" shapeId="0" xr:uid="{B6C661C2-BB21-4B4A-8FCA-86F0E9955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MARAS, SINDANGAN</t>
        </r>
      </text>
    </comment>
    <comment ref="O1180" authorId="0" shapeId="0" xr:uid="{F59B7CF1-65C1-41C4-ABDF-D5872E0760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181" authorId="0" shapeId="0" xr:uid="{63F0DB80-165B-4BEE-83EF-416CA7D65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O1182" authorId="0" shapeId="0" xr:uid="{FF0461E4-A724-45CD-A88C-05F884BBEC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O1183" authorId="0" shapeId="0" xr:uid="{C2D0A799-58D1-4C21-9C50-BFB038ACF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ARACEILIE ALESNA
MANDIH, SINDANGAN</t>
        </r>
      </text>
    </comment>
    <comment ref="O1184" authorId="0" shapeId="0" xr:uid="{5CB012DE-A0BE-45DD-ABD7-82B773DEC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PARILLA
MANDIH, SINDANGAN</t>
        </r>
      </text>
    </comment>
    <comment ref="O1185" authorId="0" shapeId="0" xr:uid="{3A64FCDA-53CD-4061-AAC3-A2711F846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O1186" authorId="0" shapeId="0" xr:uid="{65500E92-B551-494B-85B2-B848697743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187" authorId="0" shapeId="0" xr:uid="{81EB3AA0-3040-4AC2-9902-6E0DBDFA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MARIVIC ESCORIAL
GOLEO, SINDANGAN</t>
        </r>
      </text>
    </comment>
    <comment ref="O1188" authorId="0" shapeId="0" xr:uid="{5A2282C0-755C-420F-84D9-212F481F21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
GOLEO, SINDANGAN</t>
        </r>
      </text>
    </comment>
    <comment ref="O1189" authorId="0" shapeId="0" xr:uid="{3735495A-6FC3-432D-AF5E-25CB80F5B1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1190" authorId="0" shapeId="0" xr:uid="{366311BF-45DB-4D4C-8F70-93AC41DC77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1222" authorId="0" shapeId="0" xr:uid="{46E64E56-3919-4659-92EF-93CE7B3E9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 / C TAMPUS
POB, SINDANGAN</t>
        </r>
      </text>
    </comment>
    <comment ref="O1222" authorId="0" shapeId="0" xr:uid="{DEB2B3F8-493E-4FD7-8C89-C41744A13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JEAN STORE
GOLEO, SINDANGAN</t>
        </r>
      </text>
    </comment>
    <comment ref="AA1222" authorId="0" shapeId="0" xr:uid="{B7684792-EFD3-4103-8060-FF447FA05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
</t>
        </r>
      </text>
    </comment>
    <comment ref="C1223" authorId="0" shapeId="0" xr:uid="{7E88A4ED-8F30-49D3-A468-410B50E23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223" authorId="0" shapeId="0" xr:uid="{759A268F-F034-4000-A580-EB2A8CA72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1223" authorId="0" shapeId="0" xr:uid="{158255FC-F7A4-423B-AD1B-69BC5EFEB8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24" authorId="0" shapeId="0" xr:uid="{CA6B7C1F-86CE-44C7-A9A2-F0D43FC54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PREJOLES STORE
MANIL, BACUNGAN</t>
        </r>
      </text>
    </comment>
    <comment ref="AA1224" authorId="0" shapeId="0" xr:uid="{60265EBB-1AD8-4381-A2FD-72D3BD2F70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25" authorId="0" shapeId="0" xr:uid="{C15D211F-DEDD-4257-A310-28B496A941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JONALYN LANGAN
MANIL, BACUNGAN</t>
        </r>
      </text>
    </comment>
    <comment ref="AA1225" authorId="0" shapeId="0" xr:uid="{9530DAB0-2BEA-46CF-8713-CB3215E2A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O1226" authorId="0" shapeId="0" xr:uid="{A193289E-AD52-4881-9C3C-E85F7B45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AA1226" authorId="0" shapeId="0" xr:uid="{B769F0C5-7BCC-4166-840A-FDCFBBA19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1227" authorId="0" shapeId="0" xr:uid="{F407B266-89F7-45A2-A375-08B9E0CB3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JEKLON
BOGABONGAN, BACUNGAN</t>
        </r>
      </text>
    </comment>
    <comment ref="O1228" authorId="0" shapeId="0" xr:uid="{C51DDACD-E1D3-4E10-87E5-DA6324879B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1229" authorId="0" shapeId="0" xr:uid="{7DD7A3BC-17A6-45F0-9D08-E03E78169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1230" authorId="0" shapeId="0" xr:uid="{42562E04-F70F-4E21-B705-5365A91ED1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1231" authorId="0" shapeId="0" xr:uid="{B032B9E6-5504-458B-9921-7192FFC611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1232" authorId="0" shapeId="0" xr:uid="{B2358573-1952-4F3E-B2C8-1B74C48559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NUGAS
RM, SALUG</t>
        </r>
      </text>
    </comment>
    <comment ref="O1233" authorId="0" shapeId="0" xr:uid="{565DB64F-4520-4F25-B47D-113E2A579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O1234" authorId="0" shapeId="0" xr:uid="{371D32BE-C421-42B6-81A3-37C7F23358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O1235" authorId="0" shapeId="0" xr:uid="{6F37DB04-A1A9-455D-BA30-1DC9F9E96F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
PALANDOK, BACUNGAN</t>
        </r>
      </text>
    </comment>
    <comment ref="O1236" authorId="0" shapeId="0" xr:uid="{7B416760-E9EB-4F06-BEDD-9E16FF5FE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ASOCEDO
MANGOP, BACUNGAN</t>
        </r>
      </text>
    </comment>
    <comment ref="O1237" authorId="0" shapeId="0" xr:uid="{D657D019-5C15-49B1-9BAB-63C913FF16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 SULTAN
MANGOP, BACUNGAN</t>
        </r>
      </text>
    </comment>
    <comment ref="O1238" authorId="0" shapeId="0" xr:uid="{22641986-F1D0-4CCD-A8F7-2E9F35BED1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O1239" authorId="0" shapeId="0" xr:uid="{2A58FA68-F8AD-4448-9873-D1F838BC8A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TEVES
MANGOP, BACUNGAN</t>
        </r>
      </text>
    </comment>
    <comment ref="O1240" authorId="0" shapeId="0" xr:uid="{ED961918-F9F0-4125-9037-A897EB686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CALAGO
MANGOP, BACUNGAN</t>
        </r>
      </text>
    </comment>
    <comment ref="O1241" authorId="0" shapeId="0" xr:uid="{14A77775-2755-4A03-A546-19C1BEB0FB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KADA STORE
MANGOP, BACUNGAN</t>
        </r>
      </text>
    </comment>
    <comment ref="O1242" authorId="0" shapeId="0" xr:uid="{51D06669-50B0-4119-BA96-6E38BFCC5A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ETON STORE
TAMIL, BOGABONGAN, BACUNGAN</t>
        </r>
      </text>
    </comment>
    <comment ref="O1243" authorId="0" shapeId="0" xr:uid="{B4FCA83B-3E47-461A-8B51-A84138712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TAMIL, BOGABONGAN, BACUNGAN</t>
        </r>
      </text>
    </comment>
    <comment ref="O1244" authorId="0" shapeId="0" xr:uid="{020A75DB-8F5F-4300-B20F-1F3A20C90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MILYN ESTRADA
BOGABONGAN, BACUNGAN</t>
        </r>
      </text>
    </comment>
    <comment ref="O1245" authorId="0" shapeId="0" xr:uid="{074171A9-5C69-4549-B51A-8DB9F82C34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O1246" authorId="0" shapeId="0" xr:uid="{BB01D7BD-38DC-4F4D-80AC-0D6F8354D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RAPELS STORE
BOGABONGAN, BACUNGAN</t>
        </r>
      </text>
    </comment>
    <comment ref="O1247" authorId="0" shapeId="0" xr:uid="{2073DEC0-13BB-402D-AE0F-12366028B7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1248" authorId="0" shapeId="0" xr:uid="{AD5D3053-2F63-43E1-8B3C-50C9C73F6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 ATS FAMILY BEACH RESORT
TALINGA, BACUNGAN</t>
        </r>
      </text>
    </comment>
    <comment ref="C1277" authorId="0" shapeId="0" xr:uid="{05E1C292-04DB-4682-8F57-67E85BB158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277" authorId="0" shapeId="0" xr:uid="{8C4B6590-3B2D-4118-9D6F-7C088994CF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77" authorId="0" shapeId="0" xr:uid="{98724F86-1780-46E0-B581-0E741651A5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278" authorId="0" shapeId="0" xr:uid="{050E3CDE-A44A-4CBF-BD69-A0EC73970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278" authorId="0" shapeId="0" xr:uid="{3EE777DA-F04E-4077-BC38-74EC2F435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78" authorId="0" shapeId="0" xr:uid="{9E50DBB3-19D9-4743-9221-3B18DDB91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PLAZA. BILLY
BAYBAY, LILOY</t>
        </r>
      </text>
    </comment>
    <comment ref="C1279" authorId="0" shapeId="0" xr:uid="{815D00ED-99CA-43B3-B01D-2FF8D9DA10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279" authorId="0" shapeId="0" xr:uid="{C5714944-4DD0-4709-AECD-0582E794A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DAYING DANGOD
POB, BACUNGAN</t>
        </r>
      </text>
    </comment>
    <comment ref="AA1279" authorId="0" shapeId="0" xr:uid="{D63E96F4-A36E-438C-88D0-B326A72F57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0" authorId="0" shapeId="0" xr:uid="{D81ECF3F-A65D-419E-8A72-B9AD47EE62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SINDANGAN</t>
        </r>
      </text>
    </comment>
    <comment ref="O1280" authorId="0" shapeId="0" xr:uid="{E843C5CD-E67F-4366-922A-F7D13D435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COSEM STORE
TALINGA. BACUNGAN</t>
        </r>
      </text>
    </comment>
    <comment ref="C1281" authorId="0" shapeId="0" xr:uid="{8719A4A1-F41F-469A-BD64-EC2167845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281" authorId="0" shapeId="0" xr:uid="{B0F9770D-BCD6-4C3E-8578-C6D7BFCB61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282" authorId="0" shapeId="0" xr:uid="{E5F9A95A-61BC-4D6A-AC1A-0DDD098ED0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82" authorId="0" shapeId="0" xr:uid="{EEB15D04-5558-46A7-A6D9-B00504ED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283" authorId="0" shapeId="0" xr:uid="{F7EF83F0-502E-4EFB-B3F6-68B976342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DOMAY
POLAYO, SIAYAN</t>
        </r>
      </text>
    </comment>
    <comment ref="O1283" authorId="0" shapeId="0" xr:uid="{87064360-CA14-4183-BCB5-61473ED7A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EMPIS STORE
ILAYA, SINDANGAN</t>
        </r>
      </text>
    </comment>
    <comment ref="C1284" authorId="0" shapeId="0" xr:uid="{27DC3AD0-33DB-48EA-9A31-E2EEB23560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1284" authorId="0" shapeId="0" xr:uid="{55C1BCF1-84F2-48A9-8601-110D4EA93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285" authorId="0" shapeId="0" xr:uid="{62AB6DF9-6D41-4B30-BBA9-7AC34ADCE1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1285" authorId="0" shapeId="0" xr:uid="{20E4F68E-E2AA-40E3-9AAC-8B81EDE281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1286" authorId="0" shapeId="0" xr:uid="{B73434F0-8740-4030-93DC-0685115350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1286" authorId="0" shapeId="0" xr:uid="{F546EB93-DDED-4C54-AC94-78A9D7680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
GOLEO, SINDANGAN</t>
        </r>
      </text>
    </comment>
    <comment ref="C1287" authorId="0" shapeId="0" xr:uid="{E293C7B8-7E09-4696-8FE8-408021A58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VARIETY STORE
DENOYAN, SIAYAN</t>
        </r>
      </text>
    </comment>
    <comment ref="O1287" authorId="0" shapeId="0" xr:uid="{0B3A6471-74DD-43F9-B7CB-9F798B2411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288" authorId="0" shapeId="0" xr:uid="{D05EF1BC-9543-43FB-834A-E3FE0570B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STORE / WILSON VILLARUBIA
DENOYAN, SIAYAN</t>
        </r>
      </text>
    </comment>
    <comment ref="O1288" authorId="0" shapeId="0" xr:uid="{FEA7DD8F-9A72-4DF9-B658-E5194783A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
GOLEO, SINDANGAN</t>
        </r>
      </text>
    </comment>
    <comment ref="C1289" authorId="0" shapeId="0" xr:uid="{1DD7C19A-7F5F-4799-87DF-EE385525C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EVERLYN
LAGAG, SINDANGAN</t>
        </r>
      </text>
    </comment>
    <comment ref="O1289" authorId="0" shapeId="0" xr:uid="{CE9AD6DA-E165-4336-988F-43DB7E78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1290" authorId="0" shapeId="0" xr:uid="{AC6B6853-59EA-47D3-9BB1-B1D71A09D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HELEN MAGAWATE
LAGAG, SINDANGAN</t>
        </r>
      </text>
    </comment>
    <comment ref="O1290" authorId="0" shapeId="0" xr:uid="{AECC5C60-DAC4-4D6B-993C-21313B3D0E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1291" authorId="0" shapeId="0" xr:uid="{00AC722F-16B7-40D3-A06C-5BC746A22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91" authorId="0" shapeId="0" xr:uid="{CD32319E-F259-49AA-8B63-A3BC43235F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C1292" authorId="0" shapeId="0" xr:uid="{08632FC2-3D21-43E4-B95D-FE2EB7C9E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TIPSY BAR
POB, SINDANGAN</t>
        </r>
      </text>
    </comment>
    <comment ref="O1292" authorId="0" shapeId="0" xr:uid="{0CE651D0-E158-484D-B4A1-F74A31222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1293" authorId="0" shapeId="0" xr:uid="{343EEE0C-581C-4E20-8C90-FC65B0CF2F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</commentList>
</comments>
</file>

<file path=xl/sharedStrings.xml><?xml version="1.0" encoding="utf-8"?>
<sst xmlns="http://schemas.openxmlformats.org/spreadsheetml/2006/main" count="1864" uniqueCount="110">
  <si>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</si>
  <si>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</si>
  <si>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</si>
  <si>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</si>
  <si>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</si>
  <si>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</si>
  <si>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</si>
  <si>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</si>
  <si>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</si>
  <si>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</si>
  <si>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</si>
  <si>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</si>
  <si>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</si>
  <si>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</si>
  <si>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</si>
  <si>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</si>
  <si>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</si>
  <si>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</si>
  <si>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</si>
  <si>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</si>
  <si>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</si>
  <si>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</si>
  <si>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</si>
  <si>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</si>
  <si>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</si>
  <si>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</si>
  <si>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</si>
  <si>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</si>
  <si>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</si>
  <si>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</si>
  <si>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</si>
  <si>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</si>
  <si>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</si>
  <si>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</si>
  <si>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</si>
  <si>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</si>
  <si>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</si>
  <si>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</si>
  <si>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</si>
  <si>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</si>
  <si>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</si>
  <si>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</si>
  <si>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</si>
  <si>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</si>
  <si>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</si>
  <si>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</si>
  <si>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</si>
  <si>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</si>
  <si>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</si>
  <si>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</si>
  <si>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</si>
  <si>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</si>
  <si>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</si>
  <si>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</si>
  <si>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</si>
  <si>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</si>
  <si>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</si>
  <si>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</si>
  <si>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</si>
  <si>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</si>
  <si>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</si>
  <si>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</si>
  <si>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</si>
  <si>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</si>
  <si>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</si>
  <si>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</si>
  <si>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</si>
  <si>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</si>
  <si>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</si>
  <si>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</si>
  <si>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</si>
  <si>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</si>
  <si>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</si>
  <si>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</si>
  <si>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</si>
  <si>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</si>
  <si>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</si>
  <si>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</si>
  <si>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</si>
  <si>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</si>
  <si>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</si>
  <si>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</si>
  <si>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</si>
  <si>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</si>
  <si>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</si>
  <si>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</si>
  <si>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</si>
  <si>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</si>
  <si>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</si>
  <si>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</si>
  <si>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</si>
  <si>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</si>
  <si>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</si>
  <si>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</si>
  <si>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</si>
  <si>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</si>
  <si>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</si>
  <si>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</si>
  <si>
    <t>NOVEMBER 26, 2025</t>
  </si>
  <si>
    <t>11/26/2025</t>
  </si>
  <si>
    <t>7501-7503/7426/7331-7336</t>
  </si>
  <si>
    <t>NOVEMBER 27, 2025</t>
  </si>
  <si>
    <t>11/27/2025</t>
  </si>
  <si>
    <t>7504-7508/7427-7450/7337-7341</t>
  </si>
  <si>
    <t>NOVEMBER 28, 2025</t>
  </si>
  <si>
    <t>11/28/2025</t>
  </si>
  <si>
    <t>7510-7511/7551-7577/7342-7346</t>
  </si>
  <si>
    <t>NOVEMBER 29, 2025</t>
  </si>
  <si>
    <t>11/29/2025</t>
  </si>
  <si>
    <t>7512-7527/7578-7594/7347-7349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</si>
</sst>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J13" sqref="J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36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6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 t="s">
        <v>100</v>
      </c>
      <c r="D35" s="16">
        <f t="shared" si="5"/>
        <v>1001298</v>
      </c>
      <c r="E35" s="14"/>
      <c r="F35" s="14">
        <v>547623</v>
      </c>
      <c r="G35" s="14">
        <v>201280</v>
      </c>
      <c r="H35" s="14">
        <v>252395</v>
      </c>
      <c r="I35" s="14"/>
      <c r="J35" s="17">
        <f t="shared" si="1"/>
        <v>1001298</v>
      </c>
    </row>
    <row r="36" spans="1:10" x14ac:dyDescent="0.25">
      <c r="A36" s="10">
        <f t="shared" si="2"/>
        <v>27</v>
      </c>
      <c r="B36" s="11" t="s">
        <v>30</v>
      </c>
      <c r="C36" s="12" t="s">
        <v>103</v>
      </c>
      <c r="D36" s="16">
        <f t="shared" si="5"/>
        <v>602998.5</v>
      </c>
      <c r="E36" s="14"/>
      <c r="F36" s="14">
        <v>249889</v>
      </c>
      <c r="G36" s="14">
        <v>132687.5</v>
      </c>
      <c r="H36" s="14">
        <v>220422</v>
      </c>
      <c r="I36" s="14"/>
      <c r="J36" s="17">
        <f t="shared" si="1"/>
        <v>602998.5</v>
      </c>
    </row>
    <row r="37" spans="1:10" x14ac:dyDescent="0.25">
      <c r="A37" s="10">
        <f t="shared" si="2"/>
        <v>28</v>
      </c>
      <c r="B37" s="43" t="s">
        <v>4</v>
      </c>
      <c r="C37" s="12" t="s">
        <v>106</v>
      </c>
      <c r="D37" s="16">
        <f t="shared" si="5"/>
        <v>508918.5</v>
      </c>
      <c r="E37" s="14"/>
      <c r="F37" s="14">
        <v>130857</v>
      </c>
      <c r="G37" s="14">
        <v>124174.5</v>
      </c>
      <c r="H37" s="14">
        <v>253887</v>
      </c>
      <c r="I37" s="14"/>
      <c r="J37" s="17">
        <f t="shared" si="1"/>
        <v>508918.5</v>
      </c>
    </row>
    <row r="38" spans="1:10" x14ac:dyDescent="0.25">
      <c r="A38" s="10">
        <f t="shared" si="2"/>
        <v>29</v>
      </c>
      <c r="B38" s="56" t="s">
        <v>5</v>
      </c>
      <c r="C38" s="12" t="s">
        <v>109</v>
      </c>
      <c r="D38" s="16">
        <f t="shared" si="5"/>
        <v>550606.5</v>
      </c>
      <c r="E38" s="14"/>
      <c r="F38" s="14">
        <v>212037</v>
      </c>
      <c r="G38" s="14">
        <v>127273</v>
      </c>
      <c r="H38" s="14">
        <v>211296.5</v>
      </c>
      <c r="I38" s="14"/>
      <c r="J38" s="17">
        <f t="shared" si="1"/>
        <v>550606.5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SUM(D2:D39)</f>
        <v>14179170.5</v>
      </c>
      <c r="J42" s="49">
        <f>SUM(J10:J41)</f>
        <v>14179170.5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287" zoomScaleNormal="100" workbookViewId="0">
      <selection activeCell="A1321" sqref="A1321"/>
    </sheetView>
  </sheetViews>
  <sheetFormatPr defaultRowHeight="15" x14ac:dyDescent="0.25"/>
  <cols>
    <col min="1" max="1" width="5.28515625" style="115" customWidth="1"/>
    <col min="2" max="3" width="13.28515625" style="116" customWidth="1"/>
    <col min="4" max="4" width="16" style="116" bestFit="1" customWidth="1"/>
    <col min="5" max="5" width="11.7109375" style="116" customWidth="1"/>
    <col min="6" max="6" width="11.85546875" style="116" customWidth="1"/>
    <col min="7" max="7" width="15.7109375" style="116" bestFit="1" customWidth="1"/>
    <col min="8" max="8" width="2.5703125" style="115" customWidth="1"/>
    <col min="9" max="11" width="13.28515625" style="115" customWidth="1"/>
    <col min="12" max="12" width="5.85546875" style="115" customWidth="1"/>
    <col min="13" max="13" width="5.140625" style="115" customWidth="1"/>
    <col min="14" max="16" width="13.28515625" style="115" customWidth="1"/>
    <col min="17" max="18" width="11.85546875" style="115" customWidth="1"/>
    <col min="19" max="19" width="13.28515625" style="115" customWidth="1"/>
    <col min="20" max="20" width="2.5703125" style="115" customWidth="1"/>
    <col min="21" max="22" width="13" style="115" customWidth="1"/>
    <col min="23" max="23" width="13.28515625" style="115" customWidth="1"/>
    <col min="24" max="24" width="5.5703125" style="115" customWidth="1"/>
    <col min="25" max="25" width="5.140625" style="115" customWidth="1"/>
    <col min="26" max="28" width="13.28515625" style="115" customWidth="1"/>
    <col min="29" max="30" width="12.28515625" style="115" customWidth="1"/>
    <col min="31" max="31" width="13.28515625" style="115" customWidth="1"/>
    <col min="32" max="32" width="2.5703125" style="115" customWidth="1"/>
    <col min="33" max="34" width="13.140625" style="115" customWidth="1"/>
    <col min="35" max="35" width="13.28515625" style="115" customWidth="1"/>
    <col min="36" max="36" width="5.5703125" style="115" customWidth="1"/>
    <col min="37" max="37" width="5.140625" style="115" customWidth="1"/>
    <col min="38" max="40" width="13.28515625" style="115" customWidth="1"/>
    <col min="41" max="42" width="12.28515625" style="115" customWidth="1"/>
    <col min="43" max="43" width="13.28515625" style="115" customWidth="1"/>
    <col min="44" max="44" width="2.5703125" style="115" customWidth="1"/>
    <col min="45" max="46" width="13.140625" style="115" customWidth="1"/>
    <col min="47" max="47" width="13.28515625" style="115" customWidth="1"/>
    <col min="48" max="48" width="5.42578125" style="115" customWidth="1"/>
    <col min="49" max="16384" width="9.140625" style="115"/>
  </cols>
  <sheetData>
    <row r="1" spans="1:36" customForma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customFormat="1" x14ac:dyDescent="0.25">
      <c r="A2" t="s">
        <v>0</v>
      </c>
      <c r="B2" s="57"/>
      <c r="C2" s="57"/>
      <c r="D2" s="57"/>
      <c r="E2" s="57"/>
      <c r="F2" s="57"/>
      <c r="G2" s="57"/>
      <c r="L2" s="18"/>
      <c r="M2" t="s">
        <v>0</v>
      </c>
      <c r="N2" s="57"/>
      <c r="O2" s="57"/>
      <c r="P2" s="57"/>
      <c r="Q2" s="57"/>
      <c r="R2" s="57"/>
      <c r="S2" s="57"/>
      <c r="X2" s="18"/>
      <c r="Y2" t="s">
        <v>0</v>
      </c>
      <c r="Z2" s="57"/>
      <c r="AA2" s="57"/>
      <c r="AB2" s="57"/>
      <c r="AC2" s="57"/>
      <c r="AD2" s="57"/>
      <c r="AE2" s="57"/>
      <c r="AJ2" s="18"/>
    </row>
    <row r="3" spans="1:36" customFormat="1" x14ac:dyDescent="0.25">
      <c r="A3" t="s">
        <v>28</v>
      </c>
      <c r="B3" s="57"/>
      <c r="C3" s="57"/>
      <c r="D3" s="57"/>
      <c r="E3" s="57"/>
      <c r="F3" s="57"/>
      <c r="G3" s="57"/>
      <c r="L3" s="18"/>
      <c r="M3" t="s">
        <v>28</v>
      </c>
      <c r="N3" s="57"/>
      <c r="O3" s="57"/>
      <c r="P3" s="57"/>
      <c r="Q3" s="57"/>
      <c r="R3" s="57"/>
      <c r="S3" s="57"/>
      <c r="X3" s="18"/>
      <c r="Y3" t="s">
        <v>28</v>
      </c>
      <c r="Z3" s="57"/>
      <c r="AA3" s="57"/>
      <c r="AB3" s="57"/>
      <c r="AC3" s="57"/>
      <c r="AD3" s="57"/>
      <c r="AE3" s="57"/>
      <c r="AJ3" s="18"/>
    </row>
    <row r="4" spans="1:36" customFormat="1" x14ac:dyDescent="0.25">
      <c r="B4" s="57"/>
      <c r="C4" s="57"/>
      <c r="D4" s="57"/>
      <c r="E4" s="57"/>
      <c r="F4" s="57"/>
      <c r="G4" s="57"/>
      <c r="L4" s="18"/>
      <c r="N4" s="57"/>
      <c r="O4" s="57"/>
      <c r="P4" s="57"/>
      <c r="Q4" s="57"/>
      <c r="R4" s="57"/>
      <c r="S4" s="57"/>
      <c r="X4" s="18"/>
      <c r="Z4" s="57"/>
      <c r="AA4" s="57"/>
      <c r="AB4" s="57"/>
      <c r="AC4" s="57"/>
      <c r="AD4" s="57"/>
      <c r="AE4" s="57"/>
      <c r="AJ4" s="18"/>
    </row>
    <row r="5" spans="1:36" customFormat="1" x14ac:dyDescent="0.25">
      <c r="A5" s="4" t="s">
        <v>14</v>
      </c>
      <c r="B5" s="57"/>
      <c r="C5" s="57"/>
      <c r="D5" s="57"/>
      <c r="E5" s="57"/>
      <c r="F5" s="57"/>
      <c r="G5" s="57"/>
      <c r="L5" s="18"/>
      <c r="M5" s="4" t="s">
        <v>14</v>
      </c>
      <c r="N5" s="57"/>
      <c r="O5" s="57"/>
      <c r="P5" s="57"/>
      <c r="Q5" s="57"/>
      <c r="R5" s="57"/>
      <c r="S5" s="57"/>
      <c r="X5" s="18"/>
      <c r="Y5" s="4" t="s">
        <v>14</v>
      </c>
      <c r="Z5" s="57"/>
      <c r="AA5" s="57"/>
      <c r="AB5" s="57"/>
      <c r="AC5" s="57"/>
      <c r="AD5" s="57"/>
      <c r="AE5" s="57"/>
      <c r="AJ5" s="18"/>
    </row>
    <row r="6" spans="1:36" customFormat="1" x14ac:dyDescent="0.25">
      <c r="B6" s="57"/>
      <c r="C6" s="57"/>
      <c r="D6" s="57"/>
      <c r="E6" s="57"/>
      <c r="F6" s="57"/>
      <c r="G6" s="57"/>
      <c r="L6" s="18"/>
      <c r="N6" s="57"/>
      <c r="O6" s="57"/>
      <c r="P6" s="57"/>
      <c r="Q6" s="57"/>
      <c r="R6" s="57"/>
      <c r="S6" s="57"/>
      <c r="X6" s="18"/>
      <c r="Z6" s="57"/>
      <c r="AA6" s="57"/>
      <c r="AB6" s="57"/>
      <c r="AC6" s="57"/>
      <c r="AD6" s="57"/>
      <c r="AE6" s="57"/>
      <c r="AJ6" s="18"/>
    </row>
    <row r="7" spans="1:36" customFormat="1" ht="15.75" x14ac:dyDescent="0.25">
      <c r="A7" t="s">
        <v>35</v>
      </c>
      <c r="B7" s="57"/>
      <c r="C7" s="57"/>
      <c r="D7" s="57"/>
      <c r="E7" s="57"/>
      <c r="F7" s="57"/>
      <c r="G7" s="57"/>
      <c r="I7" s="57" t="s">
        <v>15</v>
      </c>
      <c r="J7" s="19">
        <v>1</v>
      </c>
      <c r="L7" s="18"/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X7" s="18"/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  <c r="AJ7" s="18"/>
    </row>
    <row r="8" spans="1:36" customFormat="1" x14ac:dyDescent="0.25">
      <c r="A8" s="21" t="s">
        <v>37</v>
      </c>
      <c r="B8" s="20"/>
      <c r="C8" s="57"/>
      <c r="D8" s="57"/>
      <c r="E8" s="57"/>
      <c r="F8" s="57"/>
      <c r="G8" s="57"/>
      <c r="I8" s="22" t="s">
        <v>16</v>
      </c>
      <c r="J8" s="23" t="s">
        <v>33</v>
      </c>
      <c r="K8" s="24"/>
      <c r="L8" s="18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X8" s="18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  <c r="AJ8" s="18"/>
    </row>
    <row r="9" spans="1:36" customFormat="1" x14ac:dyDescent="0.25">
      <c r="B9" s="57"/>
      <c r="C9" s="57"/>
      <c r="D9" s="57"/>
      <c r="E9" s="57"/>
      <c r="F9" s="57"/>
      <c r="G9" s="57"/>
      <c r="L9" s="18"/>
      <c r="N9" s="57"/>
      <c r="O9" s="57"/>
      <c r="P9" s="57"/>
      <c r="Q9" s="57"/>
      <c r="R9" s="57"/>
      <c r="S9" s="57"/>
      <c r="X9" s="18"/>
      <c r="Z9" s="57"/>
      <c r="AA9" s="57"/>
      <c r="AB9" s="57"/>
      <c r="AC9" s="57"/>
      <c r="AD9" s="57"/>
      <c r="AE9" s="57"/>
      <c r="AJ9" s="18"/>
    </row>
    <row r="10" spans="1:36" customFormat="1" x14ac:dyDescent="0.25">
      <c r="B10" s="25"/>
      <c r="C10" s="26"/>
      <c r="D10" s="121" t="s">
        <v>17</v>
      </c>
      <c r="E10" s="121"/>
      <c r="F10" s="75"/>
      <c r="G10" s="27"/>
      <c r="I10" s="124" t="s">
        <v>18</v>
      </c>
      <c r="J10" s="125"/>
      <c r="K10" s="122" t="s">
        <v>19</v>
      </c>
      <c r="L10" s="18"/>
      <c r="N10" s="25"/>
      <c r="O10" s="26"/>
      <c r="P10" s="121" t="s">
        <v>17</v>
      </c>
      <c r="Q10" s="121"/>
      <c r="R10" s="75"/>
      <c r="S10" s="27"/>
      <c r="U10" s="124" t="s">
        <v>18</v>
      </c>
      <c r="V10" s="125"/>
      <c r="W10" s="122" t="s">
        <v>19</v>
      </c>
      <c r="X10" s="18"/>
      <c r="Z10" s="25"/>
      <c r="AA10" s="26"/>
      <c r="AB10" s="121" t="s">
        <v>17</v>
      </c>
      <c r="AC10" s="121"/>
      <c r="AD10" s="75"/>
      <c r="AE10" s="27"/>
      <c r="AG10" s="124" t="s">
        <v>18</v>
      </c>
      <c r="AH10" s="125"/>
      <c r="AI10" s="122" t="s">
        <v>19</v>
      </c>
      <c r="AJ10" s="18"/>
    </row>
    <row r="11" spans="1:36" customFormat="1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3"/>
      <c r="L11" s="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3"/>
      <c r="X11" s="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3"/>
      <c r="AJ11" s="18"/>
    </row>
    <row r="12" spans="1:36" customFormat="1" x14ac:dyDescent="0.25">
      <c r="A12" s="10">
        <v>1</v>
      </c>
      <c r="B12" s="30">
        <v>45727</v>
      </c>
      <c r="C12" s="88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L12" s="18"/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X12" s="18"/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  <c r="AJ12" s="18"/>
    </row>
    <row r="13" spans="1:36" customFormat="1" x14ac:dyDescent="0.25">
      <c r="A13" s="10">
        <v>2</v>
      </c>
      <c r="B13" s="30">
        <v>45727</v>
      </c>
      <c r="C13" s="88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L13" s="18"/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X13" s="18"/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  <c r="AJ13" s="18"/>
    </row>
    <row r="14" spans="1:36" customFormat="1" x14ac:dyDescent="0.25">
      <c r="A14" s="10">
        <v>3</v>
      </c>
      <c r="B14" s="30">
        <v>45727</v>
      </c>
      <c r="C14" s="88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L14" s="18"/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X14" s="18"/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  <c r="AJ14" s="18"/>
    </row>
    <row r="15" spans="1:36" customFormat="1" x14ac:dyDescent="0.25">
      <c r="A15" s="10">
        <v>4</v>
      </c>
      <c r="B15" s="30">
        <v>45727</v>
      </c>
      <c r="C15" s="88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L15" s="18"/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X15" s="18"/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  <c r="AJ15" s="18"/>
    </row>
    <row r="16" spans="1:36" customFormat="1" x14ac:dyDescent="0.25">
      <c r="A16" s="10">
        <v>5</v>
      </c>
      <c r="B16" s="30">
        <v>45727</v>
      </c>
      <c r="C16" s="88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L16" s="18"/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X16" s="18"/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  <c r="AJ16" s="18"/>
    </row>
    <row r="17" spans="1:36" customFormat="1" x14ac:dyDescent="0.25">
      <c r="A17" s="10">
        <v>6</v>
      </c>
      <c r="B17" s="30">
        <v>45727</v>
      </c>
      <c r="C17" s="88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L17" s="18"/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X17" s="18"/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  <c r="AJ17" s="18"/>
    </row>
    <row r="18" spans="1:36" customFormat="1" x14ac:dyDescent="0.25">
      <c r="A18" s="10">
        <v>7</v>
      </c>
      <c r="B18" s="30">
        <v>45727</v>
      </c>
      <c r="C18" s="88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L18" s="18"/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X18" s="18"/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  <c r="AJ18" s="18"/>
    </row>
    <row r="19" spans="1:36" customFormat="1" x14ac:dyDescent="0.25">
      <c r="A19" s="10">
        <v>8</v>
      </c>
      <c r="B19" s="30">
        <v>45727</v>
      </c>
      <c r="C19" s="88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L19" s="18"/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X19" s="18"/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  <c r="AJ19" s="18"/>
    </row>
    <row r="20" spans="1:36" customFormat="1" x14ac:dyDescent="0.25">
      <c r="A20" s="10">
        <v>9</v>
      </c>
      <c r="B20" s="30">
        <v>45727</v>
      </c>
      <c r="C20" s="88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L20" s="18"/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X20" s="18"/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  <c r="AJ20" s="18"/>
    </row>
    <row r="21" spans="1:36" customFormat="1" x14ac:dyDescent="0.25">
      <c r="A21" s="10">
        <v>10</v>
      </c>
      <c r="B21" s="30">
        <v>45727</v>
      </c>
      <c r="C21" s="88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L21" s="18"/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X21" s="18"/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  <c r="AJ21" s="18"/>
    </row>
    <row r="22" spans="1:36" customFormat="1" x14ac:dyDescent="0.25">
      <c r="A22" s="10">
        <v>11</v>
      </c>
      <c r="B22" s="30">
        <v>45727</v>
      </c>
      <c r="C22" s="88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L22" s="18"/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X22" s="18"/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  <c r="AJ22" s="18"/>
    </row>
    <row r="23" spans="1:36" customFormat="1" x14ac:dyDescent="0.25">
      <c r="A23" s="10">
        <v>12</v>
      </c>
      <c r="B23" s="30">
        <v>45727</v>
      </c>
      <c r="C23" s="88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L23" s="18"/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X23" s="18"/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  <c r="AJ23" s="18"/>
    </row>
    <row r="24" spans="1:36" customFormat="1" x14ac:dyDescent="0.25">
      <c r="A24" s="10">
        <v>13</v>
      </c>
      <c r="B24" s="30">
        <v>45727</v>
      </c>
      <c r="C24" s="88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L24" s="18"/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X24" s="18"/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  <c r="AJ24" s="18"/>
    </row>
    <row r="25" spans="1:36" customFormat="1" x14ac:dyDescent="0.25">
      <c r="A25" s="10">
        <v>14</v>
      </c>
      <c r="B25" s="30">
        <v>45727</v>
      </c>
      <c r="C25" s="88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L25" s="18"/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X25" s="18"/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  <c r="AJ25" s="18"/>
    </row>
    <row r="26" spans="1:36" customFormat="1" x14ac:dyDescent="0.25">
      <c r="A26" s="10">
        <v>15</v>
      </c>
      <c r="B26" s="30">
        <v>45727</v>
      </c>
      <c r="C26" s="88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L26" s="18"/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X26" s="18"/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  <c r="AJ26" s="18"/>
    </row>
    <row r="27" spans="1:36" customFormat="1" x14ac:dyDescent="0.25">
      <c r="A27" s="10">
        <v>16</v>
      </c>
      <c r="B27" s="30">
        <v>45727</v>
      </c>
      <c r="C27" s="88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L27" s="18"/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X27" s="18"/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  <c r="AJ27" s="18"/>
    </row>
    <row r="28" spans="1:36" customFormat="1" x14ac:dyDescent="0.25">
      <c r="A28" s="10">
        <v>17</v>
      </c>
      <c r="B28" s="30">
        <v>45727</v>
      </c>
      <c r="C28" s="88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L28" s="18"/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X28" s="18"/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  <c r="AJ28" s="18"/>
    </row>
    <row r="29" spans="1:36" customFormat="1" x14ac:dyDescent="0.25">
      <c r="A29" s="10">
        <v>18</v>
      </c>
      <c r="B29" s="30">
        <v>45727</v>
      </c>
      <c r="C29" s="88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L29" s="18"/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X29" s="18"/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  <c r="AJ29" s="18"/>
    </row>
    <row r="30" spans="1:36" customFormat="1" x14ac:dyDescent="0.25">
      <c r="A30" s="10">
        <v>19</v>
      </c>
      <c r="B30" s="30">
        <v>45727</v>
      </c>
      <c r="C30" s="88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L30" s="18"/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X30" s="18"/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  <c r="AJ30" s="18"/>
    </row>
    <row r="31" spans="1:36" customFormat="1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L31" s="18"/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X31" s="18"/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  <c r="AJ31" s="18"/>
    </row>
    <row r="32" spans="1:36" customFormat="1" x14ac:dyDescent="0.25">
      <c r="A32" s="10">
        <v>21</v>
      </c>
      <c r="B32" s="30"/>
      <c r="C32" s="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L32" s="18"/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X32" s="18"/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  <c r="AJ32" s="18"/>
    </row>
    <row r="33" spans="1:36" customFormat="1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L33" s="18"/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X33" s="18"/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  <c r="AJ33" s="18"/>
    </row>
    <row r="34" spans="1:36" customFormat="1" x14ac:dyDescent="0.25">
      <c r="A34" s="10">
        <v>23</v>
      </c>
      <c r="B34" s="30"/>
      <c r="C34" s="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L34" s="18"/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X34" s="18"/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  <c r="AJ34" s="18"/>
    </row>
    <row r="35" spans="1:36" customFormat="1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L35" s="18"/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X35" s="18"/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  <c r="AJ35" s="18"/>
    </row>
    <row r="36" spans="1:36" customFormat="1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L36" s="18"/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X36" s="18"/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  <c r="AJ36" s="18"/>
    </row>
    <row r="37" spans="1:36" customFormat="1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L37" s="18"/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X37" s="18"/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  <c r="AJ37" s="18"/>
    </row>
    <row r="38" spans="1:36" customFormat="1" x14ac:dyDescent="0.25">
      <c r="A38" s="10">
        <v>27</v>
      </c>
      <c r="B38" s="30"/>
      <c r="C38" s="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L38" s="18"/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X38" s="18"/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  <c r="AJ38" s="18"/>
    </row>
    <row r="39" spans="1:36" customFormat="1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L39" s="18"/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X39" s="18"/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  <c r="AJ39" s="18"/>
    </row>
    <row r="40" spans="1:36" customFormat="1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L40" s="18"/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X40" s="18"/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  <c r="AJ40" s="18"/>
    </row>
    <row r="41" spans="1:36" customFormat="1" x14ac:dyDescent="0.25">
      <c r="A41" s="10">
        <v>30</v>
      </c>
      <c r="B41" s="30"/>
      <c r="C41" s="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L41" s="18"/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X41" s="18"/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  <c r="AJ41" s="18"/>
    </row>
    <row r="42" spans="1:36" customFormat="1" x14ac:dyDescent="0.25">
      <c r="A42" s="10">
        <v>31</v>
      </c>
      <c r="B42" s="30"/>
      <c r="C42" s="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L42" s="18"/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X42" s="18"/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  <c r="AJ42" s="18"/>
    </row>
    <row r="43" spans="1:36" customFormat="1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L43" s="18"/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X43" s="18"/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  <c r="AJ43" s="18"/>
    </row>
    <row r="44" spans="1:36" customFormat="1" x14ac:dyDescent="0.25">
      <c r="A44" s="10">
        <v>33</v>
      </c>
      <c r="B44" s="30"/>
      <c r="C44" s="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L44" s="18"/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X44" s="18"/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  <c r="AJ44" s="18"/>
    </row>
    <row r="45" spans="1:36" customFormat="1" x14ac:dyDescent="0.25">
      <c r="A45" s="10"/>
      <c r="B45" s="30"/>
      <c r="C45" s="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L45" s="18"/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X45" s="18"/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  <c r="AJ45" s="18"/>
    </row>
    <row r="46" spans="1:36" customFormat="1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L46" s="18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X46" s="18"/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  <c r="AJ46" s="18"/>
    </row>
    <row r="47" spans="1:36" customFormat="1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L47" s="18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X47" s="18"/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  <c r="AJ47" s="18"/>
    </row>
    <row r="48" spans="1:36" customFormat="1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L48" s="18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X48" s="18"/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  <c r="AJ48" s="18"/>
    </row>
    <row r="49" spans="1:52" customFormat="1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L49" s="18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X49" s="18"/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  <c r="AJ49" s="18"/>
    </row>
    <row r="50" spans="1:52" customFormat="1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L50" s="18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X50" s="18"/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  <c r="AJ50" s="18"/>
    </row>
    <row r="51" spans="1:52" customFormat="1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L51" s="18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X51" s="18"/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  <c r="AJ51" s="18"/>
    </row>
    <row r="52" spans="1:52" customFormat="1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L52" s="18"/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X52" s="18"/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  <c r="AJ52" s="18"/>
    </row>
    <row r="53" spans="1:52" customFormat="1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L53" s="18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X53" s="18"/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  <c r="AJ53" s="18"/>
    </row>
    <row r="54" spans="1:52" customFormat="1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L54" s="18"/>
      <c r="N54" s="57"/>
      <c r="O54" s="57"/>
      <c r="P54" s="36"/>
      <c r="Q54" s="36"/>
      <c r="R54" s="36"/>
      <c r="S54" s="36"/>
      <c r="T54" s="37"/>
      <c r="U54" s="37"/>
      <c r="V54" s="37"/>
      <c r="W54" s="37"/>
      <c r="X54" s="18"/>
      <c r="Z54" s="57"/>
      <c r="AA54" s="57"/>
      <c r="AB54" s="36"/>
      <c r="AC54" s="36"/>
      <c r="AD54" s="36"/>
      <c r="AE54" s="36"/>
      <c r="AF54" s="37"/>
      <c r="AG54" s="37"/>
      <c r="AH54" s="37"/>
      <c r="AI54" s="37"/>
      <c r="AJ54" s="18"/>
    </row>
    <row r="55" spans="1:52" customFormat="1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L55" s="18"/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X55" s="18"/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  <c r="AJ55" s="18"/>
    </row>
    <row r="56" spans="1:52" customForma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</row>
    <row r="57" spans="1:52" customFormat="1" x14ac:dyDescent="0.25">
      <c r="A57" t="s">
        <v>0</v>
      </c>
      <c r="B57" s="57"/>
      <c r="C57" s="57"/>
      <c r="D57" s="57"/>
      <c r="E57" s="57"/>
      <c r="F57" s="57"/>
      <c r="G57" s="57"/>
      <c r="L57" s="18"/>
      <c r="M57" t="s">
        <v>0</v>
      </c>
      <c r="N57" s="57"/>
      <c r="O57" s="57"/>
      <c r="P57" s="57"/>
      <c r="Q57" s="57"/>
      <c r="R57" s="57"/>
      <c r="S57" s="57"/>
      <c r="X57" s="18"/>
      <c r="Y57" t="s">
        <v>0</v>
      </c>
      <c r="Z57" s="57"/>
      <c r="AA57" s="57"/>
      <c r="AB57" s="57"/>
      <c r="AC57" s="57"/>
      <c r="AD57" s="57"/>
      <c r="AE57" s="57"/>
      <c r="AJ57" s="18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customFormat="1" x14ac:dyDescent="0.25">
      <c r="A58" t="s">
        <v>28</v>
      </c>
      <c r="B58" s="57"/>
      <c r="C58" s="57"/>
      <c r="D58" s="57"/>
      <c r="E58" s="57"/>
      <c r="F58" s="57"/>
      <c r="G58" s="57"/>
      <c r="L58" s="18"/>
      <c r="M58" t="s">
        <v>28</v>
      </c>
      <c r="N58" s="57"/>
      <c r="O58" s="57"/>
      <c r="P58" s="57"/>
      <c r="Q58" s="57"/>
      <c r="R58" s="57"/>
      <c r="S58" s="57"/>
      <c r="X58" s="18"/>
      <c r="Y58" t="s">
        <v>28</v>
      </c>
      <c r="Z58" s="57"/>
      <c r="AA58" s="57"/>
      <c r="AB58" s="57"/>
      <c r="AC58" s="57"/>
      <c r="AD58" s="57"/>
      <c r="AE58" s="57"/>
      <c r="AJ58" s="18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customFormat="1" x14ac:dyDescent="0.25">
      <c r="B59" s="57"/>
      <c r="C59" s="57"/>
      <c r="D59" s="57"/>
      <c r="E59" s="57"/>
      <c r="F59" s="57"/>
      <c r="G59" s="57"/>
      <c r="L59" s="18"/>
      <c r="N59" s="57"/>
      <c r="O59" s="57"/>
      <c r="P59" s="57"/>
      <c r="Q59" s="57"/>
      <c r="R59" s="57"/>
      <c r="S59" s="57"/>
      <c r="X59" s="18"/>
      <c r="Z59" s="57"/>
      <c r="AA59" s="57"/>
      <c r="AB59" s="57"/>
      <c r="AC59" s="57"/>
      <c r="AD59" s="57"/>
      <c r="AE59" s="57"/>
      <c r="AJ59" s="18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customFormat="1" x14ac:dyDescent="0.25">
      <c r="A60" s="4" t="s">
        <v>14</v>
      </c>
      <c r="B60" s="57"/>
      <c r="C60" s="57"/>
      <c r="D60" s="57"/>
      <c r="E60" s="57"/>
      <c r="F60" s="57"/>
      <c r="G60" s="57"/>
      <c r="L60" s="18"/>
      <c r="M60" s="4" t="s">
        <v>14</v>
      </c>
      <c r="N60" s="57"/>
      <c r="O60" s="57"/>
      <c r="P60" s="57"/>
      <c r="Q60" s="57"/>
      <c r="R60" s="57"/>
      <c r="S60" s="57"/>
      <c r="X60" s="18"/>
      <c r="Y60" s="4" t="s">
        <v>14</v>
      </c>
      <c r="Z60" s="57"/>
      <c r="AA60" s="57"/>
      <c r="AB60" s="57"/>
      <c r="AC60" s="57"/>
      <c r="AD60" s="57"/>
      <c r="AE60" s="57"/>
      <c r="AJ60" s="18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customFormat="1" x14ac:dyDescent="0.25">
      <c r="B61" s="57"/>
      <c r="C61" s="57"/>
      <c r="D61" s="57"/>
      <c r="E61" s="57"/>
      <c r="F61" s="57"/>
      <c r="G61" s="57"/>
      <c r="L61" s="18"/>
      <c r="N61" s="57"/>
      <c r="O61" s="57"/>
      <c r="P61" s="57"/>
      <c r="Q61" s="57"/>
      <c r="R61" s="57"/>
      <c r="S61" s="57"/>
      <c r="X61" s="18"/>
      <c r="Z61" s="57"/>
      <c r="AA61" s="57"/>
      <c r="AB61" s="57"/>
      <c r="AC61" s="57"/>
      <c r="AD61" s="57"/>
      <c r="AE61" s="57"/>
      <c r="AJ61" s="18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customFormat="1" ht="15.75" x14ac:dyDescent="0.25">
      <c r="A62" t="s">
        <v>40</v>
      </c>
      <c r="B62" s="57"/>
      <c r="C62" s="57"/>
      <c r="D62" s="57"/>
      <c r="E62" s="57"/>
      <c r="F62" s="57"/>
      <c r="G62" s="57"/>
      <c r="I62" s="57" t="s">
        <v>15</v>
      </c>
      <c r="J62" s="19">
        <v>2</v>
      </c>
      <c r="L62" s="18"/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X62" s="18"/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J62" s="18"/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customFormat="1" x14ac:dyDescent="0.25">
      <c r="A63" s="21" t="s">
        <v>41</v>
      </c>
      <c r="B63" s="20"/>
      <c r="C63" s="57"/>
      <c r="D63" s="57"/>
      <c r="E63" s="57"/>
      <c r="F63" s="57"/>
      <c r="G63" s="57"/>
      <c r="I63" s="22" t="s">
        <v>16</v>
      </c>
      <c r="J63" s="23" t="s">
        <v>42</v>
      </c>
      <c r="K63" s="24"/>
      <c r="L63" s="18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X63" s="18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J63" s="18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customFormat="1" x14ac:dyDescent="0.25">
      <c r="B64" s="57"/>
      <c r="C64" s="57"/>
      <c r="D64" s="57"/>
      <c r="E64" s="57"/>
      <c r="F64" s="57"/>
      <c r="G64" s="57"/>
      <c r="L64" s="18"/>
      <c r="N64" s="57"/>
      <c r="O64" s="57"/>
      <c r="P64" s="57"/>
      <c r="Q64" s="57"/>
      <c r="R64" s="57"/>
      <c r="S64" s="57"/>
      <c r="X64" s="18"/>
      <c r="Z64" s="57"/>
      <c r="AA64" s="57"/>
      <c r="AB64" s="57"/>
      <c r="AC64" s="57"/>
      <c r="AD64" s="57"/>
      <c r="AE64" s="57"/>
      <c r="AJ64" s="18"/>
      <c r="AK64" s="62"/>
      <c r="AL64" s="85"/>
      <c r="AM64" s="85"/>
      <c r="AN64" s="85"/>
      <c r="AO64" s="85"/>
      <c r="AP64" s="85"/>
      <c r="AQ64" s="62"/>
      <c r="AR64" s="82"/>
      <c r="AS64" s="82"/>
      <c r="AT64" s="62"/>
      <c r="AU64" s="62"/>
      <c r="AV64" s="62"/>
      <c r="AW64" s="62"/>
      <c r="AX64" s="62"/>
      <c r="AY64" s="62"/>
      <c r="AZ64" s="62"/>
    </row>
    <row r="65" spans="1:52" customFormat="1" x14ac:dyDescent="0.25">
      <c r="B65" s="25"/>
      <c r="C65" s="26"/>
      <c r="D65" s="121" t="s">
        <v>17</v>
      </c>
      <c r="E65" s="121"/>
      <c r="F65" s="89"/>
      <c r="G65" s="27"/>
      <c r="I65" s="124" t="s">
        <v>18</v>
      </c>
      <c r="J65" s="125"/>
      <c r="K65" s="122" t="s">
        <v>19</v>
      </c>
      <c r="L65" s="18"/>
      <c r="N65" s="25"/>
      <c r="O65" s="26"/>
      <c r="P65" s="121" t="s">
        <v>17</v>
      </c>
      <c r="Q65" s="121"/>
      <c r="R65" s="89"/>
      <c r="S65" s="27"/>
      <c r="U65" s="124" t="s">
        <v>18</v>
      </c>
      <c r="V65" s="125"/>
      <c r="W65" s="122" t="s">
        <v>19</v>
      </c>
      <c r="X65" s="18"/>
      <c r="Z65" s="25"/>
      <c r="AA65" s="26"/>
      <c r="AB65" s="121" t="s">
        <v>17</v>
      </c>
      <c r="AC65" s="121"/>
      <c r="AD65" s="89"/>
      <c r="AE65" s="27"/>
      <c r="AG65" s="124" t="s">
        <v>18</v>
      </c>
      <c r="AH65" s="125"/>
      <c r="AI65" s="122" t="s">
        <v>19</v>
      </c>
      <c r="AJ65" s="18"/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customFormat="1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23"/>
      <c r="L66" s="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23"/>
      <c r="X66" s="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3"/>
      <c r="AJ66" s="1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customFormat="1" x14ac:dyDescent="0.25">
      <c r="A67" s="10">
        <v>1</v>
      </c>
      <c r="B67" s="30">
        <v>45758</v>
      </c>
      <c r="C67" s="88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L67" s="18"/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X67" s="18"/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J67" s="18"/>
      <c r="AK67" s="62"/>
      <c r="AL67" s="65"/>
      <c r="AM67" s="85"/>
      <c r="AN67" s="127"/>
      <c r="AO67" s="127"/>
      <c r="AP67" s="85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customFormat="1" x14ac:dyDescent="0.25">
      <c r="A68" s="10">
        <v>2</v>
      </c>
      <c r="B68" s="30">
        <v>45758</v>
      </c>
      <c r="C68" s="88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L68" s="18"/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X68" s="18"/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J68" s="18"/>
      <c r="AK68" s="62"/>
      <c r="AL68" s="85"/>
      <c r="AM68" s="85"/>
      <c r="AN68" s="85"/>
      <c r="AO68" s="84"/>
      <c r="AP68" s="84"/>
      <c r="AQ68" s="62"/>
      <c r="AR68" s="83"/>
      <c r="AS68" s="83"/>
      <c r="AT68" s="126"/>
      <c r="AU68" s="62"/>
      <c r="AV68" s="62"/>
      <c r="AW68" s="62"/>
      <c r="AX68" s="62"/>
      <c r="AY68" s="62"/>
      <c r="AZ68" s="62"/>
    </row>
    <row r="69" spans="1:52" customFormat="1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L69" s="18"/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X69" s="18"/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J69" s="18"/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customFormat="1" x14ac:dyDescent="0.25">
      <c r="A70" s="10">
        <v>4</v>
      </c>
      <c r="B70" s="30"/>
      <c r="C70" s="88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L70" s="18"/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X70" s="18"/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J70" s="18"/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customFormat="1" x14ac:dyDescent="0.25">
      <c r="A71" s="10">
        <v>5</v>
      </c>
      <c r="B71" s="30"/>
      <c r="C71" s="88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L71" s="18"/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X71" s="18"/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J71" s="18"/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customFormat="1" x14ac:dyDescent="0.25">
      <c r="A72" s="10">
        <v>6</v>
      </c>
      <c r="B72" s="30"/>
      <c r="C72" s="88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L72" s="18"/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X72" s="18"/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J72" s="18"/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customFormat="1" x14ac:dyDescent="0.25">
      <c r="A73" s="10">
        <v>7</v>
      </c>
      <c r="B73" s="30"/>
      <c r="C73" s="88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L73" s="18"/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X73" s="18"/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J73" s="18"/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customFormat="1" x14ac:dyDescent="0.25">
      <c r="A74" s="10">
        <v>8</v>
      </c>
      <c r="B74" s="30"/>
      <c r="C74" s="88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L74" s="18"/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X74" s="18"/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J74" s="18"/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customFormat="1" x14ac:dyDescent="0.25">
      <c r="A75" s="10">
        <v>9</v>
      </c>
      <c r="B75" s="30"/>
      <c r="C75" s="88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L75" s="18"/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X75" s="18"/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J75" s="18"/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customFormat="1" x14ac:dyDescent="0.25">
      <c r="A76" s="10">
        <v>10</v>
      </c>
      <c r="B76" s="30"/>
      <c r="C76" s="88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L76" s="18"/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X76" s="18"/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J76" s="18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customFormat="1" x14ac:dyDescent="0.25">
      <c r="A77" s="10">
        <v>11</v>
      </c>
      <c r="B77" s="30"/>
      <c r="C77" s="88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L77" s="18"/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X77" s="18"/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J77" s="18"/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customFormat="1" x14ac:dyDescent="0.25">
      <c r="A78" s="10">
        <v>12</v>
      </c>
      <c r="B78" s="30"/>
      <c r="C78" s="88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L78" s="18"/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X78" s="18"/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J78" s="18"/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customFormat="1" x14ac:dyDescent="0.25">
      <c r="A79" s="10">
        <v>13</v>
      </c>
      <c r="B79" s="30"/>
      <c r="C79" s="88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L79" s="18"/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X79" s="18"/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J79" s="18"/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customFormat="1" x14ac:dyDescent="0.25">
      <c r="A80" s="10">
        <v>14</v>
      </c>
      <c r="B80" s="30"/>
      <c r="C80" s="88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L80" s="18"/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X80" s="18"/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J80" s="18"/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customFormat="1" x14ac:dyDescent="0.25">
      <c r="A81" s="10">
        <v>15</v>
      </c>
      <c r="B81" s="30"/>
      <c r="C81" s="88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L81" s="18"/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X81" s="18"/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J81" s="18"/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customFormat="1" x14ac:dyDescent="0.25">
      <c r="A82" s="10">
        <v>16</v>
      </c>
      <c r="B82" s="30"/>
      <c r="C82" s="88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L82" s="18"/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X82" s="18"/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J82" s="18"/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customFormat="1" x14ac:dyDescent="0.25">
      <c r="A83" s="10">
        <v>17</v>
      </c>
      <c r="B83" s="30"/>
      <c r="C83" s="88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L83" s="18"/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X83" s="18"/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J83" s="18"/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customFormat="1" x14ac:dyDescent="0.25">
      <c r="A84" s="10">
        <v>18</v>
      </c>
      <c r="B84" s="30"/>
      <c r="C84" s="88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L84" s="18"/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X84" s="18"/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J84" s="18"/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customFormat="1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L85" s="18"/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X85" s="18"/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J85" s="18"/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customFormat="1" x14ac:dyDescent="0.25">
      <c r="A86" s="10">
        <v>20</v>
      </c>
      <c r="B86" s="30"/>
      <c r="C86" s="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L86" s="18"/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X86" s="18"/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J86" s="18"/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customFormat="1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L87" s="18"/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X87" s="18"/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J87" s="18"/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customFormat="1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L88" s="18"/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X88" s="18"/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J88" s="18"/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customFormat="1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L89" s="18"/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X89" s="18"/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J89" s="18"/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customFormat="1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L90" s="18"/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X90" s="18"/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J90" s="18"/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customFormat="1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L91" s="18"/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X91" s="18"/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J91" s="18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customFormat="1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L92" s="18"/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X92" s="18"/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J92" s="18"/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customFormat="1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L93" s="18"/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X93" s="18"/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J93" s="18"/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customFormat="1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L94" s="18"/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X94" s="18"/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J94" s="18"/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customFormat="1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L95" s="18"/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X95" s="18"/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J95" s="18"/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customFormat="1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L96" s="18"/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X96" s="18"/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J96" s="18"/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customFormat="1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L97" s="18"/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X97" s="18"/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J97" s="18"/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customFormat="1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L98" s="18"/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X98" s="18"/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J98" s="18"/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customFormat="1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L99" s="18"/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X99" s="18"/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J99" s="18"/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customFormat="1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L100" s="18"/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X100" s="18"/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J100" s="18"/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customFormat="1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L101" s="18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X101" s="18"/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J101" s="18"/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customFormat="1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L102" s="18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X102" s="18"/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J102" s="18"/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customFormat="1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L103" s="18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X103" s="18"/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J103" s="18"/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customFormat="1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L104" s="18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X104" s="18"/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J104" s="18"/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customFormat="1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L105" s="18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X105" s="18"/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J105" s="18"/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customFormat="1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L106" s="18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X106" s="18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J106" s="18"/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customFormat="1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L107" s="18"/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X107" s="18"/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J107" s="18"/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customFormat="1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L108" s="18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X108" s="18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J108" s="18"/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customFormat="1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L109" s="18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X109" s="18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J109" s="18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customFormat="1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L110" s="18"/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X110" s="18"/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J110" s="18"/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customForma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customFormat="1" x14ac:dyDescent="0.25">
      <c r="A112" t="s">
        <v>0</v>
      </c>
      <c r="B112" s="57"/>
      <c r="C112" s="57"/>
      <c r="D112" s="57"/>
      <c r="E112" s="57"/>
      <c r="F112" s="57"/>
      <c r="G112" s="57"/>
      <c r="L112" s="18"/>
      <c r="M112" t="s">
        <v>0</v>
      </c>
      <c r="N112" s="57"/>
      <c r="O112" s="57"/>
      <c r="P112" s="57"/>
      <c r="Q112" s="57"/>
      <c r="R112" s="57"/>
      <c r="S112" s="57"/>
      <c r="X112" s="18"/>
      <c r="Y112" t="s">
        <v>0</v>
      </c>
      <c r="Z112" s="57"/>
      <c r="AA112" s="57"/>
      <c r="AB112" s="57"/>
      <c r="AC112" s="57"/>
      <c r="AD112" s="57"/>
      <c r="AE112" s="57"/>
      <c r="AJ112" s="18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customFormat="1" x14ac:dyDescent="0.25">
      <c r="A113" t="s">
        <v>28</v>
      </c>
      <c r="B113" s="57"/>
      <c r="C113" s="57"/>
      <c r="D113" s="57"/>
      <c r="E113" s="57"/>
      <c r="F113" s="57"/>
      <c r="G113" s="57"/>
      <c r="L113" s="18"/>
      <c r="M113" t="s">
        <v>28</v>
      </c>
      <c r="N113" s="57"/>
      <c r="O113" s="57"/>
      <c r="P113" s="57"/>
      <c r="Q113" s="57"/>
      <c r="R113" s="57"/>
      <c r="S113" s="57"/>
      <c r="X113" s="18"/>
      <c r="Y113" t="s">
        <v>28</v>
      </c>
      <c r="Z113" s="57"/>
      <c r="AA113" s="57"/>
      <c r="AB113" s="57"/>
      <c r="AC113" s="57"/>
      <c r="AD113" s="57"/>
      <c r="AE113" s="57"/>
      <c r="AJ113" s="18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customFormat="1" x14ac:dyDescent="0.25">
      <c r="B114" s="57"/>
      <c r="C114" s="57"/>
      <c r="D114" s="57"/>
      <c r="E114" s="57"/>
      <c r="F114" s="57"/>
      <c r="G114" s="57"/>
      <c r="L114" s="18"/>
      <c r="N114" s="57"/>
      <c r="O114" s="57"/>
      <c r="P114" s="57"/>
      <c r="Q114" s="57"/>
      <c r="R114" s="57"/>
      <c r="S114" s="57"/>
      <c r="X114" s="18"/>
      <c r="Z114" s="57"/>
      <c r="AA114" s="57"/>
      <c r="AB114" s="57"/>
      <c r="AC114" s="57"/>
      <c r="AD114" s="57"/>
      <c r="AE114" s="57"/>
      <c r="AJ114" s="18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customFormat="1" x14ac:dyDescent="0.25">
      <c r="A115" s="4" t="s">
        <v>14</v>
      </c>
      <c r="B115" s="57"/>
      <c r="C115" s="57"/>
      <c r="D115" s="57"/>
      <c r="E115" s="57"/>
      <c r="F115" s="57"/>
      <c r="G115" s="57"/>
      <c r="L115" s="18"/>
      <c r="M115" s="4" t="s">
        <v>14</v>
      </c>
      <c r="N115" s="57"/>
      <c r="O115" s="57"/>
      <c r="P115" s="57"/>
      <c r="Q115" s="57"/>
      <c r="R115" s="57"/>
      <c r="S115" s="57"/>
      <c r="X115" s="18"/>
      <c r="Y115" s="4" t="s">
        <v>14</v>
      </c>
      <c r="Z115" s="57"/>
      <c r="AA115" s="57"/>
      <c r="AB115" s="57"/>
      <c r="AC115" s="57"/>
      <c r="AD115" s="57"/>
      <c r="AE115" s="57"/>
      <c r="AJ115" s="18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customFormat="1" x14ac:dyDescent="0.25">
      <c r="B116" s="57"/>
      <c r="C116" s="57"/>
      <c r="D116" s="57"/>
      <c r="E116" s="57"/>
      <c r="F116" s="57"/>
      <c r="G116" s="57"/>
      <c r="L116" s="18"/>
      <c r="N116" s="57"/>
      <c r="O116" s="57"/>
      <c r="P116" s="57"/>
      <c r="Q116" s="57"/>
      <c r="R116" s="57"/>
      <c r="S116" s="57"/>
      <c r="X116" s="18"/>
      <c r="Z116" s="57"/>
      <c r="AA116" s="57"/>
      <c r="AB116" s="57"/>
      <c r="AC116" s="57"/>
      <c r="AD116" s="57"/>
      <c r="AE116" s="57"/>
      <c r="AJ116" s="18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customFormat="1" ht="15.75" x14ac:dyDescent="0.25">
      <c r="A117" t="s">
        <v>47</v>
      </c>
      <c r="B117" s="57"/>
      <c r="C117" s="57"/>
      <c r="D117" s="57"/>
      <c r="E117" s="57"/>
      <c r="F117" s="57"/>
      <c r="G117" s="57"/>
      <c r="I117" s="57" t="s">
        <v>15</v>
      </c>
      <c r="J117" s="19">
        <v>1</v>
      </c>
      <c r="L117" s="18"/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X117" s="18"/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J117" s="18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customFormat="1" x14ac:dyDescent="0.25">
      <c r="A118" s="21" t="s">
        <v>48</v>
      </c>
      <c r="B118" s="20"/>
      <c r="C118" s="57"/>
      <c r="D118" s="57"/>
      <c r="E118" s="57"/>
      <c r="F118" s="57"/>
      <c r="G118" s="57"/>
      <c r="I118" s="22" t="s">
        <v>16</v>
      </c>
      <c r="J118" s="23" t="s">
        <v>33</v>
      </c>
      <c r="K118" s="24"/>
      <c r="L118" s="18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X118" s="18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J118" s="18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customFormat="1" x14ac:dyDescent="0.25">
      <c r="B119" s="57"/>
      <c r="C119" s="57"/>
      <c r="D119" s="57"/>
      <c r="E119" s="57"/>
      <c r="F119" s="57"/>
      <c r="G119" s="57"/>
      <c r="L119" s="18"/>
      <c r="N119" s="57"/>
      <c r="O119" s="57"/>
      <c r="P119" s="57"/>
      <c r="Q119" s="57"/>
      <c r="R119" s="57"/>
      <c r="S119" s="57"/>
      <c r="X119" s="18"/>
      <c r="Z119" s="57"/>
      <c r="AA119" s="57"/>
      <c r="AB119" s="57"/>
      <c r="AC119" s="57"/>
      <c r="AD119" s="57"/>
      <c r="AE119" s="57"/>
      <c r="AJ119" s="18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customFormat="1" x14ac:dyDescent="0.25">
      <c r="B120" s="25"/>
      <c r="C120" s="26"/>
      <c r="D120" s="121" t="s">
        <v>17</v>
      </c>
      <c r="E120" s="121"/>
      <c r="F120" s="90"/>
      <c r="G120" s="27"/>
      <c r="I120" s="124" t="s">
        <v>18</v>
      </c>
      <c r="J120" s="125"/>
      <c r="K120" s="122" t="s">
        <v>19</v>
      </c>
      <c r="L120" s="18"/>
      <c r="N120" s="25"/>
      <c r="O120" s="26"/>
      <c r="P120" s="121" t="s">
        <v>17</v>
      </c>
      <c r="Q120" s="121"/>
      <c r="R120" s="90"/>
      <c r="S120" s="27"/>
      <c r="U120" s="124" t="s">
        <v>18</v>
      </c>
      <c r="V120" s="125"/>
      <c r="W120" s="122" t="s">
        <v>19</v>
      </c>
      <c r="X120" s="18"/>
      <c r="Z120" s="25"/>
      <c r="AA120" s="26"/>
      <c r="AB120" s="121" t="s">
        <v>17</v>
      </c>
      <c r="AC120" s="121"/>
      <c r="AD120" s="90"/>
      <c r="AE120" s="27"/>
      <c r="AG120" s="124" t="s">
        <v>18</v>
      </c>
      <c r="AH120" s="125"/>
      <c r="AI120" s="122" t="s">
        <v>19</v>
      </c>
      <c r="AJ120" s="18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customFormat="1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3"/>
      <c r="L121" s="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3"/>
      <c r="X121" s="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3"/>
      <c r="AJ121" s="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customFormat="1" x14ac:dyDescent="0.25">
      <c r="A122" s="10">
        <v>1</v>
      </c>
      <c r="B122" s="30">
        <v>45788</v>
      </c>
      <c r="C122" s="88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L122" s="18"/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X122" s="18"/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J122" s="18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customFormat="1" x14ac:dyDescent="0.25">
      <c r="A123" s="10">
        <v>2</v>
      </c>
      <c r="B123" s="30">
        <v>45788</v>
      </c>
      <c r="C123" s="88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L123" s="18"/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X123" s="18"/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J123" s="18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customFormat="1" x14ac:dyDescent="0.25">
      <c r="A124" s="10">
        <v>3</v>
      </c>
      <c r="B124" s="30">
        <v>45788</v>
      </c>
      <c r="C124" s="88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L124" s="18"/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X124" s="18"/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J124" s="18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customFormat="1" x14ac:dyDescent="0.25">
      <c r="A125" s="10">
        <v>4</v>
      </c>
      <c r="B125" s="30">
        <v>45788</v>
      </c>
      <c r="C125" s="88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L125" s="18"/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X125" s="18"/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J125" s="18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customFormat="1" x14ac:dyDescent="0.25">
      <c r="A126" s="10">
        <v>5</v>
      </c>
      <c r="B126" s="30">
        <v>45788</v>
      </c>
      <c r="C126" s="88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L126" s="18"/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X126" s="18"/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J126" s="18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customFormat="1" x14ac:dyDescent="0.25">
      <c r="A127" s="10">
        <v>6</v>
      </c>
      <c r="B127" s="30">
        <v>45788</v>
      </c>
      <c r="C127" s="88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L127" s="18"/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X127" s="18"/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J127" s="18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customFormat="1" x14ac:dyDescent="0.25">
      <c r="A128" s="10">
        <v>7</v>
      </c>
      <c r="B128" s="30">
        <v>45788</v>
      </c>
      <c r="C128" s="88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L128" s="18"/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X128" s="18"/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J128" s="18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customFormat="1" x14ac:dyDescent="0.25">
      <c r="A129" s="10">
        <v>8</v>
      </c>
      <c r="B129" s="30">
        <v>45788</v>
      </c>
      <c r="C129" s="88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L129" s="18"/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X129" s="18"/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J129" s="18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customFormat="1" x14ac:dyDescent="0.25">
      <c r="A130" s="10">
        <v>9</v>
      </c>
      <c r="B130" s="30">
        <v>45788</v>
      </c>
      <c r="C130" s="88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L130" s="18"/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X130" s="18"/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J130" s="18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customFormat="1" x14ac:dyDescent="0.25">
      <c r="A131" s="10">
        <v>10</v>
      </c>
      <c r="B131" s="30">
        <v>45788</v>
      </c>
      <c r="C131" s="88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L131" s="18"/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X131" s="18"/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J131" s="18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customFormat="1" x14ac:dyDescent="0.25">
      <c r="A132" s="10">
        <v>11</v>
      </c>
      <c r="B132" s="30">
        <v>45788</v>
      </c>
      <c r="C132" s="88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L132" s="18"/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X132" s="18"/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J132" s="18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customFormat="1" x14ac:dyDescent="0.25">
      <c r="A133" s="10">
        <v>12</v>
      </c>
      <c r="B133" s="30">
        <v>45788</v>
      </c>
      <c r="C133" s="88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L133" s="18"/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X133" s="18"/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J133" s="18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customFormat="1" x14ac:dyDescent="0.25">
      <c r="A134" s="10">
        <v>13</v>
      </c>
      <c r="B134" s="30">
        <v>45788</v>
      </c>
      <c r="C134" s="88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L134" s="18"/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X134" s="18"/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J134" s="18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customFormat="1" x14ac:dyDescent="0.25">
      <c r="A135" s="10">
        <v>14</v>
      </c>
      <c r="B135" s="30">
        <v>45788</v>
      </c>
      <c r="C135" s="88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L135" s="18"/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X135" s="18"/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J135" s="18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customFormat="1" x14ac:dyDescent="0.25">
      <c r="A136" s="10">
        <v>15</v>
      </c>
      <c r="B136" s="30">
        <v>45788</v>
      </c>
      <c r="C136" s="88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L136" s="18"/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X136" s="18"/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J136" s="18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customFormat="1" x14ac:dyDescent="0.25">
      <c r="A137" s="10">
        <v>16</v>
      </c>
      <c r="B137" s="30">
        <v>45788</v>
      </c>
      <c r="C137" s="88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L137" s="18"/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X137" s="18"/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J137" s="18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customFormat="1" x14ac:dyDescent="0.25">
      <c r="A138" s="10">
        <v>17</v>
      </c>
      <c r="B138" s="30">
        <v>45788</v>
      </c>
      <c r="C138" s="88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L138" s="18"/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X138" s="18"/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J138" s="18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customFormat="1" x14ac:dyDescent="0.25">
      <c r="A139" s="10">
        <v>18</v>
      </c>
      <c r="B139" s="30">
        <v>45788</v>
      </c>
      <c r="C139" s="88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L139" s="18"/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X139" s="18"/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J139" s="18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customFormat="1" x14ac:dyDescent="0.25">
      <c r="A140" s="10">
        <v>19</v>
      </c>
      <c r="B140" s="30">
        <v>45788</v>
      </c>
      <c r="C140" s="88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L140" s="18"/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X140" s="18"/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J140" s="18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customFormat="1" x14ac:dyDescent="0.25">
      <c r="A141" s="10">
        <v>20</v>
      </c>
      <c r="B141" s="30">
        <v>45788</v>
      </c>
      <c r="C141" s="88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L141" s="18"/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X141" s="18"/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J141" s="18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customFormat="1" x14ac:dyDescent="0.25">
      <c r="A142" s="10">
        <v>21</v>
      </c>
      <c r="B142" s="30">
        <v>45788</v>
      </c>
      <c r="C142" s="88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L142" s="18"/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X142" s="18"/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J142" s="18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customFormat="1" x14ac:dyDescent="0.25">
      <c r="A143" s="10">
        <v>22</v>
      </c>
      <c r="B143" s="30">
        <v>45788</v>
      </c>
      <c r="C143" s="88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L143" s="18"/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X143" s="18"/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J143" s="18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customFormat="1" x14ac:dyDescent="0.25">
      <c r="A144" s="10">
        <v>23</v>
      </c>
      <c r="B144" s="30">
        <v>45788</v>
      </c>
      <c r="C144" s="88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L144" s="18"/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X144" s="18"/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J144" s="18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customFormat="1" x14ac:dyDescent="0.25">
      <c r="A145" s="10">
        <v>24</v>
      </c>
      <c r="B145" s="30">
        <v>45788</v>
      </c>
      <c r="C145" s="88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L145" s="18"/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X145" s="18"/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J145" s="18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customFormat="1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L146" s="18"/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X146" s="18"/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J146" s="18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customFormat="1" x14ac:dyDescent="0.25">
      <c r="A147" s="10">
        <v>26</v>
      </c>
      <c r="B147" s="30"/>
      <c r="C147" s="88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L147" s="18"/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X147" s="18"/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J147" s="18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customFormat="1" x14ac:dyDescent="0.25">
      <c r="A148" s="10">
        <v>27</v>
      </c>
      <c r="B148" s="30"/>
      <c r="C148" s="88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L148" s="18"/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X148" s="18"/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J148" s="18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customFormat="1" x14ac:dyDescent="0.25">
      <c r="A149" s="10">
        <v>28</v>
      </c>
      <c r="B149" s="30"/>
      <c r="C149" s="88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L149" s="18"/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X149" s="18"/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J149" s="18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customFormat="1" x14ac:dyDescent="0.25">
      <c r="A150" s="10">
        <v>29</v>
      </c>
      <c r="B150" s="30"/>
      <c r="C150" s="88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L150" s="18"/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X150" s="18"/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J150" s="18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customFormat="1" x14ac:dyDescent="0.25">
      <c r="A151" s="10">
        <v>30</v>
      </c>
      <c r="B151" s="30"/>
      <c r="C151" s="88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L151" s="18"/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X151" s="18"/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J151" s="18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customFormat="1" x14ac:dyDescent="0.25">
      <c r="A152" s="10">
        <v>31</v>
      </c>
      <c r="B152" s="30"/>
      <c r="C152" s="88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L152" s="18"/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X152" s="18"/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J152" s="18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customFormat="1" x14ac:dyDescent="0.25">
      <c r="A153" s="10">
        <v>32</v>
      </c>
      <c r="B153" s="30"/>
      <c r="C153" s="88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L153" s="18"/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X153" s="18"/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J153" s="18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customFormat="1" x14ac:dyDescent="0.25">
      <c r="A154" s="10">
        <v>33</v>
      </c>
      <c r="B154" s="30"/>
      <c r="C154" s="88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L154" s="18"/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X154" s="18"/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J154" s="18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customFormat="1" x14ac:dyDescent="0.25">
      <c r="A155" s="10"/>
      <c r="B155" s="30"/>
      <c r="C155" s="88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L155" s="18"/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X155" s="18"/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J155" s="18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customFormat="1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L156" s="18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X156" s="18"/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J156" s="18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customFormat="1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L157" s="18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X157" s="18"/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J157" s="18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customFormat="1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L158" s="18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X158" s="18"/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J158" s="18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customFormat="1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L159" s="18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X159" s="18"/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J159" s="18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customFormat="1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L160" s="18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X160" s="18"/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J160" s="18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customFormat="1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L161" s="18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X161" s="18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J161" s="18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customFormat="1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L162" s="18"/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X162" s="18"/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J162" s="18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customFormat="1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L163" s="18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X163" s="18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J163" s="18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customFormat="1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L164" s="18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X164" s="18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J164" s="18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customFormat="1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L165" s="18"/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X165" s="18"/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J165" s="18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customForma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customFormat="1" x14ac:dyDescent="0.25">
      <c r="A167" t="s">
        <v>0</v>
      </c>
      <c r="B167" s="57"/>
      <c r="C167" s="57"/>
      <c r="D167" s="57"/>
      <c r="E167" s="57"/>
      <c r="F167" s="57"/>
      <c r="G167" s="57"/>
      <c r="L167" s="18"/>
      <c r="M167" t="s">
        <v>0</v>
      </c>
      <c r="N167" s="57"/>
      <c r="O167" s="57"/>
      <c r="P167" s="57"/>
      <c r="Q167" s="57"/>
      <c r="R167" s="57"/>
      <c r="S167" s="57"/>
      <c r="X167" s="18"/>
      <c r="Y167" t="s">
        <v>0</v>
      </c>
      <c r="Z167" s="57"/>
      <c r="AA167" s="57"/>
      <c r="AB167" s="57"/>
      <c r="AC167" s="57"/>
      <c r="AD167" s="57"/>
      <c r="AE167" s="57"/>
      <c r="AJ167" s="18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customFormat="1" x14ac:dyDescent="0.25">
      <c r="A168" t="s">
        <v>28</v>
      </c>
      <c r="B168" s="57"/>
      <c r="C168" s="57"/>
      <c r="D168" s="57"/>
      <c r="E168" s="57"/>
      <c r="F168" s="57"/>
      <c r="G168" s="57"/>
      <c r="L168" s="18"/>
      <c r="M168" t="s">
        <v>28</v>
      </c>
      <c r="N168" s="57"/>
      <c r="O168" s="57"/>
      <c r="P168" s="57"/>
      <c r="Q168" s="57"/>
      <c r="R168" s="57"/>
      <c r="S168" s="57"/>
      <c r="X168" s="18"/>
      <c r="Y168" t="s">
        <v>28</v>
      </c>
      <c r="Z168" s="57"/>
      <c r="AA168" s="57"/>
      <c r="AB168" s="57"/>
      <c r="AC168" s="57"/>
      <c r="AD168" s="57"/>
      <c r="AE168" s="57"/>
      <c r="AJ168" s="18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customFormat="1" x14ac:dyDescent="0.25">
      <c r="B169" s="57"/>
      <c r="C169" s="57"/>
      <c r="D169" s="57"/>
      <c r="E169" s="57"/>
      <c r="F169" s="57"/>
      <c r="G169" s="57"/>
      <c r="L169" s="18"/>
      <c r="N169" s="57"/>
      <c r="O169" s="57"/>
      <c r="P169" s="57"/>
      <c r="Q169" s="57"/>
      <c r="R169" s="57"/>
      <c r="S169" s="57"/>
      <c r="X169" s="18"/>
      <c r="Z169" s="57"/>
      <c r="AA169" s="57"/>
      <c r="AB169" s="57"/>
      <c r="AC169" s="57"/>
      <c r="AD169" s="57"/>
      <c r="AE169" s="57"/>
      <c r="AJ169" s="18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customFormat="1" x14ac:dyDescent="0.25">
      <c r="A170" s="4" t="s">
        <v>14</v>
      </c>
      <c r="B170" s="57"/>
      <c r="C170" s="57"/>
      <c r="D170" s="57"/>
      <c r="E170" s="57"/>
      <c r="F170" s="57"/>
      <c r="G170" s="57"/>
      <c r="L170" s="18"/>
      <c r="M170" s="4" t="s">
        <v>14</v>
      </c>
      <c r="N170" s="57"/>
      <c r="O170" s="57"/>
      <c r="P170" s="57"/>
      <c r="Q170" s="57"/>
      <c r="R170" s="57"/>
      <c r="S170" s="57"/>
      <c r="X170" s="18"/>
      <c r="Y170" s="4" t="s">
        <v>14</v>
      </c>
      <c r="Z170" s="57"/>
      <c r="AA170" s="57"/>
      <c r="AB170" s="57"/>
      <c r="AC170" s="57"/>
      <c r="AD170" s="57"/>
      <c r="AE170" s="57"/>
      <c r="AJ170" s="18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customFormat="1" x14ac:dyDescent="0.25">
      <c r="B171" s="57"/>
      <c r="C171" s="57"/>
      <c r="D171" s="57"/>
      <c r="E171" s="57"/>
      <c r="F171" s="57"/>
      <c r="G171" s="57"/>
      <c r="L171" s="18"/>
      <c r="N171" s="57"/>
      <c r="O171" s="57"/>
      <c r="P171" s="57"/>
      <c r="Q171" s="57"/>
      <c r="R171" s="57"/>
      <c r="S171" s="57"/>
      <c r="X171" s="18"/>
      <c r="Z171" s="57"/>
      <c r="AA171" s="57"/>
      <c r="AB171" s="57"/>
      <c r="AC171" s="57"/>
      <c r="AD171" s="57"/>
      <c r="AE171" s="57"/>
      <c r="AJ171" s="18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customFormat="1" ht="15.75" x14ac:dyDescent="0.25">
      <c r="A172" t="s">
        <v>50</v>
      </c>
      <c r="B172" s="57"/>
      <c r="C172" s="57"/>
      <c r="D172" s="57"/>
      <c r="E172" s="57"/>
      <c r="F172" s="57"/>
      <c r="G172" s="57"/>
      <c r="I172" s="57" t="s">
        <v>15</v>
      </c>
      <c r="J172" s="19">
        <v>1</v>
      </c>
      <c r="L172" s="18"/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X172" s="18"/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J172" s="18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customFormat="1" x14ac:dyDescent="0.25">
      <c r="A173" s="21" t="s">
        <v>51</v>
      </c>
      <c r="B173" s="20"/>
      <c r="C173" s="57"/>
      <c r="D173" s="57"/>
      <c r="E173" s="57"/>
      <c r="F173" s="57"/>
      <c r="G173" s="57"/>
      <c r="I173" s="22" t="s">
        <v>16</v>
      </c>
      <c r="J173" s="23" t="s">
        <v>33</v>
      </c>
      <c r="K173" s="24"/>
      <c r="L173" s="18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X173" s="18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J173" s="18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customFormat="1" x14ac:dyDescent="0.25">
      <c r="B174" s="57"/>
      <c r="C174" s="57"/>
      <c r="D174" s="57"/>
      <c r="E174" s="57"/>
      <c r="F174" s="57"/>
      <c r="G174" s="57"/>
      <c r="L174" s="18"/>
      <c r="N174" s="57"/>
      <c r="O174" s="57"/>
      <c r="P174" s="57"/>
      <c r="Q174" s="57"/>
      <c r="R174" s="57"/>
      <c r="S174" s="57"/>
      <c r="X174" s="18"/>
      <c r="Z174" s="57"/>
      <c r="AA174" s="57"/>
      <c r="AB174" s="57"/>
      <c r="AC174" s="57"/>
      <c r="AD174" s="57"/>
      <c r="AE174" s="57"/>
      <c r="AJ174" s="18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customFormat="1" ht="15" customHeight="1" x14ac:dyDescent="0.25">
      <c r="B175" s="25"/>
      <c r="C175" s="26"/>
      <c r="D175" s="121" t="s">
        <v>17</v>
      </c>
      <c r="E175" s="121"/>
      <c r="F175" s="91"/>
      <c r="G175" s="27"/>
      <c r="I175" s="124" t="s">
        <v>18</v>
      </c>
      <c r="J175" s="125"/>
      <c r="K175" s="122" t="s">
        <v>19</v>
      </c>
      <c r="L175" s="18"/>
      <c r="N175" s="25"/>
      <c r="O175" s="26"/>
      <c r="P175" s="121" t="s">
        <v>17</v>
      </c>
      <c r="Q175" s="121"/>
      <c r="R175" s="91"/>
      <c r="S175" s="27"/>
      <c r="U175" s="124" t="s">
        <v>18</v>
      </c>
      <c r="V175" s="125"/>
      <c r="W175" s="122" t="s">
        <v>19</v>
      </c>
      <c r="X175" s="18"/>
      <c r="Z175" s="25"/>
      <c r="AA175" s="26"/>
      <c r="AB175" s="121" t="s">
        <v>17</v>
      </c>
      <c r="AC175" s="121"/>
      <c r="AD175" s="91"/>
      <c r="AE175" s="27"/>
      <c r="AG175" s="124" t="s">
        <v>18</v>
      </c>
      <c r="AH175" s="125"/>
      <c r="AI175" s="122" t="s">
        <v>19</v>
      </c>
      <c r="AJ175" s="18"/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customFormat="1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3"/>
      <c r="L176" s="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3"/>
      <c r="X176" s="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3"/>
      <c r="AJ176" s="18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customFormat="1" x14ac:dyDescent="0.25">
      <c r="A177" s="10">
        <v>1</v>
      </c>
      <c r="B177" s="30">
        <v>45819</v>
      </c>
      <c r="C177" s="88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L177" s="18"/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X177" s="18"/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J177" s="18"/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customFormat="1" x14ac:dyDescent="0.25">
      <c r="A178" s="10">
        <v>2</v>
      </c>
      <c r="B178" s="30">
        <v>45819</v>
      </c>
      <c r="C178" s="88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L178" s="18"/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X178" s="18"/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J178" s="18"/>
      <c r="AK178" s="62"/>
      <c r="AL178" s="85"/>
      <c r="AM178" s="85"/>
      <c r="AN178" s="85"/>
      <c r="AO178" s="85"/>
      <c r="AP178" s="85"/>
      <c r="AQ178" s="62"/>
      <c r="AR178" s="82"/>
      <c r="AS178" s="82"/>
      <c r="AT178" s="62"/>
      <c r="AU178" s="62"/>
      <c r="AV178" s="62"/>
      <c r="AW178" s="62"/>
      <c r="AX178" s="62"/>
      <c r="AY178" s="62"/>
      <c r="AZ178" s="62"/>
    </row>
    <row r="179" spans="1:52" customFormat="1" x14ac:dyDescent="0.25">
      <c r="A179" s="10">
        <v>3</v>
      </c>
      <c r="B179" s="30">
        <v>45819</v>
      </c>
      <c r="C179" s="88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L179" s="18"/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X179" s="18"/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J179" s="18"/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customFormat="1" x14ac:dyDescent="0.25">
      <c r="A180" s="10">
        <v>4</v>
      </c>
      <c r="B180" s="30">
        <v>45819</v>
      </c>
      <c r="C180" s="88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L180" s="18"/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X180" s="18"/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J180" s="18"/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customFormat="1" x14ac:dyDescent="0.25">
      <c r="A181" s="10">
        <v>5</v>
      </c>
      <c r="B181" s="30">
        <v>45819</v>
      </c>
      <c r="C181" s="88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L181" s="18"/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X181" s="18"/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J181" s="18"/>
      <c r="AK181" s="62"/>
      <c r="AL181" s="65"/>
      <c r="AM181" s="85"/>
      <c r="AN181" s="127"/>
      <c r="AO181" s="127"/>
      <c r="AP181" s="85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customFormat="1" x14ac:dyDescent="0.25">
      <c r="A182" s="10">
        <v>6</v>
      </c>
      <c r="B182" s="30">
        <v>45819</v>
      </c>
      <c r="C182" s="88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L182" s="18"/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X182" s="18"/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J182" s="18"/>
      <c r="AK182" s="62"/>
      <c r="AL182" s="85"/>
      <c r="AM182" s="85"/>
      <c r="AN182" s="85"/>
      <c r="AO182" s="84"/>
      <c r="AP182" s="84"/>
      <c r="AQ182" s="62"/>
      <c r="AR182" s="83"/>
      <c r="AS182" s="83"/>
      <c r="AT182" s="126"/>
      <c r="AU182" s="62"/>
      <c r="AV182" s="62"/>
      <c r="AW182" s="62"/>
      <c r="AX182" s="62"/>
      <c r="AY182" s="62"/>
      <c r="AZ182" s="62"/>
    </row>
    <row r="183" spans="1:52" customFormat="1" x14ac:dyDescent="0.25">
      <c r="A183" s="10">
        <v>7</v>
      </c>
      <c r="B183" s="30">
        <v>45819</v>
      </c>
      <c r="C183" s="88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L183" s="18"/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X183" s="18"/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J183" s="18"/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customFormat="1" x14ac:dyDescent="0.25">
      <c r="A184" s="10">
        <v>8</v>
      </c>
      <c r="B184" s="30">
        <v>45819</v>
      </c>
      <c r="C184" s="88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L184" s="18"/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X184" s="18"/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J184" s="18"/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customFormat="1" x14ac:dyDescent="0.25">
      <c r="A185" s="10">
        <v>9</v>
      </c>
      <c r="B185" s="30">
        <v>45819</v>
      </c>
      <c r="C185" s="88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L185" s="18"/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X185" s="18"/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J185" s="18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customFormat="1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L186" s="18"/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X186" s="18"/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J186" s="18"/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customFormat="1" x14ac:dyDescent="0.25">
      <c r="A187" s="10">
        <v>11</v>
      </c>
      <c r="B187" s="30"/>
      <c r="C187" s="88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L187" s="18"/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X187" s="18"/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J187" s="18"/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customFormat="1" x14ac:dyDescent="0.25">
      <c r="A188" s="10">
        <v>12</v>
      </c>
      <c r="B188" s="30"/>
      <c r="C188" s="88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L188" s="18"/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X188" s="18"/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J188" s="18"/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customFormat="1" x14ac:dyDescent="0.25">
      <c r="A189" s="10">
        <v>13</v>
      </c>
      <c r="B189" s="30"/>
      <c r="C189" s="88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L189" s="18"/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X189" s="18"/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J189" s="18"/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customFormat="1" x14ac:dyDescent="0.25">
      <c r="A190" s="10">
        <v>14</v>
      </c>
      <c r="B190" s="30"/>
      <c r="C190" s="88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L190" s="18"/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X190" s="18"/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J190" s="18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customFormat="1" x14ac:dyDescent="0.25">
      <c r="A191" s="10">
        <v>15</v>
      </c>
      <c r="B191" s="30"/>
      <c r="C191" s="88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L191" s="18"/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X191" s="18"/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J191" s="18"/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customFormat="1" x14ac:dyDescent="0.25">
      <c r="A192" s="10">
        <v>16</v>
      </c>
      <c r="B192" s="30"/>
      <c r="C192" s="88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L192" s="18"/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X192" s="18"/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J192" s="18"/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customFormat="1" x14ac:dyDescent="0.25">
      <c r="A193" s="10">
        <v>17</v>
      </c>
      <c r="B193" s="30"/>
      <c r="C193" s="88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L193" s="18"/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X193" s="18"/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J193" s="18"/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customFormat="1" x14ac:dyDescent="0.25">
      <c r="A194" s="10">
        <v>18</v>
      </c>
      <c r="B194" s="30"/>
      <c r="C194" s="88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L194" s="18"/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X194" s="18"/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J194" s="18"/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customFormat="1" x14ac:dyDescent="0.25">
      <c r="A195" s="10">
        <v>19</v>
      </c>
      <c r="B195" s="30"/>
      <c r="C195" s="88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L195" s="18"/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X195" s="18"/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J195" s="18"/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customFormat="1" x14ac:dyDescent="0.25">
      <c r="A196" s="10">
        <v>20</v>
      </c>
      <c r="B196" s="30"/>
      <c r="C196" s="88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L196" s="18"/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X196" s="18"/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J196" s="18"/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customFormat="1" x14ac:dyDescent="0.25">
      <c r="A197" s="10">
        <v>21</v>
      </c>
      <c r="B197" s="30"/>
      <c r="C197" s="88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L197" s="18"/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X197" s="18"/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J197" s="18"/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customFormat="1" x14ac:dyDescent="0.25">
      <c r="A198" s="10">
        <v>22</v>
      </c>
      <c r="B198" s="30"/>
      <c r="C198" s="88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L198" s="18"/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X198" s="18"/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J198" s="18"/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customFormat="1" x14ac:dyDescent="0.25">
      <c r="A199" s="10">
        <v>23</v>
      </c>
      <c r="B199" s="30"/>
      <c r="C199" s="88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L199" s="18"/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X199" s="18"/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J199" s="18"/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customFormat="1" x14ac:dyDescent="0.25">
      <c r="A200" s="10">
        <v>24</v>
      </c>
      <c r="B200" s="30"/>
      <c r="C200" s="88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L200" s="18"/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X200" s="18"/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J200" s="18"/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customFormat="1" x14ac:dyDescent="0.25">
      <c r="A201" s="10">
        <v>25</v>
      </c>
      <c r="B201" s="30"/>
      <c r="C201" s="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L201" s="18"/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X201" s="18"/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J201" s="18"/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customFormat="1" x14ac:dyDescent="0.25">
      <c r="A202" s="10">
        <v>26</v>
      </c>
      <c r="B202" s="30"/>
      <c r="C202" s="88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L202" s="18"/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X202" s="18"/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J202" s="18"/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customFormat="1" x14ac:dyDescent="0.25">
      <c r="A203" s="10">
        <v>27</v>
      </c>
      <c r="B203" s="30"/>
      <c r="C203" s="88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L203" s="18"/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X203" s="18"/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J203" s="18"/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customFormat="1" x14ac:dyDescent="0.25">
      <c r="A204" s="10">
        <v>28</v>
      </c>
      <c r="B204" s="30"/>
      <c r="C204" s="88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L204" s="18"/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X204" s="18"/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J204" s="18"/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customFormat="1" x14ac:dyDescent="0.25">
      <c r="A205" s="10">
        <v>29</v>
      </c>
      <c r="B205" s="30"/>
      <c r="C205" s="88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L205" s="18"/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X205" s="18"/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J205" s="18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customFormat="1" x14ac:dyDescent="0.25">
      <c r="A206" s="10">
        <v>30</v>
      </c>
      <c r="B206" s="30"/>
      <c r="C206" s="88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L206" s="18"/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X206" s="18"/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J206" s="18"/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customFormat="1" x14ac:dyDescent="0.25">
      <c r="A207" s="10">
        <v>31</v>
      </c>
      <c r="B207" s="30"/>
      <c r="C207" s="88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L207" s="18"/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X207" s="18"/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J207" s="18"/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customFormat="1" x14ac:dyDescent="0.25">
      <c r="A208" s="10">
        <v>32</v>
      </c>
      <c r="B208" s="30"/>
      <c r="C208" s="88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L208" s="18"/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X208" s="18"/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J208" s="18"/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customFormat="1" x14ac:dyDescent="0.25">
      <c r="A209" s="10">
        <v>33</v>
      </c>
      <c r="B209" s="30"/>
      <c r="C209" s="88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L209" s="18"/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X209" s="18"/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J209" s="18"/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customFormat="1" x14ac:dyDescent="0.25">
      <c r="A210" s="10"/>
      <c r="B210" s="30"/>
      <c r="C210" s="88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L210" s="18"/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X210" s="18"/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J210" s="18"/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customFormat="1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L211" s="18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X211" s="18"/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J211" s="18"/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customFormat="1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L212" s="18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X212" s="18"/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J212" s="18"/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customFormat="1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L213" s="18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X213" s="18"/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J213" s="18"/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customFormat="1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L214" s="18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X214" s="18"/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J214" s="18"/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customFormat="1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L215" s="18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X215" s="18"/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J215" s="18"/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customFormat="1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L216" s="18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X216" s="18"/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J216" s="18"/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customFormat="1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L217" s="18"/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X217" s="18"/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J217" s="18"/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customFormat="1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L218" s="18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X218" s="18"/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J218" s="18"/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customFormat="1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L219" s="18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X219" s="18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J219" s="18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customFormat="1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L220" s="18"/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X220" s="18"/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J220" s="18"/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customForma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customFormat="1" x14ac:dyDescent="0.25">
      <c r="A222" t="s">
        <v>0</v>
      </c>
      <c r="B222" s="57"/>
      <c r="C222" s="57"/>
      <c r="D222" s="57"/>
      <c r="E222" s="57"/>
      <c r="F222" s="57"/>
      <c r="G222" s="57"/>
      <c r="L222" s="18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18"/>
      <c r="Y222" t="s">
        <v>0</v>
      </c>
      <c r="Z222" s="57"/>
      <c r="AA222" s="57"/>
      <c r="AB222" s="57"/>
      <c r="AC222" s="57"/>
      <c r="AD222" s="57"/>
      <c r="AE222" s="57"/>
      <c r="AJ222" s="18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customFormat="1" x14ac:dyDescent="0.25">
      <c r="A223" t="s">
        <v>28</v>
      </c>
      <c r="B223" s="57"/>
      <c r="C223" s="57"/>
      <c r="D223" s="57"/>
      <c r="E223" s="57"/>
      <c r="F223" s="57"/>
      <c r="G223" s="57"/>
      <c r="L223" s="18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18"/>
      <c r="Y223" t="s">
        <v>28</v>
      </c>
      <c r="Z223" s="57"/>
      <c r="AA223" s="57"/>
      <c r="AB223" s="57"/>
      <c r="AC223" s="57"/>
      <c r="AD223" s="57"/>
      <c r="AE223" s="57"/>
      <c r="AJ223" s="18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customFormat="1" x14ac:dyDescent="0.25">
      <c r="B224" s="57"/>
      <c r="C224" s="57"/>
      <c r="D224" s="57"/>
      <c r="E224" s="57"/>
      <c r="F224" s="57"/>
      <c r="G224" s="57"/>
      <c r="L224" s="18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18"/>
      <c r="Z224" s="57"/>
      <c r="AA224" s="57"/>
      <c r="AB224" s="57"/>
      <c r="AC224" s="57"/>
      <c r="AD224" s="57"/>
      <c r="AE224" s="57"/>
      <c r="AJ224" s="18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customFormat="1" x14ac:dyDescent="0.25">
      <c r="A225" s="4" t="s">
        <v>14</v>
      </c>
      <c r="B225" s="57"/>
      <c r="C225" s="57"/>
      <c r="D225" s="57"/>
      <c r="E225" s="57"/>
      <c r="F225" s="57"/>
      <c r="G225" s="57"/>
      <c r="L225" s="18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18"/>
      <c r="Y225" s="4" t="s">
        <v>14</v>
      </c>
      <c r="Z225" s="57"/>
      <c r="AA225" s="57"/>
      <c r="AB225" s="57"/>
      <c r="AC225" s="57"/>
      <c r="AD225" s="57"/>
      <c r="AE225" s="57"/>
      <c r="AJ225" s="18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customFormat="1" x14ac:dyDescent="0.25">
      <c r="B226" s="57"/>
      <c r="C226" s="57"/>
      <c r="D226" s="57"/>
      <c r="E226" s="57"/>
      <c r="F226" s="57"/>
      <c r="G226" s="57"/>
      <c r="L226" s="18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18"/>
      <c r="Z226" s="57"/>
      <c r="AA226" s="57"/>
      <c r="AB226" s="57"/>
      <c r="AC226" s="57"/>
      <c r="AD226" s="57"/>
      <c r="AE226" s="57"/>
      <c r="AJ226" s="18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customFormat="1" ht="15.75" x14ac:dyDescent="0.25">
      <c r="A227" t="s">
        <v>52</v>
      </c>
      <c r="B227" s="57"/>
      <c r="C227" s="57"/>
      <c r="D227" s="57"/>
      <c r="E227" s="57"/>
      <c r="F227" s="57"/>
      <c r="G227" s="57"/>
      <c r="I227" s="57" t="s">
        <v>15</v>
      </c>
      <c r="J227" s="19">
        <v>1</v>
      </c>
      <c r="L227" s="18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18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J227" s="18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customFormat="1" x14ac:dyDescent="0.25">
      <c r="A228" s="21" t="s">
        <v>53</v>
      </c>
      <c r="B228" s="20"/>
      <c r="C228" s="57"/>
      <c r="D228" s="57"/>
      <c r="E228" s="57"/>
      <c r="F228" s="57"/>
      <c r="G228" s="57"/>
      <c r="I228" s="22" t="s">
        <v>16</v>
      </c>
      <c r="J228" s="23" t="s">
        <v>33</v>
      </c>
      <c r="K228" s="24"/>
      <c r="L228" s="18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18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J228" s="18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customFormat="1" x14ac:dyDescent="0.25">
      <c r="B229" s="57"/>
      <c r="C229" s="57"/>
      <c r="D229" s="57"/>
      <c r="E229" s="57"/>
      <c r="F229" s="57"/>
      <c r="G229" s="57"/>
      <c r="L229" s="18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18"/>
      <c r="Z229" s="57"/>
      <c r="AA229" s="57"/>
      <c r="AB229" s="57"/>
      <c r="AC229" s="57"/>
      <c r="AD229" s="57"/>
      <c r="AE229" s="57"/>
      <c r="AJ229" s="18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customFormat="1" x14ac:dyDescent="0.25">
      <c r="B230" s="25"/>
      <c r="C230" s="26"/>
      <c r="D230" s="121" t="s">
        <v>17</v>
      </c>
      <c r="E230" s="121"/>
      <c r="F230" s="92"/>
      <c r="G230" s="27"/>
      <c r="I230" s="124" t="s">
        <v>18</v>
      </c>
      <c r="J230" s="125"/>
      <c r="K230" s="122" t="s">
        <v>19</v>
      </c>
      <c r="L230" s="18"/>
      <c r="M230" s="62"/>
      <c r="N230" s="65"/>
      <c r="O230" s="87"/>
      <c r="P230" s="127"/>
      <c r="Q230" s="127"/>
      <c r="R230" s="87"/>
      <c r="S230" s="87"/>
      <c r="T230" s="62"/>
      <c r="U230" s="127"/>
      <c r="V230" s="127"/>
      <c r="W230" s="126"/>
      <c r="X230" s="18"/>
      <c r="Z230" s="25"/>
      <c r="AA230" s="26"/>
      <c r="AB230" s="121" t="s">
        <v>17</v>
      </c>
      <c r="AC230" s="121"/>
      <c r="AD230" s="92"/>
      <c r="AE230" s="27"/>
      <c r="AG230" s="124" t="s">
        <v>18</v>
      </c>
      <c r="AH230" s="125"/>
      <c r="AI230" s="122" t="s">
        <v>19</v>
      </c>
      <c r="AJ230" s="18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customFormat="1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3"/>
      <c r="L231" s="18"/>
      <c r="M231" s="62"/>
      <c r="N231" s="87"/>
      <c r="O231" s="87"/>
      <c r="P231" s="79"/>
      <c r="Q231" s="81"/>
      <c r="R231" s="81"/>
      <c r="S231" s="81"/>
      <c r="T231" s="62"/>
      <c r="U231" s="86"/>
      <c r="V231" s="86"/>
      <c r="W231" s="126"/>
      <c r="X231" s="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3"/>
      <c r="AJ231" s="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customFormat="1" x14ac:dyDescent="0.25">
      <c r="A232" s="10">
        <v>1</v>
      </c>
      <c r="B232" s="30">
        <v>45849</v>
      </c>
      <c r="C232" s="88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L232" s="18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18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J232" s="18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customFormat="1" x14ac:dyDescent="0.25">
      <c r="A233" s="10">
        <v>2</v>
      </c>
      <c r="B233" s="30">
        <v>45849</v>
      </c>
      <c r="C233" s="88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L233" s="18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18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J233" s="18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customFormat="1" x14ac:dyDescent="0.25">
      <c r="A234" s="10">
        <v>3</v>
      </c>
      <c r="B234" s="30">
        <v>45849</v>
      </c>
      <c r="C234" s="88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L234" s="18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18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J234" s="18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customFormat="1" x14ac:dyDescent="0.25">
      <c r="A235" s="10">
        <v>4</v>
      </c>
      <c r="B235" s="30">
        <v>45849</v>
      </c>
      <c r="C235" s="88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L235" s="18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18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J235" s="18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customFormat="1" x14ac:dyDescent="0.25">
      <c r="A236" s="10">
        <v>5</v>
      </c>
      <c r="B236" s="30">
        <v>45849</v>
      </c>
      <c r="C236" s="88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L236" s="18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18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J236" s="18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customFormat="1" x14ac:dyDescent="0.25">
      <c r="A237" s="10">
        <v>6</v>
      </c>
      <c r="B237" s="30">
        <v>45849</v>
      </c>
      <c r="C237" s="88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L237" s="18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18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J237" s="18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customFormat="1" x14ac:dyDescent="0.25">
      <c r="A238" s="10">
        <v>7</v>
      </c>
      <c r="B238" s="30">
        <v>45849</v>
      </c>
      <c r="C238" s="88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L238" s="18"/>
      <c r="M238" s="62"/>
      <c r="N238" s="66"/>
      <c r="O238" s="87"/>
      <c r="P238" s="60"/>
      <c r="Q238" s="60"/>
      <c r="R238" s="60"/>
      <c r="S238" s="60"/>
      <c r="T238" s="61"/>
      <c r="U238" s="61"/>
      <c r="V238" s="61"/>
      <c r="W238" s="61"/>
      <c r="X238" s="18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J238" s="18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customFormat="1" x14ac:dyDescent="0.25">
      <c r="A239" s="10">
        <v>8</v>
      </c>
      <c r="B239" s="30">
        <v>45849</v>
      </c>
      <c r="C239" s="88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L239" s="18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18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J239" s="18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customFormat="1" x14ac:dyDescent="0.25">
      <c r="A240" s="10">
        <v>9</v>
      </c>
      <c r="B240" s="30">
        <v>45849</v>
      </c>
      <c r="C240" s="88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L240" s="18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18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J240" s="18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customFormat="1" x14ac:dyDescent="0.25">
      <c r="A241" s="10">
        <v>10</v>
      </c>
      <c r="B241" s="30">
        <v>45849</v>
      </c>
      <c r="C241" s="88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L241" s="18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18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J241" s="18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customFormat="1" x14ac:dyDescent="0.25">
      <c r="A242" s="10">
        <v>11</v>
      </c>
      <c r="B242" s="30">
        <v>45849</v>
      </c>
      <c r="C242" s="88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L242" s="18"/>
      <c r="M242" s="62"/>
      <c r="N242" s="66"/>
      <c r="O242" s="87"/>
      <c r="P242" s="60"/>
      <c r="Q242" s="60"/>
      <c r="R242" s="60"/>
      <c r="S242" s="60"/>
      <c r="T242" s="61"/>
      <c r="U242" s="61"/>
      <c r="V242" s="61"/>
      <c r="W242" s="61"/>
      <c r="X242" s="18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J242" s="18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customFormat="1" x14ac:dyDescent="0.25">
      <c r="A243" s="10">
        <v>12</v>
      </c>
      <c r="B243" s="30">
        <v>45849</v>
      </c>
      <c r="C243" s="88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L243" s="18"/>
      <c r="M243" s="62"/>
      <c r="N243" s="66"/>
      <c r="O243" s="87"/>
      <c r="P243" s="60"/>
      <c r="Q243" s="60"/>
      <c r="R243" s="60"/>
      <c r="S243" s="60"/>
      <c r="T243" s="61"/>
      <c r="U243" s="61"/>
      <c r="V243" s="61"/>
      <c r="W243" s="61"/>
      <c r="X243" s="18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J243" s="18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customFormat="1" x14ac:dyDescent="0.25">
      <c r="A244" s="10">
        <v>13</v>
      </c>
      <c r="B244" s="30">
        <v>45849</v>
      </c>
      <c r="C244" s="88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L244" s="18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18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J244" s="18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customFormat="1" x14ac:dyDescent="0.25">
      <c r="A245" s="10">
        <v>14</v>
      </c>
      <c r="B245" s="30">
        <v>45849</v>
      </c>
      <c r="C245" s="88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L245" s="18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18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J245" s="18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customFormat="1" x14ac:dyDescent="0.25">
      <c r="A246" s="10">
        <v>15</v>
      </c>
      <c r="B246" s="30">
        <v>45849</v>
      </c>
      <c r="C246" s="88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L246" s="18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18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J246" s="18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customFormat="1" x14ac:dyDescent="0.25">
      <c r="A247" s="10">
        <v>16</v>
      </c>
      <c r="B247" s="30">
        <v>45849</v>
      </c>
      <c r="C247" s="88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L247" s="18"/>
      <c r="M247" s="62"/>
      <c r="N247" s="66"/>
      <c r="O247" s="87"/>
      <c r="P247" s="60"/>
      <c r="Q247" s="60"/>
      <c r="R247" s="60"/>
      <c r="S247" s="60"/>
      <c r="T247" s="61"/>
      <c r="U247" s="61"/>
      <c r="V247" s="61"/>
      <c r="W247" s="61"/>
      <c r="X247" s="18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J247" s="18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customFormat="1" x14ac:dyDescent="0.25">
      <c r="A248" s="10">
        <v>17</v>
      </c>
      <c r="B248" s="30">
        <v>45849</v>
      </c>
      <c r="C248" s="88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L248" s="18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18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J248" s="18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customFormat="1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L249" s="18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18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J249" s="18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customFormat="1" x14ac:dyDescent="0.25">
      <c r="A250" s="10">
        <v>19</v>
      </c>
      <c r="B250" s="30"/>
      <c r="C250" s="88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L250" s="18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18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J250" s="18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customFormat="1" x14ac:dyDescent="0.25">
      <c r="A251" s="10">
        <v>20</v>
      </c>
      <c r="B251" s="30"/>
      <c r="C251" s="88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L251" s="18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18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J251" s="18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customFormat="1" x14ac:dyDescent="0.25">
      <c r="A252" s="10">
        <v>21</v>
      </c>
      <c r="B252" s="30"/>
      <c r="C252" s="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L252" s="18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18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J252" s="18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customFormat="1" x14ac:dyDescent="0.25">
      <c r="A253" s="10">
        <v>22</v>
      </c>
      <c r="B253" s="30"/>
      <c r="C253" s="88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L253" s="18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18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J253" s="18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customFormat="1" x14ac:dyDescent="0.25">
      <c r="A254" s="10">
        <v>23</v>
      </c>
      <c r="B254" s="30"/>
      <c r="C254" s="88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L254" s="18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18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J254" s="18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customFormat="1" x14ac:dyDescent="0.25">
      <c r="A255" s="10">
        <v>24</v>
      </c>
      <c r="B255" s="30"/>
      <c r="C255" s="88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L255" s="18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18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J255" s="18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customFormat="1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L256" s="18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18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J256" s="18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customFormat="1" x14ac:dyDescent="0.25">
      <c r="A257" s="10">
        <v>26</v>
      </c>
      <c r="B257" s="30"/>
      <c r="C257" s="88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L257" s="18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18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J257" s="18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customFormat="1" x14ac:dyDescent="0.25">
      <c r="A258" s="10">
        <v>27</v>
      </c>
      <c r="B258" s="30"/>
      <c r="C258" s="88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L258" s="18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18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J258" s="18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customFormat="1" x14ac:dyDescent="0.25">
      <c r="A259" s="10">
        <v>28</v>
      </c>
      <c r="B259" s="30"/>
      <c r="C259" s="88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L259" s="18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18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J259" s="18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customFormat="1" x14ac:dyDescent="0.25">
      <c r="A260" s="10">
        <v>29</v>
      </c>
      <c r="B260" s="30"/>
      <c r="C260" s="88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L260" s="18"/>
      <c r="M260" s="62"/>
      <c r="N260" s="66"/>
      <c r="O260" s="62"/>
      <c r="P260" s="69"/>
      <c r="Q260" s="87"/>
      <c r="R260" s="87"/>
      <c r="S260" s="60"/>
      <c r="T260" s="62"/>
      <c r="U260" s="62"/>
      <c r="V260" s="62"/>
      <c r="W260" s="61"/>
      <c r="X260" s="18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J260" s="18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customFormat="1" x14ac:dyDescent="0.25">
      <c r="A261" s="10">
        <v>30</v>
      </c>
      <c r="B261" s="30"/>
      <c r="C261" s="88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L261" s="18"/>
      <c r="M261" s="62"/>
      <c r="N261" s="66"/>
      <c r="O261" s="62"/>
      <c r="P261" s="69"/>
      <c r="Q261" s="87"/>
      <c r="R261" s="87"/>
      <c r="S261" s="60"/>
      <c r="T261" s="62"/>
      <c r="U261" s="62"/>
      <c r="V261" s="62"/>
      <c r="W261" s="61"/>
      <c r="X261" s="18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J261" s="18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customFormat="1" x14ac:dyDescent="0.25">
      <c r="A262" s="10">
        <v>31</v>
      </c>
      <c r="B262" s="30"/>
      <c r="C262" s="88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L262" s="18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18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J262" s="18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customFormat="1" x14ac:dyDescent="0.25">
      <c r="A263" s="10">
        <v>32</v>
      </c>
      <c r="B263" s="30"/>
      <c r="C263" s="88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L263" s="18"/>
      <c r="M263" s="62"/>
      <c r="N263" s="66"/>
      <c r="O263" s="62"/>
      <c r="P263" s="69"/>
      <c r="Q263" s="87"/>
      <c r="R263" s="87"/>
      <c r="S263" s="60"/>
      <c r="T263" s="62"/>
      <c r="U263" s="62"/>
      <c r="V263" s="62"/>
      <c r="W263" s="61"/>
      <c r="X263" s="18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J263" s="18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customFormat="1" x14ac:dyDescent="0.25">
      <c r="A264" s="10">
        <v>33</v>
      </c>
      <c r="B264" s="30"/>
      <c r="C264" s="88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L264" s="18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18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J264" s="18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customFormat="1" x14ac:dyDescent="0.25">
      <c r="A265" s="10"/>
      <c r="B265" s="30"/>
      <c r="C265" s="88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L265" s="18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18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J265" s="18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customFormat="1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L266" s="18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18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J266" s="18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customFormat="1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L267" s="18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18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J267" s="18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customFormat="1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L268" s="18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18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J268" s="18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customFormat="1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L269" s="18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18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J269" s="18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customFormat="1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L270" s="18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18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J270" s="18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customFormat="1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L271" s="18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18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J271" s="18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customFormat="1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L272" s="18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18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J272" s="18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customFormat="1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L273" s="18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18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J273" s="18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customFormat="1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L274" s="18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18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J274" s="18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customFormat="1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L275" s="18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18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J275" s="18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customForma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customFormat="1" x14ac:dyDescent="0.25">
      <c r="A277" t="s">
        <v>0</v>
      </c>
      <c r="B277" s="57"/>
      <c r="C277" s="57"/>
      <c r="D277" s="57"/>
      <c r="E277" s="57"/>
      <c r="F277" s="57"/>
      <c r="G277" s="57"/>
      <c r="L277" s="18"/>
      <c r="M277" t="s">
        <v>0</v>
      </c>
      <c r="N277" s="57"/>
      <c r="O277" s="57"/>
      <c r="P277" s="57"/>
      <c r="Q277" s="57"/>
      <c r="R277" s="57"/>
      <c r="S277" s="57"/>
      <c r="X277" s="18"/>
      <c r="Y277" t="s">
        <v>0</v>
      </c>
      <c r="Z277" s="57"/>
      <c r="AA277" s="57"/>
      <c r="AB277" s="57"/>
      <c r="AC277" s="57"/>
      <c r="AD277" s="57"/>
      <c r="AE277" s="57"/>
      <c r="AJ277" s="18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customFormat="1" x14ac:dyDescent="0.25">
      <c r="A278" t="s">
        <v>28</v>
      </c>
      <c r="B278" s="57"/>
      <c r="C278" s="57"/>
      <c r="D278" s="57"/>
      <c r="E278" s="57"/>
      <c r="F278" s="57"/>
      <c r="G278" s="57"/>
      <c r="L278" s="18"/>
      <c r="M278" t="s">
        <v>28</v>
      </c>
      <c r="N278" s="57"/>
      <c r="O278" s="57"/>
      <c r="P278" s="57"/>
      <c r="Q278" s="57"/>
      <c r="R278" s="57"/>
      <c r="S278" s="57"/>
      <c r="X278" s="18"/>
      <c r="Y278" t="s">
        <v>28</v>
      </c>
      <c r="Z278" s="57"/>
      <c r="AA278" s="57"/>
      <c r="AB278" s="57"/>
      <c r="AC278" s="57"/>
      <c r="AD278" s="57"/>
      <c r="AE278" s="57"/>
      <c r="AJ278" s="18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customFormat="1" x14ac:dyDescent="0.25">
      <c r="B279" s="57"/>
      <c r="C279" s="57"/>
      <c r="D279" s="57"/>
      <c r="E279" s="57"/>
      <c r="F279" s="57"/>
      <c r="G279" s="57"/>
      <c r="L279" s="18"/>
      <c r="N279" s="57"/>
      <c r="O279" s="57"/>
      <c r="P279" s="57"/>
      <c r="Q279" s="57"/>
      <c r="R279" s="57"/>
      <c r="S279" s="57"/>
      <c r="X279" s="18"/>
      <c r="Z279" s="57"/>
      <c r="AA279" s="57"/>
      <c r="AB279" s="57"/>
      <c r="AC279" s="57"/>
      <c r="AD279" s="57"/>
      <c r="AE279" s="57"/>
      <c r="AJ279" s="18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customFormat="1" x14ac:dyDescent="0.25">
      <c r="A280" s="4" t="s">
        <v>14</v>
      </c>
      <c r="B280" s="57"/>
      <c r="C280" s="57"/>
      <c r="D280" s="57"/>
      <c r="E280" s="57"/>
      <c r="F280" s="57"/>
      <c r="G280" s="57"/>
      <c r="L280" s="18"/>
      <c r="M280" s="4" t="s">
        <v>14</v>
      </c>
      <c r="N280" s="57"/>
      <c r="O280" s="57"/>
      <c r="P280" s="57"/>
      <c r="Q280" s="57"/>
      <c r="R280" s="57"/>
      <c r="S280" s="57"/>
      <c r="X280" s="18"/>
      <c r="Y280" s="4" t="s">
        <v>14</v>
      </c>
      <c r="Z280" s="57"/>
      <c r="AA280" s="57"/>
      <c r="AB280" s="57"/>
      <c r="AC280" s="57"/>
      <c r="AD280" s="57"/>
      <c r="AE280" s="57"/>
      <c r="AJ280" s="18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customFormat="1" x14ac:dyDescent="0.25">
      <c r="B281" s="57"/>
      <c r="C281" s="57"/>
      <c r="D281" s="57"/>
      <c r="E281" s="57"/>
      <c r="F281" s="57"/>
      <c r="G281" s="57"/>
      <c r="L281" s="18"/>
      <c r="N281" s="57"/>
      <c r="O281" s="57"/>
      <c r="P281" s="57"/>
      <c r="Q281" s="57"/>
      <c r="R281" s="57"/>
      <c r="S281" s="57"/>
      <c r="X281" s="18"/>
      <c r="Z281" s="57"/>
      <c r="AA281" s="57"/>
      <c r="AB281" s="57"/>
      <c r="AC281" s="57"/>
      <c r="AD281" s="57"/>
      <c r="AE281" s="57"/>
      <c r="AJ281" s="18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customFormat="1" ht="15.75" x14ac:dyDescent="0.25">
      <c r="A282" t="s">
        <v>34</v>
      </c>
      <c r="B282" s="57"/>
      <c r="C282" s="57"/>
      <c r="D282" s="57"/>
      <c r="E282" s="57"/>
      <c r="F282" s="57"/>
      <c r="G282" s="57"/>
      <c r="I282" s="57" t="s">
        <v>15</v>
      </c>
      <c r="J282" s="19">
        <v>1</v>
      </c>
      <c r="L282" s="18"/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X282" s="18"/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J282" s="18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customFormat="1" x14ac:dyDescent="0.25">
      <c r="A283" s="21" t="s">
        <v>56</v>
      </c>
      <c r="B283" s="20"/>
      <c r="C283" s="57"/>
      <c r="D283" s="57"/>
      <c r="E283" s="57"/>
      <c r="F283" s="57"/>
      <c r="G283" s="57"/>
      <c r="I283" s="22" t="s">
        <v>16</v>
      </c>
      <c r="J283" s="23" t="s">
        <v>33</v>
      </c>
      <c r="K283" s="24"/>
      <c r="L283" s="18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X283" s="18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J283" s="18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customFormat="1" x14ac:dyDescent="0.25">
      <c r="B284" s="57"/>
      <c r="C284" s="57"/>
      <c r="D284" s="57"/>
      <c r="E284" s="57"/>
      <c r="F284" s="57"/>
      <c r="G284" s="57"/>
      <c r="L284" s="18"/>
      <c r="N284" s="57"/>
      <c r="O284" s="57"/>
      <c r="P284" s="57"/>
      <c r="Q284" s="57"/>
      <c r="R284" s="57"/>
      <c r="S284" s="57"/>
      <c r="X284" s="18"/>
      <c r="Z284" s="57"/>
      <c r="AA284" s="57"/>
      <c r="AB284" s="57"/>
      <c r="AC284" s="57"/>
      <c r="AD284" s="57"/>
      <c r="AE284" s="57"/>
      <c r="AJ284" s="18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customFormat="1" ht="15" customHeight="1" x14ac:dyDescent="0.25">
      <c r="B285" s="25"/>
      <c r="C285" s="26"/>
      <c r="D285" s="121" t="s">
        <v>17</v>
      </c>
      <c r="E285" s="121"/>
      <c r="F285" s="93"/>
      <c r="G285" s="27"/>
      <c r="I285" s="124" t="s">
        <v>18</v>
      </c>
      <c r="J285" s="125"/>
      <c r="K285" s="122" t="s">
        <v>19</v>
      </c>
      <c r="L285" s="18"/>
      <c r="N285" s="25"/>
      <c r="O285" s="26"/>
      <c r="P285" s="121" t="s">
        <v>17</v>
      </c>
      <c r="Q285" s="121"/>
      <c r="R285" s="93"/>
      <c r="S285" s="27"/>
      <c r="U285" s="124" t="s">
        <v>18</v>
      </c>
      <c r="V285" s="125"/>
      <c r="W285" s="122" t="s">
        <v>19</v>
      </c>
      <c r="X285" s="18"/>
      <c r="Z285" s="25"/>
      <c r="AA285" s="26"/>
      <c r="AB285" s="121" t="s">
        <v>17</v>
      </c>
      <c r="AC285" s="121"/>
      <c r="AD285" s="93"/>
      <c r="AE285" s="27"/>
      <c r="AG285" s="124" t="s">
        <v>18</v>
      </c>
      <c r="AH285" s="125"/>
      <c r="AI285" s="122" t="s">
        <v>19</v>
      </c>
      <c r="AJ285" s="18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customFormat="1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3"/>
      <c r="L286" s="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3"/>
      <c r="X286" s="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3"/>
      <c r="AJ286" s="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customFormat="1" x14ac:dyDescent="0.25">
      <c r="A287" s="10">
        <v>1</v>
      </c>
      <c r="B287" s="30">
        <v>45880</v>
      </c>
      <c r="C287" s="88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L287" s="18"/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X287" s="18"/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J287" s="18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customFormat="1" x14ac:dyDescent="0.25">
      <c r="A288" s="10">
        <v>2</v>
      </c>
      <c r="B288" s="30">
        <v>45880</v>
      </c>
      <c r="C288" s="88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L288" s="18"/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X288" s="18"/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J288" s="18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customFormat="1" x14ac:dyDescent="0.25">
      <c r="A289" s="10">
        <v>3</v>
      </c>
      <c r="B289" s="30">
        <v>45880</v>
      </c>
      <c r="C289" s="88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L289" s="18"/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X289" s="18"/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J289" s="18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customFormat="1" x14ac:dyDescent="0.25">
      <c r="A290" s="10">
        <v>4</v>
      </c>
      <c r="B290" s="30">
        <v>45880</v>
      </c>
      <c r="C290" s="88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L290" s="18"/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X290" s="18"/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J290" s="18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customFormat="1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L291" s="18"/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X291" s="18"/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J291" s="18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customFormat="1" x14ac:dyDescent="0.25">
      <c r="A292" s="10">
        <v>6</v>
      </c>
      <c r="B292" s="30"/>
      <c r="C292" s="88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L292" s="18"/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X292" s="18"/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J292" s="18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customFormat="1" x14ac:dyDescent="0.25">
      <c r="A293" s="10">
        <v>7</v>
      </c>
      <c r="B293" s="30"/>
      <c r="C293" s="88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L293" s="18"/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X293" s="18"/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J293" s="18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customFormat="1" x14ac:dyDescent="0.25">
      <c r="A294" s="10">
        <v>8</v>
      </c>
      <c r="B294" s="30"/>
      <c r="C294" s="88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L294" s="18"/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X294" s="18"/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J294" s="18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customFormat="1" x14ac:dyDescent="0.25">
      <c r="A295" s="10">
        <v>9</v>
      </c>
      <c r="B295" s="30"/>
      <c r="C295" s="88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L295" s="18"/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X295" s="18"/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J295" s="18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customFormat="1" x14ac:dyDescent="0.25">
      <c r="A296" s="10">
        <v>10</v>
      </c>
      <c r="B296" s="30"/>
      <c r="C296" s="88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L296" s="18"/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X296" s="18"/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J296" s="18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customFormat="1" x14ac:dyDescent="0.25">
      <c r="A297" s="10">
        <v>11</v>
      </c>
      <c r="B297" s="30"/>
      <c r="C297" s="88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L297" s="18"/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X297" s="18"/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J297" s="18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customFormat="1" x14ac:dyDescent="0.25">
      <c r="A298" s="10">
        <v>12</v>
      </c>
      <c r="B298" s="30"/>
      <c r="C298" s="88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L298" s="18"/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X298" s="18"/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J298" s="18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customFormat="1" x14ac:dyDescent="0.25">
      <c r="A299" s="10">
        <v>13</v>
      </c>
      <c r="B299" s="30"/>
      <c r="C299" s="88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L299" s="18"/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X299" s="18"/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J299" s="18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customFormat="1" x14ac:dyDescent="0.25">
      <c r="A300" s="10">
        <v>14</v>
      </c>
      <c r="B300" s="30"/>
      <c r="C300" s="88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L300" s="18"/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X300" s="18"/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J300" s="18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customFormat="1" x14ac:dyDescent="0.25">
      <c r="A301" s="10">
        <v>15</v>
      </c>
      <c r="B301" s="30"/>
      <c r="C301" s="88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L301" s="18"/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X301" s="18"/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J301" s="18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customFormat="1" x14ac:dyDescent="0.25">
      <c r="A302" s="10">
        <v>16</v>
      </c>
      <c r="B302" s="30"/>
      <c r="C302" s="88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L302" s="18"/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X302" s="18"/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J302" s="18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customFormat="1" x14ac:dyDescent="0.25">
      <c r="A303" s="10">
        <v>17</v>
      </c>
      <c r="B303" s="30"/>
      <c r="C303" s="88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L303" s="18"/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X303" s="18"/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J303" s="18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customFormat="1" x14ac:dyDescent="0.25">
      <c r="A304" s="10">
        <v>18</v>
      </c>
      <c r="B304" s="30"/>
      <c r="C304" s="3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L304" s="18"/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X304" s="18"/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J304" s="18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customFormat="1" x14ac:dyDescent="0.25">
      <c r="A305" s="10">
        <v>19</v>
      </c>
      <c r="B305" s="30"/>
      <c r="C305" s="88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L305" s="18"/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X305" s="18"/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J305" s="18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customFormat="1" x14ac:dyDescent="0.25">
      <c r="A306" s="10">
        <v>20</v>
      </c>
      <c r="B306" s="30"/>
      <c r="C306" s="88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L306" s="18"/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X306" s="18"/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J306" s="18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customFormat="1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L307" s="18"/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X307" s="18"/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J307" s="18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customFormat="1" x14ac:dyDescent="0.25">
      <c r="A308" s="10">
        <v>22</v>
      </c>
      <c r="B308" s="30"/>
      <c r="C308" s="88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L308" s="18"/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X308" s="18"/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J308" s="18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customFormat="1" x14ac:dyDescent="0.25">
      <c r="A309" s="10">
        <v>23</v>
      </c>
      <c r="B309" s="30"/>
      <c r="C309" s="88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L309" s="18"/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X309" s="18"/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J309" s="18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customFormat="1" x14ac:dyDescent="0.25">
      <c r="A310" s="10">
        <v>24</v>
      </c>
      <c r="B310" s="30"/>
      <c r="C310" s="88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L310" s="18"/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X310" s="18"/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J310" s="18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customFormat="1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L311" s="18"/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X311" s="18"/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J311" s="18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customFormat="1" x14ac:dyDescent="0.25">
      <c r="A312" s="10">
        <v>26</v>
      </c>
      <c r="B312" s="30"/>
      <c r="C312" s="88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L312" s="18"/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X312" s="18"/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J312" s="18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customFormat="1" x14ac:dyDescent="0.25">
      <c r="A313" s="10">
        <v>27</v>
      </c>
      <c r="B313" s="30"/>
      <c r="C313" s="88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L313" s="18"/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X313" s="18"/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J313" s="18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customFormat="1" x14ac:dyDescent="0.25">
      <c r="A314" s="10">
        <v>28</v>
      </c>
      <c r="B314" s="30"/>
      <c r="C314" s="88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L314" s="18"/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X314" s="18"/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J314" s="18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customFormat="1" x14ac:dyDescent="0.25">
      <c r="A315" s="10">
        <v>29</v>
      </c>
      <c r="B315" s="30"/>
      <c r="C315" s="88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L315" s="18"/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X315" s="18"/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J315" s="18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customFormat="1" x14ac:dyDescent="0.25">
      <c r="A316" s="10">
        <v>30</v>
      </c>
      <c r="B316" s="30"/>
      <c r="C316" s="88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L316" s="18"/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X316" s="18"/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J316" s="18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customFormat="1" x14ac:dyDescent="0.25">
      <c r="A317" s="10">
        <v>31</v>
      </c>
      <c r="B317" s="30"/>
      <c r="C317" s="88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L317" s="18"/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X317" s="18"/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J317" s="18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customFormat="1" x14ac:dyDescent="0.25">
      <c r="A318" s="10">
        <v>32</v>
      </c>
      <c r="B318" s="30"/>
      <c r="C318" s="88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L318" s="18"/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X318" s="18"/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J318" s="18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customFormat="1" x14ac:dyDescent="0.25">
      <c r="A319" s="10">
        <v>33</v>
      </c>
      <c r="B319" s="30"/>
      <c r="C319" s="88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L319" s="18"/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X319" s="18"/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J319" s="18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customFormat="1" x14ac:dyDescent="0.25">
      <c r="A320" s="10"/>
      <c r="B320" s="30"/>
      <c r="C320" s="88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L320" s="18"/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X320" s="18"/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J320" s="18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customFormat="1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L321" s="18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X321" s="18"/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J321" s="18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customFormat="1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L322" s="18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X322" s="18"/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J322" s="18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customFormat="1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L323" s="18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X323" s="18"/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J323" s="18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customFormat="1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L324" s="18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X324" s="18"/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J324" s="18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customFormat="1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L325" s="18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X325" s="18"/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J325" s="18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customFormat="1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L326" s="18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X326" s="18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J326" s="18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customFormat="1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L327" s="18"/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X327" s="18"/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J327" s="18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customFormat="1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L328" s="18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X328" s="18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J328" s="18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customFormat="1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L329" s="18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X329" s="18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J329" s="18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customFormat="1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L330" s="18"/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X330" s="18"/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J330" s="18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customForma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customFormat="1" x14ac:dyDescent="0.25">
      <c r="A332" t="s">
        <v>0</v>
      </c>
      <c r="B332" s="57"/>
      <c r="C332" s="57"/>
      <c r="D332" s="57"/>
      <c r="E332" s="57"/>
      <c r="F332" s="57"/>
      <c r="G332" s="57"/>
      <c r="L332" s="18"/>
      <c r="M332" t="s">
        <v>0</v>
      </c>
      <c r="N332" s="57"/>
      <c r="O332" s="57"/>
      <c r="P332" s="57"/>
      <c r="Q332" s="57"/>
      <c r="R332" s="57"/>
      <c r="S332" s="57"/>
      <c r="X332" s="18"/>
      <c r="Y332" t="s">
        <v>0</v>
      </c>
      <c r="Z332" s="57"/>
      <c r="AA332" s="57"/>
      <c r="AB332" s="57"/>
      <c r="AC332" s="57"/>
      <c r="AD332" s="57"/>
      <c r="AE332" s="57"/>
      <c r="AJ332" s="18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customFormat="1" x14ac:dyDescent="0.25">
      <c r="A333" t="s">
        <v>28</v>
      </c>
      <c r="B333" s="57"/>
      <c r="C333" s="57"/>
      <c r="D333" s="57"/>
      <c r="E333" s="57"/>
      <c r="F333" s="57"/>
      <c r="G333" s="57"/>
      <c r="L333" s="18"/>
      <c r="M333" t="s">
        <v>28</v>
      </c>
      <c r="N333" s="57"/>
      <c r="O333" s="57"/>
      <c r="P333" s="57"/>
      <c r="Q333" s="57"/>
      <c r="R333" s="57"/>
      <c r="S333" s="57"/>
      <c r="X333" s="18"/>
      <c r="Y333" t="s">
        <v>28</v>
      </c>
      <c r="Z333" s="57"/>
      <c r="AA333" s="57"/>
      <c r="AB333" s="57"/>
      <c r="AC333" s="57"/>
      <c r="AD333" s="57"/>
      <c r="AE333" s="57"/>
      <c r="AJ333" s="18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customFormat="1" x14ac:dyDescent="0.25">
      <c r="B334" s="57"/>
      <c r="C334" s="57"/>
      <c r="D334" s="57"/>
      <c r="E334" s="57"/>
      <c r="F334" s="57"/>
      <c r="G334" s="57"/>
      <c r="L334" s="18"/>
      <c r="N334" s="57"/>
      <c r="O334" s="57"/>
      <c r="P334" s="57"/>
      <c r="Q334" s="57"/>
      <c r="R334" s="57"/>
      <c r="S334" s="57"/>
      <c r="X334" s="18"/>
      <c r="Z334" s="57"/>
      <c r="AA334" s="57"/>
      <c r="AB334" s="57"/>
      <c r="AC334" s="57"/>
      <c r="AD334" s="57"/>
      <c r="AE334" s="57"/>
      <c r="AJ334" s="18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customFormat="1" x14ac:dyDescent="0.25">
      <c r="A335" s="4" t="s">
        <v>14</v>
      </c>
      <c r="B335" s="57"/>
      <c r="C335" s="57"/>
      <c r="D335" s="57"/>
      <c r="E335" s="57"/>
      <c r="F335" s="57"/>
      <c r="G335" s="57"/>
      <c r="L335" s="18"/>
      <c r="M335" s="4" t="s">
        <v>14</v>
      </c>
      <c r="N335" s="57"/>
      <c r="O335" s="57"/>
      <c r="P335" s="57"/>
      <c r="Q335" s="57"/>
      <c r="R335" s="57"/>
      <c r="S335" s="57"/>
      <c r="X335" s="18"/>
      <c r="Y335" s="4" t="s">
        <v>14</v>
      </c>
      <c r="Z335" s="57"/>
      <c r="AA335" s="57"/>
      <c r="AB335" s="57"/>
      <c r="AC335" s="57"/>
      <c r="AD335" s="57"/>
      <c r="AE335" s="57"/>
      <c r="AJ335" s="18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customFormat="1" x14ac:dyDescent="0.25">
      <c r="B336" s="57"/>
      <c r="C336" s="57"/>
      <c r="D336" s="57"/>
      <c r="E336" s="57"/>
      <c r="F336" s="57"/>
      <c r="G336" s="57"/>
      <c r="L336" s="18"/>
      <c r="N336" s="57"/>
      <c r="O336" s="57"/>
      <c r="P336" s="57"/>
      <c r="Q336" s="57"/>
      <c r="R336" s="57"/>
      <c r="S336" s="57"/>
      <c r="X336" s="18"/>
      <c r="Z336" s="57"/>
      <c r="AA336" s="57"/>
      <c r="AB336" s="57"/>
      <c r="AC336" s="57"/>
      <c r="AD336" s="57"/>
      <c r="AE336" s="57"/>
      <c r="AJ336" s="18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customFormat="1" ht="15.75" x14ac:dyDescent="0.25">
      <c r="A337" t="s">
        <v>35</v>
      </c>
      <c r="B337" s="57"/>
      <c r="C337" s="57"/>
      <c r="D337" s="57"/>
      <c r="E337" s="57"/>
      <c r="F337" s="57"/>
      <c r="G337" s="57"/>
      <c r="I337" s="57" t="s">
        <v>15</v>
      </c>
      <c r="J337" s="19">
        <v>1</v>
      </c>
      <c r="L337" s="18"/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X337" s="18"/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J337" s="18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customFormat="1" x14ac:dyDescent="0.25">
      <c r="A338" s="21" t="s">
        <v>58</v>
      </c>
      <c r="B338" s="20"/>
      <c r="C338" s="57"/>
      <c r="D338" s="57"/>
      <c r="E338" s="57"/>
      <c r="F338" s="57"/>
      <c r="G338" s="57"/>
      <c r="I338" s="22" t="s">
        <v>16</v>
      </c>
      <c r="J338" s="23" t="s">
        <v>33</v>
      </c>
      <c r="K338" s="24"/>
      <c r="L338" s="18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X338" s="18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J338" s="18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customFormat="1" x14ac:dyDescent="0.25">
      <c r="B339" s="57"/>
      <c r="C339" s="57"/>
      <c r="D339" s="57"/>
      <c r="E339" s="57"/>
      <c r="F339" s="57"/>
      <c r="G339" s="57"/>
      <c r="L339" s="18"/>
      <c r="N339" s="57"/>
      <c r="O339" s="57"/>
      <c r="P339" s="57"/>
      <c r="Q339" s="57"/>
      <c r="R339" s="57"/>
      <c r="S339" s="57"/>
      <c r="X339" s="18"/>
      <c r="Z339" s="57"/>
      <c r="AA339" s="57"/>
      <c r="AB339" s="57"/>
      <c r="AC339" s="57"/>
      <c r="AD339" s="57"/>
      <c r="AE339" s="57"/>
      <c r="AJ339" s="18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customFormat="1" x14ac:dyDescent="0.25">
      <c r="B340" s="25"/>
      <c r="C340" s="26"/>
      <c r="D340" s="121" t="s">
        <v>17</v>
      </c>
      <c r="E340" s="121"/>
      <c r="F340" s="94"/>
      <c r="G340" s="27"/>
      <c r="I340" s="124" t="s">
        <v>18</v>
      </c>
      <c r="J340" s="125"/>
      <c r="K340" s="122" t="s">
        <v>19</v>
      </c>
      <c r="L340" s="18"/>
      <c r="N340" s="25"/>
      <c r="O340" s="26"/>
      <c r="P340" s="121" t="s">
        <v>17</v>
      </c>
      <c r="Q340" s="121"/>
      <c r="R340" s="94"/>
      <c r="S340" s="27"/>
      <c r="U340" s="124" t="s">
        <v>18</v>
      </c>
      <c r="V340" s="125"/>
      <c r="W340" s="122" t="s">
        <v>19</v>
      </c>
      <c r="X340" s="18"/>
      <c r="Z340" s="25"/>
      <c r="AA340" s="26"/>
      <c r="AB340" s="121" t="s">
        <v>17</v>
      </c>
      <c r="AC340" s="121"/>
      <c r="AD340" s="94"/>
      <c r="AE340" s="27"/>
      <c r="AG340" s="124" t="s">
        <v>18</v>
      </c>
      <c r="AH340" s="125"/>
      <c r="AI340" s="122" t="s">
        <v>19</v>
      </c>
      <c r="AJ340" s="18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customFormat="1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23"/>
      <c r="L341" s="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3"/>
      <c r="X341" s="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3"/>
      <c r="AJ341" s="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customFormat="1" x14ac:dyDescent="0.25">
      <c r="A342" s="10">
        <v>1</v>
      </c>
      <c r="B342" s="30">
        <v>45941</v>
      </c>
      <c r="C342" s="88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L342" s="18"/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X342" s="18"/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J342" s="18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customFormat="1" x14ac:dyDescent="0.25">
      <c r="A343" s="10">
        <v>2</v>
      </c>
      <c r="B343" s="30">
        <v>45941</v>
      </c>
      <c r="C343" s="88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L343" s="18"/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X343" s="18"/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J343" s="18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customFormat="1" x14ac:dyDescent="0.25">
      <c r="A344" s="10">
        <v>3</v>
      </c>
      <c r="B344" s="30">
        <v>45941</v>
      </c>
      <c r="C344" s="88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L344" s="18"/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X344" s="18"/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J344" s="18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customFormat="1" x14ac:dyDescent="0.25">
      <c r="A345" s="10">
        <v>4</v>
      </c>
      <c r="B345" s="30">
        <v>45941</v>
      </c>
      <c r="C345" s="88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L345" s="18"/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X345" s="18"/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J345" s="18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customFormat="1" x14ac:dyDescent="0.25">
      <c r="A346" s="10">
        <v>5</v>
      </c>
      <c r="B346" s="30">
        <v>45941</v>
      </c>
      <c r="C346" s="88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L346" s="18"/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X346" s="18"/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J346" s="18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customFormat="1" x14ac:dyDescent="0.25">
      <c r="A347" s="10">
        <v>6</v>
      </c>
      <c r="B347" s="30">
        <v>45941</v>
      </c>
      <c r="C347" s="88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L347" s="18"/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X347" s="18"/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J347" s="18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customFormat="1" x14ac:dyDescent="0.25">
      <c r="A348" s="10">
        <v>7</v>
      </c>
      <c r="B348" s="30">
        <v>45941</v>
      </c>
      <c r="C348" s="88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L348" s="18"/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X348" s="18"/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J348" s="18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customFormat="1" x14ac:dyDescent="0.25">
      <c r="A349" s="10">
        <v>8</v>
      </c>
      <c r="B349" s="30">
        <v>45941</v>
      </c>
      <c r="C349" s="88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L349" s="18"/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X349" s="18"/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J349" s="18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customFormat="1" x14ac:dyDescent="0.25">
      <c r="A350" s="10">
        <v>9</v>
      </c>
      <c r="B350" s="30">
        <v>45941</v>
      </c>
      <c r="C350" s="88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L350" s="18"/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X350" s="18"/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J350" s="18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customFormat="1" x14ac:dyDescent="0.25">
      <c r="A351" s="10">
        <v>10</v>
      </c>
      <c r="B351" s="30">
        <v>45941</v>
      </c>
      <c r="C351" s="88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L351" s="18"/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X351" s="18"/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J351" s="18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customFormat="1" x14ac:dyDescent="0.25">
      <c r="A352" s="10">
        <v>11</v>
      </c>
      <c r="B352" s="30">
        <v>45941</v>
      </c>
      <c r="C352" s="88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L352" s="18"/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X352" s="18"/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J352" s="18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customFormat="1" x14ac:dyDescent="0.25">
      <c r="A353" s="10">
        <v>12</v>
      </c>
      <c r="B353" s="30">
        <v>45941</v>
      </c>
      <c r="C353" s="88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L353" s="18"/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X353" s="18"/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J353" s="18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customFormat="1" x14ac:dyDescent="0.25">
      <c r="A354" s="10">
        <v>13</v>
      </c>
      <c r="B354" s="30">
        <v>45941</v>
      </c>
      <c r="C354" s="88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L354" s="18"/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X354" s="18"/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J354" s="18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customFormat="1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L355" s="18"/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X355" s="18"/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J355" s="18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customFormat="1" x14ac:dyDescent="0.25">
      <c r="A356" s="10">
        <v>15</v>
      </c>
      <c r="B356" s="30"/>
      <c r="C356" s="88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L356" s="18"/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X356" s="18"/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J356" s="18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customFormat="1" x14ac:dyDescent="0.25">
      <c r="A357" s="10">
        <v>16</v>
      </c>
      <c r="B357" s="30"/>
      <c r="C357" s="88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L357" s="18"/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X357" s="18"/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J357" s="18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customFormat="1" x14ac:dyDescent="0.25">
      <c r="A358" s="10">
        <v>17</v>
      </c>
      <c r="B358" s="30"/>
      <c r="C358" s="88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L358" s="18"/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X358" s="18"/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J358" s="18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customFormat="1" x14ac:dyDescent="0.25">
      <c r="A359" s="10">
        <v>18</v>
      </c>
      <c r="B359" s="30"/>
      <c r="C359" s="88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L359" s="18"/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X359" s="18"/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J359" s="18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customFormat="1" x14ac:dyDescent="0.25">
      <c r="A360" s="10">
        <v>19</v>
      </c>
      <c r="B360" s="30"/>
      <c r="C360" s="88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L360" s="18"/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X360" s="18"/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J360" s="18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customFormat="1" x14ac:dyDescent="0.25">
      <c r="A361" s="10">
        <v>20</v>
      </c>
      <c r="B361" s="30"/>
      <c r="C361" s="88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L361" s="18"/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X361" s="18"/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J361" s="18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customFormat="1" x14ac:dyDescent="0.25">
      <c r="A362" s="10">
        <v>21</v>
      </c>
      <c r="B362" s="30"/>
      <c r="C362" s="3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L362" s="18"/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X362" s="18"/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J362" s="18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customFormat="1" x14ac:dyDescent="0.25">
      <c r="A363" s="10">
        <v>22</v>
      </c>
      <c r="B363" s="30"/>
      <c r="C363" s="88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L363" s="18"/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X363" s="18"/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J363" s="18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customFormat="1" x14ac:dyDescent="0.25">
      <c r="A364" s="10">
        <v>23</v>
      </c>
      <c r="B364" s="30"/>
      <c r="C364" s="88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L364" s="18"/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X364" s="18"/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J364" s="18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customFormat="1" x14ac:dyDescent="0.25">
      <c r="A365" s="10">
        <v>24</v>
      </c>
      <c r="B365" s="30"/>
      <c r="C365" s="88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L365" s="18"/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X365" s="18"/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J365" s="18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customFormat="1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L366" s="18"/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X366" s="18"/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J366" s="18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customFormat="1" x14ac:dyDescent="0.25">
      <c r="A367" s="10">
        <v>26</v>
      </c>
      <c r="B367" s="30"/>
      <c r="C367" s="88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L367" s="18"/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X367" s="18"/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J367" s="18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customFormat="1" x14ac:dyDescent="0.25">
      <c r="A368" s="10">
        <v>27</v>
      </c>
      <c r="B368" s="30"/>
      <c r="C368" s="88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L368" s="18"/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X368" s="18"/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J368" s="18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customFormat="1" x14ac:dyDescent="0.25">
      <c r="A369" s="10">
        <v>28</v>
      </c>
      <c r="B369" s="30"/>
      <c r="C369" s="88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L369" s="18"/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X369" s="18"/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J369" s="18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customFormat="1" x14ac:dyDescent="0.25">
      <c r="A370" s="10">
        <v>29</v>
      </c>
      <c r="B370" s="30"/>
      <c r="C370" s="88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L370" s="18"/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X370" s="18"/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J370" s="18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customFormat="1" x14ac:dyDescent="0.25">
      <c r="A371" s="10">
        <v>30</v>
      </c>
      <c r="B371" s="30"/>
      <c r="C371" s="88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L371" s="18"/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X371" s="18"/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J371" s="18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customFormat="1" x14ac:dyDescent="0.25">
      <c r="A372" s="10">
        <v>31</v>
      </c>
      <c r="B372" s="30"/>
      <c r="C372" s="88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L372" s="18"/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X372" s="18"/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J372" s="18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customFormat="1" x14ac:dyDescent="0.25">
      <c r="A373" s="10">
        <v>32</v>
      </c>
      <c r="B373" s="30"/>
      <c r="C373" s="88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L373" s="18"/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X373" s="18"/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J373" s="18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customFormat="1" x14ac:dyDescent="0.25">
      <c r="A374" s="10">
        <v>33</v>
      </c>
      <c r="B374" s="30"/>
      <c r="C374" s="88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L374" s="18"/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X374" s="18"/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J374" s="18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customFormat="1" x14ac:dyDescent="0.25">
      <c r="A375" s="10"/>
      <c r="B375" s="30"/>
      <c r="C375" s="88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L375" s="18"/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X375" s="18"/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J375" s="18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customFormat="1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L376" s="18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X376" s="18"/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J376" s="18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customFormat="1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L377" s="18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X377" s="18"/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J377" s="18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customFormat="1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L378" s="18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X378" s="18"/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J378" s="18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customFormat="1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L379" s="18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X379" s="18"/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J379" s="18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customFormat="1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L380" s="18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X380" s="18"/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J380" s="18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customFormat="1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L381" s="18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X381" s="18"/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J381" s="18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customFormat="1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L382" s="18"/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X382" s="18"/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J382" s="18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customFormat="1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L383" s="18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X383" s="18"/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J383" s="18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customFormat="1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L384" s="18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X384" s="18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J384" s="18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customFormat="1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L385" s="18"/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X385" s="18"/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J385" s="18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customForma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customFormat="1" x14ac:dyDescent="0.25">
      <c r="A387" t="s">
        <v>0</v>
      </c>
      <c r="B387" s="57"/>
      <c r="C387" s="57"/>
      <c r="D387" s="57"/>
      <c r="E387" s="57"/>
      <c r="F387" s="57"/>
      <c r="G387" s="57"/>
      <c r="L387" s="18"/>
      <c r="M387" t="s">
        <v>0</v>
      </c>
      <c r="N387" s="57"/>
      <c r="O387" s="57"/>
      <c r="P387" s="57"/>
      <c r="Q387" s="57"/>
      <c r="R387" s="57"/>
      <c r="S387" s="57"/>
      <c r="X387" s="18"/>
      <c r="Y387" t="s">
        <v>0</v>
      </c>
      <c r="Z387" s="57"/>
      <c r="AA387" s="57"/>
      <c r="AB387" s="57"/>
      <c r="AC387" s="57"/>
      <c r="AD387" s="57"/>
      <c r="AE387" s="57"/>
      <c r="AJ387" s="18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customFormat="1" x14ac:dyDescent="0.25">
      <c r="A388" t="s">
        <v>28</v>
      </c>
      <c r="B388" s="57"/>
      <c r="C388" s="57"/>
      <c r="D388" s="57"/>
      <c r="E388" s="57"/>
      <c r="F388" s="57"/>
      <c r="G388" s="57"/>
      <c r="L388" s="18"/>
      <c r="M388" t="s">
        <v>28</v>
      </c>
      <c r="N388" s="57"/>
      <c r="O388" s="57"/>
      <c r="P388" s="57"/>
      <c r="Q388" s="57"/>
      <c r="R388" s="57"/>
      <c r="S388" s="57"/>
      <c r="X388" s="18"/>
      <c r="Y388" t="s">
        <v>28</v>
      </c>
      <c r="Z388" s="57"/>
      <c r="AA388" s="57"/>
      <c r="AB388" s="57"/>
      <c r="AC388" s="57"/>
      <c r="AD388" s="57"/>
      <c r="AE388" s="57"/>
      <c r="AJ388" s="18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customFormat="1" x14ac:dyDescent="0.25">
      <c r="B389" s="57"/>
      <c r="C389" s="57"/>
      <c r="D389" s="57"/>
      <c r="E389" s="57"/>
      <c r="F389" s="57"/>
      <c r="G389" s="57"/>
      <c r="L389" s="18"/>
      <c r="N389" s="57"/>
      <c r="O389" s="57"/>
      <c r="P389" s="57"/>
      <c r="Q389" s="57"/>
      <c r="R389" s="57"/>
      <c r="S389" s="57"/>
      <c r="X389" s="18"/>
      <c r="Z389" s="57"/>
      <c r="AA389" s="57"/>
      <c r="AB389" s="57"/>
      <c r="AC389" s="57"/>
      <c r="AD389" s="57"/>
      <c r="AE389" s="57"/>
      <c r="AJ389" s="18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customFormat="1" x14ac:dyDescent="0.25">
      <c r="A390" s="4" t="s">
        <v>14</v>
      </c>
      <c r="B390" s="57"/>
      <c r="C390" s="57"/>
      <c r="D390" s="57"/>
      <c r="E390" s="57"/>
      <c r="F390" s="57"/>
      <c r="G390" s="57"/>
      <c r="L390" s="18"/>
      <c r="M390" s="4" t="s">
        <v>14</v>
      </c>
      <c r="N390" s="57"/>
      <c r="O390" s="57"/>
      <c r="P390" s="57"/>
      <c r="Q390" s="57"/>
      <c r="R390" s="57"/>
      <c r="S390" s="57"/>
      <c r="X390" s="18"/>
      <c r="Y390" s="4" t="s">
        <v>14</v>
      </c>
      <c r="Z390" s="57"/>
      <c r="AA390" s="57"/>
      <c r="AB390" s="57"/>
      <c r="AC390" s="57"/>
      <c r="AD390" s="57"/>
      <c r="AE390" s="57"/>
      <c r="AJ390" s="18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customFormat="1" x14ac:dyDescent="0.25">
      <c r="B391" s="57"/>
      <c r="C391" s="57"/>
      <c r="D391" s="57"/>
      <c r="E391" s="57"/>
      <c r="F391" s="57"/>
      <c r="G391" s="57"/>
      <c r="L391" s="18"/>
      <c r="N391" s="57"/>
      <c r="O391" s="57"/>
      <c r="P391" s="57"/>
      <c r="Q391" s="57"/>
      <c r="R391" s="57"/>
      <c r="S391" s="57"/>
      <c r="X391" s="18"/>
      <c r="Z391" s="57"/>
      <c r="AA391" s="57"/>
      <c r="AB391" s="57"/>
      <c r="AC391" s="57"/>
      <c r="AD391" s="57"/>
      <c r="AE391" s="57"/>
      <c r="AJ391" s="18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customFormat="1" ht="15.75" x14ac:dyDescent="0.25">
      <c r="A392" t="s">
        <v>40</v>
      </c>
      <c r="B392" s="57"/>
      <c r="C392" s="57"/>
      <c r="D392" s="57"/>
      <c r="E392" s="57"/>
      <c r="F392" s="57"/>
      <c r="G392" s="57"/>
      <c r="I392" s="57" t="s">
        <v>15</v>
      </c>
      <c r="J392" s="19">
        <v>1</v>
      </c>
      <c r="L392" s="18"/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X392" s="18"/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J392" s="18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customFormat="1" x14ac:dyDescent="0.25">
      <c r="A393" s="21" t="s">
        <v>60</v>
      </c>
      <c r="B393" s="20"/>
      <c r="C393" s="57"/>
      <c r="D393" s="57"/>
      <c r="E393" s="57"/>
      <c r="F393" s="57"/>
      <c r="G393" s="57"/>
      <c r="I393" s="22" t="s">
        <v>16</v>
      </c>
      <c r="J393" s="23" t="s">
        <v>33</v>
      </c>
      <c r="K393" s="24"/>
      <c r="L393" s="18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X393" s="18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J393" s="18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customFormat="1" x14ac:dyDescent="0.25">
      <c r="B394" s="57"/>
      <c r="C394" s="57"/>
      <c r="D394" s="57"/>
      <c r="E394" s="57"/>
      <c r="F394" s="57"/>
      <c r="G394" s="57"/>
      <c r="L394" s="18"/>
      <c r="N394" s="57"/>
      <c r="O394" s="57"/>
      <c r="P394" s="57"/>
      <c r="Q394" s="57"/>
      <c r="R394" s="57"/>
      <c r="S394" s="57"/>
      <c r="X394" s="18"/>
      <c r="Z394" s="57"/>
      <c r="AA394" s="57"/>
      <c r="AB394" s="57"/>
      <c r="AC394" s="57"/>
      <c r="AD394" s="57"/>
      <c r="AE394" s="57"/>
      <c r="AJ394" s="18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customFormat="1" x14ac:dyDescent="0.25">
      <c r="B395" s="25"/>
      <c r="C395" s="26"/>
      <c r="D395" s="121" t="s">
        <v>17</v>
      </c>
      <c r="E395" s="121"/>
      <c r="F395" s="95"/>
      <c r="G395" s="27"/>
      <c r="I395" s="124" t="s">
        <v>18</v>
      </c>
      <c r="J395" s="125"/>
      <c r="K395" s="122" t="s">
        <v>19</v>
      </c>
      <c r="L395" s="18"/>
      <c r="N395" s="25"/>
      <c r="O395" s="26"/>
      <c r="P395" s="121" t="s">
        <v>17</v>
      </c>
      <c r="Q395" s="121"/>
      <c r="R395" s="95"/>
      <c r="S395" s="27"/>
      <c r="U395" s="124" t="s">
        <v>18</v>
      </c>
      <c r="V395" s="125"/>
      <c r="W395" s="122" t="s">
        <v>19</v>
      </c>
      <c r="X395" s="18"/>
      <c r="Z395" s="25"/>
      <c r="AA395" s="26"/>
      <c r="AB395" s="121" t="s">
        <v>17</v>
      </c>
      <c r="AC395" s="121"/>
      <c r="AD395" s="95"/>
      <c r="AE395" s="27"/>
      <c r="AG395" s="124" t="s">
        <v>18</v>
      </c>
      <c r="AH395" s="125"/>
      <c r="AI395" s="122" t="s">
        <v>19</v>
      </c>
      <c r="AJ395" s="18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customFormat="1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3"/>
      <c r="L396" s="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3"/>
      <c r="X396" s="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3"/>
      <c r="AJ396" s="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customFormat="1" x14ac:dyDescent="0.25">
      <c r="A397" s="10">
        <v>1</v>
      </c>
      <c r="B397" s="30">
        <v>45972</v>
      </c>
      <c r="C397" s="88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L397" s="18"/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X397" s="18"/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J397" s="18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customFormat="1" x14ac:dyDescent="0.25">
      <c r="A398" s="10">
        <v>2</v>
      </c>
      <c r="B398" s="30">
        <v>45972</v>
      </c>
      <c r="C398" s="88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L398" s="18"/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X398" s="18"/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J398" s="18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customFormat="1" x14ac:dyDescent="0.25">
      <c r="A399" s="10">
        <v>3</v>
      </c>
      <c r="B399" s="30">
        <v>45972</v>
      </c>
      <c r="C399" s="88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L399" s="18"/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X399" s="18"/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J399" s="18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customFormat="1" x14ac:dyDescent="0.25">
      <c r="A400" s="10">
        <v>4</v>
      </c>
      <c r="B400" s="30">
        <v>45972</v>
      </c>
      <c r="C400" s="88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L400" s="18"/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X400" s="18"/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J400" s="18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customFormat="1" x14ac:dyDescent="0.25">
      <c r="A401" s="10">
        <v>5</v>
      </c>
      <c r="B401" s="30">
        <v>45972</v>
      </c>
      <c r="C401" s="88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L401" s="18"/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X401" s="18"/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J401" s="18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customFormat="1" x14ac:dyDescent="0.25">
      <c r="A402" s="10">
        <v>6</v>
      </c>
      <c r="B402" s="30">
        <v>45972</v>
      </c>
      <c r="C402" s="88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L402" s="18"/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X402" s="18"/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J402" s="18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customFormat="1" x14ac:dyDescent="0.25">
      <c r="A403" s="10">
        <v>7</v>
      </c>
      <c r="B403" s="30">
        <v>45972</v>
      </c>
      <c r="C403" s="88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L403" s="18"/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X403" s="18"/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J403" s="18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customFormat="1" x14ac:dyDescent="0.25">
      <c r="A404" s="10">
        <v>8</v>
      </c>
      <c r="B404" s="30">
        <v>45972</v>
      </c>
      <c r="C404" s="88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L404" s="18"/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X404" s="18"/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J404" s="18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customFormat="1" x14ac:dyDescent="0.25">
      <c r="A405" s="10">
        <v>9</v>
      </c>
      <c r="B405" s="30">
        <v>45972</v>
      </c>
      <c r="C405" s="88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L405" s="18"/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X405" s="18"/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J405" s="18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customFormat="1" x14ac:dyDescent="0.25">
      <c r="A406" s="10">
        <v>10</v>
      </c>
      <c r="B406" s="30">
        <v>45972</v>
      </c>
      <c r="C406" s="88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L406" s="18"/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X406" s="18"/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J406" s="18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customFormat="1" x14ac:dyDescent="0.25">
      <c r="A407" s="10">
        <v>11</v>
      </c>
      <c r="B407" s="30">
        <v>45972</v>
      </c>
      <c r="C407" s="88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L407" s="18"/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X407" s="18"/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J407" s="18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customFormat="1" x14ac:dyDescent="0.25">
      <c r="A408" s="10">
        <v>12</v>
      </c>
      <c r="B408" s="30">
        <v>45972</v>
      </c>
      <c r="C408" s="88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L408" s="18"/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X408" s="18"/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J408" s="18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customFormat="1" x14ac:dyDescent="0.25">
      <c r="A409" s="10">
        <v>13</v>
      </c>
      <c r="B409" s="30">
        <v>45972</v>
      </c>
      <c r="C409" s="88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L409" s="18"/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X409" s="18"/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J409" s="18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customFormat="1" x14ac:dyDescent="0.25">
      <c r="A410" s="10">
        <v>14</v>
      </c>
      <c r="B410" s="30">
        <v>45972</v>
      </c>
      <c r="C410" s="88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L410" s="18"/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X410" s="18"/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J410" s="18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customFormat="1" x14ac:dyDescent="0.25">
      <c r="A411" s="10">
        <v>15</v>
      </c>
      <c r="B411" s="30">
        <v>45972</v>
      </c>
      <c r="C411" s="88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L411" s="18"/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X411" s="18"/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J411" s="18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customFormat="1" x14ac:dyDescent="0.25">
      <c r="A412" s="10">
        <v>16</v>
      </c>
      <c r="B412" s="30">
        <v>45972</v>
      </c>
      <c r="C412" s="88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L412" s="18"/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X412" s="18"/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J412" s="18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customFormat="1" x14ac:dyDescent="0.25">
      <c r="A413" s="10">
        <v>17</v>
      </c>
      <c r="B413" s="30">
        <v>45972</v>
      </c>
      <c r="C413" s="88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L413" s="18"/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X413" s="18"/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J413" s="18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customFormat="1" x14ac:dyDescent="0.25">
      <c r="A414" s="10">
        <v>18</v>
      </c>
      <c r="B414" s="30">
        <v>45972</v>
      </c>
      <c r="C414" s="88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L414" s="18"/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X414" s="18"/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J414" s="18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customFormat="1" x14ac:dyDescent="0.25">
      <c r="A415" s="10">
        <v>19</v>
      </c>
      <c r="B415" s="30">
        <v>45972</v>
      </c>
      <c r="C415" s="88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L415" s="18"/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X415" s="18"/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J415" s="18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customFormat="1" x14ac:dyDescent="0.25">
      <c r="A416" s="10">
        <v>20</v>
      </c>
      <c r="B416" s="30">
        <v>45972</v>
      </c>
      <c r="C416" s="88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L416" s="18"/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X416" s="18"/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J416" s="18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customFormat="1" x14ac:dyDescent="0.25">
      <c r="A417" s="10">
        <v>21</v>
      </c>
      <c r="B417" s="30">
        <v>45972</v>
      </c>
      <c r="C417" s="88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L417" s="18"/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X417" s="18"/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J417" s="18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customFormat="1" x14ac:dyDescent="0.25">
      <c r="A418" s="10">
        <v>22</v>
      </c>
      <c r="B418" s="30">
        <v>45972</v>
      </c>
      <c r="C418" s="88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L418" s="18"/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X418" s="18"/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J418" s="18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customFormat="1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L419" s="18"/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X419" s="18"/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J419" s="18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customFormat="1" x14ac:dyDescent="0.25">
      <c r="A420" s="10">
        <v>24</v>
      </c>
      <c r="B420" s="30"/>
      <c r="C420" s="88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L420" s="18"/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X420" s="18"/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J420" s="18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customFormat="1" x14ac:dyDescent="0.25">
      <c r="A421" s="10">
        <v>25</v>
      </c>
      <c r="B421" s="30"/>
      <c r="C421" s="88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L421" s="18"/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X421" s="18"/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J421" s="18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customFormat="1" x14ac:dyDescent="0.25">
      <c r="A422" s="10">
        <v>26</v>
      </c>
      <c r="B422" s="30"/>
      <c r="C422" s="88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L422" s="18"/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X422" s="18"/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J422" s="18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customFormat="1" x14ac:dyDescent="0.25">
      <c r="A423" s="10">
        <v>27</v>
      </c>
      <c r="B423" s="30"/>
      <c r="C423" s="88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L423" s="18"/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X423" s="18"/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J423" s="18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customFormat="1" x14ac:dyDescent="0.25">
      <c r="A424" s="10">
        <v>28</v>
      </c>
      <c r="B424" s="30"/>
      <c r="C424" s="88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L424" s="18"/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X424" s="18"/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J424" s="18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customFormat="1" x14ac:dyDescent="0.25">
      <c r="A425" s="10">
        <v>29</v>
      </c>
      <c r="B425" s="30"/>
      <c r="C425" s="88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L425" s="18"/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X425" s="18"/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J425" s="18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customFormat="1" x14ac:dyDescent="0.25">
      <c r="A426" s="10">
        <v>30</v>
      </c>
      <c r="B426" s="30"/>
      <c r="C426" s="3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L426" s="18"/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X426" s="18"/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J426" s="18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customFormat="1" x14ac:dyDescent="0.25">
      <c r="A427" s="10">
        <v>31</v>
      </c>
      <c r="B427" s="30"/>
      <c r="C427" s="88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L427" s="18"/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X427" s="18"/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J427" s="18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customFormat="1" x14ac:dyDescent="0.25">
      <c r="A428" s="10">
        <v>32</v>
      </c>
      <c r="B428" s="30"/>
      <c r="C428" s="88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L428" s="18"/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X428" s="18"/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J428" s="18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customFormat="1" x14ac:dyDescent="0.25">
      <c r="A429" s="10">
        <v>33</v>
      </c>
      <c r="B429" s="30"/>
      <c r="C429" s="88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L429" s="18"/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X429" s="18"/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J429" s="18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customFormat="1" x14ac:dyDescent="0.25">
      <c r="A430" s="10"/>
      <c r="B430" s="30"/>
      <c r="C430" s="88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L430" s="18"/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X430" s="18"/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J430" s="18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customFormat="1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L431" s="18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X431" s="18"/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J431" s="18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customFormat="1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L432" s="18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X432" s="18"/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J432" s="18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customFormat="1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L433" s="18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X433" s="18"/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J433" s="18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customFormat="1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L434" s="18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X434" s="18"/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J434" s="18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customFormat="1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L435" s="18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X435" s="18"/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J435" s="18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customFormat="1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L436" s="18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X436" s="18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J436" s="18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customFormat="1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L437" s="18"/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X437" s="18"/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J437" s="18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customFormat="1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L438" s="18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X438" s="18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J438" s="18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customFormat="1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L439" s="18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X439" s="18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J439" s="18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customFormat="1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L440" s="18"/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X440" s="18"/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J440" s="18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customForma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customFormat="1" x14ac:dyDescent="0.25">
      <c r="A442" t="s">
        <v>0</v>
      </c>
      <c r="B442" s="57"/>
      <c r="C442" s="57"/>
      <c r="D442" s="57"/>
      <c r="E442" s="57"/>
      <c r="F442" s="57"/>
      <c r="G442" s="57"/>
      <c r="L442" s="18"/>
      <c r="M442" t="s">
        <v>0</v>
      </c>
      <c r="N442" s="57"/>
      <c r="O442" s="57"/>
      <c r="P442" s="57"/>
      <c r="Q442" s="57"/>
      <c r="R442" s="57"/>
      <c r="S442" s="57"/>
      <c r="X442" s="18"/>
      <c r="Y442" t="s">
        <v>0</v>
      </c>
      <c r="Z442" s="57"/>
      <c r="AA442" s="57"/>
      <c r="AB442" s="57"/>
      <c r="AC442" s="57"/>
      <c r="AD442" s="57"/>
      <c r="AE442" s="57"/>
      <c r="AJ442" s="18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customFormat="1" x14ac:dyDescent="0.25">
      <c r="A443" t="s">
        <v>28</v>
      </c>
      <c r="B443" s="57"/>
      <c r="C443" s="57"/>
      <c r="D443" s="57"/>
      <c r="E443" s="57"/>
      <c r="F443" s="57"/>
      <c r="G443" s="57"/>
      <c r="L443" s="18"/>
      <c r="M443" t="s">
        <v>28</v>
      </c>
      <c r="N443" s="57"/>
      <c r="O443" s="57"/>
      <c r="P443" s="57"/>
      <c r="Q443" s="57"/>
      <c r="R443" s="57"/>
      <c r="S443" s="57"/>
      <c r="X443" s="18"/>
      <c r="Y443" t="s">
        <v>28</v>
      </c>
      <c r="Z443" s="57"/>
      <c r="AA443" s="57"/>
      <c r="AB443" s="57"/>
      <c r="AC443" s="57"/>
      <c r="AD443" s="57"/>
      <c r="AE443" s="57"/>
      <c r="AJ443" s="18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customFormat="1" x14ac:dyDescent="0.25">
      <c r="B444" s="57"/>
      <c r="C444" s="57"/>
      <c r="D444" s="57"/>
      <c r="E444" s="57"/>
      <c r="F444" s="57"/>
      <c r="G444" s="57"/>
      <c r="L444" s="18"/>
      <c r="N444" s="57"/>
      <c r="O444" s="57"/>
      <c r="P444" s="57"/>
      <c r="Q444" s="57"/>
      <c r="R444" s="57"/>
      <c r="S444" s="57"/>
      <c r="X444" s="18"/>
      <c r="Z444" s="57"/>
      <c r="AA444" s="57"/>
      <c r="AB444" s="57"/>
      <c r="AC444" s="57"/>
      <c r="AD444" s="57"/>
      <c r="AE444" s="57"/>
      <c r="AJ444" s="18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customFormat="1" x14ac:dyDescent="0.25">
      <c r="A445" s="4" t="s">
        <v>14</v>
      </c>
      <c r="B445" s="57"/>
      <c r="C445" s="57"/>
      <c r="D445" s="57"/>
      <c r="E445" s="57"/>
      <c r="F445" s="57"/>
      <c r="G445" s="57"/>
      <c r="L445" s="18"/>
      <c r="M445" s="4" t="s">
        <v>14</v>
      </c>
      <c r="N445" s="57"/>
      <c r="O445" s="57"/>
      <c r="P445" s="57"/>
      <c r="Q445" s="57"/>
      <c r="R445" s="57"/>
      <c r="S445" s="57"/>
      <c r="X445" s="18"/>
      <c r="Y445" s="4" t="s">
        <v>14</v>
      </c>
      <c r="Z445" s="57"/>
      <c r="AA445" s="57"/>
      <c r="AB445" s="57"/>
      <c r="AC445" s="57"/>
      <c r="AD445" s="57"/>
      <c r="AE445" s="57"/>
      <c r="AJ445" s="18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customFormat="1" x14ac:dyDescent="0.25">
      <c r="B446" s="57"/>
      <c r="C446" s="57"/>
      <c r="D446" s="57"/>
      <c r="E446" s="57"/>
      <c r="F446" s="57"/>
      <c r="G446" s="57"/>
      <c r="L446" s="18"/>
      <c r="N446" s="57"/>
      <c r="O446" s="57"/>
      <c r="P446" s="57"/>
      <c r="Q446" s="57"/>
      <c r="R446" s="57"/>
      <c r="S446" s="57"/>
      <c r="X446" s="18"/>
      <c r="Z446" s="57"/>
      <c r="AA446" s="57"/>
      <c r="AB446" s="57"/>
      <c r="AC446" s="57"/>
      <c r="AD446" s="57"/>
      <c r="AE446" s="57"/>
      <c r="AJ446" s="18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customFormat="1" ht="15.75" x14ac:dyDescent="0.25">
      <c r="A447" t="s">
        <v>47</v>
      </c>
      <c r="B447" s="57"/>
      <c r="C447" s="57"/>
      <c r="D447" s="57"/>
      <c r="E447" s="57"/>
      <c r="F447" s="57"/>
      <c r="G447" s="57"/>
      <c r="I447" s="57" t="s">
        <v>15</v>
      </c>
      <c r="J447" s="19">
        <v>1</v>
      </c>
      <c r="L447" s="18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X447" s="18"/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J447" s="18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customFormat="1" x14ac:dyDescent="0.25">
      <c r="A448" s="21" t="s">
        <v>62</v>
      </c>
      <c r="B448" s="20"/>
      <c r="C448" s="57"/>
      <c r="D448" s="57"/>
      <c r="E448" s="57"/>
      <c r="F448" s="57"/>
      <c r="G448" s="57"/>
      <c r="I448" s="22" t="s">
        <v>16</v>
      </c>
      <c r="J448" s="23" t="s">
        <v>33</v>
      </c>
      <c r="K448" s="24"/>
      <c r="L448" s="18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X448" s="18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J448" s="18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customFormat="1" x14ac:dyDescent="0.25">
      <c r="B449" s="57"/>
      <c r="C449" s="57"/>
      <c r="D449" s="57"/>
      <c r="E449" s="57"/>
      <c r="F449" s="57"/>
      <c r="G449" s="57"/>
      <c r="L449" s="18"/>
      <c r="N449" s="57"/>
      <c r="O449" s="57"/>
      <c r="P449" s="57"/>
      <c r="Q449" s="57"/>
      <c r="R449" s="57"/>
      <c r="S449" s="57"/>
      <c r="X449" s="18"/>
      <c r="Z449" s="57"/>
      <c r="AA449" s="57"/>
      <c r="AB449" s="57"/>
      <c r="AC449" s="57"/>
      <c r="AD449" s="57"/>
      <c r="AE449" s="57"/>
      <c r="AJ449" s="18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customFormat="1" x14ac:dyDescent="0.25">
      <c r="B450" s="25"/>
      <c r="C450" s="26"/>
      <c r="D450" s="121" t="s">
        <v>17</v>
      </c>
      <c r="E450" s="121"/>
      <c r="F450" s="96"/>
      <c r="G450" s="27"/>
      <c r="I450" s="124" t="s">
        <v>18</v>
      </c>
      <c r="J450" s="125"/>
      <c r="K450" s="122" t="s">
        <v>19</v>
      </c>
      <c r="L450" s="18"/>
      <c r="N450" s="25"/>
      <c r="O450" s="26"/>
      <c r="P450" s="121" t="s">
        <v>17</v>
      </c>
      <c r="Q450" s="121"/>
      <c r="R450" s="96"/>
      <c r="S450" s="27"/>
      <c r="U450" s="124" t="s">
        <v>18</v>
      </c>
      <c r="V450" s="125"/>
      <c r="W450" s="122" t="s">
        <v>19</v>
      </c>
      <c r="X450" s="18"/>
      <c r="Z450" s="25"/>
      <c r="AA450" s="26"/>
      <c r="AB450" s="121" t="s">
        <v>17</v>
      </c>
      <c r="AC450" s="121"/>
      <c r="AD450" s="96"/>
      <c r="AE450" s="27"/>
      <c r="AG450" s="124" t="s">
        <v>18</v>
      </c>
      <c r="AH450" s="125"/>
      <c r="AI450" s="122" t="s">
        <v>19</v>
      </c>
      <c r="AJ450" s="18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customFormat="1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3"/>
      <c r="L451" s="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3"/>
      <c r="X451" s="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3"/>
      <c r="AJ451" s="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customFormat="1" x14ac:dyDescent="0.25">
      <c r="A452" s="10">
        <v>1</v>
      </c>
      <c r="B452" s="30">
        <v>46002</v>
      </c>
      <c r="C452" s="88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L452" s="18"/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X452" s="18"/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J452" s="18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customFormat="1" x14ac:dyDescent="0.25">
      <c r="A453" s="10">
        <v>2</v>
      </c>
      <c r="B453" s="30">
        <v>46002</v>
      </c>
      <c r="C453" s="88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L453" s="18"/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X453" s="18"/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J453" s="18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customFormat="1" x14ac:dyDescent="0.25">
      <c r="A454" s="10">
        <v>3</v>
      </c>
      <c r="B454" s="30">
        <v>46002</v>
      </c>
      <c r="C454" s="88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L454" s="18"/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X454" s="18"/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J454" s="18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customFormat="1" x14ac:dyDescent="0.25">
      <c r="A455" s="10">
        <v>4</v>
      </c>
      <c r="B455" s="30">
        <v>46002</v>
      </c>
      <c r="C455" s="88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L455" s="18"/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X455" s="18"/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J455" s="18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customFormat="1" x14ac:dyDescent="0.25">
      <c r="A456" s="10">
        <v>5</v>
      </c>
      <c r="B456" s="30">
        <v>46002</v>
      </c>
      <c r="C456" s="88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L456" s="18"/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X456" s="18"/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J456" s="18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customFormat="1" x14ac:dyDescent="0.25">
      <c r="A457" s="10">
        <v>6</v>
      </c>
      <c r="B457" s="30">
        <v>46002</v>
      </c>
      <c r="C457" s="88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L457" s="18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X457" s="18"/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J457" s="18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customFormat="1" x14ac:dyDescent="0.25">
      <c r="A458" s="10">
        <v>7</v>
      </c>
      <c r="B458" s="30">
        <v>46002</v>
      </c>
      <c r="C458" s="88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L458" s="18"/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X458" s="18"/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J458" s="18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customFormat="1" x14ac:dyDescent="0.25">
      <c r="A459" s="10">
        <v>8</v>
      </c>
      <c r="B459" s="30">
        <v>46002</v>
      </c>
      <c r="C459" s="88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L459" s="18"/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X459" s="18"/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J459" s="18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customFormat="1" x14ac:dyDescent="0.25">
      <c r="A460" s="10">
        <v>9</v>
      </c>
      <c r="B460" s="30">
        <v>46002</v>
      </c>
      <c r="C460" s="88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L460" s="18"/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X460" s="18"/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J460" s="18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customFormat="1" x14ac:dyDescent="0.25">
      <c r="A461" s="10">
        <v>10</v>
      </c>
      <c r="B461" s="30">
        <v>46002</v>
      </c>
      <c r="C461" s="88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L461" s="18"/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X461" s="18"/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J461" s="18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customFormat="1" x14ac:dyDescent="0.25">
      <c r="A462" s="10">
        <v>11</v>
      </c>
      <c r="B462" s="30">
        <v>46002</v>
      </c>
      <c r="C462" s="88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L462" s="18"/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X462" s="18"/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J462" s="18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customFormat="1" x14ac:dyDescent="0.25">
      <c r="A463" s="10">
        <v>12</v>
      </c>
      <c r="B463" s="30">
        <v>46002</v>
      </c>
      <c r="C463" s="88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L463" s="18"/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X463" s="18"/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J463" s="18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customFormat="1" x14ac:dyDescent="0.25">
      <c r="A464" s="10">
        <v>13</v>
      </c>
      <c r="B464" s="30">
        <v>46002</v>
      </c>
      <c r="C464" s="88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L464" s="18"/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X464" s="18"/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J464" s="18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customFormat="1" x14ac:dyDescent="0.25">
      <c r="A465" s="10">
        <v>14</v>
      </c>
      <c r="B465" s="30">
        <v>46002</v>
      </c>
      <c r="C465" s="88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L465" s="18"/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X465" s="18"/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J465" s="18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customFormat="1" x14ac:dyDescent="0.25">
      <c r="A466" s="10">
        <v>15</v>
      </c>
      <c r="B466" s="30">
        <v>46002</v>
      </c>
      <c r="C466" s="88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L466" s="18"/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X466" s="18"/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J466" s="18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customFormat="1" x14ac:dyDescent="0.25">
      <c r="A467" s="10">
        <v>16</v>
      </c>
      <c r="B467" s="30">
        <v>46002</v>
      </c>
      <c r="C467" s="88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L467" s="18"/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X467" s="18"/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J467" s="18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customFormat="1" x14ac:dyDescent="0.25">
      <c r="A468" s="10">
        <v>17</v>
      </c>
      <c r="B468" s="30">
        <v>46002</v>
      </c>
      <c r="C468" s="88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L468" s="18"/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X468" s="18"/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J468" s="18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customFormat="1" x14ac:dyDescent="0.25">
      <c r="A469" s="10">
        <v>18</v>
      </c>
      <c r="B469" s="30">
        <v>46002</v>
      </c>
      <c r="C469" s="88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L469" s="18"/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X469" s="18"/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J469" s="18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customFormat="1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L470" s="18"/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X470" s="18"/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J470" s="18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customFormat="1" x14ac:dyDescent="0.25">
      <c r="A471" s="10">
        <v>20</v>
      </c>
      <c r="B471" s="30"/>
      <c r="C471" s="88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L471" s="18"/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X471" s="18"/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J471" s="18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customFormat="1" x14ac:dyDescent="0.25">
      <c r="A472" s="10">
        <v>21</v>
      </c>
      <c r="B472" s="30"/>
      <c r="C472" s="88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L472" s="18"/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X472" s="18"/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J472" s="18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customFormat="1" x14ac:dyDescent="0.25">
      <c r="A473" s="10">
        <v>22</v>
      </c>
      <c r="B473" s="30"/>
      <c r="C473" s="88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L473" s="18"/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X473" s="18"/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J473" s="18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customFormat="1" x14ac:dyDescent="0.25">
      <c r="A474" s="10">
        <v>23</v>
      </c>
      <c r="B474" s="30"/>
      <c r="C474" s="3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L474" s="18"/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X474" s="18"/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J474" s="18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customFormat="1" x14ac:dyDescent="0.25">
      <c r="A475" s="10">
        <v>24</v>
      </c>
      <c r="B475" s="30"/>
      <c r="C475" s="88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L475" s="18"/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X475" s="18"/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J475" s="18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customFormat="1" x14ac:dyDescent="0.25">
      <c r="A476" s="10">
        <v>25</v>
      </c>
      <c r="B476" s="30"/>
      <c r="C476" s="88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L476" s="18"/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X476" s="18"/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J476" s="18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customFormat="1" x14ac:dyDescent="0.25">
      <c r="A477" s="10">
        <v>26</v>
      </c>
      <c r="B477" s="30"/>
      <c r="C477" s="88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L477" s="18"/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X477" s="18"/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J477" s="18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customFormat="1" x14ac:dyDescent="0.25">
      <c r="A478" s="10">
        <v>27</v>
      </c>
      <c r="B478" s="30"/>
      <c r="C478" s="88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L478" s="18"/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X478" s="18"/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J478" s="18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customFormat="1" x14ac:dyDescent="0.25">
      <c r="A479" s="10">
        <v>28</v>
      </c>
      <c r="B479" s="30"/>
      <c r="C479" s="88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L479" s="18"/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X479" s="18"/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J479" s="18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customFormat="1" x14ac:dyDescent="0.25">
      <c r="A480" s="10">
        <v>29</v>
      </c>
      <c r="B480" s="30"/>
      <c r="C480" s="88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L480" s="18"/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X480" s="18"/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J480" s="18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customFormat="1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L481" s="18"/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X481" s="18"/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J481" s="18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customFormat="1" x14ac:dyDescent="0.25">
      <c r="A482" s="10">
        <v>31</v>
      </c>
      <c r="B482" s="30"/>
      <c r="C482" s="88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L482" s="18"/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X482" s="18"/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J482" s="18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customFormat="1" x14ac:dyDescent="0.25">
      <c r="A483" s="10">
        <v>32</v>
      </c>
      <c r="B483" s="30"/>
      <c r="C483" s="88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L483" s="18"/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X483" s="18"/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J483" s="18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customFormat="1" x14ac:dyDescent="0.25">
      <c r="A484" s="10">
        <v>33</v>
      </c>
      <c r="B484" s="30"/>
      <c r="C484" s="88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L484" s="18"/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X484" s="18"/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J484" s="18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customFormat="1" x14ac:dyDescent="0.25">
      <c r="A485" s="10"/>
      <c r="B485" s="30"/>
      <c r="C485" s="88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L485" s="18"/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X485" s="18"/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J485" s="18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customFormat="1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L486" s="18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X486" s="18"/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J486" s="18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customFormat="1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L487" s="18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X487" s="18"/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J487" s="18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customFormat="1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L488" s="18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X488" s="18"/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J488" s="18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customFormat="1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L489" s="18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X489" s="18"/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J489" s="18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customFormat="1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L490" s="18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X490" s="18"/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J490" s="18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customFormat="1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L491" s="18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X491" s="18"/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J491" s="18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customFormat="1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L492" s="18"/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X492" s="18"/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J492" s="18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customFormat="1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L493" s="18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X493" s="18"/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J493" s="18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customFormat="1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L494" s="18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X494" s="18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J494" s="18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customFormat="1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L495" s="18"/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X495" s="18"/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J495" s="18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customForma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customFormat="1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18"/>
      <c r="M497" t="s">
        <v>0</v>
      </c>
      <c r="N497" s="57"/>
      <c r="O497" s="57"/>
      <c r="P497" s="57"/>
      <c r="Q497" s="57"/>
      <c r="R497" s="57"/>
      <c r="S497" s="57"/>
      <c r="X497" s="18"/>
      <c r="Y497" t="s">
        <v>0</v>
      </c>
      <c r="Z497" s="57"/>
      <c r="AA497" s="57"/>
      <c r="AB497" s="57"/>
      <c r="AC497" s="57"/>
      <c r="AD497" s="57"/>
      <c r="AE497" s="57"/>
      <c r="AJ497" s="18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customFormat="1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18"/>
      <c r="M498" t="s">
        <v>28</v>
      </c>
      <c r="N498" s="57"/>
      <c r="O498" s="57"/>
      <c r="P498" s="57"/>
      <c r="Q498" s="57"/>
      <c r="R498" s="57"/>
      <c r="S498" s="57"/>
      <c r="X498" s="18"/>
      <c r="Y498" t="s">
        <v>28</v>
      </c>
      <c r="Z498" s="57"/>
      <c r="AA498" s="57"/>
      <c r="AB498" s="57"/>
      <c r="AC498" s="57"/>
      <c r="AD498" s="57"/>
      <c r="AE498" s="57"/>
      <c r="AJ498" s="18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customFormat="1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18"/>
      <c r="N499" s="57"/>
      <c r="O499" s="57"/>
      <c r="P499" s="57"/>
      <c r="Q499" s="57"/>
      <c r="R499" s="57"/>
      <c r="S499" s="57"/>
      <c r="X499" s="18"/>
      <c r="Z499" s="57"/>
      <c r="AA499" s="57"/>
      <c r="AB499" s="57"/>
      <c r="AC499" s="57"/>
      <c r="AD499" s="57"/>
      <c r="AE499" s="57"/>
      <c r="AJ499" s="18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customFormat="1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18"/>
      <c r="M500" s="4" t="s">
        <v>14</v>
      </c>
      <c r="N500" s="57"/>
      <c r="O500" s="57"/>
      <c r="P500" s="57"/>
      <c r="Q500" s="57"/>
      <c r="R500" s="57"/>
      <c r="S500" s="57"/>
      <c r="X500" s="18"/>
      <c r="Y500" s="4" t="s">
        <v>14</v>
      </c>
      <c r="Z500" s="57"/>
      <c r="AA500" s="57"/>
      <c r="AB500" s="57"/>
      <c r="AC500" s="57"/>
      <c r="AD500" s="57"/>
      <c r="AE500" s="57"/>
      <c r="AJ500" s="18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customFormat="1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18"/>
      <c r="N501" s="57"/>
      <c r="O501" s="57"/>
      <c r="P501" s="57"/>
      <c r="Q501" s="57"/>
      <c r="R501" s="57"/>
      <c r="S501" s="57"/>
      <c r="X501" s="18"/>
      <c r="Z501" s="57"/>
      <c r="AA501" s="57"/>
      <c r="AB501" s="57"/>
      <c r="AC501" s="57"/>
      <c r="AD501" s="57"/>
      <c r="AE501" s="57"/>
      <c r="AJ501" s="18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customFormat="1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18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X502" s="18"/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J502" s="18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customFormat="1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18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X503" s="18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J503" s="18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customFormat="1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18"/>
      <c r="N504" s="57"/>
      <c r="O504" s="57"/>
      <c r="P504" s="57"/>
      <c r="Q504" s="57"/>
      <c r="R504" s="57"/>
      <c r="S504" s="57"/>
      <c r="X504" s="18"/>
      <c r="Z504" s="57"/>
      <c r="AA504" s="57"/>
      <c r="AB504" s="57"/>
      <c r="AC504" s="57"/>
      <c r="AD504" s="57"/>
      <c r="AE504" s="57"/>
      <c r="AJ504" s="18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customFormat="1" x14ac:dyDescent="0.25">
      <c r="A505" s="62"/>
      <c r="B505" s="65"/>
      <c r="C505" s="87"/>
      <c r="D505" s="127"/>
      <c r="E505" s="127"/>
      <c r="F505" s="87"/>
      <c r="G505" s="87"/>
      <c r="H505" s="62"/>
      <c r="I505" s="127"/>
      <c r="J505" s="127"/>
      <c r="K505" s="126"/>
      <c r="L505" s="18"/>
      <c r="N505" s="25"/>
      <c r="O505" s="26"/>
      <c r="P505" s="121" t="s">
        <v>17</v>
      </c>
      <c r="Q505" s="121"/>
      <c r="R505" s="97"/>
      <c r="S505" s="27"/>
      <c r="U505" s="124" t="s">
        <v>18</v>
      </c>
      <c r="V505" s="125"/>
      <c r="W505" s="122" t="s">
        <v>19</v>
      </c>
      <c r="X505" s="18"/>
      <c r="Z505" s="25"/>
      <c r="AA505" s="26"/>
      <c r="AB505" s="121" t="s">
        <v>17</v>
      </c>
      <c r="AC505" s="121"/>
      <c r="AD505" s="97"/>
      <c r="AE505" s="27"/>
      <c r="AG505" s="124" t="s">
        <v>18</v>
      </c>
      <c r="AH505" s="125"/>
      <c r="AI505" s="122" t="s">
        <v>19</v>
      </c>
      <c r="AJ505" s="18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customFormat="1" ht="30" x14ac:dyDescent="0.25">
      <c r="A506" s="62"/>
      <c r="B506" s="87"/>
      <c r="C506" s="87"/>
      <c r="D506" s="79"/>
      <c r="E506" s="80"/>
      <c r="F506" s="81"/>
      <c r="G506" s="81"/>
      <c r="H506" s="62"/>
      <c r="I506" s="86"/>
      <c r="J506" s="86"/>
      <c r="K506" s="126"/>
      <c r="L506" s="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3"/>
      <c r="X506" s="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23"/>
      <c r="AJ506" s="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customFormat="1" x14ac:dyDescent="0.25">
      <c r="A507" s="62"/>
      <c r="B507" s="66"/>
      <c r="C507" s="87"/>
      <c r="D507" s="60"/>
      <c r="E507" s="60"/>
      <c r="F507" s="60"/>
      <c r="G507" s="60"/>
      <c r="H507" s="61"/>
      <c r="I507" s="61"/>
      <c r="J507" s="61"/>
      <c r="K507" s="61"/>
      <c r="L507" s="18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X507" s="18"/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J507" s="18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customFormat="1" x14ac:dyDescent="0.25">
      <c r="A508" s="62"/>
      <c r="B508" s="66"/>
      <c r="C508" s="87"/>
      <c r="D508" s="60"/>
      <c r="E508" s="60"/>
      <c r="F508" s="60"/>
      <c r="G508" s="60"/>
      <c r="H508" s="61"/>
      <c r="I508" s="61"/>
      <c r="J508" s="61"/>
      <c r="K508" s="61"/>
      <c r="L508" s="18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X508" s="18"/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J508" s="18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customFormat="1" x14ac:dyDescent="0.25">
      <c r="A509" s="62"/>
      <c r="B509" s="66"/>
      <c r="C509" s="87"/>
      <c r="D509" s="60"/>
      <c r="E509" s="60"/>
      <c r="F509" s="60"/>
      <c r="G509" s="60"/>
      <c r="H509" s="61"/>
      <c r="I509" s="61"/>
      <c r="J509" s="61"/>
      <c r="K509" s="61"/>
      <c r="L509" s="18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X509" s="18"/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J509" s="18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customFormat="1" x14ac:dyDescent="0.25">
      <c r="A510" s="62"/>
      <c r="B510" s="66"/>
      <c r="C510" s="87"/>
      <c r="D510" s="60"/>
      <c r="E510" s="60"/>
      <c r="F510" s="60"/>
      <c r="G510" s="60"/>
      <c r="H510" s="61"/>
      <c r="I510" s="61"/>
      <c r="J510" s="61"/>
      <c r="K510" s="61"/>
      <c r="L510" s="18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X510" s="18"/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J510" s="18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customFormat="1" x14ac:dyDescent="0.25">
      <c r="A511" s="62"/>
      <c r="B511" s="66"/>
      <c r="C511" s="87"/>
      <c r="D511" s="60"/>
      <c r="E511" s="60"/>
      <c r="F511" s="60"/>
      <c r="G511" s="60"/>
      <c r="H511" s="61"/>
      <c r="I511" s="61"/>
      <c r="J511" s="61"/>
      <c r="K511" s="61"/>
      <c r="L511" s="18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X511" s="18"/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J511" s="18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customFormat="1" x14ac:dyDescent="0.25">
      <c r="A512" s="62"/>
      <c r="B512" s="66"/>
      <c r="C512" s="87"/>
      <c r="D512" s="60"/>
      <c r="E512" s="60"/>
      <c r="F512" s="60"/>
      <c r="G512" s="60"/>
      <c r="H512" s="61"/>
      <c r="I512" s="61"/>
      <c r="J512" s="61"/>
      <c r="K512" s="61"/>
      <c r="L512" s="18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X512" s="18"/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J512" s="18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customFormat="1" x14ac:dyDescent="0.25">
      <c r="A513" s="62"/>
      <c r="B513" s="66"/>
      <c r="C513" s="87"/>
      <c r="D513" s="60"/>
      <c r="E513" s="60"/>
      <c r="F513" s="60"/>
      <c r="G513" s="60"/>
      <c r="H513" s="61"/>
      <c r="I513" s="61"/>
      <c r="J513" s="61"/>
      <c r="K513" s="61"/>
      <c r="L513" s="18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X513" s="18"/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J513" s="18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customFormat="1" x14ac:dyDescent="0.25">
      <c r="A514" s="62"/>
      <c r="B514" s="66"/>
      <c r="C514" s="87"/>
      <c r="D514" s="60"/>
      <c r="E514" s="60"/>
      <c r="F514" s="60"/>
      <c r="G514" s="60"/>
      <c r="H514" s="61"/>
      <c r="I514" s="61"/>
      <c r="J514" s="61"/>
      <c r="K514" s="61"/>
      <c r="L514" s="18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X514" s="18"/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J514" s="18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customFormat="1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18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X515" s="18"/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J515" s="18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customFormat="1" x14ac:dyDescent="0.25">
      <c r="A516" s="62"/>
      <c r="B516" s="66"/>
      <c r="C516" s="87"/>
      <c r="D516" s="60"/>
      <c r="E516" s="60"/>
      <c r="F516" s="60"/>
      <c r="G516" s="60"/>
      <c r="H516" s="61"/>
      <c r="I516" s="61"/>
      <c r="J516" s="61"/>
      <c r="K516" s="61"/>
      <c r="L516" s="18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X516" s="18"/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J516" s="18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customFormat="1" x14ac:dyDescent="0.25">
      <c r="A517" s="62"/>
      <c r="B517" s="66"/>
      <c r="C517" s="87"/>
      <c r="D517" s="60"/>
      <c r="E517" s="60"/>
      <c r="F517" s="60"/>
      <c r="G517" s="60"/>
      <c r="H517" s="61"/>
      <c r="I517" s="61"/>
      <c r="J517" s="61"/>
      <c r="K517" s="61"/>
      <c r="L517" s="18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X517" s="18"/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J517" s="18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customFormat="1" x14ac:dyDescent="0.25">
      <c r="A518" s="62"/>
      <c r="B518" s="66"/>
      <c r="C518" s="87"/>
      <c r="D518" s="60"/>
      <c r="E518" s="60"/>
      <c r="F518" s="60"/>
      <c r="G518" s="60"/>
      <c r="H518" s="61"/>
      <c r="I518" s="61"/>
      <c r="J518" s="62"/>
      <c r="K518" s="61"/>
      <c r="L518" s="18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X518" s="18"/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J518" s="18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customFormat="1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18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X519" s="18"/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J519" s="18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customFormat="1" x14ac:dyDescent="0.25">
      <c r="A520" s="62"/>
      <c r="B520" s="66"/>
      <c r="C520" s="87"/>
      <c r="D520" s="60"/>
      <c r="E520" s="60"/>
      <c r="F520" s="60"/>
      <c r="G520" s="60"/>
      <c r="H520" s="61"/>
      <c r="I520" s="61"/>
      <c r="J520" s="61"/>
      <c r="K520" s="61"/>
      <c r="L520" s="18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X520" s="18"/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J520" s="18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customFormat="1" x14ac:dyDescent="0.25">
      <c r="A521" s="62"/>
      <c r="B521" s="66"/>
      <c r="C521" s="87"/>
      <c r="D521" s="60"/>
      <c r="E521" s="60"/>
      <c r="F521" s="60"/>
      <c r="G521" s="60"/>
      <c r="H521" s="61"/>
      <c r="I521" s="61"/>
      <c r="J521" s="61"/>
      <c r="K521" s="61"/>
      <c r="L521" s="18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X521" s="18"/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J521" s="18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customFormat="1" x14ac:dyDescent="0.25">
      <c r="A522" s="62"/>
      <c r="B522" s="66"/>
      <c r="C522" s="87"/>
      <c r="D522" s="60"/>
      <c r="E522" s="60"/>
      <c r="F522" s="60"/>
      <c r="G522" s="60"/>
      <c r="H522" s="61"/>
      <c r="I522" s="61"/>
      <c r="J522" s="61"/>
      <c r="K522" s="61"/>
      <c r="L522" s="18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X522" s="18"/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J522" s="18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customFormat="1" x14ac:dyDescent="0.25">
      <c r="A523" s="62"/>
      <c r="B523" s="66"/>
      <c r="C523" s="87"/>
      <c r="D523" s="60"/>
      <c r="E523" s="60"/>
      <c r="F523" s="60"/>
      <c r="G523" s="60"/>
      <c r="H523" s="61"/>
      <c r="I523" s="61"/>
      <c r="J523" s="61"/>
      <c r="K523" s="61"/>
      <c r="L523" s="18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X523" s="18"/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J523" s="18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customFormat="1" x14ac:dyDescent="0.25">
      <c r="A524" s="62"/>
      <c r="B524" s="66"/>
      <c r="C524" s="87"/>
      <c r="D524" s="60"/>
      <c r="E524" s="60"/>
      <c r="F524" s="60"/>
      <c r="G524" s="60"/>
      <c r="H524" s="61"/>
      <c r="I524" s="61"/>
      <c r="J524" s="61"/>
      <c r="K524" s="61"/>
      <c r="L524" s="18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X524" s="18"/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J524" s="18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customFormat="1" x14ac:dyDescent="0.25">
      <c r="A525" s="62"/>
      <c r="B525" s="66"/>
      <c r="C525" s="87"/>
      <c r="D525" s="60"/>
      <c r="E525" s="60"/>
      <c r="F525" s="60"/>
      <c r="G525" s="60"/>
      <c r="H525" s="61"/>
      <c r="I525" s="61"/>
      <c r="J525" s="61"/>
      <c r="K525" s="61"/>
      <c r="L525" s="18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X525" s="18"/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J525" s="18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customFormat="1" x14ac:dyDescent="0.25">
      <c r="A526" s="62"/>
      <c r="B526" s="66"/>
      <c r="C526" s="87"/>
      <c r="D526" s="60"/>
      <c r="E526" s="60"/>
      <c r="F526" s="60"/>
      <c r="G526" s="60"/>
      <c r="H526" s="61"/>
      <c r="I526" s="61"/>
      <c r="J526" s="61"/>
      <c r="K526" s="61"/>
      <c r="L526" s="18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X526" s="18"/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J526" s="18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customFormat="1" x14ac:dyDescent="0.25">
      <c r="A527" s="62"/>
      <c r="B527" s="66"/>
      <c r="C527" s="87"/>
      <c r="D527" s="60"/>
      <c r="E527" s="60"/>
      <c r="F527" s="60"/>
      <c r="G527" s="60"/>
      <c r="H527" s="62"/>
      <c r="I527" s="62"/>
      <c r="J527" s="62"/>
      <c r="K527" s="61"/>
      <c r="L527" s="18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X527" s="18"/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J527" s="18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customFormat="1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18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X528" s="18"/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J528" s="18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customFormat="1" x14ac:dyDescent="0.25">
      <c r="A529" s="62"/>
      <c r="B529" s="66"/>
      <c r="C529" s="87"/>
      <c r="D529" s="60"/>
      <c r="E529" s="60"/>
      <c r="F529" s="60"/>
      <c r="G529" s="60"/>
      <c r="H529" s="62"/>
      <c r="I529" s="62"/>
      <c r="J529" s="61"/>
      <c r="K529" s="61"/>
      <c r="L529" s="18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X529" s="18"/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J529" s="18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customFormat="1" x14ac:dyDescent="0.25">
      <c r="A530" s="62"/>
      <c r="B530" s="66"/>
      <c r="C530" s="87"/>
      <c r="D530" s="60"/>
      <c r="E530" s="60"/>
      <c r="F530" s="60"/>
      <c r="G530" s="60"/>
      <c r="H530" s="62"/>
      <c r="I530" s="62"/>
      <c r="J530" s="62"/>
      <c r="K530" s="61"/>
      <c r="L530" s="18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X530" s="18"/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J530" s="18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customFormat="1" x14ac:dyDescent="0.25">
      <c r="A531" s="62"/>
      <c r="B531" s="66"/>
      <c r="C531" s="87"/>
      <c r="D531" s="60"/>
      <c r="E531" s="60"/>
      <c r="F531" s="60"/>
      <c r="G531" s="60"/>
      <c r="H531" s="62"/>
      <c r="I531" s="62"/>
      <c r="J531" s="62"/>
      <c r="K531" s="61"/>
      <c r="L531" s="18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X531" s="18"/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J531" s="18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customFormat="1" x14ac:dyDescent="0.25">
      <c r="A532" s="62"/>
      <c r="B532" s="66"/>
      <c r="C532" s="87"/>
      <c r="D532" s="60"/>
      <c r="E532" s="60"/>
      <c r="F532" s="60"/>
      <c r="G532" s="60"/>
      <c r="H532" s="62"/>
      <c r="I532" s="62"/>
      <c r="J532" s="62"/>
      <c r="K532" s="61"/>
      <c r="L532" s="18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X532" s="18"/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J532" s="18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customFormat="1" x14ac:dyDescent="0.25">
      <c r="A533" s="62"/>
      <c r="B533" s="66"/>
      <c r="C533" s="87"/>
      <c r="D533" s="60"/>
      <c r="E533" s="60"/>
      <c r="F533" s="60"/>
      <c r="G533" s="60"/>
      <c r="H533" s="62"/>
      <c r="I533" s="62"/>
      <c r="J533" s="62"/>
      <c r="K533" s="61"/>
      <c r="L533" s="18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X533" s="18"/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J533" s="18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customFormat="1" x14ac:dyDescent="0.25">
      <c r="A534" s="62"/>
      <c r="B534" s="66"/>
      <c r="C534" s="87"/>
      <c r="D534" s="60"/>
      <c r="E534" s="60"/>
      <c r="F534" s="60"/>
      <c r="G534" s="60"/>
      <c r="H534" s="62"/>
      <c r="I534" s="62"/>
      <c r="J534" s="62"/>
      <c r="K534" s="61"/>
      <c r="L534" s="18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X534" s="18"/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J534" s="18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customFormat="1" x14ac:dyDescent="0.25">
      <c r="A535" s="62"/>
      <c r="B535" s="66"/>
      <c r="C535" s="87"/>
      <c r="D535" s="60"/>
      <c r="E535" s="60"/>
      <c r="F535" s="60"/>
      <c r="G535" s="60"/>
      <c r="H535" s="62"/>
      <c r="I535" s="62"/>
      <c r="J535" s="62"/>
      <c r="K535" s="61"/>
      <c r="L535" s="18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X535" s="18"/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J535" s="18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customFormat="1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18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X536" s="18"/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J536" s="18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customFormat="1" x14ac:dyDescent="0.25">
      <c r="A537" s="62"/>
      <c r="B537" s="66"/>
      <c r="C537" s="87"/>
      <c r="D537" s="60"/>
      <c r="E537" s="60"/>
      <c r="F537" s="60"/>
      <c r="G537" s="60"/>
      <c r="H537" s="62"/>
      <c r="I537" s="62"/>
      <c r="J537" s="62"/>
      <c r="K537" s="61"/>
      <c r="L537" s="18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X537" s="18"/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J537" s="18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customFormat="1" x14ac:dyDescent="0.25">
      <c r="A538" s="62"/>
      <c r="B538" s="66"/>
      <c r="C538" s="87"/>
      <c r="D538" s="60"/>
      <c r="E538" s="60"/>
      <c r="F538" s="60"/>
      <c r="G538" s="60"/>
      <c r="H538" s="62"/>
      <c r="I538" s="62"/>
      <c r="J538" s="62"/>
      <c r="K538" s="61"/>
      <c r="L538" s="18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X538" s="18"/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J538" s="18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customFormat="1" x14ac:dyDescent="0.25">
      <c r="A539" s="62"/>
      <c r="B539" s="66"/>
      <c r="C539" s="87"/>
      <c r="D539" s="60"/>
      <c r="E539" s="60"/>
      <c r="F539" s="60"/>
      <c r="G539" s="60"/>
      <c r="H539" s="62"/>
      <c r="I539" s="62"/>
      <c r="J539" s="62"/>
      <c r="K539" s="61"/>
      <c r="L539" s="18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X539" s="18"/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J539" s="18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customFormat="1" x14ac:dyDescent="0.25">
      <c r="A540" s="62"/>
      <c r="B540" s="66"/>
      <c r="C540" s="87"/>
      <c r="D540" s="60"/>
      <c r="E540" s="60"/>
      <c r="F540" s="60"/>
      <c r="G540" s="60"/>
      <c r="H540" s="62"/>
      <c r="I540" s="62"/>
      <c r="J540" s="62"/>
      <c r="K540" s="61"/>
      <c r="L540" s="18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X540" s="18"/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J540" s="18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customFormat="1" x14ac:dyDescent="0.25">
      <c r="A541" s="62"/>
      <c r="B541" s="66"/>
      <c r="C541" s="87"/>
      <c r="D541" s="60"/>
      <c r="E541" s="60"/>
      <c r="F541" s="60"/>
      <c r="G541" s="60"/>
      <c r="H541" s="62"/>
      <c r="I541" s="62"/>
      <c r="J541" s="62"/>
      <c r="K541" s="61"/>
      <c r="L541" s="18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X541" s="18"/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J541" s="18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customFormat="1" x14ac:dyDescent="0.25">
      <c r="A542" s="62"/>
      <c r="B542" s="66"/>
      <c r="C542" s="87"/>
      <c r="D542" s="60"/>
      <c r="E542" s="60"/>
      <c r="F542" s="60"/>
      <c r="G542" s="60"/>
      <c r="H542" s="62"/>
      <c r="I542" s="62"/>
      <c r="J542" s="62"/>
      <c r="K542" s="61"/>
      <c r="L542" s="18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X542" s="18"/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J542" s="18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customFormat="1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18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X543" s="18"/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J543" s="18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customFormat="1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18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X544" s="18"/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J544" s="18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customFormat="1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18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X545" s="18"/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J545" s="18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customFormat="1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18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X546" s="18"/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J546" s="18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customFormat="1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18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X547" s="18"/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J547" s="18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customFormat="1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18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X548" s="18"/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J548" s="18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customFormat="1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18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X549" s="18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J549" s="18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customFormat="1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18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X550" s="18"/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J550" s="18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customForma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customFormat="1" x14ac:dyDescent="0.25">
      <c r="A552" t="s">
        <v>0</v>
      </c>
      <c r="B552" s="57"/>
      <c r="C552" s="57"/>
      <c r="D552" s="57"/>
      <c r="E552" s="57"/>
      <c r="F552" s="57"/>
      <c r="G552" s="57"/>
      <c r="L552" s="18"/>
      <c r="M552" t="s">
        <v>0</v>
      </c>
      <c r="N552" s="57"/>
      <c r="O552" s="57"/>
      <c r="P552" s="57"/>
      <c r="Q552" s="57"/>
      <c r="R552" s="57"/>
      <c r="S552" s="57"/>
      <c r="X552" s="18"/>
      <c r="Y552" t="s">
        <v>0</v>
      </c>
      <c r="Z552" s="57"/>
      <c r="AA552" s="57"/>
      <c r="AB552" s="57"/>
      <c r="AC552" s="57"/>
      <c r="AD552" s="57"/>
      <c r="AE552" s="57"/>
      <c r="AJ552" s="18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customFormat="1" x14ac:dyDescent="0.25">
      <c r="A553" t="s">
        <v>28</v>
      </c>
      <c r="B553" s="57"/>
      <c r="C553" s="57"/>
      <c r="D553" s="57"/>
      <c r="E553" s="57"/>
      <c r="F553" s="57"/>
      <c r="G553" s="57"/>
      <c r="L553" s="18"/>
      <c r="M553" t="s">
        <v>28</v>
      </c>
      <c r="N553" s="57"/>
      <c r="O553" s="57"/>
      <c r="P553" s="57"/>
      <c r="Q553" s="57"/>
      <c r="R553" s="57"/>
      <c r="S553" s="57"/>
      <c r="X553" s="18"/>
      <c r="Y553" t="s">
        <v>28</v>
      </c>
      <c r="Z553" s="57"/>
      <c r="AA553" s="57"/>
      <c r="AB553" s="57"/>
      <c r="AC553" s="57"/>
      <c r="AD553" s="57"/>
      <c r="AE553" s="57"/>
      <c r="AJ553" s="18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customFormat="1" x14ac:dyDescent="0.25">
      <c r="B554" s="57"/>
      <c r="C554" s="57"/>
      <c r="D554" s="57"/>
      <c r="E554" s="57"/>
      <c r="F554" s="57"/>
      <c r="G554" s="57"/>
      <c r="L554" s="18"/>
      <c r="N554" s="57"/>
      <c r="O554" s="57"/>
      <c r="P554" s="57"/>
      <c r="Q554" s="57"/>
      <c r="R554" s="57"/>
      <c r="S554" s="57"/>
      <c r="X554" s="18"/>
      <c r="Z554" s="57"/>
      <c r="AA554" s="57"/>
      <c r="AB554" s="57"/>
      <c r="AC554" s="57"/>
      <c r="AD554" s="57"/>
      <c r="AE554" s="57"/>
      <c r="AJ554" s="18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customFormat="1" x14ac:dyDescent="0.25">
      <c r="A555" s="4" t="s">
        <v>14</v>
      </c>
      <c r="B555" s="57"/>
      <c r="C555" s="57"/>
      <c r="D555" s="57"/>
      <c r="E555" s="57"/>
      <c r="F555" s="57"/>
      <c r="G555" s="57"/>
      <c r="L555" s="18"/>
      <c r="M555" s="4" t="s">
        <v>14</v>
      </c>
      <c r="N555" s="57"/>
      <c r="O555" s="57"/>
      <c r="P555" s="57"/>
      <c r="Q555" s="57"/>
      <c r="R555" s="57"/>
      <c r="S555" s="57"/>
      <c r="X555" s="18"/>
      <c r="Y555" s="4" t="s">
        <v>14</v>
      </c>
      <c r="Z555" s="57"/>
      <c r="AA555" s="57"/>
      <c r="AB555" s="57"/>
      <c r="AC555" s="57"/>
      <c r="AD555" s="57"/>
      <c r="AE555" s="57"/>
      <c r="AJ555" s="18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customFormat="1" x14ac:dyDescent="0.25">
      <c r="B556" s="57"/>
      <c r="C556" s="57"/>
      <c r="D556" s="57"/>
      <c r="E556" s="57"/>
      <c r="F556" s="57"/>
      <c r="G556" s="57"/>
      <c r="L556" s="18"/>
      <c r="N556" s="57"/>
      <c r="O556" s="57"/>
      <c r="P556" s="57"/>
      <c r="Q556" s="57"/>
      <c r="R556" s="57"/>
      <c r="S556" s="57"/>
      <c r="X556" s="18"/>
      <c r="Z556" s="57"/>
      <c r="AA556" s="57"/>
      <c r="AB556" s="57"/>
      <c r="AC556" s="57"/>
      <c r="AD556" s="57"/>
      <c r="AE556" s="57"/>
      <c r="AJ556" s="18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customFormat="1" ht="15.75" x14ac:dyDescent="0.25">
      <c r="A557" t="s">
        <v>52</v>
      </c>
      <c r="B557" s="57"/>
      <c r="C557" s="57"/>
      <c r="D557" s="57"/>
      <c r="E557" s="57"/>
      <c r="F557" s="57"/>
      <c r="G557" s="57"/>
      <c r="I557" s="57" t="s">
        <v>15</v>
      </c>
      <c r="J557" s="19">
        <v>1</v>
      </c>
      <c r="L557" s="18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X557" s="18"/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J557" s="18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customFormat="1" x14ac:dyDescent="0.25">
      <c r="A558" s="21" t="s">
        <v>67</v>
      </c>
      <c r="B558" s="20"/>
      <c r="C558" s="57"/>
      <c r="D558" s="57"/>
      <c r="E558" s="57"/>
      <c r="F558" s="57"/>
      <c r="G558" s="57"/>
      <c r="I558" s="22" t="s">
        <v>16</v>
      </c>
      <c r="J558" s="23" t="s">
        <v>33</v>
      </c>
      <c r="K558" s="24"/>
      <c r="L558" s="18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X558" s="18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J558" s="18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customFormat="1" x14ac:dyDescent="0.25">
      <c r="B559" s="57"/>
      <c r="C559" s="57"/>
      <c r="D559" s="57"/>
      <c r="E559" s="57"/>
      <c r="F559" s="57"/>
      <c r="G559" s="57"/>
      <c r="L559" s="18"/>
      <c r="N559" s="57"/>
      <c r="O559" s="57"/>
      <c r="P559" s="57"/>
      <c r="Q559" s="57"/>
      <c r="R559" s="57"/>
      <c r="S559" s="57"/>
      <c r="X559" s="18"/>
      <c r="Z559" s="57"/>
      <c r="AA559" s="57"/>
      <c r="AB559" s="57"/>
      <c r="AC559" s="57"/>
      <c r="AD559" s="57"/>
      <c r="AE559" s="57"/>
      <c r="AJ559" s="18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customFormat="1" ht="15" customHeight="1" x14ac:dyDescent="0.25">
      <c r="B560" s="25"/>
      <c r="C560" s="26"/>
      <c r="D560" s="121" t="s">
        <v>17</v>
      </c>
      <c r="E560" s="121"/>
      <c r="F560" s="98"/>
      <c r="G560" s="27"/>
      <c r="I560" s="124" t="s">
        <v>18</v>
      </c>
      <c r="J560" s="125"/>
      <c r="K560" s="122" t="s">
        <v>19</v>
      </c>
      <c r="L560" s="18"/>
      <c r="N560" s="25"/>
      <c r="O560" s="26"/>
      <c r="P560" s="121" t="s">
        <v>17</v>
      </c>
      <c r="Q560" s="121"/>
      <c r="R560" s="98"/>
      <c r="S560" s="27"/>
      <c r="U560" s="124" t="s">
        <v>18</v>
      </c>
      <c r="V560" s="125"/>
      <c r="W560" s="122" t="s">
        <v>19</v>
      </c>
      <c r="X560" s="18"/>
      <c r="Z560" s="25"/>
      <c r="AA560" s="26"/>
      <c r="AB560" s="121" t="s">
        <v>17</v>
      </c>
      <c r="AC560" s="121"/>
      <c r="AD560" s="98"/>
      <c r="AE560" s="27"/>
      <c r="AG560" s="124" t="s">
        <v>18</v>
      </c>
      <c r="AH560" s="125"/>
      <c r="AI560" s="122" t="s">
        <v>19</v>
      </c>
      <c r="AJ560" s="18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customFormat="1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3"/>
      <c r="L561" s="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23"/>
      <c r="X561" s="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3"/>
      <c r="AJ561" s="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customFormat="1" x14ac:dyDescent="0.25">
      <c r="A562" s="10">
        <v>1</v>
      </c>
      <c r="B562" s="30" t="s">
        <v>68</v>
      </c>
      <c r="C562" s="88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L562" s="18"/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X562" s="18"/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J562" s="18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customFormat="1" x14ac:dyDescent="0.25">
      <c r="A563" s="10">
        <v>2</v>
      </c>
      <c r="B563" s="30" t="s">
        <v>68</v>
      </c>
      <c r="C563" s="88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L563" s="18"/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X563" s="18"/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J563" s="18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customFormat="1" x14ac:dyDescent="0.25">
      <c r="A564" s="10">
        <v>3</v>
      </c>
      <c r="B564" s="30" t="s">
        <v>68</v>
      </c>
      <c r="C564" s="88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L564" s="18"/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X564" s="18"/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J564" s="18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customFormat="1" x14ac:dyDescent="0.25">
      <c r="A565" s="10">
        <v>4</v>
      </c>
      <c r="B565" s="30" t="s">
        <v>68</v>
      </c>
      <c r="C565" s="88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L565" s="18"/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X565" s="18"/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J565" s="18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customFormat="1" x14ac:dyDescent="0.25">
      <c r="A566" s="10">
        <v>5</v>
      </c>
      <c r="B566" s="30" t="s">
        <v>68</v>
      </c>
      <c r="C566" s="88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L566" s="18"/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X566" s="18"/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J566" s="18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customFormat="1" x14ac:dyDescent="0.25">
      <c r="A567" s="10">
        <v>6</v>
      </c>
      <c r="B567" s="30" t="s">
        <v>68</v>
      </c>
      <c r="C567" s="88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L567" s="18"/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X567" s="18"/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J567" s="18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customFormat="1" x14ac:dyDescent="0.25">
      <c r="A568" s="10">
        <v>7</v>
      </c>
      <c r="B568" s="30" t="s">
        <v>68</v>
      </c>
      <c r="C568" s="88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L568" s="18"/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X568" s="18"/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J568" s="18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customFormat="1" x14ac:dyDescent="0.25">
      <c r="A569" s="10">
        <v>8</v>
      </c>
      <c r="B569" s="30" t="s">
        <v>68</v>
      </c>
      <c r="C569" s="88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L569" s="18"/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X569" s="18"/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J569" s="18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customFormat="1" x14ac:dyDescent="0.25">
      <c r="A570" s="10">
        <v>9</v>
      </c>
      <c r="B570" s="30" t="s">
        <v>68</v>
      </c>
      <c r="C570" s="88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L570" s="18"/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X570" s="18"/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J570" s="18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customFormat="1" x14ac:dyDescent="0.25">
      <c r="A571" s="10">
        <v>10</v>
      </c>
      <c r="B571" s="30" t="s">
        <v>68</v>
      </c>
      <c r="C571" s="88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L571" s="18"/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X571" s="18"/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J571" s="18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customFormat="1" x14ac:dyDescent="0.25">
      <c r="A572" s="10">
        <v>11</v>
      </c>
      <c r="B572" s="30" t="s">
        <v>68</v>
      </c>
      <c r="C572" s="88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L572" s="18"/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X572" s="18"/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J572" s="18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customFormat="1" x14ac:dyDescent="0.25">
      <c r="A573" s="10">
        <v>12</v>
      </c>
      <c r="B573" s="30" t="s">
        <v>68</v>
      </c>
      <c r="C573" s="88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L573" s="18"/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X573" s="18"/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J573" s="18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customFormat="1" x14ac:dyDescent="0.25">
      <c r="A574" s="10">
        <v>13</v>
      </c>
      <c r="B574" s="30" t="s">
        <v>68</v>
      </c>
      <c r="C574" s="88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L574" s="18"/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X574" s="18"/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J574" s="18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customFormat="1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L575" s="18"/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X575" s="18"/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J575" s="18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customFormat="1" x14ac:dyDescent="0.25">
      <c r="A576" s="10">
        <v>15</v>
      </c>
      <c r="B576" s="30"/>
      <c r="C576" s="88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L576" s="18"/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X576" s="18"/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J576" s="18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customFormat="1" x14ac:dyDescent="0.25">
      <c r="A577" s="10">
        <v>16</v>
      </c>
      <c r="B577" s="30"/>
      <c r="C577" s="88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L577" s="18"/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X577" s="18"/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J577" s="18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customFormat="1" x14ac:dyDescent="0.25">
      <c r="A578" s="10">
        <v>17</v>
      </c>
      <c r="B578" s="30"/>
      <c r="C578" s="88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L578" s="18"/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X578" s="18"/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J578" s="18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customFormat="1" x14ac:dyDescent="0.25">
      <c r="A579" s="10">
        <v>18</v>
      </c>
      <c r="B579" s="30"/>
      <c r="C579" s="88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L579" s="18"/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X579" s="18"/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J579" s="18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customFormat="1" x14ac:dyDescent="0.25">
      <c r="A580" s="10">
        <v>19</v>
      </c>
      <c r="B580" s="30"/>
      <c r="C580" s="3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L580" s="18"/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X580" s="18"/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J580" s="18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customFormat="1" x14ac:dyDescent="0.25">
      <c r="A581" s="10">
        <v>20</v>
      </c>
      <c r="B581" s="30"/>
      <c r="C581" s="88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L581" s="18"/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X581" s="18"/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J581" s="18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customFormat="1" x14ac:dyDescent="0.25">
      <c r="A582" s="10">
        <v>21</v>
      </c>
      <c r="B582" s="30"/>
      <c r="C582" s="3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L582" s="18"/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X582" s="18"/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J582" s="18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customFormat="1" x14ac:dyDescent="0.25">
      <c r="A583" s="10">
        <v>22</v>
      </c>
      <c r="B583" s="30"/>
      <c r="C583" s="88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L583" s="18"/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X583" s="18"/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J583" s="18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customFormat="1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L584" s="18"/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X584" s="18"/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J584" s="18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customFormat="1" x14ac:dyDescent="0.25">
      <c r="A585" s="10">
        <v>24</v>
      </c>
      <c r="B585" s="30"/>
      <c r="C585" s="88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L585" s="18"/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X585" s="18"/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J585" s="18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customFormat="1" x14ac:dyDescent="0.25">
      <c r="A586" s="10">
        <v>25</v>
      </c>
      <c r="B586" s="30"/>
      <c r="C586" s="88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L586" s="18"/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X586" s="18"/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J586" s="18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customFormat="1" x14ac:dyDescent="0.25">
      <c r="A587" s="10">
        <v>26</v>
      </c>
      <c r="B587" s="30"/>
      <c r="C587" s="88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L587" s="18"/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X587" s="18"/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J587" s="18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customFormat="1" x14ac:dyDescent="0.25">
      <c r="A588" s="10">
        <v>27</v>
      </c>
      <c r="B588" s="30"/>
      <c r="C588" s="88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L588" s="18"/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X588" s="18"/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J588" s="18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customFormat="1" x14ac:dyDescent="0.25">
      <c r="A589" s="10">
        <v>28</v>
      </c>
      <c r="B589" s="30"/>
      <c r="C589" s="88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L589" s="18"/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X589" s="18"/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J589" s="18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customFormat="1" x14ac:dyDescent="0.25">
      <c r="A590" s="10">
        <v>29</v>
      </c>
      <c r="B590" s="30"/>
      <c r="C590" s="88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L590" s="18"/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X590" s="18"/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J590" s="18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customFormat="1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L591" s="18"/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X591" s="18"/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J591" s="18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customFormat="1" x14ac:dyDescent="0.25">
      <c r="A592" s="10">
        <v>31</v>
      </c>
      <c r="B592" s="30"/>
      <c r="C592" s="88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L592" s="18"/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X592" s="18"/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J592" s="18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customFormat="1" x14ac:dyDescent="0.25">
      <c r="A593" s="10">
        <v>32</v>
      </c>
      <c r="B593" s="30"/>
      <c r="C593" s="88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L593" s="18"/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X593" s="18"/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J593" s="18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customFormat="1" x14ac:dyDescent="0.25">
      <c r="A594" s="10">
        <v>33</v>
      </c>
      <c r="B594" s="30"/>
      <c r="C594" s="88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L594" s="18"/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X594" s="18"/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J594" s="18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customFormat="1" x14ac:dyDescent="0.25">
      <c r="A595" s="10"/>
      <c r="B595" s="30"/>
      <c r="C595" s="88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L595" s="18"/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X595" s="18"/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J595" s="18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customFormat="1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L596" s="18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X596" s="18"/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J596" s="18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customFormat="1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L597" s="18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X597" s="18"/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J597" s="18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customFormat="1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L598" s="18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X598" s="18"/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J598" s="18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customFormat="1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L599" s="18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X599" s="18"/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J599" s="18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customFormat="1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L600" s="18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X600" s="18"/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J600" s="18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customFormat="1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L601" s="18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X601" s="18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J601" s="18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customFormat="1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L602" s="18"/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X602" s="18"/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J602" s="18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customFormat="1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L603" s="18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X603" s="18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J603" s="18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customFormat="1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L604" s="18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X604" s="18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J604" s="18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customFormat="1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L605" s="18"/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X605" s="18"/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J605" s="18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customForma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customFormat="1" x14ac:dyDescent="0.25">
      <c r="A607" t="s">
        <v>0</v>
      </c>
      <c r="B607" s="57"/>
      <c r="C607" s="57"/>
      <c r="D607" s="57"/>
      <c r="E607" s="57"/>
      <c r="F607" s="57"/>
      <c r="G607" s="57"/>
      <c r="L607" s="18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18"/>
      <c r="Y607" t="s">
        <v>0</v>
      </c>
      <c r="Z607" s="57"/>
      <c r="AA607" s="57"/>
      <c r="AB607" s="57"/>
      <c r="AC607" s="57"/>
      <c r="AD607" s="57"/>
      <c r="AE607" s="57"/>
      <c r="AJ607" s="18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customFormat="1" x14ac:dyDescent="0.25">
      <c r="A608" t="s">
        <v>28</v>
      </c>
      <c r="B608" s="57"/>
      <c r="C608" s="57"/>
      <c r="D608" s="57"/>
      <c r="E608" s="57"/>
      <c r="F608" s="57"/>
      <c r="G608" s="57"/>
      <c r="L608" s="18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18"/>
      <c r="Y608" t="s">
        <v>28</v>
      </c>
      <c r="Z608" s="57"/>
      <c r="AA608" s="57"/>
      <c r="AB608" s="57"/>
      <c r="AC608" s="57"/>
      <c r="AD608" s="57"/>
      <c r="AE608" s="57"/>
      <c r="AJ608" s="18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customFormat="1" x14ac:dyDescent="0.25">
      <c r="B609" s="57"/>
      <c r="C609" s="57"/>
      <c r="D609" s="57"/>
      <c r="E609" s="57"/>
      <c r="F609" s="57"/>
      <c r="G609" s="57"/>
      <c r="L609" s="18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18"/>
      <c r="Z609" s="57"/>
      <c r="AA609" s="57"/>
      <c r="AB609" s="57"/>
      <c r="AC609" s="57"/>
      <c r="AD609" s="57"/>
      <c r="AE609" s="57"/>
      <c r="AJ609" s="18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customFormat="1" x14ac:dyDescent="0.25">
      <c r="A610" s="4" t="s">
        <v>14</v>
      </c>
      <c r="B610" s="57"/>
      <c r="C610" s="57"/>
      <c r="D610" s="57"/>
      <c r="E610" s="57"/>
      <c r="F610" s="57"/>
      <c r="G610" s="57"/>
      <c r="L610" s="18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18"/>
      <c r="Y610" s="4" t="s">
        <v>14</v>
      </c>
      <c r="Z610" s="57"/>
      <c r="AA610" s="57"/>
      <c r="AB610" s="57"/>
      <c r="AC610" s="57"/>
      <c r="AD610" s="57"/>
      <c r="AE610" s="57"/>
      <c r="AJ610" s="18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customFormat="1" x14ac:dyDescent="0.25">
      <c r="B611" s="57"/>
      <c r="C611" s="57"/>
      <c r="D611" s="57"/>
      <c r="E611" s="57"/>
      <c r="F611" s="57"/>
      <c r="G611" s="57"/>
      <c r="L611" s="18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18"/>
      <c r="Z611" s="57"/>
      <c r="AA611" s="57"/>
      <c r="AB611" s="57"/>
      <c r="AC611" s="57"/>
      <c r="AD611" s="57"/>
      <c r="AE611" s="57"/>
      <c r="AJ611" s="18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customFormat="1" ht="15.75" x14ac:dyDescent="0.25">
      <c r="A612" t="s">
        <v>34</v>
      </c>
      <c r="B612" s="57"/>
      <c r="C612" s="57"/>
      <c r="D612" s="57"/>
      <c r="E612" s="57"/>
      <c r="F612" s="57"/>
      <c r="G612" s="57"/>
      <c r="I612" s="57" t="s">
        <v>15</v>
      </c>
      <c r="J612" s="19">
        <v>1</v>
      </c>
      <c r="L612" s="18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18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J612" s="18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customFormat="1" x14ac:dyDescent="0.25">
      <c r="A613" s="21" t="s">
        <v>70</v>
      </c>
      <c r="B613" s="20"/>
      <c r="C613" s="57"/>
      <c r="D613" s="57"/>
      <c r="E613" s="57"/>
      <c r="F613" s="57"/>
      <c r="G613" s="57"/>
      <c r="I613" s="22" t="s">
        <v>16</v>
      </c>
      <c r="J613" s="23" t="s">
        <v>72</v>
      </c>
      <c r="K613" s="24"/>
      <c r="L613" s="18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18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J613" s="18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customFormat="1" x14ac:dyDescent="0.25">
      <c r="B614" s="57"/>
      <c r="C614" s="57"/>
      <c r="D614" s="57"/>
      <c r="E614" s="57"/>
      <c r="F614" s="57"/>
      <c r="G614" s="57"/>
      <c r="L614" s="18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18"/>
      <c r="Z614" s="57"/>
      <c r="AA614" s="57"/>
      <c r="AB614" s="57"/>
      <c r="AC614" s="57"/>
      <c r="AD614" s="57"/>
      <c r="AE614" s="57"/>
      <c r="AJ614" s="18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customFormat="1" ht="15" customHeight="1" x14ac:dyDescent="0.25">
      <c r="B615" s="25"/>
      <c r="C615" s="26"/>
      <c r="D615" s="121" t="s">
        <v>17</v>
      </c>
      <c r="E615" s="121"/>
      <c r="F615" s="99"/>
      <c r="G615" s="27"/>
      <c r="I615" s="124" t="s">
        <v>18</v>
      </c>
      <c r="J615" s="125"/>
      <c r="K615" s="122" t="s">
        <v>19</v>
      </c>
      <c r="L615" s="18"/>
      <c r="M615" s="62"/>
      <c r="N615" s="65"/>
      <c r="O615" s="87"/>
      <c r="P615" s="127"/>
      <c r="Q615" s="127"/>
      <c r="R615" s="87"/>
      <c r="S615" s="87"/>
      <c r="T615" s="62"/>
      <c r="U615" s="127"/>
      <c r="V615" s="127"/>
      <c r="W615" s="126"/>
      <c r="X615" s="18"/>
      <c r="Z615" s="25"/>
      <c r="AA615" s="26"/>
      <c r="AB615" s="121" t="s">
        <v>17</v>
      </c>
      <c r="AC615" s="121"/>
      <c r="AD615" s="99"/>
      <c r="AE615" s="27"/>
      <c r="AG615" s="124" t="s">
        <v>18</v>
      </c>
      <c r="AH615" s="125"/>
      <c r="AI615" s="122" t="s">
        <v>19</v>
      </c>
      <c r="AJ615" s="18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customFormat="1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3"/>
      <c r="L616" s="18"/>
      <c r="M616" s="62"/>
      <c r="N616" s="87"/>
      <c r="O616" s="87"/>
      <c r="P616" s="79"/>
      <c r="Q616" s="81"/>
      <c r="R616" s="81"/>
      <c r="S616" s="81"/>
      <c r="T616" s="62"/>
      <c r="U616" s="86"/>
      <c r="V616" s="86"/>
      <c r="W616" s="126"/>
      <c r="X616" s="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3"/>
      <c r="AJ616" s="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customFormat="1" x14ac:dyDescent="0.25">
      <c r="A617" s="10">
        <v>1</v>
      </c>
      <c r="B617" s="30" t="s">
        <v>71</v>
      </c>
      <c r="C617" s="88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L617" s="18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18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J617" s="18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customFormat="1" x14ac:dyDescent="0.25">
      <c r="A618" s="10">
        <v>2</v>
      </c>
      <c r="B618" s="30" t="s">
        <v>71</v>
      </c>
      <c r="C618" s="88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L618" s="18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18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J618" s="18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customFormat="1" x14ac:dyDescent="0.25">
      <c r="A619" s="10">
        <v>3</v>
      </c>
      <c r="B619" s="30" t="s">
        <v>71</v>
      </c>
      <c r="C619" s="88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L619" s="18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18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J619" s="18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customFormat="1" x14ac:dyDescent="0.25">
      <c r="A620" s="10">
        <v>4</v>
      </c>
      <c r="B620" s="30" t="s">
        <v>71</v>
      </c>
      <c r="C620" s="88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L620" s="18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18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J620" s="18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customFormat="1" x14ac:dyDescent="0.25">
      <c r="A621" s="10">
        <v>5</v>
      </c>
      <c r="B621" s="30" t="s">
        <v>71</v>
      </c>
      <c r="C621" s="88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L621" s="18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18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J621" s="18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customFormat="1" x14ac:dyDescent="0.25">
      <c r="A622" s="10">
        <v>6</v>
      </c>
      <c r="B622" s="30" t="s">
        <v>71</v>
      </c>
      <c r="C622" s="88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L622" s="18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18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J622" s="18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customFormat="1" x14ac:dyDescent="0.25">
      <c r="A623" s="10">
        <v>7</v>
      </c>
      <c r="B623" s="30" t="s">
        <v>71</v>
      </c>
      <c r="C623" s="88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L623" s="18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18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J623" s="18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customFormat="1" x14ac:dyDescent="0.25">
      <c r="A624" s="10">
        <v>8</v>
      </c>
      <c r="B624" s="30" t="s">
        <v>71</v>
      </c>
      <c r="C624" s="88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L624" s="18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18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J624" s="18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customFormat="1" x14ac:dyDescent="0.25">
      <c r="A625" s="10">
        <v>9</v>
      </c>
      <c r="B625" s="30" t="s">
        <v>71</v>
      </c>
      <c r="C625" s="88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L625" s="18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18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J625" s="18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customFormat="1" x14ac:dyDescent="0.25">
      <c r="A626" s="10">
        <v>10</v>
      </c>
      <c r="B626" s="30" t="s">
        <v>71</v>
      </c>
      <c r="C626" s="88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L626" s="18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18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J626" s="18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customFormat="1" x14ac:dyDescent="0.25">
      <c r="A627" s="10">
        <v>11</v>
      </c>
      <c r="B627" s="30" t="s">
        <v>71</v>
      </c>
      <c r="C627" s="88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L627" s="18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18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J627" s="18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customFormat="1" x14ac:dyDescent="0.25">
      <c r="A628" s="10">
        <v>12</v>
      </c>
      <c r="B628" s="30" t="s">
        <v>71</v>
      </c>
      <c r="C628" s="88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L628" s="18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18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J628" s="18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customFormat="1" x14ac:dyDescent="0.25">
      <c r="A629" s="10">
        <v>13</v>
      </c>
      <c r="B629" s="30" t="s">
        <v>71</v>
      </c>
      <c r="C629" s="88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L629" s="18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18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J629" s="18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customFormat="1" x14ac:dyDescent="0.25">
      <c r="A630" s="10">
        <v>14</v>
      </c>
      <c r="B630" s="30" t="s">
        <v>71</v>
      </c>
      <c r="C630" s="88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L630" s="18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18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J630" s="18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customFormat="1" x14ac:dyDescent="0.25">
      <c r="A631" s="10">
        <v>15</v>
      </c>
      <c r="B631" s="30" t="s">
        <v>71</v>
      </c>
      <c r="C631" s="88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L631" s="18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18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J631" s="18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customFormat="1" x14ac:dyDescent="0.25">
      <c r="A632" s="10">
        <v>16</v>
      </c>
      <c r="B632" s="30" t="s">
        <v>71</v>
      </c>
      <c r="C632" s="88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L632" s="18"/>
      <c r="M632" s="62"/>
      <c r="N632" s="66"/>
      <c r="O632" s="87"/>
      <c r="P632" s="60"/>
      <c r="Q632" s="60"/>
      <c r="R632" s="60"/>
      <c r="S632" s="60"/>
      <c r="T632" s="61"/>
      <c r="U632" s="61"/>
      <c r="V632" s="61"/>
      <c r="W632" s="61"/>
      <c r="X632" s="18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J632" s="18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customFormat="1" x14ac:dyDescent="0.25">
      <c r="A633" s="10">
        <v>17</v>
      </c>
      <c r="B633" s="30" t="s">
        <v>71</v>
      </c>
      <c r="C633" s="88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L633" s="18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18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J633" s="18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customFormat="1" x14ac:dyDescent="0.25">
      <c r="A634" s="10">
        <v>18</v>
      </c>
      <c r="B634" s="30" t="s">
        <v>71</v>
      </c>
      <c r="C634" s="88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L634" s="18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18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J634" s="18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customFormat="1" x14ac:dyDescent="0.25">
      <c r="A635" s="10">
        <v>19</v>
      </c>
      <c r="B635" s="30" t="s">
        <v>71</v>
      </c>
      <c r="C635" s="88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L635" s="18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18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J635" s="18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customFormat="1" x14ac:dyDescent="0.25">
      <c r="A636" s="10">
        <v>20</v>
      </c>
      <c r="B636" s="30" t="s">
        <v>71</v>
      </c>
      <c r="C636" s="88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L636" s="18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18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J636" s="18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customFormat="1" x14ac:dyDescent="0.25">
      <c r="A637" s="10">
        <v>21</v>
      </c>
      <c r="B637" s="30" t="s">
        <v>71</v>
      </c>
      <c r="C637" s="88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L637" s="18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18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J637" s="18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customFormat="1" x14ac:dyDescent="0.25">
      <c r="A638" s="10">
        <v>22</v>
      </c>
      <c r="B638" s="30" t="s">
        <v>71</v>
      </c>
      <c r="C638" s="88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L638" s="18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18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J638" s="18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customFormat="1" x14ac:dyDescent="0.25">
      <c r="A639" s="10">
        <v>23</v>
      </c>
      <c r="B639" s="30" t="s">
        <v>71</v>
      </c>
      <c r="C639" s="88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L639" s="18"/>
      <c r="M639" s="62"/>
      <c r="N639" s="66"/>
      <c r="O639" s="87"/>
      <c r="P639" s="69"/>
      <c r="Q639" s="62"/>
      <c r="R639" s="62"/>
      <c r="S639" s="60"/>
      <c r="T639" s="62"/>
      <c r="U639" s="62"/>
      <c r="V639" s="62"/>
      <c r="W639" s="61"/>
      <c r="X639" s="18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J639" s="18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customFormat="1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L640" s="18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18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J640" s="18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customFormat="1" x14ac:dyDescent="0.25">
      <c r="A641" s="10">
        <v>25</v>
      </c>
      <c r="B641" s="30"/>
      <c r="C641" s="88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L641" s="18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18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J641" s="18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customFormat="1" x14ac:dyDescent="0.25">
      <c r="A642" s="10">
        <v>26</v>
      </c>
      <c r="B642" s="30"/>
      <c r="C642" s="88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L642" s="18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18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J642" s="18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customFormat="1" x14ac:dyDescent="0.25">
      <c r="A643" s="10">
        <v>27</v>
      </c>
      <c r="B643" s="30"/>
      <c r="C643" s="88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L643" s="18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18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J643" s="18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customFormat="1" x14ac:dyDescent="0.25">
      <c r="A644" s="10">
        <v>28</v>
      </c>
      <c r="B644" s="30"/>
      <c r="C644" s="88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L644" s="18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18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J644" s="18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customFormat="1" x14ac:dyDescent="0.25">
      <c r="A645" s="10">
        <v>29</v>
      </c>
      <c r="B645" s="30"/>
      <c r="C645" s="88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L645" s="18"/>
      <c r="M645" s="62"/>
      <c r="N645" s="66"/>
      <c r="O645" s="62"/>
      <c r="P645" s="69"/>
      <c r="Q645" s="87"/>
      <c r="R645" s="87"/>
      <c r="S645" s="60"/>
      <c r="T645" s="62"/>
      <c r="U645" s="62"/>
      <c r="V645" s="62"/>
      <c r="W645" s="61"/>
      <c r="X645" s="18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J645" s="18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customFormat="1" x14ac:dyDescent="0.25">
      <c r="A646" s="10">
        <v>30</v>
      </c>
      <c r="B646" s="30"/>
      <c r="C646" s="3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L646" s="18"/>
      <c r="M646" s="62"/>
      <c r="N646" s="66"/>
      <c r="O646" s="62"/>
      <c r="P646" s="69"/>
      <c r="Q646" s="87"/>
      <c r="R646" s="87"/>
      <c r="S646" s="60"/>
      <c r="T646" s="62"/>
      <c r="U646" s="62"/>
      <c r="V646" s="62"/>
      <c r="W646" s="61"/>
      <c r="X646" s="18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J646" s="18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customFormat="1" x14ac:dyDescent="0.25">
      <c r="A647" s="10">
        <v>31</v>
      </c>
      <c r="B647" s="30"/>
      <c r="C647" s="88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L647" s="18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18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J647" s="18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customFormat="1" x14ac:dyDescent="0.25">
      <c r="A648" s="10">
        <v>32</v>
      </c>
      <c r="B648" s="30"/>
      <c r="C648" s="88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L648" s="18"/>
      <c r="M648" s="62"/>
      <c r="N648" s="66"/>
      <c r="O648" s="62"/>
      <c r="P648" s="69"/>
      <c r="Q648" s="87"/>
      <c r="R648" s="87"/>
      <c r="S648" s="60"/>
      <c r="T648" s="62"/>
      <c r="U648" s="62"/>
      <c r="V648" s="62"/>
      <c r="W648" s="61"/>
      <c r="X648" s="18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J648" s="18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customFormat="1" x14ac:dyDescent="0.25">
      <c r="A649" s="10">
        <v>33</v>
      </c>
      <c r="B649" s="30"/>
      <c r="C649" s="88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L649" s="18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18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J649" s="18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customFormat="1" x14ac:dyDescent="0.25">
      <c r="A650" s="10"/>
      <c r="B650" s="30"/>
      <c r="C650" s="88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L650" s="18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18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J650" s="18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customFormat="1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L651" s="18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18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J651" s="18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customFormat="1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L652" s="18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18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J652" s="18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customFormat="1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L653" s="18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18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J653" s="18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customFormat="1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L654" s="18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18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J654" s="18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customFormat="1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L655" s="18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18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J655" s="18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customFormat="1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L656" s="18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18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J656" s="18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customFormat="1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L657" s="18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18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J657" s="18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customFormat="1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L658" s="18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18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J658" s="18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customFormat="1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L659" s="18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18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J659" s="18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customFormat="1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L660" s="18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18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J660" s="18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customForma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customFormat="1" x14ac:dyDescent="0.25">
      <c r="A662" t="s">
        <v>0</v>
      </c>
      <c r="B662" s="57"/>
      <c r="C662" s="57"/>
      <c r="D662" s="57"/>
      <c r="E662" s="57"/>
      <c r="F662" s="57"/>
      <c r="G662" s="57"/>
      <c r="L662" s="18"/>
      <c r="M662" t="s">
        <v>0</v>
      </c>
      <c r="N662" s="57"/>
      <c r="O662" s="57"/>
      <c r="P662" s="57"/>
      <c r="Q662" s="57"/>
      <c r="R662" s="57"/>
      <c r="S662" s="57"/>
      <c r="X662" s="18"/>
      <c r="Y662" t="s">
        <v>0</v>
      </c>
      <c r="Z662" s="57"/>
      <c r="AA662" s="57"/>
      <c r="AB662" s="57"/>
      <c r="AC662" s="57"/>
      <c r="AD662" s="57"/>
      <c r="AE662" s="57"/>
      <c r="AJ662" s="18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customFormat="1" x14ac:dyDescent="0.25">
      <c r="A663" t="s">
        <v>28</v>
      </c>
      <c r="B663" s="57"/>
      <c r="C663" s="57"/>
      <c r="D663" s="57"/>
      <c r="E663" s="57"/>
      <c r="F663" s="57"/>
      <c r="G663" s="57"/>
      <c r="L663" s="18"/>
      <c r="M663" t="s">
        <v>28</v>
      </c>
      <c r="N663" s="57"/>
      <c r="O663" s="57"/>
      <c r="P663" s="57"/>
      <c r="Q663" s="57"/>
      <c r="R663" s="57"/>
      <c r="S663" s="57"/>
      <c r="X663" s="18"/>
      <c r="Y663" t="s">
        <v>28</v>
      </c>
      <c r="Z663" s="57"/>
      <c r="AA663" s="57"/>
      <c r="AB663" s="57"/>
      <c r="AC663" s="57"/>
      <c r="AD663" s="57"/>
      <c r="AE663" s="57"/>
      <c r="AJ663" s="18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customFormat="1" x14ac:dyDescent="0.25">
      <c r="B664" s="57"/>
      <c r="C664" s="57"/>
      <c r="D664" s="57"/>
      <c r="E664" s="57"/>
      <c r="F664" s="57"/>
      <c r="G664" s="57"/>
      <c r="L664" s="18"/>
      <c r="N664" s="57"/>
      <c r="O664" s="57"/>
      <c r="P664" s="57"/>
      <c r="Q664" s="57"/>
      <c r="R664" s="57"/>
      <c r="S664" s="57"/>
      <c r="X664" s="18"/>
      <c r="Z664" s="57"/>
      <c r="AA664" s="57"/>
      <c r="AB664" s="57"/>
      <c r="AC664" s="57"/>
      <c r="AD664" s="57"/>
      <c r="AE664" s="57"/>
      <c r="AJ664" s="18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customFormat="1" x14ac:dyDescent="0.25">
      <c r="A665" s="4" t="s">
        <v>14</v>
      </c>
      <c r="B665" s="57"/>
      <c r="C665" s="57"/>
      <c r="D665" s="57"/>
      <c r="E665" s="57"/>
      <c r="F665" s="57"/>
      <c r="G665" s="57"/>
      <c r="L665" s="18"/>
      <c r="M665" s="4" t="s">
        <v>14</v>
      </c>
      <c r="N665" s="57"/>
      <c r="O665" s="57"/>
      <c r="P665" s="57"/>
      <c r="Q665" s="57"/>
      <c r="R665" s="57"/>
      <c r="S665" s="57"/>
      <c r="X665" s="18"/>
      <c r="Y665" s="4" t="s">
        <v>14</v>
      </c>
      <c r="Z665" s="57"/>
      <c r="AA665" s="57"/>
      <c r="AB665" s="57"/>
      <c r="AC665" s="57"/>
      <c r="AD665" s="57"/>
      <c r="AE665" s="57"/>
      <c r="AJ665" s="18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customFormat="1" x14ac:dyDescent="0.25">
      <c r="B666" s="57"/>
      <c r="C666" s="57"/>
      <c r="D666" s="57"/>
      <c r="E666" s="57"/>
      <c r="F666" s="57"/>
      <c r="G666" s="57"/>
      <c r="L666" s="18"/>
      <c r="N666" s="57"/>
      <c r="O666" s="57"/>
      <c r="P666" s="57"/>
      <c r="Q666" s="57"/>
      <c r="R666" s="57"/>
      <c r="S666" s="57"/>
      <c r="X666" s="18"/>
      <c r="Z666" s="57"/>
      <c r="AA666" s="57"/>
      <c r="AB666" s="57"/>
      <c r="AC666" s="57"/>
      <c r="AD666" s="57"/>
      <c r="AE666" s="57"/>
      <c r="AJ666" s="18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customFormat="1" ht="15.75" x14ac:dyDescent="0.25">
      <c r="A667" t="s">
        <v>35</v>
      </c>
      <c r="B667" s="57"/>
      <c r="C667" s="57"/>
      <c r="D667" s="57"/>
      <c r="E667" s="57"/>
      <c r="F667" s="57"/>
      <c r="G667" s="57"/>
      <c r="I667" s="57" t="s">
        <v>15</v>
      </c>
      <c r="J667" s="19">
        <v>1</v>
      </c>
      <c r="L667" s="18"/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X667" s="18"/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J667" s="18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customFormat="1" x14ac:dyDescent="0.25">
      <c r="A668" s="21" t="s">
        <v>74</v>
      </c>
      <c r="B668" s="20"/>
      <c r="C668" s="57"/>
      <c r="D668" s="57"/>
      <c r="E668" s="57"/>
      <c r="F668" s="57"/>
      <c r="G668" s="57"/>
      <c r="I668" s="22" t="s">
        <v>16</v>
      </c>
      <c r="J668" s="23" t="s">
        <v>33</v>
      </c>
      <c r="K668" s="24"/>
      <c r="L668" s="18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X668" s="18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J668" s="18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customFormat="1" x14ac:dyDescent="0.25">
      <c r="B669" s="57"/>
      <c r="C669" s="57"/>
      <c r="D669" s="57"/>
      <c r="E669" s="57"/>
      <c r="F669" s="57"/>
      <c r="G669" s="57"/>
      <c r="L669" s="18"/>
      <c r="N669" s="57"/>
      <c r="O669" s="57"/>
      <c r="P669" s="57"/>
      <c r="Q669" s="57"/>
      <c r="R669" s="57"/>
      <c r="S669" s="57"/>
      <c r="X669" s="18"/>
      <c r="Z669" s="57"/>
      <c r="AA669" s="57"/>
      <c r="AB669" s="57"/>
      <c r="AC669" s="57"/>
      <c r="AD669" s="57"/>
      <c r="AE669" s="57"/>
      <c r="AJ669" s="18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customFormat="1" x14ac:dyDescent="0.25">
      <c r="B670" s="25"/>
      <c r="C670" s="26"/>
      <c r="D670" s="121" t="s">
        <v>17</v>
      </c>
      <c r="E670" s="121"/>
      <c r="F670" s="100"/>
      <c r="G670" s="27"/>
      <c r="I670" s="124" t="s">
        <v>18</v>
      </c>
      <c r="J670" s="125"/>
      <c r="K670" s="122" t="s">
        <v>19</v>
      </c>
      <c r="L670" s="18"/>
      <c r="N670" s="25"/>
      <c r="O670" s="26"/>
      <c r="P670" s="121" t="s">
        <v>17</v>
      </c>
      <c r="Q670" s="121"/>
      <c r="R670" s="100"/>
      <c r="S670" s="27"/>
      <c r="U670" s="124" t="s">
        <v>18</v>
      </c>
      <c r="V670" s="125"/>
      <c r="W670" s="122" t="s">
        <v>19</v>
      </c>
      <c r="X670" s="18"/>
      <c r="Z670" s="25"/>
      <c r="AA670" s="26"/>
      <c r="AB670" s="121" t="s">
        <v>17</v>
      </c>
      <c r="AC670" s="121"/>
      <c r="AD670" s="100"/>
      <c r="AE670" s="27"/>
      <c r="AG670" s="124" t="s">
        <v>18</v>
      </c>
      <c r="AH670" s="125"/>
      <c r="AI670" s="122" t="s">
        <v>19</v>
      </c>
      <c r="AJ670" s="18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customFormat="1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23"/>
      <c r="L671" s="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3"/>
      <c r="X671" s="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23"/>
      <c r="AJ671" s="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customFormat="1" x14ac:dyDescent="0.25">
      <c r="A672" s="10">
        <v>1</v>
      </c>
      <c r="B672" s="30" t="s">
        <v>75</v>
      </c>
      <c r="C672" s="88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L672" s="18"/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X672" s="18"/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J672" s="18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customFormat="1" x14ac:dyDescent="0.25">
      <c r="A673" s="10">
        <v>2</v>
      </c>
      <c r="B673" s="30" t="s">
        <v>75</v>
      </c>
      <c r="C673" s="88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L673" s="18"/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X673" s="18"/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J673" s="18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customFormat="1" x14ac:dyDescent="0.25">
      <c r="A674" s="10">
        <v>3</v>
      </c>
      <c r="B674" s="30" t="s">
        <v>75</v>
      </c>
      <c r="C674" s="88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L674" s="18"/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X674" s="18"/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J674" s="18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customFormat="1" x14ac:dyDescent="0.25">
      <c r="A675" s="10">
        <v>4</v>
      </c>
      <c r="B675" s="30" t="s">
        <v>75</v>
      </c>
      <c r="C675" s="88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L675" s="18"/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X675" s="18"/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J675" s="18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customFormat="1" x14ac:dyDescent="0.25">
      <c r="A676" s="10">
        <v>5</v>
      </c>
      <c r="B676" s="30" t="s">
        <v>75</v>
      </c>
      <c r="C676" s="88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L676" s="18"/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X676" s="18"/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J676" s="18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customFormat="1" x14ac:dyDescent="0.25">
      <c r="A677" s="10">
        <v>6</v>
      </c>
      <c r="B677" s="30" t="s">
        <v>75</v>
      </c>
      <c r="C677" s="88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L677" s="18"/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X677" s="18"/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J677" s="18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customFormat="1" x14ac:dyDescent="0.25">
      <c r="A678" s="10">
        <v>7</v>
      </c>
      <c r="B678" s="30" t="s">
        <v>75</v>
      </c>
      <c r="C678" s="88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L678" s="18"/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X678" s="18"/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J678" s="18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customFormat="1" x14ac:dyDescent="0.25">
      <c r="A679" s="10">
        <v>8</v>
      </c>
      <c r="B679" s="30" t="s">
        <v>75</v>
      </c>
      <c r="C679" s="88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L679" s="18"/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X679" s="18"/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J679" s="18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customFormat="1" x14ac:dyDescent="0.25">
      <c r="A680" s="10">
        <v>9</v>
      </c>
      <c r="B680" s="30" t="s">
        <v>75</v>
      </c>
      <c r="C680" s="88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L680" s="18"/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X680" s="18"/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J680" s="18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customFormat="1" x14ac:dyDescent="0.25">
      <c r="A681" s="10">
        <v>10</v>
      </c>
      <c r="B681" s="30" t="s">
        <v>75</v>
      </c>
      <c r="C681" s="88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L681" s="18"/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X681" s="18"/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J681" s="18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customFormat="1" x14ac:dyDescent="0.25">
      <c r="A682" s="10">
        <v>11</v>
      </c>
      <c r="B682" s="30" t="s">
        <v>75</v>
      </c>
      <c r="C682" s="88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L682" s="18"/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X682" s="18"/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J682" s="18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customFormat="1" x14ac:dyDescent="0.25">
      <c r="A683" s="10">
        <v>12</v>
      </c>
      <c r="B683" s="30" t="s">
        <v>75</v>
      </c>
      <c r="C683" s="88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L683" s="18"/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X683" s="18"/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J683" s="18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customFormat="1" x14ac:dyDescent="0.25">
      <c r="A684" s="10">
        <v>13</v>
      </c>
      <c r="B684" s="30" t="s">
        <v>75</v>
      </c>
      <c r="C684" s="88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L684" s="18"/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X684" s="18"/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J684" s="18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customFormat="1" x14ac:dyDescent="0.25">
      <c r="A685" s="10">
        <v>14</v>
      </c>
      <c r="B685" s="30" t="s">
        <v>75</v>
      </c>
      <c r="C685" s="88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L685" s="18"/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X685" s="18"/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J685" s="18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customFormat="1" x14ac:dyDescent="0.25">
      <c r="A686" s="10">
        <v>15</v>
      </c>
      <c r="B686" s="30" t="s">
        <v>75</v>
      </c>
      <c r="C686" s="88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L686" s="18"/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X686" s="18"/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J686" s="18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customFormat="1" x14ac:dyDescent="0.25">
      <c r="A687" s="10">
        <v>16</v>
      </c>
      <c r="B687" s="30" t="s">
        <v>75</v>
      </c>
      <c r="C687" s="88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L687" s="18"/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X687" s="18"/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J687" s="18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customFormat="1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L688" s="18"/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X688" s="18"/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J688" s="18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customFormat="1" x14ac:dyDescent="0.25">
      <c r="A689" s="10">
        <v>18</v>
      </c>
      <c r="B689" s="30"/>
      <c r="C689" s="88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L689" s="18"/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X689" s="18"/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J689" s="18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customFormat="1" x14ac:dyDescent="0.25">
      <c r="A690" s="10">
        <v>19</v>
      </c>
      <c r="B690" s="30"/>
      <c r="C690" s="88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L690" s="18"/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X690" s="18"/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J690" s="18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customFormat="1" x14ac:dyDescent="0.25">
      <c r="A691" s="10">
        <v>20</v>
      </c>
      <c r="B691" s="30"/>
      <c r="C691" s="88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L691" s="18"/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X691" s="18"/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J691" s="18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customFormat="1" x14ac:dyDescent="0.25">
      <c r="A692" s="10">
        <v>21</v>
      </c>
      <c r="B692" s="30"/>
      <c r="C692" s="88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L692" s="18"/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X692" s="18"/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J692" s="18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customFormat="1" x14ac:dyDescent="0.25">
      <c r="A693" s="10">
        <v>22</v>
      </c>
      <c r="B693" s="30"/>
      <c r="C693" s="88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L693" s="18"/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X693" s="18"/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J693" s="18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customFormat="1" x14ac:dyDescent="0.25">
      <c r="A694" s="10">
        <v>23</v>
      </c>
      <c r="B694" s="30"/>
      <c r="C694" s="88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L694" s="18"/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X694" s="18"/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J694" s="18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customFormat="1" x14ac:dyDescent="0.25">
      <c r="A695" s="10">
        <v>24</v>
      </c>
      <c r="B695" s="30"/>
      <c r="C695" s="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L695" s="18"/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X695" s="18"/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J695" s="18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customFormat="1" x14ac:dyDescent="0.25">
      <c r="A696" s="10">
        <v>25</v>
      </c>
      <c r="B696" s="30"/>
      <c r="C696" s="88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L696" s="18"/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X696" s="18"/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J696" s="18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customFormat="1" x14ac:dyDescent="0.25">
      <c r="A697" s="10">
        <v>26</v>
      </c>
      <c r="B697" s="30"/>
      <c r="C697" s="88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L697" s="18"/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X697" s="18"/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J697" s="18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customFormat="1" x14ac:dyDescent="0.25">
      <c r="A698" s="10">
        <v>27</v>
      </c>
      <c r="B698" s="30"/>
      <c r="C698" s="88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L698" s="18"/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X698" s="18"/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J698" s="18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customFormat="1" x14ac:dyDescent="0.25">
      <c r="A699" s="10">
        <v>28</v>
      </c>
      <c r="B699" s="30"/>
      <c r="C699" s="88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L699" s="18"/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X699" s="18"/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J699" s="18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customFormat="1" x14ac:dyDescent="0.25">
      <c r="A700" s="10">
        <v>29</v>
      </c>
      <c r="B700" s="30"/>
      <c r="C700" s="88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L700" s="18"/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X700" s="18"/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J700" s="18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customFormat="1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L701" s="18"/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X701" s="18"/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J701" s="18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customFormat="1" x14ac:dyDescent="0.25">
      <c r="A702" s="10">
        <v>31</v>
      </c>
      <c r="B702" s="30"/>
      <c r="C702" s="88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L702" s="18"/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X702" s="18"/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J702" s="18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customFormat="1" x14ac:dyDescent="0.25">
      <c r="A703" s="10">
        <v>32</v>
      </c>
      <c r="B703" s="30"/>
      <c r="C703" s="88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L703" s="18"/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X703" s="18"/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J703" s="18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customFormat="1" x14ac:dyDescent="0.25">
      <c r="A704" s="10">
        <v>33</v>
      </c>
      <c r="B704" s="30"/>
      <c r="C704" s="88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L704" s="18"/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X704" s="18"/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J704" s="18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customFormat="1" x14ac:dyDescent="0.25">
      <c r="A705" s="10"/>
      <c r="B705" s="30"/>
      <c r="C705" s="88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L705" s="18"/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X705" s="18"/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J705" s="18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customFormat="1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L706" s="18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X706" s="18"/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J706" s="18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customFormat="1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L707" s="18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X707" s="18"/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J707" s="18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customFormat="1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L708" s="18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X708" s="18"/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J708" s="18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customFormat="1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L709" s="18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X709" s="18"/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J709" s="18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customFormat="1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L710" s="18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X710" s="18"/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J710" s="18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customFormat="1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L711" s="18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X711" s="18"/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J711" s="18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customFormat="1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L712" s="18"/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X712" s="18"/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J712" s="18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customFormat="1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L713" s="18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X713" s="18"/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J713" s="18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customFormat="1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L714" s="18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X714" s="18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J714" s="18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customFormat="1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L715" s="18"/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X715" s="18"/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J715" s="18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customForma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customFormat="1" x14ac:dyDescent="0.25">
      <c r="A717" t="s">
        <v>0</v>
      </c>
      <c r="B717" s="57"/>
      <c r="C717" s="57"/>
      <c r="D717" s="57"/>
      <c r="E717" s="57"/>
      <c r="F717" s="57"/>
      <c r="G717" s="57"/>
      <c r="L717" s="18"/>
      <c r="M717" t="s">
        <v>0</v>
      </c>
      <c r="N717" s="57"/>
      <c r="O717" s="57"/>
      <c r="P717" s="57"/>
      <c r="Q717" s="57"/>
      <c r="R717" s="57"/>
      <c r="S717" s="57"/>
      <c r="X717" s="18"/>
      <c r="Y717" t="s">
        <v>0</v>
      </c>
      <c r="Z717" s="57"/>
      <c r="AA717" s="57"/>
      <c r="AB717" s="57"/>
      <c r="AC717" s="57"/>
      <c r="AD717" s="57"/>
      <c r="AE717" s="57"/>
      <c r="AJ717" s="18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customFormat="1" x14ac:dyDescent="0.25">
      <c r="A718" t="s">
        <v>28</v>
      </c>
      <c r="B718" s="57"/>
      <c r="C718" s="57"/>
      <c r="D718" s="57"/>
      <c r="E718" s="57"/>
      <c r="F718" s="57"/>
      <c r="G718" s="57"/>
      <c r="L718" s="18"/>
      <c r="M718" t="s">
        <v>28</v>
      </c>
      <c r="N718" s="57"/>
      <c r="O718" s="57"/>
      <c r="P718" s="57"/>
      <c r="Q718" s="57"/>
      <c r="R718" s="57"/>
      <c r="S718" s="57"/>
      <c r="X718" s="18"/>
      <c r="Y718" t="s">
        <v>28</v>
      </c>
      <c r="Z718" s="57"/>
      <c r="AA718" s="57"/>
      <c r="AB718" s="57"/>
      <c r="AC718" s="57"/>
      <c r="AD718" s="57"/>
      <c r="AE718" s="57"/>
      <c r="AJ718" s="18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customFormat="1" x14ac:dyDescent="0.25">
      <c r="B719" s="57"/>
      <c r="C719" s="57"/>
      <c r="D719" s="57"/>
      <c r="E719" s="57"/>
      <c r="F719" s="57"/>
      <c r="G719" s="57"/>
      <c r="L719" s="18"/>
      <c r="N719" s="57"/>
      <c r="O719" s="57"/>
      <c r="P719" s="57"/>
      <c r="Q719" s="57"/>
      <c r="R719" s="57"/>
      <c r="S719" s="57"/>
      <c r="X719" s="18"/>
      <c r="Z719" s="57"/>
      <c r="AA719" s="57"/>
      <c r="AB719" s="57"/>
      <c r="AC719" s="57"/>
      <c r="AD719" s="57"/>
      <c r="AE719" s="57"/>
      <c r="AJ719" s="18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customFormat="1" x14ac:dyDescent="0.25">
      <c r="A720" s="4" t="s">
        <v>14</v>
      </c>
      <c r="B720" s="57"/>
      <c r="C720" s="57"/>
      <c r="D720" s="57"/>
      <c r="E720" s="57"/>
      <c r="F720" s="57"/>
      <c r="G720" s="57"/>
      <c r="L720" s="18"/>
      <c r="M720" s="4" t="s">
        <v>14</v>
      </c>
      <c r="N720" s="57"/>
      <c r="O720" s="57"/>
      <c r="P720" s="57"/>
      <c r="Q720" s="57"/>
      <c r="R720" s="57"/>
      <c r="S720" s="57"/>
      <c r="X720" s="18"/>
      <c r="Y720" s="4" t="s">
        <v>14</v>
      </c>
      <c r="Z720" s="57"/>
      <c r="AA720" s="57"/>
      <c r="AB720" s="57"/>
      <c r="AC720" s="57"/>
      <c r="AD720" s="57"/>
      <c r="AE720" s="57"/>
      <c r="AJ720" s="18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customFormat="1" x14ac:dyDescent="0.25">
      <c r="B721" s="57"/>
      <c r="C721" s="57"/>
      <c r="D721" s="57"/>
      <c r="E721" s="57"/>
      <c r="F721" s="57"/>
      <c r="G721" s="57"/>
      <c r="L721" s="18"/>
      <c r="N721" s="57"/>
      <c r="O721" s="57"/>
      <c r="P721" s="57"/>
      <c r="Q721" s="57"/>
      <c r="R721" s="57"/>
      <c r="S721" s="57"/>
      <c r="X721" s="18"/>
      <c r="Z721" s="57"/>
      <c r="AA721" s="57"/>
      <c r="AB721" s="57"/>
      <c r="AC721" s="57"/>
      <c r="AD721" s="57"/>
      <c r="AE721" s="57"/>
      <c r="AJ721" s="18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customFormat="1" ht="15.75" x14ac:dyDescent="0.25">
      <c r="A722" t="s">
        <v>40</v>
      </c>
      <c r="B722" s="57"/>
      <c r="C722" s="57"/>
      <c r="D722" s="57"/>
      <c r="E722" s="57"/>
      <c r="F722" s="57"/>
      <c r="G722" s="57"/>
      <c r="I722" s="57" t="s">
        <v>15</v>
      </c>
      <c r="J722" s="19">
        <v>1</v>
      </c>
      <c r="L722" s="18"/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X722" s="18"/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J722" s="18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customFormat="1" x14ac:dyDescent="0.25">
      <c r="A723" s="21" t="s">
        <v>77</v>
      </c>
      <c r="B723" s="20"/>
      <c r="C723" s="57"/>
      <c r="D723" s="57"/>
      <c r="E723" s="57"/>
      <c r="F723" s="57"/>
      <c r="G723" s="57"/>
      <c r="I723" s="22" t="s">
        <v>16</v>
      </c>
      <c r="J723" s="23" t="s">
        <v>33</v>
      </c>
      <c r="K723" s="24"/>
      <c r="L723" s="18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X723" s="18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J723" s="18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customFormat="1" x14ac:dyDescent="0.25">
      <c r="B724" s="57"/>
      <c r="C724" s="57"/>
      <c r="D724" s="57"/>
      <c r="E724" s="57"/>
      <c r="F724" s="57"/>
      <c r="G724" s="57"/>
      <c r="L724" s="18"/>
      <c r="N724" s="57"/>
      <c r="O724" s="57"/>
      <c r="P724" s="57"/>
      <c r="Q724" s="57"/>
      <c r="R724" s="57"/>
      <c r="S724" s="57"/>
      <c r="X724" s="18"/>
      <c r="Z724" s="57"/>
      <c r="AA724" s="57"/>
      <c r="AB724" s="57"/>
      <c r="AC724" s="57"/>
      <c r="AD724" s="57"/>
      <c r="AE724" s="57"/>
      <c r="AJ724" s="18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customFormat="1" x14ac:dyDescent="0.25">
      <c r="B725" s="25"/>
      <c r="C725" s="26"/>
      <c r="D725" s="121" t="s">
        <v>17</v>
      </c>
      <c r="E725" s="121"/>
      <c r="F725" s="101"/>
      <c r="G725" s="27"/>
      <c r="I725" s="124" t="s">
        <v>18</v>
      </c>
      <c r="J725" s="125"/>
      <c r="K725" s="122" t="s">
        <v>19</v>
      </c>
      <c r="L725" s="18"/>
      <c r="N725" s="25"/>
      <c r="O725" s="26"/>
      <c r="P725" s="121" t="s">
        <v>17</v>
      </c>
      <c r="Q725" s="121"/>
      <c r="R725" s="101"/>
      <c r="S725" s="27"/>
      <c r="U725" s="124" t="s">
        <v>18</v>
      </c>
      <c r="V725" s="125"/>
      <c r="W725" s="122" t="s">
        <v>19</v>
      </c>
      <c r="X725" s="18"/>
      <c r="Z725" s="25"/>
      <c r="AA725" s="26"/>
      <c r="AB725" s="121" t="s">
        <v>17</v>
      </c>
      <c r="AC725" s="121"/>
      <c r="AD725" s="101"/>
      <c r="AE725" s="27"/>
      <c r="AG725" s="124" t="s">
        <v>18</v>
      </c>
      <c r="AH725" s="125"/>
      <c r="AI725" s="122" t="s">
        <v>19</v>
      </c>
      <c r="AJ725" s="18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customFormat="1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23"/>
      <c r="L726" s="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3"/>
      <c r="X726" s="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3"/>
      <c r="AJ726" s="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customFormat="1" x14ac:dyDescent="0.25">
      <c r="A727" s="10">
        <v>1</v>
      </c>
      <c r="B727" s="30" t="s">
        <v>78</v>
      </c>
      <c r="C727" s="88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L727" s="18"/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X727" s="18"/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J727" s="18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customFormat="1" x14ac:dyDescent="0.25">
      <c r="A728" s="10">
        <v>2</v>
      </c>
      <c r="B728" s="30" t="s">
        <v>78</v>
      </c>
      <c r="C728" s="88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L728" s="18"/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X728" s="18"/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J728" s="18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customFormat="1" x14ac:dyDescent="0.25">
      <c r="A729" s="10">
        <v>3</v>
      </c>
      <c r="B729" s="30" t="s">
        <v>78</v>
      </c>
      <c r="C729" s="88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L729" s="18"/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X729" s="18"/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J729" s="18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customFormat="1" x14ac:dyDescent="0.25">
      <c r="A730" s="10">
        <v>4</v>
      </c>
      <c r="B730" s="30" t="s">
        <v>78</v>
      </c>
      <c r="C730" s="88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L730" s="18"/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X730" s="18"/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J730" s="18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customFormat="1" x14ac:dyDescent="0.25">
      <c r="A731" s="10">
        <v>5</v>
      </c>
      <c r="B731" s="30" t="s">
        <v>78</v>
      </c>
      <c r="C731" s="88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L731" s="18"/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X731" s="18"/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J731" s="18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customFormat="1" x14ac:dyDescent="0.25">
      <c r="A732" s="10">
        <v>6</v>
      </c>
      <c r="B732" s="30" t="s">
        <v>78</v>
      </c>
      <c r="C732" s="88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L732" s="18"/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X732" s="18"/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J732" s="18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customFormat="1" x14ac:dyDescent="0.25">
      <c r="A733" s="10">
        <v>7</v>
      </c>
      <c r="B733" s="30" t="s">
        <v>78</v>
      </c>
      <c r="C733" s="88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L733" s="18"/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X733" s="18"/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J733" s="18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customFormat="1" x14ac:dyDescent="0.25">
      <c r="A734" s="10">
        <v>8</v>
      </c>
      <c r="B734" s="30" t="s">
        <v>78</v>
      </c>
      <c r="C734" s="88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L734" s="18"/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X734" s="18"/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J734" s="18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customFormat="1" x14ac:dyDescent="0.25">
      <c r="A735" s="10">
        <v>9</v>
      </c>
      <c r="B735" s="30" t="s">
        <v>78</v>
      </c>
      <c r="C735" s="88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L735" s="18"/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X735" s="18"/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J735" s="18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customFormat="1" x14ac:dyDescent="0.25">
      <c r="A736" s="10">
        <v>10</v>
      </c>
      <c r="B736" s="30" t="s">
        <v>78</v>
      </c>
      <c r="C736" s="88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L736" s="18"/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X736" s="18"/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J736" s="18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customFormat="1" x14ac:dyDescent="0.25">
      <c r="A737" s="10">
        <v>11</v>
      </c>
      <c r="B737" s="30" t="s">
        <v>78</v>
      </c>
      <c r="C737" s="88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L737" s="18"/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X737" s="18"/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J737" s="18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customFormat="1" x14ac:dyDescent="0.25">
      <c r="A738" s="10">
        <v>12</v>
      </c>
      <c r="B738" s="30" t="s">
        <v>78</v>
      </c>
      <c r="C738" s="88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L738" s="18"/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X738" s="18"/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J738" s="18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customFormat="1" x14ac:dyDescent="0.25">
      <c r="A739" s="10">
        <v>13</v>
      </c>
      <c r="B739" s="30" t="s">
        <v>78</v>
      </c>
      <c r="C739" s="88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L739" s="18"/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X739" s="18"/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J739" s="18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customFormat="1" x14ac:dyDescent="0.25">
      <c r="A740" s="10">
        <v>14</v>
      </c>
      <c r="B740" s="30" t="s">
        <v>78</v>
      </c>
      <c r="C740" s="88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L740" s="18"/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X740" s="18"/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J740" s="18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customFormat="1" x14ac:dyDescent="0.25">
      <c r="A741" s="10">
        <v>15</v>
      </c>
      <c r="B741" s="30" t="s">
        <v>78</v>
      </c>
      <c r="C741" s="88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L741" s="18"/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X741" s="18"/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J741" s="18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customFormat="1" x14ac:dyDescent="0.25">
      <c r="A742" s="10">
        <v>16</v>
      </c>
      <c r="B742" s="30" t="s">
        <v>78</v>
      </c>
      <c r="C742" s="88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L742" s="18"/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X742" s="18"/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J742" s="18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customFormat="1" x14ac:dyDescent="0.25">
      <c r="A743" s="10">
        <v>17</v>
      </c>
      <c r="B743" s="30" t="s">
        <v>78</v>
      </c>
      <c r="C743" s="88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L743" s="18"/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X743" s="18"/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J743" s="18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customFormat="1" x14ac:dyDescent="0.25">
      <c r="A744" s="10">
        <v>18</v>
      </c>
      <c r="B744" s="30" t="s">
        <v>78</v>
      </c>
      <c r="C744" s="88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L744" s="18"/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X744" s="18"/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J744" s="18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customFormat="1" x14ac:dyDescent="0.25">
      <c r="A745" s="10">
        <v>19</v>
      </c>
      <c r="B745" s="30" t="s">
        <v>78</v>
      </c>
      <c r="C745" s="88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L745" s="18"/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X745" s="18"/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J745" s="18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customFormat="1" x14ac:dyDescent="0.25">
      <c r="A746" s="10">
        <v>20</v>
      </c>
      <c r="B746" s="30" t="s">
        <v>78</v>
      </c>
      <c r="C746" s="88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L746" s="18"/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X746" s="18"/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J746" s="18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customFormat="1" x14ac:dyDescent="0.25">
      <c r="A747" s="10">
        <v>21</v>
      </c>
      <c r="B747" s="30" t="s">
        <v>78</v>
      </c>
      <c r="C747" s="88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L747" s="18"/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X747" s="18"/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J747" s="18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customFormat="1" x14ac:dyDescent="0.25">
      <c r="A748" s="10">
        <v>22</v>
      </c>
      <c r="B748" s="30" t="s">
        <v>78</v>
      </c>
      <c r="C748" s="88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L748" s="18"/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X748" s="18"/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J748" s="18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customFormat="1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L749" s="18"/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X749" s="18"/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J749" s="18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customFormat="1" x14ac:dyDescent="0.25">
      <c r="A750" s="10">
        <v>24</v>
      </c>
      <c r="B750" s="30"/>
      <c r="C750" s="88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L750" s="18"/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X750" s="18"/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J750" s="18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customFormat="1" x14ac:dyDescent="0.25">
      <c r="A751" s="10">
        <v>25</v>
      </c>
      <c r="B751" s="30"/>
      <c r="C751" s="88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L751" s="18"/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X751" s="18"/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J751" s="18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customFormat="1" x14ac:dyDescent="0.25">
      <c r="A752" s="10">
        <v>26</v>
      </c>
      <c r="B752" s="30"/>
      <c r="C752" s="88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L752" s="18"/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X752" s="18"/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J752" s="18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customFormat="1" x14ac:dyDescent="0.25">
      <c r="A753" s="10">
        <v>27</v>
      </c>
      <c r="B753" s="30"/>
      <c r="C753" s="88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L753" s="18"/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X753" s="18"/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J753" s="18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customFormat="1" x14ac:dyDescent="0.25">
      <c r="A754" s="10">
        <v>28</v>
      </c>
      <c r="B754" s="30"/>
      <c r="C754" s="88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L754" s="18"/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X754" s="18"/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J754" s="18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customFormat="1" x14ac:dyDescent="0.25">
      <c r="A755" s="10">
        <v>29</v>
      </c>
      <c r="B755" s="30"/>
      <c r="C755" s="88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L755" s="18"/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X755" s="18"/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J755" s="18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customFormat="1" x14ac:dyDescent="0.25">
      <c r="A756" s="10">
        <v>30</v>
      </c>
      <c r="B756" s="30"/>
      <c r="C756" s="3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L756" s="18"/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X756" s="18"/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J756" s="18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customFormat="1" x14ac:dyDescent="0.25">
      <c r="A757" s="10">
        <v>31</v>
      </c>
      <c r="B757" s="30"/>
      <c r="C757" s="88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L757" s="18"/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X757" s="18"/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J757" s="18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customFormat="1" x14ac:dyDescent="0.25">
      <c r="A758" s="10">
        <v>32</v>
      </c>
      <c r="B758" s="30"/>
      <c r="C758" s="88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L758" s="18"/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X758" s="18"/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J758" s="18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customFormat="1" x14ac:dyDescent="0.25">
      <c r="A759" s="10">
        <v>33</v>
      </c>
      <c r="B759" s="30"/>
      <c r="C759" s="88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L759" s="18"/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X759" s="18"/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J759" s="18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customFormat="1" x14ac:dyDescent="0.25">
      <c r="A760" s="10"/>
      <c r="B760" s="30"/>
      <c r="C760" s="88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L760" s="18"/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X760" s="18"/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J760" s="18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customFormat="1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L761" s="18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X761" s="18"/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J761" s="18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customFormat="1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L762" s="18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X762" s="18"/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J762" s="18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customFormat="1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L763" s="18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X763" s="18"/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J763" s="18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customFormat="1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L764" s="18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X764" s="18"/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J764" s="18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customFormat="1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L765" s="18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X765" s="18"/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J765" s="18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customFormat="1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L766" s="18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X766" s="18"/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J766" s="18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customFormat="1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L767" s="18"/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X767" s="18"/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J767" s="18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customFormat="1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L768" s="18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X768" s="18"/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J768" s="18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customFormat="1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L769" s="18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X769" s="18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J769" s="18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customFormat="1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L770" s="18"/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X770" s="18"/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J770" s="18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customForma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customFormat="1" x14ac:dyDescent="0.25">
      <c r="A772" t="s">
        <v>0</v>
      </c>
      <c r="B772" s="57"/>
      <c r="C772" s="57"/>
      <c r="D772" s="57"/>
      <c r="E772" s="57"/>
      <c r="F772" s="57"/>
      <c r="G772" s="57"/>
      <c r="L772" s="18"/>
      <c r="M772" t="s">
        <v>0</v>
      </c>
      <c r="N772" s="57"/>
      <c r="O772" s="57"/>
      <c r="P772" s="57"/>
      <c r="Q772" s="57"/>
      <c r="R772" s="57"/>
      <c r="S772" s="57"/>
      <c r="X772" s="18"/>
      <c r="Y772" t="s">
        <v>0</v>
      </c>
      <c r="Z772" s="57"/>
      <c r="AA772" s="57"/>
      <c r="AB772" s="57"/>
      <c r="AC772" s="57"/>
      <c r="AD772" s="57"/>
      <c r="AE772" s="57"/>
      <c r="AJ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customFormat="1" x14ac:dyDescent="0.25">
      <c r="A773" t="s">
        <v>28</v>
      </c>
      <c r="B773" s="57"/>
      <c r="C773" s="57"/>
      <c r="D773" s="57"/>
      <c r="E773" s="57"/>
      <c r="F773" s="57"/>
      <c r="G773" s="57"/>
      <c r="L773" s="18"/>
      <c r="M773" t="s">
        <v>28</v>
      </c>
      <c r="N773" s="57"/>
      <c r="O773" s="57"/>
      <c r="P773" s="57"/>
      <c r="Q773" s="57"/>
      <c r="R773" s="57"/>
      <c r="S773" s="57"/>
      <c r="X773" s="18"/>
      <c r="Y773" t="s">
        <v>28</v>
      </c>
      <c r="Z773" s="57"/>
      <c r="AA773" s="57"/>
      <c r="AB773" s="57"/>
      <c r="AC773" s="57"/>
      <c r="AD773" s="57"/>
      <c r="AE773" s="57"/>
      <c r="AJ773" s="18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customFormat="1" x14ac:dyDescent="0.25">
      <c r="B774" s="57"/>
      <c r="C774" s="57"/>
      <c r="D774" s="57"/>
      <c r="E774" s="57"/>
      <c r="F774" s="57"/>
      <c r="G774" s="57"/>
      <c r="L774" s="18"/>
      <c r="N774" s="57"/>
      <c r="O774" s="57"/>
      <c r="P774" s="57"/>
      <c r="Q774" s="57"/>
      <c r="R774" s="57"/>
      <c r="S774" s="57"/>
      <c r="X774" s="18"/>
      <c r="Z774" s="57"/>
      <c r="AA774" s="57"/>
      <c r="AB774" s="57"/>
      <c r="AC774" s="57"/>
      <c r="AD774" s="57"/>
      <c r="AE774" s="57"/>
      <c r="AJ774" s="18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customFormat="1" x14ac:dyDescent="0.25">
      <c r="A775" s="4" t="s">
        <v>14</v>
      </c>
      <c r="B775" s="57"/>
      <c r="C775" s="57"/>
      <c r="D775" s="57"/>
      <c r="E775" s="57"/>
      <c r="F775" s="57"/>
      <c r="G775" s="57"/>
      <c r="L775" s="18"/>
      <c r="M775" s="4" t="s">
        <v>14</v>
      </c>
      <c r="N775" s="57"/>
      <c r="O775" s="57"/>
      <c r="P775" s="57"/>
      <c r="Q775" s="57"/>
      <c r="R775" s="57"/>
      <c r="S775" s="57"/>
      <c r="X775" s="18"/>
      <c r="Y775" s="4" t="s">
        <v>14</v>
      </c>
      <c r="Z775" s="57"/>
      <c r="AA775" s="57"/>
      <c r="AB775" s="57"/>
      <c r="AC775" s="57"/>
      <c r="AD775" s="57"/>
      <c r="AE775" s="57"/>
      <c r="AJ775" s="18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customFormat="1" x14ac:dyDescent="0.25">
      <c r="B776" s="57"/>
      <c r="C776" s="57"/>
      <c r="D776" s="57"/>
      <c r="E776" s="57"/>
      <c r="F776" s="57"/>
      <c r="G776" s="57"/>
      <c r="L776" s="18"/>
      <c r="N776" s="57"/>
      <c r="O776" s="57"/>
      <c r="P776" s="57"/>
      <c r="Q776" s="57"/>
      <c r="R776" s="57"/>
      <c r="S776" s="57"/>
      <c r="X776" s="18"/>
      <c r="Z776" s="57"/>
      <c r="AA776" s="57"/>
      <c r="AB776" s="57"/>
      <c r="AC776" s="57"/>
      <c r="AD776" s="57"/>
      <c r="AE776" s="57"/>
      <c r="AJ776" s="18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customFormat="1" ht="15.75" x14ac:dyDescent="0.25">
      <c r="A777" t="s">
        <v>47</v>
      </c>
      <c r="B777" s="57"/>
      <c r="C777" s="57"/>
      <c r="D777" s="57"/>
      <c r="E777" s="57"/>
      <c r="F777" s="57"/>
      <c r="G777" s="57"/>
      <c r="I777" s="57" t="s">
        <v>15</v>
      </c>
      <c r="J777" s="19">
        <v>1</v>
      </c>
      <c r="L777" s="18"/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X777" s="18"/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J777" s="18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customFormat="1" x14ac:dyDescent="0.25">
      <c r="A778" s="21" t="s">
        <v>80</v>
      </c>
      <c r="B778" s="20"/>
      <c r="C778" s="57"/>
      <c r="D778" s="57"/>
      <c r="E778" s="57"/>
      <c r="F778" s="57"/>
      <c r="G778" s="57"/>
      <c r="I778" s="22" t="s">
        <v>16</v>
      </c>
      <c r="J778" s="23" t="s">
        <v>33</v>
      </c>
      <c r="K778" s="24"/>
      <c r="L778" s="18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X778" s="18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J778" s="18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customFormat="1" x14ac:dyDescent="0.25">
      <c r="B779" s="57"/>
      <c r="C779" s="57"/>
      <c r="D779" s="57"/>
      <c r="E779" s="57"/>
      <c r="F779" s="57"/>
      <c r="G779" s="57"/>
      <c r="L779" s="18"/>
      <c r="N779" s="57"/>
      <c r="O779" s="57"/>
      <c r="P779" s="57"/>
      <c r="Q779" s="57"/>
      <c r="R779" s="57"/>
      <c r="S779" s="57"/>
      <c r="X779" s="18"/>
      <c r="Z779" s="57"/>
      <c r="AA779" s="57"/>
      <c r="AB779" s="57"/>
      <c r="AC779" s="57"/>
      <c r="AD779" s="57"/>
      <c r="AE779" s="57"/>
      <c r="AJ779" s="18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customFormat="1" x14ac:dyDescent="0.25">
      <c r="B780" s="25"/>
      <c r="C780" s="26"/>
      <c r="D780" s="121" t="s">
        <v>17</v>
      </c>
      <c r="E780" s="121"/>
      <c r="F780" s="102"/>
      <c r="G780" s="27"/>
      <c r="I780" s="124" t="s">
        <v>18</v>
      </c>
      <c r="J780" s="125"/>
      <c r="K780" s="122" t="s">
        <v>19</v>
      </c>
      <c r="L780" s="18"/>
      <c r="N780" s="25"/>
      <c r="O780" s="26"/>
      <c r="P780" s="121" t="s">
        <v>17</v>
      </c>
      <c r="Q780" s="121"/>
      <c r="R780" s="102"/>
      <c r="S780" s="27"/>
      <c r="U780" s="124" t="s">
        <v>18</v>
      </c>
      <c r="V780" s="125"/>
      <c r="W780" s="122" t="s">
        <v>19</v>
      </c>
      <c r="X780" s="18"/>
      <c r="Z780" s="25"/>
      <c r="AA780" s="26"/>
      <c r="AB780" s="121" t="s">
        <v>17</v>
      </c>
      <c r="AC780" s="121"/>
      <c r="AD780" s="102"/>
      <c r="AE780" s="27"/>
      <c r="AG780" s="124" t="s">
        <v>18</v>
      </c>
      <c r="AH780" s="125"/>
      <c r="AI780" s="122" t="s">
        <v>19</v>
      </c>
      <c r="AJ780" s="18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customFormat="1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23"/>
      <c r="L781" s="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23"/>
      <c r="X781" s="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23"/>
      <c r="AJ781" s="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customFormat="1" x14ac:dyDescent="0.25">
      <c r="A782" s="10">
        <v>1</v>
      </c>
      <c r="B782" s="30" t="s">
        <v>81</v>
      </c>
      <c r="C782" s="88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L782" s="18"/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X782" s="18"/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J782" s="18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customFormat="1" x14ac:dyDescent="0.25">
      <c r="A783" s="10">
        <v>2</v>
      </c>
      <c r="B783" s="30" t="s">
        <v>81</v>
      </c>
      <c r="C783" s="88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L783" s="18"/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X783" s="18"/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J783" s="18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customFormat="1" x14ac:dyDescent="0.25">
      <c r="A784" s="10">
        <v>3</v>
      </c>
      <c r="B784" s="30" t="s">
        <v>81</v>
      </c>
      <c r="C784" s="88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L784" s="18"/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X784" s="18"/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J784" s="18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customFormat="1" x14ac:dyDescent="0.25">
      <c r="A785" s="10">
        <v>4</v>
      </c>
      <c r="B785" s="30" t="s">
        <v>81</v>
      </c>
      <c r="C785" s="88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L785" s="18"/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X785" s="18"/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J785" s="18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customFormat="1" x14ac:dyDescent="0.25">
      <c r="A786" s="10">
        <v>5</v>
      </c>
      <c r="B786" s="30" t="s">
        <v>81</v>
      </c>
      <c r="C786" s="88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L786" s="18"/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X786" s="18"/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J786" s="18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customFormat="1" x14ac:dyDescent="0.25">
      <c r="A787" s="10">
        <v>6</v>
      </c>
      <c r="B787" s="30" t="s">
        <v>81</v>
      </c>
      <c r="C787" s="88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L787" s="18"/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X787" s="18"/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J787" s="18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customFormat="1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L788" s="18"/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X788" s="18"/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J788" s="18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customFormat="1" x14ac:dyDescent="0.25">
      <c r="A789" s="10">
        <v>8</v>
      </c>
      <c r="B789" s="30"/>
      <c r="C789" s="88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L789" s="18"/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X789" s="18"/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J789" s="18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customFormat="1" x14ac:dyDescent="0.25">
      <c r="A790" s="10">
        <v>9</v>
      </c>
      <c r="B790" s="30"/>
      <c r="C790" s="88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L790" s="18"/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X790" s="18"/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J790" s="18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customFormat="1" x14ac:dyDescent="0.25">
      <c r="A791" s="10">
        <v>10</v>
      </c>
      <c r="B791" s="30"/>
      <c r="C791" s="88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L791" s="18"/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X791" s="18"/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J791" s="18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customFormat="1" x14ac:dyDescent="0.25">
      <c r="A792" s="10">
        <v>11</v>
      </c>
      <c r="B792" s="30"/>
      <c r="C792" s="88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L792" s="18"/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X792" s="18"/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J792" s="18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customFormat="1" x14ac:dyDescent="0.25">
      <c r="A793" s="10">
        <v>12</v>
      </c>
      <c r="B793" s="30"/>
      <c r="C793" s="88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L793" s="18"/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X793" s="18"/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J793" s="18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customFormat="1" x14ac:dyDescent="0.25">
      <c r="A794" s="10">
        <v>13</v>
      </c>
      <c r="B794" s="30"/>
      <c r="C794" s="88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L794" s="18"/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X794" s="18"/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J794" s="18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customFormat="1" x14ac:dyDescent="0.25">
      <c r="A795" s="10">
        <v>14</v>
      </c>
      <c r="B795" s="30"/>
      <c r="C795" s="88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L795" s="18"/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X795" s="18"/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J795" s="18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customFormat="1" x14ac:dyDescent="0.25">
      <c r="A796" s="10">
        <v>15</v>
      </c>
      <c r="B796" s="30"/>
      <c r="C796" s="88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L796" s="18"/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X796" s="18"/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J796" s="18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customFormat="1" x14ac:dyDescent="0.25">
      <c r="A797" s="10">
        <v>16</v>
      </c>
      <c r="B797" s="30"/>
      <c r="C797" s="88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L797" s="18"/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X797" s="18"/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J797" s="18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customFormat="1" x14ac:dyDescent="0.25">
      <c r="A798" s="10">
        <v>17</v>
      </c>
      <c r="B798" s="30"/>
      <c r="C798" s="88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L798" s="18"/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X798" s="18"/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J798" s="18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customFormat="1" x14ac:dyDescent="0.25">
      <c r="A799" s="10">
        <v>18</v>
      </c>
      <c r="B799" s="30"/>
      <c r="C799" s="88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L799" s="18"/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X799" s="18"/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J799" s="18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customFormat="1" x14ac:dyDescent="0.25">
      <c r="A800" s="10">
        <v>19</v>
      </c>
      <c r="B800" s="30"/>
      <c r="C800" s="88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L800" s="18"/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X800" s="18"/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J800" s="18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customFormat="1" x14ac:dyDescent="0.25">
      <c r="A801" s="10">
        <v>20</v>
      </c>
      <c r="B801" s="30"/>
      <c r="C801" s="88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L801" s="18"/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X801" s="18"/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J801" s="18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customFormat="1" x14ac:dyDescent="0.25">
      <c r="A802" s="10">
        <v>21</v>
      </c>
      <c r="B802" s="30"/>
      <c r="C802" s="88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L802" s="18"/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X802" s="18"/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J802" s="18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customFormat="1" x14ac:dyDescent="0.25">
      <c r="A803" s="10">
        <v>22</v>
      </c>
      <c r="B803" s="30"/>
      <c r="C803" s="88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L803" s="18"/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X803" s="18"/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J803" s="18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customFormat="1" x14ac:dyDescent="0.25">
      <c r="A804" s="10">
        <v>23</v>
      </c>
      <c r="B804" s="30"/>
      <c r="C804" s="3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L804" s="18"/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X804" s="18"/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J804" s="18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customFormat="1" x14ac:dyDescent="0.25">
      <c r="A805" s="10">
        <v>24</v>
      </c>
      <c r="B805" s="30"/>
      <c r="C805" s="88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L805" s="18"/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X805" s="18"/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J805" s="18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customFormat="1" x14ac:dyDescent="0.25">
      <c r="A806" s="10">
        <v>25</v>
      </c>
      <c r="B806" s="30"/>
      <c r="C806" s="88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L806" s="18"/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X806" s="18"/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J806" s="18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customFormat="1" x14ac:dyDescent="0.25">
      <c r="A807" s="10">
        <v>26</v>
      </c>
      <c r="B807" s="30"/>
      <c r="C807" s="88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L807" s="18"/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X807" s="18"/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J807" s="18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customFormat="1" x14ac:dyDescent="0.25">
      <c r="A808" s="10">
        <v>27</v>
      </c>
      <c r="B808" s="30"/>
      <c r="C808" s="88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L808" s="18"/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X808" s="18"/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J808" s="18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customFormat="1" x14ac:dyDescent="0.25">
      <c r="A809" s="10">
        <v>28</v>
      </c>
      <c r="B809" s="30"/>
      <c r="C809" s="88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L809" s="18"/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X809" s="18"/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J809" s="18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customFormat="1" x14ac:dyDescent="0.25">
      <c r="A810" s="10">
        <v>29</v>
      </c>
      <c r="B810" s="30"/>
      <c r="C810" s="88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L810" s="18"/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X810" s="18"/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J810" s="18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customFormat="1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L811" s="18"/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X811" s="18"/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J811" s="18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customFormat="1" x14ac:dyDescent="0.25">
      <c r="A812" s="10">
        <v>31</v>
      </c>
      <c r="B812" s="30"/>
      <c r="C812" s="88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L812" s="18"/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X812" s="18"/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J812" s="18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customFormat="1" x14ac:dyDescent="0.25">
      <c r="A813" s="10">
        <v>32</v>
      </c>
      <c r="B813" s="30"/>
      <c r="C813" s="88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L813" s="18"/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X813" s="18"/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J813" s="18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customFormat="1" x14ac:dyDescent="0.25">
      <c r="A814" s="10">
        <v>33</v>
      </c>
      <c r="B814" s="30"/>
      <c r="C814" s="88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L814" s="18"/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X814" s="18"/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J814" s="18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customFormat="1" x14ac:dyDescent="0.25">
      <c r="A815" s="10"/>
      <c r="B815" s="30"/>
      <c r="C815" s="88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L815" s="18"/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X815" s="18"/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J815" s="18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customFormat="1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L816" s="18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X816" s="18"/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J816" s="18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customFormat="1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L817" s="18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X817" s="18"/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J817" s="18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customFormat="1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L818" s="18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X818" s="18"/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J818" s="18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customFormat="1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L819" s="18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X819" s="18"/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J819" s="18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customFormat="1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L820" s="18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X820" s="18"/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J820" s="18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customFormat="1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L821" s="18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X821" s="18"/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J821" s="18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customFormat="1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L822" s="18"/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X822" s="18"/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J822" s="18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customFormat="1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L823" s="18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X823" s="18"/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J823" s="18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customFormat="1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L824" s="18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X824" s="18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J824" s="18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customFormat="1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L825" s="18"/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X825" s="18"/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J825" s="18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customForma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customFormat="1" x14ac:dyDescent="0.25">
      <c r="A827" t="s">
        <v>0</v>
      </c>
      <c r="B827" s="57"/>
      <c r="C827" s="57"/>
      <c r="D827" s="57"/>
      <c r="E827" s="57"/>
      <c r="F827" s="57"/>
      <c r="G827" s="57"/>
      <c r="L827" s="18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18"/>
      <c r="Y827" t="s">
        <v>0</v>
      </c>
      <c r="Z827" s="57"/>
      <c r="AA827" s="57"/>
      <c r="AB827" s="57"/>
      <c r="AC827" s="57"/>
      <c r="AD827" s="57"/>
      <c r="AE827" s="57"/>
      <c r="AJ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customFormat="1" x14ac:dyDescent="0.25">
      <c r="A828" t="s">
        <v>28</v>
      </c>
      <c r="B828" s="57"/>
      <c r="C828" s="57"/>
      <c r="D828" s="57"/>
      <c r="E828" s="57"/>
      <c r="F828" s="57"/>
      <c r="G828" s="57"/>
      <c r="L828" s="18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18"/>
      <c r="Y828" t="s">
        <v>28</v>
      </c>
      <c r="Z828" s="57"/>
      <c r="AA828" s="57"/>
      <c r="AB828" s="57"/>
      <c r="AC828" s="57"/>
      <c r="AD828" s="57"/>
      <c r="AE828" s="57"/>
      <c r="AJ828" s="18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customFormat="1" x14ac:dyDescent="0.25">
      <c r="B829" s="57"/>
      <c r="C829" s="57"/>
      <c r="D829" s="57"/>
      <c r="E829" s="57"/>
      <c r="F829" s="57"/>
      <c r="G829" s="57"/>
      <c r="L829" s="18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18"/>
      <c r="Z829" s="57"/>
      <c r="AA829" s="57"/>
      <c r="AB829" s="57"/>
      <c r="AC829" s="57"/>
      <c r="AD829" s="57"/>
      <c r="AE829" s="57"/>
      <c r="AJ829" s="18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customFormat="1" x14ac:dyDescent="0.25">
      <c r="A830" s="4" t="s">
        <v>14</v>
      </c>
      <c r="B830" s="57"/>
      <c r="C830" s="57"/>
      <c r="D830" s="57"/>
      <c r="E830" s="57"/>
      <c r="F830" s="57"/>
      <c r="G830" s="57"/>
      <c r="L830" s="18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18"/>
      <c r="Y830" s="4" t="s">
        <v>14</v>
      </c>
      <c r="Z830" s="57"/>
      <c r="AA830" s="57"/>
      <c r="AB830" s="57"/>
      <c r="AC830" s="57"/>
      <c r="AD830" s="57"/>
      <c r="AE830" s="57"/>
      <c r="AJ830" s="18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customFormat="1" x14ac:dyDescent="0.25">
      <c r="B831" s="57"/>
      <c r="C831" s="57"/>
      <c r="D831" s="57"/>
      <c r="E831" s="57"/>
      <c r="F831" s="57"/>
      <c r="G831" s="57"/>
      <c r="L831" s="18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18"/>
      <c r="Z831" s="57"/>
      <c r="AA831" s="57"/>
      <c r="AB831" s="57"/>
      <c r="AC831" s="57"/>
      <c r="AD831" s="57"/>
      <c r="AE831" s="57"/>
      <c r="AJ831" s="18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customFormat="1" ht="15.75" x14ac:dyDescent="0.25">
      <c r="A832" t="s">
        <v>50</v>
      </c>
      <c r="B832" s="57"/>
      <c r="C832" s="57"/>
      <c r="D832" s="57"/>
      <c r="E832" s="57"/>
      <c r="F832" s="57"/>
      <c r="G832" s="57"/>
      <c r="I832" s="57" t="s">
        <v>15</v>
      </c>
      <c r="J832" s="19">
        <v>1</v>
      </c>
      <c r="L832" s="18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18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J832" s="18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customFormat="1" x14ac:dyDescent="0.25">
      <c r="A833" s="21" t="s">
        <v>83</v>
      </c>
      <c r="B833" s="20"/>
      <c r="C833" s="57"/>
      <c r="D833" s="57"/>
      <c r="E833" s="57"/>
      <c r="F833" s="57"/>
      <c r="G833" s="57"/>
      <c r="I833" s="22" t="s">
        <v>16</v>
      </c>
      <c r="J833" s="23" t="s">
        <v>33</v>
      </c>
      <c r="K833" s="24"/>
      <c r="L833" s="18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18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J833" s="18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customFormat="1" x14ac:dyDescent="0.25">
      <c r="B834" s="57"/>
      <c r="C834" s="57"/>
      <c r="D834" s="57"/>
      <c r="E834" s="57"/>
      <c r="F834" s="57"/>
      <c r="G834" s="57"/>
      <c r="L834" s="18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18"/>
      <c r="Z834" s="57"/>
      <c r="AA834" s="57"/>
      <c r="AB834" s="57"/>
      <c r="AC834" s="57"/>
      <c r="AD834" s="57"/>
      <c r="AE834" s="57"/>
      <c r="AJ834" s="18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customFormat="1" x14ac:dyDescent="0.25">
      <c r="B835" s="25"/>
      <c r="C835" s="26"/>
      <c r="D835" s="121" t="s">
        <v>17</v>
      </c>
      <c r="E835" s="121"/>
      <c r="F835" s="103"/>
      <c r="G835" s="27"/>
      <c r="I835" s="124" t="s">
        <v>18</v>
      </c>
      <c r="J835" s="125"/>
      <c r="K835" s="122" t="s">
        <v>19</v>
      </c>
      <c r="L835" s="18"/>
      <c r="M835" s="62"/>
      <c r="N835" s="65"/>
      <c r="O835" s="87"/>
      <c r="P835" s="127"/>
      <c r="Q835" s="127"/>
      <c r="R835" s="87"/>
      <c r="S835" s="87"/>
      <c r="T835" s="62"/>
      <c r="U835" s="127"/>
      <c r="V835" s="127"/>
      <c r="W835" s="126"/>
      <c r="X835" s="18"/>
      <c r="Z835" s="25"/>
      <c r="AA835" s="26"/>
      <c r="AB835" s="121" t="s">
        <v>17</v>
      </c>
      <c r="AC835" s="121"/>
      <c r="AD835" s="103"/>
      <c r="AE835" s="27"/>
      <c r="AG835" s="124" t="s">
        <v>18</v>
      </c>
      <c r="AH835" s="125"/>
      <c r="AI835" s="122" t="s">
        <v>19</v>
      </c>
      <c r="AJ835" s="18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customFormat="1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23"/>
      <c r="L836" s="18"/>
      <c r="M836" s="62"/>
      <c r="N836" s="87"/>
      <c r="O836" s="87"/>
      <c r="P836" s="79"/>
      <c r="Q836" s="81"/>
      <c r="R836" s="81"/>
      <c r="S836" s="81"/>
      <c r="T836" s="62"/>
      <c r="U836" s="86"/>
      <c r="V836" s="86"/>
      <c r="W836" s="126"/>
      <c r="X836" s="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23"/>
      <c r="AJ836" s="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customFormat="1" x14ac:dyDescent="0.25">
      <c r="A837" s="10">
        <v>1</v>
      </c>
      <c r="B837" s="30" t="s">
        <v>84</v>
      </c>
      <c r="C837" s="88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L837" s="18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18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J837" s="18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customFormat="1" x14ac:dyDescent="0.25">
      <c r="A838" s="10">
        <v>2</v>
      </c>
      <c r="B838" s="30" t="s">
        <v>84</v>
      </c>
      <c r="C838" s="88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L838" s="18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18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J838" s="18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customFormat="1" x14ac:dyDescent="0.25">
      <c r="A839" s="10">
        <v>3</v>
      </c>
      <c r="B839" s="30" t="s">
        <v>84</v>
      </c>
      <c r="C839" s="88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L839" s="18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18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J839" s="18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customFormat="1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L840" s="18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18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J840" s="18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customFormat="1" x14ac:dyDescent="0.25">
      <c r="A841" s="10">
        <v>5</v>
      </c>
      <c r="B841" s="30"/>
      <c r="C841" s="88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L841" s="18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18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J841" s="18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customFormat="1" x14ac:dyDescent="0.25">
      <c r="A842" s="10">
        <v>6</v>
      </c>
      <c r="B842" s="30"/>
      <c r="C842" s="88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L842" s="18"/>
      <c r="M842" s="62"/>
      <c r="N842" s="66"/>
      <c r="O842" s="87"/>
      <c r="P842" s="60"/>
      <c r="Q842" s="60"/>
      <c r="R842" s="60"/>
      <c r="S842" s="60"/>
      <c r="T842" s="61"/>
      <c r="U842" s="61"/>
      <c r="V842" s="62"/>
      <c r="W842" s="61"/>
      <c r="X842" s="18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J842" s="18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customFormat="1" x14ac:dyDescent="0.25">
      <c r="A843" s="10">
        <v>7</v>
      </c>
      <c r="B843" s="30"/>
      <c r="C843" s="3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L843" s="18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18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J843" s="18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customFormat="1" x14ac:dyDescent="0.25">
      <c r="A844" s="10">
        <v>8</v>
      </c>
      <c r="B844" s="30"/>
      <c r="C844" s="88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L844" s="18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18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J844" s="18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customFormat="1" x14ac:dyDescent="0.25">
      <c r="A845" s="10">
        <v>9</v>
      </c>
      <c r="B845" s="30"/>
      <c r="C845" s="88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L845" s="18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18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J845" s="18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customFormat="1" x14ac:dyDescent="0.25">
      <c r="A846" s="10">
        <v>10</v>
      </c>
      <c r="B846" s="30"/>
      <c r="C846" s="88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L846" s="18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18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J846" s="18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customFormat="1" x14ac:dyDescent="0.25">
      <c r="A847" s="10">
        <v>11</v>
      </c>
      <c r="B847" s="30"/>
      <c r="C847" s="88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L847" s="18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18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J847" s="18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customFormat="1" x14ac:dyDescent="0.25">
      <c r="A848" s="10">
        <v>12</v>
      </c>
      <c r="B848" s="30"/>
      <c r="C848" s="88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L848" s="18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18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J848" s="18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customFormat="1" x14ac:dyDescent="0.25">
      <c r="A849" s="10">
        <v>13</v>
      </c>
      <c r="B849" s="30"/>
      <c r="C849" s="88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L849" s="18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18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J849" s="18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customFormat="1" x14ac:dyDescent="0.25">
      <c r="A850" s="10">
        <v>14</v>
      </c>
      <c r="B850" s="30"/>
      <c r="C850" s="88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L850" s="18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18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J850" s="18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customFormat="1" x14ac:dyDescent="0.25">
      <c r="A851" s="10">
        <v>15</v>
      </c>
      <c r="B851" s="30"/>
      <c r="C851" s="88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L851" s="18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18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J851" s="18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customFormat="1" x14ac:dyDescent="0.25">
      <c r="A852" s="10">
        <v>16</v>
      </c>
      <c r="B852" s="30"/>
      <c r="C852" s="88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L852" s="18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18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J852" s="18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customFormat="1" x14ac:dyDescent="0.25">
      <c r="A853" s="10">
        <v>17</v>
      </c>
      <c r="B853" s="30"/>
      <c r="C853" s="88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L853" s="18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18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J853" s="18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customFormat="1" x14ac:dyDescent="0.25">
      <c r="A854" s="10">
        <v>18</v>
      </c>
      <c r="B854" s="30"/>
      <c r="C854" s="88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L854" s="18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18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J854" s="18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customFormat="1" x14ac:dyDescent="0.25">
      <c r="A855" s="10">
        <v>19</v>
      </c>
      <c r="B855" s="30"/>
      <c r="C855" s="88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L855" s="18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18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J855" s="18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customFormat="1" x14ac:dyDescent="0.25">
      <c r="A856" s="10">
        <v>20</v>
      </c>
      <c r="B856" s="30"/>
      <c r="C856" s="88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L856" s="18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18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J856" s="18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customFormat="1" x14ac:dyDescent="0.25">
      <c r="A857" s="10">
        <v>21</v>
      </c>
      <c r="B857" s="30"/>
      <c r="C857" s="88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L857" s="18"/>
      <c r="M857" s="62"/>
      <c r="N857" s="66"/>
      <c r="O857" s="62"/>
      <c r="P857" s="67"/>
      <c r="Q857" s="87"/>
      <c r="R857" s="87"/>
      <c r="S857" s="60"/>
      <c r="T857" s="62"/>
      <c r="U857" s="62"/>
      <c r="V857" s="62"/>
      <c r="W857" s="61"/>
      <c r="X857" s="18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J857" s="18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customFormat="1" x14ac:dyDescent="0.25">
      <c r="A858" s="10">
        <v>22</v>
      </c>
      <c r="B858" s="30"/>
      <c r="C858" s="88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L858" s="18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18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J858" s="18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customFormat="1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L859" s="18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18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J859" s="18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customFormat="1" x14ac:dyDescent="0.25">
      <c r="A860" s="10">
        <v>24</v>
      </c>
      <c r="B860" s="30"/>
      <c r="C860" s="88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L860" s="18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18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J860" s="18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customFormat="1" x14ac:dyDescent="0.25">
      <c r="A861" s="10">
        <v>25</v>
      </c>
      <c r="B861" s="30"/>
      <c r="C861" s="88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L861" s="18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18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J861" s="18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customFormat="1" x14ac:dyDescent="0.25">
      <c r="A862" s="10">
        <v>26</v>
      </c>
      <c r="B862" s="30"/>
      <c r="C862" s="88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L862" s="18"/>
      <c r="M862" s="62"/>
      <c r="N862" s="66"/>
      <c r="O862" s="62"/>
      <c r="P862" s="69"/>
      <c r="Q862" s="87"/>
      <c r="R862" s="87"/>
      <c r="S862" s="60"/>
      <c r="T862" s="62"/>
      <c r="U862" s="62"/>
      <c r="V862" s="62"/>
      <c r="W862" s="61"/>
      <c r="X862" s="18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J862" s="18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customFormat="1" x14ac:dyDescent="0.25">
      <c r="A863" s="10">
        <v>27</v>
      </c>
      <c r="B863" s="30"/>
      <c r="C863" s="88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L863" s="18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18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J863" s="18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customFormat="1" x14ac:dyDescent="0.25">
      <c r="A864" s="10">
        <v>28</v>
      </c>
      <c r="B864" s="30"/>
      <c r="C864" s="88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L864" s="18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18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J864" s="18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customFormat="1" x14ac:dyDescent="0.25">
      <c r="A865" s="10">
        <v>29</v>
      </c>
      <c r="B865" s="30"/>
      <c r="C865" s="88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L865" s="18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18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J865" s="18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customFormat="1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L866" s="18"/>
      <c r="M866" s="62"/>
      <c r="N866" s="66"/>
      <c r="O866" s="62"/>
      <c r="P866" s="69"/>
      <c r="Q866" s="87"/>
      <c r="R866" s="87"/>
      <c r="S866" s="60"/>
      <c r="T866" s="62"/>
      <c r="U866" s="62"/>
      <c r="V866" s="62"/>
      <c r="W866" s="61"/>
      <c r="X866" s="18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J866" s="18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customFormat="1" x14ac:dyDescent="0.25">
      <c r="A867" s="10">
        <v>31</v>
      </c>
      <c r="B867" s="30"/>
      <c r="C867" s="88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L867" s="18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18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J867" s="18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customFormat="1" x14ac:dyDescent="0.25">
      <c r="A868" s="10">
        <v>32</v>
      </c>
      <c r="B868" s="30"/>
      <c r="C868" s="88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L868" s="18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18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J868" s="18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customFormat="1" x14ac:dyDescent="0.25">
      <c r="A869" s="10">
        <v>33</v>
      </c>
      <c r="B869" s="30"/>
      <c r="C869" s="88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L869" s="18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18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J869" s="18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customFormat="1" x14ac:dyDescent="0.25">
      <c r="A870" s="10"/>
      <c r="B870" s="30"/>
      <c r="C870" s="88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L870" s="18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18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J870" s="18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customFormat="1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L871" s="18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18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J871" s="18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customFormat="1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L872" s="18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18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J872" s="18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customFormat="1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L873" s="18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18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J873" s="18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customFormat="1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L874" s="18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18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J874" s="18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customFormat="1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L875" s="18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18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J875" s="18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customFormat="1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L876" s="18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18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J876" s="18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customFormat="1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L877" s="18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18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J877" s="18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customFormat="1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L878" s="18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18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J878" s="18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customFormat="1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L879" s="18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18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J879" s="18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customFormat="1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L880" s="18"/>
      <c r="M880" s="62"/>
      <c r="N880" s="87"/>
      <c r="O880" s="87"/>
      <c r="P880" s="70"/>
      <c r="Q880" s="70"/>
      <c r="R880" s="70"/>
      <c r="S880" s="70"/>
      <c r="T880" s="63"/>
      <c r="U880" s="71"/>
      <c r="V880" s="71"/>
      <c r="W880" s="71"/>
      <c r="X880" s="18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J880" s="18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customForma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customFormat="1" x14ac:dyDescent="0.25">
      <c r="A882" t="s">
        <v>0</v>
      </c>
      <c r="B882" s="57"/>
      <c r="C882" s="57"/>
      <c r="D882" s="57"/>
      <c r="E882" s="57"/>
      <c r="F882" s="57"/>
      <c r="G882" s="57"/>
      <c r="L882" s="18"/>
      <c r="M882" t="s">
        <v>0</v>
      </c>
      <c r="N882" s="57"/>
      <c r="O882" s="57"/>
      <c r="P882" s="57"/>
      <c r="Q882" s="57"/>
      <c r="R882" s="57"/>
      <c r="S882" s="57"/>
      <c r="X882" s="18"/>
      <c r="Y882" t="s">
        <v>0</v>
      </c>
      <c r="Z882" s="57"/>
      <c r="AA882" s="57"/>
      <c r="AB882" s="57"/>
      <c r="AC882" s="57"/>
      <c r="AD882" s="57"/>
      <c r="AE882" s="57"/>
      <c r="AJ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customFormat="1" x14ac:dyDescent="0.25">
      <c r="A883" t="s">
        <v>28</v>
      </c>
      <c r="B883" s="57"/>
      <c r="C883" s="57"/>
      <c r="D883" s="57"/>
      <c r="E883" s="57"/>
      <c r="F883" s="57"/>
      <c r="G883" s="57"/>
      <c r="L883" s="18"/>
      <c r="M883" t="s">
        <v>28</v>
      </c>
      <c r="N883" s="57"/>
      <c r="O883" s="57"/>
      <c r="P883" s="57"/>
      <c r="Q883" s="57"/>
      <c r="R883" s="57"/>
      <c r="S883" s="57"/>
      <c r="X883" s="18"/>
      <c r="Y883" t="s">
        <v>28</v>
      </c>
      <c r="Z883" s="57"/>
      <c r="AA883" s="57"/>
      <c r="AB883" s="57"/>
      <c r="AC883" s="57"/>
      <c r="AD883" s="57"/>
      <c r="AE883" s="57"/>
      <c r="AJ883" s="18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customFormat="1" x14ac:dyDescent="0.25">
      <c r="B884" s="57"/>
      <c r="C884" s="57"/>
      <c r="D884" s="57"/>
      <c r="E884" s="57"/>
      <c r="F884" s="57"/>
      <c r="G884" s="57"/>
      <c r="L884" s="18"/>
      <c r="N884" s="57"/>
      <c r="O884" s="57"/>
      <c r="P884" s="57"/>
      <c r="Q884" s="57"/>
      <c r="R884" s="57"/>
      <c r="S884" s="57"/>
      <c r="X884" s="18"/>
      <c r="Z884" s="57"/>
      <c r="AA884" s="57"/>
      <c r="AB884" s="57"/>
      <c r="AC884" s="57"/>
      <c r="AD884" s="57"/>
      <c r="AE884" s="57"/>
      <c r="AJ884" s="18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customFormat="1" x14ac:dyDescent="0.25">
      <c r="A885" s="4" t="s">
        <v>14</v>
      </c>
      <c r="B885" s="57"/>
      <c r="C885" s="57"/>
      <c r="D885" s="57"/>
      <c r="E885" s="57"/>
      <c r="F885" s="57"/>
      <c r="G885" s="57"/>
      <c r="L885" s="18"/>
      <c r="M885" s="4" t="s">
        <v>14</v>
      </c>
      <c r="N885" s="57"/>
      <c r="O885" s="57"/>
      <c r="P885" s="57"/>
      <c r="Q885" s="57"/>
      <c r="R885" s="57"/>
      <c r="S885" s="57"/>
      <c r="X885" s="18"/>
      <c r="Y885" s="4" t="s">
        <v>14</v>
      </c>
      <c r="Z885" s="57"/>
      <c r="AA885" s="57"/>
      <c r="AB885" s="57"/>
      <c r="AC885" s="57"/>
      <c r="AD885" s="57"/>
      <c r="AE885" s="57"/>
      <c r="AJ885" s="18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customFormat="1" x14ac:dyDescent="0.25">
      <c r="B886" s="57"/>
      <c r="C886" s="57"/>
      <c r="D886" s="57"/>
      <c r="E886" s="57"/>
      <c r="F886" s="57"/>
      <c r="G886" s="57"/>
      <c r="L886" s="18"/>
      <c r="N886" s="57"/>
      <c r="O886" s="57"/>
      <c r="P886" s="57"/>
      <c r="Q886" s="57"/>
      <c r="R886" s="57"/>
      <c r="S886" s="57"/>
      <c r="X886" s="18"/>
      <c r="Z886" s="57"/>
      <c r="AA886" s="57"/>
      <c r="AB886" s="57"/>
      <c r="AC886" s="57"/>
      <c r="AD886" s="57"/>
      <c r="AE886" s="57"/>
      <c r="AJ886" s="18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customFormat="1" ht="15.75" x14ac:dyDescent="0.25">
      <c r="A887" t="s">
        <v>52</v>
      </c>
      <c r="B887" s="57"/>
      <c r="C887" s="57"/>
      <c r="D887" s="57"/>
      <c r="E887" s="57"/>
      <c r="F887" s="57"/>
      <c r="G887" s="57"/>
      <c r="I887" s="57" t="s">
        <v>15</v>
      </c>
      <c r="J887" s="19">
        <v>1</v>
      </c>
      <c r="L887" s="18"/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X887" s="18"/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J887" s="18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customFormat="1" x14ac:dyDescent="0.25">
      <c r="A888" s="21" t="s">
        <v>86</v>
      </c>
      <c r="B888" s="20"/>
      <c r="C888" s="57"/>
      <c r="D888" s="57"/>
      <c r="E888" s="57"/>
      <c r="F888" s="57"/>
      <c r="G888" s="57"/>
      <c r="I888" s="22" t="s">
        <v>16</v>
      </c>
      <c r="J888" s="23" t="s">
        <v>33</v>
      </c>
      <c r="K888" s="24"/>
      <c r="L888" s="18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X888" s="18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J888" s="18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customFormat="1" x14ac:dyDescent="0.25">
      <c r="B889" s="57"/>
      <c r="C889" s="57"/>
      <c r="D889" s="57"/>
      <c r="E889" s="57"/>
      <c r="F889" s="57"/>
      <c r="G889" s="57"/>
      <c r="L889" s="18"/>
      <c r="N889" s="57"/>
      <c r="O889" s="57"/>
      <c r="P889" s="57"/>
      <c r="Q889" s="57"/>
      <c r="R889" s="57"/>
      <c r="S889" s="57"/>
      <c r="X889" s="18"/>
      <c r="Z889" s="57"/>
      <c r="AA889" s="57"/>
      <c r="AB889" s="57"/>
      <c r="AC889" s="57"/>
      <c r="AD889" s="57"/>
      <c r="AE889" s="57"/>
      <c r="AJ889" s="18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customFormat="1" x14ac:dyDescent="0.25">
      <c r="B890" s="25"/>
      <c r="C890" s="26"/>
      <c r="D890" s="121" t="s">
        <v>17</v>
      </c>
      <c r="E890" s="121"/>
      <c r="F890" s="104"/>
      <c r="G890" s="27"/>
      <c r="I890" s="124" t="s">
        <v>18</v>
      </c>
      <c r="J890" s="125"/>
      <c r="K890" s="122" t="s">
        <v>19</v>
      </c>
      <c r="L890" s="18"/>
      <c r="N890" s="25"/>
      <c r="O890" s="26"/>
      <c r="P890" s="121" t="s">
        <v>17</v>
      </c>
      <c r="Q890" s="121"/>
      <c r="R890" s="104"/>
      <c r="S890" s="27"/>
      <c r="U890" s="124" t="s">
        <v>18</v>
      </c>
      <c r="V890" s="125"/>
      <c r="W890" s="122" t="s">
        <v>19</v>
      </c>
      <c r="X890" s="18"/>
      <c r="Z890" s="25"/>
      <c r="AA890" s="26"/>
      <c r="AB890" s="121" t="s">
        <v>17</v>
      </c>
      <c r="AC890" s="121"/>
      <c r="AD890" s="104"/>
      <c r="AE890" s="27"/>
      <c r="AG890" s="124" t="s">
        <v>18</v>
      </c>
      <c r="AH890" s="125"/>
      <c r="AI890" s="122" t="s">
        <v>19</v>
      </c>
      <c r="AJ890" s="18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customFormat="1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23"/>
      <c r="L891" s="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23"/>
      <c r="X891" s="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23"/>
      <c r="AJ891" s="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customFormat="1" x14ac:dyDescent="0.25">
      <c r="A892" s="10">
        <v>1</v>
      </c>
      <c r="B892" s="30" t="s">
        <v>87</v>
      </c>
      <c r="C892" s="88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L892" s="18"/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X892" s="18"/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J892" s="18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customFormat="1" x14ac:dyDescent="0.25">
      <c r="A893" s="10">
        <v>2</v>
      </c>
      <c r="B893" s="30" t="s">
        <v>87</v>
      </c>
      <c r="C893" s="88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L893" s="18"/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X893" s="18"/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J893" s="18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customFormat="1" x14ac:dyDescent="0.25">
      <c r="A894" s="10">
        <v>3</v>
      </c>
      <c r="B894" s="30" t="s">
        <v>87</v>
      </c>
      <c r="C894" s="88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L894" s="18"/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X894" s="18"/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J894" s="18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customFormat="1" x14ac:dyDescent="0.25">
      <c r="A895" s="10">
        <v>4</v>
      </c>
      <c r="B895" s="30" t="s">
        <v>87</v>
      </c>
      <c r="C895" s="88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L895" s="18"/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X895" s="18"/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J895" s="18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customFormat="1" x14ac:dyDescent="0.25">
      <c r="A896" s="10">
        <v>5</v>
      </c>
      <c r="B896" s="30" t="s">
        <v>87</v>
      </c>
      <c r="C896" s="88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L896" s="18"/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X896" s="18"/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J896" s="18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customFormat="1" x14ac:dyDescent="0.25">
      <c r="A897" s="10">
        <v>6</v>
      </c>
      <c r="B897" s="30" t="s">
        <v>87</v>
      </c>
      <c r="C897" s="88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L897" s="18"/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X897" s="18"/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J897" s="18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customFormat="1" x14ac:dyDescent="0.25">
      <c r="A898" s="10">
        <v>7</v>
      </c>
      <c r="B898" s="30" t="s">
        <v>87</v>
      </c>
      <c r="C898" s="88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L898" s="18"/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X898" s="18"/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J898" s="18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customFormat="1" x14ac:dyDescent="0.25">
      <c r="A899" s="10">
        <v>8</v>
      </c>
      <c r="B899" s="30" t="s">
        <v>87</v>
      </c>
      <c r="C899" s="88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L899" s="18"/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X899" s="18"/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J899" s="18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customFormat="1" x14ac:dyDescent="0.25">
      <c r="A900" s="10">
        <v>9</v>
      </c>
      <c r="B900" s="30" t="s">
        <v>87</v>
      </c>
      <c r="C900" s="88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L900" s="18"/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X900" s="18"/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J900" s="18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customFormat="1" x14ac:dyDescent="0.25">
      <c r="A901" s="10">
        <v>10</v>
      </c>
      <c r="B901" s="30" t="s">
        <v>87</v>
      </c>
      <c r="C901" s="88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L901" s="18"/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X901" s="18"/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J901" s="18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customFormat="1" x14ac:dyDescent="0.25">
      <c r="A902" s="10">
        <v>11</v>
      </c>
      <c r="B902" s="30" t="s">
        <v>87</v>
      </c>
      <c r="C902" s="88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L902" s="18"/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X902" s="18"/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J902" s="18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customFormat="1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L903" s="18"/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X903" s="18"/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J903" s="18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customFormat="1" x14ac:dyDescent="0.25">
      <c r="A904" s="10">
        <v>13</v>
      </c>
      <c r="B904" s="30"/>
      <c r="C904" s="88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L904" s="18"/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X904" s="18"/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J904" s="18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customFormat="1" x14ac:dyDescent="0.25">
      <c r="A905" s="10">
        <v>14</v>
      </c>
      <c r="B905" s="30"/>
      <c r="C905" s="88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L905" s="18"/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X905" s="18"/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J905" s="18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customFormat="1" x14ac:dyDescent="0.25">
      <c r="A906" s="10">
        <v>15</v>
      </c>
      <c r="B906" s="30"/>
      <c r="C906" s="88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L906" s="18"/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X906" s="18"/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J906" s="18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customFormat="1" x14ac:dyDescent="0.25">
      <c r="A907" s="10">
        <v>16</v>
      </c>
      <c r="B907" s="30"/>
      <c r="C907" s="88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L907" s="18"/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X907" s="18"/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J907" s="18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customFormat="1" x14ac:dyDescent="0.25">
      <c r="A908" s="10">
        <v>17</v>
      </c>
      <c r="B908" s="30"/>
      <c r="C908" s="88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L908" s="18"/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X908" s="18"/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J908" s="18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customFormat="1" x14ac:dyDescent="0.25">
      <c r="A909" s="10">
        <v>18</v>
      </c>
      <c r="B909" s="30"/>
      <c r="C909" s="88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L909" s="18"/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X909" s="18"/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J909" s="18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customFormat="1" x14ac:dyDescent="0.25">
      <c r="A910" s="10">
        <v>19</v>
      </c>
      <c r="B910" s="30"/>
      <c r="C910" s="88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L910" s="18"/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X910" s="18"/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J910" s="18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customFormat="1" x14ac:dyDescent="0.25">
      <c r="A911" s="10">
        <v>20</v>
      </c>
      <c r="B911" s="30"/>
      <c r="C911" s="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L911" s="18"/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X911" s="18"/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J911" s="18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customFormat="1" x14ac:dyDescent="0.25">
      <c r="A912" s="10">
        <v>21</v>
      </c>
      <c r="B912" s="30"/>
      <c r="C912" s="88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L912" s="18"/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X912" s="18"/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J912" s="18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customFormat="1" x14ac:dyDescent="0.25">
      <c r="A913" s="10">
        <v>22</v>
      </c>
      <c r="B913" s="30"/>
      <c r="C913" s="88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L913" s="18"/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X913" s="18"/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J913" s="18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customFormat="1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L914" s="18"/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X914" s="18"/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J914" s="18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customFormat="1" x14ac:dyDescent="0.25">
      <c r="A915" s="10">
        <v>24</v>
      </c>
      <c r="B915" s="30"/>
      <c r="C915" s="88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L915" s="18"/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X915" s="18"/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J915" s="18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customFormat="1" x14ac:dyDescent="0.25">
      <c r="A916" s="10">
        <v>25</v>
      </c>
      <c r="B916" s="30"/>
      <c r="C916" s="88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L916" s="18"/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X916" s="18"/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J916" s="18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customFormat="1" x14ac:dyDescent="0.25">
      <c r="A917" s="10">
        <v>26</v>
      </c>
      <c r="B917" s="30"/>
      <c r="C917" s="88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L917" s="18"/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X917" s="18"/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J917" s="18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customFormat="1" x14ac:dyDescent="0.25">
      <c r="A918" s="10">
        <v>27</v>
      </c>
      <c r="B918" s="30"/>
      <c r="C918" s="88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L918" s="18"/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X918" s="18"/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J918" s="18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customFormat="1" x14ac:dyDescent="0.25">
      <c r="A919" s="10">
        <v>28</v>
      </c>
      <c r="B919" s="30"/>
      <c r="C919" s="88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L919" s="18"/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X919" s="18"/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J919" s="18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customFormat="1" x14ac:dyDescent="0.25">
      <c r="A920" s="10">
        <v>29</v>
      </c>
      <c r="B920" s="30"/>
      <c r="C920" s="88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L920" s="18"/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X920" s="18"/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J920" s="18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customFormat="1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L921" s="18"/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X921" s="18"/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J921" s="18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customFormat="1" x14ac:dyDescent="0.25">
      <c r="A922" s="10">
        <v>31</v>
      </c>
      <c r="B922" s="30"/>
      <c r="C922" s="88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L922" s="18"/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X922" s="18"/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J922" s="18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customFormat="1" x14ac:dyDescent="0.25">
      <c r="A923" s="10">
        <v>32</v>
      </c>
      <c r="B923" s="30"/>
      <c r="C923" s="88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L923" s="18"/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X923" s="18"/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J923" s="18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customFormat="1" x14ac:dyDescent="0.25">
      <c r="A924" s="10">
        <v>33</v>
      </c>
      <c r="B924" s="30"/>
      <c r="C924" s="88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L924" s="18"/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X924" s="18"/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J924" s="18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customFormat="1" x14ac:dyDescent="0.25">
      <c r="A925" s="10"/>
      <c r="B925" s="30"/>
      <c r="C925" s="88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L925" s="18"/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X925" s="18"/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J925" s="18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customFormat="1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L926" s="18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X926" s="18"/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J926" s="18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customFormat="1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L927" s="18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X927" s="18"/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J927" s="18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customFormat="1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L928" s="18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X928" s="18"/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J928" s="18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customFormat="1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L929" s="18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X929" s="18"/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J929" s="18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customFormat="1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L930" s="18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X930" s="18"/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J930" s="18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customFormat="1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L931" s="18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X931" s="18"/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J931" s="18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customFormat="1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L932" s="18"/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X932" s="18"/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J932" s="18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customFormat="1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L933" s="18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X933" s="18"/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J933" s="18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customFormat="1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L934" s="18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X934" s="18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J934" s="18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customFormat="1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L935" s="18"/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X935" s="18"/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J935" s="18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customForma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customFormat="1" x14ac:dyDescent="0.25">
      <c r="A937" t="s">
        <v>0</v>
      </c>
      <c r="B937" s="57"/>
      <c r="C937" s="57"/>
      <c r="D937" s="57"/>
      <c r="E937" s="57"/>
      <c r="F937" s="57"/>
      <c r="G937" s="57"/>
      <c r="L937" s="18"/>
      <c r="M937" t="s">
        <v>0</v>
      </c>
      <c r="N937" s="57"/>
      <c r="O937" s="57"/>
      <c r="P937" s="57"/>
      <c r="Q937" s="57"/>
      <c r="R937" s="57"/>
      <c r="S937" s="57"/>
      <c r="X937" s="18"/>
      <c r="Y937" t="s">
        <v>0</v>
      </c>
      <c r="Z937" s="57"/>
      <c r="AA937" s="57"/>
      <c r="AB937" s="57"/>
      <c r="AC937" s="57"/>
      <c r="AD937" s="57"/>
      <c r="AE937" s="57"/>
      <c r="AJ937" s="18"/>
      <c r="AK937" s="62"/>
      <c r="AL937" s="85"/>
      <c r="AM937" s="85"/>
      <c r="AN937" s="85"/>
      <c r="AO937" s="85"/>
      <c r="AP937" s="85"/>
      <c r="AQ937" s="82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customFormat="1" x14ac:dyDescent="0.25">
      <c r="A938" t="s">
        <v>28</v>
      </c>
      <c r="B938" s="57"/>
      <c r="C938" s="57"/>
      <c r="D938" s="57"/>
      <c r="E938" s="57"/>
      <c r="F938" s="57"/>
      <c r="G938" s="57"/>
      <c r="L938" s="18"/>
      <c r="M938" t="s">
        <v>28</v>
      </c>
      <c r="N938" s="57"/>
      <c r="O938" s="57"/>
      <c r="P938" s="57"/>
      <c r="Q938" s="57"/>
      <c r="R938" s="57"/>
      <c r="S938" s="57"/>
      <c r="X938" s="18"/>
      <c r="Y938" t="s">
        <v>28</v>
      </c>
      <c r="Z938" s="57"/>
      <c r="AA938" s="57"/>
      <c r="AB938" s="57"/>
      <c r="AC938" s="57"/>
      <c r="AD938" s="57"/>
      <c r="AE938" s="57"/>
      <c r="AJ938" s="18"/>
      <c r="AK938" s="62"/>
      <c r="AL938" s="85"/>
      <c r="AM938" s="85"/>
      <c r="AN938" s="85"/>
      <c r="AO938" s="85"/>
      <c r="AP938" s="85"/>
      <c r="AQ938" s="82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customFormat="1" x14ac:dyDescent="0.25">
      <c r="B939" s="57"/>
      <c r="C939" s="57"/>
      <c r="D939" s="57"/>
      <c r="E939" s="57"/>
      <c r="F939" s="57"/>
      <c r="G939" s="57"/>
      <c r="L939" s="18"/>
      <c r="N939" s="57"/>
      <c r="O939" s="57"/>
      <c r="P939" s="57"/>
      <c r="Q939" s="57"/>
      <c r="R939" s="57"/>
      <c r="S939" s="57"/>
      <c r="X939" s="18"/>
      <c r="Z939" s="57"/>
      <c r="AA939" s="57"/>
      <c r="AB939" s="57"/>
      <c r="AC939" s="57"/>
      <c r="AD939" s="57"/>
      <c r="AE939" s="57"/>
      <c r="AJ939" s="18"/>
      <c r="AK939" s="62"/>
      <c r="AL939" s="85"/>
      <c r="AM939" s="85"/>
      <c r="AN939" s="85"/>
      <c r="AO939" s="85"/>
      <c r="AP939" s="85"/>
      <c r="AQ939" s="82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customFormat="1" x14ac:dyDescent="0.25">
      <c r="A940" s="4" t="s">
        <v>14</v>
      </c>
      <c r="B940" s="57"/>
      <c r="C940" s="57"/>
      <c r="D940" s="57"/>
      <c r="E940" s="57"/>
      <c r="F940" s="57"/>
      <c r="G940" s="57"/>
      <c r="L940" s="18"/>
      <c r="M940" s="4" t="s">
        <v>14</v>
      </c>
      <c r="N940" s="57"/>
      <c r="O940" s="57"/>
      <c r="P940" s="57"/>
      <c r="Q940" s="57"/>
      <c r="R940" s="57"/>
      <c r="S940" s="57"/>
      <c r="X940" s="18"/>
      <c r="Y940" s="4" t="s">
        <v>14</v>
      </c>
      <c r="Z940" s="57"/>
      <c r="AA940" s="57"/>
      <c r="AB940" s="57"/>
      <c r="AC940" s="57"/>
      <c r="AD940" s="57"/>
      <c r="AE940" s="57"/>
      <c r="AJ940" s="18"/>
      <c r="AK940" s="63"/>
      <c r="AL940" s="85"/>
      <c r="AM940" s="85"/>
      <c r="AN940" s="85"/>
      <c r="AO940" s="85"/>
      <c r="AP940" s="85"/>
      <c r="AQ940" s="82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customFormat="1" x14ac:dyDescent="0.25">
      <c r="B941" s="57"/>
      <c r="C941" s="57"/>
      <c r="D941" s="57"/>
      <c r="E941" s="57"/>
      <c r="F941" s="57"/>
      <c r="G941" s="57"/>
      <c r="L941" s="18"/>
      <c r="N941" s="57"/>
      <c r="O941" s="57"/>
      <c r="P941" s="57"/>
      <c r="Q941" s="57"/>
      <c r="R941" s="57"/>
      <c r="S941" s="57"/>
      <c r="X941" s="18"/>
      <c r="Z941" s="57"/>
      <c r="AA941" s="57"/>
      <c r="AB941" s="57"/>
      <c r="AC941" s="57"/>
      <c r="AD941" s="57"/>
      <c r="AE941" s="57"/>
      <c r="AJ941" s="18"/>
      <c r="AK941" s="62"/>
      <c r="AL941" s="85"/>
      <c r="AM941" s="85"/>
      <c r="AN941" s="85"/>
      <c r="AO941" s="85"/>
      <c r="AP941" s="85"/>
      <c r="AQ941" s="82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customFormat="1" ht="15.75" x14ac:dyDescent="0.25">
      <c r="A942" t="s">
        <v>34</v>
      </c>
      <c r="B942" s="57"/>
      <c r="C942" s="57"/>
      <c r="D942" s="57"/>
      <c r="E942" s="57"/>
      <c r="F942" s="57"/>
      <c r="G942" s="57"/>
      <c r="I942" s="57" t="s">
        <v>15</v>
      </c>
      <c r="J942" s="19">
        <v>1</v>
      </c>
      <c r="L942" s="18"/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X942" s="18"/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J942" s="18"/>
      <c r="AK942" s="62"/>
      <c r="AL942" s="85"/>
      <c r="AM942" s="85"/>
      <c r="AN942" s="85"/>
      <c r="AO942" s="85"/>
      <c r="AP942" s="85"/>
      <c r="AQ942" s="82"/>
      <c r="AR942" s="62"/>
      <c r="AS942" s="82"/>
      <c r="AT942" s="82"/>
      <c r="AU942" s="62"/>
      <c r="AV942" s="62"/>
      <c r="AW942" s="62"/>
      <c r="AX942" s="62"/>
      <c r="AY942" s="62"/>
      <c r="AZ942" s="62"/>
    </row>
    <row r="943" spans="1:52" customFormat="1" x14ac:dyDescent="0.25">
      <c r="A943" s="21" t="s">
        <v>89</v>
      </c>
      <c r="B943" s="20"/>
      <c r="C943" s="57"/>
      <c r="D943" s="57"/>
      <c r="E943" s="57"/>
      <c r="F943" s="57"/>
      <c r="G943" s="57"/>
      <c r="I943" s="22" t="s">
        <v>16</v>
      </c>
      <c r="J943" s="23" t="s">
        <v>33</v>
      </c>
      <c r="K943" s="24"/>
      <c r="L943" s="18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X943" s="18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J943" s="18"/>
      <c r="AK943" s="64"/>
      <c r="AL943" s="85"/>
      <c r="AM943" s="85"/>
      <c r="AN943" s="85"/>
      <c r="AO943" s="85"/>
      <c r="AP943" s="85"/>
      <c r="AQ943" s="82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customFormat="1" x14ac:dyDescent="0.25">
      <c r="B944" s="57"/>
      <c r="C944" s="57"/>
      <c r="D944" s="57"/>
      <c r="E944" s="57"/>
      <c r="F944" s="57"/>
      <c r="G944" s="57"/>
      <c r="L944" s="18"/>
      <c r="N944" s="57"/>
      <c r="O944" s="57"/>
      <c r="P944" s="57"/>
      <c r="Q944" s="57"/>
      <c r="R944" s="57"/>
      <c r="S944" s="57"/>
      <c r="X944" s="18"/>
      <c r="Z944" s="57"/>
      <c r="AA944" s="57"/>
      <c r="AB944" s="57"/>
      <c r="AC944" s="57"/>
      <c r="AD944" s="57"/>
      <c r="AE944" s="57"/>
      <c r="AJ944" s="18"/>
      <c r="AK944" s="62"/>
      <c r="AL944" s="85"/>
      <c r="AM944" s="85"/>
      <c r="AN944" s="85"/>
      <c r="AO944" s="85"/>
      <c r="AP944" s="85"/>
      <c r="AQ944" s="82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customFormat="1" ht="15" customHeight="1" x14ac:dyDescent="0.25">
      <c r="B945" s="25"/>
      <c r="C945" s="26"/>
      <c r="D945" s="121" t="s">
        <v>17</v>
      </c>
      <c r="E945" s="121"/>
      <c r="F945" s="105"/>
      <c r="G945" s="27"/>
      <c r="I945" s="124" t="s">
        <v>18</v>
      </c>
      <c r="J945" s="125"/>
      <c r="K945" s="122" t="s">
        <v>19</v>
      </c>
      <c r="L945" s="18"/>
      <c r="N945" s="25"/>
      <c r="O945" s="26"/>
      <c r="P945" s="121" t="s">
        <v>17</v>
      </c>
      <c r="Q945" s="121"/>
      <c r="R945" s="105"/>
      <c r="S945" s="27"/>
      <c r="U945" s="124" t="s">
        <v>18</v>
      </c>
      <c r="V945" s="125"/>
      <c r="W945" s="122" t="s">
        <v>19</v>
      </c>
      <c r="X945" s="18"/>
      <c r="Z945" s="25"/>
      <c r="AA945" s="26"/>
      <c r="AB945" s="121" t="s">
        <v>17</v>
      </c>
      <c r="AC945" s="121"/>
      <c r="AD945" s="105"/>
      <c r="AE945" s="27"/>
      <c r="AG945" s="124" t="s">
        <v>18</v>
      </c>
      <c r="AH945" s="125"/>
      <c r="AI945" s="122" t="s">
        <v>19</v>
      </c>
      <c r="AJ945" s="18"/>
      <c r="AK945" s="62"/>
      <c r="AL945" s="65"/>
      <c r="AM945" s="85"/>
      <c r="AN945" s="127"/>
      <c r="AO945" s="127"/>
      <c r="AP945" s="85"/>
      <c r="AQ945" s="82"/>
      <c r="AR945" s="62"/>
      <c r="AS945" s="127"/>
      <c r="AT945" s="127"/>
      <c r="AU945" s="126"/>
      <c r="AV945" s="62"/>
      <c r="AW945" s="62"/>
      <c r="AX945" s="62"/>
      <c r="AY945" s="62"/>
      <c r="AZ945" s="62"/>
    </row>
    <row r="946" spans="1:52" customFormat="1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23"/>
      <c r="L946" s="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23"/>
      <c r="X946" s="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23"/>
      <c r="AJ946" s="18"/>
      <c r="AK946" s="62"/>
      <c r="AL946" s="85"/>
      <c r="AM946" s="85"/>
      <c r="AN946" s="79"/>
      <c r="AO946" s="81"/>
      <c r="AP946" s="81"/>
      <c r="AQ946" s="81"/>
      <c r="AR946" s="62"/>
      <c r="AS946" s="83"/>
      <c r="AT946" s="83"/>
      <c r="AU946" s="126"/>
      <c r="AV946" s="62"/>
      <c r="AW946" s="62"/>
      <c r="AX946" s="62"/>
      <c r="AY946" s="62"/>
      <c r="AZ946" s="62"/>
    </row>
    <row r="947" spans="1:52" customFormat="1" x14ac:dyDescent="0.25">
      <c r="A947" s="10">
        <v>1</v>
      </c>
      <c r="B947" s="30" t="s">
        <v>90</v>
      </c>
      <c r="C947" s="88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L947" s="18"/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X947" s="18"/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J947" s="18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customFormat="1" x14ac:dyDescent="0.25">
      <c r="A948" s="10">
        <v>2</v>
      </c>
      <c r="B948" s="30" t="s">
        <v>90</v>
      </c>
      <c r="C948" s="88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L948" s="18"/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X948" s="18"/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J948" s="18"/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customFormat="1" x14ac:dyDescent="0.25">
      <c r="A949" s="10">
        <v>3</v>
      </c>
      <c r="B949" s="30" t="s">
        <v>90</v>
      </c>
      <c r="C949" s="88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L949" s="18"/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X949" s="18"/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J949" s="18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customFormat="1" x14ac:dyDescent="0.25">
      <c r="A950" s="10">
        <v>4</v>
      </c>
      <c r="B950" s="30" t="s">
        <v>90</v>
      </c>
      <c r="C950" s="88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L950" s="18"/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X950" s="18"/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J950" s="18"/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customFormat="1" x14ac:dyDescent="0.25">
      <c r="A951" s="10">
        <v>5</v>
      </c>
      <c r="B951" s="30" t="s">
        <v>90</v>
      </c>
      <c r="C951" s="88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L951" s="18"/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X951" s="18"/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J951" s="18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customFormat="1" x14ac:dyDescent="0.25">
      <c r="A952" s="10">
        <v>6</v>
      </c>
      <c r="B952" s="30" t="s">
        <v>90</v>
      </c>
      <c r="C952" s="88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L952" s="18"/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X952" s="18"/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J952" s="18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customFormat="1" x14ac:dyDescent="0.25">
      <c r="A953" s="10">
        <v>7</v>
      </c>
      <c r="B953" s="30" t="s">
        <v>90</v>
      </c>
      <c r="C953" s="88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L953" s="18"/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X953" s="18"/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J953" s="18"/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customFormat="1" x14ac:dyDescent="0.25">
      <c r="A954" s="10">
        <v>8</v>
      </c>
      <c r="B954" s="30" t="s">
        <v>90</v>
      </c>
      <c r="C954" s="88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L954" s="18"/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X954" s="18"/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J954" s="18"/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customFormat="1" x14ac:dyDescent="0.25">
      <c r="A955" s="10">
        <v>9</v>
      </c>
      <c r="B955" s="30" t="s">
        <v>90</v>
      </c>
      <c r="C955" s="88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L955" s="18"/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X955" s="18"/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J955" s="18"/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customFormat="1" x14ac:dyDescent="0.25">
      <c r="A956" s="10">
        <v>10</v>
      </c>
      <c r="B956" s="30" t="s">
        <v>90</v>
      </c>
      <c r="C956" s="88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L956" s="18"/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X956" s="18"/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J956" s="18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customFormat="1" x14ac:dyDescent="0.25">
      <c r="A957" s="10">
        <v>11</v>
      </c>
      <c r="B957" s="30" t="s">
        <v>90</v>
      </c>
      <c r="C957" s="88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L957" s="18"/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X957" s="18"/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J957" s="18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customFormat="1" x14ac:dyDescent="0.25">
      <c r="A958" s="10">
        <v>12</v>
      </c>
      <c r="B958" s="30" t="s">
        <v>90</v>
      </c>
      <c r="C958" s="88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L958" s="18"/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X958" s="18"/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J958" s="18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customFormat="1" x14ac:dyDescent="0.25">
      <c r="A959" s="10">
        <v>13</v>
      </c>
      <c r="B959" s="30" t="s">
        <v>90</v>
      </c>
      <c r="C959" s="88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L959" s="18"/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X959" s="18"/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J959" s="18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customFormat="1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L960" s="18"/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X960" s="18"/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J960" s="18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customFormat="1" x14ac:dyDescent="0.25">
      <c r="A961" s="10">
        <v>15</v>
      </c>
      <c r="B961" s="30"/>
      <c r="C961" s="3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L961" s="18"/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X961" s="18"/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J961" s="18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customFormat="1" x14ac:dyDescent="0.25">
      <c r="A962" s="10">
        <v>16</v>
      </c>
      <c r="B962" s="30"/>
      <c r="C962" s="88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L962" s="18"/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X962" s="18"/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J962" s="18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customFormat="1" x14ac:dyDescent="0.25">
      <c r="A963" s="10">
        <v>17</v>
      </c>
      <c r="B963" s="30"/>
      <c r="C963" s="88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L963" s="18"/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X963" s="18"/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J963" s="18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customFormat="1" x14ac:dyDescent="0.25">
      <c r="A964" s="10">
        <v>18</v>
      </c>
      <c r="B964" s="30"/>
      <c r="C964" s="88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L964" s="18"/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X964" s="18"/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J964" s="18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customFormat="1" x14ac:dyDescent="0.25">
      <c r="A965" s="10">
        <v>19</v>
      </c>
      <c r="B965" s="30"/>
      <c r="C965" s="88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L965" s="18"/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X965" s="18"/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J965" s="18"/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customFormat="1" x14ac:dyDescent="0.25">
      <c r="A966" s="10">
        <v>20</v>
      </c>
      <c r="B966" s="30"/>
      <c r="C966" s="88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L966" s="18"/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X966" s="18"/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J966" s="18"/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customFormat="1" x14ac:dyDescent="0.25">
      <c r="A967" s="10">
        <v>21</v>
      </c>
      <c r="B967" s="30"/>
      <c r="C967" s="3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L967" s="18"/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X967" s="18"/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J967" s="18"/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customFormat="1" x14ac:dyDescent="0.25">
      <c r="A968" s="10">
        <v>22</v>
      </c>
      <c r="B968" s="30"/>
      <c r="C968" s="88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L968" s="18"/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X968" s="18"/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J968" s="18"/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customFormat="1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L969" s="18"/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X969" s="18"/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J969" s="18"/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customFormat="1" x14ac:dyDescent="0.25">
      <c r="A970" s="10">
        <v>24</v>
      </c>
      <c r="B970" s="30"/>
      <c r="C970" s="88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L970" s="18"/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X970" s="18"/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J970" s="18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customFormat="1" x14ac:dyDescent="0.25">
      <c r="A971" s="10">
        <v>25</v>
      </c>
      <c r="B971" s="30"/>
      <c r="C971" s="88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L971" s="18"/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X971" s="18"/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J971" s="18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customFormat="1" x14ac:dyDescent="0.25">
      <c r="A972" s="10">
        <v>26</v>
      </c>
      <c r="B972" s="30"/>
      <c r="C972" s="88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L972" s="18"/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X972" s="18"/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J972" s="18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customFormat="1" x14ac:dyDescent="0.25">
      <c r="A973" s="10">
        <v>27</v>
      </c>
      <c r="B973" s="30"/>
      <c r="C973" s="88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L973" s="18"/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X973" s="18"/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J973" s="18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customFormat="1" x14ac:dyDescent="0.25">
      <c r="A974" s="10">
        <v>28</v>
      </c>
      <c r="B974" s="30"/>
      <c r="C974" s="88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L974" s="18"/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X974" s="18"/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J974" s="18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customFormat="1" x14ac:dyDescent="0.25">
      <c r="A975" s="10">
        <v>29</v>
      </c>
      <c r="B975" s="30"/>
      <c r="C975" s="88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L975" s="18"/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X975" s="18"/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J975" s="18"/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customFormat="1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L976" s="18"/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X976" s="18"/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J976" s="18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customFormat="1" x14ac:dyDescent="0.25">
      <c r="A977" s="10">
        <v>31</v>
      </c>
      <c r="B977" s="30"/>
      <c r="C977" s="88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L977" s="18"/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X977" s="18"/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J977" s="18"/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customFormat="1" x14ac:dyDescent="0.25">
      <c r="A978" s="10">
        <v>32</v>
      </c>
      <c r="B978" s="30"/>
      <c r="C978" s="88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L978" s="18"/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X978" s="18"/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J978" s="18"/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customFormat="1" x14ac:dyDescent="0.25">
      <c r="A979" s="10">
        <v>33</v>
      </c>
      <c r="B979" s="30"/>
      <c r="C979" s="88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L979" s="18"/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X979" s="18"/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J979" s="18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customFormat="1" x14ac:dyDescent="0.25">
      <c r="A980" s="10"/>
      <c r="B980" s="30"/>
      <c r="C980" s="88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L980" s="18"/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X980" s="18"/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J980" s="18"/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customFormat="1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L981" s="18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X981" s="18"/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J981" s="18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customFormat="1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L982" s="18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X982" s="18"/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J982" s="18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customFormat="1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L983" s="18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X983" s="18"/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J983" s="18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customFormat="1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L984" s="18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X984" s="18"/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J984" s="18"/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customFormat="1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L985" s="18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X985" s="18"/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J985" s="18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customFormat="1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L986" s="18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X986" s="18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J986" s="18"/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customFormat="1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L987" s="18"/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X987" s="18"/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J987" s="18"/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customFormat="1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L988" s="18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X988" s="18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J988" s="18"/>
      <c r="AK988" s="62"/>
      <c r="AL988" s="85"/>
      <c r="AM988" s="85"/>
      <c r="AN988" s="85"/>
      <c r="AO988" s="85"/>
      <c r="AP988" s="85"/>
      <c r="AQ988" s="82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customFormat="1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L989" s="18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X989" s="18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J989" s="18"/>
      <c r="AK989" s="62"/>
      <c r="AL989" s="85"/>
      <c r="AM989" s="85"/>
      <c r="AN989" s="85"/>
      <c r="AO989" s="85"/>
      <c r="AP989" s="85"/>
      <c r="AQ989" s="8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customFormat="1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L990" s="18"/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X990" s="18"/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J990" s="18"/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customForma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customFormat="1" x14ac:dyDescent="0.25">
      <c r="A992" t="s">
        <v>0</v>
      </c>
      <c r="B992" s="57"/>
      <c r="C992" s="57"/>
      <c r="D992" s="57"/>
      <c r="E992" s="57"/>
      <c r="F992" s="57"/>
      <c r="G992" s="57"/>
      <c r="L992" s="18"/>
      <c r="M992" t="s">
        <v>0</v>
      </c>
      <c r="N992" s="57"/>
      <c r="O992" s="57"/>
      <c r="P992" s="57"/>
      <c r="Q992" s="57"/>
      <c r="R992" s="57"/>
      <c r="S992" s="57"/>
      <c r="X992" s="18"/>
      <c r="Y992" t="s">
        <v>0</v>
      </c>
      <c r="Z992" s="57"/>
      <c r="AA992" s="57"/>
      <c r="AB992" s="57"/>
      <c r="AC992" s="57"/>
      <c r="AD992" s="57"/>
      <c r="AE992" s="57"/>
      <c r="AJ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customFormat="1" x14ac:dyDescent="0.25">
      <c r="A993" t="s">
        <v>28</v>
      </c>
      <c r="B993" s="57"/>
      <c r="C993" s="57"/>
      <c r="D993" s="57"/>
      <c r="E993" s="57"/>
      <c r="F993" s="57"/>
      <c r="G993" s="57"/>
      <c r="L993" s="18"/>
      <c r="M993" t="s">
        <v>28</v>
      </c>
      <c r="N993" s="57"/>
      <c r="O993" s="57"/>
      <c r="P993" s="57"/>
      <c r="Q993" s="57"/>
      <c r="R993" s="57"/>
      <c r="S993" s="57"/>
      <c r="X993" s="18"/>
      <c r="Y993" t="s">
        <v>28</v>
      </c>
      <c r="Z993" s="57"/>
      <c r="AA993" s="57"/>
      <c r="AB993" s="57"/>
      <c r="AC993" s="57"/>
      <c r="AD993" s="57"/>
      <c r="AE993" s="57"/>
      <c r="AJ993" s="18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customFormat="1" x14ac:dyDescent="0.25">
      <c r="B994" s="57"/>
      <c r="C994" s="57"/>
      <c r="D994" s="57"/>
      <c r="E994" s="57"/>
      <c r="F994" s="57"/>
      <c r="G994" s="57"/>
      <c r="L994" s="18"/>
      <c r="N994" s="57"/>
      <c r="O994" s="57"/>
      <c r="P994" s="57"/>
      <c r="Q994" s="57"/>
      <c r="R994" s="57"/>
      <c r="S994" s="57"/>
      <c r="X994" s="18"/>
      <c r="Z994" s="57"/>
      <c r="AA994" s="57"/>
      <c r="AB994" s="57"/>
      <c r="AC994" s="57"/>
      <c r="AD994" s="57"/>
      <c r="AE994" s="57"/>
      <c r="AJ994" s="18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customFormat="1" x14ac:dyDescent="0.25">
      <c r="A995" s="4" t="s">
        <v>14</v>
      </c>
      <c r="B995" s="57"/>
      <c r="C995" s="57"/>
      <c r="D995" s="57"/>
      <c r="E995" s="57"/>
      <c r="F995" s="57"/>
      <c r="G995" s="57"/>
      <c r="L995" s="18"/>
      <c r="M995" s="4" t="s">
        <v>14</v>
      </c>
      <c r="N995" s="57"/>
      <c r="O995" s="57"/>
      <c r="P995" s="57"/>
      <c r="Q995" s="57"/>
      <c r="R995" s="57"/>
      <c r="S995" s="57"/>
      <c r="X995" s="18"/>
      <c r="Y995" s="4" t="s">
        <v>14</v>
      </c>
      <c r="Z995" s="57"/>
      <c r="AA995" s="57"/>
      <c r="AB995" s="57"/>
      <c r="AC995" s="57"/>
      <c r="AD995" s="57"/>
      <c r="AE995" s="57"/>
      <c r="AJ995" s="18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customFormat="1" x14ac:dyDescent="0.25">
      <c r="B996" s="57"/>
      <c r="C996" s="57"/>
      <c r="D996" s="57"/>
      <c r="E996" s="57"/>
      <c r="F996" s="57"/>
      <c r="G996" s="57"/>
      <c r="L996" s="18"/>
      <c r="N996" s="57"/>
      <c r="O996" s="57"/>
      <c r="P996" s="57"/>
      <c r="Q996" s="57"/>
      <c r="R996" s="57"/>
      <c r="S996" s="57"/>
      <c r="X996" s="18"/>
      <c r="Z996" s="57"/>
      <c r="AA996" s="57"/>
      <c r="AB996" s="57"/>
      <c r="AC996" s="57"/>
      <c r="AD996" s="57"/>
      <c r="AE996" s="57"/>
      <c r="AJ996" s="18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customFormat="1" ht="15.75" x14ac:dyDescent="0.25">
      <c r="A997" t="s">
        <v>35</v>
      </c>
      <c r="B997" s="57"/>
      <c r="C997" s="57"/>
      <c r="D997" s="57"/>
      <c r="E997" s="57"/>
      <c r="F997" s="57"/>
      <c r="G997" s="57"/>
      <c r="I997" s="57" t="s">
        <v>15</v>
      </c>
      <c r="J997" s="19">
        <v>1</v>
      </c>
      <c r="L997" s="18"/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X997" s="18"/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J997" s="18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customFormat="1" x14ac:dyDescent="0.25">
      <c r="A998" s="21" t="s">
        <v>92</v>
      </c>
      <c r="B998" s="20"/>
      <c r="C998" s="57"/>
      <c r="D998" s="57"/>
      <c r="E998" s="57"/>
      <c r="F998" s="57"/>
      <c r="G998" s="57"/>
      <c r="I998" s="22" t="s">
        <v>16</v>
      </c>
      <c r="J998" s="23" t="s">
        <v>33</v>
      </c>
      <c r="K998" s="24"/>
      <c r="L998" s="18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X998" s="18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J998" s="18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customFormat="1" x14ac:dyDescent="0.25">
      <c r="B999" s="57"/>
      <c r="C999" s="57"/>
      <c r="D999" s="57"/>
      <c r="E999" s="57"/>
      <c r="F999" s="57"/>
      <c r="G999" s="57"/>
      <c r="L999" s="18"/>
      <c r="N999" s="57"/>
      <c r="O999" s="57"/>
      <c r="P999" s="57"/>
      <c r="Q999" s="57"/>
      <c r="R999" s="57"/>
      <c r="S999" s="57"/>
      <c r="X999" s="18"/>
      <c r="Z999" s="57"/>
      <c r="AA999" s="57"/>
      <c r="AB999" s="57"/>
      <c r="AC999" s="57"/>
      <c r="AD999" s="57"/>
      <c r="AE999" s="57"/>
      <c r="AJ999" s="18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customFormat="1" x14ac:dyDescent="0.25">
      <c r="B1000" s="25"/>
      <c r="C1000" s="26"/>
      <c r="D1000" s="121" t="s">
        <v>17</v>
      </c>
      <c r="E1000" s="121"/>
      <c r="F1000" s="107"/>
      <c r="G1000" s="27"/>
      <c r="I1000" s="124" t="s">
        <v>18</v>
      </c>
      <c r="J1000" s="125"/>
      <c r="K1000" s="122" t="s">
        <v>19</v>
      </c>
      <c r="L1000" s="18"/>
      <c r="N1000" s="25"/>
      <c r="O1000" s="26"/>
      <c r="P1000" s="121" t="s">
        <v>17</v>
      </c>
      <c r="Q1000" s="121"/>
      <c r="R1000" s="107"/>
      <c r="S1000" s="27"/>
      <c r="U1000" s="124" t="s">
        <v>18</v>
      </c>
      <c r="V1000" s="125"/>
      <c r="W1000" s="122" t="s">
        <v>19</v>
      </c>
      <c r="X1000" s="18"/>
      <c r="Z1000" s="25"/>
      <c r="AA1000" s="26"/>
      <c r="AB1000" s="121" t="s">
        <v>17</v>
      </c>
      <c r="AC1000" s="121"/>
      <c r="AD1000" s="107"/>
      <c r="AE1000" s="27"/>
      <c r="AG1000" s="124" t="s">
        <v>18</v>
      </c>
      <c r="AH1000" s="125"/>
      <c r="AI1000" s="122" t="s">
        <v>19</v>
      </c>
      <c r="AJ1000" s="18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customFormat="1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23"/>
      <c r="L1001" s="18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23"/>
      <c r="X1001" s="18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23"/>
      <c r="AJ1001" s="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customFormat="1" x14ac:dyDescent="0.25">
      <c r="A1002" s="10">
        <v>1</v>
      </c>
      <c r="B1002" s="30" t="s">
        <v>93</v>
      </c>
      <c r="C1002" s="88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L1002" s="18"/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X1002" s="18"/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J1002" s="18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customFormat="1" x14ac:dyDescent="0.25">
      <c r="A1003" s="10">
        <v>2</v>
      </c>
      <c r="B1003" s="30" t="s">
        <v>93</v>
      </c>
      <c r="C1003" s="88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L1003" s="18"/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X1003" s="18"/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J1003" s="18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customFormat="1" x14ac:dyDescent="0.25">
      <c r="A1004" s="10">
        <v>3</v>
      </c>
      <c r="B1004" s="30" t="s">
        <v>93</v>
      </c>
      <c r="C1004" s="88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L1004" s="18"/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X1004" s="18"/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J1004" s="18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customFormat="1" x14ac:dyDescent="0.25">
      <c r="A1005" s="10">
        <v>4</v>
      </c>
      <c r="B1005" s="30" t="s">
        <v>93</v>
      </c>
      <c r="C1005" s="88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L1005" s="18"/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X1005" s="18"/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J1005" s="18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customFormat="1" x14ac:dyDescent="0.25">
      <c r="A1006" s="10">
        <v>5</v>
      </c>
      <c r="B1006" s="30" t="s">
        <v>93</v>
      </c>
      <c r="C1006" s="88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L1006" s="18"/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X1006" s="18"/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J1006" s="18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customFormat="1" x14ac:dyDescent="0.25">
      <c r="A1007" s="10">
        <v>6</v>
      </c>
      <c r="B1007" s="30" t="s">
        <v>93</v>
      </c>
      <c r="C1007" s="88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L1007" s="18"/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X1007" s="18"/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J1007" s="18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customFormat="1" x14ac:dyDescent="0.25">
      <c r="A1008" s="10">
        <v>7</v>
      </c>
      <c r="B1008" s="30" t="s">
        <v>93</v>
      </c>
      <c r="C1008" s="88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L1008" s="18"/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X1008" s="18"/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J1008" s="18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customFormat="1" x14ac:dyDescent="0.25">
      <c r="A1009" s="10">
        <v>8</v>
      </c>
      <c r="B1009" s="30" t="s">
        <v>93</v>
      </c>
      <c r="C1009" s="88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L1009" s="18"/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X1009" s="18"/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J1009" s="18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customFormat="1" x14ac:dyDescent="0.25">
      <c r="A1010" s="10">
        <v>9</v>
      </c>
      <c r="B1010" s="30" t="s">
        <v>93</v>
      </c>
      <c r="C1010" s="88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L1010" s="18"/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X1010" s="18"/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J1010" s="18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customFormat="1" x14ac:dyDescent="0.25">
      <c r="A1011" s="10">
        <v>10</v>
      </c>
      <c r="B1011" s="30" t="s">
        <v>93</v>
      </c>
      <c r="C1011" s="88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L1011" s="18"/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X1011" s="18"/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J1011" s="18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customFormat="1" x14ac:dyDescent="0.25">
      <c r="A1012" s="10">
        <v>11</v>
      </c>
      <c r="B1012" s="30" t="s">
        <v>93</v>
      </c>
      <c r="C1012" s="88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L1012" s="18"/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X1012" s="18"/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J1012" s="18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customFormat="1" x14ac:dyDescent="0.25">
      <c r="A1013" s="10">
        <v>12</v>
      </c>
      <c r="B1013" s="30" t="s">
        <v>93</v>
      </c>
      <c r="C1013" s="88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L1013" s="18"/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X1013" s="18"/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J1013" s="18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customFormat="1" x14ac:dyDescent="0.25">
      <c r="A1014" s="10">
        <v>13</v>
      </c>
      <c r="B1014" s="30" t="s">
        <v>93</v>
      </c>
      <c r="C1014" s="88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L1014" s="18"/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X1014" s="18"/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J1014" s="18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customFormat="1" x14ac:dyDescent="0.25">
      <c r="A1015" s="10">
        <v>14</v>
      </c>
      <c r="B1015" s="30" t="s">
        <v>93</v>
      </c>
      <c r="C1015" s="88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L1015" s="18"/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X1015" s="18"/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J1015" s="18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customFormat="1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L1016" s="18"/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X1016" s="18"/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J1016" s="18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customFormat="1" x14ac:dyDescent="0.25">
      <c r="A1017" s="10">
        <v>16</v>
      </c>
      <c r="B1017" s="30"/>
      <c r="C1017" s="88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L1017" s="18"/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X1017" s="18"/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J1017" s="18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customFormat="1" x14ac:dyDescent="0.25">
      <c r="A1018" s="10">
        <v>17</v>
      </c>
      <c r="B1018" s="30"/>
      <c r="C1018" s="88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L1018" s="18"/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X1018" s="18"/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J1018" s="18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customFormat="1" x14ac:dyDescent="0.25">
      <c r="A1019" s="10">
        <v>18</v>
      </c>
      <c r="B1019" s="30"/>
      <c r="C1019" s="88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L1019" s="18"/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X1019" s="18"/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J1019" s="18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customFormat="1" x14ac:dyDescent="0.25">
      <c r="A1020" s="10">
        <v>19</v>
      </c>
      <c r="B1020" s="30"/>
      <c r="C1020" s="88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L1020" s="18"/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X1020" s="18"/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J1020" s="18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customFormat="1" x14ac:dyDescent="0.25">
      <c r="A1021" s="10">
        <v>20</v>
      </c>
      <c r="B1021" s="30"/>
      <c r="C1021" s="88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L1021" s="18"/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X1021" s="18"/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J1021" s="18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customFormat="1" x14ac:dyDescent="0.25">
      <c r="A1022" s="10">
        <v>21</v>
      </c>
      <c r="B1022" s="30"/>
      <c r="C1022" s="3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L1022" s="18"/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X1022" s="18"/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J1022" s="18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customFormat="1" x14ac:dyDescent="0.25">
      <c r="A1023" s="10">
        <v>22</v>
      </c>
      <c r="B1023" s="30"/>
      <c r="C1023" s="88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L1023" s="18"/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X1023" s="18"/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J1023" s="18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customFormat="1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L1024" s="18"/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X1024" s="18"/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J1024" s="18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customFormat="1" x14ac:dyDescent="0.25">
      <c r="A1025" s="10">
        <v>24</v>
      </c>
      <c r="B1025" s="30"/>
      <c r="C1025" s="88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L1025" s="18"/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X1025" s="18"/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J1025" s="18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customFormat="1" x14ac:dyDescent="0.25">
      <c r="A1026" s="10">
        <v>25</v>
      </c>
      <c r="B1026" s="30"/>
      <c r="C1026" s="88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L1026" s="18"/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X1026" s="18"/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J1026" s="18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customFormat="1" x14ac:dyDescent="0.25">
      <c r="A1027" s="10">
        <v>26</v>
      </c>
      <c r="B1027" s="30"/>
      <c r="C1027" s="88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L1027" s="18"/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X1027" s="18"/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J1027" s="18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customFormat="1" x14ac:dyDescent="0.25">
      <c r="A1028" s="10">
        <v>27</v>
      </c>
      <c r="B1028" s="30"/>
      <c r="C1028" s="88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L1028" s="18"/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X1028" s="18"/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J1028" s="18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customFormat="1" x14ac:dyDescent="0.25">
      <c r="A1029" s="10">
        <v>28</v>
      </c>
      <c r="B1029" s="30"/>
      <c r="C1029" s="88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L1029" s="18"/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X1029" s="18"/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J1029" s="18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customFormat="1" x14ac:dyDescent="0.25">
      <c r="A1030" s="10">
        <v>29</v>
      </c>
      <c r="B1030" s="30"/>
      <c r="C1030" s="88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L1030" s="18"/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X1030" s="18"/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J1030" s="18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customFormat="1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L1031" s="18"/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X1031" s="18"/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J1031" s="18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customFormat="1" x14ac:dyDescent="0.25">
      <c r="A1032" s="10">
        <v>31</v>
      </c>
      <c r="B1032" s="30"/>
      <c r="C1032" s="88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L1032" s="18"/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X1032" s="18"/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J1032" s="18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customFormat="1" x14ac:dyDescent="0.25">
      <c r="A1033" s="10">
        <v>32</v>
      </c>
      <c r="B1033" s="30"/>
      <c r="C1033" s="88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L1033" s="18"/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X1033" s="18"/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J1033" s="18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customFormat="1" x14ac:dyDescent="0.25">
      <c r="A1034" s="10">
        <v>33</v>
      </c>
      <c r="B1034" s="30"/>
      <c r="C1034" s="88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L1034" s="18"/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X1034" s="18"/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J1034" s="18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customFormat="1" x14ac:dyDescent="0.25">
      <c r="A1035" s="10"/>
      <c r="B1035" s="30"/>
      <c r="C1035" s="88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L1035" s="18"/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X1035" s="18"/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J1035" s="18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customFormat="1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L1036" s="18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X1036" s="18"/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J1036" s="18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customFormat="1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L1037" s="18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X1037" s="18"/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J1037" s="18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customFormat="1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L1038" s="18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X1038" s="18"/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J1038" s="18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customFormat="1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L1039" s="18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X1039" s="18"/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J1039" s="18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customFormat="1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L1040" s="18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X1040" s="18"/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J1040" s="18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customFormat="1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L1041" s="18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X1041" s="18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J1041" s="18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customFormat="1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L1042" s="18"/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X1042" s="18"/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J1042" s="18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customFormat="1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L1043" s="18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X1043" s="18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J1043" s="18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customFormat="1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L1044" s="18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X1044" s="18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J1044" s="18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customFormat="1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L1045" s="18"/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X1045" s="18"/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J1045" s="18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customFormat="1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J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customFormat="1" x14ac:dyDescent="0.25">
      <c r="A1047" t="s">
        <v>0</v>
      </c>
      <c r="B1047" s="57"/>
      <c r="C1047" s="57"/>
      <c r="D1047" s="57"/>
      <c r="E1047" s="57"/>
      <c r="F1047" s="57"/>
      <c r="G1047" s="57"/>
      <c r="L1047" s="18"/>
      <c r="M1047" t="s">
        <v>0</v>
      </c>
      <c r="N1047" s="57"/>
      <c r="O1047" s="57"/>
      <c r="P1047" s="57"/>
      <c r="Q1047" s="57"/>
      <c r="R1047" s="57"/>
      <c r="S1047" s="57"/>
      <c r="X1047" s="18"/>
      <c r="Y1047" t="s">
        <v>0</v>
      </c>
      <c r="Z1047" s="57"/>
      <c r="AA1047" s="57"/>
      <c r="AB1047" s="57"/>
      <c r="AC1047" s="57"/>
      <c r="AD1047" s="57"/>
      <c r="AE1047" s="57"/>
      <c r="AJ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customFormat="1" x14ac:dyDescent="0.25">
      <c r="A1048" t="s">
        <v>28</v>
      </c>
      <c r="B1048" s="57"/>
      <c r="C1048" s="57"/>
      <c r="D1048" s="57"/>
      <c r="E1048" s="57"/>
      <c r="F1048" s="57"/>
      <c r="G1048" s="57"/>
      <c r="L1048" s="18"/>
      <c r="M1048" t="s">
        <v>28</v>
      </c>
      <c r="N1048" s="57"/>
      <c r="O1048" s="57"/>
      <c r="P1048" s="57"/>
      <c r="Q1048" s="57"/>
      <c r="R1048" s="57"/>
      <c r="S1048" s="57"/>
      <c r="X1048" s="18"/>
      <c r="Y1048" t="s">
        <v>28</v>
      </c>
      <c r="Z1048" s="57"/>
      <c r="AA1048" s="57"/>
      <c r="AB1048" s="57"/>
      <c r="AC1048" s="57"/>
      <c r="AD1048" s="57"/>
      <c r="AE1048" s="57"/>
      <c r="AJ1048" s="18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customFormat="1" x14ac:dyDescent="0.25">
      <c r="B1049" s="57"/>
      <c r="C1049" s="57"/>
      <c r="D1049" s="57"/>
      <c r="E1049" s="57"/>
      <c r="F1049" s="57"/>
      <c r="G1049" s="57"/>
      <c r="L1049" s="18"/>
      <c r="N1049" s="57"/>
      <c r="O1049" s="57"/>
      <c r="P1049" s="57"/>
      <c r="Q1049" s="57"/>
      <c r="R1049" s="57"/>
      <c r="S1049" s="57"/>
      <c r="X1049" s="18"/>
      <c r="Z1049" s="57"/>
      <c r="AA1049" s="57"/>
      <c r="AB1049" s="57"/>
      <c r="AC1049" s="57"/>
      <c r="AD1049" s="57"/>
      <c r="AE1049" s="57"/>
      <c r="AJ1049" s="18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customFormat="1" x14ac:dyDescent="0.25">
      <c r="A1050" s="4" t="s">
        <v>14</v>
      </c>
      <c r="B1050" s="57"/>
      <c r="C1050" s="57"/>
      <c r="D1050" s="57"/>
      <c r="E1050" s="57"/>
      <c r="F1050" s="57"/>
      <c r="G1050" s="57"/>
      <c r="L1050" s="18"/>
      <c r="M1050" s="4" t="s">
        <v>14</v>
      </c>
      <c r="N1050" s="57"/>
      <c r="O1050" s="57"/>
      <c r="P1050" s="57"/>
      <c r="Q1050" s="57"/>
      <c r="R1050" s="57"/>
      <c r="S1050" s="57"/>
      <c r="X1050" s="18"/>
      <c r="Y1050" s="4" t="s">
        <v>14</v>
      </c>
      <c r="Z1050" s="57"/>
      <c r="AA1050" s="57"/>
      <c r="AB1050" s="57"/>
      <c r="AC1050" s="57"/>
      <c r="AD1050" s="57"/>
      <c r="AE1050" s="57"/>
      <c r="AJ1050" s="18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customFormat="1" x14ac:dyDescent="0.25">
      <c r="B1051" s="57"/>
      <c r="C1051" s="57"/>
      <c r="D1051" s="57"/>
      <c r="E1051" s="57"/>
      <c r="F1051" s="57"/>
      <c r="G1051" s="57"/>
      <c r="L1051" s="18"/>
      <c r="N1051" s="57"/>
      <c r="O1051" s="57"/>
      <c r="P1051" s="57"/>
      <c r="Q1051" s="57"/>
      <c r="R1051" s="57"/>
      <c r="S1051" s="57"/>
      <c r="X1051" s="18"/>
      <c r="Z1051" s="57"/>
      <c r="AA1051" s="57"/>
      <c r="AB1051" s="57"/>
      <c r="AC1051" s="57"/>
      <c r="AD1051" s="57"/>
      <c r="AE1051" s="57"/>
      <c r="AJ1051" s="18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customFormat="1" ht="15.75" x14ac:dyDescent="0.25">
      <c r="A1052" t="s">
        <v>40</v>
      </c>
      <c r="B1052" s="57"/>
      <c r="C1052" s="57"/>
      <c r="D1052" s="57"/>
      <c r="E1052" s="57"/>
      <c r="F1052" s="57"/>
      <c r="G1052" s="57"/>
      <c r="I1052" s="57" t="s">
        <v>15</v>
      </c>
      <c r="J1052" s="19">
        <v>1</v>
      </c>
      <c r="L1052" s="18"/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X1052" s="18"/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J1052" s="18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customFormat="1" x14ac:dyDescent="0.25">
      <c r="A1053" s="21" t="s">
        <v>95</v>
      </c>
      <c r="B1053" s="20"/>
      <c r="C1053" s="57"/>
      <c r="D1053" s="57"/>
      <c r="E1053" s="57"/>
      <c r="F1053" s="57"/>
      <c r="G1053" s="57"/>
      <c r="I1053" s="22" t="s">
        <v>16</v>
      </c>
      <c r="J1053" s="23" t="s">
        <v>33</v>
      </c>
      <c r="K1053" s="24"/>
      <c r="L1053" s="18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X1053" s="18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J1053" s="18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customFormat="1" x14ac:dyDescent="0.25">
      <c r="B1054" s="57"/>
      <c r="C1054" s="57"/>
      <c r="D1054" s="57"/>
      <c r="E1054" s="57"/>
      <c r="F1054" s="57"/>
      <c r="G1054" s="57"/>
      <c r="L1054" s="18"/>
      <c r="N1054" s="57"/>
      <c r="O1054" s="57"/>
      <c r="P1054" s="57"/>
      <c r="Q1054" s="57"/>
      <c r="R1054" s="57"/>
      <c r="S1054" s="57"/>
      <c r="X1054" s="18"/>
      <c r="Z1054" s="57"/>
      <c r="AA1054" s="57"/>
      <c r="AB1054" s="57"/>
      <c r="AC1054" s="57"/>
      <c r="AD1054" s="57"/>
      <c r="AE1054" s="57"/>
      <c r="AJ1054" s="18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customFormat="1" x14ac:dyDescent="0.25">
      <c r="B1055" s="25"/>
      <c r="C1055" s="26"/>
      <c r="D1055" s="121" t="s">
        <v>17</v>
      </c>
      <c r="E1055" s="121"/>
      <c r="F1055" s="108"/>
      <c r="G1055" s="27"/>
      <c r="I1055" s="124" t="s">
        <v>18</v>
      </c>
      <c r="J1055" s="125"/>
      <c r="K1055" s="122" t="s">
        <v>19</v>
      </c>
      <c r="L1055" s="18"/>
      <c r="N1055" s="25"/>
      <c r="O1055" s="26"/>
      <c r="P1055" s="121" t="s">
        <v>17</v>
      </c>
      <c r="Q1055" s="121"/>
      <c r="R1055" s="108"/>
      <c r="S1055" s="27"/>
      <c r="U1055" s="124" t="s">
        <v>18</v>
      </c>
      <c r="V1055" s="125"/>
      <c r="W1055" s="122" t="s">
        <v>19</v>
      </c>
      <c r="X1055" s="18"/>
      <c r="Z1055" s="25"/>
      <c r="AA1055" s="26"/>
      <c r="AB1055" s="121" t="s">
        <v>17</v>
      </c>
      <c r="AC1055" s="121"/>
      <c r="AD1055" s="108"/>
      <c r="AE1055" s="27"/>
      <c r="AG1055" s="124" t="s">
        <v>18</v>
      </c>
      <c r="AH1055" s="125"/>
      <c r="AI1055" s="122" t="s">
        <v>19</v>
      </c>
      <c r="AJ1055" s="18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customFormat="1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23"/>
      <c r="L1056" s="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23"/>
      <c r="X1056" s="18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23"/>
      <c r="AJ1056" s="18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customFormat="1" x14ac:dyDescent="0.25">
      <c r="A1057" s="10">
        <v>1</v>
      </c>
      <c r="B1057" s="30" t="s">
        <v>96</v>
      </c>
      <c r="C1057" s="88">
        <v>7386</v>
      </c>
      <c r="D1057" s="32">
        <f>3756+596+66.5</f>
        <v>4418.5</v>
      </c>
      <c r="E1057" s="32"/>
      <c r="F1057" s="32"/>
      <c r="G1057" s="32">
        <f t="shared" ref="G1057:G1090" si="285">SUM(D1057:E1057)</f>
        <v>4418.5</v>
      </c>
      <c r="H1057" s="12"/>
      <c r="I1057" s="12"/>
      <c r="J1057" s="12"/>
      <c r="K1057" s="12">
        <f t="shared" ref="K1057:K1090" si="286">SUM(G1057:J1057)</f>
        <v>4418.5</v>
      </c>
      <c r="L1057" s="18"/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X1057" s="18"/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J1057" s="18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customFormat="1" x14ac:dyDescent="0.25">
      <c r="A1058" s="10">
        <v>2</v>
      </c>
      <c r="B1058" s="30" t="s">
        <v>96</v>
      </c>
      <c r="C1058" s="88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L1058" s="18"/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089" si="287">SUM(P1058:Q1058)</f>
        <v>3813</v>
      </c>
      <c r="T1058" s="12"/>
      <c r="U1058" s="12">
        <v>4.5</v>
      </c>
      <c r="V1058" s="12"/>
      <c r="W1058" s="12">
        <f t="shared" ref="W1058:W1098" si="288">SUM(S1058:V1058)</f>
        <v>3817.5</v>
      </c>
      <c r="X1058" s="18"/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095" si="289">SUM(AB1058:AC1058)</f>
        <v>37410</v>
      </c>
      <c r="AF1058" s="12"/>
      <c r="AG1058" s="12"/>
      <c r="AH1058" s="12">
        <v>-1776</v>
      </c>
      <c r="AI1058" s="12">
        <f t="shared" ref="AI1058:AI1098" si="290">SUM(AE1058:AH1058)</f>
        <v>35634</v>
      </c>
      <c r="AJ1058" s="18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customFormat="1" x14ac:dyDescent="0.25">
      <c r="A1059" s="10">
        <v>3</v>
      </c>
      <c r="B1059" s="30" t="s">
        <v>96</v>
      </c>
      <c r="C1059" s="88">
        <f t="shared" ref="C1059:C1071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L1059" s="18"/>
      <c r="M1059" s="10">
        <v>3</v>
      </c>
      <c r="N1059" s="30" t="s">
        <v>96</v>
      </c>
      <c r="O1059" s="31">
        <f t="shared" ref="O1059:O1064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X1059" s="18"/>
      <c r="Y1059" s="10">
        <v>3</v>
      </c>
      <c r="Z1059" s="30" t="s">
        <v>96</v>
      </c>
      <c r="AA1059" s="31">
        <f t="shared" ref="AA1059:AA1060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J1059" s="18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customFormat="1" x14ac:dyDescent="0.25">
      <c r="A1060" s="10">
        <v>4</v>
      </c>
      <c r="B1060" s="30" t="s">
        <v>96</v>
      </c>
      <c r="C1060" s="88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L1060" s="18"/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X1060" s="18"/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J1060" s="18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customFormat="1" x14ac:dyDescent="0.25">
      <c r="A1061" s="10">
        <v>5</v>
      </c>
      <c r="B1061" s="30" t="s">
        <v>96</v>
      </c>
      <c r="C1061" s="88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L1061" s="18"/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X1061" s="18"/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J1061" s="18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customFormat="1" x14ac:dyDescent="0.25">
      <c r="A1062" s="10">
        <v>6</v>
      </c>
      <c r="B1062" s="30" t="s">
        <v>96</v>
      </c>
      <c r="C1062" s="88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L1062" s="18"/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X1062" s="18"/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J1062" s="18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customFormat="1" x14ac:dyDescent="0.25">
      <c r="A1063" s="10">
        <v>7</v>
      </c>
      <c r="B1063" s="30" t="s">
        <v>96</v>
      </c>
      <c r="C1063" s="88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L1063" s="18"/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X1063" s="18"/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J1063" s="18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customFormat="1" x14ac:dyDescent="0.25">
      <c r="A1064" s="10">
        <v>8</v>
      </c>
      <c r="B1064" s="30" t="s">
        <v>96</v>
      </c>
      <c r="C1064" s="88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L1064" s="18"/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X1064" s="18"/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J1064" s="18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customFormat="1" x14ac:dyDescent="0.25">
      <c r="A1065" s="10">
        <v>9</v>
      </c>
      <c r="B1065" s="30" t="s">
        <v>96</v>
      </c>
      <c r="C1065" s="88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L1065" s="18"/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X1065" s="18"/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J1065" s="18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customFormat="1" x14ac:dyDescent="0.25">
      <c r="A1066" s="10">
        <v>10</v>
      </c>
      <c r="B1066" s="30" t="s">
        <v>96</v>
      </c>
      <c r="C1066" s="88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L1066" s="18"/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X1066" s="18"/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J1066" s="18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customFormat="1" x14ac:dyDescent="0.25">
      <c r="A1067" s="10">
        <v>11</v>
      </c>
      <c r="B1067" s="30" t="s">
        <v>96</v>
      </c>
      <c r="C1067" s="88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L1067" s="18"/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X1067" s="18"/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J1067" s="18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customFormat="1" x14ac:dyDescent="0.25">
      <c r="A1068" s="10">
        <v>12</v>
      </c>
      <c r="B1068" s="30" t="s">
        <v>96</v>
      </c>
      <c r="C1068" s="88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L1068" s="18"/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X1068" s="18"/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J1068" s="18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customFormat="1" x14ac:dyDescent="0.25">
      <c r="A1069" s="10">
        <v>13</v>
      </c>
      <c r="B1069" s="30" t="s">
        <v>96</v>
      </c>
      <c r="C1069" s="88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L1069" s="18"/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X1069" s="18"/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J1069" s="18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customFormat="1" x14ac:dyDescent="0.25">
      <c r="A1070" s="10">
        <v>14</v>
      </c>
      <c r="B1070" s="30" t="s">
        <v>96</v>
      </c>
      <c r="C1070" s="88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L1070" s="18"/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X1070" s="18"/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J1070" s="18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customFormat="1" x14ac:dyDescent="0.25">
      <c r="A1071" s="10">
        <v>15</v>
      </c>
      <c r="B1071" s="30" t="s">
        <v>96</v>
      </c>
      <c r="C1071" s="88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L1071" s="18"/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X1071" s="18"/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J1071" s="18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customFormat="1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L1072" s="18"/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X1072" s="18"/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J1072" s="18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customFormat="1" x14ac:dyDescent="0.25">
      <c r="A1073" s="10">
        <v>17</v>
      </c>
      <c r="B1073" s="30"/>
      <c r="C1073" s="88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L1073" s="18"/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X1073" s="18"/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J1073" s="18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customFormat="1" x14ac:dyDescent="0.25">
      <c r="A1074" s="10">
        <v>18</v>
      </c>
      <c r="B1074" s="30"/>
      <c r="C1074" s="88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L1074" s="18"/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X1074" s="18"/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J1074" s="18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customFormat="1" x14ac:dyDescent="0.25">
      <c r="A1075" s="10">
        <v>19</v>
      </c>
      <c r="B1075" s="30"/>
      <c r="C1075" s="88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L1075" s="18"/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X1075" s="18"/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J1075" s="18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customFormat="1" x14ac:dyDescent="0.25">
      <c r="A1076" s="10">
        <v>20</v>
      </c>
      <c r="B1076" s="30"/>
      <c r="C1076" s="88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L1076" s="18"/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X1076" s="18"/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J1076" s="18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customFormat="1" x14ac:dyDescent="0.25">
      <c r="A1077" s="10">
        <v>21</v>
      </c>
      <c r="B1077" s="30"/>
      <c r="C1077" s="3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L1077" s="18"/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X1077" s="18"/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J1077" s="18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customFormat="1" x14ac:dyDescent="0.25">
      <c r="A1078" s="10">
        <v>22</v>
      </c>
      <c r="B1078" s="30"/>
      <c r="C1078" s="88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L1078" s="18"/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X1078" s="18"/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J1078" s="18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customFormat="1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L1079" s="18"/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X1079" s="18"/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J1079" s="18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customFormat="1" x14ac:dyDescent="0.25">
      <c r="A1080" s="10">
        <v>24</v>
      </c>
      <c r="B1080" s="30"/>
      <c r="C1080" s="88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L1080" s="18"/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X1080" s="18"/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J1080" s="18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customFormat="1" x14ac:dyDescent="0.25">
      <c r="A1081" s="10">
        <v>25</v>
      </c>
      <c r="B1081" s="30"/>
      <c r="C1081" s="88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L1081" s="18"/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X1081" s="18"/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J1081" s="18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customFormat="1" x14ac:dyDescent="0.25">
      <c r="A1082" s="10">
        <v>26</v>
      </c>
      <c r="B1082" s="30"/>
      <c r="C1082" s="88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L1082" s="18"/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X1082" s="18"/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J1082" s="18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customFormat="1" x14ac:dyDescent="0.25">
      <c r="A1083" s="10">
        <v>27</v>
      </c>
      <c r="B1083" s="30"/>
      <c r="C1083" s="88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L1083" s="18"/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X1083" s="18"/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J1083" s="18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customFormat="1" x14ac:dyDescent="0.25">
      <c r="A1084" s="10">
        <v>28</v>
      </c>
      <c r="B1084" s="30"/>
      <c r="C1084" s="88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L1084" s="18"/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X1084" s="18"/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J1084" s="18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customFormat="1" x14ac:dyDescent="0.25">
      <c r="A1085" s="10">
        <v>29</v>
      </c>
      <c r="B1085" s="30"/>
      <c r="C1085" s="88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L1085" s="18"/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X1085" s="18"/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J1085" s="18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customFormat="1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L1086" s="18"/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X1086" s="18"/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J1086" s="18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customFormat="1" x14ac:dyDescent="0.25">
      <c r="A1087" s="10">
        <v>31</v>
      </c>
      <c r="B1087" s="30"/>
      <c r="C1087" s="88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L1087" s="18"/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X1087" s="18"/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J1087" s="18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customFormat="1" x14ac:dyDescent="0.25">
      <c r="A1088" s="10">
        <v>32</v>
      </c>
      <c r="B1088" s="30"/>
      <c r="C1088" s="88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L1088" s="18"/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X1088" s="18"/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J1088" s="18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customFormat="1" x14ac:dyDescent="0.25">
      <c r="A1089" s="10">
        <v>33</v>
      </c>
      <c r="B1089" s="30"/>
      <c r="C1089" s="88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L1089" s="18"/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X1089" s="18"/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J1089" s="18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customFormat="1" x14ac:dyDescent="0.25">
      <c r="A1090" s="10"/>
      <c r="B1090" s="30"/>
      <c r="C1090" s="88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L1090" s="18"/>
      <c r="M1090" s="10">
        <v>34</v>
      </c>
      <c r="N1090" s="30"/>
      <c r="P1090" s="47"/>
      <c r="Q1090" s="31"/>
      <c r="R1090" s="31"/>
      <c r="S1090" s="32">
        <f t="shared" ref="S1090:S1095" si="294">SUM(P1090:Q1090)</f>
        <v>0</v>
      </c>
      <c r="T1090" s="10"/>
      <c r="U1090" s="10"/>
      <c r="V1090" s="10"/>
      <c r="W1090" s="12">
        <f t="shared" si="288"/>
        <v>0</v>
      </c>
      <c r="X1090" s="18"/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J1090" s="18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customFormat="1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L1091" s="18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X1091" s="18"/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J1091" s="18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customFormat="1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L1092" s="18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X1092" s="18"/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J1092" s="18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customFormat="1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L1093" s="18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X1093" s="18"/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J1093" s="18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customFormat="1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L1094" s="18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X1094" s="18"/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J1094" s="18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customFormat="1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L1095" s="18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X1095" s="18"/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J1095" s="18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customFormat="1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L1096" s="18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X1096" s="18"/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J1096" s="18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customFormat="1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L1097" s="18"/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X1097" s="18"/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J1097" s="18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customFormat="1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L1098" s="18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X1098" s="18"/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J1098" s="18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customFormat="1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L1099" s="18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X1099" s="18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J1099" s="18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customFormat="1" x14ac:dyDescent="0.25">
      <c r="B1100" s="57"/>
      <c r="C1100" s="57"/>
      <c r="D1100" s="38">
        <f>SUM(D1057:D1099)</f>
        <v>100282</v>
      </c>
      <c r="E1100" s="38">
        <f t="shared" ref="E1100:F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L1100" s="18"/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X1100" s="18"/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J1100" s="18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customFormat="1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J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customFormat="1" x14ac:dyDescent="0.25">
      <c r="A1102" t="s">
        <v>0</v>
      </c>
      <c r="B1102" s="57"/>
      <c r="C1102" s="57"/>
      <c r="D1102" s="57"/>
      <c r="E1102" s="57"/>
      <c r="F1102" s="57"/>
      <c r="G1102" s="57"/>
      <c r="L1102" s="18"/>
      <c r="M1102" t="s">
        <v>0</v>
      </c>
      <c r="N1102" s="57"/>
      <c r="O1102" s="57"/>
      <c r="P1102" s="57"/>
      <c r="Q1102" s="57"/>
      <c r="R1102" s="57"/>
      <c r="S1102" s="57"/>
      <c r="X1102" s="18"/>
      <c r="Y1102" t="s">
        <v>0</v>
      </c>
      <c r="Z1102" s="57"/>
      <c r="AA1102" s="57"/>
      <c r="AB1102" s="57"/>
      <c r="AC1102" s="57"/>
      <c r="AD1102" s="57"/>
      <c r="AE1102" s="57"/>
      <c r="AJ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customFormat="1" x14ac:dyDescent="0.25">
      <c r="A1103" t="s">
        <v>28</v>
      </c>
      <c r="B1103" s="57"/>
      <c r="C1103" s="57"/>
      <c r="D1103" s="57"/>
      <c r="E1103" s="57"/>
      <c r="F1103" s="57"/>
      <c r="G1103" s="57"/>
      <c r="L1103" s="18"/>
      <c r="M1103" t="s">
        <v>28</v>
      </c>
      <c r="N1103" s="57"/>
      <c r="O1103" s="57"/>
      <c r="P1103" s="57"/>
      <c r="Q1103" s="57"/>
      <c r="R1103" s="57"/>
      <c r="S1103" s="57"/>
      <c r="X1103" s="18"/>
      <c r="Y1103" t="s">
        <v>28</v>
      </c>
      <c r="Z1103" s="57"/>
      <c r="AA1103" s="57"/>
      <c r="AB1103" s="57"/>
      <c r="AC1103" s="57"/>
      <c r="AD1103" s="57"/>
      <c r="AE1103" s="57"/>
      <c r="AJ1103" s="18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customFormat="1" x14ac:dyDescent="0.25">
      <c r="B1104" s="57"/>
      <c r="C1104" s="57"/>
      <c r="D1104" s="57"/>
      <c r="E1104" s="57"/>
      <c r="F1104" s="57"/>
      <c r="G1104" s="57"/>
      <c r="L1104" s="18"/>
      <c r="N1104" s="57"/>
      <c r="O1104" s="57"/>
      <c r="P1104" s="57"/>
      <c r="Q1104" s="57"/>
      <c r="R1104" s="57"/>
      <c r="S1104" s="57"/>
      <c r="X1104" s="18"/>
      <c r="Z1104" s="57"/>
      <c r="AA1104" s="57"/>
      <c r="AB1104" s="57"/>
      <c r="AC1104" s="57"/>
      <c r="AD1104" s="57"/>
      <c r="AE1104" s="57"/>
      <c r="AJ1104" s="18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customFormat="1" x14ac:dyDescent="0.25">
      <c r="A1105" s="4" t="s">
        <v>14</v>
      </c>
      <c r="B1105" s="57"/>
      <c r="C1105" s="57"/>
      <c r="D1105" s="57"/>
      <c r="E1105" s="57"/>
      <c r="F1105" s="57"/>
      <c r="G1105" s="57"/>
      <c r="L1105" s="18"/>
      <c r="M1105" s="4" t="s">
        <v>14</v>
      </c>
      <c r="N1105" s="57"/>
      <c r="O1105" s="57"/>
      <c r="P1105" s="57"/>
      <c r="Q1105" s="57"/>
      <c r="R1105" s="57"/>
      <c r="S1105" s="57"/>
      <c r="X1105" s="18"/>
      <c r="Y1105" s="4" t="s">
        <v>14</v>
      </c>
      <c r="Z1105" s="57"/>
      <c r="AA1105" s="57"/>
      <c r="AB1105" s="57"/>
      <c r="AC1105" s="57"/>
      <c r="AD1105" s="57"/>
      <c r="AE1105" s="57"/>
      <c r="AJ1105" s="18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customFormat="1" x14ac:dyDescent="0.25">
      <c r="B1106" s="57"/>
      <c r="C1106" s="57"/>
      <c r="D1106" s="57"/>
      <c r="E1106" s="57"/>
      <c r="F1106" s="57"/>
      <c r="G1106" s="57"/>
      <c r="L1106" s="18"/>
      <c r="N1106" s="57"/>
      <c r="O1106" s="57"/>
      <c r="P1106" s="57"/>
      <c r="Q1106" s="57"/>
      <c r="R1106" s="57"/>
      <c r="S1106" s="57"/>
      <c r="X1106" s="18"/>
      <c r="Z1106" s="57"/>
      <c r="AA1106" s="57"/>
      <c r="AB1106" s="57"/>
      <c r="AC1106" s="57"/>
      <c r="AD1106" s="57"/>
      <c r="AE1106" s="57"/>
      <c r="AJ1106" s="18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customFormat="1" ht="15.75" x14ac:dyDescent="0.25">
      <c r="A1107" t="s">
        <v>47</v>
      </c>
      <c r="B1107" s="57"/>
      <c r="C1107" s="57"/>
      <c r="D1107" s="57"/>
      <c r="E1107" s="57"/>
      <c r="F1107" s="57"/>
      <c r="G1107" s="57"/>
      <c r="I1107" s="57" t="s">
        <v>15</v>
      </c>
      <c r="J1107" s="19">
        <v>1</v>
      </c>
      <c r="L1107" s="18"/>
      <c r="M1107" t="s">
        <v>47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X1107" s="18"/>
      <c r="Y1107" t="s">
        <v>47</v>
      </c>
      <c r="Z1107" s="57"/>
      <c r="AA1107" s="57"/>
      <c r="AB1107" s="57"/>
      <c r="AC1107" s="57"/>
      <c r="AD1107" s="57"/>
      <c r="AE1107" s="57"/>
      <c r="AG1107" s="57" t="s">
        <v>15</v>
      </c>
      <c r="AH1107" s="19">
        <v>3</v>
      </c>
      <c r="AJ1107" s="18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customFormat="1" x14ac:dyDescent="0.25">
      <c r="A1108" s="21" t="s">
        <v>98</v>
      </c>
      <c r="B1108" s="20"/>
      <c r="C1108" s="57"/>
      <c r="D1108" s="57"/>
      <c r="E1108" s="57"/>
      <c r="F1108" s="57"/>
      <c r="G1108" s="57"/>
      <c r="I1108" s="22" t="s">
        <v>16</v>
      </c>
      <c r="J1108" s="23" t="s">
        <v>33</v>
      </c>
      <c r="K1108" s="24"/>
      <c r="L1108" s="18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42</v>
      </c>
      <c r="W1108" s="24"/>
      <c r="X1108" s="18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J1108" s="18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customFormat="1" x14ac:dyDescent="0.25">
      <c r="B1109" s="57"/>
      <c r="C1109" s="57"/>
      <c r="D1109" s="57"/>
      <c r="E1109" s="57"/>
      <c r="F1109" s="57"/>
      <c r="G1109" s="57"/>
      <c r="L1109" s="18"/>
      <c r="N1109" s="57"/>
      <c r="O1109" s="57"/>
      <c r="P1109" s="57"/>
      <c r="Q1109" s="57"/>
      <c r="R1109" s="57"/>
      <c r="S1109" s="57"/>
      <c r="X1109" s="18"/>
      <c r="Z1109" s="57"/>
      <c r="AA1109" s="57"/>
      <c r="AB1109" s="57"/>
      <c r="AC1109" s="57"/>
      <c r="AD1109" s="57"/>
      <c r="AE1109" s="57"/>
      <c r="AJ1109" s="18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customFormat="1" x14ac:dyDescent="0.25">
      <c r="B1110" s="25"/>
      <c r="C1110" s="26"/>
      <c r="D1110" s="121" t="s">
        <v>17</v>
      </c>
      <c r="E1110" s="121"/>
      <c r="F1110" s="109"/>
      <c r="G1110" s="27"/>
      <c r="I1110" s="124" t="s">
        <v>18</v>
      </c>
      <c r="J1110" s="125"/>
      <c r="K1110" s="122" t="s">
        <v>19</v>
      </c>
      <c r="L1110" s="18"/>
      <c r="N1110" s="25"/>
      <c r="O1110" s="26"/>
      <c r="P1110" s="121" t="s">
        <v>17</v>
      </c>
      <c r="Q1110" s="121"/>
      <c r="R1110" s="109"/>
      <c r="S1110" s="27"/>
      <c r="U1110" s="124" t="s">
        <v>18</v>
      </c>
      <c r="V1110" s="125"/>
      <c r="W1110" s="122" t="s">
        <v>19</v>
      </c>
      <c r="X1110" s="18"/>
      <c r="Z1110" s="25"/>
      <c r="AA1110" s="26"/>
      <c r="AB1110" s="121" t="s">
        <v>17</v>
      </c>
      <c r="AC1110" s="121"/>
      <c r="AD1110" s="109"/>
      <c r="AE1110" s="27"/>
      <c r="AG1110" s="124" t="s">
        <v>18</v>
      </c>
      <c r="AH1110" s="125"/>
      <c r="AI1110" s="122" t="s">
        <v>19</v>
      </c>
      <c r="AJ1110" s="18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customFormat="1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23"/>
      <c r="L1111" s="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23"/>
      <c r="X1111" s="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23"/>
      <c r="AJ1111" s="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customFormat="1" x14ac:dyDescent="0.25">
      <c r="A1112" s="10">
        <v>1</v>
      </c>
      <c r="B1112" s="30" t="s">
        <v>99</v>
      </c>
      <c r="C1112" s="88">
        <v>7501</v>
      </c>
      <c r="D1112" s="32">
        <f>375600+12280+4565+59600+17040+8320+24960+2500+2500+1447</f>
        <v>508812</v>
      </c>
      <c r="E1112" s="32"/>
      <c r="F1112" s="32"/>
      <c r="G1112" s="32">
        <f t="shared" ref="G1112:G1145" si="300">SUM(D1112:E1112)</f>
        <v>508812</v>
      </c>
      <c r="H1112" s="12"/>
      <c r="I1112" s="12"/>
      <c r="J1112" s="12"/>
      <c r="K1112" s="12">
        <f t="shared" ref="K1112:K1145" si="301">SUM(G1112:J1112)</f>
        <v>508812</v>
      </c>
      <c r="L1112" s="18"/>
      <c r="M1112" s="10">
        <v>1</v>
      </c>
      <c r="N1112" s="30" t="s">
        <v>99</v>
      </c>
      <c r="O1112" s="31">
        <v>7426</v>
      </c>
      <c r="P1112" s="32">
        <f>135216+64368+1102+2977+650</f>
        <v>204313</v>
      </c>
      <c r="Q1112" s="32">
        <v>-3033</v>
      </c>
      <c r="R1112" s="32"/>
      <c r="S1112" s="32">
        <f>SUM(P1112:Q1112)</f>
        <v>201280</v>
      </c>
      <c r="T1112" s="12"/>
      <c r="U1112" s="12">
        <v>780</v>
      </c>
      <c r="V1112" s="12">
        <v>-252</v>
      </c>
      <c r="W1112" s="12">
        <f>SUM(S1112:V1112)</f>
        <v>201808</v>
      </c>
      <c r="X1112" s="18"/>
      <c r="Y1112" s="10">
        <v>1</v>
      </c>
      <c r="Z1112" s="30" t="s">
        <v>99</v>
      </c>
      <c r="AA1112" s="31">
        <v>7331</v>
      </c>
      <c r="AB1112" s="32">
        <f>67608+11920+1145+1950</f>
        <v>82623</v>
      </c>
      <c r="AC1112" s="32"/>
      <c r="AD1112" s="32"/>
      <c r="AE1112" s="32">
        <f>SUM(AB1112:AC1112)</f>
        <v>82623</v>
      </c>
      <c r="AF1112" s="12"/>
      <c r="AG1112" s="12">
        <v>3219</v>
      </c>
      <c r="AH1112" s="12"/>
      <c r="AI1112" s="12">
        <f>SUM(AE1112:AH1112)</f>
        <v>85842</v>
      </c>
      <c r="AJ1112" s="18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customFormat="1" x14ac:dyDescent="0.25">
      <c r="A1113" s="10">
        <v>2</v>
      </c>
      <c r="B1113" s="30" t="s">
        <v>99</v>
      </c>
      <c r="C1113" s="88">
        <f>C1112+1</f>
        <v>7502</v>
      </c>
      <c r="D1113" s="32">
        <f>1447+832+11750+1667*2+1582+2204+1102+5510+3250+1300</f>
        <v>32311</v>
      </c>
      <c r="E1113" s="32"/>
      <c r="F1113" s="32"/>
      <c r="G1113" s="32">
        <f t="shared" si="300"/>
        <v>32311</v>
      </c>
      <c r="H1113" s="12"/>
      <c r="I1113" s="12"/>
      <c r="J1113" s="12"/>
      <c r="K1113" s="12">
        <f t="shared" si="301"/>
        <v>32311</v>
      </c>
      <c r="L1113" s="18"/>
      <c r="M1113" s="10">
        <v>2</v>
      </c>
      <c r="N1113" s="30"/>
      <c r="O1113" s="11" t="s">
        <v>27</v>
      </c>
      <c r="P1113" s="32"/>
      <c r="Q1113" s="32"/>
      <c r="R1113" s="32"/>
      <c r="S1113" s="32">
        <f t="shared" ref="S1113:S1150" si="302">SUM(P1113:Q1113)</f>
        <v>0</v>
      </c>
      <c r="T1113" s="12"/>
      <c r="U1113" s="12"/>
      <c r="V1113" s="12"/>
      <c r="W1113" s="12">
        <f t="shared" ref="W1113:W1153" si="303">SUM(S1113:V1113)</f>
        <v>0</v>
      </c>
      <c r="X1113" s="18"/>
      <c r="Y1113" s="10">
        <v>2</v>
      </c>
      <c r="Z1113" s="30" t="s">
        <v>99</v>
      </c>
      <c r="AA1113" s="31">
        <f>AA1112+1</f>
        <v>7332</v>
      </c>
      <c r="AB1113" s="32">
        <f>35682+1788+458</f>
        <v>37928</v>
      </c>
      <c r="AC1113" s="32"/>
      <c r="AD1113" s="32"/>
      <c r="AE1113" s="32">
        <f t="shared" ref="AE1113:AE1150" si="304">SUM(AB1113:AC1113)</f>
        <v>37928</v>
      </c>
      <c r="AF1113" s="12"/>
      <c r="AG1113" s="12">
        <v>72</v>
      </c>
      <c r="AH1113" s="12"/>
      <c r="AI1113" s="12">
        <f t="shared" ref="AI1113:AI1153" si="305">SUM(AE1113:AH1113)</f>
        <v>38000</v>
      </c>
      <c r="AJ1113" s="18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customFormat="1" x14ac:dyDescent="0.25">
      <c r="A1114" s="10">
        <v>3</v>
      </c>
      <c r="B1114" s="30" t="s">
        <v>99</v>
      </c>
      <c r="C1114" s="88">
        <f t="shared" ref="C1114" si="306">C1113+1</f>
        <v>7503</v>
      </c>
      <c r="D1114" s="33">
        <f>6500</f>
        <v>6500</v>
      </c>
      <c r="E1114" s="33"/>
      <c r="F1114" s="33"/>
      <c r="G1114" s="33">
        <f t="shared" si="300"/>
        <v>6500</v>
      </c>
      <c r="H1114" s="34"/>
      <c r="I1114" s="34">
        <f>77700+2220+9360+541123</f>
        <v>630403</v>
      </c>
      <c r="J1114" s="34">
        <f>-240+-3663+-6552+-19992+-1428</f>
        <v>-31875</v>
      </c>
      <c r="K1114" s="34">
        <f t="shared" si="301"/>
        <v>605028</v>
      </c>
      <c r="L1114" s="18"/>
      <c r="M1114" s="10">
        <v>3</v>
      </c>
      <c r="N1114" s="30"/>
      <c r="O1114" s="31"/>
      <c r="P1114" s="32"/>
      <c r="Q1114" s="32"/>
      <c r="R1114" s="32"/>
      <c r="S1114" s="32">
        <f t="shared" si="302"/>
        <v>0</v>
      </c>
      <c r="T1114" s="12"/>
      <c r="U1114" s="12"/>
      <c r="V1114" s="12"/>
      <c r="W1114" s="12">
        <f t="shared" si="303"/>
        <v>0</v>
      </c>
      <c r="X1114" s="18"/>
      <c r="Y1114" s="10">
        <v>3</v>
      </c>
      <c r="Z1114" s="30" t="s">
        <v>99</v>
      </c>
      <c r="AA1114" s="31">
        <f t="shared" ref="AA1114:AA1117" si="307">AA1113+1</f>
        <v>7333</v>
      </c>
      <c r="AB1114" s="33">
        <f>18780+832+229</f>
        <v>19841</v>
      </c>
      <c r="AC1114" s="33"/>
      <c r="AD1114" s="32"/>
      <c r="AE1114" s="32">
        <f t="shared" si="304"/>
        <v>19841</v>
      </c>
      <c r="AF1114" s="12"/>
      <c r="AG1114" s="12">
        <v>94.5</v>
      </c>
      <c r="AH1114" s="12"/>
      <c r="AI1114" s="12">
        <f t="shared" si="305"/>
        <v>19935.5</v>
      </c>
      <c r="AJ1114" s="18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customFormat="1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00"/>
        <v>0</v>
      </c>
      <c r="H1115" s="12"/>
      <c r="I1115" s="12"/>
      <c r="J1115" s="12"/>
      <c r="K1115" s="12">
        <f t="shared" si="301"/>
        <v>0</v>
      </c>
      <c r="L1115" s="18"/>
      <c r="M1115" s="10">
        <v>4</v>
      </c>
      <c r="N1115" s="30"/>
      <c r="O1115" s="31"/>
      <c r="P1115" s="32"/>
      <c r="Q1115" s="32"/>
      <c r="R1115" s="32"/>
      <c r="S1115" s="32">
        <f t="shared" si="302"/>
        <v>0</v>
      </c>
      <c r="T1115" s="12"/>
      <c r="U1115" s="12"/>
      <c r="V1115" s="12"/>
      <c r="W1115" s="12">
        <f t="shared" si="303"/>
        <v>0</v>
      </c>
      <c r="X1115" s="18"/>
      <c r="Y1115" s="10">
        <v>4</v>
      </c>
      <c r="Z1115" s="30" t="s">
        <v>99</v>
      </c>
      <c r="AA1115" s="31">
        <f t="shared" si="307"/>
        <v>7334</v>
      </c>
      <c r="AB1115" s="32">
        <f>62600+3070+23840+1374</f>
        <v>90884</v>
      </c>
      <c r="AC1115" s="32">
        <v>-906</v>
      </c>
      <c r="AD1115" s="32"/>
      <c r="AE1115" s="32">
        <f t="shared" si="304"/>
        <v>89978</v>
      </c>
      <c r="AF1115" s="12"/>
      <c r="AH1115" s="12"/>
      <c r="AI1115" s="12">
        <f t="shared" si="305"/>
        <v>89978</v>
      </c>
      <c r="AJ1115" s="18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customFormat="1" x14ac:dyDescent="0.25">
      <c r="A1116" s="10">
        <v>5</v>
      </c>
      <c r="B1116" s="30"/>
      <c r="C1116" s="88"/>
      <c r="D1116" s="32"/>
      <c r="E1116" s="32"/>
      <c r="F1116" s="32"/>
      <c r="G1116" s="32">
        <f t="shared" si="300"/>
        <v>0</v>
      </c>
      <c r="H1116" s="12"/>
      <c r="I1116" s="12"/>
      <c r="J1116" s="12"/>
      <c r="K1116" s="12">
        <f t="shared" si="301"/>
        <v>0</v>
      </c>
      <c r="L1116" s="18"/>
      <c r="M1116" s="10">
        <v>5</v>
      </c>
      <c r="N1116" s="30"/>
      <c r="O1116" s="31"/>
      <c r="P1116" s="32"/>
      <c r="Q1116" s="32"/>
      <c r="R1116" s="32"/>
      <c r="S1116" s="32">
        <f t="shared" si="302"/>
        <v>0</v>
      </c>
      <c r="T1116" s="12"/>
      <c r="U1116" s="12"/>
      <c r="V1116" s="12"/>
      <c r="W1116" s="12">
        <f t="shared" si="303"/>
        <v>0</v>
      </c>
      <c r="X1116" s="18"/>
      <c r="Y1116" s="10">
        <v>5</v>
      </c>
      <c r="Z1116" s="30" t="s">
        <v>99</v>
      </c>
      <c r="AA1116" s="31">
        <f t="shared" si="307"/>
        <v>7335</v>
      </c>
      <c r="AB1116" s="32">
        <f>16276+1228+1788+229</f>
        <v>19521</v>
      </c>
      <c r="AC1116" s="32"/>
      <c r="AD1116" s="32"/>
      <c r="AE1116" s="32">
        <f t="shared" si="304"/>
        <v>19521</v>
      </c>
      <c r="AF1116" s="12"/>
      <c r="AG1116" s="12"/>
      <c r="AH1116" s="12"/>
      <c r="AI1116" s="12">
        <f t="shared" si="305"/>
        <v>19521</v>
      </c>
      <c r="AJ1116" s="18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customFormat="1" x14ac:dyDescent="0.25">
      <c r="A1117" s="10">
        <v>6</v>
      </c>
      <c r="B1117" s="30"/>
      <c r="C1117" s="88"/>
      <c r="D1117" s="32"/>
      <c r="E1117" s="32"/>
      <c r="F1117" s="32"/>
      <c r="G1117" s="32">
        <f t="shared" si="300"/>
        <v>0</v>
      </c>
      <c r="H1117" s="12"/>
      <c r="I1117" s="12"/>
      <c r="J1117" s="12"/>
      <c r="K1117" s="12">
        <f t="shared" si="301"/>
        <v>0</v>
      </c>
      <c r="L1117" s="18"/>
      <c r="M1117" s="10">
        <v>6</v>
      </c>
      <c r="N1117" s="30"/>
      <c r="O1117" s="31"/>
      <c r="P1117" s="32"/>
      <c r="Q1117" s="32"/>
      <c r="R1117" s="32"/>
      <c r="S1117" s="32">
        <f t="shared" si="302"/>
        <v>0</v>
      </c>
      <c r="T1117" s="12"/>
      <c r="U1117" s="12"/>
      <c r="V1117" s="10"/>
      <c r="W1117" s="12">
        <f t="shared" si="303"/>
        <v>0</v>
      </c>
      <c r="X1117" s="18"/>
      <c r="Y1117" s="10">
        <v>6</v>
      </c>
      <c r="Z1117" s="30" t="s">
        <v>99</v>
      </c>
      <c r="AA1117" s="31">
        <f t="shared" si="307"/>
        <v>7336</v>
      </c>
      <c r="AB1117" s="32">
        <f>2504</f>
        <v>2504</v>
      </c>
      <c r="AC1117" s="32"/>
      <c r="AD1117" s="32"/>
      <c r="AE1117" s="32">
        <f t="shared" si="304"/>
        <v>2504</v>
      </c>
      <c r="AF1117" s="12"/>
      <c r="AG1117" s="12"/>
      <c r="AH1117" s="10">
        <v>-1110</v>
      </c>
      <c r="AI1117" s="12">
        <f t="shared" si="305"/>
        <v>1394</v>
      </c>
      <c r="AJ1117" s="18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customFormat="1" x14ac:dyDescent="0.25">
      <c r="A1118" s="10">
        <v>7</v>
      </c>
      <c r="B1118" s="30"/>
      <c r="C1118" s="88"/>
      <c r="D1118" s="32"/>
      <c r="E1118" s="32"/>
      <c r="F1118" s="32"/>
      <c r="G1118" s="32">
        <f t="shared" si="300"/>
        <v>0</v>
      </c>
      <c r="H1118" s="12"/>
      <c r="I1118" s="12"/>
      <c r="J1118" s="12"/>
      <c r="K1118" s="12">
        <f t="shared" si="301"/>
        <v>0</v>
      </c>
      <c r="L1118" s="18"/>
      <c r="M1118" s="10">
        <v>7</v>
      </c>
      <c r="N1118" s="30"/>
      <c r="O1118" s="31"/>
      <c r="P1118" s="32"/>
      <c r="Q1118" s="32"/>
      <c r="R1118" s="32"/>
      <c r="S1118" s="32">
        <f t="shared" si="302"/>
        <v>0</v>
      </c>
      <c r="T1118" s="12"/>
      <c r="U1118" s="12"/>
      <c r="V1118" s="12"/>
      <c r="W1118" s="12">
        <f t="shared" si="303"/>
        <v>0</v>
      </c>
      <c r="X1118" s="18"/>
      <c r="Y1118" s="10">
        <v>7</v>
      </c>
      <c r="Z1118" s="30"/>
      <c r="AA1118" s="11" t="s">
        <v>27</v>
      </c>
      <c r="AB1118" s="32"/>
      <c r="AC1118" s="32"/>
      <c r="AD1118" s="32"/>
      <c r="AE1118" s="32">
        <f t="shared" si="304"/>
        <v>0</v>
      </c>
      <c r="AF1118" s="12"/>
      <c r="AG1118" s="58"/>
      <c r="AH1118" s="12"/>
      <c r="AI1118" s="12">
        <f t="shared" si="305"/>
        <v>0</v>
      </c>
      <c r="AJ1118" s="18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customFormat="1" x14ac:dyDescent="0.25">
      <c r="A1119" s="10">
        <v>8</v>
      </c>
      <c r="B1119" s="30"/>
      <c r="C1119" s="88"/>
      <c r="D1119" s="32"/>
      <c r="E1119" s="32"/>
      <c r="F1119" s="32"/>
      <c r="G1119" s="32">
        <f t="shared" si="300"/>
        <v>0</v>
      </c>
      <c r="H1119" s="12"/>
      <c r="I1119" s="12"/>
      <c r="J1119" s="12"/>
      <c r="K1119" s="12">
        <f t="shared" si="301"/>
        <v>0</v>
      </c>
      <c r="L1119" s="18"/>
      <c r="M1119" s="10">
        <v>8</v>
      </c>
      <c r="N1119" s="30"/>
      <c r="O1119" s="31"/>
      <c r="P1119" s="32"/>
      <c r="Q1119" s="32"/>
      <c r="R1119" s="32"/>
      <c r="S1119" s="32">
        <f t="shared" si="302"/>
        <v>0</v>
      </c>
      <c r="T1119" s="12"/>
      <c r="U1119" s="12"/>
      <c r="V1119" s="12"/>
      <c r="W1119" s="12">
        <f t="shared" si="303"/>
        <v>0</v>
      </c>
      <c r="X1119" s="18"/>
      <c r="Y1119" s="10">
        <v>8</v>
      </c>
      <c r="Z1119" s="30"/>
      <c r="AA1119" s="31"/>
      <c r="AB1119" s="32"/>
      <c r="AC1119" s="32"/>
      <c r="AE1119" s="32">
        <f t="shared" si="304"/>
        <v>0</v>
      </c>
      <c r="AF1119" s="12"/>
      <c r="AG1119" s="12"/>
      <c r="AH1119" s="12"/>
      <c r="AI1119" s="12">
        <f t="shared" si="305"/>
        <v>0</v>
      </c>
      <c r="AJ1119" s="18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customFormat="1" x14ac:dyDescent="0.25">
      <c r="A1120" s="10">
        <v>9</v>
      </c>
      <c r="B1120" s="30"/>
      <c r="C1120" s="88"/>
      <c r="D1120" s="32"/>
      <c r="E1120" s="32"/>
      <c r="F1120" s="32"/>
      <c r="G1120" s="32">
        <f t="shared" si="300"/>
        <v>0</v>
      </c>
      <c r="H1120" s="12"/>
      <c r="I1120" s="12"/>
      <c r="J1120" s="12"/>
      <c r="K1120" s="12">
        <f t="shared" si="301"/>
        <v>0</v>
      </c>
      <c r="L1120" s="18"/>
      <c r="M1120" s="10">
        <v>9</v>
      </c>
      <c r="N1120" s="30"/>
      <c r="O1120" s="31"/>
      <c r="P1120" s="32"/>
      <c r="Q1120" s="32"/>
      <c r="R1120" s="32"/>
      <c r="S1120" s="32">
        <f t="shared" si="302"/>
        <v>0</v>
      </c>
      <c r="T1120" s="12"/>
      <c r="U1120" s="12"/>
      <c r="V1120" s="12"/>
      <c r="W1120" s="12">
        <f t="shared" si="303"/>
        <v>0</v>
      </c>
      <c r="X1120" s="18"/>
      <c r="Y1120" s="10">
        <v>9</v>
      </c>
      <c r="Z1120" s="30"/>
      <c r="AA1120" s="31"/>
      <c r="AB1120" s="32"/>
      <c r="AC1120" s="32"/>
      <c r="AD1120" s="32"/>
      <c r="AE1120" s="32">
        <f t="shared" si="304"/>
        <v>0</v>
      </c>
      <c r="AF1120" s="12"/>
      <c r="AG1120" s="58"/>
      <c r="AH1120" s="12"/>
      <c r="AI1120" s="12">
        <f t="shared" si="305"/>
        <v>0</v>
      </c>
      <c r="AJ1120" s="18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customFormat="1" x14ac:dyDescent="0.25">
      <c r="A1121" s="10">
        <v>10</v>
      </c>
      <c r="B1121" s="30"/>
      <c r="C1121" s="88"/>
      <c r="D1121" s="32"/>
      <c r="E1121" s="32"/>
      <c r="F1121" s="32"/>
      <c r="G1121" s="32">
        <f t="shared" si="300"/>
        <v>0</v>
      </c>
      <c r="H1121" s="12"/>
      <c r="I1121" s="12"/>
      <c r="J1121" s="12"/>
      <c r="K1121" s="12">
        <f t="shared" si="301"/>
        <v>0</v>
      </c>
      <c r="L1121" s="18"/>
      <c r="M1121" s="10">
        <v>10</v>
      </c>
      <c r="N1121" s="30"/>
      <c r="O1121" s="31"/>
      <c r="P1121" s="32"/>
      <c r="Q1121" s="32"/>
      <c r="R1121" s="32"/>
      <c r="S1121" s="32">
        <f t="shared" si="302"/>
        <v>0</v>
      </c>
      <c r="T1121" s="12"/>
      <c r="U1121" s="12"/>
      <c r="V1121" s="12"/>
      <c r="W1121" s="12">
        <f t="shared" si="303"/>
        <v>0</v>
      </c>
      <c r="X1121" s="18"/>
      <c r="Y1121" s="10">
        <v>10</v>
      </c>
      <c r="Z1121" s="30"/>
      <c r="AA1121" s="31"/>
      <c r="AB1121" s="32"/>
      <c r="AC1121" s="32"/>
      <c r="AD1121" s="32"/>
      <c r="AE1121" s="32">
        <f t="shared" si="304"/>
        <v>0</v>
      </c>
      <c r="AF1121" s="12"/>
      <c r="AG1121" s="12"/>
      <c r="AH1121" s="12"/>
      <c r="AI1121" s="12">
        <f t="shared" si="305"/>
        <v>0</v>
      </c>
      <c r="AJ1121" s="18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customFormat="1" x14ac:dyDescent="0.25">
      <c r="A1122" s="10">
        <v>11</v>
      </c>
      <c r="B1122" s="30"/>
      <c r="C1122" s="88"/>
      <c r="D1122" s="32"/>
      <c r="E1122" s="32"/>
      <c r="F1122" s="32"/>
      <c r="G1122" s="32">
        <f t="shared" si="300"/>
        <v>0</v>
      </c>
      <c r="H1122" s="12"/>
      <c r="I1122" s="12"/>
      <c r="J1122" s="12"/>
      <c r="K1122" s="12">
        <f t="shared" si="301"/>
        <v>0</v>
      </c>
      <c r="L1122" s="18"/>
      <c r="M1122" s="10">
        <v>11</v>
      </c>
      <c r="N1122" s="30"/>
      <c r="P1122" s="32"/>
      <c r="Q1122" s="32"/>
      <c r="R1122" s="32"/>
      <c r="S1122" s="32">
        <f t="shared" si="302"/>
        <v>0</v>
      </c>
      <c r="T1122" s="12"/>
      <c r="U1122" s="12"/>
      <c r="V1122" s="12"/>
      <c r="W1122" s="12">
        <f t="shared" si="303"/>
        <v>0</v>
      </c>
      <c r="X1122" s="18"/>
      <c r="Y1122" s="10">
        <v>11</v>
      </c>
      <c r="Z1122" s="30"/>
      <c r="AB1122" s="32"/>
      <c r="AC1122" s="32"/>
      <c r="AD1122" s="32"/>
      <c r="AE1122" s="32">
        <f t="shared" si="304"/>
        <v>0</v>
      </c>
      <c r="AF1122" s="12"/>
      <c r="AG1122" s="12"/>
      <c r="AH1122" s="12"/>
      <c r="AI1122" s="12">
        <f t="shared" si="305"/>
        <v>0</v>
      </c>
      <c r="AJ1122" s="18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customFormat="1" x14ac:dyDescent="0.25">
      <c r="A1123" s="10">
        <v>12</v>
      </c>
      <c r="B1123" s="30"/>
      <c r="C1123" s="88"/>
      <c r="D1123" s="32"/>
      <c r="E1123" s="32"/>
      <c r="F1123" s="32"/>
      <c r="G1123" s="32">
        <f t="shared" si="300"/>
        <v>0</v>
      </c>
      <c r="H1123" s="12"/>
      <c r="I1123" s="12"/>
      <c r="J1123" s="10"/>
      <c r="K1123" s="12">
        <f t="shared" si="301"/>
        <v>0</v>
      </c>
      <c r="L1123" s="18"/>
      <c r="M1123" s="10">
        <v>12</v>
      </c>
      <c r="N1123" s="30"/>
      <c r="O1123" s="31"/>
      <c r="P1123" s="32"/>
      <c r="Q1123" s="32"/>
      <c r="R1123" s="32"/>
      <c r="S1123" s="32">
        <f t="shared" si="302"/>
        <v>0</v>
      </c>
      <c r="T1123" s="12"/>
      <c r="U1123" s="12"/>
      <c r="V1123" s="12"/>
      <c r="W1123" s="12">
        <f t="shared" si="303"/>
        <v>0</v>
      </c>
      <c r="X1123" s="18"/>
      <c r="Y1123" s="10">
        <v>12</v>
      </c>
      <c r="Z1123" s="30"/>
      <c r="AA1123" s="31"/>
      <c r="AB1123" s="32"/>
      <c r="AC1123" s="32"/>
      <c r="AD1123" s="32"/>
      <c r="AE1123" s="32">
        <f t="shared" si="304"/>
        <v>0</v>
      </c>
      <c r="AF1123" s="12"/>
      <c r="AG1123" s="12"/>
      <c r="AH1123" s="12"/>
      <c r="AI1123" s="12">
        <f t="shared" si="305"/>
        <v>0</v>
      </c>
      <c r="AJ1123" s="18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customFormat="1" x14ac:dyDescent="0.25">
      <c r="A1124" s="10">
        <v>13</v>
      </c>
      <c r="B1124" s="30"/>
      <c r="C1124" s="88"/>
      <c r="D1124" s="32"/>
      <c r="E1124" s="32"/>
      <c r="F1124" s="32"/>
      <c r="G1124" s="32">
        <f t="shared" si="300"/>
        <v>0</v>
      </c>
      <c r="H1124" s="12"/>
      <c r="I1124" s="12"/>
      <c r="J1124" s="12"/>
      <c r="K1124" s="12">
        <f t="shared" si="301"/>
        <v>0</v>
      </c>
      <c r="L1124" s="18"/>
      <c r="M1124" s="10">
        <v>13</v>
      </c>
      <c r="N1124" s="30"/>
      <c r="O1124" s="31"/>
      <c r="P1124" s="32"/>
      <c r="Q1124" s="32"/>
      <c r="R1124" s="32"/>
      <c r="S1124" s="32">
        <f t="shared" si="302"/>
        <v>0</v>
      </c>
      <c r="T1124" s="12"/>
      <c r="U1124" s="12"/>
      <c r="V1124" s="12"/>
      <c r="W1124" s="12">
        <f t="shared" si="303"/>
        <v>0</v>
      </c>
      <c r="X1124" s="18"/>
      <c r="Y1124" s="10">
        <v>13</v>
      </c>
      <c r="Z1124" s="30"/>
      <c r="AA1124" s="31"/>
      <c r="AB1124" s="32"/>
      <c r="AC1124" s="32"/>
      <c r="AD1124" s="32"/>
      <c r="AE1124" s="32">
        <f t="shared" si="304"/>
        <v>0</v>
      </c>
      <c r="AF1124" s="12"/>
      <c r="AG1124" s="12"/>
      <c r="AH1124" s="12"/>
      <c r="AI1124" s="12">
        <f t="shared" si="305"/>
        <v>0</v>
      </c>
      <c r="AJ1124" s="18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customFormat="1" x14ac:dyDescent="0.25">
      <c r="A1125" s="10">
        <v>14</v>
      </c>
      <c r="B1125" s="30"/>
      <c r="C1125" s="88"/>
      <c r="D1125" s="32"/>
      <c r="E1125" s="32"/>
      <c r="F1125" s="32"/>
      <c r="G1125" s="32">
        <f t="shared" si="300"/>
        <v>0</v>
      </c>
      <c r="H1125" s="12"/>
      <c r="I1125" s="12"/>
      <c r="J1125" s="12"/>
      <c r="K1125" s="12">
        <f t="shared" si="301"/>
        <v>0</v>
      </c>
      <c r="L1125" s="18"/>
      <c r="M1125" s="10">
        <v>14</v>
      </c>
      <c r="N1125" s="30"/>
      <c r="O1125" s="31"/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X1125" s="18"/>
      <c r="Y1125" s="10">
        <v>14</v>
      </c>
      <c r="Z1125" s="30"/>
      <c r="AA1125" s="31"/>
      <c r="AB1125" s="32"/>
      <c r="AC1125" s="32"/>
      <c r="AD1125" s="32"/>
      <c r="AE1125" s="32">
        <f t="shared" si="304"/>
        <v>0</v>
      </c>
      <c r="AF1125" s="12"/>
      <c r="AG1125" s="12"/>
      <c r="AH1125" s="12"/>
      <c r="AI1125" s="12">
        <f t="shared" si="305"/>
        <v>0</v>
      </c>
      <c r="AJ1125" s="18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customFormat="1" x14ac:dyDescent="0.25">
      <c r="A1126" s="10">
        <v>15</v>
      </c>
      <c r="B1126" s="30"/>
      <c r="C1126" s="88"/>
      <c r="D1126" s="32"/>
      <c r="E1126" s="32"/>
      <c r="F1126" s="32"/>
      <c r="G1126" s="32">
        <f t="shared" si="300"/>
        <v>0</v>
      </c>
      <c r="H1126" s="12"/>
      <c r="I1126" s="12"/>
      <c r="J1126" s="12"/>
      <c r="K1126" s="12">
        <f t="shared" si="301"/>
        <v>0</v>
      </c>
      <c r="L1126" s="18"/>
      <c r="M1126" s="10">
        <v>15</v>
      </c>
      <c r="N1126" s="30"/>
      <c r="O1126" s="31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X1126" s="18"/>
      <c r="Y1126" s="10">
        <v>15</v>
      </c>
      <c r="Z1126" s="30"/>
      <c r="AA1126" s="31"/>
      <c r="AB1126" s="32"/>
      <c r="AC1126" s="32"/>
      <c r="AD1126" s="32"/>
      <c r="AE1126" s="32">
        <f t="shared" si="304"/>
        <v>0</v>
      </c>
      <c r="AF1126" s="12"/>
      <c r="AG1126" s="12"/>
      <c r="AH1126" s="12"/>
      <c r="AI1126" s="12">
        <f t="shared" si="305"/>
        <v>0</v>
      </c>
      <c r="AJ1126" s="18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customFormat="1" x14ac:dyDescent="0.25">
      <c r="A1127" s="10">
        <v>16</v>
      </c>
      <c r="B1127" s="30"/>
      <c r="C1127" s="3"/>
      <c r="D1127" s="32"/>
      <c r="E1127" s="32"/>
      <c r="F1127" s="32"/>
      <c r="G1127" s="32">
        <f t="shared" si="300"/>
        <v>0</v>
      </c>
      <c r="H1127" s="12"/>
      <c r="I1127" s="12"/>
      <c r="J1127" s="12"/>
      <c r="K1127" s="12">
        <f t="shared" si="301"/>
        <v>0</v>
      </c>
      <c r="L1127" s="18"/>
      <c r="M1127" s="10">
        <v>16</v>
      </c>
      <c r="N1127" s="30"/>
      <c r="O1127" s="31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X1127" s="18"/>
      <c r="Y1127" s="10">
        <v>16</v>
      </c>
      <c r="Z1127" s="30"/>
      <c r="AA1127" s="31"/>
      <c r="AB1127" s="32"/>
      <c r="AC1127" s="32"/>
      <c r="AD1127" s="32"/>
      <c r="AE1127" s="32">
        <f t="shared" si="304"/>
        <v>0</v>
      </c>
      <c r="AF1127" s="12"/>
      <c r="AG1127" s="12"/>
      <c r="AH1127" s="12"/>
      <c r="AI1127" s="12">
        <f t="shared" si="305"/>
        <v>0</v>
      </c>
      <c r="AJ1127" s="18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customFormat="1" x14ac:dyDescent="0.25">
      <c r="A1128" s="10">
        <v>17</v>
      </c>
      <c r="B1128" s="30"/>
      <c r="C1128" s="88"/>
      <c r="D1128" s="32"/>
      <c r="E1128" s="32"/>
      <c r="F1128" s="32"/>
      <c r="G1128" s="32">
        <f t="shared" si="300"/>
        <v>0</v>
      </c>
      <c r="H1128" s="12"/>
      <c r="I1128" s="12"/>
      <c r="J1128" s="12"/>
      <c r="K1128" s="12">
        <f t="shared" si="301"/>
        <v>0</v>
      </c>
      <c r="L1128" s="18"/>
      <c r="M1128" s="10">
        <v>17</v>
      </c>
      <c r="N1128" s="30"/>
      <c r="O1128" s="31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X1128" s="18"/>
      <c r="Y1128" s="10">
        <v>17</v>
      </c>
      <c r="Z1128" s="30"/>
      <c r="AA1128" s="31"/>
      <c r="AB1128" s="35"/>
      <c r="AC1128" s="32"/>
      <c r="AD1128" s="32"/>
      <c r="AE1128" s="32">
        <f t="shared" si="304"/>
        <v>0</v>
      </c>
      <c r="AF1128" s="12"/>
      <c r="AG1128" s="12"/>
      <c r="AH1128" s="12"/>
      <c r="AI1128" s="12">
        <f t="shared" si="305"/>
        <v>0</v>
      </c>
      <c r="AJ1128" s="18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customFormat="1" x14ac:dyDescent="0.25">
      <c r="A1129" s="10">
        <v>18</v>
      </c>
      <c r="B1129" s="30"/>
      <c r="C1129" s="88"/>
      <c r="D1129" s="32"/>
      <c r="E1129" s="32"/>
      <c r="F1129" s="32"/>
      <c r="G1129" s="32">
        <f t="shared" si="300"/>
        <v>0</v>
      </c>
      <c r="H1129" s="12"/>
      <c r="I1129" s="12"/>
      <c r="J1129" s="12"/>
      <c r="K1129" s="12">
        <f t="shared" si="301"/>
        <v>0</v>
      </c>
      <c r="L1129" s="18"/>
      <c r="M1129" s="10">
        <v>18</v>
      </c>
      <c r="N1129" s="30"/>
      <c r="O1129" s="31"/>
      <c r="P1129" s="32"/>
      <c r="Q1129" s="32"/>
      <c r="R1129" s="32"/>
      <c r="S1129" s="32">
        <f t="shared" si="302"/>
        <v>0</v>
      </c>
      <c r="T1129" s="12"/>
      <c r="U1129" s="12"/>
      <c r="V1129" s="12"/>
      <c r="W1129" s="12">
        <f t="shared" si="303"/>
        <v>0</v>
      </c>
      <c r="X1129" s="18"/>
      <c r="Y1129" s="10">
        <v>18</v>
      </c>
      <c r="Z1129" s="30"/>
      <c r="AA1129" s="31"/>
      <c r="AB1129" s="32"/>
      <c r="AC1129" s="32"/>
      <c r="AD1129" s="32"/>
      <c r="AE1129" s="32">
        <f t="shared" si="304"/>
        <v>0</v>
      </c>
      <c r="AF1129" s="12"/>
      <c r="AG1129" s="12"/>
      <c r="AH1129" s="12"/>
      <c r="AI1129" s="12">
        <f t="shared" si="305"/>
        <v>0</v>
      </c>
      <c r="AJ1129" s="18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customFormat="1" x14ac:dyDescent="0.25">
      <c r="A1130" s="10">
        <v>19</v>
      </c>
      <c r="B1130" s="30"/>
      <c r="C1130" s="88"/>
      <c r="D1130" s="32"/>
      <c r="E1130" s="32"/>
      <c r="F1130" s="32"/>
      <c r="G1130" s="32">
        <f t="shared" si="300"/>
        <v>0</v>
      </c>
      <c r="H1130" s="12"/>
      <c r="I1130" s="12"/>
      <c r="J1130" s="12"/>
      <c r="K1130" s="12">
        <f t="shared" si="301"/>
        <v>0</v>
      </c>
      <c r="L1130" s="18"/>
      <c r="M1130" s="10">
        <v>19</v>
      </c>
      <c r="N1130" s="30"/>
      <c r="O1130" s="31"/>
      <c r="P1130" s="32"/>
      <c r="Q1130" s="32"/>
      <c r="R1130" s="32"/>
      <c r="S1130" s="32">
        <f t="shared" si="302"/>
        <v>0</v>
      </c>
      <c r="T1130" s="12"/>
      <c r="U1130" s="12"/>
      <c r="V1130" s="12"/>
      <c r="W1130" s="12">
        <f t="shared" si="303"/>
        <v>0</v>
      </c>
      <c r="X1130" s="18"/>
      <c r="Y1130" s="10">
        <v>19</v>
      </c>
      <c r="Z1130" s="30"/>
      <c r="AA1130" s="31"/>
      <c r="AB1130" s="32"/>
      <c r="AC1130" s="32"/>
      <c r="AD1130" s="32"/>
      <c r="AE1130" s="32">
        <f t="shared" si="304"/>
        <v>0</v>
      </c>
      <c r="AF1130" s="12"/>
      <c r="AG1130" s="12"/>
      <c r="AH1130" s="12"/>
      <c r="AI1130" s="12">
        <f t="shared" si="305"/>
        <v>0</v>
      </c>
      <c r="AJ1130" s="18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customFormat="1" x14ac:dyDescent="0.25">
      <c r="A1131" s="10">
        <v>20</v>
      </c>
      <c r="B1131" s="30"/>
      <c r="C1131" s="88"/>
      <c r="D1131" s="32"/>
      <c r="E1131" s="32"/>
      <c r="F1131" s="32"/>
      <c r="G1131" s="32">
        <f t="shared" si="300"/>
        <v>0</v>
      </c>
      <c r="H1131" s="12"/>
      <c r="I1131" s="12"/>
      <c r="J1131" s="12"/>
      <c r="K1131" s="12">
        <f t="shared" si="301"/>
        <v>0</v>
      </c>
      <c r="L1131" s="18"/>
      <c r="M1131" s="10">
        <v>20</v>
      </c>
      <c r="N1131" s="30"/>
      <c r="O1131" s="31"/>
      <c r="P1131" s="32"/>
      <c r="Q1131" s="32"/>
      <c r="R1131" s="32"/>
      <c r="S1131" s="32">
        <f t="shared" si="302"/>
        <v>0</v>
      </c>
      <c r="T1131" s="12"/>
      <c r="U1131" s="12"/>
      <c r="V1131" s="12"/>
      <c r="W1131" s="12">
        <f t="shared" si="303"/>
        <v>0</v>
      </c>
      <c r="X1131" s="18"/>
      <c r="Y1131" s="10">
        <v>20</v>
      </c>
      <c r="Z1131" s="30"/>
      <c r="AA1131" s="31"/>
      <c r="AB1131" s="32"/>
      <c r="AC1131" s="32"/>
      <c r="AD1131" s="32"/>
      <c r="AE1131" s="32">
        <f t="shared" si="304"/>
        <v>0</v>
      </c>
      <c r="AF1131" s="12"/>
      <c r="AG1131" s="12"/>
      <c r="AH1131" s="12"/>
      <c r="AI1131" s="12">
        <f t="shared" si="305"/>
        <v>0</v>
      </c>
      <c r="AJ1131" s="18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customFormat="1" x14ac:dyDescent="0.25">
      <c r="A1132" s="10">
        <v>21</v>
      </c>
      <c r="B1132" s="30"/>
      <c r="C1132" s="57"/>
      <c r="D1132" s="32"/>
      <c r="E1132" s="32"/>
      <c r="F1132" s="32"/>
      <c r="G1132" s="32">
        <f t="shared" si="300"/>
        <v>0</v>
      </c>
      <c r="H1132" s="10"/>
      <c r="I1132" s="10"/>
      <c r="J1132" s="10"/>
      <c r="K1132" s="12">
        <f t="shared" si="301"/>
        <v>0</v>
      </c>
      <c r="L1132" s="18"/>
      <c r="M1132" s="10">
        <v>21</v>
      </c>
      <c r="N1132" s="30"/>
      <c r="P1132" s="46"/>
      <c r="Q1132" s="31"/>
      <c r="R1132" s="31"/>
      <c r="S1132" s="32">
        <f t="shared" si="302"/>
        <v>0</v>
      </c>
      <c r="T1132" s="10"/>
      <c r="U1132" s="10"/>
      <c r="V1132" s="10"/>
      <c r="W1132" s="12">
        <f t="shared" si="303"/>
        <v>0</v>
      </c>
      <c r="X1132" s="18"/>
      <c r="Y1132" s="10">
        <v>21</v>
      </c>
      <c r="Z1132" s="30"/>
      <c r="AB1132" s="46"/>
      <c r="AC1132" s="31"/>
      <c r="AD1132" s="31"/>
      <c r="AE1132" s="32">
        <f t="shared" si="304"/>
        <v>0</v>
      </c>
      <c r="AF1132" s="10"/>
      <c r="AG1132" s="10"/>
      <c r="AH1132" s="10"/>
      <c r="AI1132" s="12">
        <f t="shared" si="305"/>
        <v>0</v>
      </c>
      <c r="AJ1132" s="18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customFormat="1" x14ac:dyDescent="0.25">
      <c r="A1133" s="10">
        <v>22</v>
      </c>
      <c r="B1133" s="30"/>
      <c r="C1133" s="88"/>
      <c r="D1133" s="32"/>
      <c r="E1133" s="32"/>
      <c r="F1133" s="32"/>
      <c r="G1133" s="32">
        <f t="shared" si="300"/>
        <v>0</v>
      </c>
      <c r="H1133" s="10"/>
      <c r="I1133" s="10"/>
      <c r="J1133" s="10"/>
      <c r="K1133" s="12">
        <f t="shared" si="301"/>
        <v>0</v>
      </c>
      <c r="L1133" s="18"/>
      <c r="M1133" s="10">
        <v>22</v>
      </c>
      <c r="N1133" s="30"/>
      <c r="O1133" s="31"/>
      <c r="P1133" s="45"/>
      <c r="Q1133" s="31"/>
      <c r="R1133" s="31"/>
      <c r="S1133" s="32">
        <f t="shared" si="302"/>
        <v>0</v>
      </c>
      <c r="T1133" s="10"/>
      <c r="U1133" s="10"/>
      <c r="V1133" s="10"/>
      <c r="W1133" s="12">
        <f t="shared" si="303"/>
        <v>0</v>
      </c>
      <c r="X1133" s="18"/>
      <c r="Y1133" s="10">
        <v>22</v>
      </c>
      <c r="Z1133" s="30"/>
      <c r="AA1133" s="31"/>
      <c r="AB1133" s="45"/>
      <c r="AC1133" s="31"/>
      <c r="AD1133" s="31"/>
      <c r="AE1133" s="32">
        <f t="shared" si="304"/>
        <v>0</v>
      </c>
      <c r="AF1133" s="10"/>
      <c r="AG1133" s="10"/>
      <c r="AH1133" s="10"/>
      <c r="AI1133" s="12">
        <f t="shared" si="305"/>
        <v>0</v>
      </c>
      <c r="AJ1133" s="18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customFormat="1" x14ac:dyDescent="0.25">
      <c r="A1134" s="10">
        <v>23</v>
      </c>
      <c r="B1134" s="30"/>
      <c r="C1134" s="57"/>
      <c r="D1134" s="32"/>
      <c r="E1134" s="32"/>
      <c r="F1134" s="32"/>
      <c r="G1134" s="32">
        <f t="shared" si="300"/>
        <v>0</v>
      </c>
      <c r="H1134" s="10"/>
      <c r="I1134" s="10"/>
      <c r="J1134" s="12"/>
      <c r="K1134" s="12">
        <f t="shared" si="301"/>
        <v>0</v>
      </c>
      <c r="L1134" s="18"/>
      <c r="M1134" s="10">
        <v>23</v>
      </c>
      <c r="N1134" s="30"/>
      <c r="O1134" s="31"/>
      <c r="P1134" s="47"/>
      <c r="Q1134" s="31"/>
      <c r="S1134" s="32">
        <f t="shared" si="302"/>
        <v>0</v>
      </c>
      <c r="T1134" s="10"/>
      <c r="U1134" s="10"/>
      <c r="V1134" s="10"/>
      <c r="W1134" s="12">
        <f t="shared" si="303"/>
        <v>0</v>
      </c>
      <c r="X1134" s="18"/>
      <c r="Y1134" s="10">
        <v>23</v>
      </c>
      <c r="Z1134" s="30"/>
      <c r="AA1134" s="31"/>
      <c r="AB1134" s="47"/>
      <c r="AC1134" s="31"/>
      <c r="AE1134" s="32">
        <f t="shared" si="304"/>
        <v>0</v>
      </c>
      <c r="AF1134" s="10"/>
      <c r="AG1134" s="10"/>
      <c r="AH1134" s="10"/>
      <c r="AI1134" s="12">
        <f t="shared" si="305"/>
        <v>0</v>
      </c>
      <c r="AJ1134" s="18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customFormat="1" x14ac:dyDescent="0.25">
      <c r="A1135" s="10">
        <v>24</v>
      </c>
      <c r="B1135" s="30"/>
      <c r="C1135" s="88"/>
      <c r="D1135" s="32"/>
      <c r="E1135" s="32"/>
      <c r="F1135" s="32"/>
      <c r="G1135" s="32">
        <f t="shared" si="300"/>
        <v>0</v>
      </c>
      <c r="H1135" s="10"/>
      <c r="I1135" s="10"/>
      <c r="J1135" s="10"/>
      <c r="K1135" s="12">
        <f t="shared" si="301"/>
        <v>0</v>
      </c>
      <c r="L1135" s="18"/>
      <c r="M1135" s="10">
        <v>24</v>
      </c>
      <c r="N1135" s="30"/>
      <c r="O1135" s="31"/>
      <c r="P1135" s="47"/>
      <c r="Q1135" s="31"/>
      <c r="R1135" s="31"/>
      <c r="S1135" s="32">
        <f t="shared" si="302"/>
        <v>0</v>
      </c>
      <c r="T1135" s="10"/>
      <c r="U1135" s="10"/>
      <c r="V1135" s="10"/>
      <c r="W1135" s="12">
        <f t="shared" si="303"/>
        <v>0</v>
      </c>
      <c r="X1135" s="18"/>
      <c r="Y1135" s="10">
        <v>24</v>
      </c>
      <c r="Z1135" s="30"/>
      <c r="AA1135" s="31"/>
      <c r="AB1135" s="47"/>
      <c r="AC1135" s="31"/>
      <c r="AD1135" s="31"/>
      <c r="AE1135" s="32">
        <f t="shared" si="304"/>
        <v>0</v>
      </c>
      <c r="AF1135" s="10"/>
      <c r="AG1135" s="10"/>
      <c r="AH1135" s="10"/>
      <c r="AI1135" s="12">
        <f t="shared" si="305"/>
        <v>0</v>
      </c>
      <c r="AJ1135" s="18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customFormat="1" x14ac:dyDescent="0.25">
      <c r="A1136" s="10">
        <v>25</v>
      </c>
      <c r="B1136" s="30"/>
      <c r="C1136" s="88"/>
      <c r="D1136" s="32"/>
      <c r="E1136" s="32"/>
      <c r="F1136" s="32"/>
      <c r="G1136" s="32">
        <f t="shared" si="300"/>
        <v>0</v>
      </c>
      <c r="H1136" s="10"/>
      <c r="I1136" s="10"/>
      <c r="J1136" s="10"/>
      <c r="K1136" s="12">
        <f t="shared" si="301"/>
        <v>0</v>
      </c>
      <c r="L1136" s="18"/>
      <c r="M1136" s="10">
        <v>25</v>
      </c>
      <c r="N1136" s="30"/>
      <c r="O1136" s="31"/>
      <c r="P1136" s="47"/>
      <c r="Q1136" s="31"/>
      <c r="R1136" s="31"/>
      <c r="S1136" s="32">
        <f t="shared" si="302"/>
        <v>0</v>
      </c>
      <c r="T1136" s="10"/>
      <c r="U1136" s="10"/>
      <c r="V1136" s="10"/>
      <c r="W1136" s="12">
        <f t="shared" si="303"/>
        <v>0</v>
      </c>
      <c r="X1136" s="18"/>
      <c r="Y1136" s="10">
        <v>25</v>
      </c>
      <c r="Z1136" s="30"/>
      <c r="AA1136" s="31"/>
      <c r="AB1136" s="47"/>
      <c r="AC1136" s="31"/>
      <c r="AD1136" s="31"/>
      <c r="AE1136" s="32">
        <f t="shared" si="304"/>
        <v>0</v>
      </c>
      <c r="AF1136" s="10"/>
      <c r="AG1136" s="10"/>
      <c r="AH1136" s="10"/>
      <c r="AI1136" s="12">
        <f t="shared" si="305"/>
        <v>0</v>
      </c>
      <c r="AJ1136" s="18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customFormat="1" x14ac:dyDescent="0.25">
      <c r="A1137" s="10">
        <v>26</v>
      </c>
      <c r="B1137" s="30"/>
      <c r="C1137" s="88"/>
      <c r="D1137" s="32"/>
      <c r="E1137" s="32"/>
      <c r="F1137" s="32"/>
      <c r="G1137" s="32">
        <f t="shared" si="300"/>
        <v>0</v>
      </c>
      <c r="H1137" s="10"/>
      <c r="I1137" s="10"/>
      <c r="J1137" s="10"/>
      <c r="K1137" s="12">
        <f t="shared" si="301"/>
        <v>0</v>
      </c>
      <c r="L1137" s="18"/>
      <c r="M1137" s="10">
        <v>26</v>
      </c>
      <c r="N1137" s="30"/>
      <c r="O1137" s="31"/>
      <c r="P1137" s="47"/>
      <c r="Q1137" s="31"/>
      <c r="R1137" s="31"/>
      <c r="S1137" s="32">
        <f t="shared" si="302"/>
        <v>0</v>
      </c>
      <c r="T1137" s="10"/>
      <c r="U1137" s="10"/>
      <c r="V1137" s="10"/>
      <c r="W1137" s="12">
        <f t="shared" si="303"/>
        <v>0</v>
      </c>
      <c r="X1137" s="18"/>
      <c r="Y1137" s="10">
        <v>26</v>
      </c>
      <c r="Z1137" s="30"/>
      <c r="AA1137" s="31"/>
      <c r="AB1137" s="47"/>
      <c r="AC1137" s="31"/>
      <c r="AD1137" s="31"/>
      <c r="AE1137" s="32">
        <f t="shared" si="304"/>
        <v>0</v>
      </c>
      <c r="AF1137" s="10"/>
      <c r="AG1137" s="10"/>
      <c r="AH1137" s="10"/>
      <c r="AI1137" s="12">
        <f t="shared" si="305"/>
        <v>0</v>
      </c>
      <c r="AJ1137" s="18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customFormat="1" x14ac:dyDescent="0.25">
      <c r="A1138" s="10">
        <v>27</v>
      </c>
      <c r="B1138" s="30"/>
      <c r="C1138" s="88"/>
      <c r="D1138" s="32"/>
      <c r="E1138" s="32"/>
      <c r="F1138" s="32"/>
      <c r="G1138" s="32">
        <f t="shared" si="300"/>
        <v>0</v>
      </c>
      <c r="H1138" s="10"/>
      <c r="I1138" s="10"/>
      <c r="J1138" s="10"/>
      <c r="K1138" s="12">
        <f t="shared" si="301"/>
        <v>0</v>
      </c>
      <c r="L1138" s="18"/>
      <c r="M1138" s="10">
        <v>27</v>
      </c>
      <c r="N1138" s="30"/>
      <c r="O1138" s="31"/>
      <c r="P1138" s="47"/>
      <c r="Q1138" s="31"/>
      <c r="R1138" s="31"/>
      <c r="S1138" s="32">
        <f t="shared" si="302"/>
        <v>0</v>
      </c>
      <c r="T1138" s="10"/>
      <c r="U1138" s="10"/>
      <c r="V1138" s="10"/>
      <c r="W1138" s="12">
        <f t="shared" si="303"/>
        <v>0</v>
      </c>
      <c r="X1138" s="18"/>
      <c r="Y1138" s="10">
        <v>27</v>
      </c>
      <c r="Z1138" s="30"/>
      <c r="AA1138" s="31"/>
      <c r="AB1138" s="47"/>
      <c r="AC1138" s="31"/>
      <c r="AD1138" s="31"/>
      <c r="AE1138" s="32">
        <f t="shared" si="304"/>
        <v>0</v>
      </c>
      <c r="AF1138" s="10"/>
      <c r="AG1138" s="10"/>
      <c r="AH1138" s="10"/>
      <c r="AI1138" s="12">
        <f t="shared" si="305"/>
        <v>0</v>
      </c>
      <c r="AJ1138" s="18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customFormat="1" x14ac:dyDescent="0.25">
      <c r="A1139" s="10">
        <v>28</v>
      </c>
      <c r="B1139" s="30"/>
      <c r="C1139" s="88"/>
      <c r="D1139" s="32"/>
      <c r="E1139" s="32"/>
      <c r="F1139" s="32"/>
      <c r="G1139" s="32">
        <f t="shared" si="300"/>
        <v>0</v>
      </c>
      <c r="H1139" s="10"/>
      <c r="I1139" s="10"/>
      <c r="J1139" s="10"/>
      <c r="K1139" s="12">
        <f t="shared" si="301"/>
        <v>0</v>
      </c>
      <c r="L1139" s="18"/>
      <c r="M1139" s="10">
        <v>28</v>
      </c>
      <c r="N1139" s="30"/>
      <c r="O1139" s="31"/>
      <c r="P1139" s="47"/>
      <c r="Q1139" s="31"/>
      <c r="R1139" s="31"/>
      <c r="S1139" s="32">
        <f t="shared" si="302"/>
        <v>0</v>
      </c>
      <c r="T1139" s="10"/>
      <c r="U1139" s="10"/>
      <c r="V1139" s="10"/>
      <c r="W1139" s="12">
        <f t="shared" si="303"/>
        <v>0</v>
      </c>
      <c r="X1139" s="18"/>
      <c r="Y1139" s="10">
        <v>28</v>
      </c>
      <c r="Z1139" s="30"/>
      <c r="AA1139" s="31"/>
      <c r="AB1139" s="47"/>
      <c r="AC1139" s="31"/>
      <c r="AD1139" s="31"/>
      <c r="AE1139" s="32">
        <f t="shared" si="304"/>
        <v>0</v>
      </c>
      <c r="AF1139" s="10"/>
      <c r="AG1139" s="10"/>
      <c r="AH1139" s="10"/>
      <c r="AI1139" s="12">
        <f t="shared" si="305"/>
        <v>0</v>
      </c>
      <c r="AJ1139" s="18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customFormat="1" x14ac:dyDescent="0.25">
      <c r="A1140" s="10">
        <v>29</v>
      </c>
      <c r="B1140" s="30"/>
      <c r="C1140" s="88"/>
      <c r="D1140" s="32"/>
      <c r="E1140" s="32"/>
      <c r="F1140" s="32"/>
      <c r="G1140" s="32">
        <f t="shared" si="300"/>
        <v>0</v>
      </c>
      <c r="H1140" s="10"/>
      <c r="I1140" s="10"/>
      <c r="J1140" s="10"/>
      <c r="K1140" s="12">
        <f t="shared" si="301"/>
        <v>0</v>
      </c>
      <c r="L1140" s="18"/>
      <c r="M1140" s="10">
        <v>29</v>
      </c>
      <c r="N1140" s="30"/>
      <c r="O1140" s="31"/>
      <c r="P1140" s="47"/>
      <c r="Q1140" s="31"/>
      <c r="R1140" s="31"/>
      <c r="S1140" s="32">
        <f t="shared" si="302"/>
        <v>0</v>
      </c>
      <c r="T1140" s="10"/>
      <c r="U1140" s="10"/>
      <c r="V1140" s="10"/>
      <c r="W1140" s="12">
        <f t="shared" si="303"/>
        <v>0</v>
      </c>
      <c r="X1140" s="18"/>
      <c r="Y1140" s="10">
        <v>29</v>
      </c>
      <c r="Z1140" s="30"/>
      <c r="AA1140" s="31"/>
      <c r="AB1140" s="47"/>
      <c r="AC1140" s="31"/>
      <c r="AD1140" s="31"/>
      <c r="AE1140" s="32">
        <f t="shared" si="304"/>
        <v>0</v>
      </c>
      <c r="AF1140" s="10"/>
      <c r="AG1140" s="10"/>
      <c r="AH1140" s="10"/>
      <c r="AI1140" s="12">
        <f t="shared" si="305"/>
        <v>0</v>
      </c>
      <c r="AJ1140" s="18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customFormat="1" x14ac:dyDescent="0.25">
      <c r="A1141" s="10">
        <v>30</v>
      </c>
      <c r="B1141" s="30"/>
      <c r="C1141" s="57"/>
      <c r="D1141" s="32"/>
      <c r="E1141" s="32"/>
      <c r="F1141" s="32"/>
      <c r="G1141" s="32">
        <f t="shared" si="300"/>
        <v>0</v>
      </c>
      <c r="H1141" s="10"/>
      <c r="I1141" s="10"/>
      <c r="J1141" s="10"/>
      <c r="K1141" s="12">
        <f t="shared" si="301"/>
        <v>0</v>
      </c>
      <c r="L1141" s="18"/>
      <c r="M1141" s="10">
        <v>30</v>
      </c>
      <c r="N1141" s="30"/>
      <c r="P1141" s="47"/>
      <c r="Q1141" s="31"/>
      <c r="R1141" s="31"/>
      <c r="S1141" s="32">
        <f t="shared" si="302"/>
        <v>0</v>
      </c>
      <c r="T1141" s="10"/>
      <c r="U1141" s="10"/>
      <c r="V1141" s="10"/>
      <c r="W1141" s="12">
        <f t="shared" si="303"/>
        <v>0</v>
      </c>
      <c r="X1141" s="18"/>
      <c r="Y1141" s="10">
        <v>30</v>
      </c>
      <c r="Z1141" s="30"/>
      <c r="AA1141" s="31"/>
      <c r="AB1141" s="47"/>
      <c r="AC1141" s="31"/>
      <c r="AD1141" s="31"/>
      <c r="AE1141" s="32">
        <f t="shared" si="304"/>
        <v>0</v>
      </c>
      <c r="AF1141" s="10"/>
      <c r="AG1141" s="10"/>
      <c r="AH1141" s="10"/>
      <c r="AI1141" s="12">
        <f t="shared" si="305"/>
        <v>0</v>
      </c>
      <c r="AJ1141" s="18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customFormat="1" x14ac:dyDescent="0.25">
      <c r="A1142" s="10">
        <v>31</v>
      </c>
      <c r="B1142" s="30"/>
      <c r="C1142" s="88"/>
      <c r="D1142" s="32"/>
      <c r="E1142" s="32"/>
      <c r="F1142" s="32"/>
      <c r="G1142" s="32">
        <f t="shared" si="300"/>
        <v>0</v>
      </c>
      <c r="H1142" s="10"/>
      <c r="I1142" s="10"/>
      <c r="J1142" s="10"/>
      <c r="K1142" s="12">
        <f t="shared" si="301"/>
        <v>0</v>
      </c>
      <c r="L1142" s="18"/>
      <c r="M1142" s="10">
        <v>31</v>
      </c>
      <c r="N1142" s="30"/>
      <c r="P1142" s="47"/>
      <c r="Q1142" s="31"/>
      <c r="R1142" s="31"/>
      <c r="S1142" s="32">
        <f t="shared" si="302"/>
        <v>0</v>
      </c>
      <c r="T1142" s="10"/>
      <c r="U1142" s="10"/>
      <c r="V1142" s="10"/>
      <c r="W1142" s="12">
        <f t="shared" si="303"/>
        <v>0</v>
      </c>
      <c r="X1142" s="18"/>
      <c r="Y1142" s="10">
        <v>31</v>
      </c>
      <c r="Z1142" s="30"/>
      <c r="AB1142" s="47"/>
      <c r="AC1142" s="31"/>
      <c r="AD1142" s="31"/>
      <c r="AE1142" s="32">
        <f t="shared" si="304"/>
        <v>0</v>
      </c>
      <c r="AF1142" s="10"/>
      <c r="AG1142" s="10"/>
      <c r="AH1142" s="10"/>
      <c r="AI1142" s="12">
        <f t="shared" si="305"/>
        <v>0</v>
      </c>
      <c r="AJ1142" s="18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customFormat="1" x14ac:dyDescent="0.25">
      <c r="A1143" s="10">
        <v>32</v>
      </c>
      <c r="B1143" s="30"/>
      <c r="C1143" s="88"/>
      <c r="D1143" s="32"/>
      <c r="E1143" s="32"/>
      <c r="F1143" s="32"/>
      <c r="G1143" s="32">
        <f t="shared" si="300"/>
        <v>0</v>
      </c>
      <c r="H1143" s="10"/>
      <c r="I1143" s="10"/>
      <c r="J1143" s="10"/>
      <c r="K1143" s="12">
        <f t="shared" si="301"/>
        <v>0</v>
      </c>
      <c r="L1143" s="18"/>
      <c r="M1143" s="10">
        <v>32</v>
      </c>
      <c r="N1143" s="30"/>
      <c r="O1143" s="31"/>
      <c r="P1143" s="47"/>
      <c r="Q1143" s="31"/>
      <c r="R1143" s="31"/>
      <c r="S1143" s="32">
        <f t="shared" si="302"/>
        <v>0</v>
      </c>
      <c r="T1143" s="10"/>
      <c r="U1143" s="10"/>
      <c r="V1143" s="10"/>
      <c r="W1143" s="12">
        <f t="shared" si="303"/>
        <v>0</v>
      </c>
      <c r="X1143" s="18"/>
      <c r="Y1143" s="10">
        <v>32</v>
      </c>
      <c r="Z1143" s="30"/>
      <c r="AA1143" s="31"/>
      <c r="AB1143" s="47"/>
      <c r="AC1143" s="31"/>
      <c r="AD1143" s="31"/>
      <c r="AE1143" s="32">
        <f t="shared" si="304"/>
        <v>0</v>
      </c>
      <c r="AF1143" s="10"/>
      <c r="AG1143" s="10"/>
      <c r="AH1143" s="10"/>
      <c r="AI1143" s="12">
        <f t="shared" si="305"/>
        <v>0</v>
      </c>
      <c r="AJ1143" s="18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customFormat="1" x14ac:dyDescent="0.25">
      <c r="A1144" s="10">
        <v>33</v>
      </c>
      <c r="B1144" s="30"/>
      <c r="C1144" s="88"/>
      <c r="D1144" s="32"/>
      <c r="E1144" s="32"/>
      <c r="F1144" s="32"/>
      <c r="G1144" s="32">
        <f t="shared" si="300"/>
        <v>0</v>
      </c>
      <c r="H1144" s="10"/>
      <c r="I1144" s="10"/>
      <c r="J1144" s="10"/>
      <c r="K1144" s="12">
        <f t="shared" si="301"/>
        <v>0</v>
      </c>
      <c r="L1144" s="18"/>
      <c r="M1144" s="10">
        <v>33</v>
      </c>
      <c r="N1144" s="30"/>
      <c r="O1144" s="31"/>
      <c r="P1144" s="47"/>
      <c r="Q1144" s="31"/>
      <c r="R1144" s="31"/>
      <c r="S1144" s="32">
        <f t="shared" si="302"/>
        <v>0</v>
      </c>
      <c r="T1144" s="10"/>
      <c r="U1144" s="10"/>
      <c r="V1144" s="10"/>
      <c r="W1144" s="12">
        <f t="shared" si="303"/>
        <v>0</v>
      </c>
      <c r="X1144" s="18"/>
      <c r="Y1144" s="10">
        <v>33</v>
      </c>
      <c r="Z1144" s="30"/>
      <c r="AA1144" s="31"/>
      <c r="AB1144" s="47"/>
      <c r="AC1144" s="31"/>
      <c r="AD1144" s="31"/>
      <c r="AE1144" s="32">
        <f t="shared" si="304"/>
        <v>0</v>
      </c>
      <c r="AF1144" s="10"/>
      <c r="AG1144" s="10"/>
      <c r="AH1144" s="10"/>
      <c r="AI1144" s="12">
        <f t="shared" si="305"/>
        <v>0</v>
      </c>
      <c r="AJ1144" s="18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customFormat="1" x14ac:dyDescent="0.25">
      <c r="A1145" s="10"/>
      <c r="B1145" s="30"/>
      <c r="C1145" s="88"/>
      <c r="D1145" s="32"/>
      <c r="E1145" s="32"/>
      <c r="F1145" s="32"/>
      <c r="G1145" s="32">
        <f t="shared" si="300"/>
        <v>0</v>
      </c>
      <c r="H1145" s="10"/>
      <c r="I1145" s="10"/>
      <c r="J1145" s="10"/>
      <c r="K1145" s="12">
        <f t="shared" si="301"/>
        <v>0</v>
      </c>
      <c r="L1145" s="18"/>
      <c r="M1145" s="10">
        <v>34</v>
      </c>
      <c r="N1145" s="30"/>
      <c r="P1145" s="47"/>
      <c r="Q1145" s="31"/>
      <c r="R1145" s="31"/>
      <c r="S1145" s="32">
        <f t="shared" si="302"/>
        <v>0</v>
      </c>
      <c r="T1145" s="10"/>
      <c r="U1145" s="10"/>
      <c r="V1145" s="10"/>
      <c r="W1145" s="12">
        <f t="shared" si="303"/>
        <v>0</v>
      </c>
      <c r="X1145" s="18"/>
      <c r="Y1145" s="10">
        <v>34</v>
      </c>
      <c r="Z1145" s="30"/>
      <c r="AB1145" s="47"/>
      <c r="AC1145" s="31"/>
      <c r="AD1145" s="31"/>
      <c r="AE1145" s="32">
        <f t="shared" si="304"/>
        <v>0</v>
      </c>
      <c r="AF1145" s="10"/>
      <c r="AG1145" s="10"/>
      <c r="AH1145" s="10"/>
      <c r="AI1145" s="12">
        <f t="shared" si="305"/>
        <v>0</v>
      </c>
      <c r="AJ1145" s="18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customFormat="1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L1146" s="18"/>
      <c r="M1146" s="10">
        <v>35</v>
      </c>
      <c r="N1146" s="30"/>
      <c r="O1146" s="31"/>
      <c r="P1146" s="47"/>
      <c r="Q1146" s="31"/>
      <c r="R1146" s="31"/>
      <c r="S1146" s="32">
        <f t="shared" si="302"/>
        <v>0</v>
      </c>
      <c r="T1146" s="10"/>
      <c r="U1146" s="10"/>
      <c r="V1146" s="10"/>
      <c r="W1146" s="12">
        <f t="shared" si="303"/>
        <v>0</v>
      </c>
      <c r="X1146" s="18"/>
      <c r="Y1146" s="10">
        <v>35</v>
      </c>
      <c r="Z1146" s="30"/>
      <c r="AA1146" s="31"/>
      <c r="AB1146" s="47"/>
      <c r="AC1146" s="31"/>
      <c r="AD1146" s="31"/>
      <c r="AE1146" s="32">
        <f t="shared" si="304"/>
        <v>0</v>
      </c>
      <c r="AF1146" s="10"/>
      <c r="AG1146" s="10"/>
      <c r="AH1146" s="10"/>
      <c r="AI1146" s="12">
        <f t="shared" si="305"/>
        <v>0</v>
      </c>
      <c r="AJ1146" s="18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customFormat="1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L1147" s="18"/>
      <c r="M1147" s="10">
        <v>36</v>
      </c>
      <c r="N1147" s="30"/>
      <c r="O1147" s="31"/>
      <c r="P1147" s="47"/>
      <c r="Q1147" s="31"/>
      <c r="R1147" s="31"/>
      <c r="S1147" s="32">
        <f t="shared" si="302"/>
        <v>0</v>
      </c>
      <c r="T1147" s="10"/>
      <c r="U1147" s="10"/>
      <c r="V1147" s="10"/>
      <c r="W1147" s="12">
        <f t="shared" si="303"/>
        <v>0</v>
      </c>
      <c r="X1147" s="18"/>
      <c r="Y1147" s="10">
        <v>36</v>
      </c>
      <c r="Z1147" s="30"/>
      <c r="AA1147" s="31"/>
      <c r="AB1147" s="47"/>
      <c r="AC1147" s="31"/>
      <c r="AD1147" s="31"/>
      <c r="AE1147" s="32">
        <f t="shared" si="304"/>
        <v>0</v>
      </c>
      <c r="AF1147" s="10"/>
      <c r="AG1147" s="10"/>
      <c r="AH1147" s="10"/>
      <c r="AI1147" s="12">
        <f t="shared" si="305"/>
        <v>0</v>
      </c>
      <c r="AJ1147" s="18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customFormat="1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L1148" s="18"/>
      <c r="M1148" s="10">
        <v>37</v>
      </c>
      <c r="N1148" s="30"/>
      <c r="P1148" s="47"/>
      <c r="Q1148" s="31"/>
      <c r="R1148" s="31"/>
      <c r="S1148" s="32">
        <f t="shared" si="302"/>
        <v>0</v>
      </c>
      <c r="T1148" s="10"/>
      <c r="U1148" s="10"/>
      <c r="V1148" s="10"/>
      <c r="W1148" s="12">
        <f t="shared" si="303"/>
        <v>0</v>
      </c>
      <c r="X1148" s="18"/>
      <c r="Y1148" s="10">
        <v>37</v>
      </c>
      <c r="Z1148" s="30"/>
      <c r="AA1148" s="31"/>
      <c r="AB1148" s="47"/>
      <c r="AC1148" s="31"/>
      <c r="AD1148" s="31"/>
      <c r="AE1148" s="32">
        <f t="shared" si="304"/>
        <v>0</v>
      </c>
      <c r="AF1148" s="10"/>
      <c r="AG1148" s="10"/>
      <c r="AH1148" s="10"/>
      <c r="AI1148" s="12">
        <f t="shared" si="305"/>
        <v>0</v>
      </c>
      <c r="AJ1148" s="18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customFormat="1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L1149" s="18"/>
      <c r="M1149" s="10">
        <v>38</v>
      </c>
      <c r="N1149" s="30"/>
      <c r="O1149" s="31"/>
      <c r="P1149" s="47"/>
      <c r="Q1149" s="31"/>
      <c r="R1149" s="31"/>
      <c r="S1149" s="32">
        <f t="shared" si="302"/>
        <v>0</v>
      </c>
      <c r="T1149" s="10"/>
      <c r="U1149" s="10"/>
      <c r="V1149" s="10"/>
      <c r="W1149" s="12">
        <f t="shared" si="303"/>
        <v>0</v>
      </c>
      <c r="X1149" s="18"/>
      <c r="Y1149" s="10">
        <v>38</v>
      </c>
      <c r="Z1149" s="30"/>
      <c r="AA1149" s="31"/>
      <c r="AB1149" s="47"/>
      <c r="AC1149" s="31"/>
      <c r="AD1149" s="31"/>
      <c r="AE1149" s="32">
        <f t="shared" si="304"/>
        <v>0</v>
      </c>
      <c r="AF1149" s="10"/>
      <c r="AG1149" s="10"/>
      <c r="AH1149" s="10"/>
      <c r="AI1149" s="12">
        <f t="shared" si="305"/>
        <v>0</v>
      </c>
      <c r="AJ1149" s="18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customFormat="1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L1150" s="18"/>
      <c r="M1150" s="10">
        <v>39</v>
      </c>
      <c r="N1150" s="30"/>
      <c r="O1150" s="31"/>
      <c r="P1150" s="47"/>
      <c r="Q1150" s="31"/>
      <c r="R1150" s="31"/>
      <c r="S1150" s="32">
        <f t="shared" si="302"/>
        <v>0</v>
      </c>
      <c r="T1150" s="10"/>
      <c r="U1150" s="10"/>
      <c r="V1150" s="10"/>
      <c r="W1150" s="12">
        <f t="shared" si="303"/>
        <v>0</v>
      </c>
      <c r="X1150" s="18"/>
      <c r="Y1150" s="10">
        <v>39</v>
      </c>
      <c r="Z1150" s="30"/>
      <c r="AA1150" s="31"/>
      <c r="AB1150" s="47"/>
      <c r="AC1150" s="31"/>
      <c r="AD1150" s="31"/>
      <c r="AE1150" s="32">
        <f t="shared" si="304"/>
        <v>0</v>
      </c>
      <c r="AF1150" s="10"/>
      <c r="AG1150" s="10"/>
      <c r="AH1150" s="10"/>
      <c r="AI1150" s="12">
        <f t="shared" si="305"/>
        <v>0</v>
      </c>
      <c r="AJ1150" s="18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customFormat="1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L1151" s="18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X1151" s="18"/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5"/>
        <v>0</v>
      </c>
      <c r="AJ1151" s="18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customFormat="1" x14ac:dyDescent="0.25">
      <c r="A1152" s="10"/>
      <c r="B1152" s="30"/>
      <c r="C1152" s="31"/>
      <c r="D1152" s="32"/>
      <c r="E1152" s="32"/>
      <c r="F1152" s="32"/>
      <c r="G1152" s="32">
        <f t="shared" ref="G1152" si="308">SUM(D1152:E1152)</f>
        <v>0</v>
      </c>
      <c r="H1152" s="10"/>
      <c r="I1152" s="10"/>
      <c r="J1152" s="10"/>
      <c r="K1152" s="12">
        <f t="shared" ref="K1152" si="309">SUM(G1152:J1152)</f>
        <v>0</v>
      </c>
      <c r="L1152" s="18"/>
      <c r="M1152" s="10"/>
      <c r="N1152" s="30"/>
      <c r="O1152" s="31"/>
      <c r="P1152" s="47"/>
      <c r="Q1152" s="31"/>
      <c r="R1152" s="31"/>
      <c r="S1152" s="32">
        <f t="shared" ref="S1152" si="310">SUM(P1152:Q1152)</f>
        <v>0</v>
      </c>
      <c r="T1152" s="10"/>
      <c r="U1152" s="10"/>
      <c r="V1152" s="10"/>
      <c r="W1152" s="12">
        <f t="shared" si="303"/>
        <v>0</v>
      </c>
      <c r="X1152" s="18"/>
      <c r="Y1152" s="10"/>
      <c r="Z1152" s="30"/>
      <c r="AA1152" s="31"/>
      <c r="AB1152" s="47"/>
      <c r="AC1152" s="31"/>
      <c r="AD1152" s="31"/>
      <c r="AE1152" s="32">
        <f t="shared" ref="AE1152" si="311">SUM(AB1152:AC1152)</f>
        <v>0</v>
      </c>
      <c r="AF1152" s="10"/>
      <c r="AG1152" s="10"/>
      <c r="AH1152" s="10"/>
      <c r="AI1152" s="12">
        <f t="shared" si="305"/>
        <v>0</v>
      </c>
      <c r="AJ1152" s="18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customFormat="1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L1153" s="18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X1153" s="18"/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5"/>
        <v>0</v>
      </c>
      <c r="AJ1153" s="18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customFormat="1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L1154" s="18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X1154" s="18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J1154" s="18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customFormat="1" x14ac:dyDescent="0.25">
      <c r="B1155" s="57"/>
      <c r="C1155" s="57"/>
      <c r="D1155" s="38">
        <f>SUM(D1112:D1154)</f>
        <v>547623</v>
      </c>
      <c r="E1155" s="38">
        <f t="shared" ref="E1155:F1155" si="312">SUM(E1112:E1152)</f>
        <v>0</v>
      </c>
      <c r="F1155" s="38">
        <f t="shared" si="312"/>
        <v>0</v>
      </c>
      <c r="G1155" s="38">
        <f>SUM(G1112:G1154)</f>
        <v>547623</v>
      </c>
      <c r="H1155" s="4"/>
      <c r="I1155" s="39">
        <f>SUM(I1112:I1154)</f>
        <v>630403</v>
      </c>
      <c r="J1155" s="39">
        <f>SUM(J1112:J1154)</f>
        <v>-31875</v>
      </c>
      <c r="K1155" s="40">
        <f>SUM(K1112:K1154)</f>
        <v>1146151</v>
      </c>
      <c r="L1155" s="18"/>
      <c r="N1155" s="57"/>
      <c r="O1155" s="57"/>
      <c r="P1155" s="38">
        <f>SUM(P1112:P1154)</f>
        <v>204313</v>
      </c>
      <c r="Q1155" s="38">
        <f>SUM(Q1112:Q1136)</f>
        <v>-3033</v>
      </c>
      <c r="R1155" s="38">
        <f>SUM(R1112:R1136)</f>
        <v>0</v>
      </c>
      <c r="S1155" s="38">
        <f>SUM(S1112:S1154)</f>
        <v>201280</v>
      </c>
      <c r="T1155" s="4"/>
      <c r="U1155" s="41">
        <f>SUM(U1112:U1154)</f>
        <v>780</v>
      </c>
      <c r="V1155" s="41">
        <f>SUM(V1112:V1136)</f>
        <v>-252</v>
      </c>
      <c r="W1155" s="42">
        <f>SUM(W1112:W1154)</f>
        <v>201808</v>
      </c>
      <c r="X1155" s="18"/>
      <c r="Z1155" s="57"/>
      <c r="AA1155" s="57"/>
      <c r="AB1155" s="38">
        <f>SUM(AB1112:AB1154)</f>
        <v>253301</v>
      </c>
      <c r="AC1155" s="38">
        <f>SUM(AC1112:AC1136)</f>
        <v>-906</v>
      </c>
      <c r="AD1155" s="38">
        <f>SUM(AD1112:AD1136)</f>
        <v>0</v>
      </c>
      <c r="AE1155" s="38">
        <f>SUM(AE1112:AE1154)</f>
        <v>252395</v>
      </c>
      <c r="AF1155" s="4"/>
      <c r="AG1155" s="41">
        <f>SUM(AG1112:AG1154)</f>
        <v>3385.5</v>
      </c>
      <c r="AH1155" s="41">
        <f>SUM(AH1112:AH1136)</f>
        <v>-1110</v>
      </c>
      <c r="AI1155" s="42">
        <f>SUM(AI1112:AI1154)</f>
        <v>254670.5</v>
      </c>
      <c r="AJ1155" s="18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customFormat="1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J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customFormat="1" x14ac:dyDescent="0.25">
      <c r="A1157" t="s">
        <v>0</v>
      </c>
      <c r="B1157" s="57"/>
      <c r="C1157" s="57"/>
      <c r="D1157" s="57"/>
      <c r="E1157" s="57"/>
      <c r="F1157" s="57"/>
      <c r="G1157" s="57"/>
      <c r="L1157" s="18"/>
      <c r="M1157" t="s">
        <v>0</v>
      </c>
      <c r="N1157" s="57"/>
      <c r="O1157" s="57"/>
      <c r="P1157" s="57"/>
      <c r="Q1157" s="57"/>
      <c r="R1157" s="57"/>
      <c r="S1157" s="57"/>
      <c r="X1157" s="18"/>
      <c r="Y1157" t="s">
        <v>0</v>
      </c>
      <c r="Z1157" s="57"/>
      <c r="AA1157" s="57"/>
      <c r="AB1157" s="57"/>
      <c r="AC1157" s="57"/>
      <c r="AD1157" s="57"/>
      <c r="AE1157" s="57"/>
      <c r="AJ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customFormat="1" x14ac:dyDescent="0.25">
      <c r="A1158" t="s">
        <v>28</v>
      </c>
      <c r="B1158" s="57"/>
      <c r="C1158" s="57"/>
      <c r="D1158" s="57"/>
      <c r="E1158" s="57"/>
      <c r="F1158" s="57"/>
      <c r="G1158" s="57"/>
      <c r="L1158" s="18"/>
      <c r="M1158" t="s">
        <v>28</v>
      </c>
      <c r="N1158" s="57"/>
      <c r="O1158" s="57"/>
      <c r="P1158" s="57"/>
      <c r="Q1158" s="57"/>
      <c r="R1158" s="57"/>
      <c r="S1158" s="57"/>
      <c r="X1158" s="18"/>
      <c r="Y1158" t="s">
        <v>28</v>
      </c>
      <c r="Z1158" s="57"/>
      <c r="AA1158" s="57"/>
      <c r="AB1158" s="57"/>
      <c r="AC1158" s="57"/>
      <c r="AD1158" s="57"/>
      <c r="AE1158" s="57"/>
      <c r="AJ1158" s="18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customFormat="1" x14ac:dyDescent="0.25">
      <c r="B1159" s="57"/>
      <c r="C1159" s="57"/>
      <c r="D1159" s="57"/>
      <c r="E1159" s="57"/>
      <c r="F1159" s="57"/>
      <c r="G1159" s="57"/>
      <c r="L1159" s="18"/>
      <c r="N1159" s="57"/>
      <c r="O1159" s="57"/>
      <c r="P1159" s="57"/>
      <c r="Q1159" s="57"/>
      <c r="R1159" s="57"/>
      <c r="S1159" s="57"/>
      <c r="X1159" s="18"/>
      <c r="Z1159" s="57"/>
      <c r="AA1159" s="57"/>
      <c r="AB1159" s="57"/>
      <c r="AC1159" s="57"/>
      <c r="AD1159" s="57"/>
      <c r="AE1159" s="57"/>
      <c r="AJ1159" s="18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customFormat="1" x14ac:dyDescent="0.25">
      <c r="A1160" s="4" t="s">
        <v>14</v>
      </c>
      <c r="B1160" s="57"/>
      <c r="C1160" s="57"/>
      <c r="D1160" s="57"/>
      <c r="E1160" s="57"/>
      <c r="F1160" s="57"/>
      <c r="G1160" s="57"/>
      <c r="L1160" s="18"/>
      <c r="M1160" s="4" t="s">
        <v>14</v>
      </c>
      <c r="N1160" s="57"/>
      <c r="O1160" s="57"/>
      <c r="P1160" s="57"/>
      <c r="Q1160" s="57"/>
      <c r="R1160" s="57"/>
      <c r="S1160" s="57"/>
      <c r="X1160" s="18"/>
      <c r="Y1160" s="4" t="s">
        <v>14</v>
      </c>
      <c r="Z1160" s="57"/>
      <c r="AA1160" s="57"/>
      <c r="AB1160" s="57"/>
      <c r="AC1160" s="57"/>
      <c r="AD1160" s="57"/>
      <c r="AE1160" s="57"/>
      <c r="AJ1160" s="18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customFormat="1" x14ac:dyDescent="0.25">
      <c r="B1161" s="57"/>
      <c r="C1161" s="57"/>
      <c r="D1161" s="57"/>
      <c r="E1161" s="57"/>
      <c r="F1161" s="57"/>
      <c r="G1161" s="57"/>
      <c r="L1161" s="18"/>
      <c r="N1161" s="57"/>
      <c r="O1161" s="57"/>
      <c r="P1161" s="57"/>
      <c r="Q1161" s="57"/>
      <c r="R1161" s="57"/>
      <c r="S1161" s="57"/>
      <c r="X1161" s="18"/>
      <c r="Z1161" s="57"/>
      <c r="AA1161" s="57"/>
      <c r="AB1161" s="57"/>
      <c r="AC1161" s="57"/>
      <c r="AD1161" s="57"/>
      <c r="AE1161" s="57"/>
      <c r="AJ1161" s="18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customFormat="1" ht="15.75" x14ac:dyDescent="0.25">
      <c r="A1162" t="s">
        <v>50</v>
      </c>
      <c r="B1162" s="57"/>
      <c r="C1162" s="57"/>
      <c r="D1162" s="57"/>
      <c r="E1162" s="57"/>
      <c r="F1162" s="57"/>
      <c r="G1162" s="57"/>
      <c r="I1162" s="57" t="s">
        <v>15</v>
      </c>
      <c r="J1162" s="19">
        <v>1</v>
      </c>
      <c r="L1162" s="18"/>
      <c r="M1162" t="s">
        <v>50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X1162" s="18"/>
      <c r="Y1162" t="s">
        <v>50</v>
      </c>
      <c r="Z1162" s="57"/>
      <c r="AA1162" s="57"/>
      <c r="AB1162" s="57"/>
      <c r="AC1162" s="57"/>
      <c r="AD1162" s="57"/>
      <c r="AE1162" s="57"/>
      <c r="AG1162" s="57" t="s">
        <v>15</v>
      </c>
      <c r="AH1162" s="19">
        <v>3</v>
      </c>
      <c r="AJ1162" s="18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customFormat="1" x14ac:dyDescent="0.25">
      <c r="A1163" s="21" t="s">
        <v>101</v>
      </c>
      <c r="B1163" s="20"/>
      <c r="C1163" s="57"/>
      <c r="D1163" s="57"/>
      <c r="E1163" s="57"/>
      <c r="F1163" s="57"/>
      <c r="G1163" s="57"/>
      <c r="I1163" s="22" t="s">
        <v>16</v>
      </c>
      <c r="J1163" s="23" t="s">
        <v>33</v>
      </c>
      <c r="K1163" s="24"/>
      <c r="L1163" s="18"/>
      <c r="M1163" s="21" t="s">
        <v>101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42</v>
      </c>
      <c r="W1163" s="24"/>
      <c r="X1163" s="18"/>
      <c r="Y1163" s="21" t="s">
        <v>101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J1163" s="18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customFormat="1" x14ac:dyDescent="0.25">
      <c r="B1164" s="57"/>
      <c r="C1164" s="57"/>
      <c r="D1164" s="57"/>
      <c r="E1164" s="57"/>
      <c r="F1164" s="57"/>
      <c r="G1164" s="57"/>
      <c r="L1164" s="18"/>
      <c r="N1164" s="57"/>
      <c r="O1164" s="57"/>
      <c r="P1164" s="57"/>
      <c r="Q1164" s="57"/>
      <c r="R1164" s="57"/>
      <c r="S1164" s="57"/>
      <c r="X1164" s="18"/>
      <c r="Z1164" s="57"/>
      <c r="AA1164" s="57"/>
      <c r="AB1164" s="57"/>
      <c r="AC1164" s="57"/>
      <c r="AD1164" s="57"/>
      <c r="AE1164" s="57"/>
      <c r="AJ1164" s="18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customFormat="1" x14ac:dyDescent="0.25">
      <c r="B1165" s="25"/>
      <c r="C1165" s="26"/>
      <c r="D1165" s="121" t="s">
        <v>17</v>
      </c>
      <c r="E1165" s="121"/>
      <c r="F1165" s="110"/>
      <c r="G1165" s="27"/>
      <c r="I1165" s="124" t="s">
        <v>18</v>
      </c>
      <c r="J1165" s="125"/>
      <c r="K1165" s="122" t="s">
        <v>19</v>
      </c>
      <c r="L1165" s="18"/>
      <c r="N1165" s="25"/>
      <c r="O1165" s="26"/>
      <c r="P1165" s="121" t="s">
        <v>17</v>
      </c>
      <c r="Q1165" s="121"/>
      <c r="R1165" s="111"/>
      <c r="S1165" s="27"/>
      <c r="U1165" s="124" t="s">
        <v>18</v>
      </c>
      <c r="V1165" s="125"/>
      <c r="W1165" s="122" t="s">
        <v>19</v>
      </c>
      <c r="X1165" s="18"/>
      <c r="Z1165" s="25"/>
      <c r="AA1165" s="26"/>
      <c r="AB1165" s="121" t="s">
        <v>17</v>
      </c>
      <c r="AC1165" s="121"/>
      <c r="AD1165" s="110"/>
      <c r="AE1165" s="27"/>
      <c r="AG1165" s="124" t="s">
        <v>18</v>
      </c>
      <c r="AH1165" s="125"/>
      <c r="AI1165" s="122" t="s">
        <v>19</v>
      </c>
      <c r="AJ1165" s="18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customFormat="1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23"/>
      <c r="L1166" s="18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23"/>
      <c r="X1166" s="18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23"/>
      <c r="AJ1166" s="18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customFormat="1" x14ac:dyDescent="0.25">
      <c r="A1167" s="10">
        <v>1</v>
      </c>
      <c r="B1167" s="30" t="s">
        <v>102</v>
      </c>
      <c r="C1167" s="88">
        <v>7504</v>
      </c>
      <c r="D1167" s="32">
        <f>202824+2977</f>
        <v>205801</v>
      </c>
      <c r="E1167" s="32">
        <v>-3033</v>
      </c>
      <c r="F1167" s="32"/>
      <c r="G1167" s="32">
        <f t="shared" ref="G1167:G1200" si="313">SUM(D1167:E1167)</f>
        <v>202768</v>
      </c>
      <c r="H1167" s="12"/>
      <c r="I1167" s="12"/>
      <c r="J1167" s="12">
        <f>-35964+-312+-840</f>
        <v>-37116</v>
      </c>
      <c r="K1167" s="12">
        <f t="shared" ref="K1167:K1200" si="314">SUM(G1167:J1167)</f>
        <v>165652</v>
      </c>
      <c r="L1167" s="18"/>
      <c r="M1167" s="10">
        <v>1</v>
      </c>
      <c r="N1167" s="30" t="s">
        <v>102</v>
      </c>
      <c r="O1167" s="31">
        <v>7427</v>
      </c>
      <c r="P1167" s="32">
        <f>6260+2384+133</f>
        <v>8777</v>
      </c>
      <c r="Q1167" s="32"/>
      <c r="R1167" s="32"/>
      <c r="S1167" s="32">
        <f>SUM(P1167:Q1167)</f>
        <v>8777</v>
      </c>
      <c r="T1167" s="12"/>
      <c r="U1167" s="12"/>
      <c r="V1167" s="12"/>
      <c r="W1167" s="12">
        <f>SUM(S1167:V1167)</f>
        <v>8777</v>
      </c>
      <c r="X1167" s="18"/>
      <c r="Y1167" s="10">
        <v>1</v>
      </c>
      <c r="Z1167" s="30" t="s">
        <v>102</v>
      </c>
      <c r="AA1167" s="31">
        <v>7337</v>
      </c>
      <c r="AB1167" s="32">
        <f>1878</f>
        <v>1878</v>
      </c>
      <c r="AC1167" s="32"/>
      <c r="AD1167" s="32"/>
      <c r="AE1167" s="32">
        <f>SUM(AB1167:AC1167)</f>
        <v>1878</v>
      </c>
      <c r="AF1167" s="12"/>
      <c r="AG1167" s="12"/>
      <c r="AH1167" s="12"/>
      <c r="AI1167" s="12">
        <f>SUM(AE1167:AH1167)</f>
        <v>1878</v>
      </c>
      <c r="AJ1167" s="18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customFormat="1" x14ac:dyDescent="0.25">
      <c r="A1168" s="10">
        <v>2</v>
      </c>
      <c r="B1168" s="30" t="s">
        <v>102</v>
      </c>
      <c r="C1168" s="88">
        <f>C1167+1</f>
        <v>7505</v>
      </c>
      <c r="D1168" s="32">
        <f>9390+142</f>
        <v>9532</v>
      </c>
      <c r="E1168" s="32"/>
      <c r="F1168" s="32"/>
      <c r="G1168" s="32">
        <f t="shared" si="313"/>
        <v>9532</v>
      </c>
      <c r="H1168" s="12"/>
      <c r="I1168" s="12"/>
      <c r="J1168" s="12">
        <v>-777</v>
      </c>
      <c r="K1168" s="12">
        <f t="shared" si="314"/>
        <v>8755</v>
      </c>
      <c r="L1168" s="18"/>
      <c r="M1168" s="10">
        <v>2</v>
      </c>
      <c r="N1168" s="30" t="s">
        <v>102</v>
      </c>
      <c r="O1168" s="31">
        <f>O1167+1</f>
        <v>7428</v>
      </c>
      <c r="P1168" s="32">
        <f>1252+19</f>
        <v>1271</v>
      </c>
      <c r="Q1168" s="32"/>
      <c r="R1168" s="32"/>
      <c r="S1168" s="32">
        <f t="shared" ref="S1168:S1205" si="315">SUM(P1168:Q1168)</f>
        <v>1271</v>
      </c>
      <c r="T1168" s="12"/>
      <c r="U1168" s="12"/>
      <c r="V1168" s="12"/>
      <c r="W1168" s="12">
        <f t="shared" ref="W1168:W1208" si="316">SUM(S1168:V1168)</f>
        <v>1271</v>
      </c>
      <c r="X1168" s="18"/>
      <c r="Y1168" s="10">
        <v>2</v>
      </c>
      <c r="Z1168" s="30" t="s">
        <v>102</v>
      </c>
      <c r="AA1168" s="31">
        <f>AA1167+1</f>
        <v>7338</v>
      </c>
      <c r="AB1168" s="32">
        <f>62600+1175+916+1300</f>
        <v>65991</v>
      </c>
      <c r="AC1168" s="32">
        <v>-642</v>
      </c>
      <c r="AD1168" s="32"/>
      <c r="AE1168" s="32">
        <f t="shared" ref="AE1168:AE1205" si="317">SUM(AB1168:AC1168)</f>
        <v>65349</v>
      </c>
      <c r="AF1168" s="12"/>
      <c r="AG1168" s="12">
        <v>108</v>
      </c>
      <c r="AH1168" s="12">
        <f>-888+-756</f>
        <v>-1644</v>
      </c>
      <c r="AI1168" s="12">
        <f t="shared" ref="AI1168:AI1208" si="318">SUM(AE1168:AH1168)</f>
        <v>63813</v>
      </c>
      <c r="AJ1168" s="18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customFormat="1" x14ac:dyDescent="0.25">
      <c r="A1169" s="10">
        <v>3</v>
      </c>
      <c r="B1169" s="30" t="s">
        <v>102</v>
      </c>
      <c r="C1169" s="88">
        <f t="shared" ref="C1169:C1171" si="319">C1168+1</f>
        <v>7506</v>
      </c>
      <c r="D1169" s="33">
        <f>4382</f>
        <v>4382</v>
      </c>
      <c r="E1169" s="33"/>
      <c r="F1169" s="33"/>
      <c r="G1169" s="33">
        <f t="shared" si="313"/>
        <v>4382</v>
      </c>
      <c r="H1169" s="34"/>
      <c r="I1169" s="34"/>
      <c r="J1169" s="34">
        <v>-444</v>
      </c>
      <c r="K1169" s="34">
        <f t="shared" si="314"/>
        <v>3938</v>
      </c>
      <c r="L1169" s="18"/>
      <c r="M1169" s="10">
        <v>3</v>
      </c>
      <c r="N1169" s="30" t="s">
        <v>102</v>
      </c>
      <c r="O1169" s="31">
        <f t="shared" ref="O1169:O1190" si="320">O1168+1</f>
        <v>7429</v>
      </c>
      <c r="P1169" s="32">
        <f>1878+28.5</f>
        <v>1906.5</v>
      </c>
      <c r="Q1169" s="32"/>
      <c r="R1169" s="32"/>
      <c r="S1169" s="32">
        <f t="shared" si="315"/>
        <v>1906.5</v>
      </c>
      <c r="T1169" s="12"/>
      <c r="U1169" s="12"/>
      <c r="V1169" s="12"/>
      <c r="W1169" s="12">
        <f t="shared" si="316"/>
        <v>1906.5</v>
      </c>
      <c r="X1169" s="18"/>
      <c r="Y1169" s="10">
        <v>3</v>
      </c>
      <c r="Z1169" s="30" t="s">
        <v>102</v>
      </c>
      <c r="AA1169" s="31">
        <f t="shared" ref="AA1169:AA1171" si="321">AA1168+1</f>
        <v>7339</v>
      </c>
      <c r="AB1169" s="33">
        <f>112680+1826+1603</f>
        <v>116109</v>
      </c>
      <c r="AC1169" s="33">
        <v>-1134</v>
      </c>
      <c r="AD1169" s="32"/>
      <c r="AE1169" s="32">
        <f t="shared" si="317"/>
        <v>114975</v>
      </c>
      <c r="AF1169" s="12"/>
      <c r="AG1169" s="12"/>
      <c r="AH1169" s="12"/>
      <c r="AI1169" s="12">
        <f t="shared" si="318"/>
        <v>114975</v>
      </c>
      <c r="AJ1169" s="18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customFormat="1" x14ac:dyDescent="0.25">
      <c r="A1170" s="10">
        <v>4</v>
      </c>
      <c r="B1170" s="30" t="s">
        <v>102</v>
      </c>
      <c r="C1170" s="88">
        <f t="shared" si="319"/>
        <v>7507</v>
      </c>
      <c r="D1170" s="32">
        <f>1252</f>
        <v>1252</v>
      </c>
      <c r="E1170" s="32"/>
      <c r="F1170" s="32"/>
      <c r="G1170" s="32">
        <f t="shared" si="313"/>
        <v>1252</v>
      </c>
      <c r="H1170" s="12"/>
      <c r="I1170" s="12">
        <f>111+84</f>
        <v>195</v>
      </c>
      <c r="J1170" s="12"/>
      <c r="K1170" s="12">
        <f t="shared" si="314"/>
        <v>1447</v>
      </c>
      <c r="L1170" s="18"/>
      <c r="M1170" s="10">
        <v>4</v>
      </c>
      <c r="N1170" s="30" t="s">
        <v>102</v>
      </c>
      <c r="O1170" s="31">
        <f t="shared" si="320"/>
        <v>7430</v>
      </c>
      <c r="P1170" s="32">
        <f>18780+4172</f>
        <v>22952</v>
      </c>
      <c r="Q1170" s="32"/>
      <c r="R1170" s="32"/>
      <c r="S1170" s="32">
        <f t="shared" si="315"/>
        <v>22952</v>
      </c>
      <c r="T1170" s="12"/>
      <c r="U1170" s="12">
        <v>13.5</v>
      </c>
      <c r="V1170" s="12"/>
      <c r="W1170" s="12">
        <f t="shared" si="316"/>
        <v>22965.5</v>
      </c>
      <c r="X1170" s="18"/>
      <c r="Y1170" s="10">
        <v>4</v>
      </c>
      <c r="Z1170" s="30" t="s">
        <v>102</v>
      </c>
      <c r="AA1170" s="31">
        <f t="shared" si="321"/>
        <v>7340</v>
      </c>
      <c r="AB1170" s="32">
        <f>10016+1228+1005+832</f>
        <v>13081</v>
      </c>
      <c r="AC1170" s="32"/>
      <c r="AD1170" s="32"/>
      <c r="AE1170" s="32">
        <f t="shared" si="317"/>
        <v>13081</v>
      </c>
      <c r="AF1170" s="12"/>
      <c r="AH1170" s="12"/>
      <c r="AI1170" s="12">
        <f t="shared" si="318"/>
        <v>13081</v>
      </c>
      <c r="AJ1170" s="18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customFormat="1" x14ac:dyDescent="0.25">
      <c r="A1171" s="10">
        <v>5</v>
      </c>
      <c r="B1171" s="30" t="s">
        <v>102</v>
      </c>
      <c r="C1171" s="88">
        <f t="shared" si="319"/>
        <v>7508</v>
      </c>
      <c r="D1171" s="32">
        <f>913*35</f>
        <v>31955</v>
      </c>
      <c r="E1171" s="32"/>
      <c r="F1171" s="32"/>
      <c r="G1171" s="32">
        <f t="shared" si="313"/>
        <v>31955</v>
      </c>
      <c r="H1171" s="12"/>
      <c r="I1171" s="12"/>
      <c r="J1171" s="12"/>
      <c r="K1171" s="12">
        <f t="shared" si="314"/>
        <v>31955</v>
      </c>
      <c r="L1171" s="18"/>
      <c r="M1171" s="10">
        <v>5</v>
      </c>
      <c r="N1171" s="30" t="s">
        <v>102</v>
      </c>
      <c r="O1171" s="31">
        <f t="shared" si="320"/>
        <v>7431</v>
      </c>
      <c r="P1171" s="32">
        <f>1252+596+28.5</f>
        <v>1876.5</v>
      </c>
      <c r="Q1171" s="32"/>
      <c r="R1171" s="32"/>
      <c r="S1171" s="32">
        <f t="shared" si="315"/>
        <v>1876.5</v>
      </c>
      <c r="T1171" s="12"/>
      <c r="U1171" s="12"/>
      <c r="V1171" s="12"/>
      <c r="W1171" s="12">
        <f t="shared" si="316"/>
        <v>1876.5</v>
      </c>
      <c r="X1171" s="18"/>
      <c r="Y1171" s="10">
        <v>5</v>
      </c>
      <c r="Z1171" s="30" t="s">
        <v>102</v>
      </c>
      <c r="AA1171" s="31">
        <f t="shared" si="321"/>
        <v>7341</v>
      </c>
      <c r="AB1171" s="32">
        <f>626*26+614*3+596*10+832+229</f>
        <v>25139</v>
      </c>
      <c r="AC1171" s="32"/>
      <c r="AD1171" s="32"/>
      <c r="AE1171" s="32">
        <f t="shared" si="317"/>
        <v>25139</v>
      </c>
      <c r="AF1171" s="12"/>
      <c r="AG1171" s="12"/>
      <c r="AH1171" s="12"/>
      <c r="AI1171" s="12">
        <f t="shared" si="318"/>
        <v>25139</v>
      </c>
      <c r="AJ1171" s="18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customFormat="1" x14ac:dyDescent="0.25">
      <c r="A1172" s="10">
        <v>6</v>
      </c>
      <c r="B1172" s="30"/>
      <c r="C1172" s="11" t="s">
        <v>27</v>
      </c>
      <c r="D1172" s="32"/>
      <c r="E1172" s="32"/>
      <c r="F1172" s="32"/>
      <c r="G1172" s="32">
        <f t="shared" si="313"/>
        <v>0</v>
      </c>
      <c r="H1172" s="12"/>
      <c r="I1172" s="12"/>
      <c r="J1172" s="12"/>
      <c r="K1172" s="12">
        <f t="shared" si="314"/>
        <v>0</v>
      </c>
      <c r="L1172" s="18"/>
      <c r="M1172" s="10">
        <v>6</v>
      </c>
      <c r="N1172" s="30" t="s">
        <v>102</v>
      </c>
      <c r="O1172" s="31">
        <f t="shared" si="320"/>
        <v>7432</v>
      </c>
      <c r="P1172" s="32">
        <f>626*11+614</f>
        <v>7500</v>
      </c>
      <c r="Q1172" s="32"/>
      <c r="R1172" s="32"/>
      <c r="S1172" s="32">
        <f t="shared" si="315"/>
        <v>7500</v>
      </c>
      <c r="T1172" s="12"/>
      <c r="U1172" s="12"/>
      <c r="V1172" s="10"/>
      <c r="W1172" s="12">
        <f t="shared" si="316"/>
        <v>7500</v>
      </c>
      <c r="X1172" s="18"/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17"/>
        <v>0</v>
      </c>
      <c r="AF1172" s="12"/>
      <c r="AG1172" s="12"/>
      <c r="AH1172" s="10"/>
      <c r="AI1172" s="12">
        <f t="shared" si="318"/>
        <v>0</v>
      </c>
      <c r="AJ1172" s="18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customFormat="1" x14ac:dyDescent="0.25">
      <c r="A1173" s="10">
        <v>7</v>
      </c>
      <c r="B1173" s="30"/>
      <c r="C1173" s="88"/>
      <c r="D1173" s="32"/>
      <c r="E1173" s="32"/>
      <c r="F1173" s="32"/>
      <c r="G1173" s="32">
        <f t="shared" si="313"/>
        <v>0</v>
      </c>
      <c r="H1173" s="12"/>
      <c r="I1173" s="12"/>
      <c r="J1173" s="12"/>
      <c r="K1173" s="12">
        <f t="shared" si="314"/>
        <v>0</v>
      </c>
      <c r="L1173" s="18"/>
      <c r="M1173" s="10">
        <v>7</v>
      </c>
      <c r="N1173" s="30" t="s">
        <v>102</v>
      </c>
      <c r="O1173" s="31">
        <f t="shared" si="320"/>
        <v>7433</v>
      </c>
      <c r="P1173" s="32">
        <f>596*3+832+28.5</f>
        <v>2648.5</v>
      </c>
      <c r="Q1173" s="32"/>
      <c r="R1173" s="32"/>
      <c r="S1173" s="32">
        <f t="shared" si="315"/>
        <v>2648.5</v>
      </c>
      <c r="T1173" s="12"/>
      <c r="U1173" s="12"/>
      <c r="V1173" s="12"/>
      <c r="W1173" s="12">
        <f t="shared" si="316"/>
        <v>2648.5</v>
      </c>
      <c r="X1173" s="18"/>
      <c r="Y1173" s="10">
        <v>7</v>
      </c>
      <c r="Z1173" s="30"/>
      <c r="AB1173" s="32"/>
      <c r="AC1173" s="32"/>
      <c r="AD1173" s="32"/>
      <c r="AE1173" s="32">
        <f t="shared" si="317"/>
        <v>0</v>
      </c>
      <c r="AF1173" s="12"/>
      <c r="AG1173" s="58"/>
      <c r="AH1173" s="12"/>
      <c r="AI1173" s="12">
        <f t="shared" si="318"/>
        <v>0</v>
      </c>
      <c r="AJ1173" s="18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customFormat="1" x14ac:dyDescent="0.25">
      <c r="A1174" s="10">
        <v>8</v>
      </c>
      <c r="B1174" s="30"/>
      <c r="C1174" s="88"/>
      <c r="D1174" s="32"/>
      <c r="E1174" s="32"/>
      <c r="F1174" s="32"/>
      <c r="G1174" s="32">
        <f t="shared" si="313"/>
        <v>0</v>
      </c>
      <c r="H1174" s="12"/>
      <c r="I1174" s="12"/>
      <c r="J1174" s="12"/>
      <c r="K1174" s="12">
        <f t="shared" si="314"/>
        <v>0</v>
      </c>
      <c r="L1174" s="18"/>
      <c r="M1174" s="10">
        <v>8</v>
      </c>
      <c r="N1174" s="30" t="s">
        <v>102</v>
      </c>
      <c r="O1174" s="31">
        <f t="shared" si="320"/>
        <v>7434</v>
      </c>
      <c r="P1174" s="32">
        <f>3130+47.5</f>
        <v>3177.5</v>
      </c>
      <c r="Q1174" s="32"/>
      <c r="R1174" s="32"/>
      <c r="S1174" s="32">
        <f t="shared" si="315"/>
        <v>3177.5</v>
      </c>
      <c r="T1174" s="12"/>
      <c r="U1174" s="12">
        <v>18</v>
      </c>
      <c r="V1174" s="12"/>
      <c r="W1174" s="12">
        <f t="shared" si="316"/>
        <v>3195.5</v>
      </c>
      <c r="X1174" s="18"/>
      <c r="Y1174" s="10">
        <v>8</v>
      </c>
      <c r="Z1174" s="30"/>
      <c r="AA1174" s="31"/>
      <c r="AB1174" s="32"/>
      <c r="AC1174" s="32"/>
      <c r="AE1174" s="32">
        <f t="shared" si="317"/>
        <v>0</v>
      </c>
      <c r="AF1174" s="12"/>
      <c r="AG1174" s="12"/>
      <c r="AH1174" s="12"/>
      <c r="AI1174" s="12">
        <f t="shared" si="318"/>
        <v>0</v>
      </c>
      <c r="AJ1174" s="18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customFormat="1" x14ac:dyDescent="0.25">
      <c r="A1175" s="10">
        <v>9</v>
      </c>
      <c r="B1175" s="30"/>
      <c r="C1175" s="88"/>
      <c r="D1175" s="32"/>
      <c r="E1175" s="32"/>
      <c r="F1175" s="32"/>
      <c r="G1175" s="32">
        <f t="shared" si="313"/>
        <v>0</v>
      </c>
      <c r="H1175" s="12"/>
      <c r="I1175" s="12"/>
      <c r="J1175" s="12"/>
      <c r="K1175" s="12">
        <f t="shared" si="314"/>
        <v>0</v>
      </c>
      <c r="L1175" s="18"/>
      <c r="M1175" s="10">
        <v>9</v>
      </c>
      <c r="N1175" s="30" t="s">
        <v>102</v>
      </c>
      <c r="O1175" s="31">
        <f t="shared" si="320"/>
        <v>7435</v>
      </c>
      <c r="P1175" s="32">
        <f>626+596+19</f>
        <v>1241</v>
      </c>
      <c r="Q1175" s="32"/>
      <c r="R1175" s="32"/>
      <c r="S1175" s="32">
        <f t="shared" si="315"/>
        <v>1241</v>
      </c>
      <c r="T1175" s="12"/>
      <c r="U1175" s="12"/>
      <c r="V1175" s="12"/>
      <c r="W1175" s="12">
        <f t="shared" si="316"/>
        <v>1241</v>
      </c>
      <c r="X1175" s="18"/>
      <c r="Y1175" s="10">
        <v>9</v>
      </c>
      <c r="Z1175" s="30"/>
      <c r="AA1175" s="31"/>
      <c r="AB1175" s="32"/>
      <c r="AC1175" s="32"/>
      <c r="AD1175" s="32"/>
      <c r="AE1175" s="32">
        <f t="shared" si="317"/>
        <v>0</v>
      </c>
      <c r="AF1175" s="12"/>
      <c r="AG1175" s="58"/>
      <c r="AH1175" s="12"/>
      <c r="AI1175" s="12">
        <f t="shared" si="318"/>
        <v>0</v>
      </c>
      <c r="AJ1175" s="18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customFormat="1" x14ac:dyDescent="0.25">
      <c r="A1176" s="10">
        <v>10</v>
      </c>
      <c r="B1176" s="30"/>
      <c r="C1176" s="88"/>
      <c r="D1176" s="32"/>
      <c r="E1176" s="32"/>
      <c r="F1176" s="32"/>
      <c r="G1176" s="32">
        <f t="shared" si="313"/>
        <v>0</v>
      </c>
      <c r="H1176" s="12"/>
      <c r="I1176" s="12"/>
      <c r="J1176" s="12"/>
      <c r="K1176" s="12">
        <f t="shared" si="314"/>
        <v>0</v>
      </c>
      <c r="L1176" s="18"/>
      <c r="M1176" s="10">
        <v>10</v>
      </c>
      <c r="N1176" s="30" t="s">
        <v>102</v>
      </c>
      <c r="O1176" s="31">
        <f t="shared" si="320"/>
        <v>7436</v>
      </c>
      <c r="P1176" s="32">
        <f>1252+614+19</f>
        <v>1885</v>
      </c>
      <c r="Q1176" s="32"/>
      <c r="R1176" s="32"/>
      <c r="S1176" s="32">
        <f t="shared" si="315"/>
        <v>1885</v>
      </c>
      <c r="T1176" s="12"/>
      <c r="U1176" s="12"/>
      <c r="V1176" s="12"/>
      <c r="W1176" s="12">
        <f t="shared" si="316"/>
        <v>1885</v>
      </c>
      <c r="X1176" s="18"/>
      <c r="Y1176" s="10">
        <v>10</v>
      </c>
      <c r="Z1176" s="30"/>
      <c r="AA1176" s="31"/>
      <c r="AB1176" s="32"/>
      <c r="AC1176" s="32"/>
      <c r="AD1176" s="32"/>
      <c r="AE1176" s="32">
        <f t="shared" si="317"/>
        <v>0</v>
      </c>
      <c r="AF1176" s="12"/>
      <c r="AG1176" s="12"/>
      <c r="AH1176" s="12"/>
      <c r="AI1176" s="12">
        <f t="shared" si="318"/>
        <v>0</v>
      </c>
      <c r="AJ1176" s="18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customFormat="1" x14ac:dyDescent="0.25">
      <c r="A1177" s="10">
        <v>11</v>
      </c>
      <c r="B1177" s="30"/>
      <c r="C1177" s="3"/>
      <c r="D1177" s="32"/>
      <c r="E1177" s="32"/>
      <c r="F1177" s="32"/>
      <c r="G1177" s="32">
        <f t="shared" si="313"/>
        <v>0</v>
      </c>
      <c r="H1177" s="12"/>
      <c r="I1177" s="12"/>
      <c r="J1177" s="12"/>
      <c r="K1177" s="12">
        <f t="shared" si="314"/>
        <v>0</v>
      </c>
      <c r="L1177" s="18"/>
      <c r="M1177" s="10">
        <v>11</v>
      </c>
      <c r="N1177" s="30" t="s">
        <v>102</v>
      </c>
      <c r="O1177" s="31">
        <f t="shared" si="320"/>
        <v>7437</v>
      </c>
      <c r="P1177" s="32">
        <f>1252+19</f>
        <v>1271</v>
      </c>
      <c r="Q1177" s="32"/>
      <c r="R1177" s="32"/>
      <c r="S1177" s="32">
        <f t="shared" si="315"/>
        <v>1271</v>
      </c>
      <c r="T1177" s="12"/>
      <c r="U1177" s="12"/>
      <c r="V1177" s="12"/>
      <c r="W1177" s="12">
        <f t="shared" si="316"/>
        <v>1271</v>
      </c>
      <c r="X1177" s="18"/>
      <c r="Y1177" s="10">
        <v>11</v>
      </c>
      <c r="Z1177" s="30"/>
      <c r="AB1177" s="32"/>
      <c r="AC1177" s="32"/>
      <c r="AD1177" s="32"/>
      <c r="AE1177" s="32">
        <f t="shared" si="317"/>
        <v>0</v>
      </c>
      <c r="AF1177" s="12"/>
      <c r="AG1177" s="12"/>
      <c r="AH1177" s="12"/>
      <c r="AI1177" s="12">
        <f t="shared" si="318"/>
        <v>0</v>
      </c>
      <c r="AJ1177" s="18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customFormat="1" x14ac:dyDescent="0.25">
      <c r="A1178" s="10">
        <v>12</v>
      </c>
      <c r="B1178" s="30"/>
      <c r="C1178" s="88"/>
      <c r="D1178" s="32"/>
      <c r="E1178" s="32"/>
      <c r="F1178" s="32"/>
      <c r="G1178" s="32">
        <f t="shared" si="313"/>
        <v>0</v>
      </c>
      <c r="H1178" s="12"/>
      <c r="I1178" s="12"/>
      <c r="J1178" s="10"/>
      <c r="K1178" s="12">
        <f t="shared" si="314"/>
        <v>0</v>
      </c>
      <c r="L1178" s="18"/>
      <c r="M1178" s="10">
        <v>12</v>
      </c>
      <c r="N1178" s="30" t="s">
        <v>102</v>
      </c>
      <c r="O1178" s="31">
        <f t="shared" si="320"/>
        <v>7438</v>
      </c>
      <c r="P1178" s="32">
        <f>626+596+19</f>
        <v>1241</v>
      </c>
      <c r="Q1178" s="32"/>
      <c r="R1178" s="32"/>
      <c r="S1178" s="32">
        <f t="shared" si="315"/>
        <v>1241</v>
      </c>
      <c r="T1178" s="12"/>
      <c r="U1178" s="12">
        <v>9</v>
      </c>
      <c r="V1178" s="12"/>
      <c r="W1178" s="12">
        <f t="shared" si="316"/>
        <v>1250</v>
      </c>
      <c r="X1178" s="18"/>
      <c r="Y1178" s="10">
        <v>12</v>
      </c>
      <c r="Z1178" s="30"/>
      <c r="AA1178" s="31"/>
      <c r="AB1178" s="32"/>
      <c r="AC1178" s="32"/>
      <c r="AD1178" s="32"/>
      <c r="AE1178" s="32">
        <f t="shared" si="317"/>
        <v>0</v>
      </c>
      <c r="AF1178" s="12"/>
      <c r="AG1178" s="12"/>
      <c r="AH1178" s="12"/>
      <c r="AI1178" s="12">
        <f t="shared" si="318"/>
        <v>0</v>
      </c>
      <c r="AJ1178" s="18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customFormat="1" x14ac:dyDescent="0.25">
      <c r="A1179" s="10">
        <v>13</v>
      </c>
      <c r="B1179" s="30"/>
      <c r="C1179" s="88"/>
      <c r="D1179" s="32"/>
      <c r="E1179" s="32"/>
      <c r="F1179" s="32"/>
      <c r="G1179" s="32">
        <f t="shared" si="313"/>
        <v>0</v>
      </c>
      <c r="H1179" s="12"/>
      <c r="I1179" s="12"/>
      <c r="J1179" s="12"/>
      <c r="K1179" s="12">
        <f t="shared" si="314"/>
        <v>0</v>
      </c>
      <c r="L1179" s="18"/>
      <c r="M1179" s="10">
        <v>13</v>
      </c>
      <c r="N1179" s="30" t="s">
        <v>102</v>
      </c>
      <c r="O1179" s="31">
        <f t="shared" si="320"/>
        <v>7439</v>
      </c>
      <c r="P1179" s="32">
        <f>626*3+614+596+38</f>
        <v>3126</v>
      </c>
      <c r="Q1179" s="32"/>
      <c r="R1179" s="32"/>
      <c r="S1179" s="32">
        <f t="shared" si="315"/>
        <v>3126</v>
      </c>
      <c r="T1179" s="12"/>
      <c r="U1179" s="12"/>
      <c r="V1179" s="12"/>
      <c r="W1179" s="12">
        <f t="shared" si="316"/>
        <v>3126</v>
      </c>
      <c r="X1179" s="18"/>
      <c r="Y1179" s="10">
        <v>13</v>
      </c>
      <c r="Z1179" s="30"/>
      <c r="AA1179" s="31"/>
      <c r="AB1179" s="32"/>
      <c r="AC1179" s="32"/>
      <c r="AD1179" s="32"/>
      <c r="AE1179" s="32">
        <f t="shared" si="317"/>
        <v>0</v>
      </c>
      <c r="AF1179" s="12"/>
      <c r="AG1179" s="12"/>
      <c r="AH1179" s="12"/>
      <c r="AI1179" s="12">
        <f t="shared" si="318"/>
        <v>0</v>
      </c>
      <c r="AJ1179" s="18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customFormat="1" x14ac:dyDescent="0.25">
      <c r="A1180" s="10">
        <v>14</v>
      </c>
      <c r="B1180" s="30"/>
      <c r="C1180" s="88"/>
      <c r="D1180" s="32"/>
      <c r="E1180" s="32"/>
      <c r="F1180" s="32"/>
      <c r="G1180" s="32">
        <f t="shared" si="313"/>
        <v>0</v>
      </c>
      <c r="H1180" s="12"/>
      <c r="I1180" s="12"/>
      <c r="J1180" s="12"/>
      <c r="K1180" s="12">
        <f t="shared" si="314"/>
        <v>0</v>
      </c>
      <c r="L1180" s="18"/>
      <c r="M1180" s="10">
        <v>14</v>
      </c>
      <c r="N1180" s="30" t="s">
        <v>102</v>
      </c>
      <c r="O1180" s="31">
        <f t="shared" si="320"/>
        <v>7440</v>
      </c>
      <c r="P1180" s="32">
        <f>2384+38</f>
        <v>2422</v>
      </c>
      <c r="Q1180" s="32"/>
      <c r="R1180" s="32"/>
      <c r="S1180" s="32">
        <f t="shared" si="315"/>
        <v>2422</v>
      </c>
      <c r="T1180" s="12"/>
      <c r="U1180" s="12"/>
      <c r="V1180" s="12"/>
      <c r="W1180" s="12">
        <f t="shared" si="316"/>
        <v>2422</v>
      </c>
      <c r="X1180" s="18"/>
      <c r="Y1180" s="10">
        <v>14</v>
      </c>
      <c r="Z1180" s="30"/>
      <c r="AA1180" s="31"/>
      <c r="AB1180" s="32"/>
      <c r="AC1180" s="32"/>
      <c r="AD1180" s="32"/>
      <c r="AE1180" s="32">
        <f t="shared" si="317"/>
        <v>0</v>
      </c>
      <c r="AF1180" s="12"/>
      <c r="AG1180" s="12"/>
      <c r="AH1180" s="12"/>
      <c r="AI1180" s="12">
        <f t="shared" si="318"/>
        <v>0</v>
      </c>
      <c r="AJ1180" s="18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customFormat="1" x14ac:dyDescent="0.25">
      <c r="A1181" s="10">
        <v>15</v>
      </c>
      <c r="B1181" s="30"/>
      <c r="C1181" s="88"/>
      <c r="D1181" s="32"/>
      <c r="E1181" s="32"/>
      <c r="F1181" s="32"/>
      <c r="G1181" s="32">
        <f t="shared" si="313"/>
        <v>0</v>
      </c>
      <c r="H1181" s="12"/>
      <c r="I1181" s="12"/>
      <c r="J1181" s="12"/>
      <c r="K1181" s="12">
        <f t="shared" si="314"/>
        <v>0</v>
      </c>
      <c r="L1181" s="18"/>
      <c r="M1181" s="10">
        <v>15</v>
      </c>
      <c r="N1181" s="30" t="s">
        <v>102</v>
      </c>
      <c r="O1181" s="31">
        <f t="shared" si="320"/>
        <v>7441</v>
      </c>
      <c r="P1181" s="32">
        <f>5008+76</f>
        <v>5084</v>
      </c>
      <c r="Q1181" s="32"/>
      <c r="R1181" s="32"/>
      <c r="S1181" s="32">
        <f t="shared" si="315"/>
        <v>5084</v>
      </c>
      <c r="T1181" s="12"/>
      <c r="U1181" s="12"/>
      <c r="V1181" s="12"/>
      <c r="W1181" s="12">
        <f t="shared" si="316"/>
        <v>5084</v>
      </c>
      <c r="X1181" s="18"/>
      <c r="Y1181" s="10">
        <v>15</v>
      </c>
      <c r="Z1181" s="30"/>
      <c r="AA1181" s="31"/>
      <c r="AB1181" s="32"/>
      <c r="AC1181" s="32"/>
      <c r="AD1181" s="32"/>
      <c r="AE1181" s="32">
        <f t="shared" si="317"/>
        <v>0</v>
      </c>
      <c r="AF1181" s="12"/>
      <c r="AG1181" s="12"/>
      <c r="AH1181" s="12"/>
      <c r="AI1181" s="12">
        <f t="shared" si="318"/>
        <v>0</v>
      </c>
      <c r="AJ1181" s="18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customFormat="1" x14ac:dyDescent="0.25">
      <c r="A1182" s="10">
        <v>16</v>
      </c>
      <c r="B1182" s="30"/>
      <c r="C1182" s="57"/>
      <c r="D1182" s="32"/>
      <c r="E1182" s="32"/>
      <c r="F1182" s="32"/>
      <c r="G1182" s="32">
        <f t="shared" si="313"/>
        <v>0</v>
      </c>
      <c r="H1182" s="12"/>
      <c r="I1182" s="12"/>
      <c r="J1182" s="12"/>
      <c r="K1182" s="12">
        <f t="shared" si="314"/>
        <v>0</v>
      </c>
      <c r="L1182" s="18"/>
      <c r="M1182" s="10">
        <v>16</v>
      </c>
      <c r="N1182" s="30" t="s">
        <v>102</v>
      </c>
      <c r="O1182" s="31">
        <f t="shared" si="320"/>
        <v>7442</v>
      </c>
      <c r="P1182" s="32">
        <f>1252+19</f>
        <v>1271</v>
      </c>
      <c r="Q1182" s="32"/>
      <c r="R1182" s="32"/>
      <c r="S1182" s="32">
        <f t="shared" si="315"/>
        <v>1271</v>
      </c>
      <c r="T1182" s="12"/>
      <c r="U1182" s="12"/>
      <c r="V1182" s="12"/>
      <c r="W1182" s="12">
        <f t="shared" si="316"/>
        <v>1271</v>
      </c>
      <c r="X1182" s="18"/>
      <c r="Y1182" s="10">
        <v>16</v>
      </c>
      <c r="Z1182" s="30"/>
      <c r="AA1182" s="31"/>
      <c r="AB1182" s="32"/>
      <c r="AC1182" s="32"/>
      <c r="AD1182" s="32"/>
      <c r="AE1182" s="32">
        <f t="shared" si="317"/>
        <v>0</v>
      </c>
      <c r="AF1182" s="12"/>
      <c r="AG1182" s="12"/>
      <c r="AH1182" s="12"/>
      <c r="AI1182" s="12">
        <f t="shared" si="318"/>
        <v>0</v>
      </c>
      <c r="AJ1182" s="18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customFormat="1" x14ac:dyDescent="0.25">
      <c r="A1183" s="10">
        <v>17</v>
      </c>
      <c r="B1183" s="30"/>
      <c r="C1183" s="88"/>
      <c r="D1183" s="32"/>
      <c r="E1183" s="32"/>
      <c r="F1183" s="32"/>
      <c r="G1183" s="32">
        <f t="shared" si="313"/>
        <v>0</v>
      </c>
      <c r="H1183" s="12"/>
      <c r="I1183" s="12"/>
      <c r="J1183" s="12"/>
      <c r="K1183" s="12">
        <f t="shared" si="314"/>
        <v>0</v>
      </c>
      <c r="L1183" s="18"/>
      <c r="M1183" s="10">
        <v>17</v>
      </c>
      <c r="N1183" s="30" t="s">
        <v>102</v>
      </c>
      <c r="O1183" s="31">
        <f t="shared" si="320"/>
        <v>7443</v>
      </c>
      <c r="P1183" s="35">
        <f>34430+3070+229</f>
        <v>37729</v>
      </c>
      <c r="Q1183" s="32"/>
      <c r="R1183" s="32"/>
      <c r="S1183" s="32">
        <f t="shared" si="315"/>
        <v>37729</v>
      </c>
      <c r="T1183" s="12"/>
      <c r="U1183" s="12"/>
      <c r="V1183" s="12"/>
      <c r="W1183" s="12">
        <f t="shared" si="316"/>
        <v>37729</v>
      </c>
      <c r="X1183" s="18"/>
      <c r="Y1183" s="10">
        <v>17</v>
      </c>
      <c r="Z1183" s="30"/>
      <c r="AA1183" s="31"/>
      <c r="AB1183" s="35"/>
      <c r="AC1183" s="32"/>
      <c r="AD1183" s="32"/>
      <c r="AE1183" s="32">
        <f t="shared" si="317"/>
        <v>0</v>
      </c>
      <c r="AF1183" s="12"/>
      <c r="AG1183" s="12"/>
      <c r="AH1183" s="12"/>
      <c r="AI1183" s="12">
        <f t="shared" si="318"/>
        <v>0</v>
      </c>
      <c r="AJ1183" s="18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customFormat="1" x14ac:dyDescent="0.25">
      <c r="A1184" s="10">
        <v>18</v>
      </c>
      <c r="B1184" s="30"/>
      <c r="C1184" s="88"/>
      <c r="D1184" s="32"/>
      <c r="E1184" s="32"/>
      <c r="F1184" s="32"/>
      <c r="G1184" s="32">
        <f t="shared" si="313"/>
        <v>0</v>
      </c>
      <c r="H1184" s="12"/>
      <c r="I1184" s="12"/>
      <c r="J1184" s="12"/>
      <c r="K1184" s="12">
        <f t="shared" si="314"/>
        <v>0</v>
      </c>
      <c r="L1184" s="18"/>
      <c r="M1184" s="10">
        <v>18</v>
      </c>
      <c r="N1184" s="30" t="s">
        <v>102</v>
      </c>
      <c r="O1184" s="31">
        <f t="shared" si="320"/>
        <v>7444</v>
      </c>
      <c r="P1184" s="32">
        <f>2504+38</f>
        <v>2542</v>
      </c>
      <c r="Q1184" s="32"/>
      <c r="R1184" s="32"/>
      <c r="S1184" s="32">
        <f t="shared" si="315"/>
        <v>2542</v>
      </c>
      <c r="T1184" s="12"/>
      <c r="U1184" s="12"/>
      <c r="V1184" s="12"/>
      <c r="W1184" s="12">
        <f t="shared" si="316"/>
        <v>2542</v>
      </c>
      <c r="X1184" s="18"/>
      <c r="Y1184" s="10">
        <v>18</v>
      </c>
      <c r="Z1184" s="30"/>
      <c r="AA1184" s="31"/>
      <c r="AB1184" s="32"/>
      <c r="AC1184" s="32"/>
      <c r="AD1184" s="32"/>
      <c r="AE1184" s="32">
        <f t="shared" si="317"/>
        <v>0</v>
      </c>
      <c r="AF1184" s="12"/>
      <c r="AG1184" s="12"/>
      <c r="AH1184" s="12"/>
      <c r="AI1184" s="12">
        <f t="shared" si="318"/>
        <v>0</v>
      </c>
      <c r="AJ1184" s="18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customFormat="1" x14ac:dyDescent="0.25">
      <c r="A1185" s="10">
        <v>19</v>
      </c>
      <c r="B1185" s="30"/>
      <c r="C1185" s="88"/>
      <c r="D1185" s="32"/>
      <c r="E1185" s="32"/>
      <c r="F1185" s="32"/>
      <c r="G1185" s="32">
        <f t="shared" si="313"/>
        <v>0</v>
      </c>
      <c r="H1185" s="12"/>
      <c r="I1185" s="12"/>
      <c r="J1185" s="12"/>
      <c r="K1185" s="12">
        <f t="shared" si="314"/>
        <v>0</v>
      </c>
      <c r="L1185" s="18"/>
      <c r="M1185" s="10">
        <v>19</v>
      </c>
      <c r="N1185" s="30" t="s">
        <v>102</v>
      </c>
      <c r="O1185" s="31">
        <f t="shared" si="320"/>
        <v>7445</v>
      </c>
      <c r="P1185" s="32">
        <f>3756+57</f>
        <v>3813</v>
      </c>
      <c r="Q1185" s="32"/>
      <c r="R1185" s="32"/>
      <c r="S1185" s="32">
        <f t="shared" si="315"/>
        <v>3813</v>
      </c>
      <c r="T1185" s="12"/>
      <c r="U1185" s="12"/>
      <c r="V1185" s="12"/>
      <c r="W1185" s="12">
        <f t="shared" si="316"/>
        <v>3813</v>
      </c>
      <c r="X1185" s="18"/>
      <c r="Y1185" s="10">
        <v>19</v>
      </c>
      <c r="Z1185" s="30"/>
      <c r="AA1185" s="31"/>
      <c r="AB1185" s="32"/>
      <c r="AC1185" s="32"/>
      <c r="AD1185" s="32"/>
      <c r="AE1185" s="32">
        <f t="shared" si="317"/>
        <v>0</v>
      </c>
      <c r="AF1185" s="12"/>
      <c r="AG1185" s="12"/>
      <c r="AH1185" s="12"/>
      <c r="AI1185" s="12">
        <f t="shared" si="318"/>
        <v>0</v>
      </c>
      <c r="AJ1185" s="18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customFormat="1" x14ac:dyDescent="0.25">
      <c r="A1186" s="10">
        <v>20</v>
      </c>
      <c r="B1186" s="30"/>
      <c r="C1186" s="88"/>
      <c r="D1186" s="32"/>
      <c r="E1186" s="32"/>
      <c r="F1186" s="32"/>
      <c r="G1186" s="32">
        <f t="shared" si="313"/>
        <v>0</v>
      </c>
      <c r="H1186" s="12"/>
      <c r="I1186" s="12"/>
      <c r="J1186" s="12"/>
      <c r="K1186" s="12">
        <f t="shared" si="314"/>
        <v>0</v>
      </c>
      <c r="L1186" s="18"/>
      <c r="M1186" s="10">
        <v>20</v>
      </c>
      <c r="N1186" s="30" t="s">
        <v>102</v>
      </c>
      <c r="O1186" s="31">
        <f t="shared" si="320"/>
        <v>7446</v>
      </c>
      <c r="P1186" s="32">
        <f>8138+1228+1192+142.5</f>
        <v>10700.5</v>
      </c>
      <c r="Q1186" s="32"/>
      <c r="R1186" s="32"/>
      <c r="S1186" s="32">
        <f t="shared" si="315"/>
        <v>10700.5</v>
      </c>
      <c r="T1186" s="12"/>
      <c r="U1186" s="12"/>
      <c r="V1186" s="12"/>
      <c r="W1186" s="12">
        <f t="shared" si="316"/>
        <v>10700.5</v>
      </c>
      <c r="X1186" s="18"/>
      <c r="Y1186" s="10">
        <v>20</v>
      </c>
      <c r="Z1186" s="30"/>
      <c r="AA1186" s="31"/>
      <c r="AB1186" s="32"/>
      <c r="AC1186" s="32"/>
      <c r="AD1186" s="32"/>
      <c r="AE1186" s="32">
        <f t="shared" si="317"/>
        <v>0</v>
      </c>
      <c r="AF1186" s="12"/>
      <c r="AG1186" s="12"/>
      <c r="AH1186" s="12"/>
      <c r="AI1186" s="12">
        <f t="shared" si="318"/>
        <v>0</v>
      </c>
      <c r="AJ1186" s="18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customFormat="1" x14ac:dyDescent="0.25">
      <c r="A1187" s="10">
        <v>21</v>
      </c>
      <c r="B1187" s="30"/>
      <c r="C1187" s="57"/>
      <c r="D1187" s="32"/>
      <c r="E1187" s="32"/>
      <c r="F1187" s="32"/>
      <c r="G1187" s="32">
        <f t="shared" si="313"/>
        <v>0</v>
      </c>
      <c r="H1187" s="10"/>
      <c r="I1187" s="10"/>
      <c r="J1187" s="10"/>
      <c r="K1187" s="12">
        <f t="shared" si="314"/>
        <v>0</v>
      </c>
      <c r="L1187" s="18"/>
      <c r="M1187" s="10">
        <v>21</v>
      </c>
      <c r="N1187" s="30" t="s">
        <v>102</v>
      </c>
      <c r="O1187" s="31">
        <f t="shared" si="320"/>
        <v>7447</v>
      </c>
      <c r="P1187" s="46">
        <f>626+9.5</f>
        <v>635.5</v>
      </c>
      <c r="Q1187" s="31"/>
      <c r="R1187" s="31"/>
      <c r="S1187" s="32">
        <f t="shared" si="315"/>
        <v>635.5</v>
      </c>
      <c r="T1187" s="10"/>
      <c r="U1187" s="10"/>
      <c r="V1187" s="10"/>
      <c r="W1187" s="12">
        <f t="shared" si="316"/>
        <v>635.5</v>
      </c>
      <c r="X1187" s="18"/>
      <c r="Y1187" s="10">
        <v>21</v>
      </c>
      <c r="Z1187" s="30"/>
      <c r="AB1187" s="46"/>
      <c r="AC1187" s="31"/>
      <c r="AD1187" s="31"/>
      <c r="AE1187" s="32">
        <f t="shared" si="317"/>
        <v>0</v>
      </c>
      <c r="AF1187" s="10"/>
      <c r="AG1187" s="10"/>
      <c r="AH1187" s="10"/>
      <c r="AI1187" s="12">
        <f t="shared" si="318"/>
        <v>0</v>
      </c>
      <c r="AJ1187" s="18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customFormat="1" x14ac:dyDescent="0.25">
      <c r="A1188" s="10">
        <v>22</v>
      </c>
      <c r="B1188" s="30"/>
      <c r="C1188" s="88"/>
      <c r="D1188" s="32"/>
      <c r="E1188" s="32"/>
      <c r="F1188" s="32"/>
      <c r="G1188" s="32">
        <f t="shared" si="313"/>
        <v>0</v>
      </c>
      <c r="H1188" s="10"/>
      <c r="I1188" s="10"/>
      <c r="J1188" s="10"/>
      <c r="K1188" s="12">
        <f t="shared" si="314"/>
        <v>0</v>
      </c>
      <c r="L1188" s="18"/>
      <c r="M1188" s="10">
        <v>22</v>
      </c>
      <c r="N1188" s="30" t="s">
        <v>102</v>
      </c>
      <c r="O1188" s="31">
        <f t="shared" si="320"/>
        <v>7448</v>
      </c>
      <c r="P1188" s="45">
        <f>626+9.5</f>
        <v>635.5</v>
      </c>
      <c r="Q1188" s="31"/>
      <c r="R1188" s="31"/>
      <c r="S1188" s="32">
        <f t="shared" si="315"/>
        <v>635.5</v>
      </c>
      <c r="T1188" s="10"/>
      <c r="U1188" s="10"/>
      <c r="V1188" s="10"/>
      <c r="W1188" s="12">
        <f t="shared" si="316"/>
        <v>635.5</v>
      </c>
      <c r="X1188" s="18"/>
      <c r="Y1188" s="10">
        <v>22</v>
      </c>
      <c r="Z1188" s="30"/>
      <c r="AA1188" s="31"/>
      <c r="AB1188" s="45"/>
      <c r="AC1188" s="31"/>
      <c r="AD1188" s="31"/>
      <c r="AE1188" s="32">
        <f t="shared" si="317"/>
        <v>0</v>
      </c>
      <c r="AF1188" s="10"/>
      <c r="AG1188" s="10"/>
      <c r="AH1188" s="10"/>
      <c r="AI1188" s="12">
        <f t="shared" si="318"/>
        <v>0</v>
      </c>
      <c r="AJ1188" s="18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customFormat="1" x14ac:dyDescent="0.25">
      <c r="A1189" s="10">
        <v>23</v>
      </c>
      <c r="B1189" s="30"/>
      <c r="C1189" s="57"/>
      <c r="D1189" s="32"/>
      <c r="E1189" s="32"/>
      <c r="F1189" s="32"/>
      <c r="G1189" s="32">
        <f t="shared" si="313"/>
        <v>0</v>
      </c>
      <c r="H1189" s="10"/>
      <c r="I1189" s="10"/>
      <c r="J1189" s="12"/>
      <c r="K1189" s="12">
        <f t="shared" si="314"/>
        <v>0</v>
      </c>
      <c r="L1189" s="18"/>
      <c r="M1189" s="10">
        <v>23</v>
      </c>
      <c r="N1189" s="30" t="s">
        <v>102</v>
      </c>
      <c r="O1189" s="31">
        <f t="shared" si="320"/>
        <v>7449</v>
      </c>
      <c r="P1189" s="47">
        <f>2504+596+832+47.5</f>
        <v>3979.5</v>
      </c>
      <c r="Q1189" s="31"/>
      <c r="S1189" s="32">
        <f t="shared" si="315"/>
        <v>3979.5</v>
      </c>
      <c r="T1189" s="10"/>
      <c r="U1189" s="10"/>
      <c r="V1189" s="10"/>
      <c r="W1189" s="12">
        <f t="shared" si="316"/>
        <v>3979.5</v>
      </c>
      <c r="X1189" s="18"/>
      <c r="Y1189" s="10">
        <v>23</v>
      </c>
      <c r="Z1189" s="30"/>
      <c r="AA1189" s="31"/>
      <c r="AB1189" s="47"/>
      <c r="AC1189" s="31"/>
      <c r="AE1189" s="32">
        <f t="shared" si="317"/>
        <v>0</v>
      </c>
      <c r="AF1189" s="10"/>
      <c r="AG1189" s="10"/>
      <c r="AH1189" s="10"/>
      <c r="AI1189" s="12">
        <f t="shared" si="318"/>
        <v>0</v>
      </c>
      <c r="AJ1189" s="18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customFormat="1" x14ac:dyDescent="0.25">
      <c r="A1190" s="10">
        <v>24</v>
      </c>
      <c r="B1190" s="30"/>
      <c r="C1190" s="88"/>
      <c r="D1190" s="32"/>
      <c r="E1190" s="32"/>
      <c r="F1190" s="32"/>
      <c r="G1190" s="32">
        <f t="shared" si="313"/>
        <v>0</v>
      </c>
      <c r="H1190" s="10"/>
      <c r="I1190" s="10"/>
      <c r="J1190" s="10"/>
      <c r="K1190" s="12">
        <f t="shared" si="314"/>
        <v>0</v>
      </c>
      <c r="L1190" s="18"/>
      <c r="M1190" s="10">
        <v>24</v>
      </c>
      <c r="N1190" s="30" t="s">
        <v>102</v>
      </c>
      <c r="O1190" s="31">
        <f t="shared" si="320"/>
        <v>7450</v>
      </c>
      <c r="P1190" s="47">
        <f>3130+614+1192+66.5</f>
        <v>5002.5</v>
      </c>
      <c r="Q1190" s="31"/>
      <c r="R1190" s="31"/>
      <c r="S1190" s="32">
        <f t="shared" si="315"/>
        <v>5002.5</v>
      </c>
      <c r="T1190" s="10"/>
      <c r="U1190" s="10">
        <f>40.5</f>
        <v>40.5</v>
      </c>
      <c r="V1190" s="10"/>
      <c r="W1190" s="12">
        <f t="shared" si="316"/>
        <v>5043</v>
      </c>
      <c r="X1190" s="18"/>
      <c r="Y1190" s="10">
        <v>24</v>
      </c>
      <c r="Z1190" s="30"/>
      <c r="AA1190" s="31"/>
      <c r="AB1190" s="47"/>
      <c r="AC1190" s="31"/>
      <c r="AD1190" s="31"/>
      <c r="AE1190" s="32">
        <f t="shared" si="317"/>
        <v>0</v>
      </c>
      <c r="AF1190" s="10"/>
      <c r="AG1190" s="10"/>
      <c r="AH1190" s="10"/>
      <c r="AI1190" s="12">
        <f t="shared" si="318"/>
        <v>0</v>
      </c>
      <c r="AJ1190" s="18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customFormat="1" x14ac:dyDescent="0.25">
      <c r="A1191" s="10">
        <v>25</v>
      </c>
      <c r="B1191" s="30"/>
      <c r="C1191" s="88"/>
      <c r="D1191" s="32"/>
      <c r="E1191" s="32"/>
      <c r="F1191" s="32"/>
      <c r="G1191" s="32">
        <f t="shared" si="313"/>
        <v>0</v>
      </c>
      <c r="H1191" s="10"/>
      <c r="I1191" s="10"/>
      <c r="J1191" s="10"/>
      <c r="K1191" s="12">
        <f t="shared" si="314"/>
        <v>0</v>
      </c>
      <c r="L1191" s="18"/>
      <c r="M1191" s="10">
        <v>25</v>
      </c>
      <c r="N1191" s="30"/>
      <c r="O1191" s="11" t="s">
        <v>27</v>
      </c>
      <c r="P1191" s="47"/>
      <c r="Q1191" s="31"/>
      <c r="R1191" s="31"/>
      <c r="S1191" s="32">
        <f t="shared" si="315"/>
        <v>0</v>
      </c>
      <c r="T1191" s="10"/>
      <c r="U1191" s="10"/>
      <c r="V1191" s="10"/>
      <c r="W1191" s="12">
        <f t="shared" si="316"/>
        <v>0</v>
      </c>
      <c r="X1191" s="18"/>
      <c r="Y1191" s="10">
        <v>25</v>
      </c>
      <c r="Z1191" s="30"/>
      <c r="AA1191" s="31"/>
      <c r="AB1191" s="47"/>
      <c r="AC1191" s="31"/>
      <c r="AD1191" s="31"/>
      <c r="AE1191" s="32">
        <f t="shared" si="317"/>
        <v>0</v>
      </c>
      <c r="AF1191" s="10"/>
      <c r="AG1191" s="10"/>
      <c r="AH1191" s="10"/>
      <c r="AI1191" s="12">
        <f t="shared" si="318"/>
        <v>0</v>
      </c>
      <c r="AJ1191" s="18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customFormat="1" x14ac:dyDescent="0.25">
      <c r="A1192" s="10">
        <v>26</v>
      </c>
      <c r="B1192" s="30"/>
      <c r="C1192" s="88"/>
      <c r="D1192" s="32"/>
      <c r="E1192" s="32"/>
      <c r="F1192" s="32"/>
      <c r="G1192" s="32">
        <f t="shared" si="313"/>
        <v>0</v>
      </c>
      <c r="H1192" s="10"/>
      <c r="I1192" s="10"/>
      <c r="J1192" s="10"/>
      <c r="K1192" s="12">
        <f t="shared" si="314"/>
        <v>0</v>
      </c>
      <c r="L1192" s="18"/>
      <c r="M1192" s="10">
        <v>26</v>
      </c>
      <c r="N1192" s="30"/>
      <c r="O1192" s="31"/>
      <c r="P1192" s="47"/>
      <c r="Q1192" s="31"/>
      <c r="R1192" s="31"/>
      <c r="S1192" s="32">
        <f t="shared" si="315"/>
        <v>0</v>
      </c>
      <c r="T1192" s="10"/>
      <c r="U1192" s="10"/>
      <c r="V1192" s="10"/>
      <c r="W1192" s="12">
        <f t="shared" si="316"/>
        <v>0</v>
      </c>
      <c r="X1192" s="18"/>
      <c r="Y1192" s="10">
        <v>26</v>
      </c>
      <c r="Z1192" s="30"/>
      <c r="AA1192" s="31"/>
      <c r="AB1192" s="47"/>
      <c r="AC1192" s="31"/>
      <c r="AD1192" s="31"/>
      <c r="AE1192" s="32">
        <f t="shared" si="317"/>
        <v>0</v>
      </c>
      <c r="AF1192" s="10"/>
      <c r="AG1192" s="10"/>
      <c r="AH1192" s="10"/>
      <c r="AI1192" s="12">
        <f t="shared" si="318"/>
        <v>0</v>
      </c>
      <c r="AJ1192" s="18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customFormat="1" x14ac:dyDescent="0.25">
      <c r="A1193" s="10">
        <v>27</v>
      </c>
      <c r="B1193" s="30"/>
      <c r="C1193" s="88"/>
      <c r="D1193" s="32"/>
      <c r="E1193" s="32"/>
      <c r="F1193" s="32"/>
      <c r="G1193" s="32">
        <f t="shared" si="313"/>
        <v>0</v>
      </c>
      <c r="H1193" s="10"/>
      <c r="I1193" s="10"/>
      <c r="J1193" s="10"/>
      <c r="K1193" s="12">
        <f t="shared" si="314"/>
        <v>0</v>
      </c>
      <c r="L1193" s="18"/>
      <c r="M1193" s="10">
        <v>27</v>
      </c>
      <c r="N1193" s="30"/>
      <c r="O1193" s="31"/>
      <c r="P1193" s="47"/>
      <c r="Q1193" s="31"/>
      <c r="R1193" s="31"/>
      <c r="S1193" s="32">
        <f t="shared" si="315"/>
        <v>0</v>
      </c>
      <c r="T1193" s="10"/>
      <c r="U1193" s="10"/>
      <c r="V1193" s="10"/>
      <c r="W1193" s="12">
        <f t="shared" si="316"/>
        <v>0</v>
      </c>
      <c r="X1193" s="18"/>
      <c r="Y1193" s="10">
        <v>27</v>
      </c>
      <c r="Z1193" s="30"/>
      <c r="AA1193" s="31"/>
      <c r="AB1193" s="47"/>
      <c r="AC1193" s="31"/>
      <c r="AD1193" s="31"/>
      <c r="AE1193" s="32">
        <f t="shared" si="317"/>
        <v>0</v>
      </c>
      <c r="AF1193" s="10"/>
      <c r="AG1193" s="10"/>
      <c r="AH1193" s="10"/>
      <c r="AI1193" s="12">
        <f t="shared" si="318"/>
        <v>0</v>
      </c>
      <c r="AJ1193" s="18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customFormat="1" x14ac:dyDescent="0.25">
      <c r="A1194" s="10">
        <v>28</v>
      </c>
      <c r="B1194" s="30"/>
      <c r="C1194" s="88"/>
      <c r="D1194" s="32"/>
      <c r="E1194" s="32"/>
      <c r="F1194" s="32"/>
      <c r="G1194" s="32">
        <f t="shared" si="313"/>
        <v>0</v>
      </c>
      <c r="H1194" s="10"/>
      <c r="I1194" s="10"/>
      <c r="J1194" s="10"/>
      <c r="K1194" s="12">
        <f t="shared" si="314"/>
        <v>0</v>
      </c>
      <c r="L1194" s="18"/>
      <c r="M1194" s="10">
        <v>28</v>
      </c>
      <c r="N1194" s="30"/>
      <c r="O1194" s="31"/>
      <c r="P1194" s="47"/>
      <c r="Q1194" s="31"/>
      <c r="R1194" s="31"/>
      <c r="S1194" s="32">
        <f t="shared" si="315"/>
        <v>0</v>
      </c>
      <c r="T1194" s="10"/>
      <c r="U1194" s="10"/>
      <c r="V1194" s="10"/>
      <c r="W1194" s="12">
        <f t="shared" si="316"/>
        <v>0</v>
      </c>
      <c r="X1194" s="18"/>
      <c r="Y1194" s="10">
        <v>28</v>
      </c>
      <c r="Z1194" s="30"/>
      <c r="AA1194" s="31"/>
      <c r="AB1194" s="47"/>
      <c r="AC1194" s="31"/>
      <c r="AD1194" s="31"/>
      <c r="AE1194" s="32">
        <f t="shared" si="317"/>
        <v>0</v>
      </c>
      <c r="AF1194" s="10"/>
      <c r="AG1194" s="10"/>
      <c r="AH1194" s="10"/>
      <c r="AI1194" s="12">
        <f t="shared" si="318"/>
        <v>0</v>
      </c>
      <c r="AJ1194" s="18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customFormat="1" x14ac:dyDescent="0.25">
      <c r="A1195" s="10">
        <v>29</v>
      </c>
      <c r="B1195" s="30"/>
      <c r="C1195" s="88"/>
      <c r="D1195" s="32"/>
      <c r="E1195" s="32"/>
      <c r="F1195" s="32"/>
      <c r="G1195" s="32">
        <f t="shared" si="313"/>
        <v>0</v>
      </c>
      <c r="H1195" s="10"/>
      <c r="I1195" s="10"/>
      <c r="J1195" s="10"/>
      <c r="K1195" s="12">
        <f t="shared" si="314"/>
        <v>0</v>
      </c>
      <c r="L1195" s="18"/>
      <c r="M1195" s="10">
        <v>29</v>
      </c>
      <c r="N1195" s="30"/>
      <c r="O1195" s="31"/>
      <c r="P1195" s="47"/>
      <c r="Q1195" s="31"/>
      <c r="R1195" s="31"/>
      <c r="S1195" s="32">
        <f t="shared" si="315"/>
        <v>0</v>
      </c>
      <c r="T1195" s="10"/>
      <c r="U1195" s="10"/>
      <c r="V1195" s="10"/>
      <c r="W1195" s="12">
        <f t="shared" si="316"/>
        <v>0</v>
      </c>
      <c r="X1195" s="18"/>
      <c r="Y1195" s="10">
        <v>29</v>
      </c>
      <c r="Z1195" s="30"/>
      <c r="AA1195" s="31"/>
      <c r="AB1195" s="47"/>
      <c r="AC1195" s="31"/>
      <c r="AD1195" s="31"/>
      <c r="AE1195" s="32">
        <f t="shared" si="317"/>
        <v>0</v>
      </c>
      <c r="AF1195" s="10"/>
      <c r="AG1195" s="10"/>
      <c r="AH1195" s="10"/>
      <c r="AI1195" s="12">
        <f t="shared" si="318"/>
        <v>0</v>
      </c>
      <c r="AJ1195" s="18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customFormat="1" x14ac:dyDescent="0.25">
      <c r="A1196" s="10">
        <v>30</v>
      </c>
      <c r="B1196" s="30"/>
      <c r="C1196" s="57"/>
      <c r="D1196" s="32"/>
      <c r="E1196" s="32"/>
      <c r="F1196" s="32"/>
      <c r="G1196" s="32">
        <f t="shared" si="313"/>
        <v>0</v>
      </c>
      <c r="H1196" s="10"/>
      <c r="I1196" s="10"/>
      <c r="J1196" s="10"/>
      <c r="K1196" s="12">
        <f t="shared" si="314"/>
        <v>0</v>
      </c>
      <c r="L1196" s="18"/>
      <c r="M1196" s="10">
        <v>30</v>
      </c>
      <c r="N1196" s="30"/>
      <c r="P1196" s="47"/>
      <c r="Q1196" s="31"/>
      <c r="R1196" s="31"/>
      <c r="S1196" s="32">
        <f t="shared" si="315"/>
        <v>0</v>
      </c>
      <c r="T1196" s="10"/>
      <c r="U1196" s="10"/>
      <c r="V1196" s="10"/>
      <c r="W1196" s="12">
        <f t="shared" si="316"/>
        <v>0</v>
      </c>
      <c r="X1196" s="18"/>
      <c r="Y1196" s="10">
        <v>30</v>
      </c>
      <c r="Z1196" s="30"/>
      <c r="AA1196" s="31"/>
      <c r="AB1196" s="47"/>
      <c r="AC1196" s="31"/>
      <c r="AD1196" s="31"/>
      <c r="AE1196" s="32">
        <f t="shared" si="317"/>
        <v>0</v>
      </c>
      <c r="AF1196" s="10"/>
      <c r="AG1196" s="10"/>
      <c r="AH1196" s="10"/>
      <c r="AI1196" s="12">
        <f t="shared" si="318"/>
        <v>0</v>
      </c>
      <c r="AJ1196" s="18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customFormat="1" x14ac:dyDescent="0.25">
      <c r="A1197" s="10">
        <v>31</v>
      </c>
      <c r="B1197" s="30"/>
      <c r="C1197" s="88"/>
      <c r="D1197" s="32"/>
      <c r="E1197" s="32"/>
      <c r="F1197" s="32"/>
      <c r="G1197" s="32">
        <f t="shared" si="313"/>
        <v>0</v>
      </c>
      <c r="H1197" s="10"/>
      <c r="I1197" s="10"/>
      <c r="J1197" s="10"/>
      <c r="K1197" s="12">
        <f t="shared" si="314"/>
        <v>0</v>
      </c>
      <c r="L1197" s="18"/>
      <c r="M1197" s="10">
        <v>31</v>
      </c>
      <c r="N1197" s="30"/>
      <c r="P1197" s="47"/>
      <c r="Q1197" s="31"/>
      <c r="R1197" s="31"/>
      <c r="S1197" s="32">
        <f t="shared" si="315"/>
        <v>0</v>
      </c>
      <c r="T1197" s="10"/>
      <c r="U1197" s="10"/>
      <c r="V1197" s="10"/>
      <c r="W1197" s="12">
        <f t="shared" si="316"/>
        <v>0</v>
      </c>
      <c r="X1197" s="18"/>
      <c r="Y1197" s="10">
        <v>31</v>
      </c>
      <c r="Z1197" s="30"/>
      <c r="AB1197" s="47"/>
      <c r="AC1197" s="31"/>
      <c r="AD1197" s="31"/>
      <c r="AE1197" s="32">
        <f t="shared" si="317"/>
        <v>0</v>
      </c>
      <c r="AF1197" s="10"/>
      <c r="AG1197" s="10"/>
      <c r="AH1197" s="10"/>
      <c r="AI1197" s="12">
        <f t="shared" si="318"/>
        <v>0</v>
      </c>
      <c r="AJ1197" s="18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customFormat="1" x14ac:dyDescent="0.25">
      <c r="A1198" s="10">
        <v>32</v>
      </c>
      <c r="B1198" s="30"/>
      <c r="C1198" s="88"/>
      <c r="D1198" s="32"/>
      <c r="E1198" s="32"/>
      <c r="F1198" s="32"/>
      <c r="G1198" s="32">
        <f t="shared" si="313"/>
        <v>0</v>
      </c>
      <c r="H1198" s="10"/>
      <c r="I1198" s="10"/>
      <c r="J1198" s="10"/>
      <c r="K1198" s="12">
        <f t="shared" si="314"/>
        <v>0</v>
      </c>
      <c r="L1198" s="18"/>
      <c r="M1198" s="10">
        <v>32</v>
      </c>
      <c r="N1198" s="30"/>
      <c r="O1198" s="31"/>
      <c r="P1198" s="47"/>
      <c r="Q1198" s="31"/>
      <c r="R1198" s="31"/>
      <c r="S1198" s="32">
        <f t="shared" si="315"/>
        <v>0</v>
      </c>
      <c r="T1198" s="10"/>
      <c r="U1198" s="10"/>
      <c r="V1198" s="10"/>
      <c r="W1198" s="12">
        <f t="shared" si="316"/>
        <v>0</v>
      </c>
      <c r="X1198" s="18"/>
      <c r="Y1198" s="10">
        <v>32</v>
      </c>
      <c r="Z1198" s="30"/>
      <c r="AA1198" s="31"/>
      <c r="AB1198" s="47"/>
      <c r="AC1198" s="31"/>
      <c r="AD1198" s="31"/>
      <c r="AE1198" s="32">
        <f t="shared" si="317"/>
        <v>0</v>
      </c>
      <c r="AF1198" s="10"/>
      <c r="AG1198" s="10"/>
      <c r="AH1198" s="10"/>
      <c r="AI1198" s="12">
        <f t="shared" si="318"/>
        <v>0</v>
      </c>
      <c r="AJ1198" s="18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customFormat="1" x14ac:dyDescent="0.25">
      <c r="A1199" s="10">
        <v>33</v>
      </c>
      <c r="B1199" s="30"/>
      <c r="C1199" s="88"/>
      <c r="D1199" s="32"/>
      <c r="E1199" s="32"/>
      <c r="F1199" s="32"/>
      <c r="G1199" s="32">
        <f t="shared" si="313"/>
        <v>0</v>
      </c>
      <c r="H1199" s="10"/>
      <c r="I1199" s="10"/>
      <c r="J1199" s="10"/>
      <c r="K1199" s="12">
        <f t="shared" si="314"/>
        <v>0</v>
      </c>
      <c r="L1199" s="18"/>
      <c r="M1199" s="10">
        <v>33</v>
      </c>
      <c r="N1199" s="30"/>
      <c r="O1199" s="31"/>
      <c r="P1199" s="47"/>
      <c r="Q1199" s="31"/>
      <c r="R1199" s="31"/>
      <c r="S1199" s="32">
        <f t="shared" si="315"/>
        <v>0</v>
      </c>
      <c r="T1199" s="10"/>
      <c r="U1199" s="10"/>
      <c r="V1199" s="10"/>
      <c r="W1199" s="12">
        <f t="shared" si="316"/>
        <v>0</v>
      </c>
      <c r="X1199" s="18"/>
      <c r="Y1199" s="10">
        <v>33</v>
      </c>
      <c r="Z1199" s="30"/>
      <c r="AA1199" s="31"/>
      <c r="AB1199" s="47"/>
      <c r="AC1199" s="31"/>
      <c r="AD1199" s="31"/>
      <c r="AE1199" s="32">
        <f t="shared" si="317"/>
        <v>0</v>
      </c>
      <c r="AF1199" s="10"/>
      <c r="AG1199" s="10"/>
      <c r="AH1199" s="10"/>
      <c r="AI1199" s="12">
        <f t="shared" si="318"/>
        <v>0</v>
      </c>
      <c r="AJ1199" s="18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customFormat="1" x14ac:dyDescent="0.25">
      <c r="A1200" s="10"/>
      <c r="B1200" s="30"/>
      <c r="C1200" s="88"/>
      <c r="D1200" s="32"/>
      <c r="E1200" s="32"/>
      <c r="F1200" s="32"/>
      <c r="G1200" s="32">
        <f t="shared" si="313"/>
        <v>0</v>
      </c>
      <c r="H1200" s="10"/>
      <c r="I1200" s="10"/>
      <c r="J1200" s="10"/>
      <c r="K1200" s="12">
        <f t="shared" si="314"/>
        <v>0</v>
      </c>
      <c r="L1200" s="18"/>
      <c r="M1200" s="10">
        <v>34</v>
      </c>
      <c r="N1200" s="30"/>
      <c r="P1200" s="47"/>
      <c r="Q1200" s="31"/>
      <c r="R1200" s="31"/>
      <c r="S1200" s="32">
        <f t="shared" si="315"/>
        <v>0</v>
      </c>
      <c r="T1200" s="10"/>
      <c r="U1200" s="10"/>
      <c r="V1200" s="10"/>
      <c r="W1200" s="12">
        <f t="shared" si="316"/>
        <v>0</v>
      </c>
      <c r="X1200" s="18"/>
      <c r="Y1200" s="10">
        <v>34</v>
      </c>
      <c r="Z1200" s="30"/>
      <c r="AB1200" s="47"/>
      <c r="AC1200" s="31"/>
      <c r="AD1200" s="31"/>
      <c r="AE1200" s="32">
        <f t="shared" si="317"/>
        <v>0</v>
      </c>
      <c r="AF1200" s="10"/>
      <c r="AG1200" s="10"/>
      <c r="AH1200" s="10"/>
      <c r="AI1200" s="12">
        <f t="shared" si="318"/>
        <v>0</v>
      </c>
      <c r="AJ1200" s="18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customFormat="1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L1201" s="18"/>
      <c r="M1201" s="10">
        <v>35</v>
      </c>
      <c r="N1201" s="30"/>
      <c r="O1201" s="31"/>
      <c r="P1201" s="47"/>
      <c r="Q1201" s="31"/>
      <c r="R1201" s="31"/>
      <c r="S1201" s="32">
        <f t="shared" si="315"/>
        <v>0</v>
      </c>
      <c r="T1201" s="10"/>
      <c r="U1201" s="10"/>
      <c r="V1201" s="10"/>
      <c r="W1201" s="12">
        <f t="shared" si="316"/>
        <v>0</v>
      </c>
      <c r="X1201" s="18"/>
      <c r="Y1201" s="10">
        <v>35</v>
      </c>
      <c r="Z1201" s="30"/>
      <c r="AA1201" s="31"/>
      <c r="AB1201" s="47"/>
      <c r="AC1201" s="31"/>
      <c r="AD1201" s="31"/>
      <c r="AE1201" s="32">
        <f t="shared" si="317"/>
        <v>0</v>
      </c>
      <c r="AF1201" s="10"/>
      <c r="AG1201" s="10"/>
      <c r="AH1201" s="10"/>
      <c r="AI1201" s="12">
        <f t="shared" si="318"/>
        <v>0</v>
      </c>
      <c r="AJ1201" s="18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customFormat="1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L1202" s="18"/>
      <c r="M1202" s="10">
        <v>36</v>
      </c>
      <c r="N1202" s="30"/>
      <c r="O1202" s="31"/>
      <c r="P1202" s="47"/>
      <c r="Q1202" s="31"/>
      <c r="R1202" s="31"/>
      <c r="S1202" s="32">
        <f t="shared" si="315"/>
        <v>0</v>
      </c>
      <c r="T1202" s="10"/>
      <c r="U1202" s="10"/>
      <c r="V1202" s="10"/>
      <c r="W1202" s="12">
        <f t="shared" si="316"/>
        <v>0</v>
      </c>
      <c r="X1202" s="18"/>
      <c r="Y1202" s="10">
        <v>36</v>
      </c>
      <c r="Z1202" s="30"/>
      <c r="AA1202" s="31"/>
      <c r="AB1202" s="47"/>
      <c r="AC1202" s="31"/>
      <c r="AD1202" s="31"/>
      <c r="AE1202" s="32">
        <f t="shared" si="317"/>
        <v>0</v>
      </c>
      <c r="AF1202" s="10"/>
      <c r="AG1202" s="10"/>
      <c r="AH1202" s="10"/>
      <c r="AI1202" s="12">
        <f t="shared" si="318"/>
        <v>0</v>
      </c>
      <c r="AJ1202" s="18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customFormat="1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L1203" s="18"/>
      <c r="M1203" s="10">
        <v>37</v>
      </c>
      <c r="N1203" s="30"/>
      <c r="P1203" s="47"/>
      <c r="Q1203" s="31"/>
      <c r="R1203" s="31"/>
      <c r="S1203" s="32">
        <f t="shared" si="315"/>
        <v>0</v>
      </c>
      <c r="T1203" s="10"/>
      <c r="U1203" s="10"/>
      <c r="V1203" s="10"/>
      <c r="W1203" s="12">
        <f t="shared" si="316"/>
        <v>0</v>
      </c>
      <c r="X1203" s="18"/>
      <c r="Y1203" s="10">
        <v>37</v>
      </c>
      <c r="Z1203" s="30"/>
      <c r="AA1203" s="31"/>
      <c r="AB1203" s="47"/>
      <c r="AC1203" s="31"/>
      <c r="AD1203" s="31"/>
      <c r="AE1203" s="32">
        <f t="shared" si="317"/>
        <v>0</v>
      </c>
      <c r="AF1203" s="10"/>
      <c r="AG1203" s="10"/>
      <c r="AH1203" s="10"/>
      <c r="AI1203" s="12">
        <f t="shared" si="318"/>
        <v>0</v>
      </c>
      <c r="AJ1203" s="18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customFormat="1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L1204" s="18"/>
      <c r="M1204" s="10">
        <v>38</v>
      </c>
      <c r="N1204" s="30"/>
      <c r="O1204" s="31"/>
      <c r="P1204" s="47"/>
      <c r="Q1204" s="31"/>
      <c r="R1204" s="31"/>
      <c r="S1204" s="32">
        <f t="shared" si="315"/>
        <v>0</v>
      </c>
      <c r="T1204" s="10"/>
      <c r="U1204" s="10"/>
      <c r="V1204" s="10"/>
      <c r="W1204" s="12">
        <f t="shared" si="316"/>
        <v>0</v>
      </c>
      <c r="X1204" s="18"/>
      <c r="Y1204" s="10">
        <v>38</v>
      </c>
      <c r="Z1204" s="30"/>
      <c r="AA1204" s="31"/>
      <c r="AB1204" s="47"/>
      <c r="AC1204" s="31"/>
      <c r="AD1204" s="31"/>
      <c r="AE1204" s="32">
        <f t="shared" si="317"/>
        <v>0</v>
      </c>
      <c r="AF1204" s="10"/>
      <c r="AG1204" s="10"/>
      <c r="AH1204" s="10"/>
      <c r="AI1204" s="12">
        <f t="shared" si="318"/>
        <v>0</v>
      </c>
      <c r="AJ1204" s="18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customFormat="1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L1205" s="18"/>
      <c r="M1205" s="10">
        <v>39</v>
      </c>
      <c r="N1205" s="30"/>
      <c r="O1205" s="31"/>
      <c r="P1205" s="47"/>
      <c r="Q1205" s="31"/>
      <c r="R1205" s="31"/>
      <c r="S1205" s="32">
        <f t="shared" si="315"/>
        <v>0</v>
      </c>
      <c r="T1205" s="10"/>
      <c r="U1205" s="10"/>
      <c r="V1205" s="10"/>
      <c r="W1205" s="12">
        <f t="shared" si="316"/>
        <v>0</v>
      </c>
      <c r="X1205" s="18"/>
      <c r="Y1205" s="10">
        <v>39</v>
      </c>
      <c r="Z1205" s="30"/>
      <c r="AA1205" s="31"/>
      <c r="AB1205" s="47"/>
      <c r="AC1205" s="31"/>
      <c r="AD1205" s="31"/>
      <c r="AE1205" s="32">
        <f t="shared" si="317"/>
        <v>0</v>
      </c>
      <c r="AF1205" s="10"/>
      <c r="AG1205" s="10"/>
      <c r="AH1205" s="10"/>
      <c r="AI1205" s="12">
        <f t="shared" si="318"/>
        <v>0</v>
      </c>
      <c r="AJ1205" s="18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customFormat="1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L1206" s="18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16"/>
        <v>0</v>
      </c>
      <c r="X1206" s="18"/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18"/>
        <v>0</v>
      </c>
      <c r="AJ1206" s="18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customFormat="1" x14ac:dyDescent="0.25">
      <c r="A1207" s="10"/>
      <c r="B1207" s="30"/>
      <c r="C1207" s="31"/>
      <c r="D1207" s="32"/>
      <c r="E1207" s="32"/>
      <c r="F1207" s="32"/>
      <c r="G1207" s="32">
        <f t="shared" ref="G1207" si="322">SUM(D1207:E1207)</f>
        <v>0</v>
      </c>
      <c r="H1207" s="10"/>
      <c r="I1207" s="10"/>
      <c r="J1207" s="10"/>
      <c r="K1207" s="12">
        <f t="shared" ref="K1207" si="323">SUM(G1207:J1207)</f>
        <v>0</v>
      </c>
      <c r="L1207" s="18"/>
      <c r="M1207" s="10"/>
      <c r="N1207" s="30"/>
      <c r="O1207" s="31"/>
      <c r="P1207" s="47"/>
      <c r="Q1207" s="31"/>
      <c r="R1207" s="31"/>
      <c r="S1207" s="32">
        <f t="shared" ref="S1207" si="324">SUM(P1207:Q1207)</f>
        <v>0</v>
      </c>
      <c r="T1207" s="10"/>
      <c r="U1207" s="10"/>
      <c r="V1207" s="10"/>
      <c r="W1207" s="12">
        <f t="shared" si="316"/>
        <v>0</v>
      </c>
      <c r="X1207" s="18"/>
      <c r="Y1207" s="10"/>
      <c r="Z1207" s="30"/>
      <c r="AA1207" s="31"/>
      <c r="AB1207" s="47"/>
      <c r="AC1207" s="31"/>
      <c r="AD1207" s="31"/>
      <c r="AE1207" s="32">
        <f t="shared" ref="AE1207" si="325">SUM(AB1207:AC1207)</f>
        <v>0</v>
      </c>
      <c r="AF1207" s="10"/>
      <c r="AG1207" s="10"/>
      <c r="AH1207" s="10"/>
      <c r="AI1207" s="12">
        <f t="shared" si="318"/>
        <v>0</v>
      </c>
      <c r="AJ1207" s="18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customFormat="1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L1208" s="18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16"/>
        <v>0</v>
      </c>
      <c r="X1208" s="18"/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18"/>
        <v>0</v>
      </c>
      <c r="AJ1208" s="18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customFormat="1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L1209" s="18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X1209" s="18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J1209" s="18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customFormat="1" x14ac:dyDescent="0.25">
      <c r="B1210" s="57"/>
      <c r="C1210" s="57"/>
      <c r="D1210" s="38">
        <f>SUM(D1167:D1209)</f>
        <v>252922</v>
      </c>
      <c r="E1210" s="38">
        <f t="shared" ref="E1210:F1210" si="326">SUM(E1167:E1207)</f>
        <v>-3033</v>
      </c>
      <c r="F1210" s="38">
        <f t="shared" si="326"/>
        <v>0</v>
      </c>
      <c r="G1210" s="38">
        <f>SUM(G1167:G1209)</f>
        <v>249889</v>
      </c>
      <c r="H1210" s="4"/>
      <c r="I1210" s="39">
        <f>SUM(I1167:I1209)</f>
        <v>195</v>
      </c>
      <c r="J1210" s="39">
        <f>SUM(J1167:J1209)</f>
        <v>-38337</v>
      </c>
      <c r="K1210" s="40">
        <f>SUM(K1167:K1209)</f>
        <v>211747</v>
      </c>
      <c r="L1210" s="18"/>
      <c r="N1210" s="57"/>
      <c r="O1210" s="57"/>
      <c r="P1210" s="38">
        <f>SUM(P1167:P1209)</f>
        <v>132687.5</v>
      </c>
      <c r="Q1210" s="38">
        <f>SUM(Q1167:Q1191)</f>
        <v>0</v>
      </c>
      <c r="R1210" s="38">
        <f>SUM(R1167:R1191)</f>
        <v>0</v>
      </c>
      <c r="S1210" s="38">
        <f>SUM(S1167:S1209)</f>
        <v>132687.5</v>
      </c>
      <c r="T1210" s="4"/>
      <c r="U1210" s="41">
        <f>SUM(U1167:U1209)</f>
        <v>81</v>
      </c>
      <c r="V1210" s="41">
        <f>SUM(V1167:V1191)</f>
        <v>0</v>
      </c>
      <c r="W1210" s="42">
        <f>SUM(W1167:W1209)</f>
        <v>132768.5</v>
      </c>
      <c r="X1210" s="18"/>
      <c r="Z1210" s="57"/>
      <c r="AA1210" s="57"/>
      <c r="AB1210" s="38">
        <f>SUM(AB1167:AB1209)</f>
        <v>222198</v>
      </c>
      <c r="AC1210" s="38">
        <f>SUM(AC1167:AC1191)</f>
        <v>-1776</v>
      </c>
      <c r="AD1210" s="38">
        <f>SUM(AD1167:AD1191)</f>
        <v>0</v>
      </c>
      <c r="AE1210" s="38">
        <f>SUM(AE1167:AE1209)</f>
        <v>220422</v>
      </c>
      <c r="AF1210" s="4"/>
      <c r="AG1210" s="41">
        <f>SUM(AG1167:AG1209)</f>
        <v>108</v>
      </c>
      <c r="AH1210" s="41">
        <f>SUM(AH1167:AH1191)</f>
        <v>-1644</v>
      </c>
      <c r="AI1210" s="42">
        <f>SUM(AI1167:AI1209)</f>
        <v>218886</v>
      </c>
      <c r="AJ1210" s="18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customFormat="1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J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customFormat="1" x14ac:dyDescent="0.25">
      <c r="A1212" t="s">
        <v>0</v>
      </c>
      <c r="B1212" s="57"/>
      <c r="C1212" s="57"/>
      <c r="D1212" s="57"/>
      <c r="E1212" s="57"/>
      <c r="F1212" s="57"/>
      <c r="G1212" s="57"/>
      <c r="L1212" s="18"/>
      <c r="M1212" t="s">
        <v>0</v>
      </c>
      <c r="N1212" s="57"/>
      <c r="O1212" s="57"/>
      <c r="P1212" s="57"/>
      <c r="Q1212" s="57"/>
      <c r="R1212" s="57"/>
      <c r="S1212" s="57"/>
      <c r="X1212" s="18"/>
      <c r="Y1212" t="s">
        <v>0</v>
      </c>
      <c r="Z1212" s="57"/>
      <c r="AA1212" s="57"/>
      <c r="AB1212" s="57"/>
      <c r="AC1212" s="57"/>
      <c r="AD1212" s="57"/>
      <c r="AE1212" s="57"/>
      <c r="AJ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customFormat="1" x14ac:dyDescent="0.25">
      <c r="A1213" t="s">
        <v>28</v>
      </c>
      <c r="B1213" s="57"/>
      <c r="C1213" s="57"/>
      <c r="D1213" s="57"/>
      <c r="E1213" s="57"/>
      <c r="F1213" s="57"/>
      <c r="G1213" s="57"/>
      <c r="L1213" s="18"/>
      <c r="M1213" t="s">
        <v>28</v>
      </c>
      <c r="N1213" s="57"/>
      <c r="O1213" s="57"/>
      <c r="P1213" s="57"/>
      <c r="Q1213" s="57"/>
      <c r="R1213" s="57"/>
      <c r="S1213" s="57"/>
      <c r="X1213" s="18"/>
      <c r="Y1213" t="s">
        <v>28</v>
      </c>
      <c r="Z1213" s="57"/>
      <c r="AA1213" s="57"/>
      <c r="AB1213" s="57"/>
      <c r="AC1213" s="57"/>
      <c r="AD1213" s="57"/>
      <c r="AE1213" s="57"/>
      <c r="AJ1213" s="18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customFormat="1" x14ac:dyDescent="0.25">
      <c r="B1214" s="57"/>
      <c r="C1214" s="57"/>
      <c r="D1214" s="57"/>
      <c r="E1214" s="57"/>
      <c r="F1214" s="57"/>
      <c r="G1214" s="57"/>
      <c r="L1214" s="18"/>
      <c r="N1214" s="57"/>
      <c r="O1214" s="57"/>
      <c r="P1214" s="57"/>
      <c r="Q1214" s="57"/>
      <c r="R1214" s="57"/>
      <c r="S1214" s="57"/>
      <c r="X1214" s="18"/>
      <c r="Z1214" s="57"/>
      <c r="AA1214" s="57"/>
      <c r="AB1214" s="57"/>
      <c r="AC1214" s="57"/>
      <c r="AD1214" s="57"/>
      <c r="AE1214" s="57"/>
      <c r="AJ1214" s="18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customFormat="1" x14ac:dyDescent="0.25">
      <c r="A1215" s="4" t="s">
        <v>14</v>
      </c>
      <c r="B1215" s="57"/>
      <c r="C1215" s="57"/>
      <c r="D1215" s="57"/>
      <c r="E1215" s="57"/>
      <c r="F1215" s="57"/>
      <c r="G1215" s="57"/>
      <c r="L1215" s="18"/>
      <c r="M1215" s="4" t="s">
        <v>14</v>
      </c>
      <c r="N1215" s="57"/>
      <c r="O1215" s="57"/>
      <c r="P1215" s="57"/>
      <c r="Q1215" s="57"/>
      <c r="R1215" s="57"/>
      <c r="S1215" s="57"/>
      <c r="X1215" s="18"/>
      <c r="Y1215" s="4" t="s">
        <v>14</v>
      </c>
      <c r="Z1215" s="57"/>
      <c r="AA1215" s="57"/>
      <c r="AB1215" s="57"/>
      <c r="AC1215" s="57"/>
      <c r="AD1215" s="57"/>
      <c r="AE1215" s="57"/>
      <c r="AJ1215" s="18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customFormat="1" x14ac:dyDescent="0.25">
      <c r="B1216" s="57"/>
      <c r="C1216" s="57"/>
      <c r="D1216" s="57"/>
      <c r="E1216" s="57"/>
      <c r="F1216" s="57"/>
      <c r="G1216" s="57"/>
      <c r="L1216" s="18"/>
      <c r="N1216" s="57"/>
      <c r="O1216" s="57"/>
      <c r="P1216" s="57"/>
      <c r="Q1216" s="57"/>
      <c r="R1216" s="57"/>
      <c r="S1216" s="57"/>
      <c r="X1216" s="18"/>
      <c r="Z1216" s="57"/>
      <c r="AA1216" s="57"/>
      <c r="AB1216" s="57"/>
      <c r="AC1216" s="57"/>
      <c r="AD1216" s="57"/>
      <c r="AE1216" s="57"/>
      <c r="AJ1216" s="18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customFormat="1" ht="15.75" x14ac:dyDescent="0.25">
      <c r="A1217" t="s">
        <v>52</v>
      </c>
      <c r="B1217" s="57"/>
      <c r="C1217" s="57"/>
      <c r="D1217" s="57"/>
      <c r="E1217" s="57"/>
      <c r="F1217" s="57"/>
      <c r="G1217" s="57"/>
      <c r="I1217" s="57" t="s">
        <v>15</v>
      </c>
      <c r="J1217" s="19">
        <v>1</v>
      </c>
      <c r="L1217" s="18"/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X1217" s="18"/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3</v>
      </c>
      <c r="AJ1217" s="18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customFormat="1" x14ac:dyDescent="0.25">
      <c r="A1218" s="21" t="s">
        <v>104</v>
      </c>
      <c r="B1218" s="20"/>
      <c r="C1218" s="57"/>
      <c r="D1218" s="57"/>
      <c r="E1218" s="57"/>
      <c r="F1218" s="57"/>
      <c r="G1218" s="57"/>
      <c r="I1218" s="22" t="s">
        <v>16</v>
      </c>
      <c r="J1218" s="23" t="s">
        <v>33</v>
      </c>
      <c r="K1218" s="24"/>
      <c r="L1218" s="18"/>
      <c r="M1218" s="21" t="s">
        <v>104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42</v>
      </c>
      <c r="W1218" s="24"/>
      <c r="X1218" s="18"/>
      <c r="Y1218" s="21" t="s">
        <v>104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31</v>
      </c>
      <c r="AI1218" s="24"/>
      <c r="AJ1218" s="18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customFormat="1" x14ac:dyDescent="0.25">
      <c r="B1219" s="57"/>
      <c r="C1219" s="57"/>
      <c r="D1219" s="57"/>
      <c r="E1219" s="57"/>
      <c r="F1219" s="57"/>
      <c r="G1219" s="57"/>
      <c r="L1219" s="18"/>
      <c r="N1219" s="57"/>
      <c r="O1219" s="57"/>
      <c r="P1219" s="57"/>
      <c r="Q1219" s="57"/>
      <c r="R1219" s="57"/>
      <c r="S1219" s="57"/>
      <c r="X1219" s="18"/>
      <c r="Z1219" s="57"/>
      <c r="AA1219" s="57"/>
      <c r="AB1219" s="57"/>
      <c r="AC1219" s="57"/>
      <c r="AD1219" s="57"/>
      <c r="AE1219" s="57"/>
      <c r="AJ1219" s="18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customFormat="1" x14ac:dyDescent="0.25">
      <c r="B1220" s="25"/>
      <c r="C1220" s="26"/>
      <c r="D1220" s="121" t="s">
        <v>17</v>
      </c>
      <c r="E1220" s="121"/>
      <c r="F1220" s="112"/>
      <c r="G1220" s="27"/>
      <c r="I1220" s="124" t="s">
        <v>18</v>
      </c>
      <c r="J1220" s="125"/>
      <c r="K1220" s="122" t="s">
        <v>19</v>
      </c>
      <c r="L1220" s="18"/>
      <c r="N1220" s="25"/>
      <c r="O1220" s="26"/>
      <c r="P1220" s="121" t="s">
        <v>17</v>
      </c>
      <c r="Q1220" s="121"/>
      <c r="R1220" s="112"/>
      <c r="S1220" s="27"/>
      <c r="U1220" s="124" t="s">
        <v>18</v>
      </c>
      <c r="V1220" s="125"/>
      <c r="W1220" s="122" t="s">
        <v>19</v>
      </c>
      <c r="X1220" s="18"/>
      <c r="Z1220" s="25"/>
      <c r="AA1220" s="26"/>
      <c r="AB1220" s="121" t="s">
        <v>17</v>
      </c>
      <c r="AC1220" s="121"/>
      <c r="AD1220" s="112"/>
      <c r="AE1220" s="27"/>
      <c r="AG1220" s="124" t="s">
        <v>18</v>
      </c>
      <c r="AH1220" s="125"/>
      <c r="AI1220" s="122" t="s">
        <v>19</v>
      </c>
      <c r="AJ1220" s="18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customFormat="1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23"/>
      <c r="L1221" s="18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23"/>
      <c r="X1221" s="18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23"/>
      <c r="AJ1221" s="18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customFormat="1" x14ac:dyDescent="0.25">
      <c r="A1222" s="10">
        <v>1</v>
      </c>
      <c r="B1222" s="30" t="s">
        <v>105</v>
      </c>
      <c r="C1222" s="88">
        <v>7510</v>
      </c>
      <c r="D1222" s="32">
        <f>125200+1832+3250</f>
        <v>130282</v>
      </c>
      <c r="E1222" s="32">
        <v>-1917</v>
      </c>
      <c r="F1222" s="32"/>
      <c r="G1222" s="32">
        <f t="shared" ref="G1222:G1255" si="327">SUM(D1222:E1222)</f>
        <v>128365</v>
      </c>
      <c r="H1222" s="12"/>
      <c r="I1222" s="12">
        <v>234</v>
      </c>
      <c r="J1222" s="12">
        <f>-7080+-115551+-2997+-84+-672+-1092+-162+-11+-1.5*14+-120</f>
        <v>-127790</v>
      </c>
      <c r="K1222" s="12">
        <f t="shared" ref="K1222:K1255" si="328">SUM(G1222:J1222)</f>
        <v>809</v>
      </c>
      <c r="L1222" s="18"/>
      <c r="M1222" s="10">
        <v>1</v>
      </c>
      <c r="N1222" s="30" t="s">
        <v>105</v>
      </c>
      <c r="O1222" s="31">
        <v>7551</v>
      </c>
      <c r="P1222" s="32">
        <f>5008+1228+1192+95</f>
        <v>7523</v>
      </c>
      <c r="Q1222" s="32"/>
      <c r="R1222" s="32"/>
      <c r="S1222" s="32">
        <f>SUM(P1222:Q1222)</f>
        <v>7523</v>
      </c>
      <c r="T1222" s="12"/>
      <c r="U1222" s="12"/>
      <c r="V1222" s="12"/>
      <c r="W1222" s="12">
        <f>SUM(S1222:V1222)</f>
        <v>7523</v>
      </c>
      <c r="X1222" s="18"/>
      <c r="Y1222" s="10">
        <v>1</v>
      </c>
      <c r="Z1222" s="30" t="s">
        <v>105</v>
      </c>
      <c r="AA1222" s="31">
        <v>7342</v>
      </c>
      <c r="AB1222" s="32">
        <f>31300+458</f>
        <v>31758</v>
      </c>
      <c r="AC1222" s="32">
        <v>-312</v>
      </c>
      <c r="AD1222" s="32"/>
      <c r="AE1222" s="32">
        <f>SUM(AB1222:AC1222)</f>
        <v>31446</v>
      </c>
      <c r="AF1222" s="12"/>
      <c r="AG1222" s="12"/>
      <c r="AH1222" s="12">
        <v>-3330</v>
      </c>
      <c r="AI1222" s="12">
        <f>SUM(AE1222:AH1222)</f>
        <v>28116</v>
      </c>
      <c r="AJ1222" s="18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customFormat="1" x14ac:dyDescent="0.25">
      <c r="A1223" s="10">
        <v>2</v>
      </c>
      <c r="B1223" s="30" t="s">
        <v>105</v>
      </c>
      <c r="C1223" s="88">
        <f>C1222+1</f>
        <v>7511</v>
      </c>
      <c r="D1223" s="32">
        <f>1878+614</f>
        <v>2492</v>
      </c>
      <c r="E1223" s="32"/>
      <c r="F1223" s="32"/>
      <c r="G1223" s="32">
        <f t="shared" si="327"/>
        <v>2492</v>
      </c>
      <c r="H1223" s="12"/>
      <c r="I1223" s="12">
        <v>4.5</v>
      </c>
      <c r="J1223" s="12"/>
      <c r="K1223" s="12">
        <f t="shared" si="328"/>
        <v>2496.5</v>
      </c>
      <c r="L1223" s="18"/>
      <c r="M1223" s="10">
        <v>2</v>
      </c>
      <c r="N1223" s="30" t="s">
        <v>105</v>
      </c>
      <c r="O1223" s="31">
        <f>O1222+1</f>
        <v>7552</v>
      </c>
      <c r="P1223" s="32">
        <f>2504</f>
        <v>2504</v>
      </c>
      <c r="Q1223" s="32"/>
      <c r="R1223" s="32"/>
      <c r="S1223" s="32">
        <f t="shared" ref="S1223:S1260" si="329">SUM(P1223:Q1223)</f>
        <v>2504</v>
      </c>
      <c r="T1223" s="12"/>
      <c r="U1223" s="12"/>
      <c r="V1223" s="12"/>
      <c r="W1223" s="12">
        <f t="shared" ref="W1223:W1263" si="330">SUM(S1223:V1223)</f>
        <v>2504</v>
      </c>
      <c r="X1223" s="18"/>
      <c r="Y1223" s="10">
        <v>2</v>
      </c>
      <c r="Z1223" s="30" t="s">
        <v>105</v>
      </c>
      <c r="AA1223" s="31">
        <f>AA1222+1</f>
        <v>7343</v>
      </c>
      <c r="AB1223" s="32">
        <f>93900+6140+29800+4020+1664</f>
        <v>135524</v>
      </c>
      <c r="AC1223" s="32">
        <v>-1296</v>
      </c>
      <c r="AD1223" s="32"/>
      <c r="AE1223" s="32">
        <f t="shared" ref="AE1223:AE1260" si="331">SUM(AB1223:AC1223)</f>
        <v>134228</v>
      </c>
      <c r="AF1223" s="12"/>
      <c r="AG1223" s="12"/>
      <c r="AH1223" s="12"/>
      <c r="AI1223" s="12">
        <f t="shared" ref="AI1223:AI1263" si="332">SUM(AE1223:AH1223)</f>
        <v>134228</v>
      </c>
      <c r="AJ1223" s="18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customFormat="1" x14ac:dyDescent="0.25">
      <c r="A1224" s="10">
        <v>3</v>
      </c>
      <c r="B1224" s="30"/>
      <c r="C1224" s="11" t="s">
        <v>27</v>
      </c>
      <c r="D1224" s="33"/>
      <c r="E1224" s="33"/>
      <c r="F1224" s="33"/>
      <c r="G1224" s="33">
        <f t="shared" si="327"/>
        <v>0</v>
      </c>
      <c r="H1224" s="34"/>
      <c r="I1224" s="34"/>
      <c r="J1224" s="34"/>
      <c r="K1224" s="34">
        <f t="shared" si="328"/>
        <v>0</v>
      </c>
      <c r="L1224" s="18"/>
      <c r="M1224" s="10">
        <v>3</v>
      </c>
      <c r="N1224" s="30" t="s">
        <v>105</v>
      </c>
      <c r="O1224" s="31">
        <f t="shared" ref="O1224:O1248" si="333">O1223+1</f>
        <v>7553</v>
      </c>
      <c r="P1224" s="32">
        <f>1252+596+28.5</f>
        <v>1876.5</v>
      </c>
      <c r="Q1224" s="32"/>
      <c r="R1224" s="32"/>
      <c r="S1224" s="32">
        <f t="shared" si="329"/>
        <v>1876.5</v>
      </c>
      <c r="T1224" s="12"/>
      <c r="U1224" s="12"/>
      <c r="V1224" s="12"/>
      <c r="W1224" s="12">
        <f t="shared" si="330"/>
        <v>1876.5</v>
      </c>
      <c r="X1224" s="18"/>
      <c r="Y1224" s="10">
        <v>3</v>
      </c>
      <c r="Z1224" s="30" t="s">
        <v>105</v>
      </c>
      <c r="AA1224" s="31">
        <f t="shared" ref="AA1224:AA1226" si="334">AA1223+1</f>
        <v>7344</v>
      </c>
      <c r="AB1224" s="33">
        <f>626*60+614*10+596*30+229*4</f>
        <v>62496</v>
      </c>
      <c r="AC1224" s="33">
        <v>-624</v>
      </c>
      <c r="AD1224" s="32"/>
      <c r="AE1224" s="32">
        <f t="shared" si="331"/>
        <v>61872</v>
      </c>
      <c r="AF1224" s="12"/>
      <c r="AG1224" s="12">
        <f>555+108</f>
        <v>663</v>
      </c>
      <c r="AH1224" s="12"/>
      <c r="AI1224" s="12">
        <f t="shared" si="332"/>
        <v>62535</v>
      </c>
      <c r="AJ1224" s="18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customFormat="1" x14ac:dyDescent="0.25">
      <c r="A1225" s="10">
        <v>4</v>
      </c>
      <c r="B1225" s="30"/>
      <c r="C1225" s="88"/>
      <c r="D1225" s="32"/>
      <c r="E1225" s="32"/>
      <c r="F1225" s="32"/>
      <c r="G1225" s="32">
        <f t="shared" si="327"/>
        <v>0</v>
      </c>
      <c r="H1225" s="12"/>
      <c r="I1225" s="12"/>
      <c r="J1225" s="12"/>
      <c r="K1225" s="12">
        <f t="shared" si="328"/>
        <v>0</v>
      </c>
      <c r="L1225" s="18"/>
      <c r="M1225" s="10">
        <v>4</v>
      </c>
      <c r="N1225" s="30" t="s">
        <v>105</v>
      </c>
      <c r="O1225" s="31">
        <f t="shared" si="333"/>
        <v>7554</v>
      </c>
      <c r="P1225" s="32">
        <f>1252+596+28.5</f>
        <v>1876.5</v>
      </c>
      <c r="Q1225" s="32"/>
      <c r="R1225" s="32"/>
      <c r="S1225" s="32">
        <f t="shared" si="329"/>
        <v>1876.5</v>
      </c>
      <c r="T1225" s="12"/>
      <c r="U1225" s="12"/>
      <c r="V1225" s="12"/>
      <c r="W1225" s="12">
        <f t="shared" si="330"/>
        <v>1876.5</v>
      </c>
      <c r="X1225" s="18"/>
      <c r="Y1225" s="10">
        <v>4</v>
      </c>
      <c r="Z1225" s="30" t="s">
        <v>105</v>
      </c>
      <c r="AA1225" s="31">
        <f t="shared" si="334"/>
        <v>7345</v>
      </c>
      <c r="AB1225" s="32">
        <f>17528+674+687</f>
        <v>18889</v>
      </c>
      <c r="AC1225" s="32"/>
      <c r="AD1225" s="32"/>
      <c r="AE1225" s="32">
        <f t="shared" si="331"/>
        <v>18889</v>
      </c>
      <c r="AF1225" s="12"/>
      <c r="AH1225" s="12">
        <v>-3774</v>
      </c>
      <c r="AI1225" s="12">
        <f t="shared" si="332"/>
        <v>15115</v>
      </c>
      <c r="AJ1225" s="18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customFormat="1" x14ac:dyDescent="0.25">
      <c r="A1226" s="10">
        <v>5</v>
      </c>
      <c r="B1226" s="30"/>
      <c r="C1226" s="88"/>
      <c r="D1226" s="32"/>
      <c r="E1226" s="32"/>
      <c r="F1226" s="32"/>
      <c r="G1226" s="32">
        <f t="shared" si="327"/>
        <v>0</v>
      </c>
      <c r="H1226" s="12"/>
      <c r="I1226" s="12"/>
      <c r="J1226" s="12"/>
      <c r="K1226" s="12">
        <f t="shared" si="328"/>
        <v>0</v>
      </c>
      <c r="L1226" s="18"/>
      <c r="M1226" s="10">
        <v>5</v>
      </c>
      <c r="N1226" s="30" t="s">
        <v>105</v>
      </c>
      <c r="O1226" s="31">
        <f t="shared" si="333"/>
        <v>7555</v>
      </c>
      <c r="P1226" s="32">
        <f>3130+47.5</f>
        <v>3177.5</v>
      </c>
      <c r="Q1226" s="32"/>
      <c r="R1226" s="32"/>
      <c r="S1226" s="32">
        <f t="shared" si="329"/>
        <v>3177.5</v>
      </c>
      <c r="T1226" s="12"/>
      <c r="U1226" s="12"/>
      <c r="V1226" s="12"/>
      <c r="W1226" s="12">
        <f t="shared" si="330"/>
        <v>3177.5</v>
      </c>
      <c r="X1226" s="18"/>
      <c r="Y1226" s="10">
        <v>5</v>
      </c>
      <c r="Z1226" s="30" t="s">
        <v>105</v>
      </c>
      <c r="AA1226" s="31">
        <f t="shared" si="334"/>
        <v>7346</v>
      </c>
      <c r="AB1226" s="32">
        <f>6260+1192</f>
        <v>7452</v>
      </c>
      <c r="AC1226" s="32"/>
      <c r="AD1226" s="32"/>
      <c r="AE1226" s="32">
        <f t="shared" si="331"/>
        <v>7452</v>
      </c>
      <c r="AF1226" s="12"/>
      <c r="AG1226" s="12"/>
      <c r="AH1226" s="12"/>
      <c r="AI1226" s="12">
        <f t="shared" si="332"/>
        <v>7452</v>
      </c>
      <c r="AJ1226" s="18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customFormat="1" x14ac:dyDescent="0.25">
      <c r="A1227" s="10">
        <v>6</v>
      </c>
      <c r="B1227" s="30"/>
      <c r="C1227" s="88"/>
      <c r="D1227" s="32"/>
      <c r="E1227" s="32"/>
      <c r="F1227" s="32"/>
      <c r="G1227" s="32">
        <f t="shared" si="327"/>
        <v>0</v>
      </c>
      <c r="H1227" s="12"/>
      <c r="I1227" s="12"/>
      <c r="J1227" s="12"/>
      <c r="K1227" s="12">
        <f t="shared" si="328"/>
        <v>0</v>
      </c>
      <c r="L1227" s="18"/>
      <c r="M1227" s="10">
        <v>6</v>
      </c>
      <c r="N1227" s="30" t="s">
        <v>105</v>
      </c>
      <c r="O1227" s="31">
        <f t="shared" si="333"/>
        <v>7556</v>
      </c>
      <c r="P1227" s="32">
        <f>1252+19</f>
        <v>1271</v>
      </c>
      <c r="Q1227" s="32"/>
      <c r="R1227" s="32"/>
      <c r="S1227" s="32">
        <f t="shared" si="329"/>
        <v>1271</v>
      </c>
      <c r="T1227" s="12"/>
      <c r="U1227" s="12"/>
      <c r="V1227" s="10"/>
      <c r="W1227" s="12">
        <f t="shared" si="330"/>
        <v>1271</v>
      </c>
      <c r="X1227" s="18"/>
      <c r="Y1227" s="10">
        <v>6</v>
      </c>
      <c r="Z1227" s="30"/>
      <c r="AA1227" s="11" t="s">
        <v>27</v>
      </c>
      <c r="AB1227" s="32"/>
      <c r="AC1227" s="32"/>
      <c r="AD1227" s="32"/>
      <c r="AE1227" s="32">
        <f t="shared" si="331"/>
        <v>0</v>
      </c>
      <c r="AF1227" s="12"/>
      <c r="AG1227" s="12"/>
      <c r="AH1227" s="10"/>
      <c r="AI1227" s="12">
        <f t="shared" si="332"/>
        <v>0</v>
      </c>
      <c r="AJ1227" s="18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customFormat="1" x14ac:dyDescent="0.25">
      <c r="A1228" s="10">
        <v>7</v>
      </c>
      <c r="B1228" s="30"/>
      <c r="C1228" s="88"/>
      <c r="D1228" s="32"/>
      <c r="E1228" s="32"/>
      <c r="F1228" s="32"/>
      <c r="G1228" s="32">
        <f t="shared" si="327"/>
        <v>0</v>
      </c>
      <c r="H1228" s="12"/>
      <c r="I1228" s="12"/>
      <c r="J1228" s="12"/>
      <c r="K1228" s="12">
        <f t="shared" si="328"/>
        <v>0</v>
      </c>
      <c r="L1228" s="18"/>
      <c r="M1228" s="10">
        <v>7</v>
      </c>
      <c r="N1228" s="30" t="s">
        <v>105</v>
      </c>
      <c r="O1228" s="31">
        <f t="shared" si="333"/>
        <v>7557</v>
      </c>
      <c r="P1228" s="32">
        <f>3130+596+57</f>
        <v>3783</v>
      </c>
      <c r="Q1228" s="32"/>
      <c r="R1228" s="32"/>
      <c r="S1228" s="32">
        <f t="shared" si="329"/>
        <v>3783</v>
      </c>
      <c r="T1228" s="12"/>
      <c r="U1228" s="12"/>
      <c r="V1228" s="12"/>
      <c r="W1228" s="12">
        <f t="shared" si="330"/>
        <v>3783</v>
      </c>
      <c r="X1228" s="18"/>
      <c r="Y1228" s="10">
        <v>7</v>
      </c>
      <c r="Z1228" s="30"/>
      <c r="AA1228" s="31"/>
      <c r="AB1228" s="32"/>
      <c r="AC1228" s="32"/>
      <c r="AD1228" s="32"/>
      <c r="AE1228" s="32">
        <f t="shared" si="331"/>
        <v>0</v>
      </c>
      <c r="AF1228" s="12"/>
      <c r="AG1228" s="58"/>
      <c r="AH1228" s="12"/>
      <c r="AI1228" s="12">
        <f t="shared" si="332"/>
        <v>0</v>
      </c>
      <c r="AJ1228" s="18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customFormat="1" x14ac:dyDescent="0.25">
      <c r="A1229" s="10">
        <v>8</v>
      </c>
      <c r="B1229" s="30"/>
      <c r="C1229" s="88"/>
      <c r="D1229" s="32"/>
      <c r="E1229" s="32"/>
      <c r="F1229" s="32"/>
      <c r="G1229" s="32">
        <f t="shared" si="327"/>
        <v>0</v>
      </c>
      <c r="H1229" s="12"/>
      <c r="I1229" s="12"/>
      <c r="J1229" s="12"/>
      <c r="K1229" s="12">
        <f t="shared" si="328"/>
        <v>0</v>
      </c>
      <c r="L1229" s="18"/>
      <c r="M1229" s="10">
        <v>8</v>
      </c>
      <c r="N1229" s="30" t="s">
        <v>105</v>
      </c>
      <c r="O1229" s="31">
        <f t="shared" si="333"/>
        <v>7558</v>
      </c>
      <c r="P1229" s="32">
        <f>1252+852+19</f>
        <v>2123</v>
      </c>
      <c r="Q1229" s="32"/>
      <c r="R1229" s="32"/>
      <c r="S1229" s="32">
        <f t="shared" si="329"/>
        <v>2123</v>
      </c>
      <c r="T1229" s="12"/>
      <c r="U1229" s="12">
        <v>15</v>
      </c>
      <c r="V1229" s="12"/>
      <c r="W1229" s="12">
        <f t="shared" si="330"/>
        <v>2138</v>
      </c>
      <c r="X1229" s="18"/>
      <c r="Y1229" s="10">
        <v>8</v>
      </c>
      <c r="Z1229" s="30"/>
      <c r="AA1229" s="31"/>
      <c r="AB1229" s="32"/>
      <c r="AC1229" s="32"/>
      <c r="AE1229" s="32">
        <f t="shared" si="331"/>
        <v>0</v>
      </c>
      <c r="AF1229" s="12"/>
      <c r="AG1229" s="12"/>
      <c r="AH1229" s="12"/>
      <c r="AI1229" s="12">
        <f t="shared" si="332"/>
        <v>0</v>
      </c>
      <c r="AJ1229" s="18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customFormat="1" x14ac:dyDescent="0.25">
      <c r="A1230" s="10">
        <v>9</v>
      </c>
      <c r="B1230" s="30"/>
      <c r="C1230" s="88"/>
      <c r="D1230" s="32"/>
      <c r="E1230" s="32"/>
      <c r="F1230" s="32"/>
      <c r="G1230" s="32">
        <f t="shared" si="327"/>
        <v>0</v>
      </c>
      <c r="H1230" s="12"/>
      <c r="I1230" s="12"/>
      <c r="J1230" s="12"/>
      <c r="K1230" s="12">
        <f t="shared" si="328"/>
        <v>0</v>
      </c>
      <c r="L1230" s="18"/>
      <c r="M1230" s="10">
        <v>9</v>
      </c>
      <c r="N1230" s="30" t="s">
        <v>105</v>
      </c>
      <c r="O1230" s="31">
        <f t="shared" si="333"/>
        <v>7559</v>
      </c>
      <c r="P1230" s="32">
        <f>2504</f>
        <v>2504</v>
      </c>
      <c r="Q1230" s="32"/>
      <c r="R1230" s="32"/>
      <c r="S1230" s="32">
        <f t="shared" si="329"/>
        <v>2504</v>
      </c>
      <c r="T1230" s="12"/>
      <c r="U1230" s="12"/>
      <c r="V1230" s="12"/>
      <c r="W1230" s="12">
        <f t="shared" si="330"/>
        <v>2504</v>
      </c>
      <c r="X1230" s="18"/>
      <c r="Y1230" s="10">
        <v>9</v>
      </c>
      <c r="Z1230" s="30"/>
      <c r="AA1230" s="31"/>
      <c r="AB1230" s="32"/>
      <c r="AC1230" s="32"/>
      <c r="AD1230" s="32"/>
      <c r="AE1230" s="32">
        <f t="shared" si="331"/>
        <v>0</v>
      </c>
      <c r="AF1230" s="12"/>
      <c r="AG1230" s="58"/>
      <c r="AH1230" s="12"/>
      <c r="AI1230" s="12">
        <f t="shared" si="332"/>
        <v>0</v>
      </c>
      <c r="AJ1230" s="18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customFormat="1" x14ac:dyDescent="0.25">
      <c r="A1231" s="10">
        <v>10</v>
      </c>
      <c r="B1231" s="30"/>
      <c r="C1231" s="88"/>
      <c r="D1231" s="32"/>
      <c r="E1231" s="32"/>
      <c r="F1231" s="32"/>
      <c r="G1231" s="32">
        <f t="shared" si="327"/>
        <v>0</v>
      </c>
      <c r="H1231" s="12"/>
      <c r="I1231" s="12"/>
      <c r="J1231" s="12"/>
      <c r="K1231" s="12">
        <f t="shared" si="328"/>
        <v>0</v>
      </c>
      <c r="L1231" s="18"/>
      <c r="M1231" s="10">
        <v>10</v>
      </c>
      <c r="N1231" s="30" t="s">
        <v>105</v>
      </c>
      <c r="O1231" s="31">
        <f t="shared" si="333"/>
        <v>7560</v>
      </c>
      <c r="P1231" s="32">
        <f>29422+5960+458</f>
        <v>35840</v>
      </c>
      <c r="Q1231" s="32"/>
      <c r="R1231" s="32"/>
      <c r="S1231" s="32">
        <f t="shared" si="329"/>
        <v>35840</v>
      </c>
      <c r="T1231" s="12"/>
      <c r="U1231" s="12"/>
      <c r="V1231" s="12"/>
      <c r="W1231" s="12">
        <f t="shared" si="330"/>
        <v>35840</v>
      </c>
      <c r="X1231" s="18"/>
      <c r="Y1231" s="10">
        <v>10</v>
      </c>
      <c r="Z1231" s="30"/>
      <c r="AA1231" s="31"/>
      <c r="AB1231" s="32"/>
      <c r="AC1231" s="32"/>
      <c r="AD1231" s="32"/>
      <c r="AE1231" s="32">
        <f t="shared" si="331"/>
        <v>0</v>
      </c>
      <c r="AF1231" s="12"/>
      <c r="AG1231" s="12"/>
      <c r="AH1231" s="12"/>
      <c r="AI1231" s="12">
        <f t="shared" si="332"/>
        <v>0</v>
      </c>
      <c r="AJ1231" s="18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customFormat="1" x14ac:dyDescent="0.25">
      <c r="A1232" s="10">
        <v>11</v>
      </c>
      <c r="B1232" s="30"/>
      <c r="C1232" s="3"/>
      <c r="D1232" s="32"/>
      <c r="E1232" s="32"/>
      <c r="F1232" s="32"/>
      <c r="G1232" s="32">
        <f t="shared" si="327"/>
        <v>0</v>
      </c>
      <c r="H1232" s="12"/>
      <c r="I1232" s="12"/>
      <c r="J1232" s="12"/>
      <c r="K1232" s="12">
        <f t="shared" si="328"/>
        <v>0</v>
      </c>
      <c r="L1232" s="18"/>
      <c r="M1232" s="10">
        <v>11</v>
      </c>
      <c r="N1232" s="30" t="s">
        <v>105</v>
      </c>
      <c r="O1232" s="31">
        <f t="shared" si="333"/>
        <v>7561</v>
      </c>
      <c r="P1232" s="32">
        <f>626+596+19</f>
        <v>1241</v>
      </c>
      <c r="Q1232" s="32"/>
      <c r="R1232" s="32"/>
      <c r="S1232" s="32">
        <f t="shared" si="329"/>
        <v>1241</v>
      </c>
      <c r="T1232" s="12"/>
      <c r="U1232" s="12"/>
      <c r="V1232" s="12"/>
      <c r="W1232" s="12">
        <f t="shared" si="330"/>
        <v>1241</v>
      </c>
      <c r="X1232" s="18"/>
      <c r="Y1232" s="10">
        <v>11</v>
      </c>
      <c r="Z1232" s="30"/>
      <c r="AB1232" s="32"/>
      <c r="AC1232" s="32"/>
      <c r="AD1232" s="32"/>
      <c r="AE1232" s="32">
        <f t="shared" si="331"/>
        <v>0</v>
      </c>
      <c r="AF1232" s="12"/>
      <c r="AG1232" s="12"/>
      <c r="AH1232" s="12"/>
      <c r="AI1232" s="12">
        <f t="shared" si="332"/>
        <v>0</v>
      </c>
      <c r="AJ1232" s="18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customFormat="1" x14ac:dyDescent="0.25">
      <c r="A1233" s="10">
        <v>12</v>
      </c>
      <c r="B1233" s="30"/>
      <c r="C1233" s="88"/>
      <c r="D1233" s="32"/>
      <c r="E1233" s="32"/>
      <c r="F1233" s="32"/>
      <c r="G1233" s="32">
        <f t="shared" si="327"/>
        <v>0</v>
      </c>
      <c r="H1233" s="12"/>
      <c r="I1233" s="12"/>
      <c r="J1233" s="10"/>
      <c r="K1233" s="12">
        <f t="shared" si="328"/>
        <v>0</v>
      </c>
      <c r="L1233" s="18"/>
      <c r="M1233" s="10">
        <v>12</v>
      </c>
      <c r="N1233" s="30" t="s">
        <v>105</v>
      </c>
      <c r="O1233" s="31">
        <f t="shared" si="333"/>
        <v>7562</v>
      </c>
      <c r="P1233" s="32">
        <f>2504+38</f>
        <v>2542</v>
      </c>
      <c r="Q1233" s="32"/>
      <c r="R1233" s="32"/>
      <c r="S1233" s="32">
        <f t="shared" si="329"/>
        <v>2542</v>
      </c>
      <c r="T1233" s="12"/>
      <c r="U1233" s="12"/>
      <c r="V1233" s="12"/>
      <c r="W1233" s="12">
        <f t="shared" si="330"/>
        <v>2542</v>
      </c>
      <c r="X1233" s="18"/>
      <c r="Y1233" s="10">
        <v>12</v>
      </c>
      <c r="Z1233" s="30"/>
      <c r="AA1233" s="31"/>
      <c r="AB1233" s="32"/>
      <c r="AC1233" s="32"/>
      <c r="AD1233" s="32"/>
      <c r="AE1233" s="32">
        <f t="shared" si="331"/>
        <v>0</v>
      </c>
      <c r="AF1233" s="12"/>
      <c r="AG1233" s="12"/>
      <c r="AH1233" s="12"/>
      <c r="AI1233" s="12">
        <f t="shared" si="332"/>
        <v>0</v>
      </c>
      <c r="AJ1233" s="18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customFormat="1" x14ac:dyDescent="0.25">
      <c r="A1234" s="10">
        <v>13</v>
      </c>
      <c r="B1234" s="30"/>
      <c r="C1234" s="88"/>
      <c r="D1234" s="32"/>
      <c r="E1234" s="32"/>
      <c r="F1234" s="32"/>
      <c r="G1234" s="32">
        <f t="shared" si="327"/>
        <v>0</v>
      </c>
      <c r="H1234" s="12"/>
      <c r="I1234" s="12"/>
      <c r="J1234" s="12"/>
      <c r="K1234" s="12">
        <f t="shared" si="328"/>
        <v>0</v>
      </c>
      <c r="L1234" s="18"/>
      <c r="M1234" s="10">
        <v>13</v>
      </c>
      <c r="N1234" s="30" t="s">
        <v>105</v>
      </c>
      <c r="O1234" s="31">
        <f t="shared" si="333"/>
        <v>7563</v>
      </c>
      <c r="P1234" s="32">
        <f>1878+28.5</f>
        <v>1906.5</v>
      </c>
      <c r="Q1234" s="32"/>
      <c r="R1234" s="32"/>
      <c r="S1234" s="32">
        <f t="shared" si="329"/>
        <v>1906.5</v>
      </c>
      <c r="T1234" s="12"/>
      <c r="U1234" s="12"/>
      <c r="V1234" s="12"/>
      <c r="W1234" s="12">
        <f t="shared" si="330"/>
        <v>1906.5</v>
      </c>
      <c r="X1234" s="18"/>
      <c r="Y1234" s="10">
        <v>13</v>
      </c>
      <c r="Z1234" s="30"/>
      <c r="AA1234" s="31"/>
      <c r="AB1234" s="32"/>
      <c r="AC1234" s="32"/>
      <c r="AD1234" s="32"/>
      <c r="AE1234" s="32">
        <f t="shared" si="331"/>
        <v>0</v>
      </c>
      <c r="AF1234" s="12"/>
      <c r="AG1234" s="12"/>
      <c r="AH1234" s="12"/>
      <c r="AI1234" s="12">
        <f t="shared" si="332"/>
        <v>0</v>
      </c>
      <c r="AJ1234" s="18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customFormat="1" x14ac:dyDescent="0.25">
      <c r="A1235" s="10">
        <v>14</v>
      </c>
      <c r="B1235" s="30"/>
      <c r="C1235" s="88"/>
      <c r="D1235" s="32"/>
      <c r="E1235" s="32"/>
      <c r="F1235" s="32"/>
      <c r="G1235" s="32">
        <f t="shared" si="327"/>
        <v>0</v>
      </c>
      <c r="H1235" s="12"/>
      <c r="I1235" s="12"/>
      <c r="J1235" s="12"/>
      <c r="K1235" s="12">
        <f t="shared" si="328"/>
        <v>0</v>
      </c>
      <c r="L1235" s="18"/>
      <c r="M1235" s="10">
        <v>14</v>
      </c>
      <c r="N1235" s="30" t="s">
        <v>105</v>
      </c>
      <c r="O1235" s="31">
        <f t="shared" si="333"/>
        <v>7564</v>
      </c>
      <c r="P1235" s="32">
        <f>1252+19</f>
        <v>1271</v>
      </c>
      <c r="Q1235" s="32"/>
      <c r="R1235" s="32"/>
      <c r="S1235" s="32">
        <f t="shared" si="329"/>
        <v>1271</v>
      </c>
      <c r="T1235" s="12"/>
      <c r="U1235" s="12"/>
      <c r="V1235" s="12"/>
      <c r="W1235" s="12">
        <f t="shared" si="330"/>
        <v>1271</v>
      </c>
      <c r="X1235" s="18"/>
      <c r="Y1235" s="10">
        <v>14</v>
      </c>
      <c r="Z1235" s="30"/>
      <c r="AA1235" s="31"/>
      <c r="AB1235" s="32"/>
      <c r="AC1235" s="32"/>
      <c r="AD1235" s="32"/>
      <c r="AE1235" s="32">
        <f t="shared" si="331"/>
        <v>0</v>
      </c>
      <c r="AF1235" s="12"/>
      <c r="AG1235" s="12"/>
      <c r="AH1235" s="12"/>
      <c r="AI1235" s="12">
        <f t="shared" si="332"/>
        <v>0</v>
      </c>
      <c r="AJ1235" s="18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customFormat="1" x14ac:dyDescent="0.25">
      <c r="A1236" s="10">
        <v>15</v>
      </c>
      <c r="B1236" s="30"/>
      <c r="C1236" s="88"/>
      <c r="D1236" s="32"/>
      <c r="E1236" s="32"/>
      <c r="F1236" s="32"/>
      <c r="G1236" s="32">
        <f t="shared" si="327"/>
        <v>0</v>
      </c>
      <c r="H1236" s="12"/>
      <c r="I1236" s="12"/>
      <c r="J1236" s="12"/>
      <c r="K1236" s="12">
        <f t="shared" si="328"/>
        <v>0</v>
      </c>
      <c r="L1236" s="18"/>
      <c r="M1236" s="10">
        <v>15</v>
      </c>
      <c r="N1236" s="30" t="s">
        <v>105</v>
      </c>
      <c r="O1236" s="31">
        <f t="shared" si="333"/>
        <v>7565</v>
      </c>
      <c r="P1236" s="32">
        <f>4382+66.5</f>
        <v>4448.5</v>
      </c>
      <c r="Q1236" s="32"/>
      <c r="R1236" s="32"/>
      <c r="S1236" s="32">
        <f t="shared" si="329"/>
        <v>4448.5</v>
      </c>
      <c r="T1236" s="12"/>
      <c r="U1236" s="12"/>
      <c r="V1236" s="12"/>
      <c r="W1236" s="12">
        <f t="shared" si="330"/>
        <v>4448.5</v>
      </c>
      <c r="X1236" s="18"/>
      <c r="Y1236" s="10">
        <v>15</v>
      </c>
      <c r="Z1236" s="30"/>
      <c r="AA1236" s="31"/>
      <c r="AB1236" s="32"/>
      <c r="AC1236" s="32"/>
      <c r="AD1236" s="32"/>
      <c r="AE1236" s="32">
        <f t="shared" si="331"/>
        <v>0</v>
      </c>
      <c r="AF1236" s="12"/>
      <c r="AG1236" s="12"/>
      <c r="AH1236" s="12"/>
      <c r="AI1236" s="12">
        <f t="shared" si="332"/>
        <v>0</v>
      </c>
      <c r="AJ1236" s="18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customFormat="1" x14ac:dyDescent="0.25">
      <c r="A1237" s="10">
        <v>16</v>
      </c>
      <c r="B1237" s="30"/>
      <c r="C1237" s="57"/>
      <c r="D1237" s="32"/>
      <c r="E1237" s="32"/>
      <c r="F1237" s="32"/>
      <c r="G1237" s="32">
        <f t="shared" si="327"/>
        <v>0</v>
      </c>
      <c r="H1237" s="12"/>
      <c r="I1237" s="12"/>
      <c r="J1237" s="12"/>
      <c r="K1237" s="12">
        <f t="shared" si="328"/>
        <v>0</v>
      </c>
      <c r="L1237" s="18"/>
      <c r="M1237" s="10">
        <v>16</v>
      </c>
      <c r="N1237" s="30" t="s">
        <v>105</v>
      </c>
      <c r="O1237" s="31">
        <f t="shared" si="333"/>
        <v>7566</v>
      </c>
      <c r="P1237" s="32">
        <f>3130+47.5</f>
        <v>3177.5</v>
      </c>
      <c r="Q1237" s="32"/>
      <c r="R1237" s="32"/>
      <c r="S1237" s="32">
        <f t="shared" si="329"/>
        <v>3177.5</v>
      </c>
      <c r="T1237" s="12"/>
      <c r="U1237" s="12"/>
      <c r="V1237" s="12"/>
      <c r="W1237" s="12">
        <f t="shared" si="330"/>
        <v>3177.5</v>
      </c>
      <c r="X1237" s="18"/>
      <c r="Y1237" s="10">
        <v>16</v>
      </c>
      <c r="Z1237" s="30"/>
      <c r="AA1237" s="31"/>
      <c r="AB1237" s="32"/>
      <c r="AC1237" s="32"/>
      <c r="AD1237" s="32"/>
      <c r="AE1237" s="32">
        <f t="shared" si="331"/>
        <v>0</v>
      </c>
      <c r="AF1237" s="12"/>
      <c r="AG1237" s="12"/>
      <c r="AH1237" s="12"/>
      <c r="AI1237" s="12">
        <f t="shared" si="332"/>
        <v>0</v>
      </c>
      <c r="AJ1237" s="18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customFormat="1" x14ac:dyDescent="0.25">
      <c r="A1238" s="10">
        <v>17</v>
      </c>
      <c r="B1238" s="30"/>
      <c r="C1238" s="88"/>
      <c r="D1238" s="32"/>
      <c r="E1238" s="32"/>
      <c r="F1238" s="32"/>
      <c r="G1238" s="32">
        <f t="shared" si="327"/>
        <v>0</v>
      </c>
      <c r="H1238" s="12"/>
      <c r="I1238" s="12"/>
      <c r="J1238" s="12"/>
      <c r="K1238" s="12">
        <f t="shared" si="328"/>
        <v>0</v>
      </c>
      <c r="L1238" s="18"/>
      <c r="M1238" s="10">
        <v>17</v>
      </c>
      <c r="N1238" s="30" t="s">
        <v>105</v>
      </c>
      <c r="O1238" s="31">
        <f t="shared" si="333"/>
        <v>7567</v>
      </c>
      <c r="P1238" s="35">
        <f>3130+1228+1192+66.5</f>
        <v>5616.5</v>
      </c>
      <c r="Q1238" s="32"/>
      <c r="R1238" s="32"/>
      <c r="S1238" s="32">
        <f t="shared" si="329"/>
        <v>5616.5</v>
      </c>
      <c r="T1238" s="12"/>
      <c r="U1238" s="12"/>
      <c r="V1238" s="12"/>
      <c r="W1238" s="12">
        <f t="shared" si="330"/>
        <v>5616.5</v>
      </c>
      <c r="X1238" s="18"/>
      <c r="Y1238" s="10">
        <v>17</v>
      </c>
      <c r="Z1238" s="30"/>
      <c r="AA1238" s="31"/>
      <c r="AB1238" s="35"/>
      <c r="AC1238" s="32"/>
      <c r="AD1238" s="32"/>
      <c r="AE1238" s="32">
        <f t="shared" si="331"/>
        <v>0</v>
      </c>
      <c r="AF1238" s="12"/>
      <c r="AG1238" s="12"/>
      <c r="AH1238" s="12"/>
      <c r="AI1238" s="12">
        <f t="shared" si="332"/>
        <v>0</v>
      </c>
      <c r="AJ1238" s="18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customFormat="1" x14ac:dyDescent="0.25">
      <c r="A1239" s="10">
        <v>18</v>
      </c>
      <c r="B1239" s="30"/>
      <c r="C1239" s="88"/>
      <c r="D1239" s="32"/>
      <c r="E1239" s="32"/>
      <c r="F1239" s="32"/>
      <c r="G1239" s="32">
        <f t="shared" si="327"/>
        <v>0</v>
      </c>
      <c r="H1239" s="12"/>
      <c r="I1239" s="12"/>
      <c r="J1239" s="12"/>
      <c r="K1239" s="12">
        <f t="shared" si="328"/>
        <v>0</v>
      </c>
      <c r="L1239" s="18"/>
      <c r="M1239" s="10">
        <v>18</v>
      </c>
      <c r="N1239" s="30" t="s">
        <v>105</v>
      </c>
      <c r="O1239" s="31">
        <f t="shared" si="333"/>
        <v>7568</v>
      </c>
      <c r="P1239" s="32">
        <f>1878+28.5</f>
        <v>1906.5</v>
      </c>
      <c r="Q1239" s="32"/>
      <c r="R1239" s="32"/>
      <c r="S1239" s="32">
        <f t="shared" si="329"/>
        <v>1906.5</v>
      </c>
      <c r="T1239" s="12"/>
      <c r="U1239" s="12">
        <v>22.5</v>
      </c>
      <c r="V1239" s="12"/>
      <c r="W1239" s="12">
        <f t="shared" si="330"/>
        <v>1929</v>
      </c>
      <c r="X1239" s="18"/>
      <c r="Y1239" s="10">
        <v>18</v>
      </c>
      <c r="Z1239" s="30"/>
      <c r="AA1239" s="31"/>
      <c r="AB1239" s="32"/>
      <c r="AC1239" s="32"/>
      <c r="AD1239" s="32"/>
      <c r="AE1239" s="32">
        <f t="shared" si="331"/>
        <v>0</v>
      </c>
      <c r="AF1239" s="12"/>
      <c r="AG1239" s="12"/>
      <c r="AH1239" s="12"/>
      <c r="AI1239" s="12">
        <f t="shared" si="332"/>
        <v>0</v>
      </c>
      <c r="AJ1239" s="18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customFormat="1" x14ac:dyDescent="0.25">
      <c r="A1240" s="10">
        <v>19</v>
      </c>
      <c r="B1240" s="30"/>
      <c r="C1240" s="88"/>
      <c r="D1240" s="32"/>
      <c r="E1240" s="32"/>
      <c r="F1240" s="32"/>
      <c r="G1240" s="32">
        <f t="shared" si="327"/>
        <v>0</v>
      </c>
      <c r="H1240" s="12"/>
      <c r="I1240" s="12"/>
      <c r="J1240" s="12"/>
      <c r="K1240" s="12">
        <f t="shared" si="328"/>
        <v>0</v>
      </c>
      <c r="L1240" s="18"/>
      <c r="M1240" s="10">
        <v>19</v>
      </c>
      <c r="N1240" s="30" t="s">
        <v>105</v>
      </c>
      <c r="O1240" s="31">
        <f t="shared" si="333"/>
        <v>7569</v>
      </c>
      <c r="P1240" s="32">
        <f>6886+1192+123.5</f>
        <v>8201.5</v>
      </c>
      <c r="Q1240" s="32"/>
      <c r="R1240" s="32"/>
      <c r="S1240" s="32">
        <f t="shared" si="329"/>
        <v>8201.5</v>
      </c>
      <c r="T1240" s="12"/>
      <c r="U1240" s="12"/>
      <c r="V1240" s="12"/>
      <c r="W1240" s="12">
        <f t="shared" si="330"/>
        <v>8201.5</v>
      </c>
      <c r="X1240" s="18"/>
      <c r="Y1240" s="10">
        <v>19</v>
      </c>
      <c r="Z1240" s="30"/>
      <c r="AA1240" s="31"/>
      <c r="AB1240" s="32"/>
      <c r="AC1240" s="32"/>
      <c r="AD1240" s="32"/>
      <c r="AE1240" s="32">
        <f t="shared" si="331"/>
        <v>0</v>
      </c>
      <c r="AF1240" s="12"/>
      <c r="AG1240" s="12"/>
      <c r="AH1240" s="12"/>
      <c r="AI1240" s="12">
        <f t="shared" si="332"/>
        <v>0</v>
      </c>
      <c r="AJ1240" s="18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customFormat="1" x14ac:dyDescent="0.25">
      <c r="A1241" s="10">
        <v>20</v>
      </c>
      <c r="B1241" s="30"/>
      <c r="C1241" s="88"/>
      <c r="D1241" s="32"/>
      <c r="E1241" s="32"/>
      <c r="F1241" s="32"/>
      <c r="G1241" s="32">
        <f t="shared" si="327"/>
        <v>0</v>
      </c>
      <c r="H1241" s="12"/>
      <c r="I1241" s="12"/>
      <c r="J1241" s="12"/>
      <c r="K1241" s="12">
        <f t="shared" si="328"/>
        <v>0</v>
      </c>
      <c r="L1241" s="18"/>
      <c r="M1241" s="10">
        <v>20</v>
      </c>
      <c r="N1241" s="30" t="s">
        <v>105</v>
      </c>
      <c r="O1241" s="31">
        <f t="shared" si="333"/>
        <v>7570</v>
      </c>
      <c r="P1241" s="32">
        <f>5008+76</f>
        <v>5084</v>
      </c>
      <c r="Q1241" s="32"/>
      <c r="R1241" s="32"/>
      <c r="S1241" s="32">
        <f t="shared" si="329"/>
        <v>5084</v>
      </c>
      <c r="T1241" s="12"/>
      <c r="U1241" s="12"/>
      <c r="V1241" s="12"/>
      <c r="W1241" s="12">
        <f t="shared" si="330"/>
        <v>5084</v>
      </c>
      <c r="X1241" s="18"/>
      <c r="Y1241" s="10">
        <v>20</v>
      </c>
      <c r="Z1241" s="30"/>
      <c r="AA1241" s="31"/>
      <c r="AB1241" s="32"/>
      <c r="AC1241" s="32"/>
      <c r="AD1241" s="32"/>
      <c r="AE1241" s="32">
        <f t="shared" si="331"/>
        <v>0</v>
      </c>
      <c r="AF1241" s="12"/>
      <c r="AG1241" s="12"/>
      <c r="AH1241" s="12"/>
      <c r="AI1241" s="12">
        <f t="shared" si="332"/>
        <v>0</v>
      </c>
      <c r="AJ1241" s="18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customFormat="1" x14ac:dyDescent="0.25">
      <c r="A1242" s="10">
        <v>21</v>
      </c>
      <c r="B1242" s="30"/>
      <c r="C1242" s="57"/>
      <c r="D1242" s="32"/>
      <c r="E1242" s="32"/>
      <c r="F1242" s="32"/>
      <c r="G1242" s="32">
        <f t="shared" si="327"/>
        <v>0</v>
      </c>
      <c r="H1242" s="10"/>
      <c r="I1242" s="10"/>
      <c r="J1242" s="10"/>
      <c r="K1242" s="12">
        <f t="shared" si="328"/>
        <v>0</v>
      </c>
      <c r="L1242" s="18"/>
      <c r="M1242" s="10">
        <v>21</v>
      </c>
      <c r="N1242" s="30" t="s">
        <v>105</v>
      </c>
      <c r="O1242" s="31">
        <f t="shared" si="333"/>
        <v>7571</v>
      </c>
      <c r="P1242" s="46">
        <f>1252+596+28.5</f>
        <v>1876.5</v>
      </c>
      <c r="Q1242" s="31"/>
      <c r="R1242" s="31"/>
      <c r="S1242" s="32">
        <f t="shared" si="329"/>
        <v>1876.5</v>
      </c>
      <c r="T1242" s="10"/>
      <c r="U1242" s="10">
        <v>13.5</v>
      </c>
      <c r="V1242" s="10"/>
      <c r="W1242" s="12">
        <f t="shared" si="330"/>
        <v>1890</v>
      </c>
      <c r="X1242" s="18"/>
      <c r="Y1242" s="10">
        <v>21</v>
      </c>
      <c r="Z1242" s="30"/>
      <c r="AB1242" s="46"/>
      <c r="AC1242" s="31"/>
      <c r="AD1242" s="31"/>
      <c r="AE1242" s="32">
        <f t="shared" si="331"/>
        <v>0</v>
      </c>
      <c r="AF1242" s="10"/>
      <c r="AG1242" s="10"/>
      <c r="AH1242" s="10"/>
      <c r="AI1242" s="12">
        <f t="shared" si="332"/>
        <v>0</v>
      </c>
      <c r="AJ1242" s="18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customFormat="1" x14ac:dyDescent="0.25">
      <c r="A1243" s="10">
        <v>22</v>
      </c>
      <c r="B1243" s="30"/>
      <c r="C1243" s="88"/>
      <c r="D1243" s="32"/>
      <c r="E1243" s="32"/>
      <c r="F1243" s="32"/>
      <c r="G1243" s="32">
        <f t="shared" si="327"/>
        <v>0</v>
      </c>
      <c r="H1243" s="10"/>
      <c r="I1243" s="10"/>
      <c r="J1243" s="10"/>
      <c r="K1243" s="12">
        <f t="shared" si="328"/>
        <v>0</v>
      </c>
      <c r="L1243" s="18"/>
      <c r="M1243" s="10">
        <v>22</v>
      </c>
      <c r="N1243" s="30" t="s">
        <v>105</v>
      </c>
      <c r="O1243" s="31">
        <f t="shared" si="333"/>
        <v>7572</v>
      </c>
      <c r="P1243" s="45">
        <f>2504+1788+66.5</f>
        <v>4358.5</v>
      </c>
      <c r="Q1243" s="31"/>
      <c r="R1243" s="31"/>
      <c r="S1243" s="32">
        <f t="shared" si="329"/>
        <v>4358.5</v>
      </c>
      <c r="T1243" s="10"/>
      <c r="U1243" s="10"/>
      <c r="V1243" s="10"/>
      <c r="W1243" s="12">
        <f t="shared" si="330"/>
        <v>4358.5</v>
      </c>
      <c r="X1243" s="18"/>
      <c r="Y1243" s="10">
        <v>22</v>
      </c>
      <c r="Z1243" s="30"/>
      <c r="AA1243" s="31"/>
      <c r="AB1243" s="45"/>
      <c r="AC1243" s="31"/>
      <c r="AD1243" s="31"/>
      <c r="AE1243" s="32">
        <f t="shared" si="331"/>
        <v>0</v>
      </c>
      <c r="AF1243" s="10"/>
      <c r="AG1243" s="10"/>
      <c r="AH1243" s="10"/>
      <c r="AI1243" s="12">
        <f t="shared" si="332"/>
        <v>0</v>
      </c>
      <c r="AJ1243" s="18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customFormat="1" x14ac:dyDescent="0.25">
      <c r="A1244" s="10">
        <v>23</v>
      </c>
      <c r="B1244" s="30"/>
      <c r="C1244" s="57"/>
      <c r="D1244" s="32"/>
      <c r="E1244" s="32"/>
      <c r="F1244" s="32"/>
      <c r="G1244" s="32">
        <f t="shared" si="327"/>
        <v>0</v>
      </c>
      <c r="H1244" s="10"/>
      <c r="I1244" s="10"/>
      <c r="J1244" s="12"/>
      <c r="K1244" s="12">
        <f t="shared" si="328"/>
        <v>0</v>
      </c>
      <c r="L1244" s="18"/>
      <c r="M1244" s="10">
        <v>23</v>
      </c>
      <c r="N1244" s="30" t="s">
        <v>105</v>
      </c>
      <c r="O1244" s="31">
        <f t="shared" si="333"/>
        <v>7573</v>
      </c>
      <c r="P1244" s="47">
        <f>3130+2980+95</f>
        <v>6205</v>
      </c>
      <c r="Q1244" s="31"/>
      <c r="S1244" s="32">
        <f t="shared" si="329"/>
        <v>6205</v>
      </c>
      <c r="T1244" s="10"/>
      <c r="U1244" s="10"/>
      <c r="V1244" s="10"/>
      <c r="W1244" s="12">
        <f t="shared" si="330"/>
        <v>6205</v>
      </c>
      <c r="X1244" s="18"/>
      <c r="Y1244" s="10">
        <v>23</v>
      </c>
      <c r="Z1244" s="30"/>
      <c r="AA1244" s="31"/>
      <c r="AB1244" s="47"/>
      <c r="AC1244" s="31"/>
      <c r="AE1244" s="32">
        <f t="shared" si="331"/>
        <v>0</v>
      </c>
      <c r="AF1244" s="10"/>
      <c r="AG1244" s="10"/>
      <c r="AH1244" s="10"/>
      <c r="AI1244" s="12">
        <f t="shared" si="332"/>
        <v>0</v>
      </c>
      <c r="AJ1244" s="18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customFormat="1" x14ac:dyDescent="0.25">
      <c r="A1245" s="10">
        <v>24</v>
      </c>
      <c r="B1245" s="30"/>
      <c r="C1245" s="88"/>
      <c r="D1245" s="32"/>
      <c r="E1245" s="32"/>
      <c r="F1245" s="32"/>
      <c r="G1245" s="32">
        <f t="shared" si="327"/>
        <v>0</v>
      </c>
      <c r="H1245" s="10"/>
      <c r="I1245" s="10"/>
      <c r="J1245" s="10"/>
      <c r="K1245" s="12">
        <f t="shared" si="328"/>
        <v>0</v>
      </c>
      <c r="L1245" s="18"/>
      <c r="M1245" s="10">
        <v>24</v>
      </c>
      <c r="N1245" s="30" t="s">
        <v>105</v>
      </c>
      <c r="O1245" s="31">
        <f t="shared" si="333"/>
        <v>7574</v>
      </c>
      <c r="P1245" s="47">
        <f>3130+47.5</f>
        <v>3177.5</v>
      </c>
      <c r="Q1245" s="31"/>
      <c r="R1245" s="31"/>
      <c r="S1245" s="32">
        <f t="shared" si="329"/>
        <v>3177.5</v>
      </c>
      <c r="T1245" s="10"/>
      <c r="U1245" s="10"/>
      <c r="V1245" s="10"/>
      <c r="W1245" s="12">
        <f t="shared" si="330"/>
        <v>3177.5</v>
      </c>
      <c r="X1245" s="18"/>
      <c r="Y1245" s="10">
        <v>24</v>
      </c>
      <c r="Z1245" s="30"/>
      <c r="AA1245" s="31"/>
      <c r="AB1245" s="47"/>
      <c r="AC1245" s="31"/>
      <c r="AD1245" s="31"/>
      <c r="AE1245" s="32">
        <f t="shared" si="331"/>
        <v>0</v>
      </c>
      <c r="AF1245" s="10"/>
      <c r="AG1245" s="10"/>
      <c r="AH1245" s="10"/>
      <c r="AI1245" s="12">
        <f t="shared" si="332"/>
        <v>0</v>
      </c>
      <c r="AJ1245" s="18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customFormat="1" x14ac:dyDescent="0.25">
      <c r="A1246" s="10">
        <v>25</v>
      </c>
      <c r="B1246" s="30"/>
      <c r="C1246" s="88"/>
      <c r="D1246" s="32"/>
      <c r="E1246" s="32"/>
      <c r="F1246" s="32"/>
      <c r="G1246" s="32">
        <f t="shared" si="327"/>
        <v>0</v>
      </c>
      <c r="H1246" s="10"/>
      <c r="I1246" s="10"/>
      <c r="J1246" s="10"/>
      <c r="K1246" s="12">
        <f t="shared" si="328"/>
        <v>0</v>
      </c>
      <c r="L1246" s="18"/>
      <c r="M1246" s="10">
        <v>25</v>
      </c>
      <c r="N1246" s="30" t="s">
        <v>105</v>
      </c>
      <c r="O1246" s="31">
        <f t="shared" si="333"/>
        <v>7575</v>
      </c>
      <c r="P1246" s="47">
        <f>1192+19</f>
        <v>1211</v>
      </c>
      <c r="Q1246" s="31"/>
      <c r="R1246" s="31"/>
      <c r="S1246" s="32">
        <f t="shared" si="329"/>
        <v>1211</v>
      </c>
      <c r="T1246" s="10"/>
      <c r="U1246" s="10"/>
      <c r="V1246" s="10"/>
      <c r="W1246" s="12">
        <f t="shared" si="330"/>
        <v>1211</v>
      </c>
      <c r="X1246" s="18"/>
      <c r="Y1246" s="10">
        <v>25</v>
      </c>
      <c r="Z1246" s="30"/>
      <c r="AA1246" s="31"/>
      <c r="AB1246" s="47"/>
      <c r="AC1246" s="31"/>
      <c r="AD1246" s="31"/>
      <c r="AE1246" s="32">
        <f t="shared" si="331"/>
        <v>0</v>
      </c>
      <c r="AF1246" s="10"/>
      <c r="AG1246" s="10"/>
      <c r="AH1246" s="10"/>
      <c r="AI1246" s="12">
        <f t="shared" si="332"/>
        <v>0</v>
      </c>
      <c r="AJ1246" s="18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customFormat="1" x14ac:dyDescent="0.25">
      <c r="A1247" s="10">
        <v>26</v>
      </c>
      <c r="B1247" s="30"/>
      <c r="C1247" s="88"/>
      <c r="D1247" s="32"/>
      <c r="E1247" s="32"/>
      <c r="F1247" s="32"/>
      <c r="G1247" s="32">
        <f t="shared" si="327"/>
        <v>0</v>
      </c>
      <c r="H1247" s="10"/>
      <c r="I1247" s="10"/>
      <c r="J1247" s="10"/>
      <c r="K1247" s="12">
        <f t="shared" si="328"/>
        <v>0</v>
      </c>
      <c r="L1247" s="18"/>
      <c r="M1247" s="10">
        <v>26</v>
      </c>
      <c r="N1247" s="30" t="s">
        <v>105</v>
      </c>
      <c r="O1247" s="31">
        <f t="shared" si="333"/>
        <v>7576</v>
      </c>
      <c r="P1247" s="47">
        <f>1878+28.5</f>
        <v>1906.5</v>
      </c>
      <c r="Q1247" s="31"/>
      <c r="R1247" s="31"/>
      <c r="S1247" s="32">
        <f t="shared" si="329"/>
        <v>1906.5</v>
      </c>
      <c r="T1247" s="10"/>
      <c r="U1247" s="10">
        <v>13.5</v>
      </c>
      <c r="V1247" s="10"/>
      <c r="W1247" s="12">
        <f t="shared" si="330"/>
        <v>1920</v>
      </c>
      <c r="X1247" s="18"/>
      <c r="Y1247" s="10">
        <v>26</v>
      </c>
      <c r="Z1247" s="30"/>
      <c r="AA1247" s="31"/>
      <c r="AB1247" s="47"/>
      <c r="AC1247" s="31"/>
      <c r="AD1247" s="31"/>
      <c r="AE1247" s="32">
        <f t="shared" si="331"/>
        <v>0</v>
      </c>
      <c r="AF1247" s="10"/>
      <c r="AG1247" s="10"/>
      <c r="AH1247" s="10"/>
      <c r="AI1247" s="12">
        <f t="shared" si="332"/>
        <v>0</v>
      </c>
      <c r="AJ1247" s="18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customFormat="1" x14ac:dyDescent="0.25">
      <c r="A1248" s="10">
        <v>27</v>
      </c>
      <c r="B1248" s="30"/>
      <c r="C1248" s="88"/>
      <c r="D1248" s="32"/>
      <c r="E1248" s="32"/>
      <c r="F1248" s="32"/>
      <c r="G1248" s="32">
        <f t="shared" si="327"/>
        <v>0</v>
      </c>
      <c r="H1248" s="10"/>
      <c r="I1248" s="10"/>
      <c r="J1248" s="10"/>
      <c r="K1248" s="12">
        <f t="shared" si="328"/>
        <v>0</v>
      </c>
      <c r="L1248" s="18"/>
      <c r="M1248" s="10">
        <v>27</v>
      </c>
      <c r="N1248" s="30" t="s">
        <v>105</v>
      </c>
      <c r="O1248" s="31">
        <f t="shared" si="333"/>
        <v>7577</v>
      </c>
      <c r="P1248" s="47">
        <f>626*10+1192+114</f>
        <v>7566</v>
      </c>
      <c r="Q1248" s="31"/>
      <c r="R1248" s="31"/>
      <c r="S1248" s="32">
        <f t="shared" si="329"/>
        <v>7566</v>
      </c>
      <c r="T1248" s="10"/>
      <c r="U1248" s="10"/>
      <c r="V1248" s="10"/>
      <c r="W1248" s="12">
        <f t="shared" si="330"/>
        <v>7566</v>
      </c>
      <c r="X1248" s="18"/>
      <c r="Y1248" s="10">
        <v>27</v>
      </c>
      <c r="Z1248" s="30"/>
      <c r="AA1248" s="31"/>
      <c r="AB1248" s="47"/>
      <c r="AC1248" s="31"/>
      <c r="AD1248" s="31"/>
      <c r="AE1248" s="32">
        <f t="shared" si="331"/>
        <v>0</v>
      </c>
      <c r="AF1248" s="10"/>
      <c r="AG1248" s="10"/>
      <c r="AH1248" s="10"/>
      <c r="AI1248" s="12">
        <f t="shared" si="332"/>
        <v>0</v>
      </c>
      <c r="AJ1248" s="18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customFormat="1" x14ac:dyDescent="0.25">
      <c r="A1249" s="10">
        <v>28</v>
      </c>
      <c r="B1249" s="30"/>
      <c r="C1249" s="88"/>
      <c r="D1249" s="32"/>
      <c r="E1249" s="32"/>
      <c r="F1249" s="32"/>
      <c r="G1249" s="32">
        <f t="shared" si="327"/>
        <v>0</v>
      </c>
      <c r="H1249" s="10"/>
      <c r="I1249" s="10"/>
      <c r="J1249" s="10"/>
      <c r="K1249" s="12">
        <f t="shared" si="328"/>
        <v>0</v>
      </c>
      <c r="L1249" s="18"/>
      <c r="M1249" s="10">
        <v>28</v>
      </c>
      <c r="N1249" s="30"/>
      <c r="O1249" s="11" t="s">
        <v>27</v>
      </c>
      <c r="P1249" s="47"/>
      <c r="Q1249" s="31"/>
      <c r="R1249" s="31"/>
      <c r="S1249" s="32">
        <f t="shared" si="329"/>
        <v>0</v>
      </c>
      <c r="T1249" s="10"/>
      <c r="U1249" s="10"/>
      <c r="V1249" s="10"/>
      <c r="W1249" s="12">
        <f t="shared" si="330"/>
        <v>0</v>
      </c>
      <c r="X1249" s="18"/>
      <c r="Y1249" s="10">
        <v>28</v>
      </c>
      <c r="Z1249" s="30"/>
      <c r="AA1249" s="31"/>
      <c r="AB1249" s="47"/>
      <c r="AC1249" s="31"/>
      <c r="AD1249" s="31"/>
      <c r="AE1249" s="32">
        <f t="shared" si="331"/>
        <v>0</v>
      </c>
      <c r="AF1249" s="10"/>
      <c r="AG1249" s="10"/>
      <c r="AH1249" s="10"/>
      <c r="AI1249" s="12">
        <f t="shared" si="332"/>
        <v>0</v>
      </c>
      <c r="AJ1249" s="18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customFormat="1" x14ac:dyDescent="0.25">
      <c r="A1250" s="10">
        <v>29</v>
      </c>
      <c r="B1250" s="30"/>
      <c r="C1250" s="88"/>
      <c r="D1250" s="32"/>
      <c r="E1250" s="32"/>
      <c r="F1250" s="32"/>
      <c r="G1250" s="32">
        <f t="shared" si="327"/>
        <v>0</v>
      </c>
      <c r="H1250" s="10"/>
      <c r="I1250" s="10"/>
      <c r="J1250" s="10"/>
      <c r="K1250" s="12">
        <f t="shared" si="328"/>
        <v>0</v>
      </c>
      <c r="L1250" s="18"/>
      <c r="M1250" s="10">
        <v>29</v>
      </c>
      <c r="N1250" s="30"/>
      <c r="O1250" s="31"/>
      <c r="P1250" s="47"/>
      <c r="Q1250" s="31"/>
      <c r="R1250" s="31"/>
      <c r="S1250" s="32">
        <f t="shared" si="329"/>
        <v>0</v>
      </c>
      <c r="T1250" s="10"/>
      <c r="U1250" s="10"/>
      <c r="V1250" s="10"/>
      <c r="W1250" s="12">
        <f t="shared" si="330"/>
        <v>0</v>
      </c>
      <c r="X1250" s="18"/>
      <c r="Y1250" s="10">
        <v>29</v>
      </c>
      <c r="Z1250" s="30"/>
      <c r="AA1250" s="31"/>
      <c r="AB1250" s="47"/>
      <c r="AC1250" s="31"/>
      <c r="AD1250" s="31"/>
      <c r="AE1250" s="32">
        <f t="shared" si="331"/>
        <v>0</v>
      </c>
      <c r="AF1250" s="10"/>
      <c r="AG1250" s="10"/>
      <c r="AH1250" s="10"/>
      <c r="AI1250" s="12">
        <f t="shared" si="332"/>
        <v>0</v>
      </c>
      <c r="AJ1250" s="18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customFormat="1" x14ac:dyDescent="0.25">
      <c r="A1251" s="10">
        <v>30</v>
      </c>
      <c r="B1251" s="30"/>
      <c r="C1251" s="57"/>
      <c r="D1251" s="32"/>
      <c r="E1251" s="32"/>
      <c r="F1251" s="32"/>
      <c r="G1251" s="32">
        <f t="shared" si="327"/>
        <v>0</v>
      </c>
      <c r="H1251" s="10"/>
      <c r="I1251" s="10"/>
      <c r="J1251" s="10"/>
      <c r="K1251" s="12">
        <f t="shared" si="328"/>
        <v>0</v>
      </c>
      <c r="L1251" s="18"/>
      <c r="M1251" s="10">
        <v>30</v>
      </c>
      <c r="N1251" s="30"/>
      <c r="O1251" s="31"/>
      <c r="P1251" s="47"/>
      <c r="Q1251" s="31"/>
      <c r="R1251" s="31"/>
      <c r="S1251" s="32">
        <f t="shared" si="329"/>
        <v>0</v>
      </c>
      <c r="T1251" s="10"/>
      <c r="U1251" s="10"/>
      <c r="V1251" s="10"/>
      <c r="W1251" s="12">
        <f t="shared" si="330"/>
        <v>0</v>
      </c>
      <c r="X1251" s="18"/>
      <c r="Y1251" s="10">
        <v>30</v>
      </c>
      <c r="Z1251" s="30"/>
      <c r="AA1251" s="31"/>
      <c r="AB1251" s="47"/>
      <c r="AC1251" s="31"/>
      <c r="AD1251" s="31"/>
      <c r="AE1251" s="32">
        <f t="shared" si="331"/>
        <v>0</v>
      </c>
      <c r="AF1251" s="10"/>
      <c r="AG1251" s="10"/>
      <c r="AH1251" s="10"/>
      <c r="AI1251" s="12">
        <f t="shared" si="332"/>
        <v>0</v>
      </c>
      <c r="AJ1251" s="18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customFormat="1" x14ac:dyDescent="0.25">
      <c r="A1252" s="10">
        <v>31</v>
      </c>
      <c r="B1252" s="30"/>
      <c r="C1252" s="88"/>
      <c r="D1252" s="32"/>
      <c r="E1252" s="32"/>
      <c r="F1252" s="32"/>
      <c r="G1252" s="32">
        <f t="shared" si="327"/>
        <v>0</v>
      </c>
      <c r="H1252" s="10"/>
      <c r="I1252" s="10"/>
      <c r="J1252" s="10"/>
      <c r="K1252" s="12">
        <f t="shared" si="328"/>
        <v>0</v>
      </c>
      <c r="L1252" s="18"/>
      <c r="M1252" s="10">
        <v>31</v>
      </c>
      <c r="N1252" s="30"/>
      <c r="P1252" s="47"/>
      <c r="Q1252" s="31"/>
      <c r="R1252" s="31"/>
      <c r="S1252" s="32">
        <f t="shared" si="329"/>
        <v>0</v>
      </c>
      <c r="T1252" s="10"/>
      <c r="U1252" s="10"/>
      <c r="V1252" s="10"/>
      <c r="W1252" s="12">
        <f t="shared" si="330"/>
        <v>0</v>
      </c>
      <c r="X1252" s="18"/>
      <c r="Y1252" s="10">
        <v>31</v>
      </c>
      <c r="Z1252" s="30"/>
      <c r="AB1252" s="47"/>
      <c r="AC1252" s="31"/>
      <c r="AD1252" s="31"/>
      <c r="AE1252" s="32">
        <f t="shared" si="331"/>
        <v>0</v>
      </c>
      <c r="AF1252" s="10"/>
      <c r="AG1252" s="10"/>
      <c r="AH1252" s="10"/>
      <c r="AI1252" s="12">
        <f t="shared" si="332"/>
        <v>0</v>
      </c>
      <c r="AJ1252" s="18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customFormat="1" x14ac:dyDescent="0.25">
      <c r="A1253" s="10">
        <v>32</v>
      </c>
      <c r="B1253" s="30"/>
      <c r="C1253" s="88"/>
      <c r="D1253" s="32"/>
      <c r="E1253" s="32"/>
      <c r="F1253" s="32"/>
      <c r="G1253" s="32">
        <f t="shared" si="327"/>
        <v>0</v>
      </c>
      <c r="H1253" s="10"/>
      <c r="I1253" s="10"/>
      <c r="J1253" s="10"/>
      <c r="K1253" s="12">
        <f t="shared" si="328"/>
        <v>0</v>
      </c>
      <c r="L1253" s="18"/>
      <c r="M1253" s="10">
        <v>32</v>
      </c>
      <c r="N1253" s="30"/>
      <c r="O1253" s="31"/>
      <c r="P1253" s="47"/>
      <c r="Q1253" s="31"/>
      <c r="R1253" s="31"/>
      <c r="S1253" s="32">
        <f t="shared" si="329"/>
        <v>0</v>
      </c>
      <c r="T1253" s="10"/>
      <c r="U1253" s="10"/>
      <c r="V1253" s="10"/>
      <c r="W1253" s="12">
        <f t="shared" si="330"/>
        <v>0</v>
      </c>
      <c r="X1253" s="18"/>
      <c r="Y1253" s="10">
        <v>32</v>
      </c>
      <c r="Z1253" s="30"/>
      <c r="AA1253" s="31"/>
      <c r="AB1253" s="47"/>
      <c r="AC1253" s="31"/>
      <c r="AD1253" s="31"/>
      <c r="AE1253" s="32">
        <f t="shared" si="331"/>
        <v>0</v>
      </c>
      <c r="AF1253" s="10"/>
      <c r="AG1253" s="10"/>
      <c r="AH1253" s="10"/>
      <c r="AI1253" s="12">
        <f t="shared" si="332"/>
        <v>0</v>
      </c>
      <c r="AJ1253" s="18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customFormat="1" x14ac:dyDescent="0.25">
      <c r="A1254" s="10">
        <v>33</v>
      </c>
      <c r="B1254" s="30"/>
      <c r="C1254" s="88"/>
      <c r="D1254" s="32"/>
      <c r="E1254" s="32"/>
      <c r="F1254" s="32"/>
      <c r="G1254" s="32">
        <f t="shared" si="327"/>
        <v>0</v>
      </c>
      <c r="H1254" s="10"/>
      <c r="I1254" s="10"/>
      <c r="J1254" s="10"/>
      <c r="K1254" s="12">
        <f t="shared" si="328"/>
        <v>0</v>
      </c>
      <c r="L1254" s="18"/>
      <c r="M1254" s="10">
        <v>33</v>
      </c>
      <c r="N1254" s="30"/>
      <c r="O1254" s="31"/>
      <c r="P1254" s="47"/>
      <c r="Q1254" s="31"/>
      <c r="R1254" s="31"/>
      <c r="S1254" s="32">
        <f t="shared" si="329"/>
        <v>0</v>
      </c>
      <c r="T1254" s="10"/>
      <c r="U1254" s="10"/>
      <c r="V1254" s="10"/>
      <c r="W1254" s="12">
        <f t="shared" si="330"/>
        <v>0</v>
      </c>
      <c r="X1254" s="18"/>
      <c r="Y1254" s="10">
        <v>33</v>
      </c>
      <c r="Z1254" s="30"/>
      <c r="AA1254" s="31"/>
      <c r="AB1254" s="47"/>
      <c r="AC1254" s="31"/>
      <c r="AD1254" s="31"/>
      <c r="AE1254" s="32">
        <f t="shared" si="331"/>
        <v>0</v>
      </c>
      <c r="AF1254" s="10"/>
      <c r="AG1254" s="10"/>
      <c r="AH1254" s="10"/>
      <c r="AI1254" s="12">
        <f t="shared" si="332"/>
        <v>0</v>
      </c>
      <c r="AJ1254" s="18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customFormat="1" x14ac:dyDescent="0.25">
      <c r="A1255" s="10"/>
      <c r="B1255" s="30"/>
      <c r="C1255" s="88"/>
      <c r="D1255" s="32"/>
      <c r="E1255" s="32"/>
      <c r="F1255" s="32"/>
      <c r="G1255" s="32">
        <f t="shared" si="327"/>
        <v>0</v>
      </c>
      <c r="H1255" s="10"/>
      <c r="I1255" s="10"/>
      <c r="J1255" s="10"/>
      <c r="K1255" s="12">
        <f t="shared" si="328"/>
        <v>0</v>
      </c>
      <c r="L1255" s="18"/>
      <c r="M1255" s="10">
        <v>34</v>
      </c>
      <c r="N1255" s="30"/>
      <c r="P1255" s="47"/>
      <c r="Q1255" s="31"/>
      <c r="R1255" s="31"/>
      <c r="S1255" s="32">
        <f t="shared" si="329"/>
        <v>0</v>
      </c>
      <c r="T1255" s="10"/>
      <c r="U1255" s="10"/>
      <c r="V1255" s="10"/>
      <c r="W1255" s="12">
        <f t="shared" si="330"/>
        <v>0</v>
      </c>
      <c r="X1255" s="18"/>
      <c r="Y1255" s="10">
        <v>34</v>
      </c>
      <c r="Z1255" s="30"/>
      <c r="AB1255" s="47"/>
      <c r="AC1255" s="31"/>
      <c r="AD1255" s="31"/>
      <c r="AE1255" s="32">
        <f t="shared" si="331"/>
        <v>0</v>
      </c>
      <c r="AF1255" s="10"/>
      <c r="AG1255" s="10"/>
      <c r="AH1255" s="10"/>
      <c r="AI1255" s="12">
        <f t="shared" si="332"/>
        <v>0</v>
      </c>
      <c r="AJ1255" s="18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customFormat="1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L1256" s="18"/>
      <c r="M1256" s="10">
        <v>35</v>
      </c>
      <c r="N1256" s="30"/>
      <c r="O1256" s="31"/>
      <c r="P1256" s="47"/>
      <c r="Q1256" s="31"/>
      <c r="R1256" s="31"/>
      <c r="S1256" s="32">
        <f t="shared" si="329"/>
        <v>0</v>
      </c>
      <c r="T1256" s="10"/>
      <c r="U1256" s="10"/>
      <c r="V1256" s="10"/>
      <c r="W1256" s="12">
        <f t="shared" si="330"/>
        <v>0</v>
      </c>
      <c r="X1256" s="18"/>
      <c r="Y1256" s="10">
        <v>35</v>
      </c>
      <c r="Z1256" s="30"/>
      <c r="AA1256" s="31"/>
      <c r="AB1256" s="47"/>
      <c r="AC1256" s="31"/>
      <c r="AD1256" s="31"/>
      <c r="AE1256" s="32">
        <f t="shared" si="331"/>
        <v>0</v>
      </c>
      <c r="AF1256" s="10"/>
      <c r="AG1256" s="10"/>
      <c r="AH1256" s="10"/>
      <c r="AI1256" s="12">
        <f t="shared" si="332"/>
        <v>0</v>
      </c>
      <c r="AJ1256" s="18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customFormat="1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L1257" s="18"/>
      <c r="M1257" s="10">
        <v>36</v>
      </c>
      <c r="N1257" s="30"/>
      <c r="O1257" s="31"/>
      <c r="P1257" s="47"/>
      <c r="Q1257" s="31"/>
      <c r="R1257" s="31"/>
      <c r="S1257" s="32">
        <f t="shared" si="329"/>
        <v>0</v>
      </c>
      <c r="T1257" s="10"/>
      <c r="U1257" s="10"/>
      <c r="V1257" s="10"/>
      <c r="W1257" s="12">
        <f t="shared" si="330"/>
        <v>0</v>
      </c>
      <c r="X1257" s="18"/>
      <c r="Y1257" s="10">
        <v>36</v>
      </c>
      <c r="Z1257" s="30"/>
      <c r="AA1257" s="31"/>
      <c r="AB1257" s="47"/>
      <c r="AC1257" s="31"/>
      <c r="AD1257" s="31"/>
      <c r="AE1257" s="32">
        <f t="shared" si="331"/>
        <v>0</v>
      </c>
      <c r="AF1257" s="10"/>
      <c r="AG1257" s="10"/>
      <c r="AH1257" s="10"/>
      <c r="AI1257" s="12">
        <f t="shared" si="332"/>
        <v>0</v>
      </c>
      <c r="AJ1257" s="18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customFormat="1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L1258" s="18"/>
      <c r="M1258" s="10">
        <v>37</v>
      </c>
      <c r="N1258" s="30"/>
      <c r="P1258" s="47"/>
      <c r="Q1258" s="31"/>
      <c r="R1258" s="31"/>
      <c r="S1258" s="32">
        <f t="shared" si="329"/>
        <v>0</v>
      </c>
      <c r="T1258" s="10"/>
      <c r="U1258" s="10"/>
      <c r="V1258" s="10"/>
      <c r="W1258" s="12">
        <f t="shared" si="330"/>
        <v>0</v>
      </c>
      <c r="X1258" s="18"/>
      <c r="Y1258" s="10">
        <v>37</v>
      </c>
      <c r="Z1258" s="30"/>
      <c r="AA1258" s="31"/>
      <c r="AB1258" s="47"/>
      <c r="AC1258" s="31"/>
      <c r="AD1258" s="31"/>
      <c r="AE1258" s="32">
        <f t="shared" si="331"/>
        <v>0</v>
      </c>
      <c r="AF1258" s="10"/>
      <c r="AG1258" s="10"/>
      <c r="AH1258" s="10"/>
      <c r="AI1258" s="12">
        <f t="shared" si="332"/>
        <v>0</v>
      </c>
      <c r="AJ1258" s="18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customFormat="1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L1259" s="18"/>
      <c r="M1259" s="10">
        <v>38</v>
      </c>
      <c r="N1259" s="30"/>
      <c r="O1259" s="31"/>
      <c r="P1259" s="47"/>
      <c r="Q1259" s="31"/>
      <c r="R1259" s="31"/>
      <c r="S1259" s="32">
        <f t="shared" si="329"/>
        <v>0</v>
      </c>
      <c r="T1259" s="10"/>
      <c r="U1259" s="10"/>
      <c r="V1259" s="10"/>
      <c r="W1259" s="12">
        <f t="shared" si="330"/>
        <v>0</v>
      </c>
      <c r="X1259" s="18"/>
      <c r="Y1259" s="10">
        <v>38</v>
      </c>
      <c r="Z1259" s="30"/>
      <c r="AA1259" s="31"/>
      <c r="AB1259" s="47"/>
      <c r="AC1259" s="31"/>
      <c r="AD1259" s="31"/>
      <c r="AE1259" s="32">
        <f t="shared" si="331"/>
        <v>0</v>
      </c>
      <c r="AF1259" s="10"/>
      <c r="AG1259" s="10"/>
      <c r="AH1259" s="10"/>
      <c r="AI1259" s="12">
        <f t="shared" si="332"/>
        <v>0</v>
      </c>
      <c r="AJ1259" s="18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customFormat="1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L1260" s="18"/>
      <c r="M1260" s="10">
        <v>39</v>
      </c>
      <c r="N1260" s="30"/>
      <c r="O1260" s="31"/>
      <c r="P1260" s="47"/>
      <c r="Q1260" s="31"/>
      <c r="R1260" s="31"/>
      <c r="S1260" s="32">
        <f t="shared" si="329"/>
        <v>0</v>
      </c>
      <c r="T1260" s="10"/>
      <c r="U1260" s="10"/>
      <c r="V1260" s="10"/>
      <c r="W1260" s="12">
        <f t="shared" si="330"/>
        <v>0</v>
      </c>
      <c r="X1260" s="18"/>
      <c r="Y1260" s="10">
        <v>39</v>
      </c>
      <c r="Z1260" s="30"/>
      <c r="AA1260" s="31"/>
      <c r="AB1260" s="47"/>
      <c r="AC1260" s="31"/>
      <c r="AD1260" s="31"/>
      <c r="AE1260" s="32">
        <f t="shared" si="331"/>
        <v>0</v>
      </c>
      <c r="AF1260" s="10"/>
      <c r="AG1260" s="10"/>
      <c r="AH1260" s="10"/>
      <c r="AI1260" s="12">
        <f t="shared" si="332"/>
        <v>0</v>
      </c>
      <c r="AJ1260" s="18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customFormat="1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L1261" s="18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30"/>
        <v>0</v>
      </c>
      <c r="X1261" s="18"/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32"/>
        <v>0</v>
      </c>
      <c r="AJ1261" s="18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customFormat="1" x14ac:dyDescent="0.25">
      <c r="A1262" s="10"/>
      <c r="B1262" s="30"/>
      <c r="C1262" s="31"/>
      <c r="D1262" s="32"/>
      <c r="E1262" s="32"/>
      <c r="F1262" s="32"/>
      <c r="G1262" s="32">
        <f t="shared" ref="G1262" si="335">SUM(D1262:E1262)</f>
        <v>0</v>
      </c>
      <c r="H1262" s="10"/>
      <c r="I1262" s="10"/>
      <c r="J1262" s="10"/>
      <c r="K1262" s="12">
        <f t="shared" ref="K1262" si="336">SUM(G1262:J1262)</f>
        <v>0</v>
      </c>
      <c r="L1262" s="18"/>
      <c r="M1262" s="10"/>
      <c r="N1262" s="30"/>
      <c r="O1262" s="31"/>
      <c r="P1262" s="47"/>
      <c r="Q1262" s="31"/>
      <c r="R1262" s="31"/>
      <c r="S1262" s="32">
        <f t="shared" ref="S1262" si="337">SUM(P1262:Q1262)</f>
        <v>0</v>
      </c>
      <c r="T1262" s="10"/>
      <c r="U1262" s="10"/>
      <c r="V1262" s="10"/>
      <c r="W1262" s="12">
        <f t="shared" si="330"/>
        <v>0</v>
      </c>
      <c r="X1262" s="18"/>
      <c r="Y1262" s="10"/>
      <c r="Z1262" s="30"/>
      <c r="AA1262" s="31"/>
      <c r="AB1262" s="47"/>
      <c r="AC1262" s="31"/>
      <c r="AD1262" s="31"/>
      <c r="AE1262" s="32">
        <f t="shared" ref="AE1262" si="338">SUM(AB1262:AC1262)</f>
        <v>0</v>
      </c>
      <c r="AF1262" s="10"/>
      <c r="AG1262" s="10"/>
      <c r="AH1262" s="10"/>
      <c r="AI1262" s="12">
        <f t="shared" si="332"/>
        <v>0</v>
      </c>
      <c r="AJ1262" s="18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customFormat="1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L1263" s="18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30"/>
        <v>0</v>
      </c>
      <c r="X1263" s="18"/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32"/>
        <v>0</v>
      </c>
      <c r="AJ1263" s="18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customFormat="1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L1264" s="18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X1264" s="18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J1264" s="18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customFormat="1" x14ac:dyDescent="0.25">
      <c r="B1265" s="57"/>
      <c r="C1265" s="57"/>
      <c r="D1265" s="38">
        <f>SUM(D1222:D1264)</f>
        <v>132774</v>
      </c>
      <c r="E1265" s="38">
        <f t="shared" ref="E1265:F1265" si="339">SUM(E1222:E1262)</f>
        <v>-1917</v>
      </c>
      <c r="F1265" s="38">
        <f t="shared" si="339"/>
        <v>0</v>
      </c>
      <c r="G1265" s="38">
        <f>SUM(G1222:G1264)</f>
        <v>130857</v>
      </c>
      <c r="H1265" s="4"/>
      <c r="I1265" s="39">
        <f>SUM(I1222:I1264)</f>
        <v>238.5</v>
      </c>
      <c r="J1265" s="39">
        <f>SUM(J1222:J1264)</f>
        <v>-127790</v>
      </c>
      <c r="K1265" s="40">
        <f>SUM(K1222:K1264)</f>
        <v>3305.5</v>
      </c>
      <c r="L1265" s="18"/>
      <c r="N1265" s="57"/>
      <c r="O1265" s="57"/>
      <c r="P1265" s="38">
        <f>SUM(P1222:P1264)</f>
        <v>124174.5</v>
      </c>
      <c r="Q1265" s="38">
        <f>SUM(Q1222:Q1246)</f>
        <v>0</v>
      </c>
      <c r="R1265" s="38">
        <f>SUM(R1222:R1246)</f>
        <v>0</v>
      </c>
      <c r="S1265" s="38">
        <f>SUM(S1222:S1264)</f>
        <v>124174.5</v>
      </c>
      <c r="T1265" s="4"/>
      <c r="U1265" s="41">
        <f>SUM(U1222:U1264)</f>
        <v>64.5</v>
      </c>
      <c r="V1265" s="41">
        <f>SUM(V1222:V1246)</f>
        <v>0</v>
      </c>
      <c r="W1265" s="42">
        <f>SUM(W1222:W1264)</f>
        <v>124239</v>
      </c>
      <c r="X1265" s="18"/>
      <c r="Z1265" s="57"/>
      <c r="AA1265" s="57"/>
      <c r="AB1265" s="38">
        <f>SUM(AB1222:AB1264)</f>
        <v>256119</v>
      </c>
      <c r="AC1265" s="38">
        <f>SUM(AC1222:AC1246)</f>
        <v>-2232</v>
      </c>
      <c r="AD1265" s="38">
        <f>SUM(AD1222:AD1246)</f>
        <v>0</v>
      </c>
      <c r="AE1265" s="38">
        <f>SUM(AE1222:AE1264)</f>
        <v>253887</v>
      </c>
      <c r="AF1265" s="4"/>
      <c r="AG1265" s="41">
        <f>SUM(AG1222:AG1264)</f>
        <v>663</v>
      </c>
      <c r="AH1265" s="41">
        <f>SUM(AH1222:AH1246)</f>
        <v>-7104</v>
      </c>
      <c r="AI1265" s="42">
        <f>SUM(AI1222:AI1264)</f>
        <v>247446</v>
      </c>
      <c r="AJ1265" s="18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customFormat="1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J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customFormat="1" x14ac:dyDescent="0.25">
      <c r="A1267" t="s">
        <v>0</v>
      </c>
      <c r="B1267" s="57"/>
      <c r="C1267" s="57"/>
      <c r="D1267" s="57"/>
      <c r="E1267" s="57"/>
      <c r="F1267" s="57"/>
      <c r="G1267" s="57"/>
      <c r="L1267" s="18"/>
      <c r="M1267" t="s">
        <v>0</v>
      </c>
      <c r="N1267" s="57"/>
      <c r="O1267" s="57"/>
      <c r="P1267" s="57"/>
      <c r="Q1267" s="57"/>
      <c r="R1267" s="57"/>
      <c r="S1267" s="57"/>
      <c r="X1267" s="18"/>
      <c r="Y1267" t="s">
        <v>0</v>
      </c>
      <c r="Z1267" s="57"/>
      <c r="AA1267" s="57"/>
      <c r="AB1267" s="57"/>
      <c r="AC1267" s="57"/>
      <c r="AD1267" s="57"/>
      <c r="AE1267" s="57"/>
      <c r="AJ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customFormat="1" x14ac:dyDescent="0.25">
      <c r="A1268" t="s">
        <v>28</v>
      </c>
      <c r="B1268" s="57"/>
      <c r="C1268" s="57"/>
      <c r="D1268" s="57"/>
      <c r="E1268" s="57"/>
      <c r="F1268" s="57"/>
      <c r="G1268" s="57"/>
      <c r="L1268" s="18"/>
      <c r="M1268" t="s">
        <v>28</v>
      </c>
      <c r="N1268" s="57"/>
      <c r="O1268" s="57"/>
      <c r="P1268" s="57"/>
      <c r="Q1268" s="57"/>
      <c r="R1268" s="57"/>
      <c r="S1268" s="57"/>
      <c r="X1268" s="18"/>
      <c r="Y1268" t="s">
        <v>28</v>
      </c>
      <c r="Z1268" s="57"/>
      <c r="AA1268" s="57"/>
      <c r="AB1268" s="57"/>
      <c r="AC1268" s="57"/>
      <c r="AD1268" s="57"/>
      <c r="AE1268" s="57"/>
      <c r="AJ1268" s="18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customFormat="1" x14ac:dyDescent="0.25">
      <c r="B1269" s="57"/>
      <c r="C1269" s="57"/>
      <c r="D1269" s="57"/>
      <c r="E1269" s="57"/>
      <c r="F1269" s="57"/>
      <c r="G1269" s="57"/>
      <c r="L1269" s="18"/>
      <c r="N1269" s="57"/>
      <c r="O1269" s="57"/>
      <c r="P1269" s="57"/>
      <c r="Q1269" s="57"/>
      <c r="R1269" s="57"/>
      <c r="S1269" s="57"/>
      <c r="X1269" s="18"/>
      <c r="Z1269" s="57"/>
      <c r="AA1269" s="57"/>
      <c r="AB1269" s="57"/>
      <c r="AC1269" s="57"/>
      <c r="AD1269" s="57"/>
      <c r="AE1269" s="57"/>
      <c r="AJ1269" s="18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customFormat="1" x14ac:dyDescent="0.25">
      <c r="A1270" s="4" t="s">
        <v>14</v>
      </c>
      <c r="B1270" s="57"/>
      <c r="C1270" s="57"/>
      <c r="D1270" s="57"/>
      <c r="E1270" s="57"/>
      <c r="F1270" s="57"/>
      <c r="G1270" s="57"/>
      <c r="L1270" s="18"/>
      <c r="M1270" s="4" t="s">
        <v>14</v>
      </c>
      <c r="N1270" s="57"/>
      <c r="O1270" s="57"/>
      <c r="P1270" s="57"/>
      <c r="Q1270" s="57"/>
      <c r="R1270" s="57"/>
      <c r="S1270" s="57"/>
      <c r="X1270" s="18"/>
      <c r="Y1270" s="4" t="s">
        <v>14</v>
      </c>
      <c r="Z1270" s="57"/>
      <c r="AA1270" s="57"/>
      <c r="AB1270" s="57"/>
      <c r="AC1270" s="57"/>
      <c r="AD1270" s="57"/>
      <c r="AE1270" s="57"/>
      <c r="AJ1270" s="18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customFormat="1" x14ac:dyDescent="0.25">
      <c r="B1271" s="57"/>
      <c r="C1271" s="57"/>
      <c r="D1271" s="57"/>
      <c r="E1271" s="57"/>
      <c r="F1271" s="57"/>
      <c r="G1271" s="57"/>
      <c r="L1271" s="18"/>
      <c r="N1271" s="57"/>
      <c r="O1271" s="57"/>
      <c r="P1271" s="57"/>
      <c r="Q1271" s="57"/>
      <c r="R1271" s="57"/>
      <c r="S1271" s="57"/>
      <c r="X1271" s="18"/>
      <c r="Z1271" s="57"/>
      <c r="AA1271" s="57"/>
      <c r="AB1271" s="57"/>
      <c r="AC1271" s="57"/>
      <c r="AD1271" s="57"/>
      <c r="AE1271" s="57"/>
      <c r="AJ1271" s="18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customFormat="1" ht="15.75" x14ac:dyDescent="0.25">
      <c r="A1272" t="s">
        <v>34</v>
      </c>
      <c r="B1272" s="57"/>
      <c r="C1272" s="57"/>
      <c r="D1272" s="57"/>
      <c r="E1272" s="57"/>
      <c r="F1272" s="57"/>
      <c r="G1272" s="57"/>
      <c r="I1272" s="57" t="s">
        <v>15</v>
      </c>
      <c r="J1272" s="19">
        <v>1</v>
      </c>
      <c r="L1272" s="18"/>
      <c r="M1272" t="s">
        <v>34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X1272" s="18"/>
      <c r="Y1272" t="s">
        <v>34</v>
      </c>
      <c r="Z1272" s="57"/>
      <c r="AA1272" s="57"/>
      <c r="AB1272" s="57"/>
      <c r="AC1272" s="57"/>
      <c r="AD1272" s="57"/>
      <c r="AE1272" s="57"/>
      <c r="AG1272" s="57" t="s">
        <v>15</v>
      </c>
      <c r="AH1272" s="19">
        <v>3</v>
      </c>
      <c r="AJ1272" s="18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customFormat="1" x14ac:dyDescent="0.25">
      <c r="A1273" s="21" t="s">
        <v>107</v>
      </c>
      <c r="B1273" s="20"/>
      <c r="C1273" s="57"/>
      <c r="D1273" s="57"/>
      <c r="E1273" s="57"/>
      <c r="F1273" s="57"/>
      <c r="G1273" s="57"/>
      <c r="I1273" s="22" t="s">
        <v>16</v>
      </c>
      <c r="J1273" s="23" t="s">
        <v>33</v>
      </c>
      <c r="K1273" s="24"/>
      <c r="L1273" s="18"/>
      <c r="M1273" s="21" t="s">
        <v>107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42</v>
      </c>
      <c r="W1273" s="24"/>
      <c r="X1273" s="18"/>
      <c r="Y1273" s="21" t="s">
        <v>107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31</v>
      </c>
      <c r="AI1273" s="24"/>
      <c r="AJ1273" s="18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customFormat="1" x14ac:dyDescent="0.25">
      <c r="B1274" s="57"/>
      <c r="C1274" s="57"/>
      <c r="D1274" s="57"/>
      <c r="E1274" s="57"/>
      <c r="F1274" s="57"/>
      <c r="G1274" s="57"/>
      <c r="L1274" s="18"/>
      <c r="N1274" s="57"/>
      <c r="O1274" s="57"/>
      <c r="P1274" s="57"/>
      <c r="Q1274" s="57"/>
      <c r="R1274" s="57"/>
      <c r="S1274" s="57"/>
      <c r="X1274" s="18"/>
      <c r="Z1274" s="57"/>
      <c r="AA1274" s="57"/>
      <c r="AB1274" s="57"/>
      <c r="AC1274" s="57"/>
      <c r="AD1274" s="57"/>
      <c r="AE1274" s="57"/>
      <c r="AJ1274" s="18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customFormat="1" x14ac:dyDescent="0.25">
      <c r="B1275" s="25"/>
      <c r="C1275" s="26"/>
      <c r="D1275" s="121" t="s">
        <v>17</v>
      </c>
      <c r="E1275" s="121"/>
      <c r="F1275" s="113"/>
      <c r="G1275" s="27"/>
      <c r="I1275" s="124" t="s">
        <v>18</v>
      </c>
      <c r="J1275" s="125"/>
      <c r="K1275" s="122" t="s">
        <v>19</v>
      </c>
      <c r="L1275" s="18"/>
      <c r="N1275" s="25"/>
      <c r="O1275" s="26"/>
      <c r="P1275" s="121" t="s">
        <v>17</v>
      </c>
      <c r="Q1275" s="121"/>
      <c r="R1275" s="113"/>
      <c r="S1275" s="27"/>
      <c r="U1275" s="124" t="s">
        <v>18</v>
      </c>
      <c r="V1275" s="125"/>
      <c r="W1275" s="122" t="s">
        <v>19</v>
      </c>
      <c r="X1275" s="18"/>
      <c r="Z1275" s="25"/>
      <c r="AA1275" s="26"/>
      <c r="AB1275" s="121" t="s">
        <v>17</v>
      </c>
      <c r="AC1275" s="121"/>
      <c r="AD1275" s="113"/>
      <c r="AE1275" s="27"/>
      <c r="AG1275" s="124" t="s">
        <v>18</v>
      </c>
      <c r="AH1275" s="125"/>
      <c r="AI1275" s="122" t="s">
        <v>19</v>
      </c>
      <c r="AJ1275" s="18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customFormat="1" ht="30" x14ac:dyDescent="0.25">
      <c r="B1276" s="28" t="s">
        <v>20</v>
      </c>
      <c r="C1276" s="28" t="s">
        <v>21</v>
      </c>
      <c r="D1276" s="77" t="s">
        <v>22</v>
      </c>
      <c r="E1276" s="76" t="s">
        <v>23</v>
      </c>
      <c r="F1276" s="78" t="s">
        <v>32</v>
      </c>
      <c r="G1276" s="78" t="s">
        <v>24</v>
      </c>
      <c r="I1276" s="29" t="s">
        <v>25</v>
      </c>
      <c r="J1276" s="29" t="s">
        <v>26</v>
      </c>
      <c r="K1276" s="123"/>
      <c r="L1276" s="18"/>
      <c r="N1276" s="28" t="s">
        <v>20</v>
      </c>
      <c r="O1276" s="28" t="s">
        <v>21</v>
      </c>
      <c r="P1276" s="77" t="s">
        <v>22</v>
      </c>
      <c r="Q1276" s="78" t="s">
        <v>23</v>
      </c>
      <c r="R1276" s="78" t="s">
        <v>32</v>
      </c>
      <c r="S1276" s="78" t="s">
        <v>24</v>
      </c>
      <c r="U1276" s="29" t="s">
        <v>25</v>
      </c>
      <c r="V1276" s="29" t="s">
        <v>26</v>
      </c>
      <c r="W1276" s="123"/>
      <c r="X1276" s="18"/>
      <c r="Z1276" s="28" t="s">
        <v>20</v>
      </c>
      <c r="AA1276" s="28" t="s">
        <v>21</v>
      </c>
      <c r="AB1276" s="77" t="s">
        <v>22</v>
      </c>
      <c r="AC1276" s="78" t="s">
        <v>23</v>
      </c>
      <c r="AD1276" s="78" t="s">
        <v>32</v>
      </c>
      <c r="AE1276" s="78" t="s">
        <v>24</v>
      </c>
      <c r="AG1276" s="29" t="s">
        <v>25</v>
      </c>
      <c r="AH1276" s="29" t="s">
        <v>26</v>
      </c>
      <c r="AI1276" s="123"/>
      <c r="AJ1276" s="18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customFormat="1" x14ac:dyDescent="0.25">
      <c r="A1277" s="10">
        <v>1</v>
      </c>
      <c r="B1277" s="30" t="s">
        <v>108</v>
      </c>
      <c r="C1277" s="88">
        <v>7512</v>
      </c>
      <c r="D1277" s="32">
        <f>5634+1228+85</f>
        <v>6947</v>
      </c>
      <c r="E1277" s="32"/>
      <c r="F1277" s="32"/>
      <c r="G1277" s="32">
        <f t="shared" ref="G1277:G1310" si="340">SUM(D1277:E1277)</f>
        <v>6947</v>
      </c>
      <c r="H1277" s="12"/>
      <c r="I1277" s="12"/>
      <c r="J1277" s="12"/>
      <c r="K1277" s="12">
        <f t="shared" ref="K1277:K1310" si="341">SUM(G1277:J1277)</f>
        <v>6947</v>
      </c>
      <c r="L1277" s="18"/>
      <c r="M1277" s="10">
        <v>1</v>
      </c>
      <c r="N1277" s="30" t="s">
        <v>108</v>
      </c>
      <c r="O1277" s="31">
        <v>7578</v>
      </c>
      <c r="P1277" s="32">
        <f>1228</f>
        <v>1228</v>
      </c>
      <c r="Q1277" s="32"/>
      <c r="R1277" s="32"/>
      <c r="S1277" s="32">
        <f>SUM(P1277:Q1277)</f>
        <v>1228</v>
      </c>
      <c r="T1277" s="12"/>
      <c r="U1277" s="12"/>
      <c r="V1277" s="12"/>
      <c r="W1277" s="12">
        <f>SUM(S1277:V1277)</f>
        <v>1228</v>
      </c>
      <c r="X1277" s="18"/>
      <c r="Y1277" s="10">
        <v>1</v>
      </c>
      <c r="Z1277" s="30" t="s">
        <v>108</v>
      </c>
      <c r="AA1277" s="31">
        <v>7347</v>
      </c>
      <c r="AB1277" s="32">
        <f>6886+614+2384+9.5*15</f>
        <v>10026.5</v>
      </c>
      <c r="AC1277" s="32"/>
      <c r="AD1277" s="32"/>
      <c r="AE1277" s="32">
        <f>SUM(AB1277:AC1277)</f>
        <v>10026.5</v>
      </c>
      <c r="AF1277" s="12"/>
      <c r="AG1277" s="12"/>
      <c r="AH1277" s="12"/>
      <c r="AI1277" s="12">
        <f>SUM(AE1277:AH1277)</f>
        <v>10026.5</v>
      </c>
      <c r="AJ1277" s="18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customFormat="1" x14ac:dyDescent="0.25">
      <c r="A1278" s="10">
        <v>2</v>
      </c>
      <c r="B1278" s="30" t="s">
        <v>108</v>
      </c>
      <c r="C1278" s="88">
        <f>C1277+1</f>
        <v>7513</v>
      </c>
      <c r="D1278" s="32">
        <f>6260+1788+123</f>
        <v>8171</v>
      </c>
      <c r="E1278" s="32"/>
      <c r="F1278" s="32"/>
      <c r="G1278" s="32">
        <f t="shared" si="340"/>
        <v>8171</v>
      </c>
      <c r="H1278" s="12"/>
      <c r="I1278" s="12"/>
      <c r="J1278" s="12"/>
      <c r="K1278" s="12">
        <f t="shared" si="341"/>
        <v>8171</v>
      </c>
      <c r="L1278" s="18"/>
      <c r="M1278" s="10">
        <v>2</v>
      </c>
      <c r="N1278" s="30" t="s">
        <v>108</v>
      </c>
      <c r="O1278" s="31">
        <f>O1277+1</f>
        <v>7579</v>
      </c>
      <c r="P1278" s="32">
        <f>31300+1842+11920+832+458</f>
        <v>46352</v>
      </c>
      <c r="Q1278" s="32"/>
      <c r="R1278" s="32"/>
      <c r="S1278" s="32">
        <f t="shared" ref="S1278:S1315" si="342">SUM(P1278:Q1278)</f>
        <v>46352</v>
      </c>
      <c r="T1278" s="12"/>
      <c r="U1278" s="12"/>
      <c r="V1278" s="12"/>
      <c r="W1278" s="12">
        <f t="shared" ref="W1278:W1318" si="343">SUM(S1278:V1278)</f>
        <v>46352</v>
      </c>
      <c r="X1278" s="18"/>
      <c r="Y1278" s="10">
        <v>2</v>
      </c>
      <c r="Z1278" s="30" t="s">
        <v>108</v>
      </c>
      <c r="AA1278" s="31">
        <f>AA1277+1</f>
        <v>7348</v>
      </c>
      <c r="AB1278" s="32">
        <f>626*231+614*19+913*2+852*2+1005+832*2+229*10+500*2</f>
        <v>165761</v>
      </c>
      <c r="AC1278" s="32">
        <v>-1614</v>
      </c>
      <c r="AD1278" s="32"/>
      <c r="AE1278" s="32">
        <f t="shared" ref="AE1278:AE1315" si="344">SUM(AB1278:AC1278)</f>
        <v>164147</v>
      </c>
      <c r="AF1278" s="12"/>
      <c r="AG1278" s="12"/>
      <c r="AH1278" s="12"/>
      <c r="AI1278" s="12">
        <f t="shared" ref="AI1278:AI1318" si="345">SUM(AE1278:AH1278)</f>
        <v>164147</v>
      </c>
      <c r="AJ1278" s="18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customFormat="1" x14ac:dyDescent="0.25">
      <c r="A1279" s="10">
        <v>3</v>
      </c>
      <c r="B1279" s="30" t="s">
        <v>108</v>
      </c>
      <c r="C1279" s="88">
        <f t="shared" ref="C1279:C1292" si="346">C1278+1</f>
        <v>7514</v>
      </c>
      <c r="D1279" s="33">
        <f>5008+1788</f>
        <v>6796</v>
      </c>
      <c r="E1279" s="33"/>
      <c r="F1279" s="33"/>
      <c r="G1279" s="33">
        <f t="shared" si="340"/>
        <v>6796</v>
      </c>
      <c r="H1279" s="34"/>
      <c r="I1279" s="34"/>
      <c r="J1279" s="34"/>
      <c r="K1279" s="34">
        <f t="shared" si="341"/>
        <v>6796</v>
      </c>
      <c r="L1279" s="18"/>
      <c r="M1279" s="10">
        <v>3</v>
      </c>
      <c r="N1279" s="30" t="s">
        <v>108</v>
      </c>
      <c r="O1279" s="31">
        <f t="shared" ref="O1279:O1293" si="347">O1278+1</f>
        <v>7580</v>
      </c>
      <c r="P1279" s="32">
        <f>6886+104.5</f>
        <v>6990.5</v>
      </c>
      <c r="Q1279" s="32"/>
      <c r="R1279" s="32"/>
      <c r="S1279" s="32">
        <f t="shared" si="342"/>
        <v>6990.5</v>
      </c>
      <c r="T1279" s="12"/>
      <c r="U1279" s="12"/>
      <c r="V1279" s="12"/>
      <c r="W1279" s="12">
        <f t="shared" si="343"/>
        <v>6990.5</v>
      </c>
      <c r="X1279" s="18"/>
      <c r="Y1279" s="10">
        <v>3</v>
      </c>
      <c r="Z1279" s="30" t="s">
        <v>108</v>
      </c>
      <c r="AA1279" s="31">
        <f t="shared" ref="AA1279" si="348">AA1278+1</f>
        <v>7349</v>
      </c>
      <c r="AB1279" s="33">
        <f>31300+5960+229</f>
        <v>37489</v>
      </c>
      <c r="AC1279" s="33">
        <v>-366</v>
      </c>
      <c r="AD1279" s="32"/>
      <c r="AE1279" s="32">
        <f t="shared" si="344"/>
        <v>37123</v>
      </c>
      <c r="AF1279" s="12"/>
      <c r="AG1279" s="12"/>
      <c r="AH1279" s="12"/>
      <c r="AI1279" s="12">
        <f t="shared" si="345"/>
        <v>37123</v>
      </c>
      <c r="AJ1279" s="18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customFormat="1" x14ac:dyDescent="0.25">
      <c r="A1280" s="10">
        <v>4</v>
      </c>
      <c r="B1280" s="30" t="s">
        <v>108</v>
      </c>
      <c r="C1280" s="88">
        <f t="shared" si="346"/>
        <v>7515</v>
      </c>
      <c r="D1280" s="32">
        <f>35056+5960+832+229</f>
        <v>42077</v>
      </c>
      <c r="E1280" s="32"/>
      <c r="F1280" s="32"/>
      <c r="G1280" s="32">
        <f t="shared" si="340"/>
        <v>42077</v>
      </c>
      <c r="H1280" s="12"/>
      <c r="I1280" s="12"/>
      <c r="J1280" s="12"/>
      <c r="K1280" s="12">
        <f t="shared" si="341"/>
        <v>42077</v>
      </c>
      <c r="L1280" s="18"/>
      <c r="M1280" s="10">
        <v>4</v>
      </c>
      <c r="N1280" s="30" t="s">
        <v>108</v>
      </c>
      <c r="O1280" s="31">
        <f t="shared" si="347"/>
        <v>7581</v>
      </c>
      <c r="P1280" s="32">
        <f>626+614+9.5</f>
        <v>1249.5</v>
      </c>
      <c r="Q1280" s="32"/>
      <c r="R1280" s="32"/>
      <c r="S1280" s="32">
        <f t="shared" si="342"/>
        <v>1249.5</v>
      </c>
      <c r="T1280" s="12"/>
      <c r="U1280" s="12"/>
      <c r="V1280" s="12"/>
      <c r="W1280" s="12">
        <f t="shared" si="343"/>
        <v>1249.5</v>
      </c>
      <c r="X1280" s="18"/>
      <c r="Y1280" s="10"/>
      <c r="Z1280" s="30"/>
      <c r="AA1280" s="11" t="s">
        <v>27</v>
      </c>
      <c r="AB1280" s="32"/>
      <c r="AC1280" s="32"/>
      <c r="AD1280" s="32"/>
      <c r="AE1280" s="32">
        <f t="shared" si="344"/>
        <v>0</v>
      </c>
      <c r="AF1280" s="12"/>
      <c r="AH1280" s="12"/>
      <c r="AI1280" s="12">
        <f t="shared" si="345"/>
        <v>0</v>
      </c>
      <c r="AJ1280" s="18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customFormat="1" x14ac:dyDescent="0.25">
      <c r="A1281" s="10">
        <v>5</v>
      </c>
      <c r="B1281" s="30" t="s">
        <v>108</v>
      </c>
      <c r="C1281" s="88">
        <f t="shared" si="346"/>
        <v>7516</v>
      </c>
      <c r="D1281" s="32">
        <f>10016+674</f>
        <v>10690</v>
      </c>
      <c r="E1281" s="32"/>
      <c r="F1281" s="32"/>
      <c r="G1281" s="32">
        <f t="shared" si="340"/>
        <v>10690</v>
      </c>
      <c r="H1281" s="12"/>
      <c r="I1281" s="12">
        <v>31</v>
      </c>
      <c r="J1281" s="12"/>
      <c r="K1281" s="12">
        <f t="shared" si="341"/>
        <v>10721</v>
      </c>
      <c r="L1281" s="18"/>
      <c r="M1281" s="10">
        <v>5</v>
      </c>
      <c r="N1281" s="30" t="s">
        <v>108</v>
      </c>
      <c r="O1281" s="31">
        <f t="shared" si="347"/>
        <v>7582</v>
      </c>
      <c r="P1281" s="32">
        <f>5008+1192+95</f>
        <v>6295</v>
      </c>
      <c r="Q1281" s="32"/>
      <c r="R1281" s="32"/>
      <c r="S1281" s="32">
        <f t="shared" si="342"/>
        <v>6295</v>
      </c>
      <c r="T1281" s="12"/>
      <c r="U1281" s="12">
        <f>18+9</f>
        <v>27</v>
      </c>
      <c r="V1281" s="12"/>
      <c r="W1281" s="12">
        <f t="shared" si="343"/>
        <v>6322</v>
      </c>
      <c r="X1281" s="18"/>
      <c r="Y1281" s="10"/>
      <c r="Z1281" s="30"/>
      <c r="AA1281" s="31"/>
      <c r="AB1281" s="32"/>
      <c r="AC1281" s="32"/>
      <c r="AD1281" s="32"/>
      <c r="AE1281" s="32">
        <f t="shared" si="344"/>
        <v>0</v>
      </c>
      <c r="AF1281" s="12"/>
      <c r="AG1281" s="12"/>
      <c r="AH1281" s="12"/>
      <c r="AI1281" s="12">
        <f t="shared" si="345"/>
        <v>0</v>
      </c>
      <c r="AJ1281" s="18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customFormat="1" x14ac:dyDescent="0.25">
      <c r="A1282" s="10">
        <v>6</v>
      </c>
      <c r="B1282" s="30" t="s">
        <v>108</v>
      </c>
      <c r="C1282" s="88">
        <f t="shared" si="346"/>
        <v>7517</v>
      </c>
      <c r="D1282" s="32">
        <f>45072+614+1192+832+500</f>
        <v>48210</v>
      </c>
      <c r="E1282" s="32"/>
      <c r="F1282" s="32"/>
      <c r="G1282" s="32">
        <f t="shared" si="340"/>
        <v>48210</v>
      </c>
      <c r="H1282" s="12"/>
      <c r="I1282" s="12"/>
      <c r="J1282" s="12"/>
      <c r="K1282" s="12">
        <f t="shared" si="341"/>
        <v>48210</v>
      </c>
      <c r="L1282" s="18"/>
      <c r="M1282" s="10">
        <v>6</v>
      </c>
      <c r="N1282" s="30" t="s">
        <v>108</v>
      </c>
      <c r="O1282" s="31">
        <f t="shared" si="347"/>
        <v>7583</v>
      </c>
      <c r="P1282" s="32">
        <f>626+596+19</f>
        <v>1241</v>
      </c>
      <c r="Q1282" s="32"/>
      <c r="R1282" s="32"/>
      <c r="S1282" s="32">
        <f t="shared" si="342"/>
        <v>1241</v>
      </c>
      <c r="T1282" s="12"/>
      <c r="U1282" s="12"/>
      <c r="V1282" s="10"/>
      <c r="W1282" s="12">
        <f t="shared" si="343"/>
        <v>1241</v>
      </c>
      <c r="X1282" s="18"/>
      <c r="Y1282" s="10"/>
      <c r="Z1282" s="30"/>
      <c r="AB1282" s="32"/>
      <c r="AC1282" s="32"/>
      <c r="AD1282" s="32"/>
      <c r="AE1282" s="32">
        <f t="shared" si="344"/>
        <v>0</v>
      </c>
      <c r="AF1282" s="12"/>
      <c r="AG1282" s="12"/>
      <c r="AH1282" s="10"/>
      <c r="AI1282" s="12">
        <f t="shared" si="345"/>
        <v>0</v>
      </c>
      <c r="AJ1282" s="18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customFormat="1" x14ac:dyDescent="0.25">
      <c r="A1283" s="10">
        <v>7</v>
      </c>
      <c r="B1283" s="30" t="s">
        <v>108</v>
      </c>
      <c r="C1283" s="88">
        <f t="shared" si="346"/>
        <v>7518</v>
      </c>
      <c r="D1283" s="32">
        <f>2504+38</f>
        <v>2542</v>
      </c>
      <c r="E1283" s="32"/>
      <c r="F1283" s="32"/>
      <c r="G1283" s="32">
        <f t="shared" si="340"/>
        <v>2542</v>
      </c>
      <c r="H1283" s="12"/>
      <c r="I1283" s="12"/>
      <c r="J1283" s="12"/>
      <c r="K1283" s="12">
        <f t="shared" si="341"/>
        <v>2542</v>
      </c>
      <c r="L1283" s="18"/>
      <c r="M1283" s="10">
        <v>7</v>
      </c>
      <c r="N1283" s="30" t="s">
        <v>108</v>
      </c>
      <c r="O1283" s="31">
        <f t="shared" si="347"/>
        <v>7584</v>
      </c>
      <c r="P1283" s="32">
        <f>4382+1192+229</f>
        <v>5803</v>
      </c>
      <c r="Q1283" s="32"/>
      <c r="R1283" s="32"/>
      <c r="S1283" s="32">
        <f t="shared" si="342"/>
        <v>5803</v>
      </c>
      <c r="T1283" s="12"/>
      <c r="U1283" s="12"/>
      <c r="V1283" s="12"/>
      <c r="W1283" s="12">
        <f t="shared" si="343"/>
        <v>5803</v>
      </c>
      <c r="X1283" s="18"/>
      <c r="Y1283" s="10"/>
      <c r="Z1283" s="30"/>
      <c r="AA1283" s="31"/>
      <c r="AB1283" s="32"/>
      <c r="AC1283" s="32"/>
      <c r="AD1283" s="32"/>
      <c r="AE1283" s="32">
        <f t="shared" si="344"/>
        <v>0</v>
      </c>
      <c r="AF1283" s="12"/>
      <c r="AG1283" s="58"/>
      <c r="AH1283" s="12"/>
      <c r="AI1283" s="12">
        <f t="shared" si="345"/>
        <v>0</v>
      </c>
      <c r="AJ1283" s="18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customFormat="1" x14ac:dyDescent="0.25">
      <c r="A1284" s="10">
        <v>8</v>
      </c>
      <c r="B1284" s="30" t="s">
        <v>108</v>
      </c>
      <c r="C1284" s="88">
        <f t="shared" si="346"/>
        <v>7519</v>
      </c>
      <c r="D1284" s="32">
        <f>5008+76</f>
        <v>5084</v>
      </c>
      <c r="E1284" s="32"/>
      <c r="F1284" s="32"/>
      <c r="G1284" s="32">
        <f t="shared" si="340"/>
        <v>5084</v>
      </c>
      <c r="H1284" s="12"/>
      <c r="I1284" s="12"/>
      <c r="J1284" s="12"/>
      <c r="K1284" s="12">
        <f t="shared" si="341"/>
        <v>5084</v>
      </c>
      <c r="L1284" s="18"/>
      <c r="M1284" s="10">
        <v>8</v>
      </c>
      <c r="N1284" s="30" t="s">
        <v>108</v>
      </c>
      <c r="O1284" s="31">
        <f t="shared" si="347"/>
        <v>7585</v>
      </c>
      <c r="P1284" s="32">
        <f>2504+596+47.5</f>
        <v>3147.5</v>
      </c>
      <c r="Q1284" s="32"/>
      <c r="R1284" s="32"/>
      <c r="S1284" s="32">
        <f t="shared" si="342"/>
        <v>3147.5</v>
      </c>
      <c r="T1284" s="12"/>
      <c r="U1284" s="12"/>
      <c r="V1284" s="12"/>
      <c r="W1284" s="12">
        <f t="shared" si="343"/>
        <v>3147.5</v>
      </c>
      <c r="X1284" s="18"/>
      <c r="Y1284" s="10"/>
      <c r="Z1284" s="30"/>
      <c r="AA1284" s="31"/>
      <c r="AB1284" s="32"/>
      <c r="AC1284" s="32"/>
      <c r="AE1284" s="32">
        <f t="shared" si="344"/>
        <v>0</v>
      </c>
      <c r="AF1284" s="12"/>
      <c r="AG1284" s="12"/>
      <c r="AH1284" s="12"/>
      <c r="AI1284" s="12">
        <f t="shared" si="345"/>
        <v>0</v>
      </c>
      <c r="AJ1284" s="18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customFormat="1" x14ac:dyDescent="0.25">
      <c r="A1285" s="10">
        <v>9</v>
      </c>
      <c r="B1285" s="30" t="s">
        <v>108</v>
      </c>
      <c r="C1285" s="88">
        <f t="shared" si="346"/>
        <v>7520</v>
      </c>
      <c r="D1285" s="32">
        <f>3130+614+47</f>
        <v>3791</v>
      </c>
      <c r="E1285" s="32"/>
      <c r="F1285" s="32"/>
      <c r="G1285" s="32">
        <f t="shared" si="340"/>
        <v>3791</v>
      </c>
      <c r="H1285" s="12"/>
      <c r="I1285" s="12"/>
      <c r="J1285" s="12"/>
      <c r="K1285" s="12">
        <f t="shared" si="341"/>
        <v>3791</v>
      </c>
      <c r="L1285" s="18"/>
      <c r="M1285" s="10">
        <v>9</v>
      </c>
      <c r="N1285" s="30" t="s">
        <v>108</v>
      </c>
      <c r="O1285" s="31">
        <f t="shared" si="347"/>
        <v>7586</v>
      </c>
      <c r="P1285" s="32">
        <f>2504+38</f>
        <v>2542</v>
      </c>
      <c r="Q1285" s="32"/>
      <c r="R1285" s="32"/>
      <c r="S1285" s="32">
        <f t="shared" si="342"/>
        <v>2542</v>
      </c>
      <c r="T1285" s="12"/>
      <c r="U1285" s="12"/>
      <c r="V1285" s="12"/>
      <c r="W1285" s="12">
        <f t="shared" si="343"/>
        <v>2542</v>
      </c>
      <c r="X1285" s="18"/>
      <c r="Y1285" s="10"/>
      <c r="Z1285" s="30"/>
      <c r="AA1285" s="31"/>
      <c r="AB1285" s="32"/>
      <c r="AC1285" s="32"/>
      <c r="AD1285" s="32"/>
      <c r="AE1285" s="32">
        <f t="shared" si="344"/>
        <v>0</v>
      </c>
      <c r="AF1285" s="12"/>
      <c r="AG1285" s="58"/>
      <c r="AH1285" s="12"/>
      <c r="AI1285" s="12">
        <f t="shared" si="345"/>
        <v>0</v>
      </c>
      <c r="AJ1285" s="18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customFormat="1" x14ac:dyDescent="0.25">
      <c r="A1286" s="10">
        <v>10</v>
      </c>
      <c r="B1286" s="30" t="s">
        <v>108</v>
      </c>
      <c r="C1286" s="88">
        <f t="shared" si="346"/>
        <v>7521</v>
      </c>
      <c r="D1286" s="32">
        <f>3756+1192+76</f>
        <v>5024</v>
      </c>
      <c r="E1286" s="32"/>
      <c r="F1286" s="32"/>
      <c r="G1286" s="32">
        <f t="shared" si="340"/>
        <v>5024</v>
      </c>
      <c r="H1286" s="12"/>
      <c r="I1286" s="12"/>
      <c r="J1286" s="12"/>
      <c r="K1286" s="12">
        <f t="shared" si="341"/>
        <v>5024</v>
      </c>
      <c r="L1286" s="18"/>
      <c r="M1286" s="10">
        <v>10</v>
      </c>
      <c r="N1286" s="30" t="s">
        <v>108</v>
      </c>
      <c r="O1286" s="31">
        <f t="shared" si="347"/>
        <v>7587</v>
      </c>
      <c r="P1286" s="32">
        <f>626*30+614*10+596*10+229*3+650*2</f>
        <v>32867</v>
      </c>
      <c r="Q1286" s="32"/>
      <c r="R1286" s="32"/>
      <c r="S1286" s="32">
        <f t="shared" si="342"/>
        <v>32867</v>
      </c>
      <c r="T1286" s="12"/>
      <c r="U1286" s="12">
        <f>4440+22.5</f>
        <v>4462.5</v>
      </c>
      <c r="V1286" s="12"/>
      <c r="W1286" s="12">
        <f t="shared" si="343"/>
        <v>37329.5</v>
      </c>
      <c r="X1286" s="18"/>
      <c r="Y1286" s="10"/>
      <c r="Z1286" s="30"/>
      <c r="AA1286" s="31"/>
      <c r="AB1286" s="32"/>
      <c r="AC1286" s="32"/>
      <c r="AD1286" s="32"/>
      <c r="AE1286" s="32">
        <f t="shared" si="344"/>
        <v>0</v>
      </c>
      <c r="AF1286" s="12"/>
      <c r="AG1286" s="12"/>
      <c r="AH1286" s="12"/>
      <c r="AI1286" s="12">
        <f t="shared" si="345"/>
        <v>0</v>
      </c>
      <c r="AJ1286" s="18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customFormat="1" x14ac:dyDescent="0.25">
      <c r="A1287" s="10">
        <v>11</v>
      </c>
      <c r="B1287" s="30" t="s">
        <v>108</v>
      </c>
      <c r="C1287" s="88">
        <f t="shared" si="346"/>
        <v>7522</v>
      </c>
      <c r="D1287" s="32">
        <f>1878+28</f>
        <v>1906</v>
      </c>
      <c r="E1287" s="32"/>
      <c r="F1287" s="32"/>
      <c r="G1287" s="32">
        <f t="shared" si="340"/>
        <v>1906</v>
      </c>
      <c r="H1287" s="12"/>
      <c r="I1287" s="12"/>
      <c r="J1287" s="12"/>
      <c r="K1287" s="12">
        <f t="shared" si="341"/>
        <v>1906</v>
      </c>
      <c r="L1287" s="18"/>
      <c r="M1287" s="10">
        <v>11</v>
      </c>
      <c r="N1287" s="30" t="s">
        <v>108</v>
      </c>
      <c r="O1287" s="31">
        <f t="shared" si="347"/>
        <v>7588</v>
      </c>
      <c r="P1287" s="32">
        <f>626*11+596*5+9.5*16</f>
        <v>10018</v>
      </c>
      <c r="Q1287" s="32"/>
      <c r="R1287" s="32"/>
      <c r="S1287" s="32">
        <f t="shared" si="342"/>
        <v>10018</v>
      </c>
      <c r="T1287" s="12"/>
      <c r="U1287" s="12"/>
      <c r="V1287" s="12"/>
      <c r="W1287" s="12">
        <f t="shared" si="343"/>
        <v>10018</v>
      </c>
      <c r="X1287" s="18"/>
      <c r="Y1287" s="10"/>
      <c r="Z1287" s="30"/>
      <c r="AB1287" s="32"/>
      <c r="AC1287" s="32"/>
      <c r="AD1287" s="32"/>
      <c r="AE1287" s="32">
        <f t="shared" si="344"/>
        <v>0</v>
      </c>
      <c r="AF1287" s="12"/>
      <c r="AG1287" s="12"/>
      <c r="AH1287" s="12"/>
      <c r="AI1287" s="12">
        <f t="shared" si="345"/>
        <v>0</v>
      </c>
      <c r="AJ1287" s="18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customFormat="1" x14ac:dyDescent="0.25">
      <c r="A1288" s="10">
        <v>12</v>
      </c>
      <c r="B1288" s="30" t="s">
        <v>108</v>
      </c>
      <c r="C1288" s="88">
        <f t="shared" si="346"/>
        <v>7523</v>
      </c>
      <c r="D1288" s="32">
        <f>2504+38</f>
        <v>2542</v>
      </c>
      <c r="E1288" s="32"/>
      <c r="F1288" s="32"/>
      <c r="G1288" s="32">
        <f t="shared" si="340"/>
        <v>2542</v>
      </c>
      <c r="H1288" s="12"/>
      <c r="I1288" s="12"/>
      <c r="J1288" s="10"/>
      <c r="K1288" s="12">
        <f t="shared" si="341"/>
        <v>2542</v>
      </c>
      <c r="L1288" s="18"/>
      <c r="M1288" s="10">
        <v>12</v>
      </c>
      <c r="N1288" s="30" t="s">
        <v>108</v>
      </c>
      <c r="O1288" s="31">
        <f t="shared" si="347"/>
        <v>7589</v>
      </c>
      <c r="P1288" s="32">
        <f>626+596+19</f>
        <v>1241</v>
      </c>
      <c r="Q1288" s="32"/>
      <c r="R1288" s="32"/>
      <c r="S1288" s="32">
        <f t="shared" si="342"/>
        <v>1241</v>
      </c>
      <c r="T1288" s="12"/>
      <c r="U1288" s="12"/>
      <c r="V1288" s="12"/>
      <c r="W1288" s="12">
        <f t="shared" si="343"/>
        <v>1241</v>
      </c>
      <c r="X1288" s="18"/>
      <c r="Y1288" s="10"/>
      <c r="Z1288" s="30"/>
      <c r="AA1288" s="31"/>
      <c r="AB1288" s="32"/>
      <c r="AC1288" s="32"/>
      <c r="AD1288" s="32"/>
      <c r="AE1288" s="32">
        <f t="shared" si="344"/>
        <v>0</v>
      </c>
      <c r="AF1288" s="12"/>
      <c r="AG1288" s="12"/>
      <c r="AH1288" s="12"/>
      <c r="AI1288" s="12">
        <f t="shared" si="345"/>
        <v>0</v>
      </c>
      <c r="AJ1288" s="18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customFormat="1" x14ac:dyDescent="0.25">
      <c r="A1289" s="10">
        <v>13</v>
      </c>
      <c r="B1289" s="30" t="s">
        <v>108</v>
      </c>
      <c r="C1289" s="88">
        <f t="shared" si="346"/>
        <v>7524</v>
      </c>
      <c r="D1289" s="32">
        <f>1878+28</f>
        <v>1906</v>
      </c>
      <c r="E1289" s="32"/>
      <c r="F1289" s="32"/>
      <c r="G1289" s="32">
        <f t="shared" si="340"/>
        <v>1906</v>
      </c>
      <c r="H1289" s="12"/>
      <c r="I1289" s="12"/>
      <c r="J1289" s="12"/>
      <c r="K1289" s="12">
        <f t="shared" si="341"/>
        <v>1906</v>
      </c>
      <c r="L1289" s="18"/>
      <c r="M1289" s="10">
        <v>13</v>
      </c>
      <c r="N1289" s="30" t="s">
        <v>108</v>
      </c>
      <c r="O1289" s="31">
        <f t="shared" si="347"/>
        <v>7590</v>
      </c>
      <c r="P1289" s="32">
        <f>1878+28.5</f>
        <v>1906.5</v>
      </c>
      <c r="Q1289" s="32"/>
      <c r="R1289" s="32"/>
      <c r="S1289" s="32">
        <f t="shared" si="342"/>
        <v>1906.5</v>
      </c>
      <c r="T1289" s="12"/>
      <c r="U1289" s="12"/>
      <c r="V1289" s="12"/>
      <c r="W1289" s="12">
        <f t="shared" si="343"/>
        <v>1906.5</v>
      </c>
      <c r="X1289" s="18"/>
      <c r="Y1289" s="10"/>
      <c r="Z1289" s="30"/>
      <c r="AA1289" s="31"/>
      <c r="AB1289" s="32"/>
      <c r="AC1289" s="32"/>
      <c r="AD1289" s="32"/>
      <c r="AE1289" s="32">
        <f t="shared" si="344"/>
        <v>0</v>
      </c>
      <c r="AF1289" s="12"/>
      <c r="AG1289" s="12"/>
      <c r="AH1289" s="12"/>
      <c r="AI1289" s="12">
        <f t="shared" si="345"/>
        <v>0</v>
      </c>
      <c r="AJ1289" s="18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customFormat="1" x14ac:dyDescent="0.25">
      <c r="A1290" s="10">
        <v>14</v>
      </c>
      <c r="B1290" s="30" t="s">
        <v>108</v>
      </c>
      <c r="C1290" s="88">
        <f t="shared" si="346"/>
        <v>7525</v>
      </c>
      <c r="D1290" s="32">
        <f>1252+19</f>
        <v>1271</v>
      </c>
      <c r="E1290" s="32"/>
      <c r="F1290" s="32"/>
      <c r="G1290" s="32">
        <f t="shared" si="340"/>
        <v>1271</v>
      </c>
      <c r="H1290" s="12"/>
      <c r="I1290" s="12"/>
      <c r="J1290" s="12"/>
      <c r="K1290" s="12">
        <f t="shared" si="341"/>
        <v>1271</v>
      </c>
      <c r="L1290" s="18"/>
      <c r="M1290" s="10">
        <v>14</v>
      </c>
      <c r="N1290" s="30" t="s">
        <v>108</v>
      </c>
      <c r="O1290" s="31">
        <f t="shared" si="347"/>
        <v>7591</v>
      </c>
      <c r="P1290" s="32">
        <f>2504</f>
        <v>2504</v>
      </c>
      <c r="Q1290" s="32"/>
      <c r="R1290" s="32"/>
      <c r="S1290" s="32">
        <f t="shared" si="342"/>
        <v>2504</v>
      </c>
      <c r="T1290" s="12"/>
      <c r="U1290" s="12"/>
      <c r="V1290" s="12"/>
      <c r="W1290" s="12">
        <f t="shared" si="343"/>
        <v>2504</v>
      </c>
      <c r="X1290" s="18"/>
      <c r="Y1290" s="10"/>
      <c r="Z1290" s="30"/>
      <c r="AA1290" s="31"/>
      <c r="AB1290" s="32"/>
      <c r="AC1290" s="32"/>
      <c r="AD1290" s="32"/>
      <c r="AE1290" s="32">
        <f t="shared" si="344"/>
        <v>0</v>
      </c>
      <c r="AF1290" s="12"/>
      <c r="AG1290" s="12"/>
      <c r="AH1290" s="12"/>
      <c r="AI1290" s="12">
        <f t="shared" si="345"/>
        <v>0</v>
      </c>
      <c r="AJ1290" s="18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customFormat="1" x14ac:dyDescent="0.25">
      <c r="A1291" s="10">
        <v>15</v>
      </c>
      <c r="B1291" s="30" t="s">
        <v>108</v>
      </c>
      <c r="C1291" s="88">
        <f t="shared" si="346"/>
        <v>7526</v>
      </c>
      <c r="D1291" s="32">
        <f>59345+1664+500</f>
        <v>61509</v>
      </c>
      <c r="E1291" s="32"/>
      <c r="F1291" s="32"/>
      <c r="G1291" s="32">
        <f t="shared" si="340"/>
        <v>61509</v>
      </c>
      <c r="H1291" s="12"/>
      <c r="I1291" s="12"/>
      <c r="J1291" s="12"/>
      <c r="K1291" s="12">
        <f t="shared" si="341"/>
        <v>61509</v>
      </c>
      <c r="L1291" s="18"/>
      <c r="M1291" s="10">
        <v>15</v>
      </c>
      <c r="N1291" s="30" t="s">
        <v>108</v>
      </c>
      <c r="O1291" s="31">
        <f t="shared" si="347"/>
        <v>7592</v>
      </c>
      <c r="P1291" s="32">
        <f>913+852</f>
        <v>1765</v>
      </c>
      <c r="Q1291" s="32"/>
      <c r="R1291" s="32"/>
      <c r="S1291" s="32">
        <f t="shared" si="342"/>
        <v>1765</v>
      </c>
      <c r="T1291" s="12"/>
      <c r="U1291" s="12">
        <v>120</v>
      </c>
      <c r="V1291" s="12"/>
      <c r="W1291" s="12">
        <f t="shared" si="343"/>
        <v>1885</v>
      </c>
      <c r="X1291" s="18"/>
      <c r="Y1291" s="10"/>
      <c r="Z1291" s="30"/>
      <c r="AA1291" s="31"/>
      <c r="AB1291" s="32"/>
      <c r="AC1291" s="32"/>
      <c r="AD1291" s="32"/>
      <c r="AE1291" s="32">
        <f t="shared" si="344"/>
        <v>0</v>
      </c>
      <c r="AF1291" s="12"/>
      <c r="AG1291" s="12"/>
      <c r="AH1291" s="12"/>
      <c r="AI1291" s="12">
        <f t="shared" si="345"/>
        <v>0</v>
      </c>
      <c r="AJ1291" s="18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customFormat="1" x14ac:dyDescent="0.25">
      <c r="A1292" s="10">
        <v>16</v>
      </c>
      <c r="B1292" s="30" t="s">
        <v>108</v>
      </c>
      <c r="C1292" s="88">
        <f t="shared" si="346"/>
        <v>7527</v>
      </c>
      <c r="D1292" s="32">
        <f>2739+832</f>
        <v>3571</v>
      </c>
      <c r="E1292" s="32"/>
      <c r="F1292" s="32"/>
      <c r="G1292" s="32">
        <f t="shared" si="340"/>
        <v>3571</v>
      </c>
      <c r="H1292" s="12"/>
      <c r="I1292" s="12"/>
      <c r="J1292" s="12"/>
      <c r="K1292" s="12">
        <f t="shared" si="341"/>
        <v>3571</v>
      </c>
      <c r="L1292" s="18"/>
      <c r="M1292" s="10">
        <v>16</v>
      </c>
      <c r="N1292" s="30" t="s">
        <v>108</v>
      </c>
      <c r="O1292" s="31">
        <f t="shared" si="347"/>
        <v>7593</v>
      </c>
      <c r="P1292" s="32">
        <f>852</f>
        <v>852</v>
      </c>
      <c r="Q1292" s="32"/>
      <c r="R1292" s="32"/>
      <c r="S1292" s="32">
        <f t="shared" si="342"/>
        <v>852</v>
      </c>
      <c r="T1292" s="12"/>
      <c r="U1292" s="12">
        <v>120</v>
      </c>
      <c r="V1292" s="12"/>
      <c r="W1292" s="12">
        <f t="shared" si="343"/>
        <v>972</v>
      </c>
      <c r="X1292" s="18"/>
      <c r="Y1292" s="10"/>
      <c r="Z1292" s="30"/>
      <c r="AA1292" s="31"/>
      <c r="AB1292" s="32"/>
      <c r="AC1292" s="32"/>
      <c r="AD1292" s="32"/>
      <c r="AE1292" s="32">
        <f t="shared" si="344"/>
        <v>0</v>
      </c>
      <c r="AF1292" s="12"/>
      <c r="AG1292" s="12"/>
      <c r="AH1292" s="12"/>
      <c r="AI1292" s="12">
        <f t="shared" si="345"/>
        <v>0</v>
      </c>
      <c r="AJ1292" s="18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customFormat="1" x14ac:dyDescent="0.25">
      <c r="A1293" s="10"/>
      <c r="B1293" s="30"/>
      <c r="C1293" s="11" t="s">
        <v>27</v>
      </c>
      <c r="D1293" s="32"/>
      <c r="E1293" s="32"/>
      <c r="F1293" s="32"/>
      <c r="G1293" s="32">
        <f t="shared" si="340"/>
        <v>0</v>
      </c>
      <c r="H1293" s="12"/>
      <c r="I1293" s="12"/>
      <c r="J1293" s="12"/>
      <c r="K1293" s="12">
        <f t="shared" si="341"/>
        <v>0</v>
      </c>
      <c r="L1293" s="18"/>
      <c r="M1293" s="10">
        <v>17</v>
      </c>
      <c r="N1293" s="30" t="s">
        <v>108</v>
      </c>
      <c r="O1293" s="31">
        <f t="shared" si="347"/>
        <v>7594</v>
      </c>
      <c r="P1293" s="35">
        <f>626*2+19</f>
        <v>1271</v>
      </c>
      <c r="Q1293" s="32"/>
      <c r="R1293" s="32"/>
      <c r="S1293" s="32">
        <f t="shared" si="342"/>
        <v>1271</v>
      </c>
      <c r="T1293" s="12"/>
      <c r="U1293" s="12"/>
      <c r="V1293" s="12">
        <f>-444+-84</f>
        <v>-528</v>
      </c>
      <c r="W1293" s="12">
        <f t="shared" si="343"/>
        <v>743</v>
      </c>
      <c r="X1293" s="18"/>
      <c r="Y1293" s="10"/>
      <c r="Z1293" s="30"/>
      <c r="AA1293" s="31"/>
      <c r="AB1293" s="35"/>
      <c r="AC1293" s="32"/>
      <c r="AD1293" s="32"/>
      <c r="AE1293" s="32">
        <f t="shared" si="344"/>
        <v>0</v>
      </c>
      <c r="AF1293" s="12"/>
      <c r="AG1293" s="12"/>
      <c r="AH1293" s="12"/>
      <c r="AI1293" s="12">
        <f t="shared" si="345"/>
        <v>0</v>
      </c>
      <c r="AJ1293" s="18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customFormat="1" x14ac:dyDescent="0.25">
      <c r="A1294" s="10"/>
      <c r="B1294" s="30"/>
      <c r="C1294" s="88"/>
      <c r="D1294" s="32"/>
      <c r="E1294" s="32"/>
      <c r="F1294" s="32"/>
      <c r="G1294" s="32">
        <f t="shared" si="340"/>
        <v>0</v>
      </c>
      <c r="H1294" s="12"/>
      <c r="I1294" s="12"/>
      <c r="J1294" s="12"/>
      <c r="K1294" s="12">
        <f t="shared" si="341"/>
        <v>0</v>
      </c>
      <c r="L1294" s="18"/>
      <c r="M1294" s="10"/>
      <c r="N1294" s="30"/>
      <c r="O1294" s="11" t="s">
        <v>27</v>
      </c>
      <c r="P1294" s="32"/>
      <c r="Q1294" s="32"/>
      <c r="R1294" s="32"/>
      <c r="S1294" s="32">
        <f t="shared" si="342"/>
        <v>0</v>
      </c>
      <c r="T1294" s="12"/>
      <c r="U1294" s="12"/>
      <c r="V1294" s="12"/>
      <c r="W1294" s="12">
        <f t="shared" si="343"/>
        <v>0</v>
      </c>
      <c r="X1294" s="18"/>
      <c r="Y1294" s="10"/>
      <c r="Z1294" s="30"/>
      <c r="AA1294" s="31"/>
      <c r="AB1294" s="32"/>
      <c r="AC1294" s="32"/>
      <c r="AD1294" s="32"/>
      <c r="AE1294" s="32">
        <f t="shared" si="344"/>
        <v>0</v>
      </c>
      <c r="AF1294" s="12"/>
      <c r="AG1294" s="12"/>
      <c r="AH1294" s="12"/>
      <c r="AI1294" s="12">
        <f t="shared" si="345"/>
        <v>0</v>
      </c>
      <c r="AJ1294" s="18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customFormat="1" x14ac:dyDescent="0.25">
      <c r="A1295" s="10"/>
      <c r="B1295" s="30"/>
      <c r="C1295" s="88"/>
      <c r="D1295" s="32"/>
      <c r="E1295" s="32"/>
      <c r="F1295" s="32"/>
      <c r="G1295" s="32">
        <f t="shared" si="340"/>
        <v>0</v>
      </c>
      <c r="H1295" s="12"/>
      <c r="I1295" s="12"/>
      <c r="J1295" s="12"/>
      <c r="K1295" s="12">
        <f t="shared" si="341"/>
        <v>0</v>
      </c>
      <c r="L1295" s="18"/>
      <c r="M1295" s="10"/>
      <c r="N1295" s="30"/>
      <c r="O1295" s="31"/>
      <c r="P1295" s="32"/>
      <c r="Q1295" s="32"/>
      <c r="R1295" s="32"/>
      <c r="S1295" s="32">
        <f t="shared" si="342"/>
        <v>0</v>
      </c>
      <c r="T1295" s="12"/>
      <c r="U1295" s="12"/>
      <c r="V1295" s="12"/>
      <c r="W1295" s="12">
        <f t="shared" si="343"/>
        <v>0</v>
      </c>
      <c r="X1295" s="18"/>
      <c r="Y1295" s="10"/>
      <c r="Z1295" s="30"/>
      <c r="AA1295" s="31"/>
      <c r="AB1295" s="32"/>
      <c r="AC1295" s="32"/>
      <c r="AD1295" s="32"/>
      <c r="AE1295" s="32">
        <f t="shared" si="344"/>
        <v>0</v>
      </c>
      <c r="AF1295" s="12"/>
      <c r="AG1295" s="12"/>
      <c r="AH1295" s="12"/>
      <c r="AI1295" s="12">
        <f t="shared" si="345"/>
        <v>0</v>
      </c>
      <c r="AJ1295" s="18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customFormat="1" x14ac:dyDescent="0.25">
      <c r="A1296" s="10"/>
      <c r="B1296" s="30"/>
      <c r="C1296" s="88"/>
      <c r="D1296" s="32"/>
      <c r="E1296" s="32"/>
      <c r="F1296" s="32"/>
      <c r="G1296" s="32">
        <f t="shared" si="340"/>
        <v>0</v>
      </c>
      <c r="H1296" s="12"/>
      <c r="I1296" s="12"/>
      <c r="J1296" s="12"/>
      <c r="K1296" s="12">
        <f t="shared" si="341"/>
        <v>0</v>
      </c>
      <c r="L1296" s="18"/>
      <c r="M1296" s="10"/>
      <c r="N1296" s="30"/>
      <c r="O1296" s="31"/>
      <c r="P1296" s="32"/>
      <c r="Q1296" s="32"/>
      <c r="R1296" s="32"/>
      <c r="S1296" s="32">
        <f t="shared" si="342"/>
        <v>0</v>
      </c>
      <c r="T1296" s="12"/>
      <c r="U1296" s="12"/>
      <c r="V1296" s="12"/>
      <c r="W1296" s="12">
        <f t="shared" si="343"/>
        <v>0</v>
      </c>
      <c r="X1296" s="18"/>
      <c r="Y1296" s="10"/>
      <c r="Z1296" s="30"/>
      <c r="AA1296" s="31"/>
      <c r="AB1296" s="32"/>
      <c r="AC1296" s="32"/>
      <c r="AD1296" s="32"/>
      <c r="AE1296" s="32">
        <f t="shared" si="344"/>
        <v>0</v>
      </c>
      <c r="AF1296" s="12"/>
      <c r="AG1296" s="12"/>
      <c r="AH1296" s="12"/>
      <c r="AI1296" s="12">
        <f t="shared" si="345"/>
        <v>0</v>
      </c>
      <c r="AJ1296" s="18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customFormat="1" x14ac:dyDescent="0.25">
      <c r="A1297" s="10"/>
      <c r="B1297" s="30"/>
      <c r="C1297" s="3"/>
      <c r="D1297" s="32"/>
      <c r="E1297" s="32"/>
      <c r="F1297" s="32"/>
      <c r="G1297" s="32">
        <f t="shared" si="340"/>
        <v>0</v>
      </c>
      <c r="H1297" s="10"/>
      <c r="I1297" s="10"/>
      <c r="J1297" s="10"/>
      <c r="K1297" s="12">
        <f t="shared" si="341"/>
        <v>0</v>
      </c>
      <c r="L1297" s="18"/>
      <c r="M1297" s="10"/>
      <c r="N1297" s="30"/>
      <c r="O1297" s="31"/>
      <c r="P1297" s="46"/>
      <c r="Q1297" s="31"/>
      <c r="R1297" s="31"/>
      <c r="S1297" s="32">
        <f t="shared" si="342"/>
        <v>0</v>
      </c>
      <c r="T1297" s="10"/>
      <c r="U1297" s="10"/>
      <c r="V1297" s="10"/>
      <c r="W1297" s="12">
        <f t="shared" si="343"/>
        <v>0</v>
      </c>
      <c r="X1297" s="18"/>
      <c r="Y1297" s="10"/>
      <c r="Z1297" s="30"/>
      <c r="AB1297" s="46"/>
      <c r="AC1297" s="31"/>
      <c r="AD1297" s="31"/>
      <c r="AE1297" s="32">
        <f t="shared" si="344"/>
        <v>0</v>
      </c>
      <c r="AF1297" s="10"/>
      <c r="AG1297" s="10"/>
      <c r="AH1297" s="10"/>
      <c r="AI1297" s="12">
        <f t="shared" si="345"/>
        <v>0</v>
      </c>
      <c r="AJ1297" s="18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customFormat="1" x14ac:dyDescent="0.25">
      <c r="A1298" s="10"/>
      <c r="B1298" s="30"/>
      <c r="C1298" s="88"/>
      <c r="D1298" s="32"/>
      <c r="E1298" s="32"/>
      <c r="F1298" s="32"/>
      <c r="G1298" s="32">
        <f t="shared" si="340"/>
        <v>0</v>
      </c>
      <c r="H1298" s="10"/>
      <c r="I1298" s="10"/>
      <c r="J1298" s="10"/>
      <c r="K1298" s="12">
        <f t="shared" si="341"/>
        <v>0</v>
      </c>
      <c r="L1298" s="18"/>
      <c r="M1298" s="10"/>
      <c r="N1298" s="30"/>
      <c r="O1298" s="31"/>
      <c r="P1298" s="45"/>
      <c r="Q1298" s="31"/>
      <c r="R1298" s="31"/>
      <c r="S1298" s="32">
        <f t="shared" si="342"/>
        <v>0</v>
      </c>
      <c r="T1298" s="10"/>
      <c r="U1298" s="10"/>
      <c r="V1298" s="10"/>
      <c r="W1298" s="12">
        <f t="shared" si="343"/>
        <v>0</v>
      </c>
      <c r="X1298" s="18"/>
      <c r="Y1298" s="10"/>
      <c r="Z1298" s="30"/>
      <c r="AA1298" s="31"/>
      <c r="AB1298" s="45"/>
      <c r="AC1298" s="31"/>
      <c r="AD1298" s="31"/>
      <c r="AE1298" s="32">
        <f t="shared" si="344"/>
        <v>0</v>
      </c>
      <c r="AF1298" s="10"/>
      <c r="AG1298" s="10"/>
      <c r="AH1298" s="10"/>
      <c r="AI1298" s="12">
        <f t="shared" si="345"/>
        <v>0</v>
      </c>
      <c r="AJ1298" s="18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customFormat="1" x14ac:dyDescent="0.25">
      <c r="A1299" s="10"/>
      <c r="B1299" s="30"/>
      <c r="C1299" s="57"/>
      <c r="D1299" s="32"/>
      <c r="E1299" s="32"/>
      <c r="F1299" s="32"/>
      <c r="G1299" s="32">
        <f t="shared" si="340"/>
        <v>0</v>
      </c>
      <c r="H1299" s="10"/>
      <c r="I1299" s="10"/>
      <c r="J1299" s="12"/>
      <c r="K1299" s="12">
        <f t="shared" si="341"/>
        <v>0</v>
      </c>
      <c r="L1299" s="18"/>
      <c r="M1299" s="10"/>
      <c r="N1299" s="30"/>
      <c r="O1299" s="31"/>
      <c r="P1299" s="47"/>
      <c r="Q1299" s="31"/>
      <c r="S1299" s="32">
        <f t="shared" si="342"/>
        <v>0</v>
      </c>
      <c r="T1299" s="10"/>
      <c r="U1299" s="10"/>
      <c r="V1299" s="10"/>
      <c r="W1299" s="12">
        <f t="shared" si="343"/>
        <v>0</v>
      </c>
      <c r="X1299" s="18"/>
      <c r="Y1299" s="10"/>
      <c r="Z1299" s="30"/>
      <c r="AA1299" s="31"/>
      <c r="AB1299" s="47"/>
      <c r="AC1299" s="31"/>
      <c r="AE1299" s="32">
        <f t="shared" si="344"/>
        <v>0</v>
      </c>
      <c r="AF1299" s="10"/>
      <c r="AG1299" s="10"/>
      <c r="AH1299" s="10"/>
      <c r="AI1299" s="12">
        <f t="shared" si="345"/>
        <v>0</v>
      </c>
      <c r="AJ1299" s="18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customFormat="1" x14ac:dyDescent="0.25">
      <c r="A1300" s="10"/>
      <c r="B1300" s="30"/>
      <c r="C1300" s="88"/>
      <c r="D1300" s="32"/>
      <c r="E1300" s="32"/>
      <c r="F1300" s="32"/>
      <c r="G1300" s="32">
        <f t="shared" si="340"/>
        <v>0</v>
      </c>
      <c r="H1300" s="10"/>
      <c r="I1300" s="10"/>
      <c r="J1300" s="10"/>
      <c r="K1300" s="12">
        <f t="shared" si="341"/>
        <v>0</v>
      </c>
      <c r="L1300" s="18"/>
      <c r="M1300" s="10"/>
      <c r="N1300" s="30"/>
      <c r="O1300" s="31"/>
      <c r="P1300" s="47"/>
      <c r="Q1300" s="31"/>
      <c r="R1300" s="31"/>
      <c r="S1300" s="32">
        <f t="shared" si="342"/>
        <v>0</v>
      </c>
      <c r="T1300" s="10"/>
      <c r="U1300" s="10"/>
      <c r="V1300" s="10"/>
      <c r="W1300" s="12">
        <f t="shared" si="343"/>
        <v>0</v>
      </c>
      <c r="X1300" s="18"/>
      <c r="Y1300" s="10"/>
      <c r="Z1300" s="30"/>
      <c r="AA1300" s="31"/>
      <c r="AB1300" s="47"/>
      <c r="AC1300" s="31"/>
      <c r="AD1300" s="31"/>
      <c r="AE1300" s="32">
        <f t="shared" si="344"/>
        <v>0</v>
      </c>
      <c r="AF1300" s="10"/>
      <c r="AG1300" s="10"/>
      <c r="AH1300" s="10"/>
      <c r="AI1300" s="12">
        <f t="shared" si="345"/>
        <v>0</v>
      </c>
      <c r="AJ1300" s="18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customFormat="1" x14ac:dyDescent="0.25">
      <c r="A1301" s="10"/>
      <c r="B1301" s="30"/>
      <c r="C1301" s="88"/>
      <c r="D1301" s="32"/>
      <c r="E1301" s="32"/>
      <c r="F1301" s="32"/>
      <c r="G1301" s="32">
        <f t="shared" si="340"/>
        <v>0</v>
      </c>
      <c r="H1301" s="10"/>
      <c r="I1301" s="10"/>
      <c r="J1301" s="10"/>
      <c r="K1301" s="12">
        <f t="shared" si="341"/>
        <v>0</v>
      </c>
      <c r="L1301" s="18"/>
      <c r="M1301" s="10"/>
      <c r="N1301" s="30"/>
      <c r="O1301" s="31"/>
      <c r="P1301" s="47"/>
      <c r="Q1301" s="31"/>
      <c r="R1301" s="31"/>
      <c r="S1301" s="32">
        <f t="shared" si="342"/>
        <v>0</v>
      </c>
      <c r="T1301" s="10"/>
      <c r="U1301" s="10"/>
      <c r="V1301" s="10"/>
      <c r="W1301" s="12">
        <f t="shared" si="343"/>
        <v>0</v>
      </c>
      <c r="X1301" s="18"/>
      <c r="Y1301" s="10"/>
      <c r="Z1301" s="30"/>
      <c r="AA1301" s="31"/>
      <c r="AB1301" s="47"/>
      <c r="AC1301" s="31"/>
      <c r="AD1301" s="31"/>
      <c r="AE1301" s="32">
        <f t="shared" si="344"/>
        <v>0</v>
      </c>
      <c r="AF1301" s="10"/>
      <c r="AG1301" s="10"/>
      <c r="AH1301" s="10"/>
      <c r="AI1301" s="12">
        <f t="shared" si="345"/>
        <v>0</v>
      </c>
      <c r="AJ1301" s="18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customFormat="1" x14ac:dyDescent="0.25">
      <c r="A1302" s="10"/>
      <c r="B1302" s="30"/>
      <c r="C1302" s="88"/>
      <c r="D1302" s="32"/>
      <c r="E1302" s="32"/>
      <c r="F1302" s="32"/>
      <c r="G1302" s="32">
        <f t="shared" si="340"/>
        <v>0</v>
      </c>
      <c r="H1302" s="10"/>
      <c r="I1302" s="10"/>
      <c r="J1302" s="10"/>
      <c r="K1302" s="12">
        <f t="shared" si="341"/>
        <v>0</v>
      </c>
      <c r="L1302" s="18"/>
      <c r="M1302" s="10"/>
      <c r="N1302" s="30"/>
      <c r="O1302" s="31"/>
      <c r="P1302" s="47"/>
      <c r="Q1302" s="31"/>
      <c r="R1302" s="31"/>
      <c r="S1302" s="32">
        <f t="shared" si="342"/>
        <v>0</v>
      </c>
      <c r="T1302" s="10"/>
      <c r="U1302" s="10"/>
      <c r="V1302" s="10"/>
      <c r="W1302" s="12">
        <f t="shared" si="343"/>
        <v>0</v>
      </c>
      <c r="X1302" s="18"/>
      <c r="Y1302" s="10"/>
      <c r="Z1302" s="30"/>
      <c r="AA1302" s="31"/>
      <c r="AB1302" s="47"/>
      <c r="AC1302" s="31"/>
      <c r="AD1302" s="31"/>
      <c r="AE1302" s="32">
        <f t="shared" si="344"/>
        <v>0</v>
      </c>
      <c r="AF1302" s="10"/>
      <c r="AG1302" s="10"/>
      <c r="AH1302" s="10"/>
      <c r="AI1302" s="12">
        <f t="shared" si="345"/>
        <v>0</v>
      </c>
      <c r="AJ1302" s="18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customFormat="1" x14ac:dyDescent="0.25">
      <c r="A1303" s="10"/>
      <c r="B1303" s="30"/>
      <c r="C1303" s="88"/>
      <c r="D1303" s="32"/>
      <c r="E1303" s="32"/>
      <c r="F1303" s="32"/>
      <c r="G1303" s="32">
        <f t="shared" si="340"/>
        <v>0</v>
      </c>
      <c r="H1303" s="10"/>
      <c r="I1303" s="10"/>
      <c r="J1303" s="10"/>
      <c r="K1303" s="12">
        <f t="shared" si="341"/>
        <v>0</v>
      </c>
      <c r="L1303" s="18"/>
      <c r="M1303" s="10"/>
      <c r="N1303" s="30"/>
      <c r="O1303" s="31"/>
      <c r="P1303" s="47"/>
      <c r="Q1303" s="31"/>
      <c r="R1303" s="31"/>
      <c r="S1303" s="32">
        <f t="shared" si="342"/>
        <v>0</v>
      </c>
      <c r="T1303" s="10"/>
      <c r="U1303" s="10"/>
      <c r="V1303" s="10"/>
      <c r="W1303" s="12">
        <f t="shared" si="343"/>
        <v>0</v>
      </c>
      <c r="X1303" s="18"/>
      <c r="Y1303" s="10"/>
      <c r="Z1303" s="30"/>
      <c r="AA1303" s="31"/>
      <c r="AB1303" s="47"/>
      <c r="AC1303" s="31"/>
      <c r="AD1303" s="31"/>
      <c r="AE1303" s="32">
        <f t="shared" si="344"/>
        <v>0</v>
      </c>
      <c r="AF1303" s="10"/>
      <c r="AG1303" s="10"/>
      <c r="AH1303" s="10"/>
      <c r="AI1303" s="12">
        <f t="shared" si="345"/>
        <v>0</v>
      </c>
      <c r="AJ1303" s="18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customFormat="1" x14ac:dyDescent="0.25">
      <c r="A1304" s="10"/>
      <c r="B1304" s="30"/>
      <c r="C1304" s="88"/>
      <c r="D1304" s="32"/>
      <c r="E1304" s="32"/>
      <c r="F1304" s="32"/>
      <c r="G1304" s="32">
        <f t="shared" si="340"/>
        <v>0</v>
      </c>
      <c r="H1304" s="10"/>
      <c r="I1304" s="10"/>
      <c r="J1304" s="10"/>
      <c r="K1304" s="12">
        <f t="shared" si="341"/>
        <v>0</v>
      </c>
      <c r="L1304" s="18"/>
      <c r="M1304" s="10"/>
      <c r="N1304" s="30"/>
      <c r="P1304" s="47"/>
      <c r="Q1304" s="31"/>
      <c r="R1304" s="31"/>
      <c r="S1304" s="32">
        <f t="shared" si="342"/>
        <v>0</v>
      </c>
      <c r="T1304" s="10"/>
      <c r="U1304" s="10"/>
      <c r="V1304" s="10"/>
      <c r="W1304" s="12">
        <f t="shared" si="343"/>
        <v>0</v>
      </c>
      <c r="X1304" s="18"/>
      <c r="Y1304" s="10"/>
      <c r="Z1304" s="30"/>
      <c r="AA1304" s="31"/>
      <c r="AB1304" s="47"/>
      <c r="AC1304" s="31"/>
      <c r="AD1304" s="31"/>
      <c r="AE1304" s="32">
        <f t="shared" si="344"/>
        <v>0</v>
      </c>
      <c r="AF1304" s="10"/>
      <c r="AG1304" s="10"/>
      <c r="AH1304" s="10"/>
      <c r="AI1304" s="12">
        <f t="shared" si="345"/>
        <v>0</v>
      </c>
      <c r="AJ1304" s="18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customFormat="1" x14ac:dyDescent="0.25">
      <c r="A1305" s="10"/>
      <c r="B1305" s="30"/>
      <c r="C1305" s="88"/>
      <c r="D1305" s="32"/>
      <c r="E1305" s="32"/>
      <c r="F1305" s="32"/>
      <c r="G1305" s="32">
        <f t="shared" si="340"/>
        <v>0</v>
      </c>
      <c r="H1305" s="10"/>
      <c r="I1305" s="10"/>
      <c r="J1305" s="10"/>
      <c r="K1305" s="12">
        <f t="shared" si="341"/>
        <v>0</v>
      </c>
      <c r="L1305" s="18"/>
      <c r="M1305" s="10"/>
      <c r="N1305" s="30"/>
      <c r="O1305" s="31"/>
      <c r="P1305" s="47"/>
      <c r="Q1305" s="31"/>
      <c r="R1305" s="31"/>
      <c r="S1305" s="32">
        <f t="shared" si="342"/>
        <v>0</v>
      </c>
      <c r="T1305" s="10"/>
      <c r="U1305" s="10"/>
      <c r="V1305" s="10"/>
      <c r="W1305" s="12">
        <f t="shared" si="343"/>
        <v>0</v>
      </c>
      <c r="X1305" s="18"/>
      <c r="Y1305" s="10"/>
      <c r="Z1305" s="30"/>
      <c r="AA1305" s="31"/>
      <c r="AB1305" s="47"/>
      <c r="AC1305" s="31"/>
      <c r="AD1305" s="31"/>
      <c r="AE1305" s="32">
        <f t="shared" si="344"/>
        <v>0</v>
      </c>
      <c r="AF1305" s="10"/>
      <c r="AG1305" s="10"/>
      <c r="AH1305" s="10"/>
      <c r="AI1305" s="12">
        <f t="shared" si="345"/>
        <v>0</v>
      </c>
      <c r="AJ1305" s="18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customFormat="1" x14ac:dyDescent="0.25">
      <c r="A1306" s="10"/>
      <c r="B1306" s="30"/>
      <c r="C1306" s="57"/>
      <c r="D1306" s="32"/>
      <c r="E1306" s="32"/>
      <c r="F1306" s="32"/>
      <c r="G1306" s="32">
        <f t="shared" si="340"/>
        <v>0</v>
      </c>
      <c r="H1306" s="10"/>
      <c r="I1306" s="10"/>
      <c r="J1306" s="10"/>
      <c r="K1306" s="12">
        <f t="shared" si="341"/>
        <v>0</v>
      </c>
      <c r="L1306" s="18"/>
      <c r="M1306" s="10"/>
      <c r="N1306" s="30"/>
      <c r="O1306" s="31"/>
      <c r="P1306" s="47"/>
      <c r="Q1306" s="31"/>
      <c r="R1306" s="31"/>
      <c r="S1306" s="32">
        <f t="shared" si="342"/>
        <v>0</v>
      </c>
      <c r="T1306" s="10"/>
      <c r="U1306" s="10"/>
      <c r="V1306" s="10"/>
      <c r="W1306" s="12">
        <f t="shared" si="343"/>
        <v>0</v>
      </c>
      <c r="X1306" s="18"/>
      <c r="Y1306" s="10"/>
      <c r="Z1306" s="30"/>
      <c r="AA1306" s="31"/>
      <c r="AB1306" s="47"/>
      <c r="AC1306" s="31"/>
      <c r="AD1306" s="31"/>
      <c r="AE1306" s="32">
        <f t="shared" si="344"/>
        <v>0</v>
      </c>
      <c r="AF1306" s="10"/>
      <c r="AG1306" s="10"/>
      <c r="AH1306" s="10"/>
      <c r="AI1306" s="12">
        <f t="shared" si="345"/>
        <v>0</v>
      </c>
      <c r="AJ1306" s="18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customFormat="1" x14ac:dyDescent="0.25">
      <c r="A1307" s="10"/>
      <c r="B1307" s="30"/>
      <c r="C1307" s="88"/>
      <c r="D1307" s="32"/>
      <c r="E1307" s="32"/>
      <c r="F1307" s="32"/>
      <c r="G1307" s="32">
        <f t="shared" si="340"/>
        <v>0</v>
      </c>
      <c r="H1307" s="10"/>
      <c r="I1307" s="10"/>
      <c r="J1307" s="10"/>
      <c r="K1307" s="12">
        <f t="shared" si="341"/>
        <v>0</v>
      </c>
      <c r="L1307" s="18"/>
      <c r="M1307" s="10"/>
      <c r="N1307" s="30"/>
      <c r="P1307" s="47"/>
      <c r="Q1307" s="31"/>
      <c r="R1307" s="31"/>
      <c r="S1307" s="32">
        <f t="shared" si="342"/>
        <v>0</v>
      </c>
      <c r="T1307" s="10"/>
      <c r="U1307" s="10"/>
      <c r="V1307" s="10"/>
      <c r="W1307" s="12">
        <f t="shared" si="343"/>
        <v>0</v>
      </c>
      <c r="X1307" s="18"/>
      <c r="Y1307" s="10"/>
      <c r="Z1307" s="30"/>
      <c r="AB1307" s="47"/>
      <c r="AC1307" s="31"/>
      <c r="AD1307" s="31"/>
      <c r="AE1307" s="32">
        <f t="shared" si="344"/>
        <v>0</v>
      </c>
      <c r="AF1307" s="10"/>
      <c r="AG1307" s="10"/>
      <c r="AH1307" s="10"/>
      <c r="AI1307" s="12">
        <f t="shared" si="345"/>
        <v>0</v>
      </c>
      <c r="AJ1307" s="18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customFormat="1" x14ac:dyDescent="0.25">
      <c r="A1308" s="10"/>
      <c r="B1308" s="30"/>
      <c r="C1308" s="88"/>
      <c r="D1308" s="32"/>
      <c r="E1308" s="32"/>
      <c r="F1308" s="32"/>
      <c r="G1308" s="32">
        <f t="shared" si="340"/>
        <v>0</v>
      </c>
      <c r="H1308" s="10"/>
      <c r="I1308" s="10"/>
      <c r="J1308" s="10"/>
      <c r="K1308" s="12">
        <f t="shared" si="341"/>
        <v>0</v>
      </c>
      <c r="L1308" s="18"/>
      <c r="M1308" s="10"/>
      <c r="N1308" s="30"/>
      <c r="O1308" s="31"/>
      <c r="P1308" s="47"/>
      <c r="Q1308" s="31"/>
      <c r="R1308" s="31"/>
      <c r="S1308" s="32">
        <f t="shared" si="342"/>
        <v>0</v>
      </c>
      <c r="T1308" s="10"/>
      <c r="U1308" s="10"/>
      <c r="V1308" s="10"/>
      <c r="W1308" s="12">
        <f t="shared" si="343"/>
        <v>0</v>
      </c>
      <c r="X1308" s="18"/>
      <c r="Y1308" s="10"/>
      <c r="Z1308" s="30"/>
      <c r="AA1308" s="31"/>
      <c r="AB1308" s="47"/>
      <c r="AC1308" s="31"/>
      <c r="AD1308" s="31"/>
      <c r="AE1308" s="32">
        <f t="shared" si="344"/>
        <v>0</v>
      </c>
      <c r="AF1308" s="10"/>
      <c r="AG1308" s="10"/>
      <c r="AH1308" s="10"/>
      <c r="AI1308" s="12">
        <f t="shared" si="345"/>
        <v>0</v>
      </c>
      <c r="AJ1308" s="18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customFormat="1" x14ac:dyDescent="0.25">
      <c r="A1309" s="10"/>
      <c r="B1309" s="30"/>
      <c r="C1309" s="88"/>
      <c r="D1309" s="32"/>
      <c r="E1309" s="32"/>
      <c r="F1309" s="32"/>
      <c r="G1309" s="32">
        <f t="shared" si="340"/>
        <v>0</v>
      </c>
      <c r="H1309" s="10"/>
      <c r="I1309" s="10"/>
      <c r="J1309" s="10"/>
      <c r="K1309" s="12">
        <f t="shared" si="341"/>
        <v>0</v>
      </c>
      <c r="L1309" s="18"/>
      <c r="M1309" s="10"/>
      <c r="N1309" s="30"/>
      <c r="O1309" s="31"/>
      <c r="P1309" s="47"/>
      <c r="Q1309" s="31"/>
      <c r="R1309" s="31"/>
      <c r="S1309" s="32">
        <f t="shared" si="342"/>
        <v>0</v>
      </c>
      <c r="T1309" s="10"/>
      <c r="U1309" s="10"/>
      <c r="V1309" s="10"/>
      <c r="W1309" s="12">
        <f t="shared" si="343"/>
        <v>0</v>
      </c>
      <c r="X1309" s="18"/>
      <c r="Y1309" s="10"/>
      <c r="Z1309" s="30"/>
      <c r="AA1309" s="31"/>
      <c r="AB1309" s="47"/>
      <c r="AC1309" s="31"/>
      <c r="AD1309" s="31"/>
      <c r="AE1309" s="32">
        <f t="shared" si="344"/>
        <v>0</v>
      </c>
      <c r="AF1309" s="10"/>
      <c r="AG1309" s="10"/>
      <c r="AH1309" s="10"/>
      <c r="AI1309" s="12">
        <f t="shared" si="345"/>
        <v>0</v>
      </c>
      <c r="AJ1309" s="18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customFormat="1" x14ac:dyDescent="0.25">
      <c r="A1310" s="10"/>
      <c r="B1310" s="30"/>
      <c r="C1310" s="88"/>
      <c r="D1310" s="32"/>
      <c r="E1310" s="32"/>
      <c r="F1310" s="32"/>
      <c r="G1310" s="32">
        <f t="shared" si="340"/>
        <v>0</v>
      </c>
      <c r="H1310" s="10"/>
      <c r="I1310" s="10"/>
      <c r="J1310" s="10"/>
      <c r="K1310" s="12">
        <f t="shared" si="341"/>
        <v>0</v>
      </c>
      <c r="L1310" s="18"/>
      <c r="M1310" s="10"/>
      <c r="N1310" s="30"/>
      <c r="P1310" s="47"/>
      <c r="Q1310" s="31"/>
      <c r="R1310" s="31"/>
      <c r="S1310" s="32">
        <f t="shared" si="342"/>
        <v>0</v>
      </c>
      <c r="T1310" s="10"/>
      <c r="U1310" s="10"/>
      <c r="V1310" s="10"/>
      <c r="W1310" s="12">
        <f t="shared" si="343"/>
        <v>0</v>
      </c>
      <c r="X1310" s="18"/>
      <c r="Y1310" s="10"/>
      <c r="Z1310" s="30"/>
      <c r="AB1310" s="47"/>
      <c r="AC1310" s="31"/>
      <c r="AD1310" s="31"/>
      <c r="AE1310" s="32">
        <f t="shared" si="344"/>
        <v>0</v>
      </c>
      <c r="AF1310" s="10"/>
      <c r="AG1310" s="10"/>
      <c r="AH1310" s="10"/>
      <c r="AI1310" s="12">
        <f t="shared" si="345"/>
        <v>0</v>
      </c>
      <c r="AJ1310" s="18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customFormat="1" x14ac:dyDescent="0.25">
      <c r="A1311" s="10"/>
      <c r="B1311" s="30"/>
      <c r="C1311" s="31"/>
      <c r="D1311" s="32"/>
      <c r="E1311" s="32"/>
      <c r="F1311" s="32"/>
      <c r="G1311" s="32"/>
      <c r="H1311" s="10"/>
      <c r="I1311" s="10"/>
      <c r="J1311" s="10"/>
      <c r="K1311" s="12"/>
      <c r="L1311" s="18"/>
      <c r="M1311" s="10"/>
      <c r="N1311" s="30"/>
      <c r="O1311" s="31"/>
      <c r="P1311" s="47"/>
      <c r="Q1311" s="31"/>
      <c r="R1311" s="31"/>
      <c r="S1311" s="32">
        <f t="shared" si="342"/>
        <v>0</v>
      </c>
      <c r="T1311" s="10"/>
      <c r="U1311" s="10"/>
      <c r="V1311" s="10"/>
      <c r="W1311" s="12">
        <f t="shared" si="343"/>
        <v>0</v>
      </c>
      <c r="X1311" s="18"/>
      <c r="Y1311" s="10"/>
      <c r="Z1311" s="30"/>
      <c r="AA1311" s="31"/>
      <c r="AB1311" s="47"/>
      <c r="AC1311" s="31"/>
      <c r="AD1311" s="31"/>
      <c r="AE1311" s="32">
        <f t="shared" si="344"/>
        <v>0</v>
      </c>
      <c r="AF1311" s="10"/>
      <c r="AG1311" s="10"/>
      <c r="AH1311" s="10"/>
      <c r="AI1311" s="12">
        <f t="shared" si="345"/>
        <v>0</v>
      </c>
      <c r="AJ1311" s="18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customFormat="1" x14ac:dyDescent="0.25">
      <c r="A1312" s="10"/>
      <c r="B1312" s="30"/>
      <c r="C1312" s="31"/>
      <c r="D1312" s="32"/>
      <c r="E1312" s="32"/>
      <c r="F1312" s="32"/>
      <c r="G1312" s="32"/>
      <c r="H1312" s="10"/>
      <c r="I1312" s="10"/>
      <c r="J1312" s="10"/>
      <c r="K1312" s="12"/>
      <c r="L1312" s="18"/>
      <c r="M1312" s="10"/>
      <c r="N1312" s="30"/>
      <c r="O1312" s="31"/>
      <c r="P1312" s="47"/>
      <c r="Q1312" s="31"/>
      <c r="R1312" s="31"/>
      <c r="S1312" s="32">
        <f t="shared" si="342"/>
        <v>0</v>
      </c>
      <c r="T1312" s="10"/>
      <c r="U1312" s="10"/>
      <c r="V1312" s="10"/>
      <c r="W1312" s="12">
        <f t="shared" si="343"/>
        <v>0</v>
      </c>
      <c r="X1312" s="18"/>
      <c r="Y1312" s="10"/>
      <c r="Z1312" s="30"/>
      <c r="AA1312" s="31"/>
      <c r="AB1312" s="47"/>
      <c r="AC1312" s="31"/>
      <c r="AD1312" s="31"/>
      <c r="AE1312" s="32">
        <f t="shared" si="344"/>
        <v>0</v>
      </c>
      <c r="AF1312" s="10"/>
      <c r="AG1312" s="10"/>
      <c r="AH1312" s="10"/>
      <c r="AI1312" s="12">
        <f t="shared" si="345"/>
        <v>0</v>
      </c>
      <c r="AJ1312" s="18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customFormat="1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L1313" s="18"/>
      <c r="M1313" s="10"/>
      <c r="N1313" s="30"/>
      <c r="P1313" s="47"/>
      <c r="Q1313" s="31"/>
      <c r="R1313" s="31"/>
      <c r="S1313" s="32">
        <f t="shared" si="342"/>
        <v>0</v>
      </c>
      <c r="T1313" s="10"/>
      <c r="U1313" s="10"/>
      <c r="V1313" s="10"/>
      <c r="W1313" s="12">
        <f t="shared" si="343"/>
        <v>0</v>
      </c>
      <c r="X1313" s="18"/>
      <c r="Y1313" s="10"/>
      <c r="Z1313" s="30"/>
      <c r="AA1313" s="31"/>
      <c r="AB1313" s="47"/>
      <c r="AC1313" s="31"/>
      <c r="AD1313" s="31"/>
      <c r="AE1313" s="32">
        <f t="shared" si="344"/>
        <v>0</v>
      </c>
      <c r="AF1313" s="10"/>
      <c r="AG1313" s="10"/>
      <c r="AH1313" s="10"/>
      <c r="AI1313" s="12">
        <f t="shared" si="345"/>
        <v>0</v>
      </c>
      <c r="AJ1313" s="18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customFormat="1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L1314" s="18"/>
      <c r="M1314" s="10"/>
      <c r="N1314" s="30"/>
      <c r="O1314" s="31"/>
      <c r="P1314" s="47"/>
      <c r="Q1314" s="31"/>
      <c r="R1314" s="31"/>
      <c r="S1314" s="32">
        <f t="shared" si="342"/>
        <v>0</v>
      </c>
      <c r="T1314" s="10"/>
      <c r="U1314" s="10"/>
      <c r="V1314" s="10"/>
      <c r="W1314" s="12">
        <f t="shared" si="343"/>
        <v>0</v>
      </c>
      <c r="X1314" s="18"/>
      <c r="Y1314" s="10"/>
      <c r="Z1314" s="30"/>
      <c r="AA1314" s="31"/>
      <c r="AB1314" s="47"/>
      <c r="AC1314" s="31"/>
      <c r="AD1314" s="31"/>
      <c r="AE1314" s="32">
        <f t="shared" si="344"/>
        <v>0</v>
      </c>
      <c r="AF1314" s="10"/>
      <c r="AG1314" s="10"/>
      <c r="AH1314" s="10"/>
      <c r="AI1314" s="12">
        <f t="shared" si="345"/>
        <v>0</v>
      </c>
      <c r="AJ1314" s="18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customFormat="1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L1315" s="18"/>
      <c r="M1315" s="10"/>
      <c r="N1315" s="30"/>
      <c r="O1315" s="31"/>
      <c r="P1315" s="47"/>
      <c r="Q1315" s="31"/>
      <c r="R1315" s="31"/>
      <c r="S1315" s="32">
        <f t="shared" si="342"/>
        <v>0</v>
      </c>
      <c r="T1315" s="10"/>
      <c r="U1315" s="10"/>
      <c r="V1315" s="10"/>
      <c r="W1315" s="12">
        <f t="shared" si="343"/>
        <v>0</v>
      </c>
      <c r="X1315" s="18"/>
      <c r="Y1315" s="10"/>
      <c r="Z1315" s="30"/>
      <c r="AA1315" s="31"/>
      <c r="AB1315" s="47"/>
      <c r="AC1315" s="31"/>
      <c r="AD1315" s="31"/>
      <c r="AE1315" s="32">
        <f t="shared" si="344"/>
        <v>0</v>
      </c>
      <c r="AF1315" s="10"/>
      <c r="AG1315" s="10"/>
      <c r="AH1315" s="10"/>
      <c r="AI1315" s="12">
        <f t="shared" si="345"/>
        <v>0</v>
      </c>
      <c r="AJ1315" s="18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customFormat="1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L1316" s="18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43"/>
        <v>0</v>
      </c>
      <c r="X1316" s="18"/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45"/>
        <v>0</v>
      </c>
      <c r="AJ1316" s="18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customFormat="1" x14ac:dyDescent="0.25">
      <c r="A1317" s="10"/>
      <c r="B1317" s="30"/>
      <c r="C1317" s="31"/>
      <c r="D1317" s="32"/>
      <c r="E1317" s="32"/>
      <c r="F1317" s="32"/>
      <c r="G1317" s="32">
        <f t="shared" ref="G1317" si="349">SUM(D1317:E1317)</f>
        <v>0</v>
      </c>
      <c r="H1317" s="10"/>
      <c r="I1317" s="10"/>
      <c r="J1317" s="10"/>
      <c r="K1317" s="12">
        <f t="shared" ref="K1317" si="350">SUM(G1317:J1317)</f>
        <v>0</v>
      </c>
      <c r="L1317" s="18"/>
      <c r="M1317" s="10"/>
      <c r="N1317" s="30"/>
      <c r="O1317" s="31"/>
      <c r="P1317" s="47"/>
      <c r="Q1317" s="31"/>
      <c r="R1317" s="31"/>
      <c r="S1317" s="32">
        <f t="shared" ref="S1317" si="351">SUM(P1317:Q1317)</f>
        <v>0</v>
      </c>
      <c r="T1317" s="10"/>
      <c r="U1317" s="10"/>
      <c r="V1317" s="10"/>
      <c r="W1317" s="12">
        <f t="shared" si="343"/>
        <v>0</v>
      </c>
      <c r="X1317" s="18"/>
      <c r="Y1317" s="10"/>
      <c r="Z1317" s="30"/>
      <c r="AA1317" s="31"/>
      <c r="AB1317" s="47"/>
      <c r="AC1317" s="31"/>
      <c r="AD1317" s="31"/>
      <c r="AE1317" s="32">
        <f t="shared" ref="AE1317" si="352">SUM(AB1317:AC1317)</f>
        <v>0</v>
      </c>
      <c r="AF1317" s="10"/>
      <c r="AG1317" s="10"/>
      <c r="AH1317" s="10"/>
      <c r="AI1317" s="12">
        <f t="shared" si="345"/>
        <v>0</v>
      </c>
      <c r="AJ1317" s="18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customFormat="1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L1318" s="18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43"/>
        <v>0</v>
      </c>
      <c r="X1318" s="18"/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45"/>
        <v>0</v>
      </c>
      <c r="AJ1318" s="18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customFormat="1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L1319" s="18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X1319" s="18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J1319" s="18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customFormat="1" x14ac:dyDescent="0.25">
      <c r="B1320" s="57"/>
      <c r="C1320" s="57"/>
      <c r="D1320" s="38">
        <f>SUM(D1277:D1319)</f>
        <v>212037</v>
      </c>
      <c r="E1320" s="38">
        <f t="shared" ref="E1320:F1320" si="353">SUM(E1277:E1317)</f>
        <v>0</v>
      </c>
      <c r="F1320" s="38">
        <f t="shared" si="353"/>
        <v>0</v>
      </c>
      <c r="G1320" s="38">
        <f>SUM(G1277:G1319)</f>
        <v>212037</v>
      </c>
      <c r="H1320" s="4"/>
      <c r="I1320" s="39">
        <f>SUM(I1277:I1319)</f>
        <v>31</v>
      </c>
      <c r="J1320" s="39">
        <f>SUM(J1277:J1319)</f>
        <v>0</v>
      </c>
      <c r="K1320" s="40">
        <f>SUM(K1277:K1319)</f>
        <v>212068</v>
      </c>
      <c r="L1320" s="18"/>
      <c r="N1320" s="57"/>
      <c r="O1320" s="57"/>
      <c r="P1320" s="38">
        <f>SUM(P1277:P1319)</f>
        <v>127273</v>
      </c>
      <c r="Q1320" s="38">
        <f>SUM(Q1277:Q1301)</f>
        <v>0</v>
      </c>
      <c r="R1320" s="38">
        <f>SUM(R1277:R1301)</f>
        <v>0</v>
      </c>
      <c r="S1320" s="38">
        <f>SUM(S1277:S1319)</f>
        <v>127273</v>
      </c>
      <c r="T1320" s="4"/>
      <c r="U1320" s="41">
        <f>SUM(U1277:U1319)</f>
        <v>4729.5</v>
      </c>
      <c r="V1320" s="41">
        <f>SUM(V1277:V1301)</f>
        <v>-528</v>
      </c>
      <c r="W1320" s="42">
        <f>SUM(W1277:W1319)</f>
        <v>131474.5</v>
      </c>
      <c r="X1320" s="18"/>
      <c r="Z1320" s="57"/>
      <c r="AA1320" s="57"/>
      <c r="AB1320" s="38">
        <f>SUM(AB1277:AB1319)</f>
        <v>213276.5</v>
      </c>
      <c r="AC1320" s="38">
        <f>SUM(AC1277:AC1301)</f>
        <v>-1980</v>
      </c>
      <c r="AD1320" s="38">
        <f>SUM(AD1277:AD1301)</f>
        <v>0</v>
      </c>
      <c r="AE1320" s="38">
        <f>SUM(AE1277:AE1319)</f>
        <v>211296.5</v>
      </c>
      <c r="AF1320" s="4"/>
      <c r="AG1320" s="41">
        <f>SUM(AG1277:AG1319)</f>
        <v>0</v>
      </c>
      <c r="AH1320" s="41">
        <f>SUM(AH1277:AH1301)</f>
        <v>0</v>
      </c>
      <c r="AI1320" s="42">
        <f>SUM(AI1277:AI1319)</f>
        <v>211296.5</v>
      </c>
      <c r="AJ1320" s="18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customFormat="1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J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114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114"/>
      <c r="P1322" s="69"/>
      <c r="Q1322" s="114"/>
      <c r="R1322" s="114"/>
      <c r="S1322" s="60"/>
      <c r="T1322" s="62"/>
      <c r="U1322" s="62"/>
      <c r="V1322" s="62"/>
      <c r="W1322" s="61"/>
      <c r="X1322" s="62"/>
      <c r="Y1322" s="62"/>
      <c r="Z1322" s="66"/>
      <c r="AA1322" s="114"/>
      <c r="AB1322" s="69"/>
      <c r="AC1322" s="114"/>
      <c r="AD1322" s="114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114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114"/>
      <c r="P1323" s="69"/>
      <c r="Q1323" s="114"/>
      <c r="R1323" s="114"/>
      <c r="S1323" s="60"/>
      <c r="T1323" s="62"/>
      <c r="U1323" s="62"/>
      <c r="V1323" s="62"/>
      <c r="W1323" s="61"/>
      <c r="X1323" s="62"/>
      <c r="Y1323" s="62"/>
      <c r="Z1323" s="66"/>
      <c r="AA1323" s="114"/>
      <c r="AB1323" s="69"/>
      <c r="AC1323" s="114"/>
      <c r="AD1323" s="114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114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114"/>
      <c r="R1324" s="114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114"/>
      <c r="AD1324" s="114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114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114"/>
      <c r="P1325" s="69"/>
      <c r="Q1325" s="114"/>
      <c r="R1325" s="114"/>
      <c r="S1325" s="60"/>
      <c r="T1325" s="62"/>
      <c r="U1325" s="62"/>
      <c r="V1325" s="62"/>
      <c r="W1325" s="61"/>
      <c r="X1325" s="62"/>
      <c r="Y1325" s="62"/>
      <c r="Z1325" s="66"/>
      <c r="AA1325" s="114"/>
      <c r="AB1325" s="69"/>
      <c r="AC1325" s="114"/>
      <c r="AD1325" s="114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114"/>
      <c r="O1326" s="114"/>
      <c r="P1326" s="114"/>
      <c r="Q1326" s="114"/>
      <c r="R1326" s="114"/>
      <c r="S1326" s="114"/>
      <c r="T1326" s="62"/>
      <c r="U1326" s="62"/>
      <c r="V1326" s="62"/>
      <c r="W1326" s="61"/>
      <c r="X1326" s="62"/>
      <c r="Y1326" s="62"/>
      <c r="Z1326" s="114"/>
      <c r="AA1326" s="114"/>
      <c r="AB1326" s="114"/>
      <c r="AC1326" s="114"/>
      <c r="AD1326" s="114"/>
      <c r="AE1326" s="114"/>
      <c r="AF1326" s="62"/>
      <c r="AG1326" s="62"/>
      <c r="AH1326" s="62"/>
      <c r="AI1326" s="61"/>
      <c r="AJ1326" s="62"/>
    </row>
    <row r="1327" spans="1:52" x14ac:dyDescent="0.25">
      <c r="A1327" s="62"/>
      <c r="B1327" s="114"/>
      <c r="C1327" s="114"/>
      <c r="D1327" s="114"/>
      <c r="E1327" s="114"/>
      <c r="F1327" s="114"/>
      <c r="G1327" s="114"/>
      <c r="H1327" s="62"/>
      <c r="I1327" s="62"/>
      <c r="J1327" s="62"/>
      <c r="K1327" s="62"/>
      <c r="L1327" s="62"/>
      <c r="M1327" s="62"/>
      <c r="N1327" s="114"/>
      <c r="O1327" s="114"/>
      <c r="P1327" s="114"/>
      <c r="Q1327" s="114"/>
      <c r="R1327" s="114"/>
      <c r="S1327" s="114"/>
      <c r="T1327" s="62"/>
      <c r="U1327" s="62"/>
      <c r="V1327" s="62"/>
      <c r="W1327" s="62"/>
      <c r="X1327" s="62"/>
      <c r="Y1327" s="62"/>
      <c r="Z1327" s="114"/>
      <c r="AA1327" s="114"/>
      <c r="AB1327" s="114"/>
      <c r="AC1327" s="114"/>
      <c r="AD1327" s="114"/>
      <c r="AE1327" s="114"/>
      <c r="AF1327" s="62"/>
      <c r="AG1327" s="62"/>
      <c r="AH1327" s="62"/>
      <c r="AI1327" s="62"/>
      <c r="AJ1327" s="62"/>
    </row>
    <row r="1328" spans="1:52" x14ac:dyDescent="0.25">
      <c r="A1328" s="62"/>
      <c r="B1328" s="114"/>
      <c r="C1328" s="114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114"/>
      <c r="O1328" s="114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114"/>
      <c r="AA1328" s="114"/>
      <c r="AB1328" s="70"/>
      <c r="AC1328" s="70"/>
      <c r="AD1328" s="70"/>
      <c r="AE1328" s="74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110:AI1111"/>
    <mergeCell ref="AG1110:AH1110"/>
    <mergeCell ref="AB1110:AC1110"/>
    <mergeCell ref="AI1220:AI1221"/>
    <mergeCell ref="AG1220:AH1220"/>
    <mergeCell ref="AB1220:AC1220"/>
    <mergeCell ref="AI1000:AI1001"/>
    <mergeCell ref="AG1000:AH1000"/>
    <mergeCell ref="AB1000:AC100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20:W1221"/>
    <mergeCell ref="U1220:V1220"/>
    <mergeCell ref="P1220:Q1220"/>
    <mergeCell ref="W65:W66"/>
    <mergeCell ref="U65:V65"/>
    <mergeCell ref="I65:J65"/>
    <mergeCell ref="U120:V120"/>
    <mergeCell ref="U340:V340"/>
    <mergeCell ref="U945:V945"/>
    <mergeCell ref="W1110:W1111"/>
    <mergeCell ref="U1110:V1110"/>
    <mergeCell ref="P1110:Q1110"/>
    <mergeCell ref="K1220:K1221"/>
    <mergeCell ref="I1220:J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1275:E1275"/>
    <mergeCell ref="W1275:W1276"/>
    <mergeCell ref="U1275:V1275"/>
    <mergeCell ref="P1275:Q1275"/>
    <mergeCell ref="AI1275:AI1276"/>
    <mergeCell ref="AG1275:AH1275"/>
    <mergeCell ref="AB1275:AC1275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2025-12-01T01:20:36Z</dcterms:modified>
</cp:coreProperties>
</file>