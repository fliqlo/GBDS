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737D032C-63BA-4721-8B3F-6C1E0BE92946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2" i="6" l="1"/>
  <c r="I11" i="6" l="1"/>
  <c r="I10" i="6" l="1"/>
  <c r="I9" i="6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<sst xmlns="http://schemas.openxmlformats.org/spreadsheetml/2006/main" count="253" uniqueCount="77">
  <si>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</si>
  <si>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</si>
  <si>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</si>
  <si>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</si>
  <si>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</si>
  <si>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</si>
  <si>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</si>
  <si>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</si>
  <si>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</si>
  <si>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</si>
  <si>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</si>
  <si>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</si>
  <si>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</si>
  <si>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</si>
  <si>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</si>
  <si>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</si>
  <si>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</si>
  <si>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</si>
  <si>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</si>
  <si>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</si>
  <si>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</si>
  <si>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</si>
  <si>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</si>
  <si>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</si>
  <si>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</si>
  <si>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</si>
  <si>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</si>
  <si>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</si>
  <si>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</si>
  <si>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</si>
  <si>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</si>
  <si>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</si>
  <si>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</si>
  <si>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</si>
  <si>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</si>
  <si>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</si>
  <si>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</si>
  <si>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</si>
  <si>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</si>
  <si>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</si>
  <si>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</si>
  <si>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</si>
  <si>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</si>
  <si>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</si>
  <si>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</si>
  <si>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</si>
  <si>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</si>
  <si>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</si>
  <si>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</si>
  <si>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</si>
  <si>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</si>
  <si>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</si>
  <si>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</si>
  <si>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</si>
  <si>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</si>
  <si>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</si>
  <si>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</si>
  <si>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</si>
  <si>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</si>
  <si>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</si>
  <si>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</si>
  <si>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</si>
  <si>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</si>
  <si>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</si>
  <si>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</si>
  <si>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</si>
  <si>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</si>
  <si>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</si>
  <si>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</si>
  <si>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</si>
  <si>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</si>
  <si>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</si>
  <si>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</si>
  <si>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</si>
  <si>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</si>
  <si>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NOVEMBER 2025</t>
  </si>
  <si>
    <t>11/17/2025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</si>
</sst>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3" sqref="I1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45969</v>
      </c>
      <c r="D7" s="20" t="s">
        <v>68</v>
      </c>
      <c r="E7" s="12"/>
      <c r="F7" s="20" t="s">
        <v>70</v>
      </c>
      <c r="G7" s="20">
        <v>518080735</v>
      </c>
      <c r="H7" s="20" t="s">
        <v>74</v>
      </c>
      <c r="I7" s="21">
        <f>1320282-52825.14</f>
        <v>1267456.8600000001</v>
      </c>
      <c r="K7" s="21">
        <f>M7*12</f>
        <v>135798.94928571431</v>
      </c>
      <c r="L7" s="27">
        <f>I7-K7</f>
        <v>1131657.9107142859</v>
      </c>
      <c r="M7" s="33">
        <f>I7/112</f>
        <v>11316.579107142858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45971</v>
      </c>
      <c r="D8" s="20" t="s">
        <v>68</v>
      </c>
      <c r="E8" s="20"/>
      <c r="F8" s="20" t="s">
        <v>70</v>
      </c>
      <c r="G8" s="20">
        <v>518082534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45972</v>
      </c>
      <c r="D9" s="20" t="s">
        <v>68</v>
      </c>
      <c r="E9" s="20"/>
      <c r="F9" s="20" t="s">
        <v>70</v>
      </c>
      <c r="G9" s="20">
        <v>518085413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>
        <v>45972</v>
      </c>
      <c r="D10" s="20" t="s">
        <v>68</v>
      </c>
      <c r="E10" s="20"/>
      <c r="F10" s="20" t="s">
        <v>70</v>
      </c>
      <c r="G10" s="20">
        <v>518085696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76</v>
      </c>
      <c r="D11" s="20" t="s">
        <v>68</v>
      </c>
      <c r="E11" s="20"/>
      <c r="F11" s="20" t="s">
        <v>70</v>
      </c>
      <c r="G11" s="20">
        <v>518101723</v>
      </c>
      <c r="H11" s="20" t="s">
        <v>74</v>
      </c>
      <c r="I11" s="21">
        <f>1353132-56255.04</f>
        <v>1296876.96</v>
      </c>
      <c r="K11" s="21">
        <f t="shared" si="2"/>
        <v>138951.10285714286</v>
      </c>
      <c r="L11" s="27">
        <f t="shared" si="3"/>
        <v>1157925.857142857</v>
      </c>
      <c r="M11" s="33">
        <f t="shared" si="0"/>
        <v>11579.258571428571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76</v>
      </c>
      <c r="D12" s="20" t="s">
        <v>68</v>
      </c>
      <c r="E12" s="20"/>
      <c r="F12" s="20" t="s">
        <v>70</v>
      </c>
      <c r="G12" s="20">
        <v>518101432</v>
      </c>
      <c r="H12" s="20" t="s">
        <v>74</v>
      </c>
      <c r="I12" s="21">
        <f>1353132-56255.04</f>
        <v>1296876.96</v>
      </c>
      <c r="K12" s="21">
        <f t="shared" si="2"/>
        <v>138951.10285714286</v>
      </c>
      <c r="L12" s="27">
        <f t="shared" si="3"/>
        <v>1157925.857142857</v>
      </c>
      <c r="M12" s="33">
        <f t="shared" si="0"/>
        <v>11579.258571428571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7751841.6600000001</v>
      </c>
      <c r="K32" s="14">
        <f>SUM(K7:K31)</f>
        <v>830554.46357142879</v>
      </c>
      <c r="L32" s="14">
        <f>SUM(L7:L31)</f>
        <v>6921287.1964285718</v>
      </c>
      <c r="M32" s="36">
        <f>SUM(M7:M31)</f>
        <v>69212.871964285703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2025-11-18T02:42:05Z</dcterms:modified>
</cp:coreProperties>
</file>