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C5B60CB-5666-472F-BB56-D5DAB55D720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" i="6" l="1"/>
  <c r="I22" i="6"/>
  <c r="I21" i="6"/>
  <c r="I20" i="6"/>
  <c r="I19" i="6"/>
  <c r="I18" i="6" l="1"/>
  <c r="I17" i="6" l="1"/>
  <c r="I16" i="6" l="1"/>
  <c r="I15" i="6" l="1"/>
  <c r="I14" i="6" l="1"/>
  <c r="I13" i="6" l="1"/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<sst xmlns="http://schemas.openxmlformats.org/spreadsheetml/2006/main" count="264" uniqueCount="85">
  <si>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</si>
  <si>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</si>
  <si>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</si>
  <si>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</si>
  <si>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</si>
  <si>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</si>
  <si>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</si>
  <si>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</si>
  <si>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</si>
  <si>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</si>
  <si>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</si>
  <si>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</si>
  <si>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</si>
  <si>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</si>
  <si>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</si>
  <si>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</si>
  <si>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</si>
  <si>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</si>
  <si>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</si>
  <si>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</si>
  <si>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</si>
  <si>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</si>
  <si>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</si>
  <si>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</si>
  <si>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</si>
  <si>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</si>
  <si>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</si>
  <si>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</si>
  <si>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</si>
  <si>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</si>
  <si>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</si>
  <si>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</si>
  <si>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</si>
  <si>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</si>
  <si>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</si>
  <si>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</si>
  <si>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</si>
  <si>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</si>
  <si>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</si>
  <si>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</si>
  <si>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</si>
  <si>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</si>
  <si>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</si>
  <si>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</si>
  <si>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</si>
  <si>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</si>
  <si>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</si>
  <si>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</si>
  <si>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</si>
  <si>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</si>
  <si>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</si>
  <si>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</si>
  <si>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</si>
  <si>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</si>
  <si>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</si>
  <si>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</si>
  <si>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</si>
  <si>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</si>
  <si>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</si>
  <si>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</si>
  <si>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</si>
  <si>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</si>
  <si>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</si>
  <si>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</si>
  <si>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</si>
  <si>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</si>
  <si>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</si>
  <si>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</si>
  <si>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</si>
  <si>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</si>
  <si>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</si>
  <si>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</si>
  <si>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</si>
  <si>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</si>
  <si>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</si>
  <si>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</si>
  <si>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</si>
  <si>
    <t>11/18/2025</t>
  </si>
  <si>
    <t>11/20/2025</t>
  </si>
  <si>
    <t>11/21/2025</t>
  </si>
  <si>
    <t>11/25/2025</t>
  </si>
  <si>
    <t>11/26/2025</t>
  </si>
  <si>
    <t>11/28/2025</t>
  </si>
  <si>
    <t>11/29/2025</t>
  </si>
  <si>
    <t>11/30/2025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</si>
</sst>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24" sqref="C2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 t="shared" ref="I8:I13" si="0"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1">I8/112</f>
        <v>11579.258571428571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 t="shared" si="0"/>
        <v>1296876.96</v>
      </c>
      <c r="K9" s="21">
        <f t="shared" ref="K9:K26" si="3">M9*12</f>
        <v>138951.10285714286</v>
      </c>
      <c r="L9" s="27">
        <f t="shared" ref="L9:L26" si="4">I9-K9</f>
        <v>1157925.857142857</v>
      </c>
      <c r="M9" s="33">
        <f t="shared" si="1"/>
        <v>11579.258571428571</v>
      </c>
    </row>
    <row r="10" spans="1:15" x14ac:dyDescent="0.25">
      <c r="A10">
        <f t="shared" si="2"/>
        <v>4</v>
      </c>
      <c r="B10" s="23">
        <f t="shared" si="2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 t="shared" si="0"/>
        <v>1296876.96</v>
      </c>
      <c r="K10" s="21">
        <f t="shared" si="3"/>
        <v>138951.10285714286</v>
      </c>
      <c r="L10" s="27">
        <f t="shared" si="4"/>
        <v>1157925.857142857</v>
      </c>
      <c r="M10" s="33">
        <f t="shared" si="1"/>
        <v>11579.258571428571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 t="shared" si="0"/>
        <v>1296876.96</v>
      </c>
      <c r="K11" s="21">
        <f t="shared" si="3"/>
        <v>138951.10285714286</v>
      </c>
      <c r="L11" s="27">
        <f t="shared" si="4"/>
        <v>1157925.857142857</v>
      </c>
      <c r="M11" s="33">
        <f t="shared" si="1"/>
        <v>11579.258571428571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 t="shared" si="0"/>
        <v>1296876.96</v>
      </c>
      <c r="K12" s="21">
        <f t="shared" si="3"/>
        <v>138951.10285714286</v>
      </c>
      <c r="L12" s="27">
        <f t="shared" si="4"/>
        <v>1157925.857142857</v>
      </c>
      <c r="M12" s="33">
        <f t="shared" si="1"/>
        <v>11579.258571428571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77</v>
      </c>
      <c r="D13" s="20" t="s">
        <v>68</v>
      </c>
      <c r="E13" s="20"/>
      <c r="F13" s="20" t="s">
        <v>70</v>
      </c>
      <c r="G13" s="20">
        <v>518105819</v>
      </c>
      <c r="H13" s="20" t="s">
        <v>74</v>
      </c>
      <c r="I13" s="21">
        <f t="shared" si="0"/>
        <v>1296876.96</v>
      </c>
      <c r="K13" s="21">
        <f t="shared" si="3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78</v>
      </c>
      <c r="D14" s="20" t="s">
        <v>68</v>
      </c>
      <c r="E14" s="20"/>
      <c r="F14" s="20" t="s">
        <v>70</v>
      </c>
      <c r="G14" s="20">
        <v>518113761</v>
      </c>
      <c r="H14" s="20" t="s">
        <v>74</v>
      </c>
      <c r="I14" s="38">
        <f>1265884-48126.75</f>
        <v>1217757.25</v>
      </c>
      <c r="K14" s="21">
        <f t="shared" si="3"/>
        <v>130473.99107142857</v>
      </c>
      <c r="L14" s="27">
        <f t="shared" si="4"/>
        <v>1087283.2589285714</v>
      </c>
      <c r="M14" s="33">
        <f t="shared" si="1"/>
        <v>10872.832589285714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79</v>
      </c>
      <c r="D15" s="20" t="s">
        <v>68</v>
      </c>
      <c r="E15" s="20"/>
      <c r="F15" s="20" t="s">
        <v>70</v>
      </c>
      <c r="G15" s="20">
        <v>518117791</v>
      </c>
      <c r="H15" s="20" t="s">
        <v>74</v>
      </c>
      <c r="I15" s="21">
        <f>1387582-57800.52</f>
        <v>1329781.48</v>
      </c>
      <c r="K15" s="21">
        <f t="shared" si="3"/>
        <v>142476.58714285714</v>
      </c>
      <c r="L15" s="27">
        <f>I15-K15</f>
        <v>1187304.8928571427</v>
      </c>
      <c r="M15" s="33">
        <f>I15/112</f>
        <v>11873.048928571428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80</v>
      </c>
      <c r="D16" s="20" t="s">
        <v>68</v>
      </c>
      <c r="E16" s="20"/>
      <c r="F16" s="20" t="s">
        <v>70</v>
      </c>
      <c r="G16" s="20">
        <v>518130298</v>
      </c>
      <c r="H16" s="20" t="s">
        <v>74</v>
      </c>
      <c r="I16" s="21">
        <f>1345536-55062.4</f>
        <v>1290473.6000000001</v>
      </c>
      <c r="K16" s="21">
        <f t="shared" si="3"/>
        <v>138265.02857142859</v>
      </c>
      <c r="L16" s="27">
        <f t="shared" si="4"/>
        <v>1152208.5714285716</v>
      </c>
      <c r="M16" s="33">
        <f t="shared" si="1"/>
        <v>11522.085714285715</v>
      </c>
    </row>
    <row r="17" spans="1:13" x14ac:dyDescent="0.25">
      <c r="A17">
        <f t="shared" si="2"/>
        <v>11</v>
      </c>
      <c r="B17" s="23">
        <f t="shared" si="2"/>
        <v>11</v>
      </c>
      <c r="C17" s="19" t="s">
        <v>81</v>
      </c>
      <c r="D17" s="20" t="s">
        <v>68</v>
      </c>
      <c r="E17" s="20"/>
      <c r="F17" s="20" t="s">
        <v>70</v>
      </c>
      <c r="G17" s="20">
        <v>518135093</v>
      </c>
      <c r="H17" s="20" t="s">
        <v>74</v>
      </c>
      <c r="I17" s="21">
        <f>1251528-52680.48</f>
        <v>1198847.52</v>
      </c>
      <c r="K17" s="21">
        <f t="shared" si="3"/>
        <v>128447.94857142857</v>
      </c>
      <c r="L17" s="27">
        <f t="shared" si="4"/>
        <v>1070399.5714285714</v>
      </c>
      <c r="M17" s="33">
        <f t="shared" si="1"/>
        <v>10703.995714285715</v>
      </c>
    </row>
    <row r="18" spans="1:13" x14ac:dyDescent="0.25">
      <c r="A18">
        <f t="shared" si="2"/>
        <v>12</v>
      </c>
      <c r="B18" s="23">
        <f t="shared" si="2"/>
        <v>12</v>
      </c>
      <c r="C18" s="19" t="s">
        <v>82</v>
      </c>
      <c r="D18" s="20" t="s">
        <v>68</v>
      </c>
      <c r="E18" s="20"/>
      <c r="F18" s="20" t="s">
        <v>70</v>
      </c>
      <c r="G18" s="20">
        <v>518144431</v>
      </c>
      <c r="H18" s="20" t="s">
        <v>74</v>
      </c>
      <c r="I18" s="21">
        <f>1231463-49683.74</f>
        <v>1181779.26</v>
      </c>
      <c r="K18" s="21">
        <f t="shared" si="3"/>
        <v>126619.20642857143</v>
      </c>
      <c r="L18" s="27">
        <f t="shared" si="4"/>
        <v>1055160.0535714286</v>
      </c>
      <c r="M18" s="33">
        <f t="shared" si="1"/>
        <v>10551.600535714286</v>
      </c>
    </row>
    <row r="19" spans="1:13" x14ac:dyDescent="0.25">
      <c r="A19">
        <f t="shared" si="2"/>
        <v>13</v>
      </c>
      <c r="B19" s="23">
        <f t="shared" si="2"/>
        <v>13</v>
      </c>
      <c r="C19" s="19" t="s">
        <v>83</v>
      </c>
      <c r="D19" s="20" t="s">
        <v>68</v>
      </c>
      <c r="E19" s="20"/>
      <c r="F19" s="20" t="s">
        <v>70</v>
      </c>
      <c r="G19" s="20">
        <v>518149982</v>
      </c>
      <c r="H19" s="20" t="s">
        <v>74</v>
      </c>
      <c r="I19" s="21">
        <f>1300225-56321.18</f>
        <v>1243903.82</v>
      </c>
      <c r="K19" s="21">
        <f t="shared" si="3"/>
        <v>133275.4092857143</v>
      </c>
      <c r="L19" s="27">
        <f t="shared" si="4"/>
        <v>1110628.4107142857</v>
      </c>
      <c r="M19" s="33">
        <f t="shared" si="1"/>
        <v>11106.284107142857</v>
      </c>
    </row>
    <row r="20" spans="1:13" x14ac:dyDescent="0.25">
      <c r="A20">
        <f t="shared" si="2"/>
        <v>14</v>
      </c>
      <c r="B20" s="23">
        <f t="shared" si="2"/>
        <v>14</v>
      </c>
      <c r="C20" s="19" t="s">
        <v>84</v>
      </c>
      <c r="D20" s="20" t="s">
        <v>68</v>
      </c>
      <c r="E20" s="20"/>
      <c r="F20" s="20" t="s">
        <v>70</v>
      </c>
      <c r="G20" s="20">
        <v>518152453</v>
      </c>
      <c r="H20" s="20" t="s">
        <v>74</v>
      </c>
      <c r="I20" s="21">
        <f>122800-10224</f>
        <v>112576</v>
      </c>
      <c r="K20" s="21">
        <f t="shared" si="3"/>
        <v>12061.714285714286</v>
      </c>
      <c r="L20" s="27">
        <f t="shared" si="4"/>
        <v>100514.28571428571</v>
      </c>
      <c r="M20" s="33">
        <f t="shared" si="1"/>
        <v>1005.1428571428571</v>
      </c>
    </row>
    <row r="21" spans="1:13" x14ac:dyDescent="0.25">
      <c r="A21">
        <f t="shared" si="2"/>
        <v>15</v>
      </c>
      <c r="B21" s="23">
        <f t="shared" si="2"/>
        <v>15</v>
      </c>
      <c r="C21" s="19" t="s">
        <v>84</v>
      </c>
      <c r="D21" s="20" t="s">
        <v>68</v>
      </c>
      <c r="E21" s="20"/>
      <c r="F21" s="20" t="s">
        <v>70</v>
      </c>
      <c r="G21" s="20">
        <v>518153334</v>
      </c>
      <c r="H21" s="20" t="s">
        <v>74</v>
      </c>
      <c r="I21" s="21">
        <f>1353132-56255.04</f>
        <v>1296876.96</v>
      </c>
      <c r="K21" s="21">
        <f t="shared" si="3"/>
        <v>138951.10285714286</v>
      </c>
      <c r="L21" s="27">
        <f t="shared" si="4"/>
        <v>1157925.857142857</v>
      </c>
      <c r="M21" s="33">
        <f t="shared" si="1"/>
        <v>11579.258571428571</v>
      </c>
    </row>
    <row r="22" spans="1:13" x14ac:dyDescent="0.25">
      <c r="A22">
        <f t="shared" si="2"/>
        <v>16</v>
      </c>
      <c r="B22" s="23">
        <f t="shared" si="2"/>
        <v>16</v>
      </c>
      <c r="C22" s="19" t="s">
        <v>84</v>
      </c>
      <c r="D22" s="20" t="s">
        <v>68</v>
      </c>
      <c r="E22" s="20"/>
      <c r="F22" s="20" t="s">
        <v>70</v>
      </c>
      <c r="G22" s="20">
        <v>518153364</v>
      </c>
      <c r="H22" s="20" t="s">
        <v>74</v>
      </c>
      <c r="I22" s="21">
        <f>1353132-56255.04</f>
        <v>1296876.96</v>
      </c>
      <c r="K22" s="21">
        <f t="shared" si="3"/>
        <v>138951.10285714286</v>
      </c>
      <c r="L22" s="27">
        <f t="shared" si="4"/>
        <v>1157925.857142857</v>
      </c>
      <c r="M22" s="33">
        <f t="shared" si="1"/>
        <v>11579.258571428571</v>
      </c>
    </row>
    <row r="23" spans="1:13" x14ac:dyDescent="0.25">
      <c r="A23">
        <f t="shared" si="2"/>
        <v>17</v>
      </c>
      <c r="B23" s="23">
        <f t="shared" si="2"/>
        <v>17</v>
      </c>
      <c r="C23" s="19" t="s">
        <v>84</v>
      </c>
      <c r="D23" s="20" t="s">
        <v>68</v>
      </c>
      <c r="E23" s="20"/>
      <c r="F23" s="20" t="s">
        <v>70</v>
      </c>
      <c r="G23" s="20">
        <v>518153400</v>
      </c>
      <c r="H23" s="20" t="s">
        <v>74</v>
      </c>
      <c r="I23" s="21">
        <f>1595054-66248.54</f>
        <v>1528805.46</v>
      </c>
      <c r="K23" s="21">
        <f t="shared" si="3"/>
        <v>163800.58499999999</v>
      </c>
      <c r="L23" s="27">
        <f t="shared" si="4"/>
        <v>1365004.875</v>
      </c>
      <c r="M23" s="33">
        <f t="shared" si="1"/>
        <v>13650.04875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20746396.930000003</v>
      </c>
      <c r="K32" s="14">
        <f>SUM(K7:K31)</f>
        <v>2222828.2425000006</v>
      </c>
      <c r="L32" s="14">
        <f>SUM(L7:L31)</f>
        <v>18523568.687499996</v>
      </c>
      <c r="M32" s="36">
        <f>SUM(M7:M31)</f>
        <v>185235.68687499998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2025-12-01T09:23:20Z</dcterms:modified>
</cp:coreProperties>
</file>