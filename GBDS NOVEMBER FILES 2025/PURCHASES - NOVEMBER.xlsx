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DA5555E8-3B3E-4D2F-B7AB-3CF047ECC02F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NOVEMBER" sheetId="6" r:id="rId2"/>
  </sheets>
  <definedNames>
    <definedName name="_xlnm.Print_Area" localSheetId="1">'PE, NOVEMBER'!#REF!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8" i="6" l="1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<sst xmlns="http://schemas.openxmlformats.org/spreadsheetml/2006/main" count="251" uniqueCount="76">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</sst>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2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164" fontId="9" fillId="2" borderId="0" xfId="0" applyNumberFormat="1" applyFont="1" applyFill="1" applyProtection="1"/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I9" sqref="I9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40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7" customWidth="1"/>
    <col min="14" max="14" width="13.140625" bestFit="1" customWidth="1"/>
    <col min="15" max="15" width="11.28515625" bestFit="1" customWidth="1"/>
  </cols>
  <sheetData>
    <row r="1" spans="1:15" x14ac:dyDescent="0.25">
      <c r="C1" s="3" t="s">
        <v>67</v>
      </c>
      <c r="D1" s="4"/>
      <c r="E1" s="4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5" t="s">
        <v>1</v>
      </c>
      <c r="D3" s="6"/>
      <c r="E3" s="6"/>
      <c r="F3" s="7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>
        <v>45969</v>
      </c>
      <c r="D7" s="20" t="s">
        <v>68</v>
      </c>
      <c r="E7" s="12"/>
      <c r="F7" s="20" t="s">
        <v>70</v>
      </c>
      <c r="G7" s="20">
        <v>518080735</v>
      </c>
      <c r="H7" s="20" t="s">
        <v>74</v>
      </c>
      <c r="I7" s="21">
        <f>1320282-52825.14</f>
        <v>1267456.8600000001</v>
      </c>
      <c r="K7" s="21">
        <f>M7*12</f>
        <v>135798.94928571431</v>
      </c>
      <c r="L7" s="27">
        <f>I7-K7</f>
        <v>1131657.9107142859</v>
      </c>
      <c r="M7" s="33">
        <f>I7/112</f>
        <v>11316.579107142858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>
        <v>45971</v>
      </c>
      <c r="D8" s="20" t="s">
        <v>68</v>
      </c>
      <c r="E8" s="20"/>
      <c r="F8" s="20" t="s">
        <v>70</v>
      </c>
      <c r="G8" s="20">
        <v>518082534</v>
      </c>
      <c r="H8" s="20" t="s">
        <v>74</v>
      </c>
      <c r="I8" s="21">
        <f>1353132-56255.04</f>
        <v>1296876.96</v>
      </c>
      <c r="K8" s="21">
        <f>M8*12</f>
        <v>138951.10285714286</v>
      </c>
      <c r="L8" s="27">
        <f>I8-K8</f>
        <v>1157925.857142857</v>
      </c>
      <c r="M8" s="33">
        <f t="shared" ref="M8:M26" si="0">I8/112</f>
        <v>11579.258571428571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/>
      <c r="D9" s="20" t="s">
        <v>68</v>
      </c>
      <c r="E9" s="20"/>
      <c r="F9" s="20" t="s">
        <v>70</v>
      </c>
      <c r="G9" s="20"/>
      <c r="H9" s="20" t="s">
        <v>74</v>
      </c>
      <c r="I9" s="21"/>
      <c r="K9" s="21">
        <f t="shared" ref="K9:K26" si="2">M9*12</f>
        <v>0</v>
      </c>
      <c r="L9" s="27">
        <f t="shared" ref="L9:L26" si="3">I9-K9</f>
        <v>0</v>
      </c>
      <c r="M9" s="33">
        <f t="shared" si="0"/>
        <v>0</v>
      </c>
    </row>
    <row r="10" spans="1:15" x14ac:dyDescent="0.25">
      <c r="A10">
        <f t="shared" si="1"/>
        <v>4</v>
      </c>
      <c r="B10" s="23">
        <f t="shared" si="1"/>
        <v>4</v>
      </c>
      <c r="C10" s="19"/>
      <c r="D10" s="20" t="s">
        <v>68</v>
      </c>
      <c r="E10" s="20"/>
      <c r="F10" s="20" t="s">
        <v>70</v>
      </c>
      <c r="G10" s="20"/>
      <c r="H10" s="20" t="s">
        <v>74</v>
      </c>
      <c r="I10" s="21"/>
      <c r="K10" s="21">
        <f t="shared" si="2"/>
        <v>0</v>
      </c>
      <c r="L10" s="27">
        <f t="shared" si="3"/>
        <v>0</v>
      </c>
      <c r="M10" s="33">
        <f t="shared" si="0"/>
        <v>0</v>
      </c>
    </row>
    <row r="11" spans="1:15" x14ac:dyDescent="0.25">
      <c r="A11">
        <f t="shared" si="1"/>
        <v>5</v>
      </c>
      <c r="B11" s="23">
        <f t="shared" si="1"/>
        <v>5</v>
      </c>
      <c r="C11" s="19"/>
      <c r="D11" s="20" t="s">
        <v>68</v>
      </c>
      <c r="E11" s="20"/>
      <c r="F11" s="20" t="s">
        <v>70</v>
      </c>
      <c r="G11" s="20"/>
      <c r="H11" s="20" t="s">
        <v>74</v>
      </c>
      <c r="I11" s="21"/>
      <c r="K11" s="21">
        <f t="shared" si="2"/>
        <v>0</v>
      </c>
      <c r="L11" s="27">
        <f t="shared" si="3"/>
        <v>0</v>
      </c>
      <c r="M11" s="33">
        <f t="shared" si="0"/>
        <v>0</v>
      </c>
    </row>
    <row r="12" spans="1:15" x14ac:dyDescent="0.25">
      <c r="A12">
        <f t="shared" si="1"/>
        <v>6</v>
      </c>
      <c r="B12" s="23">
        <f t="shared" si="1"/>
        <v>6</v>
      </c>
      <c r="C12" s="19"/>
      <c r="D12" s="20" t="s">
        <v>68</v>
      </c>
      <c r="E12" s="20"/>
      <c r="F12" s="20" t="s">
        <v>70</v>
      </c>
      <c r="G12" s="20"/>
      <c r="H12" s="20" t="s">
        <v>74</v>
      </c>
      <c r="I12" s="21"/>
      <c r="K12" s="21">
        <f t="shared" si="2"/>
        <v>0</v>
      </c>
      <c r="L12" s="27">
        <f t="shared" si="3"/>
        <v>0</v>
      </c>
      <c r="M12" s="33">
        <f t="shared" si="0"/>
        <v>0</v>
      </c>
    </row>
    <row r="13" spans="1:15" x14ac:dyDescent="0.25">
      <c r="A13">
        <f t="shared" si="1"/>
        <v>7</v>
      </c>
      <c r="B13" s="23">
        <f t="shared" si="1"/>
        <v>7</v>
      </c>
      <c r="C13" s="19"/>
      <c r="D13" s="20" t="s">
        <v>68</v>
      </c>
      <c r="E13" s="20"/>
      <c r="F13" s="20" t="s">
        <v>70</v>
      </c>
      <c r="G13" s="20"/>
      <c r="H13" s="20" t="s">
        <v>74</v>
      </c>
      <c r="I13" s="21"/>
      <c r="K13" s="21">
        <f t="shared" si="2"/>
        <v>0</v>
      </c>
      <c r="L13" s="27">
        <f>I13-K13</f>
        <v>0</v>
      </c>
      <c r="M13" s="33">
        <f>I13/112</f>
        <v>0</v>
      </c>
    </row>
    <row r="14" spans="1:15" x14ac:dyDescent="0.25">
      <c r="A14">
        <f t="shared" si="1"/>
        <v>8</v>
      </c>
      <c r="B14" s="23">
        <f t="shared" si="1"/>
        <v>8</v>
      </c>
      <c r="C14" s="19"/>
      <c r="D14" s="20" t="s">
        <v>68</v>
      </c>
      <c r="E14" s="20"/>
      <c r="F14" s="20" t="s">
        <v>70</v>
      </c>
      <c r="G14" s="20"/>
      <c r="H14" s="20" t="s">
        <v>74</v>
      </c>
      <c r="I14" s="38"/>
      <c r="K14" s="21">
        <f t="shared" si="2"/>
        <v>0</v>
      </c>
      <c r="L14" s="27">
        <f t="shared" si="3"/>
        <v>0</v>
      </c>
      <c r="M14" s="33">
        <f t="shared" si="0"/>
        <v>0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14">
        <f>SUM(I7:I31)</f>
        <v>2564333.8200000003</v>
      </c>
      <c r="K32" s="14">
        <f>SUM(K7:K31)</f>
        <v>274750.05214285717</v>
      </c>
      <c r="L32" s="14">
        <f>SUM(L7:L31)</f>
        <v>2289583.7678571427</v>
      </c>
      <c r="M32" s="36">
        <f>SUM(M7:M31)</f>
        <v>22895.837678571428</v>
      </c>
    </row>
    <row r="33" spans="1:13" x14ac:dyDescent="0.25">
      <c r="G33"/>
    </row>
    <row r="34" spans="1:13" x14ac:dyDescent="0.25">
      <c r="C34" s="3" t="s">
        <v>67</v>
      </c>
      <c r="D34" s="4"/>
      <c r="E34" s="4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5" t="s">
        <v>14</v>
      </c>
      <c r="D36" s="6"/>
      <c r="E36" s="6"/>
      <c r="F36" s="7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9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9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9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9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9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9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9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9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9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9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9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9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9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9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9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9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9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9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9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9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9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1"/>
      <c r="H64" s="23"/>
      <c r="I64" s="24"/>
      <c r="K64" s="23"/>
      <c r="L64" s="23"/>
      <c r="M64" s="35"/>
    </row>
    <row r="65" spans="9:13" x14ac:dyDescent="0.25">
      <c r="I65" s="14">
        <f>SUM(I40:I64)</f>
        <v>0</v>
      </c>
      <c r="K65" s="14">
        <f>SUM(K40:K64)</f>
        <v>0</v>
      </c>
      <c r="L65" s="14">
        <f>SUM(L40:L64)</f>
        <v>0</v>
      </c>
      <c r="M65" s="36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2025-11-10T09:05:45Z</dcterms:modified>
</cp:coreProperties>
</file>