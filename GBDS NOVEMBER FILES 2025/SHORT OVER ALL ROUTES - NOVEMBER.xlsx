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NOVEMBER FILES 2025\"/>
    </mc:Choice>
  </mc:AlternateContent>
  <xr:revisionPtr revIDLastSave="0" documentId="13_ncr:1_{9A416A9A-B7CD-44A0-B1F5-9271C41DC75D}" xr6:coauthVersionLast="45" xr6:coauthVersionMax="47" xr10:uidLastSave="{00000000-0000-0000-0000-000000000000}"/>
  <bookViews>
    <workbookView xWindow="-120" yWindow="-120" windowWidth="29040" windowHeight="15840" xr2:uid="{B997F013-12E6-4AA2-8A9D-EFCC32EA76C2}"/>
  </bookViews>
  <sheets>
    <sheet name="NOVEMBER. SRS R1" sheetId="6" r:id="rId1"/>
    <sheet name="NOVEMBER, SRS R2" sheetId="12" r:id="rId2"/>
    <sheet name="NOVEMBER, SRS R3" sheetId="13" r:id="rId3"/>
    <sheet name="," sheetId="14" r:id="rId4"/>
  </sheets>
  <definedNames>
    <definedName name="_xlnm.Print_Area" localSheetId="1">'NOVEMBER, SRS R2'!$A$1:$F$44</definedName>
    <definedName name="_xlnm.Print_Area" localSheetId="2">'NOVEMBER, SRS R3'!$A$1:$F$44</definedName>
    <definedName name="_xlnm.Print_Area" localSheetId="0">'NOVEMBER. SRS R1'!$A$1:$F$44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D43" i="13" l="1"/>
  <c r="F43" i="13" l="1"/>
  <c r="E43" i="13"/>
  <c r="C43" i="13"/>
  <c r="F43" i="12"/>
  <c r="E43" i="12"/>
  <c r="D43" i="12"/>
  <c r="C43" i="12"/>
  <c r="C43" i="6"/>
  <c r="D43" i="6"/>
  <c r="E43" i="6"/>
  <c r="F43" i="6"/>
</calcChain>
</file>

<file path=xl/sharedStrings.xml><?xml version="1.0" encoding="utf-8"?>
<sst xmlns="http://schemas.openxmlformats.org/spreadsheetml/2006/main" count="61" uniqueCount="17">
  <si>
    <t>SALES</t>
  </si>
  <si>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</si>
  <si>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</si>
  <si>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</si>
  <si>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</si>
  <si>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</si>
  <si>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</si>
  <si>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</si>
  <si>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</si>
  <si>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</si>
  <si>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</si>
  <si>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</si>
  <si>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</si>
  <si>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ESTEMARK, PORMENTO</t>
    </r>
  </si>
  <si>
    <t>NOVEMBER</t>
  </si>
  <si>
    <r>
      <t>DSP:</t>
    </r>
    <r>
      <rPr>
        <b/>
        <u/>
        <sz val="11"/>
        <color theme="1"/>
        <rFont val="Times New Roman"/>
        <family val="1"/>
      </rPr>
      <t xml:space="preserve"> MOCOY, JULIET</t>
    </r>
  </si>
  <si>
    <t>NO TRIP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</si>
</sst>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39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3" fillId="0" borderId="3" xfId="0" applyFont="1" applyBorder="1" applyAlignment="1">
      <alignment horizontal="center"/>
    </xf>
    <xf numFmtId="0" fontId="2" fillId="0" borderId="1" xfId="0" applyFont="1" applyBorder="1"/>
    <xf numFmtId="164" fontId="2" fillId="0" borderId="1" xfId="1" applyFont="1" applyBorder="1"/>
    <xf numFmtId="164" fontId="9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2" fillId="0" borderId="0" xfId="0" applyFont="1" applyBorder="1"/>
    <xf numFmtId="0" fontId="4" fillId="0" borderId="0" xfId="0" applyFont="1" applyBorder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 applyAlignment="1"/>
    <xf numFmtId="0" fontId="9" fillId="0" borderId="1" xfId="0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Border="1" applyAlignment="1">
      <alignment horizontal="center" vertical="center"/>
    </xf>
    <xf numFmtId="164" fontId="2" fillId="0" borderId="6" xfId="1" applyFont="1" applyBorder="1" applyAlignment="1"/>
    <xf numFmtId="164" fontId="9" fillId="0" borderId="6" xfId="1" applyFont="1" applyBorder="1" applyAlignment="1"/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Q279"/>
  <sheetViews>
    <sheetView tabSelected="1" zoomScaleNormal="100" zoomScaleSheetLayoutView="100" workbookViewId="0">
      <selection activeCell="E32" sqref="E32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14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7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13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45964</v>
      </c>
      <c r="C10" s="12"/>
      <c r="D10" s="12"/>
      <c r="E10" s="12">
        <v>29.5</v>
      </c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45965</v>
      </c>
      <c r="C11" s="12"/>
      <c r="D11" s="15">
        <v>233.75</v>
      </c>
      <c r="E11" s="12"/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45966</v>
      </c>
      <c r="C12" s="12"/>
      <c r="D12" s="13">
        <v>674</v>
      </c>
      <c r="E12" s="12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45967</v>
      </c>
      <c r="C13" s="12"/>
      <c r="D13" s="13">
        <v>129.25</v>
      </c>
      <c r="E13" s="12"/>
      <c r="F13" s="1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45968</v>
      </c>
      <c r="C14" s="12"/>
      <c r="D14" s="13"/>
      <c r="E14" s="12">
        <v>109.5</v>
      </c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45969</v>
      </c>
      <c r="C15" s="27"/>
      <c r="D15" s="15">
        <v>14</v>
      </c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0" t="s">
        <v>1</v>
      </c>
      <c r="C16" s="36" t="s">
        <v>1</v>
      </c>
      <c r="D16" s="37"/>
      <c r="E16" s="37"/>
      <c r="F16" s="38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45971</v>
      </c>
      <c r="C17" s="12"/>
      <c r="D17" s="12"/>
      <c r="E17" s="12">
        <v>20.25</v>
      </c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45972</v>
      </c>
      <c r="C18" s="12"/>
      <c r="D18" s="15">
        <v>939.5</v>
      </c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45973</v>
      </c>
      <c r="C19" s="12"/>
      <c r="D19" s="12"/>
      <c r="E19" s="12">
        <v>949</v>
      </c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45974</v>
      </c>
      <c r="C20" s="12"/>
      <c r="D20" s="36" t="s">
        <v>16</v>
      </c>
      <c r="E20" s="38"/>
      <c r="F20" s="1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45975</v>
      </c>
      <c r="C21" s="12"/>
      <c r="D21" s="12"/>
      <c r="E21" s="12">
        <v>319</v>
      </c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45976</v>
      </c>
      <c r="C22" s="27"/>
      <c r="D22" s="15"/>
      <c r="E22" s="12">
        <v>6.75</v>
      </c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0" t="s">
        <v>1</v>
      </c>
      <c r="C23" s="36" t="s">
        <v>1</v>
      </c>
      <c r="D23" s="37"/>
      <c r="E23" s="37"/>
      <c r="F23" s="38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45978</v>
      </c>
      <c r="C24" s="12"/>
      <c r="D24" s="13">
        <v>1493</v>
      </c>
      <c r="E24" s="12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45979</v>
      </c>
      <c r="C25" s="12"/>
      <c r="D25" s="15">
        <v>61.25</v>
      </c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45980</v>
      </c>
      <c r="C26" s="12"/>
      <c r="D26" s="12"/>
      <c r="E26" s="12">
        <v>283</v>
      </c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45981</v>
      </c>
      <c r="C27" s="12"/>
      <c r="D27" s="12"/>
      <c r="E27" s="12">
        <v>10</v>
      </c>
      <c r="F27" s="11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45982</v>
      </c>
      <c r="C28" s="12"/>
      <c r="D28" s="12"/>
      <c r="E28" s="12">
        <v>1.25</v>
      </c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45983</v>
      </c>
      <c r="C29" s="27"/>
      <c r="D29" s="15">
        <v>186.5</v>
      </c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0" t="s">
        <v>1</v>
      </c>
      <c r="C30" s="36" t="s">
        <v>1</v>
      </c>
      <c r="D30" s="37"/>
      <c r="E30" s="37"/>
      <c r="F30" s="38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45985</v>
      </c>
      <c r="C31" s="12"/>
      <c r="D31" s="12"/>
      <c r="E31" s="12">
        <v>912.25</v>
      </c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45986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45987</v>
      </c>
      <c r="C33" s="12"/>
      <c r="D33" s="12"/>
      <c r="E33" s="12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45988</v>
      </c>
      <c r="C34" s="12"/>
      <c r="D34" s="12"/>
      <c r="E34" s="12"/>
      <c r="F34" s="11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45989</v>
      </c>
      <c r="C35" s="12"/>
      <c r="D35" s="12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45990</v>
      </c>
      <c r="C36" s="27"/>
      <c r="D36" s="15"/>
      <c r="E36" s="12"/>
      <c r="F36" s="34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0" t="s">
        <v>1</v>
      </c>
      <c r="C37" s="36" t="s">
        <v>1</v>
      </c>
      <c r="D37" s="37"/>
      <c r="E37" s="37"/>
      <c r="F37" s="38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45991</v>
      </c>
      <c r="C38" s="12"/>
      <c r="D38" s="15"/>
      <c r="E38" s="12"/>
      <c r="F38" s="1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/>
      <c r="C39" s="12"/>
      <c r="D39" s="15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/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1"/>
      <c r="C41" s="12"/>
      <c r="D41" s="15"/>
      <c r="E41" s="12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3731.25</v>
      </c>
      <c r="E43" s="18">
        <f>SUM(E10:E42)</f>
        <v>2640.5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33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5">
    <mergeCell ref="C37:F37"/>
    <mergeCell ref="C16:F16"/>
    <mergeCell ref="C23:F23"/>
    <mergeCell ref="C30:F30"/>
    <mergeCell ref="D20:E20"/>
  </mergeCells>
  <pageMargins left="0.7" right="0.7" top="0.75" bottom="0.75" header="0.3" footer="0.3"/>
  <pageSetup scale="9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Q279"/>
  <sheetViews>
    <sheetView zoomScaleNormal="100" zoomScaleSheetLayoutView="100" workbookViewId="0">
      <selection activeCell="D32" sqref="D32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14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15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45964</v>
      </c>
      <c r="C10" s="12"/>
      <c r="D10" s="13">
        <v>772</v>
      </c>
      <c r="E10" s="12"/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45965</v>
      </c>
      <c r="C11" s="12"/>
      <c r="D11" s="13"/>
      <c r="E11" s="12">
        <v>615</v>
      </c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45966</v>
      </c>
      <c r="C12" s="12"/>
      <c r="D12" s="13"/>
      <c r="E12" s="12">
        <v>9</v>
      </c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45967</v>
      </c>
      <c r="C13" s="12"/>
      <c r="D13" s="13">
        <v>624.75</v>
      </c>
      <c r="E13" s="12"/>
      <c r="F13" s="1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45968</v>
      </c>
      <c r="C14" s="12"/>
      <c r="D14" s="36" t="s">
        <v>16</v>
      </c>
      <c r="E14" s="38"/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45969</v>
      </c>
      <c r="C15" s="27"/>
      <c r="D15" s="13"/>
      <c r="E15" s="12">
        <v>47.5</v>
      </c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0" t="s">
        <v>1</v>
      </c>
      <c r="C16" s="36" t="s">
        <v>1</v>
      </c>
      <c r="D16" s="37"/>
      <c r="E16" s="37"/>
      <c r="F16" s="38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45971</v>
      </c>
      <c r="C17" s="12"/>
      <c r="D17" s="13">
        <v>1165</v>
      </c>
      <c r="E17" s="12"/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45972</v>
      </c>
      <c r="C18" s="12"/>
      <c r="D18" s="15"/>
      <c r="E18" s="12">
        <v>1333.75</v>
      </c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45973</v>
      </c>
      <c r="C19" s="12"/>
      <c r="D19" s="12"/>
      <c r="E19" s="12">
        <v>0.5</v>
      </c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45974</v>
      </c>
      <c r="C20" s="12"/>
      <c r="D20" s="12"/>
      <c r="E20" s="12">
        <v>31.5</v>
      </c>
      <c r="F20" s="1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45975</v>
      </c>
      <c r="C21" s="12"/>
      <c r="D21" s="12"/>
      <c r="E21" s="12">
        <v>19.5</v>
      </c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45976</v>
      </c>
      <c r="C22" s="27"/>
      <c r="D22" s="36" t="s">
        <v>16</v>
      </c>
      <c r="E22" s="38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0" t="s">
        <v>1</v>
      </c>
      <c r="C23" s="36" t="s">
        <v>1</v>
      </c>
      <c r="D23" s="37"/>
      <c r="E23" s="37"/>
      <c r="F23" s="38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45978</v>
      </c>
      <c r="C24" s="12"/>
      <c r="D24" s="12"/>
      <c r="E24" s="12">
        <v>291.25</v>
      </c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45979</v>
      </c>
      <c r="C25" s="12"/>
      <c r="D25" s="15">
        <v>16.5</v>
      </c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45980</v>
      </c>
      <c r="C26" s="12"/>
      <c r="D26" s="12"/>
      <c r="E26" s="12">
        <v>93.5</v>
      </c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45981</v>
      </c>
      <c r="C27" s="12"/>
      <c r="D27" s="36" t="s">
        <v>16</v>
      </c>
      <c r="E27" s="38"/>
      <c r="F27" s="11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45982</v>
      </c>
      <c r="C28" s="12"/>
      <c r="D28" s="12"/>
      <c r="E28" s="12">
        <v>7.75</v>
      </c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45983</v>
      </c>
      <c r="C29" s="27"/>
      <c r="D29" s="15"/>
      <c r="E29" s="12">
        <v>64.25</v>
      </c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0" t="s">
        <v>1</v>
      </c>
      <c r="C30" s="36" t="s">
        <v>1</v>
      </c>
      <c r="D30" s="37"/>
      <c r="E30" s="37"/>
      <c r="F30" s="38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45985</v>
      </c>
      <c r="C31" s="12"/>
      <c r="D31" s="13">
        <v>83.25</v>
      </c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45986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45987</v>
      </c>
      <c r="C33" s="12"/>
      <c r="D33" s="12"/>
      <c r="E33" s="12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45988</v>
      </c>
      <c r="C34" s="12"/>
      <c r="D34" s="12"/>
      <c r="E34" s="12"/>
      <c r="F34" s="11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45989</v>
      </c>
      <c r="C35" s="12"/>
      <c r="D35" s="12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45990</v>
      </c>
      <c r="C36" s="27"/>
      <c r="D36" s="15"/>
      <c r="E36" s="12"/>
      <c r="F36" s="34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0" t="s">
        <v>1</v>
      </c>
      <c r="C37" s="36" t="s">
        <v>1</v>
      </c>
      <c r="D37" s="37"/>
      <c r="E37" s="37"/>
      <c r="F37" s="38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45991</v>
      </c>
      <c r="C38" s="12"/>
      <c r="D38" s="15"/>
      <c r="E38" s="12"/>
      <c r="F38" s="1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/>
      <c r="C39" s="12"/>
      <c r="D39" s="15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/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1"/>
      <c r="C41" s="12"/>
      <c r="D41" s="15"/>
      <c r="E41" s="12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2661.5</v>
      </c>
      <c r="E43" s="18">
        <f>SUM(E10:E42)</f>
        <v>2513.5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7">
    <mergeCell ref="C37:F37"/>
    <mergeCell ref="C16:F16"/>
    <mergeCell ref="C23:F23"/>
    <mergeCell ref="C30:F30"/>
    <mergeCell ref="D14:E14"/>
    <mergeCell ref="D22:E22"/>
    <mergeCell ref="D27:E27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Q279"/>
  <sheetViews>
    <sheetView zoomScaleNormal="100" zoomScaleSheetLayoutView="100" workbookViewId="0">
      <selection activeCell="D32" sqref="D32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14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10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11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45964</v>
      </c>
      <c r="C10" s="12"/>
      <c r="D10" s="13"/>
      <c r="E10" s="12">
        <v>94.75</v>
      </c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45965</v>
      </c>
      <c r="C11" s="12"/>
      <c r="D11" s="15"/>
      <c r="E11" s="12">
        <v>100.5</v>
      </c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45966</v>
      </c>
      <c r="C12" s="12"/>
      <c r="D12" s="13"/>
      <c r="E12" s="12">
        <v>90.25</v>
      </c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45967</v>
      </c>
      <c r="C13" s="12"/>
      <c r="D13" s="13">
        <v>104</v>
      </c>
      <c r="E13" s="12"/>
      <c r="F13" s="1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45968</v>
      </c>
      <c r="C14" s="12"/>
      <c r="D14" s="13">
        <v>81.75</v>
      </c>
      <c r="E14" s="12"/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45969</v>
      </c>
      <c r="C15" s="27"/>
      <c r="D15" s="15"/>
      <c r="E15" s="12">
        <v>621</v>
      </c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0" t="s">
        <v>1</v>
      </c>
      <c r="C16" s="36" t="s">
        <v>1</v>
      </c>
      <c r="D16" s="37"/>
      <c r="E16" s="37"/>
      <c r="F16" s="38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45971</v>
      </c>
      <c r="C17" s="12"/>
      <c r="D17" s="13">
        <v>218</v>
      </c>
      <c r="E17" s="12"/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45972</v>
      </c>
      <c r="C18" s="12"/>
      <c r="D18" s="15">
        <v>174</v>
      </c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45973</v>
      </c>
      <c r="C19" s="12"/>
      <c r="D19" s="12"/>
      <c r="E19" s="12">
        <v>47.5</v>
      </c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45974</v>
      </c>
      <c r="C20" s="12"/>
      <c r="D20" s="12"/>
      <c r="E20" s="12">
        <v>215.25</v>
      </c>
      <c r="F20" s="1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45975</v>
      </c>
      <c r="C21" s="12"/>
      <c r="D21" s="13">
        <v>540.5</v>
      </c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45976</v>
      </c>
      <c r="C22" s="27"/>
      <c r="D22" s="15">
        <v>4343</v>
      </c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0" t="s">
        <v>1</v>
      </c>
      <c r="C23" s="36" t="s">
        <v>1</v>
      </c>
      <c r="D23" s="37"/>
      <c r="E23" s="37"/>
      <c r="F23" s="38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45978</v>
      </c>
      <c r="C24" s="12"/>
      <c r="D24" s="12"/>
      <c r="E24" s="12">
        <v>3793</v>
      </c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45979</v>
      </c>
      <c r="C25" s="12"/>
      <c r="D25" s="15">
        <v>495.5</v>
      </c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45980</v>
      </c>
      <c r="C26" s="12"/>
      <c r="D26" s="13">
        <v>216.75</v>
      </c>
      <c r="E26" s="12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45981</v>
      </c>
      <c r="C27" s="12"/>
      <c r="D27" s="12"/>
      <c r="E27" s="12">
        <v>448.25</v>
      </c>
      <c r="F27" s="11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45982</v>
      </c>
      <c r="C28" s="12"/>
      <c r="D28" s="13">
        <v>240.75</v>
      </c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45983</v>
      </c>
      <c r="C29" s="27"/>
      <c r="D29" s="15">
        <v>1750.5</v>
      </c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0" t="s">
        <v>1</v>
      </c>
      <c r="C30" s="36" t="s">
        <v>1</v>
      </c>
      <c r="D30" s="37"/>
      <c r="E30" s="37"/>
      <c r="F30" s="38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45985</v>
      </c>
      <c r="C31" s="12"/>
      <c r="D31" s="13">
        <v>781.5</v>
      </c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45986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45987</v>
      </c>
      <c r="C33" s="12"/>
      <c r="D33" s="12"/>
      <c r="E33" s="12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45988</v>
      </c>
      <c r="C34" s="12"/>
      <c r="D34" s="12"/>
      <c r="E34" s="12"/>
      <c r="F34" s="11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45989</v>
      </c>
      <c r="C35" s="12"/>
      <c r="D35" s="12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45990</v>
      </c>
      <c r="C36" s="27"/>
      <c r="D36" s="15"/>
      <c r="E36" s="12"/>
      <c r="F36" s="34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0" t="s">
        <v>1</v>
      </c>
      <c r="C37" s="36" t="s">
        <v>1</v>
      </c>
      <c r="D37" s="37"/>
      <c r="E37" s="37"/>
      <c r="F37" s="38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45991</v>
      </c>
      <c r="C38" s="12"/>
      <c r="D38" s="15"/>
      <c r="E38" s="12"/>
      <c r="F38" s="1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/>
      <c r="C39" s="12"/>
      <c r="D39" s="15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/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1"/>
      <c r="C41" s="12"/>
      <c r="D41" s="15"/>
      <c r="E41" s="12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8946.25</v>
      </c>
      <c r="E43" s="18">
        <f>SUM(E10:E42)</f>
        <v>5410.5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4">
    <mergeCell ref="C37:F37"/>
    <mergeCell ref="C16:F16"/>
    <mergeCell ref="C23:F23"/>
    <mergeCell ref="C30:F30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NOVEMBER. SRS R1</vt:lpstr>
      <vt:lpstr>NOVEMBER, SRS R2</vt:lpstr>
      <vt:lpstr>NOVEMBER, SRS R3</vt:lpstr>
      <vt:lpstr>,</vt:lpstr>
      <vt:lpstr>'NOVEMBER, SRS R2'!Print_Area</vt:lpstr>
      <vt:lpstr>'NOVEMBER, SRS R3'!Print_Area</vt:lpstr>
      <vt:lpstr>'NOVEMBER. SRS R1'!Print_Area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2025-11-25T00:55:02Z</dcterms:modified>
</cp:coreProperties>
</file>