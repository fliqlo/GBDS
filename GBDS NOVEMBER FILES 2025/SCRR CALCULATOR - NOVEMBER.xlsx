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NOVEMBER FILES 2025\"/>
    </mc:Choice>
  </mc:AlternateContent>
  <xr:revisionPtr revIDLastSave="0" documentId="13_ncr:1_{4C31003B-3BF4-4589-A7B2-BBE5278851C1}" xr6:coauthVersionLast="45" xr6:coauthVersionMax="47" xr10:uidLastSave="{00000000-0000-0000-0000-000000000000}"/>
  <bookViews>
    <workbookView xWindow="-120" yWindow="-120" windowWidth="29040" windowHeight="15840" firstSheet="10" activeTab="15" xr2:uid="{00000000-000D-0000-FFFF-FFFF00000000}"/>
  </bookViews>
  <sheets>
    <sheet name="(November 2025)" sheetId="814" r:id="rId1"/>
    <sheet name="(03)" sheetId="1426" r:id="rId2"/>
    <sheet name="03,11 R1" sheetId="1427" r:id="rId3"/>
    <sheet name="03,11 R2" sheetId="1428" r:id="rId4"/>
    <sheet name="03,11 R3" sheetId="1429" r:id="rId5"/>
    <sheet name="(4)" sheetId="1447" r:id="rId6"/>
    <sheet name="04,11 R1 No Trip" sheetId="1448" r:id="rId7"/>
    <sheet name="04,11 R2" sheetId="1449" r:id="rId8"/>
    <sheet name="04,11 R3-A" sheetId="1450" r:id="rId9"/>
    <sheet name="04,11 R3-B" sheetId="1471" r:id="rId10"/>
    <sheet name="(5)" sheetId="1451" r:id="rId11"/>
    <sheet name="05,11 R1" sheetId="1452" r:id="rId12"/>
    <sheet name="05,11 R2" sheetId="1453" r:id="rId13"/>
    <sheet name="05,11 R3" sheetId="1454" r:id="rId14"/>
    <sheet name="(6)" sheetId="1455" r:id="rId15"/>
    <sheet name="06,11 R1" sheetId="1456" r:id="rId16"/>
    <sheet name="06,11 R2" sheetId="1457" r:id="rId17"/>
    <sheet name="06,11 R3" sheetId="1458" r:id="rId18"/>
    <sheet name="(7)" sheetId="1459" r:id="rId19"/>
    <sheet name="07,11 R1" sheetId="1460" r:id="rId20"/>
    <sheet name="07,11 R2" sheetId="1461" r:id="rId21"/>
    <sheet name="07,11 R3" sheetId="1462" r:id="rId22"/>
    <sheet name="(8)" sheetId="1463" r:id="rId23"/>
    <sheet name="08,11 R1" sheetId="1464" r:id="rId24"/>
    <sheet name="08,11 R2" sheetId="1465" r:id="rId25"/>
    <sheet name="08,11 R3" sheetId="1466" r:id="rId26"/>
    <sheet name="(10)" sheetId="1467" r:id="rId27"/>
    <sheet name="10,11 R1" sheetId="1468" r:id="rId28"/>
    <sheet name="10,11 R2" sheetId="1469" r:id="rId29"/>
    <sheet name="10,11 R3" sheetId="1470" r:id="rId30"/>
  </sheets>
  <definedNames>
    <definedName name="_xlnm.Print_Area" localSheetId="1">'(03)'!$A$1:$J$60</definedName>
    <definedName name="_xlnm.Print_Area" localSheetId="26">'(10)'!$A$1:$J$60</definedName>
    <definedName name="_xlnm.Print_Area" localSheetId="5">'(4)'!$A$1:$J$60</definedName>
    <definedName name="_xlnm.Print_Area" localSheetId="10">'(5)'!$A$1:$J$60</definedName>
    <definedName name="_xlnm.Print_Area" localSheetId="14">'(6)'!$A$1:$J$60</definedName>
    <definedName name="_xlnm.Print_Area" localSheetId="18">'(7)'!$A$1:$J$60</definedName>
    <definedName name="_xlnm.Print_Area" localSheetId="22">'(8)'!$A$1:$J$60</definedName>
    <definedName name="_xlnm.Print_Area" localSheetId="2">'03,11 R1'!$A$1:$J$60</definedName>
    <definedName name="_xlnm.Print_Area" localSheetId="3">'03,11 R2'!$A$1:$J$60</definedName>
    <definedName name="_xlnm.Print_Area" localSheetId="4">'03,11 R3'!$A$1:$J$60</definedName>
    <definedName name="_xlnm.Print_Area" localSheetId="6">'04,11 R1 No Trip'!$A$1:$J$60</definedName>
    <definedName name="_xlnm.Print_Area" localSheetId="7">'04,11 R2'!$A$1:$J$60</definedName>
    <definedName name="_xlnm.Print_Area" localSheetId="8">'04,11 R3-A'!$A$1:$J$60</definedName>
    <definedName name="_xlnm.Print_Area" localSheetId="9">'04,11 R3-B'!$A$1:$J$60</definedName>
    <definedName name="_xlnm.Print_Area" localSheetId="11">'05,11 R1'!$A$1:$J$60</definedName>
    <definedName name="_xlnm.Print_Area" localSheetId="12">'05,11 R2'!$A$1:$J$60</definedName>
    <definedName name="_xlnm.Print_Area" localSheetId="13">'05,11 R3'!$A$1:$J$60</definedName>
    <definedName name="_xlnm.Print_Area" localSheetId="15">'06,11 R1'!$A$1:$J$60</definedName>
    <definedName name="_xlnm.Print_Area" localSheetId="16">'06,11 R2'!$A$1:$J$60</definedName>
    <definedName name="_xlnm.Print_Area" localSheetId="17">'06,11 R3'!$A$1:$J$60</definedName>
    <definedName name="_xlnm.Print_Area" localSheetId="19">'07,11 R1'!$A$1:$J$60</definedName>
    <definedName name="_xlnm.Print_Area" localSheetId="20">'07,11 R2'!$A$1:$J$60</definedName>
    <definedName name="_xlnm.Print_Area" localSheetId="21">'07,11 R3'!$A$1:$J$60</definedName>
    <definedName name="_xlnm.Print_Area" localSheetId="23">'08,11 R1'!$A$1:$J$60</definedName>
    <definedName name="_xlnm.Print_Area" localSheetId="24">'08,11 R2'!$A$1:$J$60</definedName>
    <definedName name="_xlnm.Print_Area" localSheetId="25">'08,11 R3'!$A$1:$J$60</definedName>
    <definedName name="_xlnm.Print_Area" localSheetId="27">'10,11 R1'!$A$1:$J$60</definedName>
    <definedName name="_xlnm.Print_Area" localSheetId="28">'10,11 R2'!$A$1:$J$60</definedName>
    <definedName name="_xlnm.Print_Area" localSheetId="29">'10,11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6" i="1458" l="1"/>
  <c r="L25" i="1454" l="1"/>
  <c r="C21" i="1453"/>
  <c r="C12" i="1450" l="1"/>
  <c r="H16" i="1471"/>
  <c r="H16" i="1450"/>
  <c r="R52" i="1471"/>
  <c r="R51" i="1471"/>
  <c r="D50" i="1471"/>
  <c r="R49" i="1471"/>
  <c r="D49" i="1471"/>
  <c r="R48" i="1471"/>
  <c r="D48" i="1471"/>
  <c r="D46" i="1471"/>
  <c r="D45" i="1471"/>
  <c r="D44" i="1471"/>
  <c r="R42" i="1471"/>
  <c r="L6" i="1471" s="1"/>
  <c r="D6" i="1471" s="1"/>
  <c r="D42" i="1471"/>
  <c r="R41" i="1471"/>
  <c r="L7" i="1471" s="1"/>
  <c r="D7" i="1471" s="1"/>
  <c r="D41" i="1471"/>
  <c r="R40" i="1471"/>
  <c r="D40" i="1471"/>
  <c r="R39" i="1471"/>
  <c r="H39" i="1471"/>
  <c r="D39" i="1471"/>
  <c r="R38" i="1471"/>
  <c r="H38" i="1471"/>
  <c r="D38" i="1471"/>
  <c r="R37" i="1471"/>
  <c r="H37" i="1471"/>
  <c r="D37" i="1471"/>
  <c r="R36" i="1471"/>
  <c r="H36" i="1471"/>
  <c r="D36" i="1471"/>
  <c r="R35" i="1471"/>
  <c r="L19" i="1471" s="1"/>
  <c r="D19" i="1471" s="1"/>
  <c r="H35" i="1471"/>
  <c r="D35" i="1471"/>
  <c r="R34" i="1471"/>
  <c r="H34" i="1471"/>
  <c r="D34" i="1471"/>
  <c r="R33" i="1471"/>
  <c r="L23" i="1471" s="1"/>
  <c r="D23" i="1471" s="1"/>
  <c r="R32" i="1471"/>
  <c r="L11" i="1471" s="1"/>
  <c r="D11" i="1471" s="1"/>
  <c r="R31" i="1471"/>
  <c r="R30" i="1471"/>
  <c r="R29" i="1471"/>
  <c r="R28" i="1471"/>
  <c r="L16" i="1471" s="1"/>
  <c r="D16" i="1471" s="1"/>
  <c r="D28" i="1471"/>
  <c r="R27" i="1471"/>
  <c r="D27" i="1471"/>
  <c r="R26" i="1471"/>
  <c r="L26" i="1471"/>
  <c r="D26" i="1471"/>
  <c r="R25" i="1471"/>
  <c r="L25" i="1471"/>
  <c r="D25" i="1471"/>
  <c r="R24" i="1471"/>
  <c r="D24" i="1471"/>
  <c r="R23" i="1471"/>
  <c r="R22" i="1471"/>
  <c r="L22" i="1471"/>
  <c r="D22" i="1471"/>
  <c r="R21" i="1471"/>
  <c r="D21" i="1471"/>
  <c r="R20" i="1471"/>
  <c r="L20" i="1471"/>
  <c r="D20" i="1471"/>
  <c r="R19" i="1471"/>
  <c r="R18" i="1471"/>
  <c r="D18" i="1471"/>
  <c r="R17" i="1471"/>
  <c r="D17" i="1471"/>
  <c r="R16" i="1471"/>
  <c r="R15" i="1471"/>
  <c r="D15" i="1471"/>
  <c r="R14" i="1471"/>
  <c r="D14" i="1471"/>
  <c r="R13" i="1471"/>
  <c r="D13" i="1471"/>
  <c r="R12" i="1471"/>
  <c r="L12" i="1471"/>
  <c r="D12" i="1471" s="1"/>
  <c r="R11" i="1471"/>
  <c r="L10" i="1471"/>
  <c r="D10" i="1471" s="1"/>
  <c r="L9" i="1471"/>
  <c r="D9" i="1471"/>
  <c r="L8" i="1471"/>
  <c r="D8" i="1471"/>
  <c r="R6" i="1471"/>
  <c r="R5" i="1471"/>
  <c r="R4" i="1471"/>
  <c r="H16" i="1449"/>
  <c r="D54" i="1471" l="1"/>
  <c r="H14" i="1471" s="1"/>
  <c r="D29" i="1471"/>
  <c r="H13" i="1471" s="1"/>
  <c r="G49" i="1471"/>
  <c r="H16" i="1429"/>
  <c r="H16" i="1428"/>
  <c r="H15" i="1471" l="1"/>
  <c r="H29" i="1471" s="1"/>
  <c r="G51" i="1471" s="1"/>
  <c r="C12" i="1429"/>
  <c r="C19" i="1427"/>
  <c r="C12" i="1427"/>
  <c r="C13" i="1427"/>
  <c r="C21" i="1427"/>
  <c r="R52" i="1470" l="1"/>
  <c r="R51" i="1470"/>
  <c r="D50" i="1470"/>
  <c r="R49" i="1470"/>
  <c r="D49" i="1470"/>
  <c r="R48" i="1470"/>
  <c r="D48" i="1470"/>
  <c r="D46" i="1470"/>
  <c r="D45" i="1470"/>
  <c r="D44" i="1470"/>
  <c r="R42" i="1470"/>
  <c r="D42" i="1470"/>
  <c r="R41" i="1470"/>
  <c r="D41" i="1470"/>
  <c r="R40" i="1470"/>
  <c r="L8" i="1470" s="1"/>
  <c r="D8" i="1470" s="1"/>
  <c r="D40" i="1470"/>
  <c r="R39" i="1470"/>
  <c r="H39" i="1470"/>
  <c r="D39" i="1470"/>
  <c r="R38" i="1470"/>
  <c r="L9" i="1470" s="1"/>
  <c r="D9" i="1470" s="1"/>
  <c r="H38" i="1470"/>
  <c r="D38" i="1470"/>
  <c r="R37" i="1470"/>
  <c r="H37" i="1470"/>
  <c r="D37" i="1470"/>
  <c r="R36" i="1470"/>
  <c r="H36" i="1470"/>
  <c r="D36" i="1470"/>
  <c r="R35" i="1470"/>
  <c r="H35" i="1470"/>
  <c r="D35" i="1470"/>
  <c r="R34" i="1470"/>
  <c r="H34" i="1470"/>
  <c r="G49" i="1470" s="1"/>
  <c r="D34" i="1470"/>
  <c r="D54" i="1470" s="1"/>
  <c r="H14" i="1470" s="1"/>
  <c r="R33" i="1470"/>
  <c r="L23" i="1470" s="1"/>
  <c r="D23" i="1470" s="1"/>
  <c r="R32" i="1470"/>
  <c r="L11" i="1470" s="1"/>
  <c r="D11" i="1470" s="1"/>
  <c r="R31" i="1470"/>
  <c r="R30" i="1470"/>
  <c r="R29" i="1470"/>
  <c r="R28" i="1470"/>
  <c r="L16" i="1470" s="1"/>
  <c r="D16" i="1470" s="1"/>
  <c r="D28" i="1470"/>
  <c r="R27" i="1470"/>
  <c r="D27" i="1470"/>
  <c r="R26" i="1470"/>
  <c r="L26" i="1470"/>
  <c r="D26" i="1470"/>
  <c r="R25" i="1470"/>
  <c r="L25" i="1470"/>
  <c r="D25" i="1470"/>
  <c r="R24" i="1470"/>
  <c r="D24" i="1470"/>
  <c r="R23" i="1470"/>
  <c r="R22" i="1470"/>
  <c r="L22" i="1470"/>
  <c r="D22" i="1470" s="1"/>
  <c r="R21" i="1470"/>
  <c r="D21" i="1470"/>
  <c r="R20" i="1470"/>
  <c r="L20" i="1470"/>
  <c r="D20" i="1470"/>
  <c r="R19" i="1470"/>
  <c r="L19" i="1470"/>
  <c r="D19" i="1470"/>
  <c r="R18" i="1470"/>
  <c r="D18" i="1470"/>
  <c r="R17" i="1470"/>
  <c r="D17" i="1470"/>
  <c r="R16" i="1470"/>
  <c r="R15" i="1470"/>
  <c r="D15" i="1470"/>
  <c r="R14" i="1470"/>
  <c r="D14" i="1470"/>
  <c r="R13" i="1470"/>
  <c r="D13" i="1470"/>
  <c r="R12" i="1470"/>
  <c r="L12" i="1470"/>
  <c r="D12" i="1470" s="1"/>
  <c r="R11" i="1470"/>
  <c r="L10" i="1470"/>
  <c r="D10" i="1470" s="1"/>
  <c r="L7" i="1470"/>
  <c r="D7" i="1470"/>
  <c r="R6" i="1470"/>
  <c r="L6" i="1470"/>
  <c r="D6" i="1470" s="1"/>
  <c r="R5" i="1470"/>
  <c r="R4" i="1470"/>
  <c r="R52" i="1469"/>
  <c r="R51" i="1469"/>
  <c r="D50" i="1469"/>
  <c r="R49" i="1469"/>
  <c r="D49" i="1469"/>
  <c r="R48" i="1469"/>
  <c r="D48" i="1469"/>
  <c r="D46" i="1469"/>
  <c r="D45" i="1469"/>
  <c r="D44" i="1469"/>
  <c r="R42" i="1469"/>
  <c r="L6" i="1469" s="1"/>
  <c r="D6" i="1469" s="1"/>
  <c r="D42" i="1469"/>
  <c r="R41" i="1469"/>
  <c r="L7" i="1469" s="1"/>
  <c r="D7" i="1469" s="1"/>
  <c r="D41" i="1469"/>
  <c r="R40" i="1469"/>
  <c r="L8" i="1469" s="1"/>
  <c r="D8" i="1469" s="1"/>
  <c r="D40" i="1469"/>
  <c r="R39" i="1469"/>
  <c r="H39" i="1469"/>
  <c r="D39" i="1469"/>
  <c r="R38" i="1469"/>
  <c r="L9" i="1469" s="1"/>
  <c r="D9" i="1469" s="1"/>
  <c r="H38" i="1469"/>
  <c r="D38" i="1469"/>
  <c r="R37" i="1469"/>
  <c r="H37" i="1469"/>
  <c r="D37" i="1469"/>
  <c r="R36" i="1469"/>
  <c r="H36" i="1469"/>
  <c r="G49" i="1469" s="1"/>
  <c r="D36" i="1469"/>
  <c r="R35" i="1469"/>
  <c r="L19" i="1469" s="1"/>
  <c r="D19" i="1469" s="1"/>
  <c r="H35" i="1469"/>
  <c r="D35" i="1469"/>
  <c r="R34" i="1469"/>
  <c r="H34" i="1469"/>
  <c r="D34" i="1469"/>
  <c r="D54" i="1469" s="1"/>
  <c r="H14" i="1469" s="1"/>
  <c r="R33" i="1469"/>
  <c r="L23" i="1469" s="1"/>
  <c r="D23" i="1469" s="1"/>
  <c r="R32" i="1469"/>
  <c r="R31" i="1469"/>
  <c r="R30" i="1469"/>
  <c r="R29" i="1469"/>
  <c r="R28" i="1469"/>
  <c r="D28" i="1469"/>
  <c r="R27" i="1469"/>
  <c r="D27" i="1469"/>
  <c r="R26" i="1469"/>
  <c r="L26" i="1469"/>
  <c r="D26" i="1469" s="1"/>
  <c r="R25" i="1469"/>
  <c r="L25" i="1469"/>
  <c r="D25" i="1469" s="1"/>
  <c r="R24" i="1469"/>
  <c r="L24" i="1469"/>
  <c r="D24" i="1469" s="1"/>
  <c r="R23" i="1469"/>
  <c r="R22" i="1469"/>
  <c r="L22" i="1469"/>
  <c r="D22" i="1469"/>
  <c r="R21" i="1469"/>
  <c r="L17" i="1469" s="1"/>
  <c r="D17" i="1469" s="1"/>
  <c r="D21" i="1469"/>
  <c r="R20" i="1469"/>
  <c r="L20" i="1469"/>
  <c r="D20" i="1469" s="1"/>
  <c r="R19" i="1469"/>
  <c r="R18" i="1469"/>
  <c r="D18" i="1469"/>
  <c r="R17" i="1469"/>
  <c r="R16" i="1469"/>
  <c r="L16" i="1469"/>
  <c r="D16" i="1469"/>
  <c r="R15" i="1469"/>
  <c r="D15" i="1469"/>
  <c r="R14" i="1469"/>
  <c r="D14" i="1469"/>
  <c r="R13" i="1469"/>
  <c r="D13" i="1469"/>
  <c r="R12" i="1469"/>
  <c r="L12" i="1469"/>
  <c r="D12" i="1469" s="1"/>
  <c r="R11" i="1469"/>
  <c r="L11" i="1469"/>
  <c r="D11" i="1469"/>
  <c r="L10" i="1469"/>
  <c r="D10" i="1469"/>
  <c r="R6" i="1469"/>
  <c r="R5" i="1469"/>
  <c r="R4" i="1469"/>
  <c r="R52" i="1468"/>
  <c r="R51" i="1468"/>
  <c r="D50" i="1468"/>
  <c r="R49" i="1468"/>
  <c r="D49" i="1468"/>
  <c r="R48" i="1468"/>
  <c r="D48" i="1468"/>
  <c r="D46" i="1468"/>
  <c r="D45" i="1468"/>
  <c r="P44" i="1468"/>
  <c r="R44" i="1468" s="1"/>
  <c r="D44" i="1468"/>
  <c r="R42" i="1468"/>
  <c r="L6" i="1468" s="1"/>
  <c r="D6" i="1468" s="1"/>
  <c r="D42" i="1468"/>
  <c r="R41" i="1468"/>
  <c r="D41" i="1468"/>
  <c r="R40" i="1468"/>
  <c r="D40" i="1468"/>
  <c r="R39" i="1468"/>
  <c r="L20" i="1468" s="1"/>
  <c r="D20" i="1468" s="1"/>
  <c r="H39" i="1468"/>
  <c r="D39" i="1468"/>
  <c r="R38" i="1468"/>
  <c r="H38" i="1468"/>
  <c r="D38" i="1468"/>
  <c r="R37" i="1468"/>
  <c r="H37" i="1468"/>
  <c r="D37" i="1468"/>
  <c r="R36" i="1468"/>
  <c r="H36" i="1468"/>
  <c r="D36" i="1468"/>
  <c r="R35" i="1468"/>
  <c r="H35" i="1468"/>
  <c r="D35" i="1468"/>
  <c r="R34" i="1468"/>
  <c r="L12" i="1468" s="1"/>
  <c r="D12" i="1468" s="1"/>
  <c r="H34" i="1468"/>
  <c r="G49" i="1468" s="1"/>
  <c r="D34" i="1468"/>
  <c r="D54" i="1468" s="1"/>
  <c r="H14" i="1468" s="1"/>
  <c r="R33" i="1468"/>
  <c r="R32" i="1468"/>
  <c r="R31" i="1468"/>
  <c r="R30" i="1468"/>
  <c r="R29" i="1468"/>
  <c r="R28" i="1468"/>
  <c r="D28" i="1468"/>
  <c r="R27" i="1468"/>
  <c r="D27" i="1468"/>
  <c r="R26" i="1468"/>
  <c r="L26" i="1468"/>
  <c r="D26" i="1468"/>
  <c r="R25" i="1468"/>
  <c r="L25" i="1468"/>
  <c r="D25" i="1468"/>
  <c r="R24" i="1468"/>
  <c r="L24" i="1468"/>
  <c r="D24" i="1468" s="1"/>
  <c r="R23" i="1468"/>
  <c r="D23" i="1468"/>
  <c r="R22" i="1468"/>
  <c r="D22" i="1468"/>
  <c r="R21" i="1468"/>
  <c r="D21" i="1468"/>
  <c r="R20" i="1468"/>
  <c r="R19" i="1468"/>
  <c r="D19" i="1468"/>
  <c r="R18" i="1468"/>
  <c r="D18" i="1468"/>
  <c r="R17" i="1468"/>
  <c r="L17" i="1468"/>
  <c r="D17" i="1468" s="1"/>
  <c r="R16" i="1468"/>
  <c r="L16" i="1468"/>
  <c r="D16" i="1468"/>
  <c r="R15" i="1468"/>
  <c r="D15" i="1468"/>
  <c r="R14" i="1468"/>
  <c r="D14" i="1468"/>
  <c r="R13" i="1468"/>
  <c r="D13" i="1468"/>
  <c r="R12" i="1468"/>
  <c r="R11" i="1468"/>
  <c r="L11" i="1468"/>
  <c r="D11" i="1468"/>
  <c r="L10" i="1468"/>
  <c r="D10" i="1468" s="1"/>
  <c r="L9" i="1468"/>
  <c r="D9" i="1468" s="1"/>
  <c r="L8" i="1468"/>
  <c r="D8" i="1468" s="1"/>
  <c r="L7" i="1468"/>
  <c r="D7" i="1468"/>
  <c r="R6" i="1468"/>
  <c r="R5" i="1468"/>
  <c r="R4" i="1468"/>
  <c r="R52" i="1467"/>
  <c r="R51" i="1467"/>
  <c r="D50" i="1467"/>
  <c r="R49" i="1467"/>
  <c r="G49" i="1467"/>
  <c r="D49" i="1467"/>
  <c r="R48" i="1467"/>
  <c r="D48" i="1467"/>
  <c r="D46" i="1467"/>
  <c r="D45" i="1467"/>
  <c r="D44" i="1467"/>
  <c r="R42" i="1467"/>
  <c r="D42" i="1467"/>
  <c r="R41" i="1467"/>
  <c r="L7" i="1467" s="1"/>
  <c r="D7" i="1467" s="1"/>
  <c r="D41" i="1467"/>
  <c r="R40" i="1467"/>
  <c r="L8" i="1467" s="1"/>
  <c r="D8" i="1467" s="1"/>
  <c r="D40" i="1467"/>
  <c r="R39" i="1467"/>
  <c r="D39" i="1467"/>
  <c r="R38" i="1467"/>
  <c r="L9" i="1467" s="1"/>
  <c r="D9" i="1467" s="1"/>
  <c r="D38" i="1467"/>
  <c r="R37" i="1467"/>
  <c r="D37" i="1467"/>
  <c r="R36" i="1467"/>
  <c r="D36" i="1467"/>
  <c r="R35" i="1467"/>
  <c r="D35" i="1467"/>
  <c r="R34" i="1467"/>
  <c r="L12" i="1467" s="1"/>
  <c r="D12" i="1467" s="1"/>
  <c r="D34" i="1467"/>
  <c r="D54" i="1467" s="1"/>
  <c r="H14" i="1467" s="1"/>
  <c r="R33" i="1467"/>
  <c r="L23" i="1467" s="1"/>
  <c r="D23" i="1467" s="1"/>
  <c r="R32" i="1467"/>
  <c r="L11" i="1467" s="1"/>
  <c r="D11" i="1467" s="1"/>
  <c r="R31" i="1467"/>
  <c r="R30" i="1467"/>
  <c r="R29" i="1467"/>
  <c r="R28" i="1467"/>
  <c r="D28" i="1467"/>
  <c r="R27" i="1467"/>
  <c r="D27" i="1467"/>
  <c r="R26" i="1467"/>
  <c r="L26" i="1467"/>
  <c r="D26" i="1467" s="1"/>
  <c r="R25" i="1467"/>
  <c r="L25" i="1467"/>
  <c r="D25" i="1467"/>
  <c r="R24" i="1467"/>
  <c r="D24" i="1467"/>
  <c r="R23" i="1467"/>
  <c r="R22" i="1467"/>
  <c r="L22" i="1467"/>
  <c r="D22" i="1467" s="1"/>
  <c r="R21" i="1467"/>
  <c r="D21" i="1467"/>
  <c r="R20" i="1467"/>
  <c r="L20" i="1467"/>
  <c r="D20" i="1467"/>
  <c r="R19" i="1467"/>
  <c r="L19" i="1467"/>
  <c r="D19" i="1467"/>
  <c r="R18" i="1467"/>
  <c r="D18" i="1467"/>
  <c r="R17" i="1467"/>
  <c r="D17" i="1467"/>
  <c r="R16" i="1467"/>
  <c r="L16" i="1467"/>
  <c r="D16" i="1467" s="1"/>
  <c r="S15" i="1467"/>
  <c r="R15" i="1467"/>
  <c r="D15" i="1467"/>
  <c r="S14" i="1467"/>
  <c r="R14" i="1467"/>
  <c r="D14" i="1467"/>
  <c r="R13" i="1467"/>
  <c r="D13" i="1467"/>
  <c r="R12" i="1467"/>
  <c r="R11" i="1467"/>
  <c r="L10" i="1467"/>
  <c r="D10" i="1467" s="1"/>
  <c r="R6" i="1467"/>
  <c r="L6" i="1467"/>
  <c r="D6" i="1467"/>
  <c r="D29" i="1467" s="1"/>
  <c r="H13" i="1467" s="1"/>
  <c r="H15" i="1467" s="1"/>
  <c r="H29" i="1467" s="1"/>
  <c r="R5" i="1467"/>
  <c r="R4" i="1467"/>
  <c r="R52" i="1466"/>
  <c r="R51" i="1466"/>
  <c r="D50" i="1466"/>
  <c r="R49" i="1466"/>
  <c r="D49" i="1466"/>
  <c r="R48" i="1466"/>
  <c r="D48" i="1466"/>
  <c r="D46" i="1466"/>
  <c r="D45" i="1466"/>
  <c r="D44" i="1466"/>
  <c r="R42" i="1466"/>
  <c r="D42" i="1466"/>
  <c r="R41" i="1466"/>
  <c r="D41" i="1466"/>
  <c r="R40" i="1466"/>
  <c r="L8" i="1466" s="1"/>
  <c r="D8" i="1466" s="1"/>
  <c r="D40" i="1466"/>
  <c r="R39" i="1466"/>
  <c r="H39" i="1466"/>
  <c r="G49" i="1466" s="1"/>
  <c r="D39" i="1466"/>
  <c r="R38" i="1466"/>
  <c r="L9" i="1466" s="1"/>
  <c r="D9" i="1466" s="1"/>
  <c r="H38" i="1466"/>
  <c r="D38" i="1466"/>
  <c r="R37" i="1466"/>
  <c r="H37" i="1466"/>
  <c r="D37" i="1466"/>
  <c r="R36" i="1466"/>
  <c r="H36" i="1466"/>
  <c r="D36" i="1466"/>
  <c r="R35" i="1466"/>
  <c r="H35" i="1466"/>
  <c r="D35" i="1466"/>
  <c r="R34" i="1466"/>
  <c r="L12" i="1466" s="1"/>
  <c r="D12" i="1466" s="1"/>
  <c r="H34" i="1466"/>
  <c r="D34" i="1466"/>
  <c r="D54" i="1466" s="1"/>
  <c r="H14" i="1466" s="1"/>
  <c r="R33" i="1466"/>
  <c r="L23" i="1466" s="1"/>
  <c r="D23" i="1466" s="1"/>
  <c r="R32" i="1466"/>
  <c r="L11" i="1466" s="1"/>
  <c r="D11" i="1466" s="1"/>
  <c r="R31" i="1466"/>
  <c r="R30" i="1466"/>
  <c r="R29" i="1466"/>
  <c r="R28" i="1466"/>
  <c r="D28" i="1466"/>
  <c r="R27" i="1466"/>
  <c r="D27" i="1466"/>
  <c r="R26" i="1466"/>
  <c r="L26" i="1466"/>
  <c r="D26" i="1466"/>
  <c r="R25" i="1466"/>
  <c r="L25" i="1466"/>
  <c r="D25" i="1466" s="1"/>
  <c r="R24" i="1466"/>
  <c r="D24" i="1466"/>
  <c r="R23" i="1466"/>
  <c r="R22" i="1466"/>
  <c r="L22" i="1466"/>
  <c r="D22" i="1466"/>
  <c r="R21" i="1466"/>
  <c r="D21" i="1466"/>
  <c r="R20" i="1466"/>
  <c r="L20" i="1466"/>
  <c r="D20" i="1466"/>
  <c r="R19" i="1466"/>
  <c r="L19" i="1466"/>
  <c r="D19" i="1466" s="1"/>
  <c r="R18" i="1466"/>
  <c r="D18" i="1466"/>
  <c r="R17" i="1466"/>
  <c r="D17" i="1466"/>
  <c r="R16" i="1466"/>
  <c r="L16" i="1466"/>
  <c r="D16" i="1466" s="1"/>
  <c r="R15" i="1466"/>
  <c r="D15" i="1466"/>
  <c r="R14" i="1466"/>
  <c r="D14" i="1466"/>
  <c r="R13" i="1466"/>
  <c r="D13" i="1466"/>
  <c r="R12" i="1466"/>
  <c r="R11" i="1466"/>
  <c r="L10" i="1466"/>
  <c r="D10" i="1466"/>
  <c r="L7" i="1466"/>
  <c r="D7" i="1466"/>
  <c r="R6" i="1466"/>
  <c r="L6" i="1466"/>
  <c r="D6" i="1466"/>
  <c r="R5" i="1466"/>
  <c r="R4" i="1466"/>
  <c r="R52" i="1465"/>
  <c r="R51" i="1465"/>
  <c r="D50" i="1465"/>
  <c r="R49" i="1465"/>
  <c r="D49" i="1465"/>
  <c r="R48" i="1465"/>
  <c r="D48" i="1465"/>
  <c r="D46" i="1465"/>
  <c r="D45" i="1465"/>
  <c r="D44" i="1465"/>
  <c r="R42" i="1465"/>
  <c r="D42" i="1465"/>
  <c r="R41" i="1465"/>
  <c r="D41" i="1465"/>
  <c r="R40" i="1465"/>
  <c r="D40" i="1465"/>
  <c r="R39" i="1465"/>
  <c r="L20" i="1465" s="1"/>
  <c r="D20" i="1465" s="1"/>
  <c r="H39" i="1465"/>
  <c r="D39" i="1465"/>
  <c r="R38" i="1465"/>
  <c r="L9" i="1465" s="1"/>
  <c r="D9" i="1465" s="1"/>
  <c r="H38" i="1465"/>
  <c r="D38" i="1465"/>
  <c r="R37" i="1465"/>
  <c r="H37" i="1465"/>
  <c r="D37" i="1465"/>
  <c r="R36" i="1465"/>
  <c r="H36" i="1465"/>
  <c r="D36" i="1465"/>
  <c r="R35" i="1465"/>
  <c r="H35" i="1465"/>
  <c r="D35" i="1465"/>
  <c r="R34" i="1465"/>
  <c r="L12" i="1465" s="1"/>
  <c r="D12" i="1465" s="1"/>
  <c r="H34" i="1465"/>
  <c r="G49" i="1465" s="1"/>
  <c r="D34" i="1465"/>
  <c r="D54" i="1465" s="1"/>
  <c r="H14" i="1465" s="1"/>
  <c r="R33" i="1465"/>
  <c r="L23" i="1465" s="1"/>
  <c r="D23" i="1465" s="1"/>
  <c r="R32" i="1465"/>
  <c r="L11" i="1465" s="1"/>
  <c r="D11" i="1465" s="1"/>
  <c r="R31" i="1465"/>
  <c r="R30" i="1465"/>
  <c r="R29" i="1465"/>
  <c r="R28" i="1465"/>
  <c r="D28" i="1465"/>
  <c r="R27" i="1465"/>
  <c r="D27" i="1465"/>
  <c r="R26" i="1465"/>
  <c r="L26" i="1465"/>
  <c r="D26" i="1465"/>
  <c r="R25" i="1465"/>
  <c r="L25" i="1465"/>
  <c r="D25" i="1465"/>
  <c r="R24" i="1465"/>
  <c r="L24" i="1465"/>
  <c r="D24" i="1465" s="1"/>
  <c r="R23" i="1465"/>
  <c r="R22" i="1465"/>
  <c r="L22" i="1465"/>
  <c r="D22" i="1465" s="1"/>
  <c r="R21" i="1465"/>
  <c r="D21" i="1465"/>
  <c r="R20" i="1465"/>
  <c r="R19" i="1465"/>
  <c r="L19" i="1465"/>
  <c r="D19" i="1465" s="1"/>
  <c r="R18" i="1465"/>
  <c r="D18" i="1465"/>
  <c r="R17" i="1465"/>
  <c r="L17" i="1465"/>
  <c r="D17" i="1465"/>
  <c r="R16" i="1465"/>
  <c r="L16" i="1465"/>
  <c r="D16" i="1465" s="1"/>
  <c r="R15" i="1465"/>
  <c r="D15" i="1465"/>
  <c r="R14" i="1465"/>
  <c r="D14" i="1465"/>
  <c r="R13" i="1465"/>
  <c r="D13" i="1465"/>
  <c r="R12" i="1465"/>
  <c r="R11" i="1465"/>
  <c r="L10" i="1465"/>
  <c r="D10" i="1465"/>
  <c r="L8" i="1465"/>
  <c r="D8" i="1465"/>
  <c r="L7" i="1465"/>
  <c r="D7" i="1465"/>
  <c r="R6" i="1465"/>
  <c r="L6" i="1465"/>
  <c r="D6" i="1465" s="1"/>
  <c r="D29" i="1465" s="1"/>
  <c r="H13" i="1465" s="1"/>
  <c r="H15" i="1465" s="1"/>
  <c r="H29" i="1465" s="1"/>
  <c r="R5" i="1465"/>
  <c r="R4" i="1465"/>
  <c r="R52" i="1464"/>
  <c r="R51" i="1464"/>
  <c r="D50" i="1464"/>
  <c r="R49" i="1464"/>
  <c r="D49" i="1464"/>
  <c r="R48" i="1464"/>
  <c r="D48" i="1464"/>
  <c r="D46" i="1464"/>
  <c r="D45" i="1464"/>
  <c r="P44" i="1464"/>
  <c r="R44" i="1464" s="1"/>
  <c r="D44" i="1464"/>
  <c r="R42" i="1464"/>
  <c r="D42" i="1464"/>
  <c r="R41" i="1464"/>
  <c r="L7" i="1464" s="1"/>
  <c r="D7" i="1464" s="1"/>
  <c r="D41" i="1464"/>
  <c r="R40" i="1464"/>
  <c r="D40" i="1464"/>
  <c r="R39" i="1464"/>
  <c r="L20" i="1464" s="1"/>
  <c r="D20" i="1464" s="1"/>
  <c r="H39" i="1464"/>
  <c r="D39" i="1464"/>
  <c r="R38" i="1464"/>
  <c r="H38" i="1464"/>
  <c r="D38" i="1464"/>
  <c r="R37" i="1464"/>
  <c r="H37" i="1464"/>
  <c r="D37" i="1464"/>
  <c r="R36" i="1464"/>
  <c r="H36" i="1464"/>
  <c r="D36" i="1464"/>
  <c r="R35" i="1464"/>
  <c r="H35" i="1464"/>
  <c r="D35" i="1464"/>
  <c r="R34" i="1464"/>
  <c r="L12" i="1464" s="1"/>
  <c r="D12" i="1464" s="1"/>
  <c r="H34" i="1464"/>
  <c r="G49" i="1464" s="1"/>
  <c r="D34" i="1464"/>
  <c r="D54" i="1464" s="1"/>
  <c r="H14" i="1464" s="1"/>
  <c r="R33" i="1464"/>
  <c r="R32" i="1464"/>
  <c r="R31" i="1464"/>
  <c r="R30" i="1464"/>
  <c r="R29" i="1464"/>
  <c r="R28" i="1464"/>
  <c r="D28" i="1464"/>
  <c r="R27" i="1464"/>
  <c r="D27" i="1464"/>
  <c r="R26" i="1464"/>
  <c r="L26" i="1464"/>
  <c r="D26" i="1464"/>
  <c r="R25" i="1464"/>
  <c r="L25" i="1464"/>
  <c r="D25" i="1464" s="1"/>
  <c r="R24" i="1464"/>
  <c r="L24" i="1464"/>
  <c r="D24" i="1464"/>
  <c r="R23" i="1464"/>
  <c r="D23" i="1464"/>
  <c r="R22" i="1464"/>
  <c r="D22" i="1464"/>
  <c r="R21" i="1464"/>
  <c r="D21" i="1464"/>
  <c r="R20" i="1464"/>
  <c r="R19" i="1464"/>
  <c r="D19" i="1464"/>
  <c r="R18" i="1464"/>
  <c r="D18" i="1464"/>
  <c r="R17" i="1464"/>
  <c r="L17" i="1464"/>
  <c r="D17" i="1464"/>
  <c r="R16" i="1464"/>
  <c r="L16" i="1464"/>
  <c r="D16" i="1464" s="1"/>
  <c r="R15" i="1464"/>
  <c r="D15" i="1464"/>
  <c r="R14" i="1464"/>
  <c r="D14" i="1464"/>
  <c r="R13" i="1464"/>
  <c r="D13" i="1464"/>
  <c r="R12" i="1464"/>
  <c r="R11" i="1464"/>
  <c r="L11" i="1464"/>
  <c r="D11" i="1464"/>
  <c r="L10" i="1464"/>
  <c r="D10" i="1464" s="1"/>
  <c r="L9" i="1464"/>
  <c r="D9" i="1464" s="1"/>
  <c r="L8" i="1464"/>
  <c r="D8" i="1464" s="1"/>
  <c r="R6" i="1464"/>
  <c r="L6" i="1464"/>
  <c r="D6" i="1464" s="1"/>
  <c r="R5" i="1464"/>
  <c r="R4" i="1464"/>
  <c r="R52" i="1463"/>
  <c r="R51" i="1463"/>
  <c r="D50" i="1463"/>
  <c r="R49" i="1463"/>
  <c r="G49" i="1463"/>
  <c r="D49" i="1463"/>
  <c r="R48" i="1463"/>
  <c r="D48" i="1463"/>
  <c r="D46" i="1463"/>
  <c r="D45" i="1463"/>
  <c r="D44" i="1463"/>
  <c r="R42" i="1463"/>
  <c r="L6" i="1463" s="1"/>
  <c r="D6" i="1463" s="1"/>
  <c r="D42" i="1463"/>
  <c r="R41" i="1463"/>
  <c r="L7" i="1463" s="1"/>
  <c r="D7" i="1463" s="1"/>
  <c r="D41" i="1463"/>
  <c r="R40" i="1463"/>
  <c r="D40" i="1463"/>
  <c r="R39" i="1463"/>
  <c r="D39" i="1463"/>
  <c r="R38" i="1463"/>
  <c r="D38" i="1463"/>
  <c r="R37" i="1463"/>
  <c r="D37" i="1463"/>
  <c r="R36" i="1463"/>
  <c r="L10" i="1463" s="1"/>
  <c r="D10" i="1463" s="1"/>
  <c r="D36" i="1463"/>
  <c r="R35" i="1463"/>
  <c r="D35" i="1463"/>
  <c r="R34" i="1463"/>
  <c r="L12" i="1463" s="1"/>
  <c r="D12" i="1463" s="1"/>
  <c r="D34" i="1463"/>
  <c r="D54" i="1463" s="1"/>
  <c r="H14" i="1463" s="1"/>
  <c r="R33" i="1463"/>
  <c r="L23" i="1463" s="1"/>
  <c r="D23" i="1463" s="1"/>
  <c r="R32" i="1463"/>
  <c r="R31" i="1463"/>
  <c r="R30" i="1463"/>
  <c r="R29" i="1463"/>
  <c r="R28" i="1463"/>
  <c r="D28" i="1463"/>
  <c r="R27" i="1463"/>
  <c r="D27" i="1463"/>
  <c r="R26" i="1463"/>
  <c r="L26" i="1463"/>
  <c r="D26" i="1463" s="1"/>
  <c r="R25" i="1463"/>
  <c r="L25" i="1463"/>
  <c r="D25" i="1463"/>
  <c r="R24" i="1463"/>
  <c r="D24" i="1463"/>
  <c r="R23" i="1463"/>
  <c r="R22" i="1463"/>
  <c r="L22" i="1463"/>
  <c r="D22" i="1463"/>
  <c r="R21" i="1463"/>
  <c r="D21" i="1463"/>
  <c r="R20" i="1463"/>
  <c r="L20" i="1463"/>
  <c r="D20" i="1463" s="1"/>
  <c r="R19" i="1463"/>
  <c r="L19" i="1463"/>
  <c r="D19" i="1463"/>
  <c r="R18" i="1463"/>
  <c r="D18" i="1463"/>
  <c r="R17" i="1463"/>
  <c r="D17" i="1463"/>
  <c r="R16" i="1463"/>
  <c r="L16" i="1463"/>
  <c r="D16" i="1463" s="1"/>
  <c r="S15" i="1463"/>
  <c r="R15" i="1463"/>
  <c r="D15" i="1463"/>
  <c r="S14" i="1463"/>
  <c r="R14" i="1463"/>
  <c r="D14" i="1463"/>
  <c r="R13" i="1463"/>
  <c r="D13" i="1463"/>
  <c r="R12" i="1463"/>
  <c r="R11" i="1463"/>
  <c r="L11" i="1463"/>
  <c r="D11" i="1463"/>
  <c r="L9" i="1463"/>
  <c r="D9" i="1463"/>
  <c r="L8" i="1463"/>
  <c r="D8" i="1463"/>
  <c r="R6" i="1463"/>
  <c r="R5" i="1463"/>
  <c r="R4" i="1463"/>
  <c r="R52" i="1462"/>
  <c r="R51" i="1462"/>
  <c r="D50" i="1462"/>
  <c r="R49" i="1462"/>
  <c r="D49" i="1462"/>
  <c r="R48" i="1462"/>
  <c r="D48" i="1462"/>
  <c r="D46" i="1462"/>
  <c r="D45" i="1462"/>
  <c r="D44" i="1462"/>
  <c r="R42" i="1462"/>
  <c r="D42" i="1462"/>
  <c r="R41" i="1462"/>
  <c r="L7" i="1462" s="1"/>
  <c r="D7" i="1462" s="1"/>
  <c r="D41" i="1462"/>
  <c r="R40" i="1462"/>
  <c r="D40" i="1462"/>
  <c r="R39" i="1462"/>
  <c r="H39" i="1462"/>
  <c r="G49" i="1462" s="1"/>
  <c r="D39" i="1462"/>
  <c r="R38" i="1462"/>
  <c r="L9" i="1462" s="1"/>
  <c r="D9" i="1462" s="1"/>
  <c r="H38" i="1462"/>
  <c r="D38" i="1462"/>
  <c r="R37" i="1462"/>
  <c r="H37" i="1462"/>
  <c r="D37" i="1462"/>
  <c r="R36" i="1462"/>
  <c r="H36" i="1462"/>
  <c r="D36" i="1462"/>
  <c r="R35" i="1462"/>
  <c r="H35" i="1462"/>
  <c r="D35" i="1462"/>
  <c r="R34" i="1462"/>
  <c r="H34" i="1462"/>
  <c r="D34" i="1462"/>
  <c r="D54" i="1462" s="1"/>
  <c r="H14" i="1462" s="1"/>
  <c r="R33" i="1462"/>
  <c r="L23" i="1462" s="1"/>
  <c r="D23" i="1462" s="1"/>
  <c r="R32" i="1462"/>
  <c r="L11" i="1462" s="1"/>
  <c r="D11" i="1462" s="1"/>
  <c r="R31" i="1462"/>
  <c r="R30" i="1462"/>
  <c r="R29" i="1462"/>
  <c r="R28" i="1462"/>
  <c r="L16" i="1462" s="1"/>
  <c r="D16" i="1462" s="1"/>
  <c r="D28" i="1462"/>
  <c r="R27" i="1462"/>
  <c r="D27" i="1462"/>
  <c r="R26" i="1462"/>
  <c r="L26" i="1462"/>
  <c r="D26" i="1462"/>
  <c r="R25" i="1462"/>
  <c r="L25" i="1462"/>
  <c r="D25" i="1462"/>
  <c r="R24" i="1462"/>
  <c r="D24" i="1462"/>
  <c r="R23" i="1462"/>
  <c r="R22" i="1462"/>
  <c r="L22" i="1462"/>
  <c r="D22" i="1462"/>
  <c r="R21" i="1462"/>
  <c r="D21" i="1462"/>
  <c r="R20" i="1462"/>
  <c r="L20" i="1462"/>
  <c r="D20" i="1462"/>
  <c r="R19" i="1462"/>
  <c r="L19" i="1462"/>
  <c r="D19" i="1462"/>
  <c r="R18" i="1462"/>
  <c r="D18" i="1462"/>
  <c r="R17" i="1462"/>
  <c r="D17" i="1462"/>
  <c r="R16" i="1462"/>
  <c r="R15" i="1462"/>
  <c r="D15" i="1462"/>
  <c r="R14" i="1462"/>
  <c r="D14" i="1462"/>
  <c r="R13" i="1462"/>
  <c r="D13" i="1462"/>
  <c r="R12" i="1462"/>
  <c r="L12" i="1462"/>
  <c r="D12" i="1462" s="1"/>
  <c r="R11" i="1462"/>
  <c r="L10" i="1462"/>
  <c r="D10" i="1462"/>
  <c r="L8" i="1462"/>
  <c r="D8" i="1462" s="1"/>
  <c r="R6" i="1462"/>
  <c r="L6" i="1462"/>
  <c r="D6" i="1462" s="1"/>
  <c r="R5" i="1462"/>
  <c r="R4" i="1462"/>
  <c r="R52" i="1461"/>
  <c r="R51" i="1461"/>
  <c r="D50" i="1461"/>
  <c r="R49" i="1461"/>
  <c r="G49" i="1461"/>
  <c r="D49" i="1461"/>
  <c r="R48" i="1461"/>
  <c r="D48" i="1461"/>
  <c r="D46" i="1461"/>
  <c r="D45" i="1461"/>
  <c r="D44" i="1461"/>
  <c r="R42" i="1461"/>
  <c r="L6" i="1461" s="1"/>
  <c r="D6" i="1461" s="1"/>
  <c r="D42" i="1461"/>
  <c r="R41" i="1461"/>
  <c r="L7" i="1461" s="1"/>
  <c r="D7" i="1461" s="1"/>
  <c r="D41" i="1461"/>
  <c r="R40" i="1461"/>
  <c r="D40" i="1461"/>
  <c r="R39" i="1461"/>
  <c r="H39" i="1461"/>
  <c r="D39" i="1461"/>
  <c r="R38" i="1461"/>
  <c r="L9" i="1461" s="1"/>
  <c r="D9" i="1461" s="1"/>
  <c r="H38" i="1461"/>
  <c r="D38" i="1461"/>
  <c r="R37" i="1461"/>
  <c r="H37" i="1461"/>
  <c r="D37" i="1461"/>
  <c r="R36" i="1461"/>
  <c r="L10" i="1461" s="1"/>
  <c r="D10" i="1461" s="1"/>
  <c r="H36" i="1461"/>
  <c r="D36" i="1461"/>
  <c r="R35" i="1461"/>
  <c r="L19" i="1461" s="1"/>
  <c r="D19" i="1461" s="1"/>
  <c r="H35" i="1461"/>
  <c r="D35" i="1461"/>
  <c r="R34" i="1461"/>
  <c r="L12" i="1461" s="1"/>
  <c r="D12" i="1461" s="1"/>
  <c r="H34" i="1461"/>
  <c r="D34" i="1461"/>
  <c r="D54" i="1461" s="1"/>
  <c r="H14" i="1461" s="1"/>
  <c r="R33" i="1461"/>
  <c r="R32" i="1461"/>
  <c r="R31" i="1461"/>
  <c r="R30" i="1461"/>
  <c r="R29" i="1461"/>
  <c r="R28" i="1461"/>
  <c r="L16" i="1461" s="1"/>
  <c r="D16" i="1461" s="1"/>
  <c r="D28" i="1461"/>
  <c r="R27" i="1461"/>
  <c r="D27" i="1461"/>
  <c r="R26" i="1461"/>
  <c r="L26" i="1461"/>
  <c r="D26" i="1461" s="1"/>
  <c r="R25" i="1461"/>
  <c r="L25" i="1461"/>
  <c r="D25" i="1461"/>
  <c r="R24" i="1461"/>
  <c r="L24" i="1461"/>
  <c r="D24" i="1461"/>
  <c r="R23" i="1461"/>
  <c r="L23" i="1461"/>
  <c r="D23" i="1461"/>
  <c r="R22" i="1461"/>
  <c r="L22" i="1461"/>
  <c r="D22" i="1461"/>
  <c r="R21" i="1461"/>
  <c r="L17" i="1461" s="1"/>
  <c r="D17" i="1461" s="1"/>
  <c r="D21" i="1461"/>
  <c r="R20" i="1461"/>
  <c r="L20" i="1461"/>
  <c r="D20" i="1461" s="1"/>
  <c r="R19" i="1461"/>
  <c r="R18" i="1461"/>
  <c r="D18" i="1461"/>
  <c r="R17" i="1461"/>
  <c r="R16" i="1461"/>
  <c r="R15" i="1461"/>
  <c r="D15" i="1461"/>
  <c r="R14" i="1461"/>
  <c r="D14" i="1461"/>
  <c r="R13" i="1461"/>
  <c r="D13" i="1461"/>
  <c r="R12" i="1461"/>
  <c r="R11" i="1461"/>
  <c r="L11" i="1461"/>
  <c r="D11" i="1461" s="1"/>
  <c r="L8" i="1461"/>
  <c r="D8" i="1461" s="1"/>
  <c r="R6" i="1461"/>
  <c r="R5" i="1461"/>
  <c r="R4" i="1461"/>
  <c r="R52" i="1460"/>
  <c r="R51" i="1460"/>
  <c r="D50" i="1460"/>
  <c r="R49" i="1460"/>
  <c r="D49" i="1460"/>
  <c r="R48" i="1460"/>
  <c r="D48" i="1460"/>
  <c r="D46" i="1460"/>
  <c r="D45" i="1460"/>
  <c r="P44" i="1460"/>
  <c r="R44" i="1460" s="1"/>
  <c r="D44" i="1460"/>
  <c r="R42" i="1460"/>
  <c r="D42" i="1460"/>
  <c r="R41" i="1460"/>
  <c r="D41" i="1460"/>
  <c r="R40" i="1460"/>
  <c r="D40" i="1460"/>
  <c r="R39" i="1460"/>
  <c r="H39" i="1460"/>
  <c r="G49" i="1460" s="1"/>
  <c r="D39" i="1460"/>
  <c r="R38" i="1460"/>
  <c r="L9" i="1460" s="1"/>
  <c r="D9" i="1460" s="1"/>
  <c r="H38" i="1460"/>
  <c r="D38" i="1460"/>
  <c r="R37" i="1460"/>
  <c r="H37" i="1460"/>
  <c r="D37" i="1460"/>
  <c r="R36" i="1460"/>
  <c r="H36" i="1460"/>
  <c r="D36" i="1460"/>
  <c r="R35" i="1460"/>
  <c r="H35" i="1460"/>
  <c r="D35" i="1460"/>
  <c r="R34" i="1460"/>
  <c r="L12" i="1460" s="1"/>
  <c r="D12" i="1460" s="1"/>
  <c r="H34" i="1460"/>
  <c r="D34" i="1460"/>
  <c r="D54" i="1460" s="1"/>
  <c r="H14" i="1460" s="1"/>
  <c r="R33" i="1460"/>
  <c r="R32" i="1460"/>
  <c r="R31" i="1460"/>
  <c r="R30" i="1460"/>
  <c r="R29" i="1460"/>
  <c r="R28" i="1460"/>
  <c r="D28" i="1460"/>
  <c r="R27" i="1460"/>
  <c r="D27" i="1460"/>
  <c r="R26" i="1460"/>
  <c r="L26" i="1460"/>
  <c r="D26" i="1460"/>
  <c r="R25" i="1460"/>
  <c r="L25" i="1460"/>
  <c r="D25" i="1460" s="1"/>
  <c r="R24" i="1460"/>
  <c r="L24" i="1460"/>
  <c r="D24" i="1460"/>
  <c r="R23" i="1460"/>
  <c r="D23" i="1460"/>
  <c r="R22" i="1460"/>
  <c r="D22" i="1460"/>
  <c r="R21" i="1460"/>
  <c r="D21" i="1460"/>
  <c r="R20" i="1460"/>
  <c r="L20" i="1460"/>
  <c r="D20" i="1460" s="1"/>
  <c r="R19" i="1460"/>
  <c r="D19" i="1460"/>
  <c r="R18" i="1460"/>
  <c r="D18" i="1460"/>
  <c r="R17" i="1460"/>
  <c r="L17" i="1460"/>
  <c r="D17" i="1460"/>
  <c r="R16" i="1460"/>
  <c r="L16" i="1460"/>
  <c r="D16" i="1460"/>
  <c r="R15" i="1460"/>
  <c r="D15" i="1460"/>
  <c r="R14" i="1460"/>
  <c r="D14" i="1460"/>
  <c r="R13" i="1460"/>
  <c r="D13" i="1460"/>
  <c r="R12" i="1460"/>
  <c r="R11" i="1460"/>
  <c r="L11" i="1460"/>
  <c r="D11" i="1460" s="1"/>
  <c r="L10" i="1460"/>
  <c r="D10" i="1460" s="1"/>
  <c r="L8" i="1460"/>
  <c r="D8" i="1460"/>
  <c r="L7" i="1460"/>
  <c r="D7" i="1460"/>
  <c r="R6" i="1460"/>
  <c r="L6" i="1460"/>
  <c r="D6" i="1460" s="1"/>
  <c r="D29" i="1460" s="1"/>
  <c r="H13" i="1460" s="1"/>
  <c r="H15" i="1460" s="1"/>
  <c r="H29" i="1460" s="1"/>
  <c r="R5" i="1460"/>
  <c r="R4" i="1460"/>
  <c r="R52" i="1459"/>
  <c r="R51" i="1459"/>
  <c r="D50" i="1459"/>
  <c r="R49" i="1459"/>
  <c r="G49" i="1459"/>
  <c r="D49" i="1459"/>
  <c r="R48" i="1459"/>
  <c r="D48" i="1459"/>
  <c r="D46" i="1459"/>
  <c r="D45" i="1459"/>
  <c r="D44" i="1459"/>
  <c r="R42" i="1459"/>
  <c r="L6" i="1459" s="1"/>
  <c r="D6" i="1459" s="1"/>
  <c r="D42" i="1459"/>
  <c r="R41" i="1459"/>
  <c r="L7" i="1459" s="1"/>
  <c r="D7" i="1459" s="1"/>
  <c r="D41" i="1459"/>
  <c r="R40" i="1459"/>
  <c r="D40" i="1459"/>
  <c r="R39" i="1459"/>
  <c r="D39" i="1459"/>
  <c r="R38" i="1459"/>
  <c r="L9" i="1459" s="1"/>
  <c r="D9" i="1459" s="1"/>
  <c r="D38" i="1459"/>
  <c r="R37" i="1459"/>
  <c r="D37" i="1459"/>
  <c r="R36" i="1459"/>
  <c r="L10" i="1459" s="1"/>
  <c r="D10" i="1459" s="1"/>
  <c r="D36" i="1459"/>
  <c r="R35" i="1459"/>
  <c r="D35" i="1459"/>
  <c r="R34" i="1459"/>
  <c r="L12" i="1459" s="1"/>
  <c r="D12" i="1459" s="1"/>
  <c r="D34" i="1459"/>
  <c r="D54" i="1459" s="1"/>
  <c r="H14" i="1459" s="1"/>
  <c r="R33" i="1459"/>
  <c r="L23" i="1459" s="1"/>
  <c r="D23" i="1459" s="1"/>
  <c r="R32" i="1459"/>
  <c r="R31" i="1459"/>
  <c r="R30" i="1459"/>
  <c r="R29" i="1459"/>
  <c r="R28" i="1459"/>
  <c r="L16" i="1459" s="1"/>
  <c r="D16" i="1459" s="1"/>
  <c r="D28" i="1459"/>
  <c r="R27" i="1459"/>
  <c r="D27" i="1459"/>
  <c r="R26" i="1459"/>
  <c r="L26" i="1459"/>
  <c r="D26" i="1459"/>
  <c r="R25" i="1459"/>
  <c r="L25" i="1459"/>
  <c r="D25" i="1459"/>
  <c r="R24" i="1459"/>
  <c r="D24" i="1459"/>
  <c r="R23" i="1459"/>
  <c r="R22" i="1459"/>
  <c r="L22" i="1459"/>
  <c r="D22" i="1459" s="1"/>
  <c r="R21" i="1459"/>
  <c r="D21" i="1459"/>
  <c r="R20" i="1459"/>
  <c r="L20" i="1459"/>
  <c r="D20" i="1459"/>
  <c r="R19" i="1459"/>
  <c r="L19" i="1459"/>
  <c r="D19" i="1459"/>
  <c r="R18" i="1459"/>
  <c r="D18" i="1459"/>
  <c r="R17" i="1459"/>
  <c r="D17" i="1459"/>
  <c r="R16" i="1459"/>
  <c r="S15" i="1459"/>
  <c r="R15" i="1459"/>
  <c r="D15" i="1459"/>
  <c r="S14" i="1459"/>
  <c r="R14" i="1459"/>
  <c r="D14" i="1459"/>
  <c r="R13" i="1459"/>
  <c r="D13" i="1459"/>
  <c r="R12" i="1459"/>
  <c r="R11" i="1459"/>
  <c r="L11" i="1459"/>
  <c r="D11" i="1459" s="1"/>
  <c r="L8" i="1459"/>
  <c r="D8" i="1459"/>
  <c r="R6" i="1459"/>
  <c r="R5" i="1459"/>
  <c r="R4" i="1459"/>
  <c r="R52" i="1458"/>
  <c r="R51" i="1458"/>
  <c r="D50" i="1458"/>
  <c r="R49" i="1458"/>
  <c r="D49" i="1458"/>
  <c r="R48" i="1458"/>
  <c r="D48" i="1458"/>
  <c r="D46" i="1458"/>
  <c r="D45" i="1458"/>
  <c r="D44" i="1458"/>
  <c r="R42" i="1458"/>
  <c r="D42" i="1458"/>
  <c r="R41" i="1458"/>
  <c r="D41" i="1458"/>
  <c r="R40" i="1458"/>
  <c r="D40" i="1458"/>
  <c r="R39" i="1458"/>
  <c r="H39" i="1458"/>
  <c r="D39" i="1458"/>
  <c r="R38" i="1458"/>
  <c r="L9" i="1458" s="1"/>
  <c r="D9" i="1458" s="1"/>
  <c r="H38" i="1458"/>
  <c r="D38" i="1458"/>
  <c r="R37" i="1458"/>
  <c r="H37" i="1458"/>
  <c r="D37" i="1458"/>
  <c r="R36" i="1458"/>
  <c r="H36" i="1458"/>
  <c r="D36" i="1458"/>
  <c r="R35" i="1458"/>
  <c r="H35" i="1458"/>
  <c r="D35" i="1458"/>
  <c r="R34" i="1458"/>
  <c r="L12" i="1458" s="1"/>
  <c r="D12" i="1458" s="1"/>
  <c r="H34" i="1458"/>
  <c r="G49" i="1458" s="1"/>
  <c r="D34" i="1458"/>
  <c r="R33" i="1458"/>
  <c r="L23" i="1458" s="1"/>
  <c r="D23" i="1458" s="1"/>
  <c r="R32" i="1458"/>
  <c r="L11" i="1458" s="1"/>
  <c r="D11" i="1458" s="1"/>
  <c r="R31" i="1458"/>
  <c r="R30" i="1458"/>
  <c r="R29" i="1458"/>
  <c r="R28" i="1458"/>
  <c r="D28" i="1458"/>
  <c r="R27" i="1458"/>
  <c r="D27" i="1458"/>
  <c r="R26" i="1458"/>
  <c r="L26" i="1458"/>
  <c r="D26" i="1458" s="1"/>
  <c r="R25" i="1458"/>
  <c r="L25" i="1458"/>
  <c r="D25" i="1458"/>
  <c r="R24" i="1458"/>
  <c r="D24" i="1458"/>
  <c r="R23" i="1458"/>
  <c r="R22" i="1458"/>
  <c r="L22" i="1458"/>
  <c r="D22" i="1458"/>
  <c r="R21" i="1458"/>
  <c r="D21" i="1458"/>
  <c r="R20" i="1458"/>
  <c r="L20" i="1458"/>
  <c r="D20" i="1458" s="1"/>
  <c r="R19" i="1458"/>
  <c r="L19" i="1458"/>
  <c r="D19" i="1458"/>
  <c r="R18" i="1458"/>
  <c r="D18" i="1458"/>
  <c r="R17" i="1458"/>
  <c r="D17" i="1458"/>
  <c r="R16" i="1458"/>
  <c r="L16" i="1458"/>
  <c r="D16" i="1458" s="1"/>
  <c r="R15" i="1458"/>
  <c r="D15" i="1458"/>
  <c r="R14" i="1458"/>
  <c r="D14" i="1458"/>
  <c r="R13" i="1458"/>
  <c r="D13" i="1458"/>
  <c r="R12" i="1458"/>
  <c r="R11" i="1458"/>
  <c r="L10" i="1458"/>
  <c r="D10" i="1458"/>
  <c r="L8" i="1458"/>
  <c r="D8" i="1458"/>
  <c r="L7" i="1458"/>
  <c r="D7" i="1458"/>
  <c r="R6" i="1458"/>
  <c r="L6" i="1458"/>
  <c r="D6" i="1458"/>
  <c r="R5" i="1458"/>
  <c r="R4" i="1458"/>
  <c r="R52" i="1457"/>
  <c r="R51" i="1457"/>
  <c r="D50" i="1457"/>
  <c r="R49" i="1457"/>
  <c r="D49" i="1457"/>
  <c r="R48" i="1457"/>
  <c r="D48" i="1457"/>
  <c r="D46" i="1457"/>
  <c r="D45" i="1457"/>
  <c r="D44" i="1457"/>
  <c r="R42" i="1457"/>
  <c r="L6" i="1457" s="1"/>
  <c r="D6" i="1457" s="1"/>
  <c r="D42" i="1457"/>
  <c r="R41" i="1457"/>
  <c r="D41" i="1457"/>
  <c r="R40" i="1457"/>
  <c r="D40" i="1457"/>
  <c r="R39" i="1457"/>
  <c r="L20" i="1457" s="1"/>
  <c r="D20" i="1457" s="1"/>
  <c r="H39" i="1457"/>
  <c r="D39" i="1457"/>
  <c r="R38" i="1457"/>
  <c r="L9" i="1457" s="1"/>
  <c r="D9" i="1457" s="1"/>
  <c r="H38" i="1457"/>
  <c r="D38" i="1457"/>
  <c r="R37" i="1457"/>
  <c r="H37" i="1457"/>
  <c r="D37" i="1457"/>
  <c r="R36" i="1457"/>
  <c r="L10" i="1457" s="1"/>
  <c r="D10" i="1457" s="1"/>
  <c r="H36" i="1457"/>
  <c r="D36" i="1457"/>
  <c r="R35" i="1457"/>
  <c r="H35" i="1457"/>
  <c r="D35" i="1457"/>
  <c r="R34" i="1457"/>
  <c r="L12" i="1457" s="1"/>
  <c r="D12" i="1457" s="1"/>
  <c r="H34" i="1457"/>
  <c r="D34" i="1457"/>
  <c r="R33" i="1457"/>
  <c r="L23" i="1457" s="1"/>
  <c r="D23" i="1457" s="1"/>
  <c r="R32" i="1457"/>
  <c r="L11" i="1457" s="1"/>
  <c r="D11" i="1457" s="1"/>
  <c r="R31" i="1457"/>
  <c r="R30" i="1457"/>
  <c r="R29" i="1457"/>
  <c r="R28" i="1457"/>
  <c r="D28" i="1457"/>
  <c r="R27" i="1457"/>
  <c r="D27" i="1457"/>
  <c r="R26" i="1457"/>
  <c r="L26" i="1457"/>
  <c r="D26" i="1457"/>
  <c r="R25" i="1457"/>
  <c r="L25" i="1457"/>
  <c r="D25" i="1457"/>
  <c r="R24" i="1457"/>
  <c r="L24" i="1457"/>
  <c r="D24" i="1457" s="1"/>
  <c r="R23" i="1457"/>
  <c r="R22" i="1457"/>
  <c r="L22" i="1457"/>
  <c r="D22" i="1457" s="1"/>
  <c r="R21" i="1457"/>
  <c r="D21" i="1457"/>
  <c r="R20" i="1457"/>
  <c r="R19" i="1457"/>
  <c r="L19" i="1457"/>
  <c r="D19" i="1457"/>
  <c r="R18" i="1457"/>
  <c r="D18" i="1457"/>
  <c r="R17" i="1457"/>
  <c r="L17" i="1457"/>
  <c r="D17" i="1457"/>
  <c r="R16" i="1457"/>
  <c r="L16" i="1457"/>
  <c r="D16" i="1457" s="1"/>
  <c r="R15" i="1457"/>
  <c r="D15" i="1457"/>
  <c r="R14" i="1457"/>
  <c r="D14" i="1457"/>
  <c r="R13" i="1457"/>
  <c r="D13" i="1457"/>
  <c r="R12" i="1457"/>
  <c r="R11" i="1457"/>
  <c r="L8" i="1457"/>
  <c r="D8" i="1457"/>
  <c r="L7" i="1457"/>
  <c r="D7" i="1457"/>
  <c r="R6" i="1457"/>
  <c r="R5" i="1457"/>
  <c r="R4" i="1457"/>
  <c r="R52" i="1456"/>
  <c r="R51" i="1456"/>
  <c r="D50" i="1456"/>
  <c r="R49" i="1456"/>
  <c r="D49" i="1456"/>
  <c r="R48" i="1456"/>
  <c r="D48" i="1456"/>
  <c r="D46" i="1456"/>
  <c r="D45" i="1456"/>
  <c r="R44" i="1456"/>
  <c r="P44" i="1456"/>
  <c r="D44" i="1456"/>
  <c r="R42" i="1456"/>
  <c r="D42" i="1456"/>
  <c r="R41" i="1456"/>
  <c r="D41" i="1456"/>
  <c r="R40" i="1456"/>
  <c r="L8" i="1456" s="1"/>
  <c r="D8" i="1456" s="1"/>
  <c r="D40" i="1456"/>
  <c r="R39" i="1456"/>
  <c r="L20" i="1456" s="1"/>
  <c r="D20" i="1456" s="1"/>
  <c r="H39" i="1456"/>
  <c r="D39" i="1456"/>
  <c r="R38" i="1456"/>
  <c r="H38" i="1456"/>
  <c r="D38" i="1456"/>
  <c r="R37" i="1456"/>
  <c r="H37" i="1456"/>
  <c r="D37" i="1456"/>
  <c r="R36" i="1456"/>
  <c r="H36" i="1456"/>
  <c r="D36" i="1456"/>
  <c r="R35" i="1456"/>
  <c r="H35" i="1456"/>
  <c r="D35" i="1456"/>
  <c r="R34" i="1456"/>
  <c r="L12" i="1456" s="1"/>
  <c r="D12" i="1456" s="1"/>
  <c r="H34" i="1456"/>
  <c r="D34" i="1456"/>
  <c r="R33" i="1456"/>
  <c r="R32" i="1456"/>
  <c r="R31" i="1456"/>
  <c r="R30" i="1456"/>
  <c r="R29" i="1456"/>
  <c r="R28" i="1456"/>
  <c r="D28" i="1456"/>
  <c r="R27" i="1456"/>
  <c r="D27" i="1456"/>
  <c r="R26" i="1456"/>
  <c r="L26" i="1456"/>
  <c r="D26" i="1456"/>
  <c r="R25" i="1456"/>
  <c r="L25" i="1456"/>
  <c r="D25" i="1456" s="1"/>
  <c r="R24" i="1456"/>
  <c r="L24" i="1456"/>
  <c r="D24" i="1456"/>
  <c r="R23" i="1456"/>
  <c r="D23" i="1456"/>
  <c r="R22" i="1456"/>
  <c r="D22" i="1456"/>
  <c r="R21" i="1456"/>
  <c r="D21" i="1456"/>
  <c r="R20" i="1456"/>
  <c r="R19" i="1456"/>
  <c r="D19" i="1456"/>
  <c r="R18" i="1456"/>
  <c r="D18" i="1456"/>
  <c r="R17" i="1456"/>
  <c r="L17" i="1456"/>
  <c r="D17" i="1456"/>
  <c r="R16" i="1456"/>
  <c r="L16" i="1456"/>
  <c r="D16" i="1456" s="1"/>
  <c r="R15" i="1456"/>
  <c r="D15" i="1456"/>
  <c r="R14" i="1456"/>
  <c r="D14" i="1456"/>
  <c r="R13" i="1456"/>
  <c r="D13" i="1456"/>
  <c r="R12" i="1456"/>
  <c r="R11" i="1456"/>
  <c r="L11" i="1456"/>
  <c r="D11" i="1456"/>
  <c r="L10" i="1456"/>
  <c r="D10" i="1456" s="1"/>
  <c r="L9" i="1456"/>
  <c r="D9" i="1456" s="1"/>
  <c r="L7" i="1456"/>
  <c r="D7" i="1456"/>
  <c r="R6" i="1456"/>
  <c r="L6" i="1456"/>
  <c r="D6" i="1456" s="1"/>
  <c r="R5" i="1456"/>
  <c r="R4" i="1456"/>
  <c r="R52" i="1455"/>
  <c r="R51" i="1455"/>
  <c r="D50" i="1455"/>
  <c r="R49" i="1455"/>
  <c r="G49" i="1455"/>
  <c r="D49" i="1455"/>
  <c r="R48" i="1455"/>
  <c r="D48" i="1455"/>
  <c r="D46" i="1455"/>
  <c r="D45" i="1455"/>
  <c r="D44" i="1455"/>
  <c r="R42" i="1455"/>
  <c r="D42" i="1455"/>
  <c r="R41" i="1455"/>
  <c r="L7" i="1455" s="1"/>
  <c r="D7" i="1455" s="1"/>
  <c r="D41" i="1455"/>
  <c r="R40" i="1455"/>
  <c r="D40" i="1455"/>
  <c r="R39" i="1455"/>
  <c r="D39" i="1455"/>
  <c r="R38" i="1455"/>
  <c r="L9" i="1455" s="1"/>
  <c r="D9" i="1455" s="1"/>
  <c r="D38" i="1455"/>
  <c r="R37" i="1455"/>
  <c r="D37" i="1455"/>
  <c r="R36" i="1455"/>
  <c r="L10" i="1455" s="1"/>
  <c r="D10" i="1455" s="1"/>
  <c r="D36" i="1455"/>
  <c r="R35" i="1455"/>
  <c r="L19" i="1455" s="1"/>
  <c r="D19" i="1455" s="1"/>
  <c r="D35" i="1455"/>
  <c r="D54" i="1455" s="1"/>
  <c r="H14" i="1455" s="1"/>
  <c r="R34" i="1455"/>
  <c r="D34" i="1455"/>
  <c r="R33" i="1455"/>
  <c r="R32" i="1455"/>
  <c r="R31" i="1455"/>
  <c r="R30" i="1455"/>
  <c r="R29" i="1455"/>
  <c r="R28" i="1455"/>
  <c r="L16" i="1455" s="1"/>
  <c r="D16" i="1455" s="1"/>
  <c r="D28" i="1455"/>
  <c r="R27" i="1455"/>
  <c r="D27" i="1455"/>
  <c r="R26" i="1455"/>
  <c r="L26" i="1455"/>
  <c r="D26" i="1455"/>
  <c r="R25" i="1455"/>
  <c r="L25" i="1455"/>
  <c r="D25" i="1455"/>
  <c r="R24" i="1455"/>
  <c r="D24" i="1455"/>
  <c r="R23" i="1455"/>
  <c r="L23" i="1455"/>
  <c r="D23" i="1455"/>
  <c r="R22" i="1455"/>
  <c r="L22" i="1455"/>
  <c r="D22" i="1455" s="1"/>
  <c r="R21" i="1455"/>
  <c r="D21" i="1455"/>
  <c r="R20" i="1455"/>
  <c r="L20" i="1455"/>
  <c r="D20" i="1455"/>
  <c r="R19" i="1455"/>
  <c r="R18" i="1455"/>
  <c r="D18" i="1455"/>
  <c r="R17" i="1455"/>
  <c r="D17" i="1455"/>
  <c r="R16" i="1455"/>
  <c r="S15" i="1455"/>
  <c r="R15" i="1455"/>
  <c r="D15" i="1455"/>
  <c r="S14" i="1455"/>
  <c r="R14" i="1455"/>
  <c r="D14" i="1455"/>
  <c r="R13" i="1455"/>
  <c r="D13" i="1455"/>
  <c r="R12" i="1455"/>
  <c r="L12" i="1455"/>
  <c r="D12" i="1455"/>
  <c r="R11" i="1455"/>
  <c r="L11" i="1455"/>
  <c r="D11" i="1455" s="1"/>
  <c r="L8" i="1455"/>
  <c r="D8" i="1455" s="1"/>
  <c r="R6" i="1455"/>
  <c r="L6" i="1455"/>
  <c r="D6" i="1455" s="1"/>
  <c r="D29" i="1455" s="1"/>
  <c r="H13" i="1455" s="1"/>
  <c r="H15" i="1455" s="1"/>
  <c r="H29" i="1455" s="1"/>
  <c r="R5" i="1455"/>
  <c r="R4" i="1455"/>
  <c r="R52" i="1454"/>
  <c r="R51" i="1454"/>
  <c r="D50" i="1454"/>
  <c r="R49" i="1454"/>
  <c r="D49" i="1454"/>
  <c r="R48" i="1454"/>
  <c r="D48" i="1454"/>
  <c r="D46" i="1454"/>
  <c r="D45" i="1454"/>
  <c r="D44" i="1454"/>
  <c r="R42" i="1454"/>
  <c r="D42" i="1454"/>
  <c r="R41" i="1454"/>
  <c r="L7" i="1454" s="1"/>
  <c r="D7" i="1454" s="1"/>
  <c r="D41" i="1454"/>
  <c r="R40" i="1454"/>
  <c r="L8" i="1454" s="1"/>
  <c r="D8" i="1454" s="1"/>
  <c r="D40" i="1454"/>
  <c r="R39" i="1454"/>
  <c r="H39" i="1454"/>
  <c r="D39" i="1454"/>
  <c r="R38" i="1454"/>
  <c r="L9" i="1454" s="1"/>
  <c r="D9" i="1454" s="1"/>
  <c r="H38" i="1454"/>
  <c r="D38" i="1454"/>
  <c r="R37" i="1454"/>
  <c r="H37" i="1454"/>
  <c r="D37" i="1454"/>
  <c r="R36" i="1454"/>
  <c r="H36" i="1454"/>
  <c r="D36" i="1454"/>
  <c r="R35" i="1454"/>
  <c r="H35" i="1454"/>
  <c r="D35" i="1454"/>
  <c r="R34" i="1454"/>
  <c r="H34" i="1454"/>
  <c r="D34" i="1454"/>
  <c r="R33" i="1454"/>
  <c r="L23" i="1454" s="1"/>
  <c r="D23" i="1454" s="1"/>
  <c r="R32" i="1454"/>
  <c r="L11" i="1454" s="1"/>
  <c r="D11" i="1454" s="1"/>
  <c r="R31" i="1454"/>
  <c r="R30" i="1454"/>
  <c r="R29" i="1454"/>
  <c r="R28" i="1454"/>
  <c r="L16" i="1454" s="1"/>
  <c r="D16" i="1454" s="1"/>
  <c r="D28" i="1454"/>
  <c r="R27" i="1454"/>
  <c r="D27" i="1454"/>
  <c r="R26" i="1454"/>
  <c r="L26" i="1454"/>
  <c r="D26" i="1454"/>
  <c r="R25" i="1454"/>
  <c r="D25" i="1454"/>
  <c r="R24" i="1454"/>
  <c r="D24" i="1454"/>
  <c r="R23" i="1454"/>
  <c r="R22" i="1454"/>
  <c r="L22" i="1454"/>
  <c r="D22" i="1454" s="1"/>
  <c r="R21" i="1454"/>
  <c r="D21" i="1454"/>
  <c r="R20" i="1454"/>
  <c r="L20" i="1454"/>
  <c r="D20" i="1454"/>
  <c r="R19" i="1454"/>
  <c r="L19" i="1454"/>
  <c r="D19" i="1454"/>
  <c r="R18" i="1454"/>
  <c r="D18" i="1454"/>
  <c r="R17" i="1454"/>
  <c r="D17" i="1454"/>
  <c r="R16" i="1454"/>
  <c r="R15" i="1454"/>
  <c r="D15" i="1454"/>
  <c r="R14" i="1454"/>
  <c r="D14" i="1454"/>
  <c r="R13" i="1454"/>
  <c r="D13" i="1454"/>
  <c r="R12" i="1454"/>
  <c r="L12" i="1454"/>
  <c r="D12" i="1454" s="1"/>
  <c r="R11" i="1454"/>
  <c r="L10" i="1454"/>
  <c r="D10" i="1454" s="1"/>
  <c r="R6" i="1454"/>
  <c r="L6" i="1454"/>
  <c r="D6" i="1454"/>
  <c r="R5" i="1454"/>
  <c r="R4" i="1454"/>
  <c r="R52" i="1453"/>
  <c r="R51" i="1453"/>
  <c r="D50" i="1453"/>
  <c r="R49" i="1453"/>
  <c r="D49" i="1453"/>
  <c r="R48" i="1453"/>
  <c r="D48" i="1453"/>
  <c r="D46" i="1453"/>
  <c r="D45" i="1453"/>
  <c r="D44" i="1453"/>
  <c r="R42" i="1453"/>
  <c r="L6" i="1453" s="1"/>
  <c r="D6" i="1453" s="1"/>
  <c r="D42" i="1453"/>
  <c r="R41" i="1453"/>
  <c r="L7" i="1453" s="1"/>
  <c r="D7" i="1453" s="1"/>
  <c r="D41" i="1453"/>
  <c r="R40" i="1453"/>
  <c r="D40" i="1453"/>
  <c r="R39" i="1453"/>
  <c r="L20" i="1453" s="1"/>
  <c r="D20" i="1453" s="1"/>
  <c r="H39" i="1453"/>
  <c r="D39" i="1453"/>
  <c r="R38" i="1453"/>
  <c r="H38" i="1453"/>
  <c r="D38" i="1453"/>
  <c r="R37" i="1453"/>
  <c r="H37" i="1453"/>
  <c r="D37" i="1453"/>
  <c r="R36" i="1453"/>
  <c r="H36" i="1453"/>
  <c r="D36" i="1453"/>
  <c r="R35" i="1453"/>
  <c r="L19" i="1453" s="1"/>
  <c r="D19" i="1453" s="1"/>
  <c r="H35" i="1453"/>
  <c r="D35" i="1453"/>
  <c r="R34" i="1453"/>
  <c r="H34" i="1453"/>
  <c r="D34" i="1453"/>
  <c r="R33" i="1453"/>
  <c r="L23" i="1453" s="1"/>
  <c r="D23" i="1453" s="1"/>
  <c r="R32" i="1453"/>
  <c r="R31" i="1453"/>
  <c r="R30" i="1453"/>
  <c r="R29" i="1453"/>
  <c r="R28" i="1453"/>
  <c r="L16" i="1453" s="1"/>
  <c r="D16" i="1453" s="1"/>
  <c r="D28" i="1453"/>
  <c r="R27" i="1453"/>
  <c r="D27" i="1453"/>
  <c r="R26" i="1453"/>
  <c r="L26" i="1453"/>
  <c r="D26" i="1453"/>
  <c r="R25" i="1453"/>
  <c r="L25" i="1453"/>
  <c r="D25" i="1453"/>
  <c r="R24" i="1453"/>
  <c r="L24" i="1453"/>
  <c r="D24" i="1453"/>
  <c r="R23" i="1453"/>
  <c r="R22" i="1453"/>
  <c r="L22" i="1453"/>
  <c r="D22" i="1453"/>
  <c r="R21" i="1453"/>
  <c r="L17" i="1453" s="1"/>
  <c r="D17" i="1453" s="1"/>
  <c r="D21" i="1453"/>
  <c r="R20" i="1453"/>
  <c r="R19" i="1453"/>
  <c r="R18" i="1453"/>
  <c r="D18" i="1453"/>
  <c r="R17" i="1453"/>
  <c r="R16" i="1453"/>
  <c r="R15" i="1453"/>
  <c r="D15" i="1453"/>
  <c r="R14" i="1453"/>
  <c r="D14" i="1453"/>
  <c r="R13" i="1453"/>
  <c r="D13" i="1453"/>
  <c r="R12" i="1453"/>
  <c r="L12" i="1453"/>
  <c r="D12" i="1453" s="1"/>
  <c r="R11" i="1453"/>
  <c r="L11" i="1453"/>
  <c r="D11" i="1453" s="1"/>
  <c r="L10" i="1453"/>
  <c r="D10" i="1453"/>
  <c r="L9" i="1453"/>
  <c r="D9" i="1453" s="1"/>
  <c r="L8" i="1453"/>
  <c r="D8" i="1453"/>
  <c r="R6" i="1453"/>
  <c r="R5" i="1453"/>
  <c r="R4" i="1453"/>
  <c r="R52" i="1452"/>
  <c r="R51" i="1452"/>
  <c r="D50" i="1452"/>
  <c r="R49" i="1452"/>
  <c r="D49" i="1452"/>
  <c r="R48" i="1452"/>
  <c r="D48" i="1452"/>
  <c r="D46" i="1452"/>
  <c r="D45" i="1452"/>
  <c r="P44" i="1452"/>
  <c r="R44" i="1452" s="1"/>
  <c r="D44" i="1452"/>
  <c r="R42" i="1452"/>
  <c r="D42" i="1452"/>
  <c r="R41" i="1452"/>
  <c r="D41" i="1452"/>
  <c r="R40" i="1452"/>
  <c r="L8" i="1452" s="1"/>
  <c r="D8" i="1452" s="1"/>
  <c r="D40" i="1452"/>
  <c r="R39" i="1452"/>
  <c r="L20" i="1452" s="1"/>
  <c r="D20" i="1452" s="1"/>
  <c r="H39" i="1452"/>
  <c r="D39" i="1452"/>
  <c r="R38" i="1452"/>
  <c r="H38" i="1452"/>
  <c r="D38" i="1452"/>
  <c r="R37" i="1452"/>
  <c r="H37" i="1452"/>
  <c r="D37" i="1452"/>
  <c r="R36" i="1452"/>
  <c r="H36" i="1452"/>
  <c r="D36" i="1452"/>
  <c r="R35" i="1452"/>
  <c r="H35" i="1452"/>
  <c r="D35" i="1452"/>
  <c r="R34" i="1452"/>
  <c r="L12" i="1452" s="1"/>
  <c r="D12" i="1452" s="1"/>
  <c r="H34" i="1452"/>
  <c r="D34" i="1452"/>
  <c r="R33" i="1452"/>
  <c r="R32" i="1452"/>
  <c r="R31" i="1452"/>
  <c r="R30" i="1452"/>
  <c r="R29" i="1452"/>
  <c r="R28" i="1452"/>
  <c r="D28" i="1452"/>
  <c r="R27" i="1452"/>
  <c r="D27" i="1452"/>
  <c r="R26" i="1452"/>
  <c r="L26" i="1452"/>
  <c r="D26" i="1452"/>
  <c r="R25" i="1452"/>
  <c r="L25" i="1452"/>
  <c r="D25" i="1452" s="1"/>
  <c r="R24" i="1452"/>
  <c r="L24" i="1452"/>
  <c r="D24" i="1452"/>
  <c r="R23" i="1452"/>
  <c r="D23" i="1452"/>
  <c r="R22" i="1452"/>
  <c r="D22" i="1452"/>
  <c r="R21" i="1452"/>
  <c r="D21" i="1452"/>
  <c r="R20" i="1452"/>
  <c r="R19" i="1452"/>
  <c r="D19" i="1452"/>
  <c r="R18" i="1452"/>
  <c r="D18" i="1452"/>
  <c r="R17" i="1452"/>
  <c r="L17" i="1452"/>
  <c r="D17" i="1452"/>
  <c r="R16" i="1452"/>
  <c r="L16" i="1452"/>
  <c r="D16" i="1452"/>
  <c r="R15" i="1452"/>
  <c r="D15" i="1452"/>
  <c r="R14" i="1452"/>
  <c r="D14" i="1452"/>
  <c r="R13" i="1452"/>
  <c r="D13" i="1452"/>
  <c r="R12" i="1452"/>
  <c r="R11" i="1452"/>
  <c r="L11" i="1452"/>
  <c r="D11" i="1452"/>
  <c r="L10" i="1452"/>
  <c r="D10" i="1452" s="1"/>
  <c r="L9" i="1452"/>
  <c r="D9" i="1452"/>
  <c r="L7" i="1452"/>
  <c r="D7" i="1452"/>
  <c r="R6" i="1452"/>
  <c r="L6" i="1452"/>
  <c r="D6" i="1452" s="1"/>
  <c r="R5" i="1452"/>
  <c r="R4" i="1452"/>
  <c r="R52" i="1451"/>
  <c r="R51" i="1451"/>
  <c r="D50" i="1451"/>
  <c r="R49" i="1451"/>
  <c r="G49" i="1451"/>
  <c r="D49" i="1451"/>
  <c r="R48" i="1451"/>
  <c r="D48" i="1451"/>
  <c r="D46" i="1451"/>
  <c r="D45" i="1451"/>
  <c r="D44" i="1451"/>
  <c r="R42" i="1451"/>
  <c r="L6" i="1451" s="1"/>
  <c r="D6" i="1451" s="1"/>
  <c r="D42" i="1451"/>
  <c r="R41" i="1451"/>
  <c r="L7" i="1451" s="1"/>
  <c r="D7" i="1451" s="1"/>
  <c r="D41" i="1451"/>
  <c r="R40" i="1451"/>
  <c r="L8" i="1451" s="1"/>
  <c r="D8" i="1451" s="1"/>
  <c r="D40" i="1451"/>
  <c r="R39" i="1451"/>
  <c r="D39" i="1451"/>
  <c r="R38" i="1451"/>
  <c r="L9" i="1451" s="1"/>
  <c r="D9" i="1451" s="1"/>
  <c r="D38" i="1451"/>
  <c r="R37" i="1451"/>
  <c r="D37" i="1451"/>
  <c r="R36" i="1451"/>
  <c r="L10" i="1451" s="1"/>
  <c r="D10" i="1451" s="1"/>
  <c r="D36" i="1451"/>
  <c r="R35" i="1451"/>
  <c r="D35" i="1451"/>
  <c r="R34" i="1451"/>
  <c r="L12" i="1451" s="1"/>
  <c r="D12" i="1451" s="1"/>
  <c r="D34" i="1451"/>
  <c r="D54" i="1451" s="1"/>
  <c r="H14" i="1451" s="1"/>
  <c r="R33" i="1451"/>
  <c r="L23" i="1451" s="1"/>
  <c r="D23" i="1451" s="1"/>
  <c r="R32" i="1451"/>
  <c r="R31" i="1451"/>
  <c r="R30" i="1451"/>
  <c r="R29" i="1451"/>
  <c r="R28" i="1451"/>
  <c r="L16" i="1451" s="1"/>
  <c r="D16" i="1451" s="1"/>
  <c r="D28" i="1451"/>
  <c r="R27" i="1451"/>
  <c r="D27" i="1451"/>
  <c r="R26" i="1451"/>
  <c r="L26" i="1451"/>
  <c r="D26" i="1451"/>
  <c r="R25" i="1451"/>
  <c r="L25" i="1451"/>
  <c r="D25" i="1451"/>
  <c r="R24" i="1451"/>
  <c r="D24" i="1451"/>
  <c r="R23" i="1451"/>
  <c r="R22" i="1451"/>
  <c r="L22" i="1451"/>
  <c r="D22" i="1451" s="1"/>
  <c r="R21" i="1451"/>
  <c r="D21" i="1451"/>
  <c r="R20" i="1451"/>
  <c r="L20" i="1451"/>
  <c r="D20" i="1451"/>
  <c r="R19" i="1451"/>
  <c r="L19" i="1451"/>
  <c r="D19" i="1451"/>
  <c r="R18" i="1451"/>
  <c r="D18" i="1451"/>
  <c r="R17" i="1451"/>
  <c r="D17" i="1451"/>
  <c r="R16" i="1451"/>
  <c r="S15" i="1451"/>
  <c r="R15" i="1451"/>
  <c r="D15" i="1451"/>
  <c r="S14" i="1451"/>
  <c r="R14" i="1451"/>
  <c r="D14" i="1451"/>
  <c r="R13" i="1451"/>
  <c r="D13" i="1451"/>
  <c r="R12" i="1451"/>
  <c r="R11" i="1451"/>
  <c r="L11" i="1451"/>
  <c r="D11" i="1451" s="1"/>
  <c r="R6" i="1451"/>
  <c r="R5" i="1451"/>
  <c r="R4" i="1451"/>
  <c r="R52" i="1450"/>
  <c r="R51" i="1450"/>
  <c r="D50" i="1450"/>
  <c r="R49" i="1450"/>
  <c r="D49" i="1450"/>
  <c r="R48" i="1450"/>
  <c r="D48" i="1450"/>
  <c r="D46" i="1450"/>
  <c r="D45" i="1450"/>
  <c r="D44" i="1450"/>
  <c r="R42" i="1450"/>
  <c r="D42" i="1450"/>
  <c r="R41" i="1450"/>
  <c r="D41" i="1450"/>
  <c r="R40" i="1450"/>
  <c r="L8" i="1450" s="1"/>
  <c r="D8" i="1450" s="1"/>
  <c r="D40" i="1450"/>
  <c r="R39" i="1450"/>
  <c r="H39" i="1450"/>
  <c r="D39" i="1450"/>
  <c r="R38" i="1450"/>
  <c r="L9" i="1450" s="1"/>
  <c r="D9" i="1450" s="1"/>
  <c r="H38" i="1450"/>
  <c r="D38" i="1450"/>
  <c r="R37" i="1450"/>
  <c r="H37" i="1450"/>
  <c r="D37" i="1450"/>
  <c r="R36" i="1450"/>
  <c r="H36" i="1450"/>
  <c r="D36" i="1450"/>
  <c r="R35" i="1450"/>
  <c r="L19" i="1450" s="1"/>
  <c r="D19" i="1450" s="1"/>
  <c r="H35" i="1450"/>
  <c r="D35" i="1450"/>
  <c r="R34" i="1450"/>
  <c r="L12" i="1450" s="1"/>
  <c r="D12" i="1450" s="1"/>
  <c r="H34" i="1450"/>
  <c r="D34" i="1450"/>
  <c r="R33" i="1450"/>
  <c r="L23" i="1450" s="1"/>
  <c r="D23" i="1450" s="1"/>
  <c r="R32" i="1450"/>
  <c r="L11" i="1450" s="1"/>
  <c r="D11" i="1450" s="1"/>
  <c r="R31" i="1450"/>
  <c r="R30" i="1450"/>
  <c r="R29" i="1450"/>
  <c r="R28" i="1450"/>
  <c r="D28" i="1450"/>
  <c r="R27" i="1450"/>
  <c r="D27" i="1450"/>
  <c r="R26" i="1450"/>
  <c r="L26" i="1450"/>
  <c r="D26" i="1450"/>
  <c r="R25" i="1450"/>
  <c r="L25" i="1450"/>
  <c r="D25" i="1450"/>
  <c r="R24" i="1450"/>
  <c r="D24" i="1450"/>
  <c r="R23" i="1450"/>
  <c r="R22" i="1450"/>
  <c r="L22" i="1450"/>
  <c r="D22" i="1450"/>
  <c r="R21" i="1450"/>
  <c r="D21" i="1450"/>
  <c r="R20" i="1450"/>
  <c r="L20" i="1450"/>
  <c r="D20" i="1450"/>
  <c r="R19" i="1450"/>
  <c r="R18" i="1450"/>
  <c r="D18" i="1450"/>
  <c r="R17" i="1450"/>
  <c r="D17" i="1450"/>
  <c r="R16" i="1450"/>
  <c r="L16" i="1450"/>
  <c r="D16" i="1450" s="1"/>
  <c r="R15" i="1450"/>
  <c r="D15" i="1450"/>
  <c r="R14" i="1450"/>
  <c r="D14" i="1450"/>
  <c r="R13" i="1450"/>
  <c r="D13" i="1450"/>
  <c r="R12" i="1450"/>
  <c r="R11" i="1450"/>
  <c r="L10" i="1450"/>
  <c r="D10" i="1450"/>
  <c r="L7" i="1450"/>
  <c r="D7" i="1450" s="1"/>
  <c r="R6" i="1450"/>
  <c r="L6" i="1450"/>
  <c r="D6" i="1450"/>
  <c r="R5" i="1450"/>
  <c r="R4" i="1450"/>
  <c r="R52" i="1449"/>
  <c r="R51" i="1449"/>
  <c r="D50" i="1449"/>
  <c r="R49" i="1449"/>
  <c r="D49" i="1449"/>
  <c r="R48" i="1449"/>
  <c r="D48" i="1449"/>
  <c r="D46" i="1449"/>
  <c r="D45" i="1449"/>
  <c r="D44" i="1449"/>
  <c r="R42" i="1449"/>
  <c r="L6" i="1449" s="1"/>
  <c r="D6" i="1449" s="1"/>
  <c r="D42" i="1449"/>
  <c r="R41" i="1449"/>
  <c r="L7" i="1449" s="1"/>
  <c r="D7" i="1449" s="1"/>
  <c r="D41" i="1449"/>
  <c r="R40" i="1449"/>
  <c r="D40" i="1449"/>
  <c r="R39" i="1449"/>
  <c r="L20" i="1449" s="1"/>
  <c r="D20" i="1449" s="1"/>
  <c r="H39" i="1449"/>
  <c r="D39" i="1449"/>
  <c r="R38" i="1449"/>
  <c r="L9" i="1449" s="1"/>
  <c r="D9" i="1449" s="1"/>
  <c r="H38" i="1449"/>
  <c r="D38" i="1449"/>
  <c r="R37" i="1449"/>
  <c r="H37" i="1449"/>
  <c r="D37" i="1449"/>
  <c r="R36" i="1449"/>
  <c r="H36" i="1449"/>
  <c r="D36" i="1449"/>
  <c r="R35" i="1449"/>
  <c r="L19" i="1449" s="1"/>
  <c r="D19" i="1449" s="1"/>
  <c r="H35" i="1449"/>
  <c r="D35" i="1449"/>
  <c r="R34" i="1449"/>
  <c r="L12" i="1449" s="1"/>
  <c r="D12" i="1449" s="1"/>
  <c r="H34" i="1449"/>
  <c r="D34" i="1449"/>
  <c r="R33" i="1449"/>
  <c r="L23" i="1449" s="1"/>
  <c r="D23" i="1449" s="1"/>
  <c r="R32" i="1449"/>
  <c r="L11" i="1449" s="1"/>
  <c r="D11" i="1449" s="1"/>
  <c r="R31" i="1449"/>
  <c r="R30" i="1449"/>
  <c r="R29" i="1449"/>
  <c r="R28" i="1449"/>
  <c r="D28" i="1449"/>
  <c r="R27" i="1449"/>
  <c r="D27" i="1449"/>
  <c r="R26" i="1449"/>
  <c r="L26" i="1449"/>
  <c r="D26" i="1449"/>
  <c r="R25" i="1449"/>
  <c r="L25" i="1449"/>
  <c r="D25" i="1449"/>
  <c r="R24" i="1449"/>
  <c r="L24" i="1449"/>
  <c r="D24" i="1449" s="1"/>
  <c r="R23" i="1449"/>
  <c r="R22" i="1449"/>
  <c r="L22" i="1449"/>
  <c r="D22" i="1449" s="1"/>
  <c r="R21" i="1449"/>
  <c r="L17" i="1449" s="1"/>
  <c r="D17" i="1449" s="1"/>
  <c r="D21" i="1449"/>
  <c r="R20" i="1449"/>
  <c r="R19" i="1449"/>
  <c r="R18" i="1449"/>
  <c r="D18" i="1449"/>
  <c r="R17" i="1449"/>
  <c r="R16" i="1449"/>
  <c r="L16" i="1449"/>
  <c r="D16" i="1449" s="1"/>
  <c r="R15" i="1449"/>
  <c r="D15" i="1449"/>
  <c r="R14" i="1449"/>
  <c r="D14" i="1449"/>
  <c r="R13" i="1449"/>
  <c r="D13" i="1449"/>
  <c r="R12" i="1449"/>
  <c r="R11" i="1449"/>
  <c r="L10" i="1449"/>
  <c r="D10" i="1449"/>
  <c r="L8" i="1449"/>
  <c r="D8" i="1449"/>
  <c r="R6" i="1449"/>
  <c r="R5" i="1449"/>
  <c r="R4" i="1449"/>
  <c r="R52" i="1448"/>
  <c r="R51" i="1448"/>
  <c r="D50" i="1448"/>
  <c r="R49" i="1448"/>
  <c r="D49" i="1448"/>
  <c r="R48" i="1448"/>
  <c r="D48" i="1448"/>
  <c r="D46" i="1448"/>
  <c r="D45" i="1448"/>
  <c r="P44" i="1448"/>
  <c r="R44" i="1448" s="1"/>
  <c r="D44" i="1448"/>
  <c r="R42" i="1448"/>
  <c r="L6" i="1448" s="1"/>
  <c r="D6" i="1448" s="1"/>
  <c r="D42" i="1448"/>
  <c r="R41" i="1448"/>
  <c r="D41" i="1448"/>
  <c r="R40" i="1448"/>
  <c r="L8" i="1448" s="1"/>
  <c r="D8" i="1448" s="1"/>
  <c r="D40" i="1448"/>
  <c r="R39" i="1448"/>
  <c r="H39" i="1448"/>
  <c r="D39" i="1448"/>
  <c r="R38" i="1448"/>
  <c r="H38" i="1448"/>
  <c r="D38" i="1448"/>
  <c r="R37" i="1448"/>
  <c r="H37" i="1448"/>
  <c r="D37" i="1448"/>
  <c r="R36" i="1448"/>
  <c r="L10" i="1448" s="1"/>
  <c r="D10" i="1448" s="1"/>
  <c r="H36" i="1448"/>
  <c r="D36" i="1448"/>
  <c r="D54" i="1448" s="1"/>
  <c r="H14" i="1448" s="1"/>
  <c r="R35" i="1448"/>
  <c r="H35" i="1448"/>
  <c r="G49" i="1448" s="1"/>
  <c r="D35" i="1448"/>
  <c r="R34" i="1448"/>
  <c r="H34" i="1448"/>
  <c r="D34" i="1448"/>
  <c r="R33" i="1448"/>
  <c r="R32" i="1448"/>
  <c r="R31" i="1448"/>
  <c r="R30" i="1448"/>
  <c r="R29" i="1448"/>
  <c r="R28" i="1448"/>
  <c r="L16" i="1448" s="1"/>
  <c r="D16" i="1448" s="1"/>
  <c r="D28" i="1448"/>
  <c r="R27" i="1448"/>
  <c r="D27" i="1448"/>
  <c r="R26" i="1448"/>
  <c r="L26" i="1448"/>
  <c r="D26" i="1448" s="1"/>
  <c r="R25" i="1448"/>
  <c r="L25" i="1448"/>
  <c r="D25" i="1448"/>
  <c r="R24" i="1448"/>
  <c r="L24" i="1448"/>
  <c r="D24" i="1448"/>
  <c r="R23" i="1448"/>
  <c r="D23" i="1448"/>
  <c r="R22" i="1448"/>
  <c r="D22" i="1448"/>
  <c r="R21" i="1448"/>
  <c r="D21" i="1448"/>
  <c r="R20" i="1448"/>
  <c r="L20" i="1448"/>
  <c r="D20" i="1448"/>
  <c r="R19" i="1448"/>
  <c r="D19" i="1448"/>
  <c r="R18" i="1448"/>
  <c r="D18" i="1448"/>
  <c r="R17" i="1448"/>
  <c r="L17" i="1448"/>
  <c r="D17" i="1448"/>
  <c r="R16" i="1448"/>
  <c r="R15" i="1448"/>
  <c r="D15" i="1448"/>
  <c r="R14" i="1448"/>
  <c r="D14" i="1448"/>
  <c r="R13" i="1448"/>
  <c r="D13" i="1448"/>
  <c r="R12" i="1448"/>
  <c r="L12" i="1448"/>
  <c r="D12" i="1448"/>
  <c r="R11" i="1448"/>
  <c r="L11" i="1448"/>
  <c r="D11" i="1448" s="1"/>
  <c r="L9" i="1448"/>
  <c r="D9" i="1448"/>
  <c r="L7" i="1448"/>
  <c r="D7" i="1448" s="1"/>
  <c r="R6" i="1448"/>
  <c r="R5" i="1448"/>
  <c r="R4" i="1448"/>
  <c r="R52" i="1447"/>
  <c r="R51" i="1447"/>
  <c r="D50" i="1447"/>
  <c r="R49" i="1447"/>
  <c r="G49" i="1447"/>
  <c r="D49" i="1447"/>
  <c r="R48" i="1447"/>
  <c r="D48" i="1447"/>
  <c r="D46" i="1447"/>
  <c r="D45" i="1447"/>
  <c r="D44" i="1447"/>
  <c r="R42" i="1447"/>
  <c r="L6" i="1447" s="1"/>
  <c r="D6" i="1447" s="1"/>
  <c r="D42" i="1447"/>
  <c r="R41" i="1447"/>
  <c r="L7" i="1447" s="1"/>
  <c r="D7" i="1447" s="1"/>
  <c r="D41" i="1447"/>
  <c r="R40" i="1447"/>
  <c r="D40" i="1447"/>
  <c r="R39" i="1447"/>
  <c r="D39" i="1447"/>
  <c r="R38" i="1447"/>
  <c r="L9" i="1447" s="1"/>
  <c r="D9" i="1447" s="1"/>
  <c r="D38" i="1447"/>
  <c r="R37" i="1447"/>
  <c r="D37" i="1447"/>
  <c r="R36" i="1447"/>
  <c r="L10" i="1447" s="1"/>
  <c r="D10" i="1447" s="1"/>
  <c r="D36" i="1447"/>
  <c r="R35" i="1447"/>
  <c r="D35" i="1447"/>
  <c r="R34" i="1447"/>
  <c r="L12" i="1447" s="1"/>
  <c r="D12" i="1447" s="1"/>
  <c r="D34" i="1447"/>
  <c r="D54" i="1447" s="1"/>
  <c r="H14" i="1447" s="1"/>
  <c r="R33" i="1447"/>
  <c r="L23" i="1447" s="1"/>
  <c r="D23" i="1447" s="1"/>
  <c r="R32" i="1447"/>
  <c r="R31" i="1447"/>
  <c r="R30" i="1447"/>
  <c r="R29" i="1447"/>
  <c r="R28" i="1447"/>
  <c r="L16" i="1447" s="1"/>
  <c r="D16" i="1447" s="1"/>
  <c r="D28" i="1447"/>
  <c r="R27" i="1447"/>
  <c r="D27" i="1447"/>
  <c r="R26" i="1447"/>
  <c r="L26" i="1447"/>
  <c r="D26" i="1447"/>
  <c r="R25" i="1447"/>
  <c r="L25" i="1447"/>
  <c r="D25" i="1447"/>
  <c r="R24" i="1447"/>
  <c r="D24" i="1447"/>
  <c r="R23" i="1447"/>
  <c r="R22" i="1447"/>
  <c r="L22" i="1447"/>
  <c r="D22" i="1447"/>
  <c r="R21" i="1447"/>
  <c r="D21" i="1447"/>
  <c r="R20" i="1447"/>
  <c r="L20" i="1447"/>
  <c r="D20" i="1447"/>
  <c r="R19" i="1447"/>
  <c r="L19" i="1447"/>
  <c r="D19" i="1447"/>
  <c r="R18" i="1447"/>
  <c r="D18" i="1447"/>
  <c r="R17" i="1447"/>
  <c r="D17" i="1447"/>
  <c r="R16" i="1447"/>
  <c r="S15" i="1447"/>
  <c r="R15" i="1447"/>
  <c r="D15" i="1447"/>
  <c r="S14" i="1447"/>
  <c r="R14" i="1447"/>
  <c r="D14" i="1447"/>
  <c r="R13" i="1447"/>
  <c r="D13" i="1447"/>
  <c r="R12" i="1447"/>
  <c r="R11" i="1447"/>
  <c r="L11" i="1447"/>
  <c r="D11" i="1447"/>
  <c r="L8" i="1447"/>
  <c r="D8" i="1447"/>
  <c r="R6" i="1447"/>
  <c r="R5" i="1447"/>
  <c r="R4" i="1447"/>
  <c r="G49" i="1457" l="1"/>
  <c r="G49" i="1456"/>
  <c r="D54" i="1458"/>
  <c r="H14" i="1458" s="1"/>
  <c r="D54" i="1457"/>
  <c r="H14" i="1457" s="1"/>
  <c r="D54" i="1456"/>
  <c r="H14" i="1456" s="1"/>
  <c r="D29" i="1456"/>
  <c r="H13" i="1456" s="1"/>
  <c r="G49" i="1454"/>
  <c r="G49" i="1453"/>
  <c r="G49" i="1452"/>
  <c r="D54" i="1454"/>
  <c r="H14" i="1454" s="1"/>
  <c r="D54" i="1453"/>
  <c r="H14" i="1453" s="1"/>
  <c r="D54" i="1452"/>
  <c r="H14" i="1452" s="1"/>
  <c r="D54" i="1450"/>
  <c r="H14" i="1450" s="1"/>
  <c r="D54" i="1449"/>
  <c r="H14" i="1449" s="1"/>
  <c r="G49" i="1450"/>
  <c r="G49" i="1449"/>
  <c r="D29" i="1470"/>
  <c r="H13" i="1470" s="1"/>
  <c r="H15" i="1470" s="1"/>
  <c r="H29" i="1470" s="1"/>
  <c r="G51" i="1470" s="1"/>
  <c r="D29" i="1469"/>
  <c r="H13" i="1469" s="1"/>
  <c r="H15" i="1469" s="1"/>
  <c r="H29" i="1469" s="1"/>
  <c r="G51" i="1469" s="1"/>
  <c r="D29" i="1468"/>
  <c r="H13" i="1468" s="1"/>
  <c r="H15" i="1468" s="1"/>
  <c r="H29" i="1468" s="1"/>
  <c r="G51" i="1468"/>
  <c r="G51" i="1467"/>
  <c r="D29" i="1466"/>
  <c r="H13" i="1466" s="1"/>
  <c r="H15" i="1466" s="1"/>
  <c r="H29" i="1466" s="1"/>
  <c r="G51" i="1466" s="1"/>
  <c r="G51" i="1465"/>
  <c r="D29" i="1464"/>
  <c r="H13" i="1464" s="1"/>
  <c r="H15" i="1464" s="1"/>
  <c r="H29" i="1464" s="1"/>
  <c r="G51" i="1464" s="1"/>
  <c r="D29" i="1463"/>
  <c r="H13" i="1463" s="1"/>
  <c r="H15" i="1463" s="1"/>
  <c r="H29" i="1463" s="1"/>
  <c r="G51" i="1463" s="1"/>
  <c r="D29" i="1462"/>
  <c r="H13" i="1462" s="1"/>
  <c r="H15" i="1462" s="1"/>
  <c r="H29" i="1462" s="1"/>
  <c r="G51" i="1462"/>
  <c r="D29" i="1461"/>
  <c r="H13" i="1461" s="1"/>
  <c r="H15" i="1461" s="1"/>
  <c r="H29" i="1461" s="1"/>
  <c r="G51" i="1461"/>
  <c r="G51" i="1460"/>
  <c r="D29" i="1459"/>
  <c r="H13" i="1459" s="1"/>
  <c r="H15" i="1459" s="1"/>
  <c r="H29" i="1459" s="1"/>
  <c r="G51" i="1459" s="1"/>
  <c r="D29" i="1458"/>
  <c r="H13" i="1458" s="1"/>
  <c r="D29" i="1457"/>
  <c r="H13" i="1457" s="1"/>
  <c r="G51" i="1455"/>
  <c r="D29" i="1454"/>
  <c r="H13" i="1454" s="1"/>
  <c r="D29" i="1453"/>
  <c r="H13" i="1453" s="1"/>
  <c r="H15" i="1453" s="1"/>
  <c r="H29" i="1453" s="1"/>
  <c r="D29" i="1452"/>
  <c r="H13" i="1452" s="1"/>
  <c r="D29" i="1451"/>
  <c r="H13" i="1451" s="1"/>
  <c r="H15" i="1451" s="1"/>
  <c r="H29" i="1451" s="1"/>
  <c r="G51" i="1451" s="1"/>
  <c r="D29" i="1450"/>
  <c r="H13" i="1450" s="1"/>
  <c r="D29" i="1449"/>
  <c r="H13" i="1449" s="1"/>
  <c r="D29" i="1448"/>
  <c r="H13" i="1448" s="1"/>
  <c r="H15" i="1448" s="1"/>
  <c r="H29" i="1448" s="1"/>
  <c r="G51" i="1448" s="1"/>
  <c r="D29" i="1447"/>
  <c r="H13" i="1447" s="1"/>
  <c r="H15" i="1447" s="1"/>
  <c r="H29" i="1447" s="1"/>
  <c r="G51" i="1447"/>
  <c r="L26" i="1427"/>
  <c r="L25" i="1427"/>
  <c r="H15" i="1458" l="1"/>
  <c r="H29" i="1458" s="1"/>
  <c r="G51" i="1458" s="1"/>
  <c r="H15" i="1457"/>
  <c r="H29" i="1457" s="1"/>
  <c r="G51" i="1457" s="1"/>
  <c r="H15" i="1456"/>
  <c r="H29" i="1456" s="1"/>
  <c r="G51" i="1456" s="1"/>
  <c r="G51" i="1453"/>
  <c r="H15" i="1454"/>
  <c r="H29" i="1454" s="1"/>
  <c r="G51" i="1454" s="1"/>
  <c r="H15" i="1452"/>
  <c r="H29" i="1452" s="1"/>
  <c r="G51" i="1452" s="1"/>
  <c r="H15" i="1450"/>
  <c r="H29" i="1450" s="1"/>
  <c r="G51" i="1450" s="1"/>
  <c r="H15" i="1449"/>
  <c r="H29" i="1449" s="1"/>
  <c r="G51" i="1449" s="1"/>
  <c r="R52" i="1429"/>
  <c r="R51" i="1429"/>
  <c r="D50" i="1429"/>
  <c r="R49" i="1429"/>
  <c r="D49" i="1429"/>
  <c r="R48" i="1429"/>
  <c r="D48" i="1429"/>
  <c r="D46" i="1429"/>
  <c r="D45" i="1429"/>
  <c r="D44" i="1429"/>
  <c r="R42" i="1429"/>
  <c r="L6" i="1429" s="1"/>
  <c r="D6" i="1429" s="1"/>
  <c r="D42" i="1429"/>
  <c r="R41" i="1429"/>
  <c r="D41" i="1429"/>
  <c r="R40" i="1429"/>
  <c r="D40" i="1429"/>
  <c r="R39" i="1429"/>
  <c r="H39" i="1429"/>
  <c r="D39" i="1429"/>
  <c r="R38" i="1429"/>
  <c r="L9" i="1429" s="1"/>
  <c r="D9" i="1429" s="1"/>
  <c r="H38" i="1429"/>
  <c r="D38" i="1429"/>
  <c r="R37" i="1429"/>
  <c r="H37" i="1429"/>
  <c r="D37" i="1429"/>
  <c r="R36" i="1429"/>
  <c r="H36" i="1429"/>
  <c r="D36" i="1429"/>
  <c r="R35" i="1429"/>
  <c r="H35" i="1429"/>
  <c r="D35" i="1429"/>
  <c r="R34" i="1429"/>
  <c r="L12" i="1429" s="1"/>
  <c r="D12" i="1429" s="1"/>
  <c r="H34" i="1429"/>
  <c r="D34" i="1429"/>
  <c r="R33" i="1429"/>
  <c r="R32" i="1429"/>
  <c r="R31" i="1429"/>
  <c r="R30" i="1429"/>
  <c r="R29" i="1429"/>
  <c r="R28" i="1429"/>
  <c r="L16" i="1429" s="1"/>
  <c r="D16" i="1429" s="1"/>
  <c r="D28" i="1429"/>
  <c r="R27" i="1429"/>
  <c r="D27" i="1429"/>
  <c r="R26" i="1429"/>
  <c r="L26" i="1429"/>
  <c r="D26" i="1429"/>
  <c r="R25" i="1429"/>
  <c r="L25" i="1429"/>
  <c r="D25" i="1429" s="1"/>
  <c r="R24" i="1429"/>
  <c r="D24" i="1429"/>
  <c r="R23" i="1429"/>
  <c r="L23" i="1429"/>
  <c r="D23" i="1429"/>
  <c r="R22" i="1429"/>
  <c r="L22" i="1429"/>
  <c r="D22" i="1429" s="1"/>
  <c r="R21" i="1429"/>
  <c r="D21" i="1429"/>
  <c r="R20" i="1429"/>
  <c r="L20" i="1429"/>
  <c r="D20" i="1429"/>
  <c r="R19" i="1429"/>
  <c r="L19" i="1429"/>
  <c r="D19" i="1429" s="1"/>
  <c r="R18" i="1429"/>
  <c r="D18" i="1429"/>
  <c r="R17" i="1429"/>
  <c r="D17" i="1429"/>
  <c r="R16" i="1429"/>
  <c r="R15" i="1429"/>
  <c r="D15" i="1429"/>
  <c r="R14" i="1429"/>
  <c r="D14" i="1429"/>
  <c r="R13" i="1429"/>
  <c r="D13" i="1429"/>
  <c r="R12" i="1429"/>
  <c r="R11" i="1429"/>
  <c r="L11" i="1429"/>
  <c r="D11" i="1429" s="1"/>
  <c r="L10" i="1429"/>
  <c r="D10" i="1429"/>
  <c r="L8" i="1429"/>
  <c r="D8" i="1429" s="1"/>
  <c r="L7" i="1429"/>
  <c r="D7" i="1429" s="1"/>
  <c r="R6" i="1429"/>
  <c r="R5" i="1429"/>
  <c r="R4" i="1429"/>
  <c r="R52" i="1428"/>
  <c r="R51" i="1428"/>
  <c r="D50" i="1428"/>
  <c r="R49" i="1428"/>
  <c r="D49" i="1428"/>
  <c r="R48" i="1428"/>
  <c r="D48" i="1428"/>
  <c r="D46" i="1428"/>
  <c r="D45" i="1428"/>
  <c r="D44" i="1428"/>
  <c r="R42" i="1428"/>
  <c r="D42" i="1428"/>
  <c r="R41" i="1428"/>
  <c r="L7" i="1428" s="1"/>
  <c r="D7" i="1428" s="1"/>
  <c r="D41" i="1428"/>
  <c r="R40" i="1428"/>
  <c r="D40" i="1428"/>
  <c r="R39" i="1428"/>
  <c r="H39" i="1428"/>
  <c r="D39" i="1428"/>
  <c r="R38" i="1428"/>
  <c r="L9" i="1428" s="1"/>
  <c r="D9" i="1428" s="1"/>
  <c r="H38" i="1428"/>
  <c r="D38" i="1428"/>
  <c r="R37" i="1428"/>
  <c r="H37" i="1428"/>
  <c r="D37" i="1428"/>
  <c r="R36" i="1428"/>
  <c r="L10" i="1428" s="1"/>
  <c r="D10" i="1428" s="1"/>
  <c r="H36" i="1428"/>
  <c r="D36" i="1428"/>
  <c r="R35" i="1428"/>
  <c r="L19" i="1428" s="1"/>
  <c r="D19" i="1428" s="1"/>
  <c r="H35" i="1428"/>
  <c r="D35" i="1428"/>
  <c r="R34" i="1428"/>
  <c r="L12" i="1428" s="1"/>
  <c r="D12" i="1428" s="1"/>
  <c r="H34" i="1428"/>
  <c r="D34" i="1428"/>
  <c r="R33" i="1428"/>
  <c r="R32" i="1428"/>
  <c r="L11" i="1428" s="1"/>
  <c r="D11" i="1428" s="1"/>
  <c r="R31" i="1428"/>
  <c r="R30" i="1428"/>
  <c r="R29" i="1428"/>
  <c r="R28" i="1428"/>
  <c r="L16" i="1428" s="1"/>
  <c r="D16" i="1428" s="1"/>
  <c r="D28" i="1428"/>
  <c r="R27" i="1428"/>
  <c r="D27" i="1428"/>
  <c r="R26" i="1428"/>
  <c r="L26" i="1428"/>
  <c r="D26" i="1428"/>
  <c r="R25" i="1428"/>
  <c r="L25" i="1428"/>
  <c r="D25" i="1428" s="1"/>
  <c r="R24" i="1428"/>
  <c r="L24" i="1428"/>
  <c r="D24" i="1428" s="1"/>
  <c r="R23" i="1428"/>
  <c r="L23" i="1428"/>
  <c r="D23" i="1428"/>
  <c r="R22" i="1428"/>
  <c r="L22" i="1428"/>
  <c r="D22" i="1428"/>
  <c r="R21" i="1428"/>
  <c r="L17" i="1428" s="1"/>
  <c r="D17" i="1428" s="1"/>
  <c r="D21" i="1428"/>
  <c r="R20" i="1428"/>
  <c r="L20" i="1428"/>
  <c r="D20" i="1428" s="1"/>
  <c r="R19" i="1428"/>
  <c r="R18" i="1428"/>
  <c r="D18" i="1428"/>
  <c r="R17" i="1428"/>
  <c r="R16" i="1428"/>
  <c r="R15" i="1428"/>
  <c r="D15" i="1428"/>
  <c r="R14" i="1428"/>
  <c r="D14" i="1428"/>
  <c r="R13" i="1428"/>
  <c r="D13" i="1428"/>
  <c r="R12" i="1428"/>
  <c r="R11" i="1428"/>
  <c r="L8" i="1428"/>
  <c r="D8" i="1428" s="1"/>
  <c r="R6" i="1428"/>
  <c r="L6" i="1428"/>
  <c r="D6" i="1428" s="1"/>
  <c r="R5" i="1428"/>
  <c r="R4" i="1428"/>
  <c r="R52" i="1427"/>
  <c r="R51" i="1427"/>
  <c r="D50" i="1427"/>
  <c r="R49" i="1427"/>
  <c r="D49" i="1427"/>
  <c r="R48" i="1427"/>
  <c r="D48" i="1427"/>
  <c r="D46" i="1427"/>
  <c r="D45" i="1427"/>
  <c r="P44" i="1427"/>
  <c r="R44" i="1427" s="1"/>
  <c r="D44" i="1427"/>
  <c r="R42" i="1427"/>
  <c r="L6" i="1427" s="1"/>
  <c r="D6" i="1427" s="1"/>
  <c r="D42" i="1427"/>
  <c r="R41" i="1427"/>
  <c r="D41" i="1427"/>
  <c r="R40" i="1427"/>
  <c r="D40" i="1427"/>
  <c r="R39" i="1427"/>
  <c r="H39" i="1427"/>
  <c r="D39" i="1427"/>
  <c r="R38" i="1427"/>
  <c r="L9" i="1427" s="1"/>
  <c r="D9" i="1427" s="1"/>
  <c r="H38" i="1427"/>
  <c r="D38" i="1427"/>
  <c r="R37" i="1427"/>
  <c r="H37" i="1427"/>
  <c r="D37" i="1427"/>
  <c r="R36" i="1427"/>
  <c r="H36" i="1427"/>
  <c r="D36" i="1427"/>
  <c r="R35" i="1427"/>
  <c r="H35" i="1427"/>
  <c r="D35" i="1427"/>
  <c r="R34" i="1427"/>
  <c r="H34" i="1427"/>
  <c r="D34" i="1427"/>
  <c r="R33" i="1427"/>
  <c r="R32" i="1427"/>
  <c r="L11" i="1427" s="1"/>
  <c r="D11" i="1427" s="1"/>
  <c r="R31" i="1427"/>
  <c r="R30" i="1427"/>
  <c r="R29" i="1427"/>
  <c r="R28" i="1427"/>
  <c r="L16" i="1427" s="1"/>
  <c r="D16" i="1427" s="1"/>
  <c r="D28" i="1427"/>
  <c r="R27" i="1427"/>
  <c r="D27" i="1427"/>
  <c r="R26" i="1427"/>
  <c r="D26" i="1427"/>
  <c r="R25" i="1427"/>
  <c r="D25" i="1427"/>
  <c r="R24" i="1427"/>
  <c r="L24" i="1427"/>
  <c r="D24" i="1427"/>
  <c r="R23" i="1427"/>
  <c r="D23" i="1427"/>
  <c r="R22" i="1427"/>
  <c r="D22" i="1427"/>
  <c r="R21" i="1427"/>
  <c r="D21" i="1427"/>
  <c r="R20" i="1427"/>
  <c r="L20" i="1427"/>
  <c r="D20" i="1427"/>
  <c r="R19" i="1427"/>
  <c r="D19" i="1427"/>
  <c r="R18" i="1427"/>
  <c r="D18" i="1427"/>
  <c r="R17" i="1427"/>
  <c r="L17" i="1427"/>
  <c r="D17" i="1427"/>
  <c r="R16" i="1427"/>
  <c r="R15" i="1427"/>
  <c r="D15" i="1427"/>
  <c r="R14" i="1427"/>
  <c r="D14" i="1427"/>
  <c r="R13" i="1427"/>
  <c r="D13" i="1427"/>
  <c r="R12" i="1427"/>
  <c r="L12" i="1427"/>
  <c r="D12" i="1427"/>
  <c r="R11" i="1427"/>
  <c r="L10" i="1427"/>
  <c r="D10" i="1427"/>
  <c r="L8" i="1427"/>
  <c r="D8" i="1427" s="1"/>
  <c r="L7" i="1427"/>
  <c r="D7" i="1427" s="1"/>
  <c r="R6" i="1427"/>
  <c r="R5" i="1427"/>
  <c r="R4" i="1427"/>
  <c r="R52" i="1426"/>
  <c r="R51" i="1426"/>
  <c r="D50" i="1426"/>
  <c r="R49" i="1426"/>
  <c r="G49" i="1426"/>
  <c r="D49" i="1426"/>
  <c r="R48" i="1426"/>
  <c r="D48" i="1426"/>
  <c r="D46" i="1426"/>
  <c r="D45" i="1426"/>
  <c r="D44" i="1426"/>
  <c r="R42" i="1426"/>
  <c r="L6" i="1426" s="1"/>
  <c r="D6" i="1426" s="1"/>
  <c r="D42" i="1426"/>
  <c r="R41" i="1426"/>
  <c r="L7" i="1426" s="1"/>
  <c r="D7" i="1426" s="1"/>
  <c r="D41" i="1426"/>
  <c r="R40" i="1426"/>
  <c r="D40" i="1426"/>
  <c r="R39" i="1426"/>
  <c r="D39" i="1426"/>
  <c r="R38" i="1426"/>
  <c r="L9" i="1426" s="1"/>
  <c r="D9" i="1426" s="1"/>
  <c r="D38" i="1426"/>
  <c r="R37" i="1426"/>
  <c r="D37" i="1426"/>
  <c r="R36" i="1426"/>
  <c r="L10" i="1426" s="1"/>
  <c r="D10" i="1426" s="1"/>
  <c r="D36" i="1426"/>
  <c r="R35" i="1426"/>
  <c r="L19" i="1426" s="1"/>
  <c r="D19" i="1426" s="1"/>
  <c r="D35" i="1426"/>
  <c r="R34" i="1426"/>
  <c r="D34" i="1426"/>
  <c r="D54" i="1426" s="1"/>
  <c r="H14" i="1426" s="1"/>
  <c r="R33" i="1426"/>
  <c r="R32" i="1426"/>
  <c r="R31" i="1426"/>
  <c r="R30" i="1426"/>
  <c r="R29" i="1426"/>
  <c r="R28" i="1426"/>
  <c r="D28" i="1426"/>
  <c r="R27" i="1426"/>
  <c r="D27" i="1426"/>
  <c r="R26" i="1426"/>
  <c r="L26" i="1426"/>
  <c r="D26" i="1426"/>
  <c r="R25" i="1426"/>
  <c r="L25" i="1426"/>
  <c r="D25" i="1426"/>
  <c r="R24" i="1426"/>
  <c r="D24" i="1426"/>
  <c r="R23" i="1426"/>
  <c r="L23" i="1426"/>
  <c r="D23" i="1426"/>
  <c r="R22" i="1426"/>
  <c r="L22" i="1426"/>
  <c r="D22" i="1426" s="1"/>
  <c r="R21" i="1426"/>
  <c r="D21" i="1426"/>
  <c r="R20" i="1426"/>
  <c r="L20" i="1426"/>
  <c r="D20" i="1426"/>
  <c r="R19" i="1426"/>
  <c r="R18" i="1426"/>
  <c r="D18" i="1426"/>
  <c r="R17" i="1426"/>
  <c r="D17" i="1426"/>
  <c r="R16" i="1426"/>
  <c r="L16" i="1426"/>
  <c r="D16" i="1426" s="1"/>
  <c r="S15" i="1426"/>
  <c r="R15" i="1426"/>
  <c r="D15" i="1426"/>
  <c r="S14" i="1426"/>
  <c r="R14" i="1426"/>
  <c r="D14" i="1426"/>
  <c r="R13" i="1426"/>
  <c r="D13" i="1426"/>
  <c r="R12" i="1426"/>
  <c r="L12" i="1426"/>
  <c r="D12" i="1426"/>
  <c r="R11" i="1426"/>
  <c r="L11" i="1426"/>
  <c r="D11" i="1426" s="1"/>
  <c r="L8" i="1426"/>
  <c r="D8" i="1426"/>
  <c r="R6" i="1426"/>
  <c r="R5" i="1426"/>
  <c r="R4" i="1426"/>
  <c r="G49" i="1427" l="1"/>
  <c r="G49" i="1428"/>
  <c r="G49" i="1429"/>
  <c r="D54" i="1429"/>
  <c r="H14" i="1429" s="1"/>
  <c r="D54" i="1428"/>
  <c r="H14" i="1428" s="1"/>
  <c r="D29" i="1428"/>
  <c r="H13" i="1428" s="1"/>
  <c r="D54" i="1427"/>
  <c r="H14" i="1427" s="1"/>
  <c r="D29" i="1429"/>
  <c r="H13" i="1429" s="1"/>
  <c r="D29" i="1427"/>
  <c r="H13" i="1427" s="1"/>
  <c r="D29" i="1426"/>
  <c r="H13" i="1426" s="1"/>
  <c r="H15" i="1426" s="1"/>
  <c r="H29" i="1426" s="1"/>
  <c r="G51" i="1426" s="1"/>
  <c r="H15" i="1429" l="1"/>
  <c r="H29" i="1429" s="1"/>
  <c r="G51" i="1429" s="1"/>
  <c r="H15" i="1428"/>
  <c r="H29" i="1428" s="1"/>
  <c r="G51" i="1428" s="1"/>
  <c r="H15" i="1427"/>
  <c r="H29" i="1427" s="1"/>
  <c r="G51" i="1427" s="1"/>
</calcChain>
</file>

<file path=xl/sharedStrings.xml><?xml version="1.0" encoding="utf-8"?>
<sst xmlns="http://schemas.openxmlformats.org/spreadsheetml/2006/main" count="3824" uniqueCount="161">
  <si>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</si>
  <si>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</si>
  <si>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</si>
  <si>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</si>
  <si>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</si>
  <si>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</si>
  <si>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</si>
  <si>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</si>
  <si>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</si>
  <si>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</si>
  <si>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</si>
  <si>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</si>
  <si>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</si>
  <si>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</si>
  <si>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</si>
  <si>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</si>
  <si>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</si>
  <si>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</si>
  <si>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</si>
  <si>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</si>
  <si>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</si>
  <si>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</si>
  <si>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</si>
  <si>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</si>
  <si>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</si>
  <si>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</si>
  <si>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</si>
  <si>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</si>
  <si>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</si>
  <si>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</si>
  <si>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</si>
  <si>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</si>
  <si>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</si>
  <si>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</si>
  <si>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</si>
  <si>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</si>
  <si>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</si>
  <si>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</si>
  <si>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</si>
  <si>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</si>
  <si>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</si>
  <si>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</si>
  <si>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</si>
  <si>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</si>
  <si>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</si>
  <si>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</si>
  <si>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</si>
  <si>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</si>
  <si>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</si>
  <si>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</si>
  <si>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</si>
  <si>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</si>
  <si>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</si>
  <si>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</si>
  <si>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</si>
  <si>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</si>
  <si>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</si>
  <si>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</si>
  <si>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</si>
  <si>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</si>
  <si>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</si>
  <si>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</si>
  <si>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</si>
  <si>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</si>
  <si>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</si>
  <si>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</si>
  <si>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</si>
  <si>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</si>
  <si>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</si>
  <si>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</si>
  <si>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</si>
  <si>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</si>
  <si>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</si>
  <si>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</si>
  <si>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</si>
  <si>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</si>
  <si>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</si>
  <si>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</si>
  <si>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</si>
  <si>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</si>
  <si>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</si>
  <si>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</si>
  <si>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</si>
  <si>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</si>
  <si>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</si>
  <si>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</si>
  <si>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</si>
  <si>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</si>
  <si>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</si>
  <si>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</si>
  <si>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</si>
  <si>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</si>
  <si>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</si>
  <si>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</si>
  <si>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</si>
  <si>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</si>
  <si>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</si>
  <si>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</si>
  <si>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</si>
  <si>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</si>
  <si>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</si>
  <si>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</si>
  <si>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</si>
  <si>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</si>
  <si>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</si>
  <si>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</si>
  <si>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</si>
  <si>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</si>
  <si>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</si>
  <si>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</si>
  <si>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</si>
  <si>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</si>
  <si>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SALIG, JULIVEN</t>
  </si>
  <si>
    <t>PAMC</t>
  </si>
  <si>
    <t>ENCLONAR, JEROME</t>
  </si>
  <si>
    <t>SALIG, JOVANI</t>
  </si>
  <si>
    <t>SDC</t>
  </si>
  <si>
    <t>FBAC</t>
  </si>
  <si>
    <t xml:space="preserve">                            RONNEL DANDAYO</t>
  </si>
  <si>
    <t>ARANCES, MARIO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</si>
  <si>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</si>
  <si>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</si>
  <si>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</si>
  <si>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</si>
  <si>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</si>
  <si>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</si>
  <si>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</si>
  <si>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</si>
  <si>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</si>
  <si>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</si>
  <si>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</si>
  <si>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</si>
  <si>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</si>
  <si>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 xml:space="preserve">                           ESTEMARK PORMENTO</t>
  </si>
  <si>
    <t>MOCOY, JULIET</t>
  </si>
  <si>
    <t xml:space="preserve">                            JULIET MOCOY</t>
  </si>
  <si>
    <t>FBAC/FBLC</t>
  </si>
  <si>
    <t>GOMORA, JURLAN</t>
  </si>
  <si>
    <t>CC/CIC/C10C</t>
  </si>
  <si>
    <t>CBB</t>
  </si>
  <si>
    <t>CLC/SDC</t>
  </si>
  <si>
    <t>SMZB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</si>
  <si>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</si>
  <si>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</si>
  <si>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BDO</t>
  </si>
  <si>
    <t>142807</t>
  </si>
  <si>
    <t>477765</t>
  </si>
  <si>
    <t>BALWARTE</t>
  </si>
  <si>
    <t>PNB</t>
  </si>
  <si>
    <t>BANK TRANSFER</t>
  </si>
  <si>
    <t>GICA, GRACE B.</t>
  </si>
  <si>
    <t xml:space="preserve">                            GRACE B. GICA</t>
  </si>
  <si>
    <t>3A</t>
  </si>
  <si>
    <t>3B</t>
  </si>
  <si>
    <t>2000007507</t>
  </si>
  <si>
    <t>200002548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</si>
  <si>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</si>
  <si>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G-CASH</t>
  </si>
  <si>
    <t>140763</t>
  </si>
  <si>
    <t>2000002557</t>
  </si>
  <si>
    <t>ELI. HENSON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</si>
</sst>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41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16" xfId="0" applyFont="1" applyFill="1" applyBorder="1"/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9" fontId="23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44" fontId="0" fillId="3" borderId="16" xfId="0" applyNumberFormat="1" applyFill="1" applyBorder="1" applyAlignment="1">
      <alignment horizontal="right"/>
    </xf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12" fillId="3" borderId="16" xfId="0" applyNumberFormat="1" applyFont="1" applyFill="1" applyBorder="1" applyAlignment="1">
      <alignment horizontal="righ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8" Type="http://schemas.openxmlformats.org/officeDocument/2006/relationships/worksheet" Target="worksheets/sheet8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8F1F50-33E5-4430-B51C-EF2A62C58E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6A92D4F-8A8E-4055-B560-E2F54EF45A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219075</xdr:colOff>
      <xdr:row>48</xdr:row>
      <xdr:rowOff>135000</xdr:rowOff>
    </xdr:from>
    <xdr:to>
      <xdr:col>3</xdr:col>
      <xdr:colOff>742950</xdr:colOff>
      <xdr:row>63</xdr:row>
      <xdr:rowOff>95250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66253EC8-0336-45E1-97A9-BF7D35DD96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9575" y="9507600"/>
          <a:ext cx="2143125" cy="285585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C1EAD1-E17B-482F-A174-9ACE46FEB1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27EE2F-98C8-44EC-9AA5-357C575DC1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612AB0-7AFF-40E7-AC3D-EB4D18146D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733427</xdr:colOff>
      <xdr:row>54</xdr:row>
      <xdr:rowOff>89123</xdr:rowOff>
    </xdr:from>
    <xdr:to>
      <xdr:col>3</xdr:col>
      <xdr:colOff>219075</xdr:colOff>
      <xdr:row>56</xdr:row>
      <xdr:rowOff>97005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EEDA67F-9349-4815-9458-58401ECD74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23927" y="10642823"/>
          <a:ext cx="1104898" cy="38888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78F270-1896-4832-A529-EA367D0A0A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48</xdr:row>
      <xdr:rowOff>76665</xdr:rowOff>
    </xdr:from>
    <xdr:to>
      <xdr:col>3</xdr:col>
      <xdr:colOff>1171575</xdr:colOff>
      <xdr:row>64</xdr:row>
      <xdr:rowOff>57150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22AC0AF-BC39-44A3-96E0-91D80E24B2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61950" y="9449265"/>
          <a:ext cx="2619375" cy="306658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9C513B-3831-4D05-83F8-9E506B4A15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D05F378-CCC4-48F7-99E1-BF20F38706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723900</xdr:colOff>
      <xdr:row>54</xdr:row>
      <xdr:rowOff>78374</xdr:rowOff>
    </xdr:from>
    <xdr:to>
      <xdr:col>3</xdr:col>
      <xdr:colOff>180975</xdr:colOff>
      <xdr:row>56</xdr:row>
      <xdr:rowOff>76199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4FE72D8-3BDC-4841-B695-C8CFEAA878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14400" y="10632074"/>
          <a:ext cx="1076325" cy="378825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458AC76-C629-43A1-8BB7-54E3525021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B995ED-4CD6-4552-A655-BCBA597403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A9A8C45-EF87-400B-A9A0-95087D45C5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704850</xdr:colOff>
      <xdr:row>54</xdr:row>
      <xdr:rowOff>66675</xdr:rowOff>
    </xdr:from>
    <xdr:to>
      <xdr:col>3</xdr:col>
      <xdr:colOff>249290</xdr:colOff>
      <xdr:row>56</xdr:row>
      <xdr:rowOff>95250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51D3A7FF-AF7C-4D76-8D6E-E406B1C3BB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95350" y="10620375"/>
          <a:ext cx="1163690" cy="409575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C693C4-FAC4-41EE-B18B-979A6F2E57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DE7049C-F98E-4B41-89AF-1689C52D66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84E7E9-0C85-4737-8843-8412861B64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48</xdr:row>
      <xdr:rowOff>161925</xdr:rowOff>
    </xdr:from>
    <xdr:to>
      <xdr:col>3</xdr:col>
      <xdr:colOff>695325</xdr:colOff>
      <xdr:row>63</xdr:row>
      <xdr:rowOff>122175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1C5720D-8A62-4EB8-8168-5A59DB54BB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61950" y="9534525"/>
          <a:ext cx="2143125" cy="2855850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051B88-79AF-4982-8334-23B4D9A168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0D1D365-1431-4083-9A65-86B87A8EE7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79EF83D-45E8-4515-85F4-061F350137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12979FA-D15F-4B41-BE69-427949040C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A408863-3611-4816-8F41-33468C797A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4EDD0B-FEC8-4AB8-A059-51B20C25C1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1C6F38C-020F-4A1A-B650-75978B25E8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9C9035D-F6B5-47B4-8B16-89987DB796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3AA63F1-9DEC-4502-ADEE-10A63E3FE5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G10" sqref="G10:J11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C2A51F-0B45-4A82-8950-DF28858737EF}">
  <dimension ref="A1:S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0" t="s">
        <v>1</v>
      </c>
      <c r="O1" s="100"/>
      <c r="P1" s="86" t="s">
        <v>2</v>
      </c>
      <c r="Q1" s="8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1" t="s">
        <v>7</v>
      </c>
      <c r="B4" s="102"/>
      <c r="C4" s="102"/>
      <c r="D4" s="103"/>
      <c r="F4" s="104" t="s">
        <v>8</v>
      </c>
      <c r="G4" s="106"/>
      <c r="H4" s="108" t="s">
        <v>9</v>
      </c>
      <c r="I4" s="110"/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5"/>
      <c r="B6" s="16"/>
      <c r="C6" s="10"/>
      <c r="D6" s="13">
        <f t="shared" ref="D6:D28" si="1">C6*L6</f>
        <v>0</v>
      </c>
      <c r="F6" s="117" t="s">
        <v>16</v>
      </c>
      <c r="G6" s="119"/>
      <c r="H6" s="120"/>
      <c r="I6" s="120"/>
      <c r="J6" s="12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5"/>
      <c r="B7" s="16"/>
      <c r="C7" s="10"/>
      <c r="D7" s="13">
        <f t="shared" si="1"/>
        <v>0</v>
      </c>
      <c r="F7" s="118"/>
      <c r="G7" s="122"/>
      <c r="H7" s="123"/>
      <c r="I7" s="123"/>
      <c r="J7" s="12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5"/>
      <c r="B8" s="16"/>
      <c r="C8" s="10"/>
      <c r="D8" s="13">
        <f t="shared" si="1"/>
        <v>0</v>
      </c>
      <c r="F8" s="125" t="s">
        <v>21</v>
      </c>
      <c r="G8" s="127"/>
      <c r="H8" s="128"/>
      <c r="I8" s="128"/>
      <c r="J8" s="12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5"/>
      <c r="B9" s="16"/>
      <c r="C9" s="10"/>
      <c r="D9" s="13">
        <f t="shared" si="1"/>
        <v>0</v>
      </c>
      <c r="F9" s="118"/>
      <c r="G9" s="130"/>
      <c r="H9" s="131"/>
      <c r="I9" s="131"/>
      <c r="J9" s="13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5"/>
      <c r="C10" s="10"/>
      <c r="D10" s="13">
        <f t="shared" si="1"/>
        <v>0</v>
      </c>
      <c r="F10" s="117" t="s">
        <v>26</v>
      </c>
      <c r="G10" s="133"/>
      <c r="H10" s="134"/>
      <c r="I10" s="134"/>
      <c r="J10" s="135"/>
      <c r="K10" s="8"/>
      <c r="L10" s="6">
        <f>R36</f>
        <v>972</v>
      </c>
      <c r="P10" s="4"/>
      <c r="Q10" s="4"/>
      <c r="R10" s="5"/>
    </row>
    <row r="11" spans="1:19" ht="15.75" x14ac:dyDescent="0.25">
      <c r="A11" s="115"/>
      <c r="B11" s="17"/>
      <c r="C11" s="10"/>
      <c r="D11" s="13">
        <f t="shared" si="1"/>
        <v>0</v>
      </c>
      <c r="F11" s="118"/>
      <c r="G11" s="130"/>
      <c r="H11" s="131"/>
      <c r="I11" s="131"/>
      <c r="J11" s="1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5"/>
      <c r="B12" s="17"/>
      <c r="C12" s="10"/>
      <c r="D12" s="48">
        <f t="shared" si="1"/>
        <v>0</v>
      </c>
      <c r="F12" s="136" t="s">
        <v>33</v>
      </c>
      <c r="G12" s="137"/>
      <c r="H12" s="137"/>
      <c r="I12" s="137"/>
      <c r="J12" s="1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5"/>
      <c r="B13" s="17"/>
      <c r="C13" s="10"/>
      <c r="D13" s="48">
        <f t="shared" si="1"/>
        <v>0</v>
      </c>
      <c r="F13" s="139" t="s">
        <v>36</v>
      </c>
      <c r="G13" s="140"/>
      <c r="H13" s="141">
        <f>D29</f>
        <v>0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5"/>
      <c r="B14" s="14"/>
      <c r="C14" s="10"/>
      <c r="D14" s="31">
        <f t="shared" si="1"/>
        <v>0</v>
      </c>
      <c r="F14" s="144" t="s">
        <v>39</v>
      </c>
      <c r="G14" s="145"/>
      <c r="H14" s="146">
        <f>D54</f>
        <v>0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5"/>
      <c r="B15" s="14"/>
      <c r="C15" s="10"/>
      <c r="D15" s="31">
        <f t="shared" si="1"/>
        <v>0</v>
      </c>
      <c r="F15" s="149" t="s">
        <v>40</v>
      </c>
      <c r="G15" s="140"/>
      <c r="H15" s="150">
        <f>H13-H14</f>
        <v>0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C17" s="10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/>
      <c r="C18" s="10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/>
      <c r="C19" s="10"/>
      <c r="D19" s="48">
        <f t="shared" si="1"/>
        <v>0</v>
      </c>
      <c r="F19" s="56"/>
      <c r="G19" s="68" t="s">
        <v>50</v>
      </c>
      <c r="H19" s="172"/>
      <c r="I19" s="172"/>
      <c r="J19" s="17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5"/>
      <c r="B20" s="46"/>
      <c r="C20" s="10"/>
      <c r="D20" s="13">
        <f t="shared" si="1"/>
        <v>0</v>
      </c>
      <c r="F20" s="57"/>
      <c r="G20" s="70" t="s">
        <v>120</v>
      </c>
      <c r="H20" s="153"/>
      <c r="I20" s="153"/>
      <c r="J20" s="15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5"/>
      <c r="B22" s="46"/>
      <c r="C22" s="10"/>
      <c r="D22" s="48">
        <f t="shared" si="1"/>
        <v>0</v>
      </c>
      <c r="F22" s="77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/>
      <c r="C23" s="10"/>
      <c r="D23" s="48">
        <f t="shared" si="1"/>
        <v>0</v>
      </c>
      <c r="F23" s="78"/>
      <c r="G23" s="79"/>
      <c r="H23" s="177"/>
      <c r="I23" s="178"/>
      <c r="J23" s="17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/>
      <c r="C24" s="10"/>
      <c r="D24" s="48">
        <f t="shared" si="1"/>
        <v>0</v>
      </c>
      <c r="F24" s="38"/>
      <c r="G24" s="37"/>
      <c r="H24" s="177"/>
      <c r="I24" s="178"/>
      <c r="J24" s="17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/>
      <c r="C26" s="10"/>
      <c r="D26" s="48">
        <f t="shared" si="1"/>
        <v>0</v>
      </c>
      <c r="F26" s="64"/>
      <c r="G26" s="59"/>
      <c r="H26" s="182"/>
      <c r="I26" s="183"/>
      <c r="J26" s="18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5"/>
      <c r="B27" s="14"/>
      <c r="C27" s="10"/>
      <c r="D27" s="44">
        <f t="shared" si="1"/>
        <v>0</v>
      </c>
      <c r="F27" s="25"/>
      <c r="G27" s="80"/>
      <c r="H27" s="185"/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/>
      <c r="C28" s="10"/>
      <c r="D28" s="48">
        <f t="shared" si="1"/>
        <v>0</v>
      </c>
      <c r="F28" s="87"/>
      <c r="G28" s="61"/>
      <c r="H28" s="188"/>
      <c r="I28" s="189"/>
      <c r="J28" s="19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62" t="s">
        <v>55</v>
      </c>
      <c r="G29" s="163"/>
      <c r="H29" s="166">
        <f>H15-H16-H17-H18-H19-H20-H22-H23-H24+H26+H27</f>
        <v>0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4"/>
      <c r="I34" s="195"/>
      <c r="J34" s="19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/>
      <c r="H35" s="194"/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/>
      <c r="D36" s="12">
        <f>C36*1.5</f>
        <v>0</v>
      </c>
      <c r="F36" s="12">
        <v>200</v>
      </c>
      <c r="G36" s="37"/>
      <c r="H36" s="194"/>
      <c r="I36" s="195"/>
      <c r="J36" s="19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4"/>
      <c r="I37" s="195"/>
      <c r="J37" s="19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5"/>
      <c r="B38" s="29" t="s">
        <v>68</v>
      </c>
      <c r="C38" s="54"/>
      <c r="D38" s="12">
        <f>C38*84</f>
        <v>0</v>
      </c>
      <c r="F38" s="30">
        <v>50</v>
      </c>
      <c r="G38" s="39"/>
      <c r="H38" s="194"/>
      <c r="I38" s="195"/>
      <c r="J38" s="19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6"/>
      <c r="B39" s="29" t="s">
        <v>70</v>
      </c>
      <c r="C39" s="52"/>
      <c r="D39" s="31">
        <f>C39*4.5</f>
        <v>0</v>
      </c>
      <c r="F39" s="12">
        <v>20</v>
      </c>
      <c r="G39" s="37"/>
      <c r="H39" s="194"/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5"/>
      <c r="B41" s="27" t="s">
        <v>68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6"/>
      <c r="B42" s="27" t="s">
        <v>70</v>
      </c>
      <c r="C42" s="11"/>
      <c r="D42" s="12">
        <f>C42*2.25</f>
        <v>0</v>
      </c>
      <c r="F42" s="39" t="s">
        <v>79</v>
      </c>
      <c r="G42" s="194"/>
      <c r="H42" s="195"/>
      <c r="I42" s="195"/>
      <c r="J42" s="19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84" t="s">
        <v>83</v>
      </c>
      <c r="H43" s="200" t="s">
        <v>13</v>
      </c>
      <c r="I43" s="201"/>
      <c r="J43" s="202"/>
      <c r="K43" s="21"/>
      <c r="P43" s="4"/>
      <c r="Q43" s="4"/>
      <c r="R43" s="5"/>
    </row>
    <row r="44" spans="1:18" ht="15.75" x14ac:dyDescent="0.25">
      <c r="A44" s="198"/>
      <c r="B44" s="27" t="s">
        <v>66</v>
      </c>
      <c r="C44" s="10"/>
      <c r="D44" s="12">
        <f>C44*120</f>
        <v>0</v>
      </c>
      <c r="F44" s="37"/>
      <c r="G44" s="76"/>
      <c r="H44" s="178"/>
      <c r="I44" s="178"/>
      <c r="J44" s="178"/>
      <c r="K44" s="21"/>
      <c r="P44" s="4"/>
      <c r="Q44" s="4"/>
      <c r="R44" s="5"/>
    </row>
    <row r="45" spans="1:18" ht="15.75" x14ac:dyDescent="0.25">
      <c r="A45" s="198"/>
      <c r="B45" s="27" t="s">
        <v>68</v>
      </c>
      <c r="C45" s="33"/>
      <c r="D45" s="12">
        <f>C45*84</f>
        <v>0</v>
      </c>
      <c r="F45" s="37"/>
      <c r="G45" s="76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/>
      <c r="D46" s="12">
        <f>C46*1.5</f>
        <v>0</v>
      </c>
      <c r="F46" s="37"/>
      <c r="G46" s="62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/>
      <c r="D48" s="12">
        <f>C48*78</f>
        <v>0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/>
      <c r="D49" s="12">
        <f>C49*42</f>
        <v>0</v>
      </c>
      <c r="F49" s="219" t="s">
        <v>86</v>
      </c>
      <c r="G49" s="166">
        <f>H34+H35+H36+H37+H38+H39+H40+H41+G42+H44+H45+H46</f>
        <v>0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/>
      <c r="D50" s="12">
        <f>C50*1.5</f>
        <v>0</v>
      </c>
      <c r="F50" s="220"/>
      <c r="G50" s="169"/>
      <c r="H50" s="170"/>
      <c r="I50" s="170"/>
      <c r="J50" s="171"/>
      <c r="P50" s="4"/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128</v>
      </c>
      <c r="G51" s="223">
        <f>G49-H29</f>
        <v>0</v>
      </c>
      <c r="H51" s="224"/>
      <c r="I51" s="224"/>
      <c r="J51" s="22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8"/>
      <c r="B52" s="29"/>
      <c r="C52" s="33"/>
      <c r="D52" s="45"/>
      <c r="F52" s="222"/>
      <c r="G52" s="226"/>
      <c r="H52" s="227"/>
      <c r="I52" s="227"/>
      <c r="J52" s="22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0</v>
      </c>
      <c r="F54" s="21"/>
      <c r="J54" s="34"/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EC0F4-D446-4AE4-AD42-176FD14022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0" t="s">
        <v>1</v>
      </c>
      <c r="O1" s="100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1" t="s">
        <v>7</v>
      </c>
      <c r="B4" s="102"/>
      <c r="C4" s="102"/>
      <c r="D4" s="103"/>
      <c r="F4" s="104" t="s">
        <v>8</v>
      </c>
      <c r="G4" s="106">
        <v>1</v>
      </c>
      <c r="H4" s="108" t="s">
        <v>9</v>
      </c>
      <c r="I4" s="110">
        <v>45964</v>
      </c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5"/>
      <c r="B6" s="16" t="s">
        <v>15</v>
      </c>
      <c r="C6" s="89">
        <v>189</v>
      </c>
      <c r="D6" s="13">
        <f t="shared" ref="D6:D28" si="1">C6*L6</f>
        <v>139293</v>
      </c>
      <c r="F6" s="117" t="s">
        <v>16</v>
      </c>
      <c r="G6" s="119" t="s">
        <v>129</v>
      </c>
      <c r="H6" s="120"/>
      <c r="I6" s="120"/>
      <c r="J6" s="12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5"/>
      <c r="B7" s="16" t="s">
        <v>18</v>
      </c>
      <c r="C7" s="89">
        <v>10</v>
      </c>
      <c r="D7" s="13">
        <f t="shared" si="1"/>
        <v>7250</v>
      </c>
      <c r="F7" s="118"/>
      <c r="G7" s="122"/>
      <c r="H7" s="123"/>
      <c r="I7" s="123"/>
      <c r="J7" s="12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5"/>
      <c r="B8" s="16" t="s">
        <v>20</v>
      </c>
      <c r="C8" s="89">
        <v>1</v>
      </c>
      <c r="D8" s="13">
        <f t="shared" si="1"/>
        <v>1033</v>
      </c>
      <c r="F8" s="125" t="s">
        <v>21</v>
      </c>
      <c r="G8" s="127" t="s">
        <v>112</v>
      </c>
      <c r="H8" s="128"/>
      <c r="I8" s="128"/>
      <c r="J8" s="1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5"/>
      <c r="B9" s="16" t="s">
        <v>23</v>
      </c>
      <c r="C9" s="89">
        <v>21</v>
      </c>
      <c r="D9" s="13">
        <f t="shared" si="1"/>
        <v>14847</v>
      </c>
      <c r="F9" s="118"/>
      <c r="G9" s="130"/>
      <c r="H9" s="131"/>
      <c r="I9" s="131"/>
      <c r="J9" s="1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5"/>
      <c r="B10" t="s">
        <v>25</v>
      </c>
      <c r="C10" s="89"/>
      <c r="D10" s="13">
        <f t="shared" si="1"/>
        <v>0</v>
      </c>
      <c r="F10" s="117" t="s">
        <v>26</v>
      </c>
      <c r="G10" s="133" t="s">
        <v>130</v>
      </c>
      <c r="H10" s="134"/>
      <c r="I10" s="134"/>
      <c r="J10" s="135"/>
      <c r="K10" s="8"/>
      <c r="L10" s="6">
        <f>R36</f>
        <v>972</v>
      </c>
      <c r="P10" s="4"/>
      <c r="Q10" s="4"/>
      <c r="R10" s="5"/>
    </row>
    <row r="11" spans="1:18" ht="15.75" x14ac:dyDescent="0.25">
      <c r="A11" s="115"/>
      <c r="B11" s="17" t="s">
        <v>28</v>
      </c>
      <c r="C11" s="89">
        <v>1</v>
      </c>
      <c r="D11" s="13">
        <f t="shared" si="1"/>
        <v>1125</v>
      </c>
      <c r="F11" s="118"/>
      <c r="G11" s="130"/>
      <c r="H11" s="131"/>
      <c r="I11" s="131"/>
      <c r="J11" s="1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5"/>
      <c r="B12" s="17" t="s">
        <v>30</v>
      </c>
      <c r="C12" s="89">
        <f>1+1</f>
        <v>2</v>
      </c>
      <c r="D12" s="48">
        <f t="shared" si="1"/>
        <v>1904</v>
      </c>
      <c r="F12" s="136" t="s">
        <v>33</v>
      </c>
      <c r="G12" s="137"/>
      <c r="H12" s="137"/>
      <c r="I12" s="137"/>
      <c r="J12" s="1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5"/>
      <c r="B13" s="17" t="s">
        <v>32</v>
      </c>
      <c r="C13" s="89">
        <f>7</f>
        <v>7</v>
      </c>
      <c r="D13" s="48">
        <f t="shared" si="1"/>
        <v>2149</v>
      </c>
      <c r="F13" s="139" t="s">
        <v>36</v>
      </c>
      <c r="G13" s="140"/>
      <c r="H13" s="141">
        <f>D29</f>
        <v>176285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5"/>
      <c r="B14" s="14" t="s">
        <v>35</v>
      </c>
      <c r="C14" s="89">
        <v>18</v>
      </c>
      <c r="D14" s="31">
        <f t="shared" si="1"/>
        <v>198</v>
      </c>
      <c r="F14" s="144" t="s">
        <v>39</v>
      </c>
      <c r="G14" s="145"/>
      <c r="H14" s="146">
        <f>D54</f>
        <v>26221.5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5"/>
      <c r="B15" s="14" t="s">
        <v>38</v>
      </c>
      <c r="C15" s="89"/>
      <c r="D15" s="31">
        <f t="shared" si="1"/>
        <v>0</v>
      </c>
      <c r="F15" s="149" t="s">
        <v>40</v>
      </c>
      <c r="G15" s="140"/>
      <c r="H15" s="150">
        <f>H13-H14</f>
        <v>150063.5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5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B17" t="s">
        <v>140</v>
      </c>
      <c r="C17" s="89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 t="s">
        <v>95</v>
      </c>
      <c r="C18" s="89">
        <v>1</v>
      </c>
      <c r="D18" s="48">
        <f t="shared" si="1"/>
        <v>620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 t="s">
        <v>136</v>
      </c>
      <c r="C19" s="89">
        <f>2+1</f>
        <v>3</v>
      </c>
      <c r="D19" s="48">
        <f t="shared" si="1"/>
        <v>3306</v>
      </c>
      <c r="F19" s="56"/>
      <c r="G19" s="68" t="s">
        <v>50</v>
      </c>
      <c r="H19" s="126"/>
      <c r="I19" s="126"/>
      <c r="J19" s="126"/>
      <c r="L19" s="6">
        <v>1102</v>
      </c>
      <c r="Q19" s="4"/>
      <c r="R19" s="5">
        <f t="shared" si="0"/>
        <v>0</v>
      </c>
    </row>
    <row r="20" spans="1:18" ht="15.75" x14ac:dyDescent="0.25">
      <c r="A20" s="115"/>
      <c r="B20" s="83" t="s">
        <v>125</v>
      </c>
      <c r="C20" s="89">
        <v>1</v>
      </c>
      <c r="D20" s="13">
        <f t="shared" si="1"/>
        <v>1175</v>
      </c>
      <c r="F20" s="57"/>
      <c r="G20" s="70" t="s">
        <v>120</v>
      </c>
      <c r="H20" s="153"/>
      <c r="I20" s="153"/>
      <c r="J20" s="15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 t="s">
        <v>138</v>
      </c>
      <c r="C21" s="89">
        <f>2+2</f>
        <v>4</v>
      </c>
      <c r="D21" s="48">
        <f t="shared" si="1"/>
        <v>2600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5"/>
      <c r="B22" s="46" t="s">
        <v>127</v>
      </c>
      <c r="C22" s="89"/>
      <c r="D22" s="48">
        <f t="shared" si="1"/>
        <v>0</v>
      </c>
      <c r="F22" s="77"/>
      <c r="G22" s="73"/>
      <c r="H22" s="176"/>
      <c r="I22" s="176"/>
      <c r="J22" s="17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 t="s">
        <v>101</v>
      </c>
      <c r="C23" s="89"/>
      <c r="D23" s="48">
        <f t="shared" si="1"/>
        <v>0</v>
      </c>
      <c r="F23" s="77"/>
      <c r="G23" s="79"/>
      <c r="H23" s="229"/>
      <c r="I23" s="230"/>
      <c r="J23" s="23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 t="s">
        <v>121</v>
      </c>
      <c r="C24" s="89"/>
      <c r="D24" s="48">
        <f t="shared" si="1"/>
        <v>0</v>
      </c>
      <c r="F24" s="77"/>
      <c r="G24" s="79"/>
      <c r="H24" s="229"/>
      <c r="I24" s="230"/>
      <c r="J24" s="23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 t="s">
        <v>139</v>
      </c>
      <c r="C26" s="89"/>
      <c r="D26" s="48">
        <f t="shared" si="1"/>
        <v>0</v>
      </c>
      <c r="F26" s="75" t="s">
        <v>147</v>
      </c>
      <c r="G26" s="65"/>
      <c r="H26" s="178">
        <v>87612</v>
      </c>
      <c r="I26" s="178"/>
      <c r="J26" s="178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5"/>
      <c r="B27" s="14" t="s">
        <v>110</v>
      </c>
      <c r="C27" s="89"/>
      <c r="D27" s="44">
        <f t="shared" si="1"/>
        <v>0</v>
      </c>
      <c r="F27" s="71"/>
      <c r="G27" s="84"/>
      <c r="H27" s="231"/>
      <c r="I27" s="232"/>
      <c r="J27" s="23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 t="s">
        <v>97</v>
      </c>
      <c r="C28" s="89">
        <v>1</v>
      </c>
      <c r="D28" s="48">
        <f t="shared" si="1"/>
        <v>785</v>
      </c>
      <c r="F28" s="87"/>
      <c r="G28" s="61"/>
      <c r="H28" s="188"/>
      <c r="I28" s="189"/>
      <c r="J28" s="19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176285</v>
      </c>
      <c r="F29" s="162" t="s">
        <v>55</v>
      </c>
      <c r="G29" s="163"/>
      <c r="H29" s="166">
        <f>H15-H16-H17-H18-H19-H20-H22-H23-H24+H26+H27+H28</f>
        <v>237675.5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120</v>
      </c>
      <c r="H34" s="194">
        <f t="shared" ref="H34:H39" si="2">F34*G34</f>
        <v>120000</v>
      </c>
      <c r="I34" s="195"/>
      <c r="J34" s="19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>
        <v>48</v>
      </c>
      <c r="H35" s="194">
        <f t="shared" si="2"/>
        <v>24000</v>
      </c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>
        <v>28</v>
      </c>
      <c r="D36" s="12">
        <f>C36*1.5</f>
        <v>42</v>
      </c>
      <c r="F36" s="12">
        <v>200</v>
      </c>
      <c r="G36" s="37">
        <v>1</v>
      </c>
      <c r="H36" s="194">
        <f t="shared" si="2"/>
        <v>200</v>
      </c>
      <c r="I36" s="195"/>
      <c r="J36" s="19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4" t="s">
        <v>72</v>
      </c>
      <c r="B37" s="28" t="s">
        <v>66</v>
      </c>
      <c r="C37" s="53">
        <v>209</v>
      </c>
      <c r="D37" s="12">
        <f>C37*111</f>
        <v>23199</v>
      </c>
      <c r="F37" s="12">
        <v>100</v>
      </c>
      <c r="G37" s="39">
        <v>35</v>
      </c>
      <c r="H37" s="194">
        <f t="shared" si="2"/>
        <v>3500</v>
      </c>
      <c r="I37" s="195"/>
      <c r="J37" s="19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5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5</v>
      </c>
      <c r="H38" s="194">
        <f t="shared" si="2"/>
        <v>250</v>
      </c>
      <c r="I38" s="195"/>
      <c r="J38" s="19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6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94">
        <f t="shared" si="2"/>
        <v>0</v>
      </c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>
        <v>11</v>
      </c>
      <c r="D40" s="12">
        <f>C40*111</f>
        <v>1221</v>
      </c>
      <c r="F40" s="12">
        <v>10</v>
      </c>
      <c r="G40" s="42"/>
      <c r="H40" s="194"/>
      <c r="I40" s="195"/>
      <c r="J40" s="19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6"/>
      <c r="B42" s="27" t="s">
        <v>70</v>
      </c>
      <c r="C42" s="11">
        <v>6</v>
      </c>
      <c r="D42" s="12">
        <f>C42*2.25</f>
        <v>13.5</v>
      </c>
      <c r="F42" s="39" t="s">
        <v>79</v>
      </c>
      <c r="G42" s="194">
        <v>2143</v>
      </c>
      <c r="H42" s="195"/>
      <c r="I42" s="195"/>
      <c r="J42" s="19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84" t="s">
        <v>83</v>
      </c>
      <c r="H43" s="200" t="s">
        <v>13</v>
      </c>
      <c r="I43" s="201"/>
      <c r="J43" s="20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8"/>
      <c r="B44" s="27" t="s">
        <v>66</v>
      </c>
      <c r="C44" s="10">
        <v>2</v>
      </c>
      <c r="D44" s="12">
        <f>C44*120</f>
        <v>240</v>
      </c>
      <c r="F44" s="37" t="s">
        <v>148</v>
      </c>
      <c r="G44" s="99" t="s">
        <v>149</v>
      </c>
      <c r="H44" s="178">
        <v>87612</v>
      </c>
      <c r="I44" s="178"/>
      <c r="J44" s="17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98"/>
      <c r="B45" s="27" t="s">
        <v>68</v>
      </c>
      <c r="C45" s="33">
        <v>3</v>
      </c>
      <c r="D45" s="12">
        <f>C45*84</f>
        <v>252</v>
      </c>
      <c r="F45" s="37"/>
      <c r="G45" s="62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/>
      <c r="D46" s="12">
        <f>C46*1.5</f>
        <v>0</v>
      </c>
      <c r="F46" s="37"/>
      <c r="G46" s="62"/>
      <c r="H46" s="178"/>
      <c r="I46" s="178"/>
      <c r="J46" s="178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/>
      <c r="D49" s="12">
        <f>C49*42</f>
        <v>0</v>
      </c>
      <c r="F49" s="219" t="s">
        <v>86</v>
      </c>
      <c r="G49" s="166">
        <f>H34+H35+H36+H37+H38+H39+H40+H41+G42+H44+H45+H46</f>
        <v>237705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>
        <v>22</v>
      </c>
      <c r="D50" s="12">
        <f>C50*1.5</f>
        <v>33</v>
      </c>
      <c r="F50" s="220"/>
      <c r="G50" s="169"/>
      <c r="H50" s="170"/>
      <c r="I50" s="170"/>
      <c r="J50" s="171"/>
      <c r="P50" s="4"/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143</v>
      </c>
      <c r="G51" s="223">
        <f>G49-H29</f>
        <v>29.5</v>
      </c>
      <c r="H51" s="224"/>
      <c r="I51" s="224"/>
      <c r="J51" s="22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8"/>
      <c r="B52" s="29"/>
      <c r="C52" s="33"/>
      <c r="D52" s="45"/>
      <c r="F52" s="222"/>
      <c r="G52" s="226"/>
      <c r="H52" s="227"/>
      <c r="I52" s="227"/>
      <c r="J52" s="22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26221.5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2EF8DC-70A4-46A5-8F90-D43D8A29E3E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0" t="s">
        <v>1</v>
      </c>
      <c r="O1" s="100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1" t="s">
        <v>7</v>
      </c>
      <c r="B4" s="102"/>
      <c r="C4" s="102"/>
      <c r="D4" s="103"/>
      <c r="F4" s="104" t="s">
        <v>8</v>
      </c>
      <c r="G4" s="106">
        <v>2</v>
      </c>
      <c r="H4" s="108" t="s">
        <v>9</v>
      </c>
      <c r="I4" s="110">
        <v>45964</v>
      </c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5"/>
      <c r="B6" s="16" t="s">
        <v>15</v>
      </c>
      <c r="C6" s="10">
        <v>329</v>
      </c>
      <c r="D6" s="13">
        <f t="shared" ref="D6:D28" si="1">C6*L6</f>
        <v>242473</v>
      </c>
      <c r="F6" s="117" t="s">
        <v>16</v>
      </c>
      <c r="G6" s="119" t="s">
        <v>134</v>
      </c>
      <c r="H6" s="120"/>
      <c r="I6" s="120"/>
      <c r="J6" s="12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5"/>
      <c r="B7" s="16" t="s">
        <v>18</v>
      </c>
      <c r="C7" s="10"/>
      <c r="D7" s="13">
        <f t="shared" si="1"/>
        <v>0</v>
      </c>
      <c r="F7" s="118"/>
      <c r="G7" s="122"/>
      <c r="H7" s="123"/>
      <c r="I7" s="123"/>
      <c r="J7" s="12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5"/>
      <c r="B8" s="16" t="s">
        <v>20</v>
      </c>
      <c r="C8" s="10"/>
      <c r="D8" s="13">
        <f t="shared" si="1"/>
        <v>0</v>
      </c>
      <c r="F8" s="125" t="s">
        <v>21</v>
      </c>
      <c r="G8" s="127" t="s">
        <v>114</v>
      </c>
      <c r="H8" s="128"/>
      <c r="I8" s="128"/>
      <c r="J8" s="1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5"/>
      <c r="B9" s="16" t="s">
        <v>23</v>
      </c>
      <c r="C9" s="10">
        <v>13</v>
      </c>
      <c r="D9" s="13">
        <f t="shared" si="1"/>
        <v>9191</v>
      </c>
      <c r="F9" s="118"/>
      <c r="G9" s="130"/>
      <c r="H9" s="131"/>
      <c r="I9" s="131"/>
      <c r="J9" s="1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5"/>
      <c r="B10" t="s">
        <v>25</v>
      </c>
      <c r="C10" s="10"/>
      <c r="D10" s="13">
        <f t="shared" si="1"/>
        <v>0</v>
      </c>
      <c r="F10" s="117" t="s">
        <v>26</v>
      </c>
      <c r="G10" s="133" t="s">
        <v>115</v>
      </c>
      <c r="H10" s="134"/>
      <c r="I10" s="134"/>
      <c r="J10" s="135"/>
      <c r="K10" s="8"/>
      <c r="L10" s="6">
        <f>R36</f>
        <v>972</v>
      </c>
      <c r="P10" s="4"/>
      <c r="Q10" s="4"/>
      <c r="R10" s="5"/>
    </row>
    <row r="11" spans="1:18" ht="15.75" x14ac:dyDescent="0.25">
      <c r="A11" s="115"/>
      <c r="B11" s="17" t="s">
        <v>28</v>
      </c>
      <c r="C11" s="10"/>
      <c r="D11" s="13">
        <f t="shared" si="1"/>
        <v>0</v>
      </c>
      <c r="F11" s="118"/>
      <c r="G11" s="130"/>
      <c r="H11" s="131"/>
      <c r="I11" s="131"/>
      <c r="J11" s="1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5"/>
      <c r="B12" s="17" t="s">
        <v>30</v>
      </c>
      <c r="C12" s="10"/>
      <c r="D12" s="48">
        <f t="shared" si="1"/>
        <v>0</v>
      </c>
      <c r="F12" s="136" t="s">
        <v>33</v>
      </c>
      <c r="G12" s="137"/>
      <c r="H12" s="137"/>
      <c r="I12" s="137"/>
      <c r="J12" s="1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5"/>
      <c r="B13" s="17" t="s">
        <v>32</v>
      </c>
      <c r="C13" s="10">
        <v>10</v>
      </c>
      <c r="D13" s="48">
        <f t="shared" si="1"/>
        <v>3070</v>
      </c>
      <c r="F13" s="139" t="s">
        <v>36</v>
      </c>
      <c r="G13" s="140"/>
      <c r="H13" s="141">
        <f>D29</f>
        <v>254855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5"/>
      <c r="B14" s="14" t="s">
        <v>35</v>
      </c>
      <c r="C14" s="10">
        <v>11</v>
      </c>
      <c r="D14" s="31">
        <f t="shared" si="1"/>
        <v>121</v>
      </c>
      <c r="F14" s="144" t="s">
        <v>39</v>
      </c>
      <c r="G14" s="145"/>
      <c r="H14" s="146">
        <f>D54</f>
        <v>38556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5"/>
      <c r="B15" s="14" t="s">
        <v>38</v>
      </c>
      <c r="C15" s="10"/>
      <c r="D15" s="31">
        <f t="shared" si="1"/>
        <v>0</v>
      </c>
      <c r="F15" s="149" t="s">
        <v>40</v>
      </c>
      <c r="G15" s="140"/>
      <c r="H15" s="150">
        <f>H13-H14</f>
        <v>216299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3">
        <f>1998+1071</f>
        <v>3069</v>
      </c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B17" t="s">
        <v>93</v>
      </c>
      <c r="C17" s="10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3"/>
      <c r="I19" s="233"/>
      <c r="J19" s="23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26"/>
      <c r="I20" s="126"/>
      <c r="J20" s="12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5"/>
      <c r="B22" s="46" t="s">
        <v>104</v>
      </c>
      <c r="C22" s="10"/>
      <c r="D22" s="48">
        <f t="shared" si="1"/>
        <v>0</v>
      </c>
      <c r="F22" s="72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 t="s">
        <v>107</v>
      </c>
      <c r="C23" s="10"/>
      <c r="D23" s="48">
        <f t="shared" si="1"/>
        <v>0</v>
      </c>
      <c r="F23" s="25"/>
      <c r="G23" s="37"/>
      <c r="H23" s="177"/>
      <c r="I23" s="178"/>
      <c r="J23" s="17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 t="s">
        <v>123</v>
      </c>
      <c r="C24" s="10"/>
      <c r="D24" s="48">
        <f t="shared" si="1"/>
        <v>0</v>
      </c>
      <c r="F24" s="38"/>
      <c r="G24" s="37"/>
      <c r="H24" s="177"/>
      <c r="I24" s="178"/>
      <c r="J24" s="17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 t="s">
        <v>105</v>
      </c>
      <c r="C26" s="10"/>
      <c r="D26" s="48">
        <f t="shared" si="1"/>
        <v>0</v>
      </c>
      <c r="F26" s="64"/>
      <c r="G26" s="10"/>
      <c r="H26" s="182"/>
      <c r="I26" s="183"/>
      <c r="J26" s="18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5"/>
      <c r="B27" s="14" t="s">
        <v>109</v>
      </c>
      <c r="C27" s="10"/>
      <c r="D27" s="44">
        <f t="shared" si="1"/>
        <v>0</v>
      </c>
      <c r="F27" s="14"/>
      <c r="G27" s="14"/>
      <c r="H27" s="185"/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 t="s">
        <v>97</v>
      </c>
      <c r="C28" s="10"/>
      <c r="D28" s="48">
        <f t="shared" si="1"/>
        <v>0</v>
      </c>
      <c r="F28" s="87"/>
      <c r="G28" s="61"/>
      <c r="H28" s="188"/>
      <c r="I28" s="189"/>
      <c r="J28" s="19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254855</v>
      </c>
      <c r="F29" s="162" t="s">
        <v>55</v>
      </c>
      <c r="G29" s="163"/>
      <c r="H29" s="166">
        <f>H15-H16-H17-H18-H19-H20-H22-H23-H24+H26+H27</f>
        <v>213230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73</v>
      </c>
      <c r="H34" s="194">
        <f>F34*G34</f>
        <v>73000</v>
      </c>
      <c r="I34" s="195"/>
      <c r="J34" s="19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>
        <v>9</v>
      </c>
      <c r="H35" s="194">
        <f t="shared" ref="H35:H39" si="2">F35*G35</f>
        <v>4500</v>
      </c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94">
        <f>F36*G36</f>
        <v>400</v>
      </c>
      <c r="I36" s="195"/>
      <c r="J36" s="19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4" t="s">
        <v>72</v>
      </c>
      <c r="B37" s="28" t="s">
        <v>66</v>
      </c>
      <c r="C37" s="53">
        <v>341</v>
      </c>
      <c r="D37" s="12">
        <f>C37*111</f>
        <v>37851</v>
      </c>
      <c r="F37" s="12">
        <v>100</v>
      </c>
      <c r="G37" s="39"/>
      <c r="H37" s="194">
        <f t="shared" si="2"/>
        <v>0</v>
      </c>
      <c r="I37" s="195"/>
      <c r="J37" s="19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5"/>
      <c r="B38" s="29" t="s">
        <v>68</v>
      </c>
      <c r="C38" s="54">
        <v>3</v>
      </c>
      <c r="D38" s="12">
        <f>C38*84</f>
        <v>252</v>
      </c>
      <c r="F38" s="30">
        <v>50</v>
      </c>
      <c r="G38" s="39"/>
      <c r="H38" s="194">
        <f t="shared" si="2"/>
        <v>0</v>
      </c>
      <c r="I38" s="195"/>
      <c r="J38" s="19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6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94">
        <f t="shared" si="2"/>
        <v>0</v>
      </c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5"/>
      <c r="B41" s="27" t="s">
        <v>68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6"/>
      <c r="B42" s="27" t="s">
        <v>70</v>
      </c>
      <c r="C42" s="11"/>
      <c r="D42" s="12">
        <f>C42*2.25</f>
        <v>0</v>
      </c>
      <c r="F42" s="39" t="s">
        <v>79</v>
      </c>
      <c r="G42" s="194">
        <v>105</v>
      </c>
      <c r="H42" s="195"/>
      <c r="I42" s="195"/>
      <c r="J42" s="19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84" t="s">
        <v>83</v>
      </c>
      <c r="H43" s="200" t="s">
        <v>13</v>
      </c>
      <c r="I43" s="201"/>
      <c r="J43" s="202"/>
      <c r="K43" s="21"/>
      <c r="P43" s="4"/>
      <c r="Q43" s="4"/>
      <c r="R43" s="5"/>
    </row>
    <row r="44" spans="1:18" ht="15.75" x14ac:dyDescent="0.25">
      <c r="A44" s="198"/>
      <c r="B44" s="27" t="s">
        <v>66</v>
      </c>
      <c r="C44" s="10"/>
      <c r="D44" s="12">
        <f>C44*120</f>
        <v>0</v>
      </c>
      <c r="F44" s="37" t="s">
        <v>144</v>
      </c>
      <c r="G44" s="62" t="s">
        <v>145</v>
      </c>
      <c r="H44" s="178">
        <v>134760</v>
      </c>
      <c r="I44" s="178"/>
      <c r="J44" s="178"/>
      <c r="K44" s="21"/>
      <c r="P44" s="4"/>
      <c r="Q44" s="4"/>
      <c r="R44" s="5"/>
    </row>
    <row r="45" spans="1:18" ht="15.75" x14ac:dyDescent="0.25">
      <c r="A45" s="198"/>
      <c r="B45" s="27" t="s">
        <v>68</v>
      </c>
      <c r="C45" s="33"/>
      <c r="D45" s="12">
        <f>C45*84</f>
        <v>0</v>
      </c>
      <c r="F45" s="37"/>
      <c r="G45" s="62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/>
      <c r="D46" s="12">
        <f>C46*1.5</f>
        <v>0</v>
      </c>
      <c r="F46" s="37"/>
      <c r="G46" s="85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/>
      <c r="D48" s="12">
        <f>C48*78</f>
        <v>0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>
        <v>10</v>
      </c>
      <c r="D49" s="12">
        <f>C49*42</f>
        <v>420</v>
      </c>
      <c r="F49" s="219" t="s">
        <v>86</v>
      </c>
      <c r="G49" s="166">
        <f>H34+H35+H36+H37+H38+H39+H40+H41+G42+H44+H45+H46</f>
        <v>212765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>
        <v>10</v>
      </c>
      <c r="D50" s="12">
        <f>C50*1.5</f>
        <v>15</v>
      </c>
      <c r="F50" s="220"/>
      <c r="G50" s="169"/>
      <c r="H50" s="170"/>
      <c r="I50" s="170"/>
      <c r="J50" s="171"/>
      <c r="P50" s="4"/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132</v>
      </c>
      <c r="G51" s="234">
        <f>G49-H29</f>
        <v>-465</v>
      </c>
      <c r="H51" s="235"/>
      <c r="I51" s="235"/>
      <c r="J51" s="23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8"/>
      <c r="B52" s="29"/>
      <c r="C52" s="33"/>
      <c r="D52" s="45"/>
      <c r="F52" s="222"/>
      <c r="G52" s="237"/>
      <c r="H52" s="238"/>
      <c r="I52" s="238"/>
      <c r="J52" s="23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38556</v>
      </c>
      <c r="F54" s="21"/>
      <c r="J54" s="34"/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2C5A33-CB43-46F6-B08E-4260FA9D7C3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0" t="s">
        <v>1</v>
      </c>
      <c r="O1" s="100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1" t="s">
        <v>7</v>
      </c>
      <c r="B4" s="102"/>
      <c r="C4" s="102"/>
      <c r="D4" s="103"/>
      <c r="F4" s="104" t="s">
        <v>8</v>
      </c>
      <c r="G4" s="106">
        <v>3</v>
      </c>
      <c r="H4" s="108" t="s">
        <v>9</v>
      </c>
      <c r="I4" s="110">
        <v>45964</v>
      </c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5"/>
      <c r="B6" s="16" t="s">
        <v>15</v>
      </c>
      <c r="C6" s="10">
        <v>264</v>
      </c>
      <c r="D6" s="13">
        <f t="shared" ref="D6:D28" si="1">C6*L6</f>
        <v>194568</v>
      </c>
      <c r="F6" s="117" t="s">
        <v>16</v>
      </c>
      <c r="G6" s="119" t="s">
        <v>111</v>
      </c>
      <c r="H6" s="120"/>
      <c r="I6" s="120"/>
      <c r="J6" s="12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5"/>
      <c r="B7" s="16" t="s">
        <v>18</v>
      </c>
      <c r="C7" s="10">
        <v>5</v>
      </c>
      <c r="D7" s="13">
        <f t="shared" si="1"/>
        <v>3625</v>
      </c>
      <c r="F7" s="118"/>
      <c r="G7" s="122"/>
      <c r="H7" s="123"/>
      <c r="I7" s="123"/>
      <c r="J7" s="12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5"/>
      <c r="B8" s="16" t="s">
        <v>20</v>
      </c>
      <c r="C8" s="10"/>
      <c r="D8" s="13">
        <f t="shared" si="1"/>
        <v>0</v>
      </c>
      <c r="F8" s="125" t="s">
        <v>21</v>
      </c>
      <c r="G8" s="127" t="s">
        <v>119</v>
      </c>
      <c r="H8" s="128"/>
      <c r="I8" s="128"/>
      <c r="J8" s="1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5"/>
      <c r="B9" s="16" t="s">
        <v>23</v>
      </c>
      <c r="C9" s="10">
        <v>44</v>
      </c>
      <c r="D9" s="13">
        <f t="shared" si="1"/>
        <v>31108</v>
      </c>
      <c r="F9" s="118"/>
      <c r="G9" s="130"/>
      <c r="H9" s="131"/>
      <c r="I9" s="131"/>
      <c r="J9" s="1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5"/>
      <c r="B10" t="s">
        <v>25</v>
      </c>
      <c r="C10" s="10">
        <v>1</v>
      </c>
      <c r="D10" s="13">
        <f t="shared" si="1"/>
        <v>972</v>
      </c>
      <c r="F10" s="117" t="s">
        <v>26</v>
      </c>
      <c r="G10" s="133" t="s">
        <v>137</v>
      </c>
      <c r="H10" s="134"/>
      <c r="I10" s="134"/>
      <c r="J10" s="135"/>
      <c r="K10" s="8"/>
      <c r="L10" s="6">
        <f>R36</f>
        <v>972</v>
      </c>
      <c r="P10" s="4"/>
      <c r="Q10" s="4"/>
      <c r="R10" s="5"/>
    </row>
    <row r="11" spans="1:18" ht="15.75" x14ac:dyDescent="0.25">
      <c r="A11" s="115"/>
      <c r="B11" s="17" t="s">
        <v>28</v>
      </c>
      <c r="C11" s="10">
        <v>1</v>
      </c>
      <c r="D11" s="13">
        <f t="shared" si="1"/>
        <v>1125</v>
      </c>
      <c r="F11" s="118"/>
      <c r="G11" s="130"/>
      <c r="H11" s="131"/>
      <c r="I11" s="131"/>
      <c r="J11" s="1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5"/>
      <c r="B12" s="17" t="s">
        <v>30</v>
      </c>
      <c r="C12" s="10">
        <f>1</f>
        <v>1</v>
      </c>
      <c r="D12" s="48">
        <f t="shared" si="1"/>
        <v>952</v>
      </c>
      <c r="F12" s="136" t="s">
        <v>33</v>
      </c>
      <c r="G12" s="137"/>
      <c r="H12" s="137"/>
      <c r="I12" s="137"/>
      <c r="J12" s="1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5"/>
      <c r="B13" s="17" t="s">
        <v>32</v>
      </c>
      <c r="C13" s="10">
        <v>5</v>
      </c>
      <c r="D13" s="48">
        <f t="shared" si="1"/>
        <v>1535</v>
      </c>
      <c r="F13" s="139" t="s">
        <v>36</v>
      </c>
      <c r="G13" s="140"/>
      <c r="H13" s="141">
        <f>D29</f>
        <v>237953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5"/>
      <c r="B14" s="14" t="s">
        <v>35</v>
      </c>
      <c r="C14" s="10">
        <v>13</v>
      </c>
      <c r="D14" s="31">
        <f t="shared" si="1"/>
        <v>143</v>
      </c>
      <c r="F14" s="144" t="s">
        <v>39</v>
      </c>
      <c r="G14" s="145"/>
      <c r="H14" s="146">
        <f>D54</f>
        <v>37326.75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5"/>
      <c r="B15" s="14" t="s">
        <v>38</v>
      </c>
      <c r="C15" s="10"/>
      <c r="D15" s="31">
        <f t="shared" si="1"/>
        <v>0</v>
      </c>
      <c r="F15" s="149" t="s">
        <v>40</v>
      </c>
      <c r="G15" s="140"/>
      <c r="H15" s="150">
        <f>H13-H14</f>
        <v>200626.25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3">
        <f>840+990</f>
        <v>1830</v>
      </c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B17" t="s">
        <v>113</v>
      </c>
      <c r="C17" s="10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0"/>
      <c r="I19" s="240"/>
      <c r="J19" s="24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3"/>
      <c r="I20" s="153"/>
      <c r="J20" s="15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5"/>
      <c r="B22" s="46" t="s">
        <v>104</v>
      </c>
      <c r="C22" s="10"/>
      <c r="D22" s="48">
        <f t="shared" si="1"/>
        <v>0</v>
      </c>
      <c r="F22" s="77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 t="s">
        <v>107</v>
      </c>
      <c r="C23" s="10"/>
      <c r="D23" s="48">
        <f t="shared" si="1"/>
        <v>0</v>
      </c>
      <c r="F23" s="78"/>
      <c r="G23" s="79"/>
      <c r="H23" s="177"/>
      <c r="I23" s="178"/>
      <c r="J23" s="17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 t="s">
        <v>101</v>
      </c>
      <c r="C24" s="10"/>
      <c r="D24" s="48">
        <f t="shared" si="1"/>
        <v>0</v>
      </c>
      <c r="F24" s="38"/>
      <c r="G24" s="37"/>
      <c r="H24" s="177"/>
      <c r="I24" s="178"/>
      <c r="J24" s="17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 t="s">
        <v>105</v>
      </c>
      <c r="C26" s="10"/>
      <c r="D26" s="48">
        <f t="shared" si="1"/>
        <v>0</v>
      </c>
      <c r="F26" s="64"/>
      <c r="G26" s="59"/>
      <c r="H26" s="182"/>
      <c r="I26" s="183"/>
      <c r="J26" s="18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5"/>
      <c r="B27" s="14" t="s">
        <v>109</v>
      </c>
      <c r="C27" s="10"/>
      <c r="D27" s="44">
        <f t="shared" si="1"/>
        <v>0</v>
      </c>
      <c r="F27" s="25"/>
      <c r="G27" s="80"/>
      <c r="H27" s="185"/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 t="s">
        <v>97</v>
      </c>
      <c r="C28" s="10">
        <v>5</v>
      </c>
      <c r="D28" s="48">
        <f t="shared" si="1"/>
        <v>3925</v>
      </c>
      <c r="F28" s="87"/>
      <c r="G28" s="61"/>
      <c r="H28" s="188"/>
      <c r="I28" s="189"/>
      <c r="J28" s="19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237953</v>
      </c>
      <c r="F29" s="162" t="s">
        <v>55</v>
      </c>
      <c r="G29" s="163"/>
      <c r="H29" s="166">
        <f>H15-H16-H17-H18-H19-H20-H22-H23-H24+H26+H27</f>
        <v>198796.25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103</v>
      </c>
      <c r="H34" s="194">
        <f>F34*G34</f>
        <v>103000</v>
      </c>
      <c r="I34" s="195"/>
      <c r="J34" s="19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>
        <v>20</v>
      </c>
      <c r="H35" s="194">
        <f>F35*G35</f>
        <v>10000</v>
      </c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/>
      <c r="D36" s="12">
        <f>C36*1.5</f>
        <v>0</v>
      </c>
      <c r="F36" s="12">
        <v>200</v>
      </c>
      <c r="G36" s="37"/>
      <c r="H36" s="194">
        <f t="shared" ref="H36:H39" si="2">F36*G36</f>
        <v>0</v>
      </c>
      <c r="I36" s="195"/>
      <c r="J36" s="19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4" t="s">
        <v>72</v>
      </c>
      <c r="B37" s="28" t="s">
        <v>66</v>
      </c>
      <c r="C37" s="53">
        <v>322</v>
      </c>
      <c r="D37" s="12">
        <f>C37*111</f>
        <v>35742</v>
      </c>
      <c r="F37" s="12">
        <v>100</v>
      </c>
      <c r="G37" s="39">
        <v>7</v>
      </c>
      <c r="H37" s="194">
        <f t="shared" si="2"/>
        <v>700</v>
      </c>
      <c r="I37" s="195"/>
      <c r="J37" s="19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5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3</v>
      </c>
      <c r="H38" s="194">
        <f t="shared" si="2"/>
        <v>150</v>
      </c>
      <c r="I38" s="195"/>
      <c r="J38" s="19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6"/>
      <c r="B39" s="29" t="s">
        <v>70</v>
      </c>
      <c r="C39" s="52"/>
      <c r="D39" s="31">
        <f>C39*4.5</f>
        <v>0</v>
      </c>
      <c r="F39" s="12">
        <v>20</v>
      </c>
      <c r="G39" s="37"/>
      <c r="H39" s="194">
        <f t="shared" si="2"/>
        <v>0</v>
      </c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94"/>
      <c r="I40" s="195"/>
      <c r="J40" s="19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6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94">
        <v>521</v>
      </c>
      <c r="H42" s="195"/>
      <c r="I42" s="195"/>
      <c r="J42" s="19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84" t="s">
        <v>83</v>
      </c>
      <c r="H43" s="200" t="s">
        <v>13</v>
      </c>
      <c r="I43" s="201"/>
      <c r="J43" s="202"/>
      <c r="K43" s="21"/>
      <c r="P43" s="4"/>
      <c r="Q43" s="4"/>
      <c r="R43" s="5"/>
    </row>
    <row r="44" spans="1:18" ht="15.75" x14ac:dyDescent="0.25">
      <c r="A44" s="198"/>
      <c r="B44" s="27" t="s">
        <v>66</v>
      </c>
      <c r="C44" s="10">
        <v>2</v>
      </c>
      <c r="D44" s="12">
        <f>C44*120</f>
        <v>240</v>
      </c>
      <c r="F44" s="37" t="s">
        <v>144</v>
      </c>
      <c r="G44" s="76" t="s">
        <v>146</v>
      </c>
      <c r="H44" s="178">
        <v>84520</v>
      </c>
      <c r="I44" s="178"/>
      <c r="J44" s="178"/>
      <c r="K44" s="21"/>
      <c r="P44" s="4"/>
      <c r="Q44" s="4"/>
      <c r="R44" s="5"/>
    </row>
    <row r="45" spans="1:18" ht="15.75" x14ac:dyDescent="0.25">
      <c r="A45" s="198"/>
      <c r="B45" s="27" t="s">
        <v>68</v>
      </c>
      <c r="C45" s="33">
        <v>1</v>
      </c>
      <c r="D45" s="12">
        <f>C45*84</f>
        <v>84</v>
      </c>
      <c r="F45" s="37"/>
      <c r="G45" s="76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>
        <v>3</v>
      </c>
      <c r="D46" s="12">
        <f>C46*1.5</f>
        <v>4.5</v>
      </c>
      <c r="F46" s="37"/>
      <c r="G46" s="62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/>
      <c r="D49" s="12">
        <f>C49*42</f>
        <v>0</v>
      </c>
      <c r="F49" s="219" t="s">
        <v>86</v>
      </c>
      <c r="G49" s="166">
        <f>H34+H35+H36+H37+H38+H39+H40+H41+G42+H44+H45+H46</f>
        <v>198891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>
        <v>3</v>
      </c>
      <c r="D50" s="12">
        <f>C50*1.5</f>
        <v>4.5</v>
      </c>
      <c r="F50" s="220"/>
      <c r="G50" s="169"/>
      <c r="H50" s="170"/>
      <c r="I50" s="170"/>
      <c r="J50" s="171"/>
      <c r="P50" s="4"/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143</v>
      </c>
      <c r="G51" s="223">
        <f>G49-H29</f>
        <v>94.75</v>
      </c>
      <c r="H51" s="224"/>
      <c r="I51" s="224"/>
      <c r="J51" s="22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8"/>
      <c r="B52" s="29"/>
      <c r="C52" s="33"/>
      <c r="D52" s="45"/>
      <c r="F52" s="222"/>
      <c r="G52" s="226"/>
      <c r="H52" s="227"/>
      <c r="I52" s="227"/>
      <c r="J52" s="22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37326.75</v>
      </c>
      <c r="F54" s="21"/>
      <c r="J54" s="34"/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8245C-2F03-4D7E-9D64-49283D24D41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0" t="s">
        <v>1</v>
      </c>
      <c r="O1" s="100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1" t="s">
        <v>7</v>
      </c>
      <c r="B4" s="102"/>
      <c r="C4" s="102"/>
      <c r="D4" s="103"/>
      <c r="F4" s="104" t="s">
        <v>8</v>
      </c>
      <c r="G4" s="106"/>
      <c r="H4" s="108" t="s">
        <v>9</v>
      </c>
      <c r="I4" s="110"/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5"/>
      <c r="B6" s="16"/>
      <c r="C6" s="10"/>
      <c r="D6" s="13">
        <f t="shared" ref="D6:D28" si="1">C6*L6</f>
        <v>0</v>
      </c>
      <c r="F6" s="117" t="s">
        <v>16</v>
      </c>
      <c r="G6" s="119"/>
      <c r="H6" s="120"/>
      <c r="I6" s="120"/>
      <c r="J6" s="12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5"/>
      <c r="B7" s="16"/>
      <c r="C7" s="10"/>
      <c r="D7" s="13">
        <f t="shared" si="1"/>
        <v>0</v>
      </c>
      <c r="F7" s="118"/>
      <c r="G7" s="122"/>
      <c r="H7" s="123"/>
      <c r="I7" s="123"/>
      <c r="J7" s="12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5"/>
      <c r="B8" s="16"/>
      <c r="C8" s="10"/>
      <c r="D8" s="13">
        <f t="shared" si="1"/>
        <v>0</v>
      </c>
      <c r="F8" s="125" t="s">
        <v>21</v>
      </c>
      <c r="G8" s="127"/>
      <c r="H8" s="128"/>
      <c r="I8" s="128"/>
      <c r="J8" s="12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5"/>
      <c r="B9" s="16"/>
      <c r="C9" s="10"/>
      <c r="D9" s="13">
        <f t="shared" si="1"/>
        <v>0</v>
      </c>
      <c r="F9" s="118"/>
      <c r="G9" s="130"/>
      <c r="H9" s="131"/>
      <c r="I9" s="131"/>
      <c r="J9" s="13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5"/>
      <c r="C10" s="10"/>
      <c r="D10" s="13">
        <f t="shared" si="1"/>
        <v>0</v>
      </c>
      <c r="F10" s="117" t="s">
        <v>26</v>
      </c>
      <c r="G10" s="133"/>
      <c r="H10" s="134"/>
      <c r="I10" s="134"/>
      <c r="J10" s="135"/>
      <c r="K10" s="8"/>
      <c r="L10" s="6">
        <f>R36</f>
        <v>972</v>
      </c>
      <c r="P10" s="4"/>
      <c r="Q10" s="4"/>
      <c r="R10" s="5"/>
    </row>
    <row r="11" spans="1:19" ht="15.75" x14ac:dyDescent="0.25">
      <c r="A11" s="115"/>
      <c r="B11" s="17"/>
      <c r="C11" s="10"/>
      <c r="D11" s="13">
        <f t="shared" si="1"/>
        <v>0</v>
      </c>
      <c r="F11" s="118"/>
      <c r="G11" s="130"/>
      <c r="H11" s="131"/>
      <c r="I11" s="131"/>
      <c r="J11" s="1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5"/>
      <c r="B12" s="17"/>
      <c r="C12" s="10"/>
      <c r="D12" s="48">
        <f t="shared" si="1"/>
        <v>0</v>
      </c>
      <c r="F12" s="136" t="s">
        <v>33</v>
      </c>
      <c r="G12" s="137"/>
      <c r="H12" s="137"/>
      <c r="I12" s="137"/>
      <c r="J12" s="1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5"/>
      <c r="B13" s="17"/>
      <c r="C13" s="10"/>
      <c r="D13" s="48">
        <f t="shared" si="1"/>
        <v>0</v>
      </c>
      <c r="F13" s="139" t="s">
        <v>36</v>
      </c>
      <c r="G13" s="140"/>
      <c r="H13" s="141">
        <f>D29</f>
        <v>0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5"/>
      <c r="B14" s="14"/>
      <c r="C14" s="10"/>
      <c r="D14" s="31">
        <f t="shared" si="1"/>
        <v>0</v>
      </c>
      <c r="F14" s="144" t="s">
        <v>39</v>
      </c>
      <c r="G14" s="145"/>
      <c r="H14" s="146">
        <f>D54</f>
        <v>0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5"/>
      <c r="B15" s="14"/>
      <c r="C15" s="10"/>
      <c r="D15" s="31">
        <f t="shared" si="1"/>
        <v>0</v>
      </c>
      <c r="F15" s="149" t="s">
        <v>40</v>
      </c>
      <c r="G15" s="140"/>
      <c r="H15" s="150">
        <f>H13-H14</f>
        <v>0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C17" s="10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/>
      <c r="C18" s="10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/>
      <c r="C19" s="10"/>
      <c r="D19" s="48">
        <f t="shared" si="1"/>
        <v>0</v>
      </c>
      <c r="F19" s="56"/>
      <c r="G19" s="68" t="s">
        <v>50</v>
      </c>
      <c r="H19" s="172"/>
      <c r="I19" s="172"/>
      <c r="J19" s="17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5"/>
      <c r="B20" s="46"/>
      <c r="C20" s="10"/>
      <c r="D20" s="13">
        <f t="shared" si="1"/>
        <v>0</v>
      </c>
      <c r="F20" s="57"/>
      <c r="G20" s="70" t="s">
        <v>120</v>
      </c>
      <c r="H20" s="153"/>
      <c r="I20" s="153"/>
      <c r="J20" s="15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5"/>
      <c r="B22" s="46"/>
      <c r="C22" s="10"/>
      <c r="D22" s="48">
        <f t="shared" si="1"/>
        <v>0</v>
      </c>
      <c r="F22" s="77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/>
      <c r="C23" s="10"/>
      <c r="D23" s="48">
        <f t="shared" si="1"/>
        <v>0</v>
      </c>
      <c r="F23" s="78"/>
      <c r="G23" s="79"/>
      <c r="H23" s="177"/>
      <c r="I23" s="178"/>
      <c r="J23" s="17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/>
      <c r="C24" s="10"/>
      <c r="D24" s="48">
        <f t="shared" si="1"/>
        <v>0</v>
      </c>
      <c r="F24" s="38"/>
      <c r="G24" s="37"/>
      <c r="H24" s="177"/>
      <c r="I24" s="178"/>
      <c r="J24" s="17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/>
      <c r="C26" s="10"/>
      <c r="D26" s="48">
        <f t="shared" si="1"/>
        <v>0</v>
      </c>
      <c r="F26" s="64"/>
      <c r="G26" s="59"/>
      <c r="H26" s="182"/>
      <c r="I26" s="183"/>
      <c r="J26" s="18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5"/>
      <c r="B27" s="14"/>
      <c r="C27" s="10"/>
      <c r="D27" s="44">
        <f t="shared" si="1"/>
        <v>0</v>
      </c>
      <c r="F27" s="25"/>
      <c r="G27" s="80"/>
      <c r="H27" s="185"/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/>
      <c r="C28" s="10"/>
      <c r="D28" s="48">
        <f t="shared" si="1"/>
        <v>0</v>
      </c>
      <c r="F28" s="91"/>
      <c r="G28" s="61"/>
      <c r="H28" s="188"/>
      <c r="I28" s="189"/>
      <c r="J28" s="19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62" t="s">
        <v>55</v>
      </c>
      <c r="G29" s="163"/>
      <c r="H29" s="166">
        <f>H15-H16-H17-H18-H19-H20-H22-H23-H24+H26+H27</f>
        <v>0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4"/>
      <c r="I34" s="195"/>
      <c r="J34" s="19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/>
      <c r="H35" s="194"/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/>
      <c r="D36" s="12">
        <f>C36*1.5</f>
        <v>0</v>
      </c>
      <c r="F36" s="12">
        <v>200</v>
      </c>
      <c r="G36" s="37"/>
      <c r="H36" s="194"/>
      <c r="I36" s="195"/>
      <c r="J36" s="19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4"/>
      <c r="I37" s="195"/>
      <c r="J37" s="19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5"/>
      <c r="B38" s="29" t="s">
        <v>68</v>
      </c>
      <c r="C38" s="54"/>
      <c r="D38" s="12">
        <f>C38*84</f>
        <v>0</v>
      </c>
      <c r="F38" s="30">
        <v>50</v>
      </c>
      <c r="G38" s="39"/>
      <c r="H38" s="194"/>
      <c r="I38" s="195"/>
      <c r="J38" s="19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6"/>
      <c r="B39" s="29" t="s">
        <v>70</v>
      </c>
      <c r="C39" s="52"/>
      <c r="D39" s="31">
        <f>C39*4.5</f>
        <v>0</v>
      </c>
      <c r="F39" s="12">
        <v>20</v>
      </c>
      <c r="G39" s="37"/>
      <c r="H39" s="194"/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5"/>
      <c r="B41" s="27" t="s">
        <v>68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6"/>
      <c r="B42" s="27" t="s">
        <v>70</v>
      </c>
      <c r="C42" s="11"/>
      <c r="D42" s="12">
        <f>C42*2.25</f>
        <v>0</v>
      </c>
      <c r="F42" s="39" t="s">
        <v>79</v>
      </c>
      <c r="G42" s="194"/>
      <c r="H42" s="195"/>
      <c r="I42" s="195"/>
      <c r="J42" s="19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94" t="s">
        <v>83</v>
      </c>
      <c r="H43" s="200" t="s">
        <v>13</v>
      </c>
      <c r="I43" s="201"/>
      <c r="J43" s="202"/>
      <c r="K43" s="21"/>
      <c r="P43" s="4"/>
      <c r="Q43" s="4"/>
      <c r="R43" s="5"/>
    </row>
    <row r="44" spans="1:18" ht="15.75" x14ac:dyDescent="0.25">
      <c r="A44" s="198"/>
      <c r="B44" s="27" t="s">
        <v>66</v>
      </c>
      <c r="C44" s="10"/>
      <c r="D44" s="12">
        <f>C44*120</f>
        <v>0</v>
      </c>
      <c r="F44" s="37"/>
      <c r="G44" s="76"/>
      <c r="H44" s="178"/>
      <c r="I44" s="178"/>
      <c r="J44" s="178"/>
      <c r="K44" s="21"/>
      <c r="P44" s="4"/>
      <c r="Q44" s="4"/>
      <c r="R44" s="5"/>
    </row>
    <row r="45" spans="1:18" ht="15.75" x14ac:dyDescent="0.25">
      <c r="A45" s="198"/>
      <c r="B45" s="27" t="s">
        <v>68</v>
      </c>
      <c r="C45" s="33"/>
      <c r="D45" s="12">
        <f>C45*84</f>
        <v>0</v>
      </c>
      <c r="F45" s="37"/>
      <c r="G45" s="76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/>
      <c r="D46" s="12">
        <f>C46*1.5</f>
        <v>0</v>
      </c>
      <c r="F46" s="37"/>
      <c r="G46" s="62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/>
      <c r="D48" s="12">
        <f>C48*78</f>
        <v>0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/>
      <c r="D49" s="12">
        <f>C49*42</f>
        <v>0</v>
      </c>
      <c r="F49" s="219" t="s">
        <v>86</v>
      </c>
      <c r="G49" s="166">
        <f>H34+H35+H36+H37+H38+H39+H40+H41+G42+H44+H45+H46</f>
        <v>0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/>
      <c r="D50" s="12">
        <f>C50*1.5</f>
        <v>0</v>
      </c>
      <c r="F50" s="220"/>
      <c r="G50" s="169"/>
      <c r="H50" s="170"/>
      <c r="I50" s="170"/>
      <c r="J50" s="171"/>
      <c r="P50" s="4"/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128</v>
      </c>
      <c r="G51" s="223">
        <f>G49-H29</f>
        <v>0</v>
      </c>
      <c r="H51" s="224"/>
      <c r="I51" s="224"/>
      <c r="J51" s="22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8"/>
      <c r="B52" s="29"/>
      <c r="C52" s="33"/>
      <c r="D52" s="45"/>
      <c r="F52" s="222"/>
      <c r="G52" s="226"/>
      <c r="H52" s="227"/>
      <c r="I52" s="227"/>
      <c r="J52" s="22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0</v>
      </c>
      <c r="F54" s="21"/>
      <c r="J54" s="34"/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91848E-CC0D-44E8-9ADE-BC5E64489F5B}">
  <dimension ref="A1:R59"/>
  <sheetViews>
    <sheetView topLeftCell="A25" zoomScaleNormal="100" zoomScaleSheetLayoutView="85" workbookViewId="0">
      <selection activeCell="B57" sqref="B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0" t="s">
        <v>1</v>
      </c>
      <c r="O1" s="100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1" t="s">
        <v>7</v>
      </c>
      <c r="B4" s="102"/>
      <c r="C4" s="102"/>
      <c r="D4" s="103"/>
      <c r="F4" s="104" t="s">
        <v>8</v>
      </c>
      <c r="G4" s="106">
        <v>1</v>
      </c>
      <c r="H4" s="108" t="s">
        <v>9</v>
      </c>
      <c r="I4" s="110">
        <v>45965</v>
      </c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5"/>
      <c r="B6" s="16" t="s">
        <v>15</v>
      </c>
      <c r="C6" s="89"/>
      <c r="D6" s="13">
        <f t="shared" ref="D6:D28" si="1">C6*L6</f>
        <v>0</v>
      </c>
      <c r="F6" s="117" t="s">
        <v>16</v>
      </c>
      <c r="G6" s="119" t="s">
        <v>129</v>
      </c>
      <c r="H6" s="120"/>
      <c r="I6" s="120"/>
      <c r="J6" s="12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5"/>
      <c r="B7" s="16" t="s">
        <v>18</v>
      </c>
      <c r="C7" s="89"/>
      <c r="D7" s="13">
        <f t="shared" si="1"/>
        <v>0</v>
      </c>
      <c r="F7" s="118"/>
      <c r="G7" s="122"/>
      <c r="H7" s="123"/>
      <c r="I7" s="123"/>
      <c r="J7" s="12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5"/>
      <c r="B8" s="16" t="s">
        <v>20</v>
      </c>
      <c r="C8" s="89"/>
      <c r="D8" s="13">
        <f t="shared" si="1"/>
        <v>0</v>
      </c>
      <c r="F8" s="125" t="s">
        <v>21</v>
      </c>
      <c r="G8" s="127" t="s">
        <v>112</v>
      </c>
      <c r="H8" s="128"/>
      <c r="I8" s="128"/>
      <c r="J8" s="1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5"/>
      <c r="B9" s="16" t="s">
        <v>23</v>
      </c>
      <c r="C9" s="89"/>
      <c r="D9" s="13">
        <f t="shared" si="1"/>
        <v>0</v>
      </c>
      <c r="F9" s="118"/>
      <c r="G9" s="130"/>
      <c r="H9" s="131"/>
      <c r="I9" s="131"/>
      <c r="J9" s="1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5"/>
      <c r="B10" t="s">
        <v>25</v>
      </c>
      <c r="C10" s="89"/>
      <c r="D10" s="13">
        <f t="shared" si="1"/>
        <v>0</v>
      </c>
      <c r="F10" s="117" t="s">
        <v>26</v>
      </c>
      <c r="G10" s="133" t="s">
        <v>130</v>
      </c>
      <c r="H10" s="134"/>
      <c r="I10" s="134"/>
      <c r="J10" s="135"/>
      <c r="K10" s="8"/>
      <c r="L10" s="6">
        <f>R36</f>
        <v>972</v>
      </c>
      <c r="P10" s="4"/>
      <c r="Q10" s="4"/>
      <c r="R10" s="5"/>
    </row>
    <row r="11" spans="1:18" ht="15.75" x14ac:dyDescent="0.25">
      <c r="A11" s="115"/>
      <c r="B11" s="17" t="s">
        <v>28</v>
      </c>
      <c r="C11" s="89"/>
      <c r="D11" s="13">
        <f t="shared" si="1"/>
        <v>0</v>
      </c>
      <c r="F11" s="118"/>
      <c r="G11" s="130"/>
      <c r="H11" s="131"/>
      <c r="I11" s="131"/>
      <c r="J11" s="1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5"/>
      <c r="B12" s="17" t="s">
        <v>30</v>
      </c>
      <c r="C12" s="89"/>
      <c r="D12" s="48">
        <f t="shared" si="1"/>
        <v>0</v>
      </c>
      <c r="F12" s="136" t="s">
        <v>33</v>
      </c>
      <c r="G12" s="137"/>
      <c r="H12" s="137"/>
      <c r="I12" s="137"/>
      <c r="J12" s="1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5"/>
      <c r="B13" s="17" t="s">
        <v>32</v>
      </c>
      <c r="C13" s="89"/>
      <c r="D13" s="48">
        <f t="shared" si="1"/>
        <v>0</v>
      </c>
      <c r="F13" s="139" t="s">
        <v>36</v>
      </c>
      <c r="G13" s="140"/>
      <c r="H13" s="141">
        <f>D29</f>
        <v>0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5"/>
      <c r="B14" s="14" t="s">
        <v>35</v>
      </c>
      <c r="C14" s="89"/>
      <c r="D14" s="31">
        <f t="shared" si="1"/>
        <v>0</v>
      </c>
      <c r="F14" s="144" t="s">
        <v>39</v>
      </c>
      <c r="G14" s="145"/>
      <c r="H14" s="146">
        <f>D54</f>
        <v>0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5"/>
      <c r="B15" s="14" t="s">
        <v>38</v>
      </c>
      <c r="C15" s="89"/>
      <c r="D15" s="31">
        <f t="shared" si="1"/>
        <v>0</v>
      </c>
      <c r="F15" s="149" t="s">
        <v>40</v>
      </c>
      <c r="G15" s="140"/>
      <c r="H15" s="150">
        <f>H13-H14</f>
        <v>0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5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B17" t="s">
        <v>140</v>
      </c>
      <c r="C17" s="89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26"/>
      <c r="I19" s="126"/>
      <c r="J19" s="126"/>
      <c r="L19" s="6">
        <v>1102</v>
      </c>
      <c r="Q19" s="4"/>
      <c r="R19" s="5">
        <f t="shared" si="0"/>
        <v>0</v>
      </c>
    </row>
    <row r="20" spans="1:18" ht="15.75" x14ac:dyDescent="0.25">
      <c r="A20" s="115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53"/>
      <c r="I20" s="153"/>
      <c r="J20" s="15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5"/>
      <c r="B22" s="46" t="s">
        <v>127</v>
      </c>
      <c r="C22" s="89"/>
      <c r="D22" s="48">
        <f t="shared" si="1"/>
        <v>0</v>
      </c>
      <c r="F22" s="77"/>
      <c r="G22" s="73"/>
      <c r="H22" s="176"/>
      <c r="I22" s="176"/>
      <c r="J22" s="17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 t="s">
        <v>101</v>
      </c>
      <c r="C23" s="89"/>
      <c r="D23" s="48">
        <f t="shared" si="1"/>
        <v>0</v>
      </c>
      <c r="F23" s="77"/>
      <c r="G23" s="79"/>
      <c r="H23" s="229"/>
      <c r="I23" s="230"/>
      <c r="J23" s="23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 t="s">
        <v>121</v>
      </c>
      <c r="C24" s="89"/>
      <c r="D24" s="48">
        <f t="shared" si="1"/>
        <v>0</v>
      </c>
      <c r="F24" s="77"/>
      <c r="G24" s="79"/>
      <c r="H24" s="229"/>
      <c r="I24" s="230"/>
      <c r="J24" s="23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 t="s">
        <v>139</v>
      </c>
      <c r="C26" s="89"/>
      <c r="D26" s="48">
        <f t="shared" si="1"/>
        <v>0</v>
      </c>
      <c r="F26" s="75"/>
      <c r="G26" s="65"/>
      <c r="H26" s="178"/>
      <c r="I26" s="178"/>
      <c r="J26" s="178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5"/>
      <c r="B27" s="14" t="s">
        <v>110</v>
      </c>
      <c r="C27" s="89"/>
      <c r="D27" s="44">
        <f t="shared" si="1"/>
        <v>0</v>
      </c>
      <c r="F27" s="71"/>
      <c r="G27" s="94"/>
      <c r="H27" s="231"/>
      <c r="I27" s="232"/>
      <c r="J27" s="23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 t="s">
        <v>97</v>
      </c>
      <c r="C28" s="89"/>
      <c r="D28" s="48">
        <f t="shared" si="1"/>
        <v>0</v>
      </c>
      <c r="F28" s="91"/>
      <c r="G28" s="61"/>
      <c r="H28" s="188"/>
      <c r="I28" s="189"/>
      <c r="J28" s="19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62" t="s">
        <v>55</v>
      </c>
      <c r="G29" s="163"/>
      <c r="H29" s="166">
        <f>H15-H16-H17-H18-H19-H20-H22-H23-H24+H26+H27+H28</f>
        <v>0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94">
        <f t="shared" ref="H34:H39" si="2">F34*G34</f>
        <v>0</v>
      </c>
      <c r="I34" s="195"/>
      <c r="J34" s="19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/>
      <c r="H35" s="194">
        <f t="shared" si="2"/>
        <v>0</v>
      </c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/>
      <c r="D36" s="12">
        <f>C36*1.5</f>
        <v>0</v>
      </c>
      <c r="F36" s="12">
        <v>200</v>
      </c>
      <c r="G36" s="37"/>
      <c r="H36" s="194">
        <f t="shared" si="2"/>
        <v>0</v>
      </c>
      <c r="I36" s="195"/>
      <c r="J36" s="19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4">
        <f t="shared" si="2"/>
        <v>0</v>
      </c>
      <c r="I37" s="195"/>
      <c r="J37" s="19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5"/>
      <c r="B38" s="29" t="s">
        <v>68</v>
      </c>
      <c r="C38" s="54"/>
      <c r="D38" s="12">
        <f>C38*84</f>
        <v>0</v>
      </c>
      <c r="F38" s="30">
        <v>50</v>
      </c>
      <c r="G38" s="39"/>
      <c r="H38" s="194">
        <f t="shared" si="2"/>
        <v>0</v>
      </c>
      <c r="I38" s="195"/>
      <c r="J38" s="19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6"/>
      <c r="B39" s="29" t="s">
        <v>70</v>
      </c>
      <c r="C39" s="52"/>
      <c r="D39" s="31">
        <f>C39*4.5</f>
        <v>0</v>
      </c>
      <c r="F39" s="12">
        <v>20</v>
      </c>
      <c r="G39" s="37"/>
      <c r="H39" s="194">
        <f t="shared" si="2"/>
        <v>0</v>
      </c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5"/>
      <c r="B41" s="27" t="s">
        <v>68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6"/>
      <c r="B42" s="27" t="s">
        <v>70</v>
      </c>
      <c r="C42" s="11"/>
      <c r="D42" s="12">
        <f>C42*2.25</f>
        <v>0</v>
      </c>
      <c r="F42" s="39" t="s">
        <v>79</v>
      </c>
      <c r="G42" s="194"/>
      <c r="H42" s="195"/>
      <c r="I42" s="195"/>
      <c r="J42" s="19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94" t="s">
        <v>83</v>
      </c>
      <c r="H43" s="200" t="s">
        <v>13</v>
      </c>
      <c r="I43" s="201"/>
      <c r="J43" s="20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8"/>
      <c r="B44" s="27" t="s">
        <v>66</v>
      </c>
      <c r="C44" s="10"/>
      <c r="D44" s="12">
        <f>C44*120</f>
        <v>0</v>
      </c>
      <c r="F44" s="37"/>
      <c r="G44" s="62"/>
      <c r="H44" s="178"/>
      <c r="I44" s="178"/>
      <c r="J44" s="17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98"/>
      <c r="B45" s="27" t="s">
        <v>68</v>
      </c>
      <c r="C45" s="33"/>
      <c r="D45" s="12">
        <f>C45*84</f>
        <v>0</v>
      </c>
      <c r="F45" s="37"/>
      <c r="G45" s="62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/>
      <c r="D46" s="12">
        <f>C46*1.5</f>
        <v>0</v>
      </c>
      <c r="F46" s="37"/>
      <c r="G46" s="62"/>
      <c r="H46" s="178"/>
      <c r="I46" s="178"/>
      <c r="J46" s="178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/>
      <c r="D48" s="12">
        <f>C48*78</f>
        <v>0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/>
      <c r="D49" s="12">
        <f>C49*42</f>
        <v>0</v>
      </c>
      <c r="F49" s="219" t="s">
        <v>86</v>
      </c>
      <c r="G49" s="166">
        <f>H34+H35+H36+H37+H38+H39+H40+H41+G42+H44+H45+H46</f>
        <v>0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/>
      <c r="D50" s="12">
        <f>C50*1.5</f>
        <v>0</v>
      </c>
      <c r="F50" s="220"/>
      <c r="G50" s="169"/>
      <c r="H50" s="170"/>
      <c r="I50" s="170"/>
      <c r="J50" s="171"/>
      <c r="P50" s="4"/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131</v>
      </c>
      <c r="G51" s="234">
        <f>G49-H29</f>
        <v>0</v>
      </c>
      <c r="H51" s="235"/>
      <c r="I51" s="235"/>
      <c r="J51" s="23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8"/>
      <c r="B52" s="29"/>
      <c r="C52" s="33"/>
      <c r="D52" s="45"/>
      <c r="F52" s="222"/>
      <c r="G52" s="237"/>
      <c r="H52" s="238"/>
      <c r="I52" s="238"/>
      <c r="J52" s="23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9D251-BBF9-4740-B033-9F19104E1F9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0" t="s">
        <v>1</v>
      </c>
      <c r="O1" s="100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1" t="s">
        <v>7</v>
      </c>
      <c r="B4" s="102"/>
      <c r="C4" s="102"/>
      <c r="D4" s="103"/>
      <c r="F4" s="104" t="s">
        <v>8</v>
      </c>
      <c r="G4" s="106">
        <v>2</v>
      </c>
      <c r="H4" s="108" t="s">
        <v>9</v>
      </c>
      <c r="I4" s="110">
        <v>45965</v>
      </c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5"/>
      <c r="B6" s="16" t="s">
        <v>15</v>
      </c>
      <c r="C6" s="10">
        <v>342</v>
      </c>
      <c r="D6" s="13">
        <f t="shared" ref="D6:D28" si="1">C6*L6</f>
        <v>252054</v>
      </c>
      <c r="F6" s="117" t="s">
        <v>16</v>
      </c>
      <c r="G6" s="119" t="s">
        <v>150</v>
      </c>
      <c r="H6" s="120"/>
      <c r="I6" s="120"/>
      <c r="J6" s="12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5"/>
      <c r="B7" s="16" t="s">
        <v>18</v>
      </c>
      <c r="C7" s="10">
        <v>10</v>
      </c>
      <c r="D7" s="13">
        <f t="shared" si="1"/>
        <v>7250</v>
      </c>
      <c r="F7" s="118"/>
      <c r="G7" s="122"/>
      <c r="H7" s="123"/>
      <c r="I7" s="123"/>
      <c r="J7" s="12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5"/>
      <c r="B8" s="16" t="s">
        <v>20</v>
      </c>
      <c r="C8" s="10"/>
      <c r="D8" s="13">
        <f t="shared" si="1"/>
        <v>0</v>
      </c>
      <c r="F8" s="125" t="s">
        <v>21</v>
      </c>
      <c r="G8" s="127" t="s">
        <v>114</v>
      </c>
      <c r="H8" s="128"/>
      <c r="I8" s="128"/>
      <c r="J8" s="1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5"/>
      <c r="B9" s="16" t="s">
        <v>23</v>
      </c>
      <c r="C9" s="10">
        <v>50</v>
      </c>
      <c r="D9" s="13">
        <f t="shared" si="1"/>
        <v>35350</v>
      </c>
      <c r="F9" s="118"/>
      <c r="G9" s="130"/>
      <c r="H9" s="131"/>
      <c r="I9" s="131"/>
      <c r="J9" s="1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5"/>
      <c r="B10" t="s">
        <v>25</v>
      </c>
      <c r="C10" s="10"/>
      <c r="D10" s="13">
        <f t="shared" si="1"/>
        <v>0</v>
      </c>
      <c r="F10" s="117" t="s">
        <v>26</v>
      </c>
      <c r="G10" s="133" t="s">
        <v>115</v>
      </c>
      <c r="H10" s="134"/>
      <c r="I10" s="134"/>
      <c r="J10" s="135"/>
      <c r="K10" s="8"/>
      <c r="L10" s="6">
        <f>R36</f>
        <v>972</v>
      </c>
      <c r="P10" s="4"/>
      <c r="Q10" s="4"/>
      <c r="R10" s="5"/>
    </row>
    <row r="11" spans="1:18" ht="15.75" x14ac:dyDescent="0.25">
      <c r="A11" s="115"/>
      <c r="B11" s="17" t="s">
        <v>28</v>
      </c>
      <c r="C11" s="10"/>
      <c r="D11" s="13">
        <f t="shared" si="1"/>
        <v>0</v>
      </c>
      <c r="F11" s="118"/>
      <c r="G11" s="130"/>
      <c r="H11" s="131"/>
      <c r="I11" s="131"/>
      <c r="J11" s="1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5"/>
      <c r="B12" s="17" t="s">
        <v>30</v>
      </c>
      <c r="C12" s="10"/>
      <c r="D12" s="48">
        <f t="shared" si="1"/>
        <v>0</v>
      </c>
      <c r="F12" s="136" t="s">
        <v>33</v>
      </c>
      <c r="G12" s="137"/>
      <c r="H12" s="137"/>
      <c r="I12" s="137"/>
      <c r="J12" s="1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5"/>
      <c r="B13" s="17" t="s">
        <v>32</v>
      </c>
      <c r="C13" s="10">
        <v>15</v>
      </c>
      <c r="D13" s="48">
        <f t="shared" si="1"/>
        <v>4605</v>
      </c>
      <c r="F13" s="139" t="s">
        <v>36</v>
      </c>
      <c r="G13" s="140"/>
      <c r="H13" s="141">
        <f>D29</f>
        <v>299270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5"/>
      <c r="B14" s="14" t="s">
        <v>35</v>
      </c>
      <c r="C14" s="10">
        <v>1</v>
      </c>
      <c r="D14" s="31">
        <f t="shared" si="1"/>
        <v>11</v>
      </c>
      <c r="F14" s="144" t="s">
        <v>39</v>
      </c>
      <c r="G14" s="145"/>
      <c r="H14" s="146">
        <f>D54</f>
        <v>49524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5"/>
      <c r="B15" s="14" t="s">
        <v>38</v>
      </c>
      <c r="C15" s="10"/>
      <c r="D15" s="31">
        <f t="shared" si="1"/>
        <v>0</v>
      </c>
      <c r="F15" s="149" t="s">
        <v>40</v>
      </c>
      <c r="G15" s="140"/>
      <c r="H15" s="150">
        <f>H13-H14</f>
        <v>249746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3">
        <f>399*9</f>
        <v>3591</v>
      </c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B17" t="s">
        <v>93</v>
      </c>
      <c r="C17" s="10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3"/>
      <c r="I19" s="233"/>
      <c r="J19" s="23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26"/>
      <c r="I20" s="126"/>
      <c r="J20" s="12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5"/>
      <c r="B22" s="46" t="s">
        <v>104</v>
      </c>
      <c r="C22" s="10"/>
      <c r="D22" s="48">
        <f t="shared" si="1"/>
        <v>0</v>
      </c>
      <c r="F22" s="72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 t="s">
        <v>107</v>
      </c>
      <c r="C23" s="10"/>
      <c r="D23" s="48">
        <f t="shared" si="1"/>
        <v>0</v>
      </c>
      <c r="F23" s="25"/>
      <c r="G23" s="37"/>
      <c r="H23" s="177"/>
      <c r="I23" s="178"/>
      <c r="J23" s="17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 t="s">
        <v>123</v>
      </c>
      <c r="C24" s="10"/>
      <c r="D24" s="48">
        <f t="shared" si="1"/>
        <v>0</v>
      </c>
      <c r="F24" s="38"/>
      <c r="G24" s="37"/>
      <c r="H24" s="177"/>
      <c r="I24" s="178"/>
      <c r="J24" s="17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 t="s">
        <v>105</v>
      </c>
      <c r="C26" s="10"/>
      <c r="D26" s="48">
        <f t="shared" si="1"/>
        <v>0</v>
      </c>
      <c r="F26" s="64"/>
      <c r="G26" s="10"/>
      <c r="H26" s="182"/>
      <c r="I26" s="183"/>
      <c r="J26" s="18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5"/>
      <c r="B27" s="14" t="s">
        <v>109</v>
      </c>
      <c r="C27" s="10"/>
      <c r="D27" s="44">
        <f t="shared" si="1"/>
        <v>0</v>
      </c>
      <c r="F27" s="14"/>
      <c r="G27" s="14"/>
      <c r="H27" s="185"/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 t="s">
        <v>97</v>
      </c>
      <c r="C28" s="10"/>
      <c r="D28" s="48">
        <f t="shared" si="1"/>
        <v>0</v>
      </c>
      <c r="F28" s="91"/>
      <c r="G28" s="61"/>
      <c r="H28" s="188"/>
      <c r="I28" s="189"/>
      <c r="J28" s="19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299270</v>
      </c>
      <c r="F29" s="162" t="s">
        <v>55</v>
      </c>
      <c r="G29" s="163"/>
      <c r="H29" s="166">
        <f>H15-H16-H17-H18-H19-H20-H22-H23-H24+H26+H27</f>
        <v>246155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103</v>
      </c>
      <c r="H34" s="194">
        <f>F34*G34</f>
        <v>103000</v>
      </c>
      <c r="I34" s="195"/>
      <c r="J34" s="19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>
        <v>115</v>
      </c>
      <c r="H35" s="194">
        <f t="shared" ref="H35:H39" si="2">F35*G35</f>
        <v>57500</v>
      </c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94">
        <f>F36*G36</f>
        <v>200</v>
      </c>
      <c r="I36" s="195"/>
      <c r="J36" s="19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4" t="s">
        <v>72</v>
      </c>
      <c r="B37" s="28" t="s">
        <v>66</v>
      </c>
      <c r="C37" s="53">
        <v>412</v>
      </c>
      <c r="D37" s="12">
        <f>C37*111</f>
        <v>45732</v>
      </c>
      <c r="F37" s="12">
        <v>100</v>
      </c>
      <c r="G37" s="39">
        <v>708</v>
      </c>
      <c r="H37" s="194">
        <f t="shared" si="2"/>
        <v>70800</v>
      </c>
      <c r="I37" s="195"/>
      <c r="J37" s="19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5"/>
      <c r="B38" s="29" t="s">
        <v>68</v>
      </c>
      <c r="C38" s="54">
        <v>25</v>
      </c>
      <c r="D38" s="12">
        <f>C38*84</f>
        <v>2100</v>
      </c>
      <c r="F38" s="30">
        <v>50</v>
      </c>
      <c r="G38" s="39">
        <v>305</v>
      </c>
      <c r="H38" s="194">
        <f t="shared" si="2"/>
        <v>15250</v>
      </c>
      <c r="I38" s="195"/>
      <c r="J38" s="19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6"/>
      <c r="B39" s="29" t="s">
        <v>70</v>
      </c>
      <c r="C39" s="52"/>
      <c r="D39" s="31">
        <f>C39*4.5</f>
        <v>0</v>
      </c>
      <c r="F39" s="12">
        <v>20</v>
      </c>
      <c r="G39" s="37"/>
      <c r="H39" s="194">
        <f t="shared" si="2"/>
        <v>0</v>
      </c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5"/>
      <c r="B41" s="27" t="s">
        <v>68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6"/>
      <c r="B42" s="27" t="s">
        <v>70</v>
      </c>
      <c r="C42" s="11"/>
      <c r="D42" s="12">
        <f>C42*2.25</f>
        <v>0</v>
      </c>
      <c r="F42" s="39" t="s">
        <v>79</v>
      </c>
      <c r="G42" s="194">
        <v>20</v>
      </c>
      <c r="H42" s="195"/>
      <c r="I42" s="195"/>
      <c r="J42" s="19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94" t="s">
        <v>83</v>
      </c>
      <c r="H43" s="200" t="s">
        <v>13</v>
      </c>
      <c r="I43" s="201"/>
      <c r="J43" s="202"/>
      <c r="K43" s="21"/>
      <c r="P43" s="4"/>
      <c r="Q43" s="4"/>
      <c r="R43" s="5"/>
    </row>
    <row r="44" spans="1:18" ht="15.75" x14ac:dyDescent="0.25">
      <c r="A44" s="198"/>
      <c r="B44" s="27" t="s">
        <v>66</v>
      </c>
      <c r="C44" s="10"/>
      <c r="D44" s="12">
        <f>C44*120</f>
        <v>0</v>
      </c>
      <c r="F44" s="37"/>
      <c r="G44" s="62"/>
      <c r="H44" s="178"/>
      <c r="I44" s="178"/>
      <c r="J44" s="178"/>
      <c r="K44" s="21"/>
      <c r="P44" s="4"/>
      <c r="Q44" s="4"/>
      <c r="R44" s="5"/>
    </row>
    <row r="45" spans="1:18" ht="15.75" x14ac:dyDescent="0.25">
      <c r="A45" s="198"/>
      <c r="B45" s="27" t="s">
        <v>68</v>
      </c>
      <c r="C45" s="33"/>
      <c r="D45" s="12">
        <f>C45*84</f>
        <v>0</v>
      </c>
      <c r="F45" s="37"/>
      <c r="G45" s="62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/>
      <c r="D46" s="12">
        <f>C46*1.5</f>
        <v>0</v>
      </c>
      <c r="F46" s="37"/>
      <c r="G46" s="93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>
        <v>31</v>
      </c>
      <c r="D49" s="12">
        <f>C49*42</f>
        <v>1302</v>
      </c>
      <c r="F49" s="219" t="s">
        <v>86</v>
      </c>
      <c r="G49" s="166">
        <f>H34+H35+H36+H37+H38+H39+H40+H41+G42+H44+H45+H46</f>
        <v>246770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/>
      <c r="D50" s="12">
        <f>C50*1.5</f>
        <v>0</v>
      </c>
      <c r="F50" s="220"/>
      <c r="G50" s="169"/>
      <c r="H50" s="170"/>
      <c r="I50" s="170"/>
      <c r="J50" s="171"/>
      <c r="P50" s="4"/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156</v>
      </c>
      <c r="G51" s="223">
        <f>G49-H29</f>
        <v>615</v>
      </c>
      <c r="H51" s="224"/>
      <c r="I51" s="224"/>
      <c r="J51" s="22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8"/>
      <c r="B52" s="29"/>
      <c r="C52" s="33"/>
      <c r="D52" s="45"/>
      <c r="F52" s="222"/>
      <c r="G52" s="226"/>
      <c r="H52" s="227"/>
      <c r="I52" s="227"/>
      <c r="J52" s="22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49524</v>
      </c>
      <c r="F54" s="21"/>
      <c r="J54" s="34"/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2C741-6CC8-4F85-B062-DB0A34186CB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0" t="s">
        <v>1</v>
      </c>
      <c r="O1" s="100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1" t="s">
        <v>7</v>
      </c>
      <c r="B4" s="102"/>
      <c r="C4" s="102"/>
      <c r="D4" s="103"/>
      <c r="F4" s="104" t="s">
        <v>8</v>
      </c>
      <c r="G4" s="106" t="s">
        <v>152</v>
      </c>
      <c r="H4" s="108" t="s">
        <v>9</v>
      </c>
      <c r="I4" s="110">
        <v>45965</v>
      </c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5"/>
      <c r="B6" s="16" t="s">
        <v>15</v>
      </c>
      <c r="C6" s="10">
        <v>703</v>
      </c>
      <c r="D6" s="13">
        <f t="shared" ref="D6:D28" si="1">C6*L6</f>
        <v>518111</v>
      </c>
      <c r="F6" s="117" t="s">
        <v>16</v>
      </c>
      <c r="G6" s="119" t="s">
        <v>111</v>
      </c>
      <c r="H6" s="120"/>
      <c r="I6" s="120"/>
      <c r="J6" s="12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5"/>
      <c r="B7" s="16" t="s">
        <v>18</v>
      </c>
      <c r="C7" s="10">
        <v>16</v>
      </c>
      <c r="D7" s="13">
        <f t="shared" si="1"/>
        <v>11600</v>
      </c>
      <c r="F7" s="118"/>
      <c r="G7" s="122"/>
      <c r="H7" s="123"/>
      <c r="I7" s="123"/>
      <c r="J7" s="12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5"/>
      <c r="B8" s="16" t="s">
        <v>20</v>
      </c>
      <c r="C8" s="10">
        <v>2</v>
      </c>
      <c r="D8" s="13">
        <f t="shared" si="1"/>
        <v>2066</v>
      </c>
      <c r="F8" s="125" t="s">
        <v>21</v>
      </c>
      <c r="G8" s="127" t="s">
        <v>119</v>
      </c>
      <c r="H8" s="128"/>
      <c r="I8" s="128"/>
      <c r="J8" s="1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5"/>
      <c r="B9" s="16" t="s">
        <v>23</v>
      </c>
      <c r="C9" s="10">
        <v>147</v>
      </c>
      <c r="D9" s="13">
        <f t="shared" si="1"/>
        <v>103929</v>
      </c>
      <c r="F9" s="118"/>
      <c r="G9" s="130"/>
      <c r="H9" s="131"/>
      <c r="I9" s="131"/>
      <c r="J9" s="1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5"/>
      <c r="B10" t="s">
        <v>25</v>
      </c>
      <c r="C10" s="10">
        <v>2</v>
      </c>
      <c r="D10" s="13">
        <f t="shared" si="1"/>
        <v>1944</v>
      </c>
      <c r="F10" s="117" t="s">
        <v>26</v>
      </c>
      <c r="G10" s="133" t="s">
        <v>137</v>
      </c>
      <c r="H10" s="134"/>
      <c r="I10" s="134"/>
      <c r="J10" s="135"/>
      <c r="K10" s="8"/>
      <c r="L10" s="6">
        <f>R36</f>
        <v>972</v>
      </c>
      <c r="P10" s="4"/>
      <c r="Q10" s="4"/>
      <c r="R10" s="5"/>
    </row>
    <row r="11" spans="1:18" ht="15.75" x14ac:dyDescent="0.25">
      <c r="A11" s="115"/>
      <c r="B11" s="17" t="s">
        <v>28</v>
      </c>
      <c r="C11" s="10">
        <v>3</v>
      </c>
      <c r="D11" s="13">
        <f t="shared" si="1"/>
        <v>3375</v>
      </c>
      <c r="F11" s="118"/>
      <c r="G11" s="130"/>
      <c r="H11" s="131"/>
      <c r="I11" s="131"/>
      <c r="J11" s="1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5"/>
      <c r="B12" s="17" t="s">
        <v>30</v>
      </c>
      <c r="C12" s="10">
        <f>2+1</f>
        <v>3</v>
      </c>
      <c r="D12" s="48">
        <f t="shared" si="1"/>
        <v>2856</v>
      </c>
      <c r="F12" s="136" t="s">
        <v>33</v>
      </c>
      <c r="G12" s="137"/>
      <c r="H12" s="137"/>
      <c r="I12" s="137"/>
      <c r="J12" s="1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5"/>
      <c r="B13" s="17" t="s">
        <v>32</v>
      </c>
      <c r="C13" s="10">
        <v>35</v>
      </c>
      <c r="D13" s="48">
        <f t="shared" si="1"/>
        <v>10745</v>
      </c>
      <c r="F13" s="139" t="s">
        <v>36</v>
      </c>
      <c r="G13" s="140"/>
      <c r="H13" s="141">
        <f>D29</f>
        <v>654670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5"/>
      <c r="B14" s="14" t="s">
        <v>35</v>
      </c>
      <c r="C14" s="10">
        <v>4</v>
      </c>
      <c r="D14" s="31">
        <f t="shared" si="1"/>
        <v>44</v>
      </c>
      <c r="F14" s="144" t="s">
        <v>39</v>
      </c>
      <c r="G14" s="145"/>
      <c r="H14" s="146">
        <f>D54</f>
        <v>112054.5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5"/>
      <c r="B15" s="14" t="s">
        <v>38</v>
      </c>
      <c r="C15" s="10"/>
      <c r="D15" s="31">
        <f t="shared" si="1"/>
        <v>0</v>
      </c>
      <c r="F15" s="149" t="s">
        <v>40</v>
      </c>
      <c r="G15" s="140"/>
      <c r="H15" s="150">
        <f>H13-H14</f>
        <v>542615.5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3">
        <f>1794+3000+672</f>
        <v>5466</v>
      </c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B17" t="s">
        <v>113</v>
      </c>
      <c r="C17" s="10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0"/>
      <c r="I19" s="240"/>
      <c r="J19" s="24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3"/>
      <c r="I20" s="153"/>
      <c r="J20" s="15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5"/>
      <c r="B22" s="46" t="s">
        <v>104</v>
      </c>
      <c r="C22" s="10"/>
      <c r="D22" s="48">
        <f t="shared" si="1"/>
        <v>0</v>
      </c>
      <c r="F22" s="77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 t="s">
        <v>107</v>
      </c>
      <c r="C23" s="10"/>
      <c r="D23" s="48">
        <f t="shared" si="1"/>
        <v>0</v>
      </c>
      <c r="F23" s="78"/>
      <c r="G23" s="79"/>
      <c r="H23" s="177"/>
      <c r="I23" s="178"/>
      <c r="J23" s="17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 t="s">
        <v>101</v>
      </c>
      <c r="C24" s="10"/>
      <c r="D24" s="48">
        <f t="shared" si="1"/>
        <v>0</v>
      </c>
      <c r="F24" s="38"/>
      <c r="G24" s="37"/>
      <c r="H24" s="177"/>
      <c r="I24" s="178"/>
      <c r="J24" s="17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 t="s">
        <v>105</v>
      </c>
      <c r="C26" s="10"/>
      <c r="D26" s="48">
        <f t="shared" si="1"/>
        <v>0</v>
      </c>
      <c r="F26" s="64"/>
      <c r="G26" s="59"/>
      <c r="H26" s="182"/>
      <c r="I26" s="183"/>
      <c r="J26" s="18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5"/>
      <c r="B27" s="14" t="s">
        <v>109</v>
      </c>
      <c r="C27" s="10"/>
      <c r="D27" s="44">
        <f t="shared" si="1"/>
        <v>0</v>
      </c>
      <c r="F27" s="25"/>
      <c r="G27" s="80"/>
      <c r="H27" s="185"/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 t="s">
        <v>97</v>
      </c>
      <c r="C28" s="10"/>
      <c r="D28" s="48">
        <f t="shared" si="1"/>
        <v>0</v>
      </c>
      <c r="F28" s="91"/>
      <c r="G28" s="61"/>
      <c r="H28" s="188"/>
      <c r="I28" s="189"/>
      <c r="J28" s="19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654670</v>
      </c>
      <c r="F29" s="162" t="s">
        <v>55</v>
      </c>
      <c r="G29" s="163"/>
      <c r="H29" s="166">
        <f>H15-H16-H17-H18-H19-H20-H22-H23-H24+H26+H27</f>
        <v>537149.5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29</v>
      </c>
      <c r="H34" s="194">
        <f>F34*G34</f>
        <v>29000</v>
      </c>
      <c r="I34" s="195"/>
      <c r="J34" s="19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>
        <v>46</v>
      </c>
      <c r="H35" s="194">
        <f>F35*G35</f>
        <v>23000</v>
      </c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>
        <v>18</v>
      </c>
      <c r="D36" s="12">
        <f>C36*1.5</f>
        <v>27</v>
      </c>
      <c r="F36" s="12">
        <v>200</v>
      </c>
      <c r="G36" s="37"/>
      <c r="H36" s="194">
        <f t="shared" ref="H36:H39" si="2">F36*G36</f>
        <v>0</v>
      </c>
      <c r="I36" s="195"/>
      <c r="J36" s="19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4" t="s">
        <v>72</v>
      </c>
      <c r="B37" s="28" t="s">
        <v>66</v>
      </c>
      <c r="C37" s="53">
        <v>959</v>
      </c>
      <c r="D37" s="12">
        <f>C37*111</f>
        <v>106449</v>
      </c>
      <c r="F37" s="12">
        <v>100</v>
      </c>
      <c r="G37" s="39">
        <v>2</v>
      </c>
      <c r="H37" s="194">
        <f t="shared" si="2"/>
        <v>200</v>
      </c>
      <c r="I37" s="195"/>
      <c r="J37" s="19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5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1</v>
      </c>
      <c r="H38" s="194">
        <f t="shared" si="2"/>
        <v>50</v>
      </c>
      <c r="I38" s="195"/>
      <c r="J38" s="19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6"/>
      <c r="B39" s="29" t="s">
        <v>70</v>
      </c>
      <c r="C39" s="52"/>
      <c r="D39" s="31">
        <f>C39*4.5</f>
        <v>0</v>
      </c>
      <c r="F39" s="12">
        <v>20</v>
      </c>
      <c r="G39" s="37"/>
      <c r="H39" s="194">
        <f t="shared" si="2"/>
        <v>0</v>
      </c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>
        <v>19</v>
      </c>
      <c r="D40" s="12">
        <f>C40*111</f>
        <v>2109</v>
      </c>
      <c r="F40" s="12">
        <v>10</v>
      </c>
      <c r="G40" s="42"/>
      <c r="H40" s="194"/>
      <c r="I40" s="195"/>
      <c r="J40" s="19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6"/>
      <c r="B42" s="27" t="s">
        <v>70</v>
      </c>
      <c r="C42" s="11">
        <v>8</v>
      </c>
      <c r="D42" s="12">
        <f>C42*2.25</f>
        <v>18</v>
      </c>
      <c r="F42" s="39" t="s">
        <v>79</v>
      </c>
      <c r="G42" s="194">
        <v>40</v>
      </c>
      <c r="H42" s="195"/>
      <c r="I42" s="195"/>
      <c r="J42" s="19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94" t="s">
        <v>83</v>
      </c>
      <c r="H43" s="200" t="s">
        <v>13</v>
      </c>
      <c r="I43" s="201"/>
      <c r="J43" s="202"/>
      <c r="K43" s="21"/>
      <c r="P43" s="4"/>
      <c r="Q43" s="4"/>
      <c r="R43" s="5"/>
    </row>
    <row r="44" spans="1:18" ht="15.75" x14ac:dyDescent="0.25">
      <c r="A44" s="198"/>
      <c r="B44" s="27" t="s">
        <v>66</v>
      </c>
      <c r="C44" s="10">
        <v>6</v>
      </c>
      <c r="D44" s="12">
        <f>C44*120</f>
        <v>720</v>
      </c>
      <c r="F44" s="37" t="s">
        <v>148</v>
      </c>
      <c r="G44" s="76" t="s">
        <v>154</v>
      </c>
      <c r="H44" s="178">
        <v>302372</v>
      </c>
      <c r="I44" s="178"/>
      <c r="J44" s="178"/>
      <c r="K44" s="21"/>
      <c r="P44" s="4"/>
      <c r="Q44" s="4"/>
      <c r="R44" s="5"/>
    </row>
    <row r="45" spans="1:18" ht="15.75" x14ac:dyDescent="0.25">
      <c r="A45" s="198"/>
      <c r="B45" s="27" t="s">
        <v>68</v>
      </c>
      <c r="C45" s="33">
        <v>2</v>
      </c>
      <c r="D45" s="12">
        <f>C45*84</f>
        <v>168</v>
      </c>
      <c r="F45" s="37" t="s">
        <v>148</v>
      </c>
      <c r="G45" s="76" t="s">
        <v>155</v>
      </c>
      <c r="H45" s="178">
        <v>182588</v>
      </c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>
        <v>5</v>
      </c>
      <c r="D46" s="12">
        <f>C46*1.5</f>
        <v>7.5</v>
      </c>
      <c r="F46" s="37"/>
      <c r="G46" s="62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>
        <v>20</v>
      </c>
      <c r="D48" s="12">
        <f>C48*78</f>
        <v>1560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>
        <v>8</v>
      </c>
      <c r="D49" s="12">
        <f>C49*42</f>
        <v>336</v>
      </c>
      <c r="F49" s="219" t="s">
        <v>86</v>
      </c>
      <c r="G49" s="166">
        <f>H34+H35+H36+H37+H38+H39+H40+H41+G42+H44+H45+H46</f>
        <v>537250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/>
      <c r="D50" s="12">
        <f>C50*1.5</f>
        <v>0</v>
      </c>
      <c r="F50" s="220"/>
      <c r="G50" s="169"/>
      <c r="H50" s="170"/>
      <c r="I50" s="170"/>
      <c r="J50" s="171"/>
      <c r="P50" s="4"/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143</v>
      </c>
      <c r="G51" s="223">
        <f>G49-H29</f>
        <v>100.5</v>
      </c>
      <c r="H51" s="224"/>
      <c r="I51" s="224"/>
      <c r="J51" s="22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8"/>
      <c r="B52" s="29"/>
      <c r="C52" s="33"/>
      <c r="D52" s="45"/>
      <c r="F52" s="222"/>
      <c r="G52" s="226"/>
      <c r="H52" s="227"/>
      <c r="I52" s="227"/>
      <c r="J52" s="22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112054.5</v>
      </c>
      <c r="F54" s="21"/>
      <c r="J54" s="34"/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D22540-8CC4-4D2A-93A6-64080A247A1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0" t="s">
        <v>1</v>
      </c>
      <c r="O1" s="100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1" t="s">
        <v>7</v>
      </c>
      <c r="B4" s="102"/>
      <c r="C4" s="102"/>
      <c r="D4" s="103"/>
      <c r="F4" s="104" t="s">
        <v>8</v>
      </c>
      <c r="G4" s="106" t="s">
        <v>153</v>
      </c>
      <c r="H4" s="108" t="s">
        <v>9</v>
      </c>
      <c r="I4" s="110">
        <v>45965</v>
      </c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5"/>
      <c r="B6" s="16" t="s">
        <v>15</v>
      </c>
      <c r="C6" s="10">
        <v>213</v>
      </c>
      <c r="D6" s="13">
        <f t="shared" ref="D6:D28" si="1">C6*L6</f>
        <v>156981</v>
      </c>
      <c r="F6" s="117" t="s">
        <v>16</v>
      </c>
      <c r="G6" s="119" t="s">
        <v>129</v>
      </c>
      <c r="H6" s="120"/>
      <c r="I6" s="120"/>
      <c r="J6" s="12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5"/>
      <c r="B7" s="16" t="s">
        <v>18</v>
      </c>
      <c r="C7" s="10">
        <v>4</v>
      </c>
      <c r="D7" s="13">
        <f t="shared" si="1"/>
        <v>2900</v>
      </c>
      <c r="F7" s="118"/>
      <c r="G7" s="122"/>
      <c r="H7" s="123"/>
      <c r="I7" s="123"/>
      <c r="J7" s="12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5"/>
      <c r="B8" s="16" t="s">
        <v>20</v>
      </c>
      <c r="C8" s="10"/>
      <c r="D8" s="13">
        <f t="shared" si="1"/>
        <v>0</v>
      </c>
      <c r="F8" s="125" t="s">
        <v>21</v>
      </c>
      <c r="G8" s="127" t="s">
        <v>112</v>
      </c>
      <c r="H8" s="128"/>
      <c r="I8" s="128"/>
      <c r="J8" s="1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5"/>
      <c r="B9" s="16" t="s">
        <v>23</v>
      </c>
      <c r="C9" s="10">
        <v>10</v>
      </c>
      <c r="D9" s="13">
        <f t="shared" si="1"/>
        <v>7070</v>
      </c>
      <c r="F9" s="118"/>
      <c r="G9" s="130"/>
      <c r="H9" s="131"/>
      <c r="I9" s="131"/>
      <c r="J9" s="1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5"/>
      <c r="B10" t="s">
        <v>25</v>
      </c>
      <c r="C10" s="10"/>
      <c r="D10" s="13">
        <f t="shared" si="1"/>
        <v>0</v>
      </c>
      <c r="F10" s="117" t="s">
        <v>26</v>
      </c>
      <c r="G10" s="133" t="s">
        <v>130</v>
      </c>
      <c r="H10" s="134"/>
      <c r="I10" s="134"/>
      <c r="J10" s="135"/>
      <c r="K10" s="8"/>
      <c r="L10" s="6">
        <f>R36</f>
        <v>972</v>
      </c>
      <c r="P10" s="4"/>
      <c r="Q10" s="4"/>
      <c r="R10" s="5"/>
    </row>
    <row r="11" spans="1:18" ht="15.75" x14ac:dyDescent="0.25">
      <c r="A11" s="115"/>
      <c r="B11" s="17" t="s">
        <v>28</v>
      </c>
      <c r="C11" s="10"/>
      <c r="D11" s="13">
        <f t="shared" si="1"/>
        <v>0</v>
      </c>
      <c r="F11" s="118"/>
      <c r="G11" s="130"/>
      <c r="H11" s="131"/>
      <c r="I11" s="131"/>
      <c r="J11" s="1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5"/>
      <c r="B12" s="17" t="s">
        <v>30</v>
      </c>
      <c r="C12" s="10"/>
      <c r="D12" s="48">
        <f t="shared" si="1"/>
        <v>0</v>
      </c>
      <c r="F12" s="136" t="s">
        <v>33</v>
      </c>
      <c r="G12" s="137"/>
      <c r="H12" s="137"/>
      <c r="I12" s="137"/>
      <c r="J12" s="1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5"/>
      <c r="B13" s="17" t="s">
        <v>32</v>
      </c>
      <c r="C13" s="10">
        <v>7</v>
      </c>
      <c r="D13" s="48">
        <f t="shared" si="1"/>
        <v>2149</v>
      </c>
      <c r="F13" s="139" t="s">
        <v>36</v>
      </c>
      <c r="G13" s="140"/>
      <c r="H13" s="141">
        <f>D29</f>
        <v>169353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5"/>
      <c r="B14" s="14" t="s">
        <v>35</v>
      </c>
      <c r="C14" s="10">
        <v>23</v>
      </c>
      <c r="D14" s="31">
        <f t="shared" si="1"/>
        <v>253</v>
      </c>
      <c r="F14" s="144" t="s">
        <v>39</v>
      </c>
      <c r="G14" s="145"/>
      <c r="H14" s="146">
        <f>D54</f>
        <v>32837.25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5"/>
      <c r="B15" s="14" t="s">
        <v>38</v>
      </c>
      <c r="C15" s="10"/>
      <c r="D15" s="31">
        <f t="shared" si="1"/>
        <v>0</v>
      </c>
      <c r="F15" s="149" t="s">
        <v>40</v>
      </c>
      <c r="G15" s="140"/>
      <c r="H15" s="150">
        <f>H13-H14</f>
        <v>136515.75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3">
        <f>936+324</f>
        <v>1260</v>
      </c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B17" t="s">
        <v>113</v>
      </c>
      <c r="C17" s="10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0"/>
      <c r="I19" s="240"/>
      <c r="J19" s="24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3"/>
      <c r="I20" s="153"/>
      <c r="J20" s="15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5"/>
      <c r="B22" s="46" t="s">
        <v>104</v>
      </c>
      <c r="C22" s="10"/>
      <c r="D22" s="48">
        <f t="shared" si="1"/>
        <v>0</v>
      </c>
      <c r="F22" s="77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 t="s">
        <v>107</v>
      </c>
      <c r="C23" s="10"/>
      <c r="D23" s="48">
        <f t="shared" si="1"/>
        <v>0</v>
      </c>
      <c r="F23" s="78"/>
      <c r="G23" s="79"/>
      <c r="H23" s="177"/>
      <c r="I23" s="178"/>
      <c r="J23" s="17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 t="s">
        <v>101</v>
      </c>
      <c r="C24" s="10"/>
      <c r="D24" s="48">
        <f t="shared" si="1"/>
        <v>0</v>
      </c>
      <c r="F24" s="38"/>
      <c r="G24" s="37"/>
      <c r="H24" s="177"/>
      <c r="I24" s="178"/>
      <c r="J24" s="17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 t="s">
        <v>105</v>
      </c>
      <c r="C26" s="10"/>
      <c r="D26" s="48">
        <f t="shared" si="1"/>
        <v>0</v>
      </c>
      <c r="F26" s="64"/>
      <c r="G26" s="59"/>
      <c r="H26" s="182"/>
      <c r="I26" s="183"/>
      <c r="J26" s="18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5"/>
      <c r="B27" s="14" t="s">
        <v>109</v>
      </c>
      <c r="C27" s="10"/>
      <c r="D27" s="44">
        <f t="shared" si="1"/>
        <v>0</v>
      </c>
      <c r="F27" s="25"/>
      <c r="G27" s="80"/>
      <c r="H27" s="185"/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 t="s">
        <v>97</v>
      </c>
      <c r="C28" s="10"/>
      <c r="D28" s="48">
        <f t="shared" si="1"/>
        <v>0</v>
      </c>
      <c r="F28" s="96"/>
      <c r="G28" s="61"/>
      <c r="H28" s="188"/>
      <c r="I28" s="189"/>
      <c r="J28" s="19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169353</v>
      </c>
      <c r="F29" s="162" t="s">
        <v>55</v>
      </c>
      <c r="G29" s="163"/>
      <c r="H29" s="166">
        <f>H15-H16-H17-H18-H19-H20-H22-H23-H24+H26+H27</f>
        <v>135255.75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7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98</v>
      </c>
      <c r="H34" s="194">
        <f>F34*G34</f>
        <v>98000</v>
      </c>
      <c r="I34" s="195"/>
      <c r="J34" s="19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>
        <v>73</v>
      </c>
      <c r="H35" s="194">
        <f>F35*G35</f>
        <v>36500</v>
      </c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/>
      <c r="D36" s="12">
        <f>C36*1.5</f>
        <v>0</v>
      </c>
      <c r="F36" s="12">
        <v>200</v>
      </c>
      <c r="G36" s="37"/>
      <c r="H36" s="194">
        <f t="shared" ref="H36:H39" si="2">F36*G36</f>
        <v>0</v>
      </c>
      <c r="I36" s="195"/>
      <c r="J36" s="19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4" t="s">
        <v>72</v>
      </c>
      <c r="B37" s="28" t="s">
        <v>66</v>
      </c>
      <c r="C37" s="53">
        <v>285</v>
      </c>
      <c r="D37" s="12">
        <f>C37*111</f>
        <v>31635</v>
      </c>
      <c r="F37" s="12">
        <v>100</v>
      </c>
      <c r="G37" s="39">
        <v>5</v>
      </c>
      <c r="H37" s="194">
        <f t="shared" si="2"/>
        <v>500</v>
      </c>
      <c r="I37" s="195"/>
      <c r="J37" s="19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5"/>
      <c r="B38" s="29" t="s">
        <v>68</v>
      </c>
      <c r="C38" s="54"/>
      <c r="D38" s="12">
        <f>C38*84</f>
        <v>0</v>
      </c>
      <c r="F38" s="30">
        <v>50</v>
      </c>
      <c r="G38" s="39"/>
      <c r="H38" s="194">
        <f t="shared" si="2"/>
        <v>0</v>
      </c>
      <c r="I38" s="195"/>
      <c r="J38" s="19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6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94">
        <f t="shared" si="2"/>
        <v>0</v>
      </c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94"/>
      <c r="I40" s="195"/>
      <c r="J40" s="19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6"/>
      <c r="B42" s="27" t="s">
        <v>70</v>
      </c>
      <c r="C42" s="11">
        <v>7</v>
      </c>
      <c r="D42" s="12">
        <f>C42*2.25</f>
        <v>15.75</v>
      </c>
      <c r="F42" s="39" t="s">
        <v>79</v>
      </c>
      <c r="G42" s="194">
        <v>22</v>
      </c>
      <c r="H42" s="195"/>
      <c r="I42" s="195"/>
      <c r="J42" s="19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98" t="s">
        <v>83</v>
      </c>
      <c r="H43" s="200" t="s">
        <v>13</v>
      </c>
      <c r="I43" s="201"/>
      <c r="J43" s="202"/>
      <c r="K43" s="21"/>
      <c r="P43" s="4"/>
      <c r="Q43" s="4"/>
      <c r="R43" s="5"/>
    </row>
    <row r="44" spans="1:18" ht="15.75" x14ac:dyDescent="0.25">
      <c r="A44" s="198"/>
      <c r="B44" s="27" t="s">
        <v>66</v>
      </c>
      <c r="C44" s="10"/>
      <c r="D44" s="12">
        <f>C44*120</f>
        <v>0</v>
      </c>
      <c r="F44" s="37"/>
      <c r="G44" s="76"/>
      <c r="H44" s="178"/>
      <c r="I44" s="178"/>
      <c r="J44" s="178"/>
      <c r="K44" s="21"/>
      <c r="P44" s="4"/>
      <c r="Q44" s="4"/>
      <c r="R44" s="5"/>
    </row>
    <row r="45" spans="1:18" ht="15.75" x14ac:dyDescent="0.25">
      <c r="A45" s="198"/>
      <c r="B45" s="27" t="s">
        <v>68</v>
      </c>
      <c r="C45" s="33"/>
      <c r="D45" s="12">
        <f>C45*84</f>
        <v>0</v>
      </c>
      <c r="F45" s="37"/>
      <c r="G45" s="76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>
        <v>25</v>
      </c>
      <c r="D46" s="12">
        <f>C46*1.5</f>
        <v>37.5</v>
      </c>
      <c r="F46" s="37"/>
      <c r="G46" s="62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>
        <v>3</v>
      </c>
      <c r="D49" s="12">
        <f>C49*42</f>
        <v>126</v>
      </c>
      <c r="F49" s="219" t="s">
        <v>86</v>
      </c>
      <c r="G49" s="166">
        <f>H34+H35+H36+H37+H38+H39+H40+H41+G42+H44+H45+H46</f>
        <v>135022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>
        <v>20</v>
      </c>
      <c r="D50" s="12">
        <f>C50*1.5</f>
        <v>30</v>
      </c>
      <c r="F50" s="220"/>
      <c r="G50" s="169"/>
      <c r="H50" s="170"/>
      <c r="I50" s="170"/>
      <c r="J50" s="171"/>
      <c r="P50" s="4"/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142</v>
      </c>
      <c r="G51" s="234">
        <f>G49-H29</f>
        <v>-233.75</v>
      </c>
      <c r="H51" s="235"/>
      <c r="I51" s="235"/>
      <c r="J51" s="23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8"/>
      <c r="B52" s="29"/>
      <c r="C52" s="33"/>
      <c r="D52" s="45"/>
      <c r="F52" s="222"/>
      <c r="G52" s="237"/>
      <c r="H52" s="238"/>
      <c r="I52" s="238"/>
      <c r="J52" s="23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32837.25</v>
      </c>
      <c r="F54" s="21"/>
      <c r="J54" s="34"/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EEC33-CA33-4861-B448-E7E133AB29D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0" t="s">
        <v>1</v>
      </c>
      <c r="O1" s="100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1" t="s">
        <v>7</v>
      </c>
      <c r="B4" s="102"/>
      <c r="C4" s="102"/>
      <c r="D4" s="103"/>
      <c r="F4" s="104" t="s">
        <v>8</v>
      </c>
      <c r="G4" s="106"/>
      <c r="H4" s="108" t="s">
        <v>9</v>
      </c>
      <c r="I4" s="110"/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5"/>
      <c r="B6" s="16"/>
      <c r="C6" s="10"/>
      <c r="D6" s="13">
        <f t="shared" ref="D6:D28" si="1">C6*L6</f>
        <v>0</v>
      </c>
      <c r="F6" s="117" t="s">
        <v>16</v>
      </c>
      <c r="G6" s="119"/>
      <c r="H6" s="120"/>
      <c r="I6" s="120"/>
      <c r="J6" s="12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5"/>
      <c r="B7" s="16"/>
      <c r="C7" s="10"/>
      <c r="D7" s="13">
        <f t="shared" si="1"/>
        <v>0</v>
      </c>
      <c r="F7" s="118"/>
      <c r="G7" s="122"/>
      <c r="H7" s="123"/>
      <c r="I7" s="123"/>
      <c r="J7" s="12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5"/>
      <c r="B8" s="16"/>
      <c r="C8" s="10"/>
      <c r="D8" s="13">
        <f t="shared" si="1"/>
        <v>0</v>
      </c>
      <c r="F8" s="125" t="s">
        <v>21</v>
      </c>
      <c r="G8" s="127"/>
      <c r="H8" s="128"/>
      <c r="I8" s="128"/>
      <c r="J8" s="12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5"/>
      <c r="B9" s="16"/>
      <c r="C9" s="10"/>
      <c r="D9" s="13">
        <f t="shared" si="1"/>
        <v>0</v>
      </c>
      <c r="F9" s="118"/>
      <c r="G9" s="130"/>
      <c r="H9" s="131"/>
      <c r="I9" s="131"/>
      <c r="J9" s="13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5"/>
      <c r="C10" s="10"/>
      <c r="D10" s="13">
        <f t="shared" si="1"/>
        <v>0</v>
      </c>
      <c r="F10" s="117" t="s">
        <v>26</v>
      </c>
      <c r="G10" s="133"/>
      <c r="H10" s="134"/>
      <c r="I10" s="134"/>
      <c r="J10" s="135"/>
      <c r="K10" s="8"/>
      <c r="L10" s="6">
        <f>R36</f>
        <v>972</v>
      </c>
      <c r="P10" s="4"/>
      <c r="Q10" s="4"/>
      <c r="R10" s="5"/>
    </row>
    <row r="11" spans="1:19" ht="15.75" x14ac:dyDescent="0.25">
      <c r="A11" s="115"/>
      <c r="B11" s="17"/>
      <c r="C11" s="10"/>
      <c r="D11" s="13">
        <f t="shared" si="1"/>
        <v>0</v>
      </c>
      <c r="F11" s="118"/>
      <c r="G11" s="130"/>
      <c r="H11" s="131"/>
      <c r="I11" s="131"/>
      <c r="J11" s="1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5"/>
      <c r="B12" s="17"/>
      <c r="C12" s="10"/>
      <c r="D12" s="48">
        <f t="shared" si="1"/>
        <v>0</v>
      </c>
      <c r="F12" s="136" t="s">
        <v>33</v>
      </c>
      <c r="G12" s="137"/>
      <c r="H12" s="137"/>
      <c r="I12" s="137"/>
      <c r="J12" s="1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5"/>
      <c r="B13" s="17"/>
      <c r="C13" s="10"/>
      <c r="D13" s="48">
        <f t="shared" si="1"/>
        <v>0</v>
      </c>
      <c r="F13" s="139" t="s">
        <v>36</v>
      </c>
      <c r="G13" s="140"/>
      <c r="H13" s="141">
        <f>D29</f>
        <v>0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5"/>
      <c r="B14" s="14"/>
      <c r="C14" s="10"/>
      <c r="D14" s="31">
        <f t="shared" si="1"/>
        <v>0</v>
      </c>
      <c r="F14" s="144" t="s">
        <v>39</v>
      </c>
      <c r="G14" s="145"/>
      <c r="H14" s="146">
        <f>D54</f>
        <v>0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5"/>
      <c r="B15" s="14"/>
      <c r="C15" s="10"/>
      <c r="D15" s="31">
        <f t="shared" si="1"/>
        <v>0</v>
      </c>
      <c r="F15" s="149" t="s">
        <v>40</v>
      </c>
      <c r="G15" s="140"/>
      <c r="H15" s="150">
        <f>H13-H14</f>
        <v>0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C17" s="10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/>
      <c r="C18" s="10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/>
      <c r="C19" s="10"/>
      <c r="D19" s="48">
        <f t="shared" si="1"/>
        <v>0</v>
      </c>
      <c r="F19" s="56"/>
      <c r="G19" s="68" t="s">
        <v>50</v>
      </c>
      <c r="H19" s="172"/>
      <c r="I19" s="172"/>
      <c r="J19" s="17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5"/>
      <c r="B20" s="46"/>
      <c r="C20" s="10"/>
      <c r="D20" s="13">
        <f t="shared" si="1"/>
        <v>0</v>
      </c>
      <c r="F20" s="57"/>
      <c r="G20" s="70" t="s">
        <v>120</v>
      </c>
      <c r="H20" s="153"/>
      <c r="I20" s="153"/>
      <c r="J20" s="15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5"/>
      <c r="B22" s="46"/>
      <c r="C22" s="10"/>
      <c r="D22" s="48">
        <f t="shared" si="1"/>
        <v>0</v>
      </c>
      <c r="F22" s="77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/>
      <c r="C23" s="10"/>
      <c r="D23" s="48">
        <f t="shared" si="1"/>
        <v>0</v>
      </c>
      <c r="F23" s="78"/>
      <c r="G23" s="79"/>
      <c r="H23" s="177"/>
      <c r="I23" s="178"/>
      <c r="J23" s="17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/>
      <c r="C24" s="10"/>
      <c r="D24" s="48">
        <f t="shared" si="1"/>
        <v>0</v>
      </c>
      <c r="F24" s="38"/>
      <c r="G24" s="37"/>
      <c r="H24" s="177"/>
      <c r="I24" s="178"/>
      <c r="J24" s="17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/>
      <c r="C26" s="10"/>
      <c r="D26" s="48">
        <f t="shared" si="1"/>
        <v>0</v>
      </c>
      <c r="F26" s="64"/>
      <c r="G26" s="59"/>
      <c r="H26" s="182"/>
      <c r="I26" s="183"/>
      <c r="J26" s="18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5"/>
      <c r="B27" s="14"/>
      <c r="C27" s="10"/>
      <c r="D27" s="44">
        <f t="shared" si="1"/>
        <v>0</v>
      </c>
      <c r="F27" s="25"/>
      <c r="G27" s="80"/>
      <c r="H27" s="185"/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/>
      <c r="C28" s="10"/>
      <c r="D28" s="48">
        <f t="shared" si="1"/>
        <v>0</v>
      </c>
      <c r="F28" s="91"/>
      <c r="G28" s="61"/>
      <c r="H28" s="188"/>
      <c r="I28" s="189"/>
      <c r="J28" s="19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62" t="s">
        <v>55</v>
      </c>
      <c r="G29" s="163"/>
      <c r="H29" s="166">
        <f>H15-H16-H17-H18-H19-H20-H22-H23-H24+H26+H27</f>
        <v>0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4"/>
      <c r="I34" s="195"/>
      <c r="J34" s="19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/>
      <c r="H35" s="194"/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/>
      <c r="D36" s="12">
        <f>C36*1.5</f>
        <v>0</v>
      </c>
      <c r="F36" s="12">
        <v>200</v>
      </c>
      <c r="G36" s="37"/>
      <c r="H36" s="194"/>
      <c r="I36" s="195"/>
      <c r="J36" s="19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4"/>
      <c r="I37" s="195"/>
      <c r="J37" s="19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5"/>
      <c r="B38" s="29" t="s">
        <v>68</v>
      </c>
      <c r="C38" s="54"/>
      <c r="D38" s="12">
        <f>C38*84</f>
        <v>0</v>
      </c>
      <c r="F38" s="30">
        <v>50</v>
      </c>
      <c r="G38" s="39"/>
      <c r="H38" s="194"/>
      <c r="I38" s="195"/>
      <c r="J38" s="19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6"/>
      <c r="B39" s="29" t="s">
        <v>70</v>
      </c>
      <c r="C39" s="52"/>
      <c r="D39" s="31">
        <f>C39*4.5</f>
        <v>0</v>
      </c>
      <c r="F39" s="12">
        <v>20</v>
      </c>
      <c r="G39" s="37"/>
      <c r="H39" s="194"/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5"/>
      <c r="B41" s="27" t="s">
        <v>68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6"/>
      <c r="B42" s="27" t="s">
        <v>70</v>
      </c>
      <c r="C42" s="11"/>
      <c r="D42" s="12">
        <f>C42*2.25</f>
        <v>0</v>
      </c>
      <c r="F42" s="39" t="s">
        <v>79</v>
      </c>
      <c r="G42" s="194"/>
      <c r="H42" s="195"/>
      <c r="I42" s="195"/>
      <c r="J42" s="19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94" t="s">
        <v>83</v>
      </c>
      <c r="H43" s="200" t="s">
        <v>13</v>
      </c>
      <c r="I43" s="201"/>
      <c r="J43" s="202"/>
      <c r="K43" s="21"/>
      <c r="P43" s="4"/>
      <c r="Q43" s="4"/>
      <c r="R43" s="5"/>
    </row>
    <row r="44" spans="1:18" ht="15.75" x14ac:dyDescent="0.25">
      <c r="A44" s="198"/>
      <c r="B44" s="27" t="s">
        <v>66</v>
      </c>
      <c r="C44" s="10"/>
      <c r="D44" s="12">
        <f>C44*120</f>
        <v>0</v>
      </c>
      <c r="F44" s="37"/>
      <c r="G44" s="76"/>
      <c r="H44" s="178"/>
      <c r="I44" s="178"/>
      <c r="J44" s="178"/>
      <c r="K44" s="21"/>
      <c r="P44" s="4"/>
      <c r="Q44" s="4"/>
      <c r="R44" s="5"/>
    </row>
    <row r="45" spans="1:18" ht="15.75" x14ac:dyDescent="0.25">
      <c r="A45" s="198"/>
      <c r="B45" s="27" t="s">
        <v>68</v>
      </c>
      <c r="C45" s="33"/>
      <c r="D45" s="12">
        <f>C45*84</f>
        <v>0</v>
      </c>
      <c r="F45" s="37"/>
      <c r="G45" s="76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/>
      <c r="D46" s="12">
        <f>C46*1.5</f>
        <v>0</v>
      </c>
      <c r="F46" s="37"/>
      <c r="G46" s="62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/>
      <c r="D48" s="12">
        <f>C48*78</f>
        <v>0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/>
      <c r="D49" s="12">
        <f>C49*42</f>
        <v>0</v>
      </c>
      <c r="F49" s="219" t="s">
        <v>86</v>
      </c>
      <c r="G49" s="166">
        <f>H34+H35+H36+H37+H38+H39+H40+H41+G42+H44+H45+H46</f>
        <v>0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/>
      <c r="D50" s="12">
        <f>C50*1.5</f>
        <v>0</v>
      </c>
      <c r="F50" s="220"/>
      <c r="G50" s="169"/>
      <c r="H50" s="170"/>
      <c r="I50" s="170"/>
      <c r="J50" s="171"/>
      <c r="P50" s="4"/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128</v>
      </c>
      <c r="G51" s="223">
        <f>G49-H29</f>
        <v>0</v>
      </c>
      <c r="H51" s="224"/>
      <c r="I51" s="224"/>
      <c r="J51" s="22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8"/>
      <c r="B52" s="29"/>
      <c r="C52" s="33"/>
      <c r="D52" s="45"/>
      <c r="F52" s="222"/>
      <c r="G52" s="226"/>
      <c r="H52" s="227"/>
      <c r="I52" s="227"/>
      <c r="J52" s="22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0</v>
      </c>
      <c r="F54" s="21"/>
      <c r="J54" s="34"/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BEBA64-A50F-4749-810F-086D5C88E3F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0" t="s">
        <v>1</v>
      </c>
      <c r="O1" s="100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1" t="s">
        <v>7</v>
      </c>
      <c r="B4" s="102"/>
      <c r="C4" s="102"/>
      <c r="D4" s="103"/>
      <c r="F4" s="104" t="s">
        <v>8</v>
      </c>
      <c r="G4" s="106">
        <v>1</v>
      </c>
      <c r="H4" s="108" t="s">
        <v>9</v>
      </c>
      <c r="I4" s="110">
        <v>45966</v>
      </c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5"/>
      <c r="B6" s="16" t="s">
        <v>15</v>
      </c>
      <c r="C6" s="89">
        <v>291</v>
      </c>
      <c r="D6" s="13">
        <f t="shared" ref="D6:D28" si="1">C6*L6</f>
        <v>214467</v>
      </c>
      <c r="F6" s="117" t="s">
        <v>16</v>
      </c>
      <c r="G6" s="119" t="s">
        <v>129</v>
      </c>
      <c r="H6" s="120"/>
      <c r="I6" s="120"/>
      <c r="J6" s="12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5"/>
      <c r="B7" s="16" t="s">
        <v>18</v>
      </c>
      <c r="C7" s="89">
        <v>5</v>
      </c>
      <c r="D7" s="13">
        <f t="shared" si="1"/>
        <v>3625</v>
      </c>
      <c r="F7" s="118"/>
      <c r="G7" s="122"/>
      <c r="H7" s="123"/>
      <c r="I7" s="123"/>
      <c r="J7" s="12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5"/>
      <c r="B8" s="16" t="s">
        <v>20</v>
      </c>
      <c r="C8" s="89"/>
      <c r="D8" s="13">
        <f t="shared" si="1"/>
        <v>0</v>
      </c>
      <c r="F8" s="125" t="s">
        <v>21</v>
      </c>
      <c r="G8" s="127" t="s">
        <v>112</v>
      </c>
      <c r="H8" s="128"/>
      <c r="I8" s="128"/>
      <c r="J8" s="1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5"/>
      <c r="B9" s="16" t="s">
        <v>23</v>
      </c>
      <c r="C9" s="89">
        <v>25</v>
      </c>
      <c r="D9" s="13">
        <f t="shared" si="1"/>
        <v>17675</v>
      </c>
      <c r="F9" s="118"/>
      <c r="G9" s="130"/>
      <c r="H9" s="131"/>
      <c r="I9" s="131"/>
      <c r="J9" s="1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5"/>
      <c r="B10" t="s">
        <v>25</v>
      </c>
      <c r="C10" s="89"/>
      <c r="D10" s="13">
        <f t="shared" si="1"/>
        <v>0</v>
      </c>
      <c r="F10" s="117" t="s">
        <v>26</v>
      </c>
      <c r="G10" s="133" t="s">
        <v>130</v>
      </c>
      <c r="H10" s="134"/>
      <c r="I10" s="134"/>
      <c r="J10" s="135"/>
      <c r="K10" s="8"/>
      <c r="L10" s="6">
        <f>R36</f>
        <v>972</v>
      </c>
      <c r="P10" s="4"/>
      <c r="Q10" s="4"/>
      <c r="R10" s="5"/>
    </row>
    <row r="11" spans="1:18" ht="15.75" x14ac:dyDescent="0.25">
      <c r="A11" s="115"/>
      <c r="B11" s="17" t="s">
        <v>28</v>
      </c>
      <c r="C11" s="89"/>
      <c r="D11" s="13">
        <f t="shared" si="1"/>
        <v>0</v>
      </c>
      <c r="F11" s="118"/>
      <c r="G11" s="130"/>
      <c r="H11" s="131"/>
      <c r="I11" s="131"/>
      <c r="J11" s="1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5"/>
      <c r="B12" s="17" t="s">
        <v>30</v>
      </c>
      <c r="C12" s="89"/>
      <c r="D12" s="48">
        <f t="shared" si="1"/>
        <v>0</v>
      </c>
      <c r="F12" s="136" t="s">
        <v>33</v>
      </c>
      <c r="G12" s="137"/>
      <c r="H12" s="137"/>
      <c r="I12" s="137"/>
      <c r="J12" s="1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5"/>
      <c r="B13" s="17" t="s">
        <v>32</v>
      </c>
      <c r="C13" s="89">
        <v>5</v>
      </c>
      <c r="D13" s="48">
        <f t="shared" si="1"/>
        <v>1535</v>
      </c>
      <c r="F13" s="139" t="s">
        <v>36</v>
      </c>
      <c r="G13" s="140"/>
      <c r="H13" s="141">
        <f>D29</f>
        <v>238949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5"/>
      <c r="B14" s="14" t="s">
        <v>35</v>
      </c>
      <c r="C14" s="89">
        <v>7</v>
      </c>
      <c r="D14" s="31">
        <f t="shared" si="1"/>
        <v>77</v>
      </c>
      <c r="F14" s="144" t="s">
        <v>39</v>
      </c>
      <c r="G14" s="145"/>
      <c r="H14" s="146">
        <f>D54</f>
        <v>35661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5"/>
      <c r="B15" s="14" t="s">
        <v>38</v>
      </c>
      <c r="C15" s="89"/>
      <c r="D15" s="31">
        <f t="shared" si="1"/>
        <v>0</v>
      </c>
      <c r="F15" s="149" t="s">
        <v>40</v>
      </c>
      <c r="G15" s="140"/>
      <c r="H15" s="150">
        <f>H13-H14</f>
        <v>203288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5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B17" t="s">
        <v>140</v>
      </c>
      <c r="C17" s="89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26"/>
      <c r="I19" s="126"/>
      <c r="J19" s="126"/>
      <c r="L19" s="6">
        <v>1102</v>
      </c>
      <c r="Q19" s="4"/>
      <c r="R19" s="5">
        <f t="shared" si="0"/>
        <v>0</v>
      </c>
    </row>
    <row r="20" spans="1:18" ht="15.75" x14ac:dyDescent="0.25">
      <c r="A20" s="115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53"/>
      <c r="I20" s="153"/>
      <c r="J20" s="15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5"/>
      <c r="B22" s="46" t="s">
        <v>127</v>
      </c>
      <c r="C22" s="89"/>
      <c r="D22" s="48">
        <f t="shared" si="1"/>
        <v>0</v>
      </c>
      <c r="F22" s="77"/>
      <c r="G22" s="73"/>
      <c r="H22" s="176"/>
      <c r="I22" s="176"/>
      <c r="J22" s="17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 t="s">
        <v>101</v>
      </c>
      <c r="C23" s="89"/>
      <c r="D23" s="48">
        <f t="shared" si="1"/>
        <v>0</v>
      </c>
      <c r="F23" s="77"/>
      <c r="G23" s="79"/>
      <c r="H23" s="229"/>
      <c r="I23" s="230"/>
      <c r="J23" s="23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 t="s">
        <v>121</v>
      </c>
      <c r="C24" s="89"/>
      <c r="D24" s="48">
        <f t="shared" si="1"/>
        <v>0</v>
      </c>
      <c r="F24" s="77"/>
      <c r="G24" s="79"/>
      <c r="H24" s="229"/>
      <c r="I24" s="230"/>
      <c r="J24" s="23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 t="s">
        <v>139</v>
      </c>
      <c r="C26" s="89"/>
      <c r="D26" s="48">
        <f t="shared" si="1"/>
        <v>0</v>
      </c>
      <c r="F26" s="75"/>
      <c r="G26" s="65"/>
      <c r="H26" s="178"/>
      <c r="I26" s="178"/>
      <c r="J26" s="178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5"/>
      <c r="B27" s="14" t="s">
        <v>110</v>
      </c>
      <c r="C27" s="89"/>
      <c r="D27" s="44">
        <f t="shared" si="1"/>
        <v>0</v>
      </c>
      <c r="F27" s="71"/>
      <c r="G27" s="94"/>
      <c r="H27" s="231"/>
      <c r="I27" s="232"/>
      <c r="J27" s="23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 t="s">
        <v>97</v>
      </c>
      <c r="C28" s="89">
        <v>2</v>
      </c>
      <c r="D28" s="48">
        <f t="shared" si="1"/>
        <v>1570</v>
      </c>
      <c r="F28" s="91"/>
      <c r="G28" s="61"/>
      <c r="H28" s="188"/>
      <c r="I28" s="189"/>
      <c r="J28" s="19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238949</v>
      </c>
      <c r="F29" s="162" t="s">
        <v>55</v>
      </c>
      <c r="G29" s="163"/>
      <c r="H29" s="166">
        <f>H15-H16-H17-H18-H19-H20-H22-H23-H24+H26+H27+H28</f>
        <v>203288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119</v>
      </c>
      <c r="H34" s="194">
        <f t="shared" ref="H34:H39" si="2">F34*G34</f>
        <v>119000</v>
      </c>
      <c r="I34" s="195"/>
      <c r="J34" s="19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>
        <v>80</v>
      </c>
      <c r="H35" s="194">
        <f t="shared" si="2"/>
        <v>40000</v>
      </c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94">
        <f t="shared" si="2"/>
        <v>400</v>
      </c>
      <c r="I36" s="195"/>
      <c r="J36" s="19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4" t="s">
        <v>72</v>
      </c>
      <c r="B37" s="28" t="s">
        <v>66</v>
      </c>
      <c r="C37" s="53">
        <v>311</v>
      </c>
      <c r="D37" s="12">
        <f>C37*111</f>
        <v>34521</v>
      </c>
      <c r="F37" s="12">
        <v>100</v>
      </c>
      <c r="G37" s="39">
        <v>113</v>
      </c>
      <c r="H37" s="194">
        <f t="shared" si="2"/>
        <v>11300</v>
      </c>
      <c r="I37" s="195"/>
      <c r="J37" s="19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5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30</v>
      </c>
      <c r="H38" s="194">
        <f t="shared" si="2"/>
        <v>1500</v>
      </c>
      <c r="I38" s="195"/>
      <c r="J38" s="19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6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194">
        <f t="shared" si="2"/>
        <v>20</v>
      </c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94"/>
      <c r="I40" s="195"/>
      <c r="J40" s="19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5"/>
      <c r="B41" s="27" t="s">
        <v>68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6"/>
      <c r="B42" s="27" t="s">
        <v>70</v>
      </c>
      <c r="C42" s="11"/>
      <c r="D42" s="12">
        <f>C42*2.25</f>
        <v>0</v>
      </c>
      <c r="F42" s="39" t="s">
        <v>79</v>
      </c>
      <c r="G42" s="194">
        <v>394</v>
      </c>
      <c r="H42" s="195"/>
      <c r="I42" s="195"/>
      <c r="J42" s="19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94" t="s">
        <v>83</v>
      </c>
      <c r="H43" s="200" t="s">
        <v>13</v>
      </c>
      <c r="I43" s="201"/>
      <c r="J43" s="20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8"/>
      <c r="B44" s="27" t="s">
        <v>66</v>
      </c>
      <c r="C44" s="10"/>
      <c r="D44" s="12">
        <f>C44*120</f>
        <v>0</v>
      </c>
      <c r="F44" s="37" t="s">
        <v>157</v>
      </c>
      <c r="G44" s="62"/>
      <c r="H44" s="178">
        <v>30000</v>
      </c>
      <c r="I44" s="178"/>
      <c r="J44" s="17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98"/>
      <c r="B45" s="27" t="s">
        <v>68</v>
      </c>
      <c r="C45" s="33"/>
      <c r="D45" s="12">
        <f>C45*84</f>
        <v>0</v>
      </c>
      <c r="F45" s="37"/>
      <c r="G45" s="62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>
        <v>15</v>
      </c>
      <c r="D46" s="12">
        <f>C46*1.5</f>
        <v>22.5</v>
      </c>
      <c r="F46" s="37"/>
      <c r="G46" s="62"/>
      <c r="H46" s="178"/>
      <c r="I46" s="178"/>
      <c r="J46" s="178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>
        <v>1</v>
      </c>
      <c r="D49" s="12">
        <f>C49*42</f>
        <v>42</v>
      </c>
      <c r="F49" s="219" t="s">
        <v>86</v>
      </c>
      <c r="G49" s="166">
        <f>H34+H35+H36+H37+H38+H39+H40+H41+G42+H44+H45+H46</f>
        <v>202614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>
        <v>15</v>
      </c>
      <c r="D50" s="12">
        <f>C50*1.5</f>
        <v>22.5</v>
      </c>
      <c r="F50" s="220"/>
      <c r="G50" s="169"/>
      <c r="H50" s="170"/>
      <c r="I50" s="170"/>
      <c r="J50" s="171"/>
      <c r="P50" s="4"/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131</v>
      </c>
      <c r="G51" s="234">
        <f>G49-H29</f>
        <v>-674</v>
      </c>
      <c r="H51" s="235"/>
      <c r="I51" s="235"/>
      <c r="J51" s="23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8"/>
      <c r="B52" s="29"/>
      <c r="C52" s="33"/>
      <c r="D52" s="45"/>
      <c r="F52" s="222"/>
      <c r="G52" s="237"/>
      <c r="H52" s="238"/>
      <c r="I52" s="238"/>
      <c r="J52" s="23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35661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17E02-6036-4784-84B1-F11D994CFD5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0" t="s">
        <v>1</v>
      </c>
      <c r="O1" s="100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1" t="s">
        <v>7</v>
      </c>
      <c r="B4" s="102"/>
      <c r="C4" s="102"/>
      <c r="D4" s="103"/>
      <c r="F4" s="104" t="s">
        <v>8</v>
      </c>
      <c r="G4" s="106">
        <v>2</v>
      </c>
      <c r="H4" s="108" t="s">
        <v>9</v>
      </c>
      <c r="I4" s="110">
        <v>45966</v>
      </c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5"/>
      <c r="B6" s="16" t="s">
        <v>15</v>
      </c>
      <c r="C6" s="10">
        <v>268</v>
      </c>
      <c r="D6" s="13">
        <f t="shared" ref="D6:D28" si="1">C6*L6</f>
        <v>197516</v>
      </c>
      <c r="F6" s="117" t="s">
        <v>16</v>
      </c>
      <c r="G6" s="119" t="s">
        <v>150</v>
      </c>
      <c r="H6" s="120"/>
      <c r="I6" s="120"/>
      <c r="J6" s="12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5"/>
      <c r="B7" s="16" t="s">
        <v>18</v>
      </c>
      <c r="C7" s="10">
        <v>5</v>
      </c>
      <c r="D7" s="13">
        <f t="shared" si="1"/>
        <v>3625</v>
      </c>
      <c r="F7" s="118"/>
      <c r="G7" s="122"/>
      <c r="H7" s="123"/>
      <c r="I7" s="123"/>
      <c r="J7" s="12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5"/>
      <c r="B8" s="16" t="s">
        <v>20</v>
      </c>
      <c r="C8" s="10"/>
      <c r="D8" s="13">
        <f t="shared" si="1"/>
        <v>0</v>
      </c>
      <c r="F8" s="125" t="s">
        <v>21</v>
      </c>
      <c r="G8" s="127" t="s">
        <v>114</v>
      </c>
      <c r="H8" s="128"/>
      <c r="I8" s="128"/>
      <c r="J8" s="1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5"/>
      <c r="B9" s="16" t="s">
        <v>23</v>
      </c>
      <c r="C9" s="10">
        <v>15</v>
      </c>
      <c r="D9" s="13">
        <f t="shared" si="1"/>
        <v>10605</v>
      </c>
      <c r="F9" s="118"/>
      <c r="G9" s="130"/>
      <c r="H9" s="131"/>
      <c r="I9" s="131"/>
      <c r="J9" s="1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5"/>
      <c r="B10" t="s">
        <v>25</v>
      </c>
      <c r="C10" s="10"/>
      <c r="D10" s="13">
        <f t="shared" si="1"/>
        <v>0</v>
      </c>
      <c r="F10" s="117" t="s">
        <v>26</v>
      </c>
      <c r="G10" s="133" t="s">
        <v>115</v>
      </c>
      <c r="H10" s="134"/>
      <c r="I10" s="134"/>
      <c r="J10" s="135"/>
      <c r="K10" s="8"/>
      <c r="L10" s="6">
        <f>R36</f>
        <v>972</v>
      </c>
      <c r="P10" s="4"/>
      <c r="Q10" s="4"/>
      <c r="R10" s="5"/>
    </row>
    <row r="11" spans="1:18" ht="15.75" x14ac:dyDescent="0.25">
      <c r="A11" s="115"/>
      <c r="B11" s="17" t="s">
        <v>28</v>
      </c>
      <c r="C11" s="10"/>
      <c r="D11" s="13">
        <f t="shared" si="1"/>
        <v>0</v>
      </c>
      <c r="F11" s="118"/>
      <c r="G11" s="130"/>
      <c r="H11" s="131"/>
      <c r="I11" s="131"/>
      <c r="J11" s="1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5"/>
      <c r="B12" s="17" t="s">
        <v>30</v>
      </c>
      <c r="C12" s="10">
        <v>6</v>
      </c>
      <c r="D12" s="48">
        <f t="shared" si="1"/>
        <v>5712</v>
      </c>
      <c r="F12" s="136" t="s">
        <v>33</v>
      </c>
      <c r="G12" s="137"/>
      <c r="H12" s="137"/>
      <c r="I12" s="137"/>
      <c r="J12" s="1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5"/>
      <c r="B13" s="17" t="s">
        <v>32</v>
      </c>
      <c r="C13" s="10">
        <v>11</v>
      </c>
      <c r="D13" s="48">
        <f t="shared" si="1"/>
        <v>3377</v>
      </c>
      <c r="F13" s="139" t="s">
        <v>36</v>
      </c>
      <c r="G13" s="140"/>
      <c r="H13" s="141">
        <f>D29</f>
        <v>236512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5"/>
      <c r="B14" s="14" t="s">
        <v>35</v>
      </c>
      <c r="C14" s="10">
        <v>7</v>
      </c>
      <c r="D14" s="31">
        <f t="shared" si="1"/>
        <v>77</v>
      </c>
      <c r="F14" s="144" t="s">
        <v>39</v>
      </c>
      <c r="G14" s="145"/>
      <c r="H14" s="146">
        <f>D54</f>
        <v>59487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5"/>
      <c r="B15" s="14" t="s">
        <v>38</v>
      </c>
      <c r="C15" s="10"/>
      <c r="D15" s="31">
        <f t="shared" si="1"/>
        <v>0</v>
      </c>
      <c r="F15" s="149" t="s">
        <v>40</v>
      </c>
      <c r="G15" s="140"/>
      <c r="H15" s="150">
        <f>H13-H14</f>
        <v>177025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3">
        <v>1683</v>
      </c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B17" t="s">
        <v>93</v>
      </c>
      <c r="C17" s="10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3"/>
      <c r="I19" s="233"/>
      <c r="J19" s="23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26"/>
      <c r="I20" s="126"/>
      <c r="J20" s="12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 t="s">
        <v>126</v>
      </c>
      <c r="C21" s="10">
        <f>13+11</f>
        <v>24</v>
      </c>
      <c r="D21" s="48">
        <f t="shared" si="1"/>
        <v>15600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5"/>
      <c r="B22" s="46" t="s">
        <v>104</v>
      </c>
      <c r="C22" s="10"/>
      <c r="D22" s="48">
        <f t="shared" si="1"/>
        <v>0</v>
      </c>
      <c r="F22" s="72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 t="s">
        <v>107</v>
      </c>
      <c r="C23" s="10"/>
      <c r="D23" s="48">
        <f t="shared" si="1"/>
        <v>0</v>
      </c>
      <c r="F23" s="25"/>
      <c r="G23" s="37"/>
      <c r="H23" s="177"/>
      <c r="I23" s="178"/>
      <c r="J23" s="17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 t="s">
        <v>123</v>
      </c>
      <c r="C24" s="10"/>
      <c r="D24" s="48">
        <f t="shared" si="1"/>
        <v>0</v>
      </c>
      <c r="F24" s="38"/>
      <c r="G24" s="37"/>
      <c r="H24" s="177"/>
      <c r="I24" s="178"/>
      <c r="J24" s="17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 t="s">
        <v>105</v>
      </c>
      <c r="C26" s="10"/>
      <c r="D26" s="48">
        <f t="shared" si="1"/>
        <v>0</v>
      </c>
      <c r="F26" s="64"/>
      <c r="G26" s="10"/>
      <c r="H26" s="182"/>
      <c r="I26" s="183"/>
      <c r="J26" s="18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5"/>
      <c r="B27" s="14" t="s">
        <v>109</v>
      </c>
      <c r="C27" s="10"/>
      <c r="D27" s="44">
        <f t="shared" si="1"/>
        <v>0</v>
      </c>
      <c r="F27" s="14"/>
      <c r="G27" s="14"/>
      <c r="H27" s="185"/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 t="s">
        <v>97</v>
      </c>
      <c r="C28" s="10"/>
      <c r="D28" s="48">
        <f t="shared" si="1"/>
        <v>0</v>
      </c>
      <c r="F28" s="91"/>
      <c r="G28" s="61"/>
      <c r="H28" s="188"/>
      <c r="I28" s="189"/>
      <c r="J28" s="19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236512</v>
      </c>
      <c r="F29" s="162" t="s">
        <v>55</v>
      </c>
      <c r="G29" s="163"/>
      <c r="H29" s="166">
        <f>H15-H16-H17-H18-H19-H20-H22-H23-H24+H26+H27</f>
        <v>175342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51</v>
      </c>
      <c r="H34" s="194">
        <f>F34*G34</f>
        <v>51000</v>
      </c>
      <c r="I34" s="195"/>
      <c r="J34" s="19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>
        <v>33</v>
      </c>
      <c r="H35" s="194">
        <f t="shared" ref="H35:H39" si="2">F35*G35</f>
        <v>16500</v>
      </c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94">
        <f>F36*G36</f>
        <v>400</v>
      </c>
      <c r="I36" s="195"/>
      <c r="J36" s="19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4" t="s">
        <v>72</v>
      </c>
      <c r="B37" s="28" t="s">
        <v>66</v>
      </c>
      <c r="C37" s="53">
        <v>518</v>
      </c>
      <c r="D37" s="12">
        <f>C37*111</f>
        <v>57498</v>
      </c>
      <c r="F37" s="12">
        <v>100</v>
      </c>
      <c r="G37" s="39">
        <v>27</v>
      </c>
      <c r="H37" s="194">
        <f t="shared" si="2"/>
        <v>2700</v>
      </c>
      <c r="I37" s="195"/>
      <c r="J37" s="19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5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30</v>
      </c>
      <c r="H38" s="194">
        <f t="shared" si="2"/>
        <v>1500</v>
      </c>
      <c r="I38" s="195"/>
      <c r="J38" s="19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6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2</v>
      </c>
      <c r="H39" s="194">
        <f t="shared" si="2"/>
        <v>40</v>
      </c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>
        <v>10</v>
      </c>
      <c r="D40" s="12">
        <f>C40*111</f>
        <v>1110</v>
      </c>
      <c r="F40" s="12">
        <v>10</v>
      </c>
      <c r="G40" s="42"/>
      <c r="H40" s="194"/>
      <c r="I40" s="195"/>
      <c r="J40" s="19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5"/>
      <c r="B41" s="27" t="s">
        <v>68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6"/>
      <c r="B42" s="27" t="s">
        <v>70</v>
      </c>
      <c r="C42" s="11"/>
      <c r="D42" s="12">
        <f>C42*2.25</f>
        <v>0</v>
      </c>
      <c r="F42" s="39" t="s">
        <v>79</v>
      </c>
      <c r="G42" s="194">
        <v>1024</v>
      </c>
      <c r="H42" s="195"/>
      <c r="I42" s="195"/>
      <c r="J42" s="19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94" t="s">
        <v>83</v>
      </c>
      <c r="H43" s="200" t="s">
        <v>13</v>
      </c>
      <c r="I43" s="201"/>
      <c r="J43" s="202"/>
      <c r="K43" s="21"/>
      <c r="P43" s="4"/>
      <c r="Q43" s="4"/>
      <c r="R43" s="5"/>
    </row>
    <row r="44" spans="1:18" ht="15.75" x14ac:dyDescent="0.25">
      <c r="A44" s="198"/>
      <c r="B44" s="27" t="s">
        <v>66</v>
      </c>
      <c r="C44" s="10">
        <v>1</v>
      </c>
      <c r="D44" s="12">
        <f>C44*120</f>
        <v>120</v>
      </c>
      <c r="F44" s="37" t="s">
        <v>144</v>
      </c>
      <c r="G44" s="62" t="s">
        <v>158</v>
      </c>
      <c r="H44" s="178">
        <v>102187</v>
      </c>
      <c r="I44" s="178"/>
      <c r="J44" s="178"/>
      <c r="K44" s="21"/>
      <c r="P44" s="4"/>
      <c r="Q44" s="4"/>
      <c r="R44" s="5"/>
    </row>
    <row r="45" spans="1:18" ht="15.75" x14ac:dyDescent="0.25">
      <c r="A45" s="198"/>
      <c r="B45" s="27" t="s">
        <v>68</v>
      </c>
      <c r="C45" s="33"/>
      <c r="D45" s="12">
        <f>C45*84</f>
        <v>0</v>
      </c>
      <c r="F45" s="37"/>
      <c r="G45" s="62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/>
      <c r="D46" s="12">
        <f>C46*1.5</f>
        <v>0</v>
      </c>
      <c r="F46" s="37"/>
      <c r="G46" s="93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/>
      <c r="D49" s="12">
        <f>C49*42</f>
        <v>0</v>
      </c>
      <c r="F49" s="219" t="s">
        <v>86</v>
      </c>
      <c r="G49" s="166">
        <f>H34+H35+H36+H37+H38+H39+H40+H41+G42+H44+H45+H46</f>
        <v>175351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>
        <v>3</v>
      </c>
      <c r="D50" s="12">
        <f>C50*1.5</f>
        <v>4.5</v>
      </c>
      <c r="F50" s="220"/>
      <c r="G50" s="169"/>
      <c r="H50" s="170"/>
      <c r="I50" s="170"/>
      <c r="J50" s="171"/>
      <c r="P50" s="4"/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156</v>
      </c>
      <c r="G51" s="223">
        <f>G49-H29</f>
        <v>9</v>
      </c>
      <c r="H51" s="224"/>
      <c r="I51" s="224"/>
      <c r="J51" s="22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8"/>
      <c r="B52" s="29"/>
      <c r="C52" s="33"/>
      <c r="D52" s="45"/>
      <c r="F52" s="222"/>
      <c r="G52" s="226"/>
      <c r="H52" s="227"/>
      <c r="I52" s="227"/>
      <c r="J52" s="22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59487</v>
      </c>
      <c r="F54" s="21"/>
      <c r="J54" s="34"/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993DD-2A8B-4485-85B3-A470A139BCBB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0" t="s">
        <v>1</v>
      </c>
      <c r="O1" s="100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1" t="s">
        <v>7</v>
      </c>
      <c r="B4" s="102"/>
      <c r="C4" s="102"/>
      <c r="D4" s="103"/>
      <c r="F4" s="104" t="s">
        <v>8</v>
      </c>
      <c r="G4" s="106">
        <v>3</v>
      </c>
      <c r="H4" s="108" t="s">
        <v>9</v>
      </c>
      <c r="I4" s="110">
        <v>45966</v>
      </c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5"/>
      <c r="B6" s="16" t="s">
        <v>15</v>
      </c>
      <c r="C6" s="10">
        <v>238</v>
      </c>
      <c r="D6" s="13">
        <f t="shared" ref="D6:D28" si="1">C6*L6</f>
        <v>175406</v>
      </c>
      <c r="F6" s="117" t="s">
        <v>16</v>
      </c>
      <c r="G6" s="119" t="s">
        <v>111</v>
      </c>
      <c r="H6" s="120"/>
      <c r="I6" s="120"/>
      <c r="J6" s="12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5"/>
      <c r="B7" s="16" t="s">
        <v>18</v>
      </c>
      <c r="C7" s="10">
        <v>3</v>
      </c>
      <c r="D7" s="13">
        <f t="shared" si="1"/>
        <v>2175</v>
      </c>
      <c r="F7" s="118"/>
      <c r="G7" s="122"/>
      <c r="H7" s="123"/>
      <c r="I7" s="123"/>
      <c r="J7" s="12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5"/>
      <c r="B8" s="16" t="s">
        <v>20</v>
      </c>
      <c r="C8" s="10"/>
      <c r="D8" s="13">
        <f t="shared" si="1"/>
        <v>0</v>
      </c>
      <c r="F8" s="125" t="s">
        <v>21</v>
      </c>
      <c r="G8" s="127" t="s">
        <v>119</v>
      </c>
      <c r="H8" s="128"/>
      <c r="I8" s="128"/>
      <c r="J8" s="1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5"/>
      <c r="B9" s="16" t="s">
        <v>23</v>
      </c>
      <c r="C9" s="10">
        <v>24</v>
      </c>
      <c r="D9" s="13">
        <f t="shared" si="1"/>
        <v>16968</v>
      </c>
      <c r="F9" s="118"/>
      <c r="G9" s="130"/>
      <c r="H9" s="131"/>
      <c r="I9" s="131"/>
      <c r="J9" s="1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5"/>
      <c r="B10" t="s">
        <v>25</v>
      </c>
      <c r="C10" s="10"/>
      <c r="D10" s="13">
        <f t="shared" si="1"/>
        <v>0</v>
      </c>
      <c r="F10" s="117" t="s">
        <v>26</v>
      </c>
      <c r="G10" s="133" t="s">
        <v>137</v>
      </c>
      <c r="H10" s="134"/>
      <c r="I10" s="134"/>
      <c r="J10" s="135"/>
      <c r="K10" s="8"/>
      <c r="L10" s="6">
        <f>R36</f>
        <v>972</v>
      </c>
      <c r="P10" s="4"/>
      <c r="Q10" s="4"/>
      <c r="R10" s="5"/>
    </row>
    <row r="11" spans="1:18" ht="15.75" x14ac:dyDescent="0.25">
      <c r="A11" s="115"/>
      <c r="B11" s="17" t="s">
        <v>28</v>
      </c>
      <c r="C11" s="10">
        <v>1</v>
      </c>
      <c r="D11" s="13">
        <f t="shared" si="1"/>
        <v>1125</v>
      </c>
      <c r="F11" s="118"/>
      <c r="G11" s="130"/>
      <c r="H11" s="131"/>
      <c r="I11" s="131"/>
      <c r="J11" s="1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5"/>
      <c r="B12" s="17" t="s">
        <v>30</v>
      </c>
      <c r="C12" s="10">
        <v>1</v>
      </c>
      <c r="D12" s="48">
        <f t="shared" si="1"/>
        <v>952</v>
      </c>
      <c r="F12" s="136" t="s">
        <v>33</v>
      </c>
      <c r="G12" s="137"/>
      <c r="H12" s="137"/>
      <c r="I12" s="137"/>
      <c r="J12" s="1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5"/>
      <c r="B13" s="17" t="s">
        <v>32</v>
      </c>
      <c r="C13" s="10">
        <v>15</v>
      </c>
      <c r="D13" s="48">
        <f t="shared" si="1"/>
        <v>4605</v>
      </c>
      <c r="F13" s="139" t="s">
        <v>36</v>
      </c>
      <c r="G13" s="140"/>
      <c r="H13" s="141">
        <f>D29</f>
        <v>202340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5"/>
      <c r="B14" s="14" t="s">
        <v>35</v>
      </c>
      <c r="C14" s="10">
        <v>21</v>
      </c>
      <c r="D14" s="31">
        <f t="shared" si="1"/>
        <v>231</v>
      </c>
      <c r="F14" s="144" t="s">
        <v>39</v>
      </c>
      <c r="G14" s="145"/>
      <c r="H14" s="146">
        <f>D54</f>
        <v>19476.75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5"/>
      <c r="B15" s="14" t="s">
        <v>38</v>
      </c>
      <c r="C15" s="10"/>
      <c r="D15" s="31">
        <f t="shared" si="1"/>
        <v>0</v>
      </c>
      <c r="F15" s="149" t="s">
        <v>40</v>
      </c>
      <c r="G15" s="140"/>
      <c r="H15" s="150">
        <f>H13-H14</f>
        <v>182863.25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3">
        <v>864</v>
      </c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B17" t="s">
        <v>113</v>
      </c>
      <c r="C17" s="10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0"/>
      <c r="I19" s="240"/>
      <c r="J19" s="24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3"/>
      <c r="I20" s="153"/>
      <c r="J20" s="15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5"/>
      <c r="B22" s="46" t="s">
        <v>104</v>
      </c>
      <c r="C22" s="10"/>
      <c r="D22" s="48">
        <f t="shared" si="1"/>
        <v>0</v>
      </c>
      <c r="F22" s="77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 t="s">
        <v>107</v>
      </c>
      <c r="C23" s="10"/>
      <c r="D23" s="48">
        <f t="shared" si="1"/>
        <v>0</v>
      </c>
      <c r="F23" s="78"/>
      <c r="G23" s="79"/>
      <c r="H23" s="177"/>
      <c r="I23" s="178"/>
      <c r="J23" s="17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 t="s">
        <v>101</v>
      </c>
      <c r="C24" s="10"/>
      <c r="D24" s="48">
        <f t="shared" si="1"/>
        <v>0</v>
      </c>
      <c r="F24" s="38"/>
      <c r="G24" s="37"/>
      <c r="H24" s="177"/>
      <c r="I24" s="178"/>
      <c r="J24" s="17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 t="s">
        <v>121</v>
      </c>
      <c r="C25" s="10">
        <v>12</v>
      </c>
      <c r="D25" s="48">
        <f t="shared" si="1"/>
        <v>444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852/24+1.5</f>
        <v>37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 t="s">
        <v>105</v>
      </c>
      <c r="C26" s="10">
        <v>12</v>
      </c>
      <c r="D26" s="48">
        <f t="shared" si="1"/>
        <v>434</v>
      </c>
      <c r="F26" s="64"/>
      <c r="G26" s="59"/>
      <c r="H26" s="182"/>
      <c r="I26" s="183"/>
      <c r="J26" s="18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5"/>
      <c r="B27" s="14" t="s">
        <v>109</v>
      </c>
      <c r="C27" s="10"/>
      <c r="D27" s="44">
        <f t="shared" si="1"/>
        <v>0</v>
      </c>
      <c r="F27" s="25"/>
      <c r="G27" s="80"/>
      <c r="H27" s="185"/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 t="s">
        <v>97</v>
      </c>
      <c r="C28" s="10"/>
      <c r="D28" s="48">
        <f t="shared" si="1"/>
        <v>0</v>
      </c>
      <c r="F28" s="91"/>
      <c r="G28" s="61"/>
      <c r="H28" s="188"/>
      <c r="I28" s="189"/>
      <c r="J28" s="19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202340</v>
      </c>
      <c r="F29" s="162" t="s">
        <v>55</v>
      </c>
      <c r="G29" s="163"/>
      <c r="H29" s="166">
        <f>H15-H16-H17-H18-H19-H20-H22-H23-H24+H26+H27</f>
        <v>181999.25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136</v>
      </c>
      <c r="H34" s="194">
        <f>F34*G34</f>
        <v>136000</v>
      </c>
      <c r="I34" s="195"/>
      <c r="J34" s="19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>
        <v>77</v>
      </c>
      <c r="H35" s="194">
        <f>F35*G35</f>
        <v>38500</v>
      </c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4</v>
      </c>
      <c r="H36" s="194">
        <f t="shared" ref="H36:H39" si="2">F36*G36</f>
        <v>800</v>
      </c>
      <c r="I36" s="195"/>
      <c r="J36" s="19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4" t="s">
        <v>72</v>
      </c>
      <c r="B37" s="28" t="s">
        <v>66</v>
      </c>
      <c r="C37" s="53">
        <v>149</v>
      </c>
      <c r="D37" s="12">
        <f>C37*111</f>
        <v>16539</v>
      </c>
      <c r="F37" s="12">
        <v>100</v>
      </c>
      <c r="G37" s="39">
        <v>66</v>
      </c>
      <c r="H37" s="194">
        <f t="shared" si="2"/>
        <v>6600</v>
      </c>
      <c r="I37" s="195"/>
      <c r="J37" s="19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5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4</v>
      </c>
      <c r="H38" s="194">
        <f t="shared" si="2"/>
        <v>200</v>
      </c>
      <c r="I38" s="195"/>
      <c r="J38" s="19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6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194">
        <f t="shared" si="2"/>
        <v>20</v>
      </c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94"/>
      <c r="I40" s="195"/>
      <c r="J40" s="19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6"/>
      <c r="B42" s="27" t="s">
        <v>70</v>
      </c>
      <c r="C42" s="11">
        <v>3</v>
      </c>
      <c r="D42" s="12">
        <f>C42*2.25</f>
        <v>6.75</v>
      </c>
      <c r="F42" s="39" t="s">
        <v>79</v>
      </c>
      <c r="G42" s="194"/>
      <c r="H42" s="195"/>
      <c r="I42" s="195"/>
      <c r="J42" s="19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94" t="s">
        <v>83</v>
      </c>
      <c r="H43" s="200" t="s">
        <v>13</v>
      </c>
      <c r="I43" s="201"/>
      <c r="J43" s="202"/>
      <c r="K43" s="21"/>
      <c r="P43" s="4"/>
      <c r="Q43" s="4"/>
      <c r="R43" s="5"/>
    </row>
    <row r="44" spans="1:18" ht="15.75" x14ac:dyDescent="0.25">
      <c r="A44" s="198"/>
      <c r="B44" s="27" t="s">
        <v>66</v>
      </c>
      <c r="C44" s="10">
        <v>1</v>
      </c>
      <c r="D44" s="12">
        <f>C44*120</f>
        <v>120</v>
      </c>
      <c r="F44" s="37"/>
      <c r="G44" s="76"/>
      <c r="H44" s="178"/>
      <c r="I44" s="178"/>
      <c r="J44" s="178"/>
      <c r="K44" s="21"/>
      <c r="P44" s="4"/>
      <c r="Q44" s="4"/>
      <c r="R44" s="5"/>
    </row>
    <row r="45" spans="1:18" ht="15.75" x14ac:dyDescent="0.25">
      <c r="A45" s="198"/>
      <c r="B45" s="27" t="s">
        <v>68</v>
      </c>
      <c r="C45" s="33"/>
      <c r="D45" s="12">
        <f>C45*84</f>
        <v>0</v>
      </c>
      <c r="F45" s="37"/>
      <c r="G45" s="76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>
        <v>15</v>
      </c>
      <c r="D46" s="12">
        <f>C46*1.5</f>
        <v>22.5</v>
      </c>
      <c r="F46" s="37"/>
      <c r="G46" s="62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>
        <v>18</v>
      </c>
      <c r="D48" s="12">
        <f>C48*78</f>
        <v>1404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/>
      <c r="D49" s="12">
        <f>C49*42</f>
        <v>0</v>
      </c>
      <c r="F49" s="219" t="s">
        <v>86</v>
      </c>
      <c r="G49" s="166">
        <f>H34+H35+H36+H37+H38+H39+H40+H41+G42+H44+H45+H46</f>
        <v>182120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>
        <v>38</v>
      </c>
      <c r="D50" s="12">
        <f>C50*1.5</f>
        <v>57</v>
      </c>
      <c r="F50" s="220"/>
      <c r="G50" s="169"/>
      <c r="H50" s="170"/>
      <c r="I50" s="170"/>
      <c r="J50" s="171"/>
      <c r="P50" s="4"/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143</v>
      </c>
      <c r="G51" s="223">
        <f>G49-H29</f>
        <v>120.75</v>
      </c>
      <c r="H51" s="224"/>
      <c r="I51" s="224"/>
      <c r="J51" s="22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8"/>
      <c r="B52" s="29"/>
      <c r="C52" s="33"/>
      <c r="D52" s="45"/>
      <c r="F52" s="222"/>
      <c r="G52" s="226"/>
      <c r="H52" s="227"/>
      <c r="I52" s="227"/>
      <c r="J52" s="22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19476.75</v>
      </c>
      <c r="F54" s="21"/>
      <c r="J54" s="34"/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95E31-EA72-4F7A-A66C-B7A81921893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0" t="s">
        <v>1</v>
      </c>
      <c r="O1" s="100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1" t="s">
        <v>7</v>
      </c>
      <c r="B4" s="102"/>
      <c r="C4" s="102"/>
      <c r="D4" s="103"/>
      <c r="F4" s="104" t="s">
        <v>8</v>
      </c>
      <c r="G4" s="106"/>
      <c r="H4" s="108" t="s">
        <v>9</v>
      </c>
      <c r="I4" s="110"/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5"/>
      <c r="B6" s="16"/>
      <c r="C6" s="10"/>
      <c r="D6" s="13">
        <f t="shared" ref="D6:D28" si="1">C6*L6</f>
        <v>0</v>
      </c>
      <c r="F6" s="117" t="s">
        <v>16</v>
      </c>
      <c r="G6" s="119"/>
      <c r="H6" s="120"/>
      <c r="I6" s="120"/>
      <c r="J6" s="12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5"/>
      <c r="B7" s="16"/>
      <c r="C7" s="10"/>
      <c r="D7" s="13">
        <f t="shared" si="1"/>
        <v>0</v>
      </c>
      <c r="F7" s="118"/>
      <c r="G7" s="122"/>
      <c r="H7" s="123"/>
      <c r="I7" s="123"/>
      <c r="J7" s="12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5"/>
      <c r="B8" s="16"/>
      <c r="C8" s="10"/>
      <c r="D8" s="13">
        <f t="shared" si="1"/>
        <v>0</v>
      </c>
      <c r="F8" s="125" t="s">
        <v>21</v>
      </c>
      <c r="G8" s="127"/>
      <c r="H8" s="128"/>
      <c r="I8" s="128"/>
      <c r="J8" s="12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5"/>
      <c r="B9" s="16"/>
      <c r="C9" s="10"/>
      <c r="D9" s="13">
        <f t="shared" si="1"/>
        <v>0</v>
      </c>
      <c r="F9" s="118"/>
      <c r="G9" s="130"/>
      <c r="H9" s="131"/>
      <c r="I9" s="131"/>
      <c r="J9" s="13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5"/>
      <c r="C10" s="10"/>
      <c r="D10" s="13">
        <f t="shared" si="1"/>
        <v>0</v>
      </c>
      <c r="F10" s="117" t="s">
        <v>26</v>
      </c>
      <c r="G10" s="133"/>
      <c r="H10" s="134"/>
      <c r="I10" s="134"/>
      <c r="J10" s="135"/>
      <c r="K10" s="8"/>
      <c r="L10" s="6">
        <f>R36</f>
        <v>972</v>
      </c>
      <c r="P10" s="4"/>
      <c r="Q10" s="4"/>
      <c r="R10" s="5"/>
    </row>
    <row r="11" spans="1:19" ht="15.75" x14ac:dyDescent="0.25">
      <c r="A11" s="115"/>
      <c r="B11" s="17"/>
      <c r="C11" s="10"/>
      <c r="D11" s="13">
        <f t="shared" si="1"/>
        <v>0</v>
      </c>
      <c r="F11" s="118"/>
      <c r="G11" s="130"/>
      <c r="H11" s="131"/>
      <c r="I11" s="131"/>
      <c r="J11" s="1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5"/>
      <c r="B12" s="17"/>
      <c r="C12" s="10"/>
      <c r="D12" s="48">
        <f t="shared" si="1"/>
        <v>0</v>
      </c>
      <c r="F12" s="136" t="s">
        <v>33</v>
      </c>
      <c r="G12" s="137"/>
      <c r="H12" s="137"/>
      <c r="I12" s="137"/>
      <c r="J12" s="1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5"/>
      <c r="B13" s="17"/>
      <c r="C13" s="10"/>
      <c r="D13" s="48">
        <f t="shared" si="1"/>
        <v>0</v>
      </c>
      <c r="F13" s="139" t="s">
        <v>36</v>
      </c>
      <c r="G13" s="140"/>
      <c r="H13" s="141">
        <f>D29</f>
        <v>0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5"/>
      <c r="B14" s="14"/>
      <c r="C14" s="10"/>
      <c r="D14" s="31">
        <f t="shared" si="1"/>
        <v>0</v>
      </c>
      <c r="F14" s="144" t="s">
        <v>39</v>
      </c>
      <c r="G14" s="145"/>
      <c r="H14" s="146">
        <f>D54</f>
        <v>0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5"/>
      <c r="B15" s="14"/>
      <c r="C15" s="10"/>
      <c r="D15" s="31">
        <f t="shared" si="1"/>
        <v>0</v>
      </c>
      <c r="F15" s="149" t="s">
        <v>40</v>
      </c>
      <c r="G15" s="140"/>
      <c r="H15" s="150">
        <f>H13-H14</f>
        <v>0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C17" s="10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/>
      <c r="C18" s="10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/>
      <c r="C19" s="10"/>
      <c r="D19" s="48">
        <f t="shared" si="1"/>
        <v>0</v>
      </c>
      <c r="F19" s="56"/>
      <c r="G19" s="68" t="s">
        <v>50</v>
      </c>
      <c r="H19" s="172"/>
      <c r="I19" s="172"/>
      <c r="J19" s="17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5"/>
      <c r="B20" s="46"/>
      <c r="C20" s="10"/>
      <c r="D20" s="13">
        <f t="shared" si="1"/>
        <v>0</v>
      </c>
      <c r="F20" s="57"/>
      <c r="G20" s="70" t="s">
        <v>120</v>
      </c>
      <c r="H20" s="153"/>
      <c r="I20" s="153"/>
      <c r="J20" s="15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5"/>
      <c r="B22" s="46"/>
      <c r="C22" s="10"/>
      <c r="D22" s="48">
        <f t="shared" si="1"/>
        <v>0</v>
      </c>
      <c r="F22" s="77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/>
      <c r="C23" s="10"/>
      <c r="D23" s="48">
        <f t="shared" si="1"/>
        <v>0</v>
      </c>
      <c r="F23" s="78"/>
      <c r="G23" s="79"/>
      <c r="H23" s="177"/>
      <c r="I23" s="178"/>
      <c r="J23" s="17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/>
      <c r="C24" s="10"/>
      <c r="D24" s="48">
        <f t="shared" si="1"/>
        <v>0</v>
      </c>
      <c r="F24" s="38"/>
      <c r="G24" s="37"/>
      <c r="H24" s="177"/>
      <c r="I24" s="178"/>
      <c r="J24" s="17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/>
      <c r="C26" s="10"/>
      <c r="D26" s="48">
        <f t="shared" si="1"/>
        <v>0</v>
      </c>
      <c r="F26" s="64"/>
      <c r="G26" s="59"/>
      <c r="H26" s="182"/>
      <c r="I26" s="183"/>
      <c r="J26" s="18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5"/>
      <c r="B27" s="14"/>
      <c r="C27" s="10"/>
      <c r="D27" s="44">
        <f t="shared" si="1"/>
        <v>0</v>
      </c>
      <c r="F27" s="25"/>
      <c r="G27" s="80"/>
      <c r="H27" s="185"/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/>
      <c r="C28" s="10"/>
      <c r="D28" s="48">
        <f t="shared" si="1"/>
        <v>0</v>
      </c>
      <c r="F28" s="91"/>
      <c r="G28" s="61"/>
      <c r="H28" s="188"/>
      <c r="I28" s="189"/>
      <c r="J28" s="19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62" t="s">
        <v>55</v>
      </c>
      <c r="G29" s="163"/>
      <c r="H29" s="166">
        <f>H15-H16-H17-H18-H19-H20-H22-H23-H24+H26+H27</f>
        <v>0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4"/>
      <c r="I34" s="195"/>
      <c r="J34" s="19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/>
      <c r="H35" s="194"/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/>
      <c r="D36" s="12">
        <f>C36*1.5</f>
        <v>0</v>
      </c>
      <c r="F36" s="12">
        <v>200</v>
      </c>
      <c r="G36" s="37"/>
      <c r="H36" s="194"/>
      <c r="I36" s="195"/>
      <c r="J36" s="19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4"/>
      <c r="I37" s="195"/>
      <c r="J37" s="19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5"/>
      <c r="B38" s="29" t="s">
        <v>68</v>
      </c>
      <c r="C38" s="54"/>
      <c r="D38" s="12">
        <f>C38*84</f>
        <v>0</v>
      </c>
      <c r="F38" s="30">
        <v>50</v>
      </c>
      <c r="G38" s="39"/>
      <c r="H38" s="194"/>
      <c r="I38" s="195"/>
      <c r="J38" s="19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6"/>
      <c r="B39" s="29" t="s">
        <v>70</v>
      </c>
      <c r="C39" s="52"/>
      <c r="D39" s="31">
        <f>C39*4.5</f>
        <v>0</v>
      </c>
      <c r="F39" s="12">
        <v>20</v>
      </c>
      <c r="G39" s="37"/>
      <c r="H39" s="194"/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5"/>
      <c r="B41" s="27" t="s">
        <v>68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6"/>
      <c r="B42" s="27" t="s">
        <v>70</v>
      </c>
      <c r="C42" s="11"/>
      <c r="D42" s="12">
        <f>C42*2.25</f>
        <v>0</v>
      </c>
      <c r="F42" s="39" t="s">
        <v>79</v>
      </c>
      <c r="G42" s="194"/>
      <c r="H42" s="195"/>
      <c r="I42" s="195"/>
      <c r="J42" s="19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94" t="s">
        <v>83</v>
      </c>
      <c r="H43" s="200" t="s">
        <v>13</v>
      </c>
      <c r="I43" s="201"/>
      <c r="J43" s="202"/>
      <c r="K43" s="21"/>
      <c r="P43" s="4"/>
      <c r="Q43" s="4"/>
      <c r="R43" s="5"/>
    </row>
    <row r="44" spans="1:18" ht="15.75" x14ac:dyDescent="0.25">
      <c r="A44" s="198"/>
      <c r="B44" s="27" t="s">
        <v>66</v>
      </c>
      <c r="C44" s="10"/>
      <c r="D44" s="12">
        <f>C44*120</f>
        <v>0</v>
      </c>
      <c r="F44" s="37"/>
      <c r="G44" s="76"/>
      <c r="H44" s="178"/>
      <c r="I44" s="178"/>
      <c r="J44" s="178"/>
      <c r="K44" s="21"/>
      <c r="P44" s="4"/>
      <c r="Q44" s="4"/>
      <c r="R44" s="5"/>
    </row>
    <row r="45" spans="1:18" ht="15.75" x14ac:dyDescent="0.25">
      <c r="A45" s="198"/>
      <c r="B45" s="27" t="s">
        <v>68</v>
      </c>
      <c r="C45" s="33"/>
      <c r="D45" s="12">
        <f>C45*84</f>
        <v>0</v>
      </c>
      <c r="F45" s="37"/>
      <c r="G45" s="76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/>
      <c r="D46" s="12">
        <f>C46*1.5</f>
        <v>0</v>
      </c>
      <c r="F46" s="37"/>
      <c r="G46" s="62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/>
      <c r="D48" s="12">
        <f>C48*78</f>
        <v>0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/>
      <c r="D49" s="12">
        <f>C49*42</f>
        <v>0</v>
      </c>
      <c r="F49" s="219" t="s">
        <v>86</v>
      </c>
      <c r="G49" s="166">
        <f>H34+H35+H36+H37+H38+H39+H40+H41+G42+H44+H45+H46</f>
        <v>0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/>
      <c r="D50" s="12">
        <f>C50*1.5</f>
        <v>0</v>
      </c>
      <c r="F50" s="220"/>
      <c r="G50" s="169"/>
      <c r="H50" s="170"/>
      <c r="I50" s="170"/>
      <c r="J50" s="171"/>
      <c r="P50" s="4"/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128</v>
      </c>
      <c r="G51" s="223">
        <f>G49-H29</f>
        <v>0</v>
      </c>
      <c r="H51" s="224"/>
      <c r="I51" s="224"/>
      <c r="J51" s="22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8"/>
      <c r="B52" s="29"/>
      <c r="C52" s="33"/>
      <c r="D52" s="45"/>
      <c r="F52" s="222"/>
      <c r="G52" s="226"/>
      <c r="H52" s="227"/>
      <c r="I52" s="227"/>
      <c r="J52" s="22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0</v>
      </c>
      <c r="F54" s="21"/>
      <c r="J54" s="34"/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BE06BE-C669-4BAC-A79D-CC5FB9AA31E7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0" t="s">
        <v>1</v>
      </c>
      <c r="O1" s="100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1" t="s">
        <v>7</v>
      </c>
      <c r="B4" s="102"/>
      <c r="C4" s="102"/>
      <c r="D4" s="103"/>
      <c r="F4" s="104" t="s">
        <v>8</v>
      </c>
      <c r="G4" s="106">
        <v>1</v>
      </c>
      <c r="H4" s="108" t="s">
        <v>9</v>
      </c>
      <c r="I4" s="110">
        <v>45967</v>
      </c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5"/>
      <c r="B6" s="16" t="s">
        <v>15</v>
      </c>
      <c r="C6" s="89">
        <v>134</v>
      </c>
      <c r="D6" s="13">
        <f t="shared" ref="D6:D28" si="1">C6*L6</f>
        <v>98758</v>
      </c>
      <c r="F6" s="117" t="s">
        <v>16</v>
      </c>
      <c r="G6" s="119" t="s">
        <v>129</v>
      </c>
      <c r="H6" s="120"/>
      <c r="I6" s="120"/>
      <c r="J6" s="12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5"/>
      <c r="B7" s="16" t="s">
        <v>18</v>
      </c>
      <c r="C7" s="89"/>
      <c r="D7" s="13">
        <f t="shared" si="1"/>
        <v>0</v>
      </c>
      <c r="F7" s="118"/>
      <c r="G7" s="122"/>
      <c r="H7" s="123"/>
      <c r="I7" s="123"/>
      <c r="J7" s="12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5"/>
      <c r="B8" s="16" t="s">
        <v>20</v>
      </c>
      <c r="C8" s="89"/>
      <c r="D8" s="13">
        <f t="shared" si="1"/>
        <v>0</v>
      </c>
      <c r="F8" s="125" t="s">
        <v>21</v>
      </c>
      <c r="G8" s="127" t="s">
        <v>112</v>
      </c>
      <c r="H8" s="128"/>
      <c r="I8" s="128"/>
      <c r="J8" s="1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5"/>
      <c r="B9" s="16" t="s">
        <v>23</v>
      </c>
      <c r="C9" s="89">
        <v>6</v>
      </c>
      <c r="D9" s="13">
        <f t="shared" si="1"/>
        <v>4242</v>
      </c>
      <c r="F9" s="118"/>
      <c r="G9" s="130"/>
      <c r="H9" s="131"/>
      <c r="I9" s="131"/>
      <c r="J9" s="1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5"/>
      <c r="B10" t="s">
        <v>25</v>
      </c>
      <c r="C10" s="89"/>
      <c r="D10" s="13">
        <f t="shared" si="1"/>
        <v>0</v>
      </c>
      <c r="F10" s="117" t="s">
        <v>26</v>
      </c>
      <c r="G10" s="133" t="s">
        <v>130</v>
      </c>
      <c r="H10" s="134"/>
      <c r="I10" s="134"/>
      <c r="J10" s="135"/>
      <c r="K10" s="8"/>
      <c r="L10" s="6">
        <f>R36</f>
        <v>972</v>
      </c>
      <c r="P10" s="4"/>
      <c r="Q10" s="4"/>
      <c r="R10" s="5"/>
    </row>
    <row r="11" spans="1:18" ht="15.75" x14ac:dyDescent="0.25">
      <c r="A11" s="115"/>
      <c r="B11" s="17" t="s">
        <v>28</v>
      </c>
      <c r="C11" s="89"/>
      <c r="D11" s="13">
        <f t="shared" si="1"/>
        <v>0</v>
      </c>
      <c r="F11" s="118"/>
      <c r="G11" s="130"/>
      <c r="H11" s="131"/>
      <c r="I11" s="131"/>
      <c r="J11" s="1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5"/>
      <c r="B12" s="17" t="s">
        <v>30</v>
      </c>
      <c r="C12" s="89"/>
      <c r="D12" s="48">
        <f t="shared" si="1"/>
        <v>0</v>
      </c>
      <c r="F12" s="136" t="s">
        <v>33</v>
      </c>
      <c r="G12" s="137"/>
      <c r="H12" s="137"/>
      <c r="I12" s="137"/>
      <c r="J12" s="1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5"/>
      <c r="B13" s="17" t="s">
        <v>32</v>
      </c>
      <c r="C13" s="89">
        <v>3</v>
      </c>
      <c r="D13" s="48">
        <f t="shared" si="1"/>
        <v>921</v>
      </c>
      <c r="F13" s="139" t="s">
        <v>36</v>
      </c>
      <c r="G13" s="140"/>
      <c r="H13" s="141">
        <f>D29</f>
        <v>106155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5"/>
      <c r="B14" s="14" t="s">
        <v>35</v>
      </c>
      <c r="C14" s="89">
        <v>4</v>
      </c>
      <c r="D14" s="31">
        <f t="shared" si="1"/>
        <v>44</v>
      </c>
      <c r="F14" s="144" t="s">
        <v>39</v>
      </c>
      <c r="G14" s="145"/>
      <c r="H14" s="146">
        <f>D54</f>
        <v>15195.75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5"/>
      <c r="B15" s="14" t="s">
        <v>38</v>
      </c>
      <c r="C15" s="89">
        <v>1</v>
      </c>
      <c r="D15" s="31">
        <f t="shared" si="1"/>
        <v>620</v>
      </c>
      <c r="F15" s="149" t="s">
        <v>40</v>
      </c>
      <c r="G15" s="140"/>
      <c r="H15" s="150">
        <f>H13-H14</f>
        <v>90959.25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5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B17" t="s">
        <v>140</v>
      </c>
      <c r="C17" s="89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26"/>
      <c r="I19" s="126"/>
      <c r="J19" s="126"/>
      <c r="L19" s="6">
        <v>1102</v>
      </c>
      <c r="Q19" s="4"/>
      <c r="R19" s="5">
        <f t="shared" si="0"/>
        <v>0</v>
      </c>
    </row>
    <row r="20" spans="1:18" ht="15.75" x14ac:dyDescent="0.25">
      <c r="A20" s="115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53"/>
      <c r="I20" s="153"/>
      <c r="J20" s="15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5"/>
      <c r="B22" s="46" t="s">
        <v>127</v>
      </c>
      <c r="C22" s="89"/>
      <c r="D22" s="48">
        <f t="shared" si="1"/>
        <v>0</v>
      </c>
      <c r="F22" s="77"/>
      <c r="G22" s="73"/>
      <c r="H22" s="176"/>
      <c r="I22" s="176"/>
      <c r="J22" s="17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 t="s">
        <v>101</v>
      </c>
      <c r="C23" s="89"/>
      <c r="D23" s="48">
        <f t="shared" si="1"/>
        <v>0</v>
      </c>
      <c r="F23" s="77"/>
      <c r="G23" s="79"/>
      <c r="H23" s="229"/>
      <c r="I23" s="230"/>
      <c r="J23" s="23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 t="s">
        <v>121</v>
      </c>
      <c r="C24" s="89"/>
      <c r="D24" s="48">
        <f t="shared" si="1"/>
        <v>0</v>
      </c>
      <c r="F24" s="77"/>
      <c r="G24" s="79"/>
      <c r="H24" s="229"/>
      <c r="I24" s="230"/>
      <c r="J24" s="23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 t="s">
        <v>139</v>
      </c>
      <c r="C26" s="89"/>
      <c r="D26" s="48">
        <f t="shared" si="1"/>
        <v>0</v>
      </c>
      <c r="F26" s="75"/>
      <c r="G26" s="65"/>
      <c r="H26" s="178"/>
      <c r="I26" s="178"/>
      <c r="J26" s="178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5"/>
      <c r="B27" s="14" t="s">
        <v>110</v>
      </c>
      <c r="C27" s="89"/>
      <c r="D27" s="44">
        <f t="shared" si="1"/>
        <v>0</v>
      </c>
      <c r="F27" s="71"/>
      <c r="G27" s="94"/>
      <c r="H27" s="231"/>
      <c r="I27" s="232"/>
      <c r="J27" s="23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 t="s">
        <v>97</v>
      </c>
      <c r="C28" s="89">
        <v>2</v>
      </c>
      <c r="D28" s="48">
        <f t="shared" si="1"/>
        <v>1570</v>
      </c>
      <c r="F28" s="91"/>
      <c r="G28" s="61"/>
      <c r="H28" s="188"/>
      <c r="I28" s="189"/>
      <c r="J28" s="19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106155</v>
      </c>
      <c r="F29" s="162" t="s">
        <v>55</v>
      </c>
      <c r="G29" s="163"/>
      <c r="H29" s="166">
        <f>H15-H16-H17-H18-H19-H20-H22-H23-H24+H26+H27+H28</f>
        <v>90959.25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81</v>
      </c>
      <c r="H34" s="194">
        <f t="shared" ref="H34:H39" si="2">F34*G34</f>
        <v>81000</v>
      </c>
      <c r="I34" s="195"/>
      <c r="J34" s="19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>
        <v>10</v>
      </c>
      <c r="H35" s="194">
        <f t="shared" si="2"/>
        <v>5000</v>
      </c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/>
      <c r="D36" s="12">
        <f>C36*1.5</f>
        <v>0</v>
      </c>
      <c r="F36" s="12">
        <v>200</v>
      </c>
      <c r="G36" s="37"/>
      <c r="H36" s="194">
        <f t="shared" si="2"/>
        <v>0</v>
      </c>
      <c r="I36" s="195"/>
      <c r="J36" s="19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4" t="s">
        <v>72</v>
      </c>
      <c r="B37" s="28" t="s">
        <v>66</v>
      </c>
      <c r="C37" s="53">
        <v>131</v>
      </c>
      <c r="D37" s="12">
        <f>C37*111</f>
        <v>14541</v>
      </c>
      <c r="F37" s="12">
        <v>100</v>
      </c>
      <c r="G37" s="39">
        <v>44</v>
      </c>
      <c r="H37" s="194">
        <f t="shared" si="2"/>
        <v>4400</v>
      </c>
      <c r="I37" s="195"/>
      <c r="J37" s="19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5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7</v>
      </c>
      <c r="H38" s="194">
        <f t="shared" si="2"/>
        <v>350</v>
      </c>
      <c r="I38" s="195"/>
      <c r="J38" s="19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6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94">
        <f t="shared" si="2"/>
        <v>0</v>
      </c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5"/>
      <c r="B41" s="27" t="s">
        <v>68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6"/>
      <c r="B42" s="27" t="s">
        <v>70</v>
      </c>
      <c r="C42" s="11">
        <v>1</v>
      </c>
      <c r="D42" s="12">
        <f>C42*2.25</f>
        <v>2.25</v>
      </c>
      <c r="F42" s="39" t="s">
        <v>79</v>
      </c>
      <c r="G42" s="194">
        <v>80</v>
      </c>
      <c r="H42" s="195"/>
      <c r="I42" s="195"/>
      <c r="J42" s="19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94" t="s">
        <v>83</v>
      </c>
      <c r="H43" s="200" t="s">
        <v>13</v>
      </c>
      <c r="I43" s="201"/>
      <c r="J43" s="20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8"/>
      <c r="B44" s="27" t="s">
        <v>66</v>
      </c>
      <c r="C44" s="10">
        <v>1</v>
      </c>
      <c r="D44" s="12">
        <f>C44*120</f>
        <v>120</v>
      </c>
      <c r="F44" s="37"/>
      <c r="G44" s="62"/>
      <c r="H44" s="178"/>
      <c r="I44" s="178"/>
      <c r="J44" s="17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98"/>
      <c r="B45" s="27" t="s">
        <v>68</v>
      </c>
      <c r="C45" s="33"/>
      <c r="D45" s="12">
        <f>C45*84</f>
        <v>0</v>
      </c>
      <c r="F45" s="37"/>
      <c r="G45" s="62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/>
      <c r="D46" s="12">
        <f>C46*1.5</f>
        <v>0</v>
      </c>
      <c r="F46" s="37"/>
      <c r="G46" s="62"/>
      <c r="H46" s="178"/>
      <c r="I46" s="178"/>
      <c r="J46" s="178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/>
      <c r="D49" s="12">
        <f>C49*42</f>
        <v>0</v>
      </c>
      <c r="F49" s="219" t="s">
        <v>86</v>
      </c>
      <c r="G49" s="166">
        <f>H34+H35+H36+H37+H38+H39+H40+H41+G42+H44+H45+H46</f>
        <v>90830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>
        <v>75</v>
      </c>
      <c r="D50" s="12">
        <f>C50*1.5</f>
        <v>112.5</v>
      </c>
      <c r="F50" s="220"/>
      <c r="G50" s="169"/>
      <c r="H50" s="170"/>
      <c r="I50" s="170"/>
      <c r="J50" s="171"/>
      <c r="P50" s="4"/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131</v>
      </c>
      <c r="G51" s="234">
        <f>G49-H29</f>
        <v>-129.25</v>
      </c>
      <c r="H51" s="235"/>
      <c r="I51" s="235"/>
      <c r="J51" s="23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8"/>
      <c r="B52" s="29"/>
      <c r="C52" s="33"/>
      <c r="D52" s="45"/>
      <c r="F52" s="222"/>
      <c r="G52" s="237"/>
      <c r="H52" s="238"/>
      <c r="I52" s="238"/>
      <c r="J52" s="23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15195.75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B0808-6844-449A-B268-2DC20F76249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0" t="s">
        <v>1</v>
      </c>
      <c r="O1" s="100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1" t="s">
        <v>7</v>
      </c>
      <c r="B4" s="102"/>
      <c r="C4" s="102"/>
      <c r="D4" s="103"/>
      <c r="F4" s="104" t="s">
        <v>8</v>
      </c>
      <c r="G4" s="106">
        <v>2</v>
      </c>
      <c r="H4" s="108" t="s">
        <v>9</v>
      </c>
      <c r="I4" s="110">
        <v>45967</v>
      </c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5"/>
      <c r="B6" s="16" t="s">
        <v>15</v>
      </c>
      <c r="C6" s="10">
        <v>196</v>
      </c>
      <c r="D6" s="13">
        <f t="shared" ref="D6:D28" si="1">C6*L6</f>
        <v>144452</v>
      </c>
      <c r="F6" s="117" t="s">
        <v>16</v>
      </c>
      <c r="G6" s="119" t="s">
        <v>150</v>
      </c>
      <c r="H6" s="120"/>
      <c r="I6" s="120"/>
      <c r="J6" s="12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5"/>
      <c r="B7" s="16" t="s">
        <v>18</v>
      </c>
      <c r="C7" s="10">
        <v>4</v>
      </c>
      <c r="D7" s="13">
        <f t="shared" si="1"/>
        <v>2900</v>
      </c>
      <c r="F7" s="118"/>
      <c r="G7" s="122"/>
      <c r="H7" s="123"/>
      <c r="I7" s="123"/>
      <c r="J7" s="12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5"/>
      <c r="B8" s="16" t="s">
        <v>20</v>
      </c>
      <c r="C8" s="10"/>
      <c r="D8" s="13">
        <f t="shared" si="1"/>
        <v>0</v>
      </c>
      <c r="F8" s="125" t="s">
        <v>21</v>
      </c>
      <c r="G8" s="127" t="s">
        <v>114</v>
      </c>
      <c r="H8" s="128"/>
      <c r="I8" s="128"/>
      <c r="J8" s="1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5"/>
      <c r="B9" s="16" t="s">
        <v>23</v>
      </c>
      <c r="C9" s="10">
        <v>8</v>
      </c>
      <c r="D9" s="13">
        <f t="shared" si="1"/>
        <v>5656</v>
      </c>
      <c r="F9" s="118"/>
      <c r="G9" s="130"/>
      <c r="H9" s="131"/>
      <c r="I9" s="131"/>
      <c r="J9" s="1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5"/>
      <c r="B10" t="s">
        <v>25</v>
      </c>
      <c r="C10" s="10">
        <v>1</v>
      </c>
      <c r="D10" s="13">
        <f t="shared" si="1"/>
        <v>972</v>
      </c>
      <c r="F10" s="117" t="s">
        <v>26</v>
      </c>
      <c r="G10" s="133" t="s">
        <v>115</v>
      </c>
      <c r="H10" s="134"/>
      <c r="I10" s="134"/>
      <c r="J10" s="135"/>
      <c r="K10" s="8"/>
      <c r="L10" s="6">
        <f>R36</f>
        <v>972</v>
      </c>
      <c r="P10" s="4"/>
      <c r="Q10" s="4"/>
      <c r="R10" s="5"/>
    </row>
    <row r="11" spans="1:18" ht="15.75" x14ac:dyDescent="0.25">
      <c r="A11" s="115"/>
      <c r="B11" s="17" t="s">
        <v>28</v>
      </c>
      <c r="C11" s="10">
        <v>1</v>
      </c>
      <c r="D11" s="13">
        <f t="shared" si="1"/>
        <v>1125</v>
      </c>
      <c r="F11" s="118"/>
      <c r="G11" s="130"/>
      <c r="H11" s="131"/>
      <c r="I11" s="131"/>
      <c r="J11" s="1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5"/>
      <c r="B12" s="17" t="s">
        <v>30</v>
      </c>
      <c r="C12" s="10">
        <v>1</v>
      </c>
      <c r="D12" s="48">
        <f t="shared" si="1"/>
        <v>952</v>
      </c>
      <c r="F12" s="136" t="s">
        <v>33</v>
      </c>
      <c r="G12" s="137"/>
      <c r="H12" s="137"/>
      <c r="I12" s="137"/>
      <c r="J12" s="1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5"/>
      <c r="B13" s="17" t="s">
        <v>32</v>
      </c>
      <c r="C13" s="10">
        <v>4</v>
      </c>
      <c r="D13" s="48">
        <f t="shared" si="1"/>
        <v>1228</v>
      </c>
      <c r="F13" s="139" t="s">
        <v>36</v>
      </c>
      <c r="G13" s="140"/>
      <c r="H13" s="141">
        <f>D29</f>
        <v>158246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5"/>
      <c r="B14" s="14" t="s">
        <v>35</v>
      </c>
      <c r="C14" s="10">
        <v>16</v>
      </c>
      <c r="D14" s="31">
        <f t="shared" si="1"/>
        <v>176</v>
      </c>
      <c r="F14" s="144" t="s">
        <v>39</v>
      </c>
      <c r="G14" s="145"/>
      <c r="H14" s="146">
        <f>D54</f>
        <v>23723.25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5"/>
      <c r="B15" s="14" t="s">
        <v>38</v>
      </c>
      <c r="C15" s="10"/>
      <c r="D15" s="31">
        <f t="shared" si="1"/>
        <v>0</v>
      </c>
      <c r="F15" s="149" t="s">
        <v>40</v>
      </c>
      <c r="G15" s="140"/>
      <c r="H15" s="150">
        <f>H13-H14</f>
        <v>134522.75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3">
        <v>656</v>
      </c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B17" t="s">
        <v>93</v>
      </c>
      <c r="C17" s="10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153">
        <v>50</v>
      </c>
      <c r="I19" s="153"/>
      <c r="J19" s="1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26"/>
      <c r="I20" s="126"/>
      <c r="J20" s="12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5"/>
      <c r="B22" s="46" t="s">
        <v>104</v>
      </c>
      <c r="C22" s="10"/>
      <c r="D22" s="48">
        <f t="shared" si="1"/>
        <v>0</v>
      </c>
      <c r="F22" s="72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 t="s">
        <v>107</v>
      </c>
      <c r="C23" s="10"/>
      <c r="D23" s="48">
        <f t="shared" si="1"/>
        <v>0</v>
      </c>
      <c r="F23" s="25"/>
      <c r="G23" s="37"/>
      <c r="H23" s="177"/>
      <c r="I23" s="178"/>
      <c r="J23" s="17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 t="s">
        <v>123</v>
      </c>
      <c r="C24" s="10"/>
      <c r="D24" s="48">
        <f t="shared" si="1"/>
        <v>0</v>
      </c>
      <c r="F24" s="38"/>
      <c r="G24" s="37"/>
      <c r="H24" s="177"/>
      <c r="I24" s="178"/>
      <c r="J24" s="17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 t="s">
        <v>105</v>
      </c>
      <c r="C26" s="10"/>
      <c r="D26" s="48">
        <f t="shared" si="1"/>
        <v>0</v>
      </c>
      <c r="F26" s="64"/>
      <c r="G26" s="10"/>
      <c r="H26" s="182"/>
      <c r="I26" s="183"/>
      <c r="J26" s="18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5"/>
      <c r="B27" s="14" t="s">
        <v>109</v>
      </c>
      <c r="C27" s="10"/>
      <c r="D27" s="44">
        <f t="shared" si="1"/>
        <v>0</v>
      </c>
      <c r="F27" s="14"/>
      <c r="G27" s="14"/>
      <c r="H27" s="185"/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 t="s">
        <v>97</v>
      </c>
      <c r="C28" s="10">
        <v>1</v>
      </c>
      <c r="D28" s="48">
        <f t="shared" si="1"/>
        <v>785</v>
      </c>
      <c r="F28" s="91"/>
      <c r="G28" s="61"/>
      <c r="H28" s="188"/>
      <c r="I28" s="189"/>
      <c r="J28" s="19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158246</v>
      </c>
      <c r="F29" s="162" t="s">
        <v>55</v>
      </c>
      <c r="G29" s="163"/>
      <c r="H29" s="166">
        <f>H15-H16-H17-H18-H19-H20-H22-H23-H24+H26+H27</f>
        <v>133816.75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87</v>
      </c>
      <c r="H34" s="194">
        <f>F34*G34</f>
        <v>87000</v>
      </c>
      <c r="I34" s="195"/>
      <c r="J34" s="19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>
        <v>86</v>
      </c>
      <c r="H35" s="194">
        <f t="shared" ref="H35:H39" si="2">F35*G35</f>
        <v>43000</v>
      </c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>
        <v>10</v>
      </c>
      <c r="D36" s="12">
        <f>C36*1.5</f>
        <v>15</v>
      </c>
      <c r="F36" s="12">
        <v>200</v>
      </c>
      <c r="G36" s="37">
        <v>1</v>
      </c>
      <c r="H36" s="194">
        <f>F36*G36</f>
        <v>200</v>
      </c>
      <c r="I36" s="195"/>
      <c r="J36" s="19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4" t="s">
        <v>72</v>
      </c>
      <c r="B37" s="28" t="s">
        <v>66</v>
      </c>
      <c r="C37" s="53">
        <v>197</v>
      </c>
      <c r="D37" s="12">
        <f>C37*111</f>
        <v>21867</v>
      </c>
      <c r="F37" s="12">
        <v>100</v>
      </c>
      <c r="G37" s="39">
        <v>28</v>
      </c>
      <c r="H37" s="194">
        <f t="shared" si="2"/>
        <v>2800</v>
      </c>
      <c r="I37" s="195"/>
      <c r="J37" s="19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5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2</v>
      </c>
      <c r="H38" s="194">
        <f t="shared" si="2"/>
        <v>100</v>
      </c>
      <c r="I38" s="195"/>
      <c r="J38" s="19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6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94">
        <f t="shared" si="2"/>
        <v>0</v>
      </c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94"/>
      <c r="I40" s="195"/>
      <c r="J40" s="19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6"/>
      <c r="B42" s="27" t="s">
        <v>70</v>
      </c>
      <c r="C42" s="11">
        <v>7</v>
      </c>
      <c r="D42" s="12">
        <f>C42*2.25</f>
        <v>15.75</v>
      </c>
      <c r="F42" s="39" t="s">
        <v>79</v>
      </c>
      <c r="G42" s="194">
        <v>92</v>
      </c>
      <c r="H42" s="195"/>
      <c r="I42" s="195"/>
      <c r="J42" s="19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94" t="s">
        <v>83</v>
      </c>
      <c r="H43" s="200" t="s">
        <v>13</v>
      </c>
      <c r="I43" s="201"/>
      <c r="J43" s="202"/>
      <c r="K43" s="21"/>
      <c r="P43" s="4"/>
      <c r="Q43" s="4"/>
      <c r="R43" s="5"/>
    </row>
    <row r="44" spans="1:18" ht="15.75" x14ac:dyDescent="0.25">
      <c r="A44" s="198"/>
      <c r="B44" s="27" t="s">
        <v>66</v>
      </c>
      <c r="C44" s="10"/>
      <c r="D44" s="12">
        <f>C44*120</f>
        <v>0</v>
      </c>
      <c r="F44" s="37"/>
      <c r="G44" s="62"/>
      <c r="H44" s="178"/>
      <c r="I44" s="178"/>
      <c r="J44" s="178"/>
      <c r="K44" s="21"/>
      <c r="P44" s="4"/>
      <c r="Q44" s="4"/>
      <c r="R44" s="5"/>
    </row>
    <row r="45" spans="1:18" ht="15.75" x14ac:dyDescent="0.25">
      <c r="A45" s="198"/>
      <c r="B45" s="27" t="s">
        <v>68</v>
      </c>
      <c r="C45" s="33">
        <v>3</v>
      </c>
      <c r="D45" s="12">
        <f>C45*84</f>
        <v>252</v>
      </c>
      <c r="F45" s="37"/>
      <c r="G45" s="62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>
        <v>13</v>
      </c>
      <c r="D46" s="12">
        <f>C46*1.5</f>
        <v>19.5</v>
      </c>
      <c r="F46" s="37"/>
      <c r="G46" s="93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/>
      <c r="D49" s="12">
        <f>C49*42</f>
        <v>0</v>
      </c>
      <c r="F49" s="219" t="s">
        <v>86</v>
      </c>
      <c r="G49" s="166">
        <f>H34+H35+H36+H37+H38+H39+H40+H41+G42+H44+H45+H46</f>
        <v>133192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>
        <v>36</v>
      </c>
      <c r="D50" s="12">
        <f>C50*1.5</f>
        <v>54</v>
      </c>
      <c r="F50" s="220"/>
      <c r="G50" s="169"/>
      <c r="H50" s="170"/>
      <c r="I50" s="170"/>
      <c r="J50" s="171"/>
      <c r="P50" s="4"/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132</v>
      </c>
      <c r="G51" s="234">
        <f>G49-H29</f>
        <v>-624.75</v>
      </c>
      <c r="H51" s="235"/>
      <c r="I51" s="235"/>
      <c r="J51" s="23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8"/>
      <c r="B52" s="29"/>
      <c r="C52" s="33"/>
      <c r="D52" s="45"/>
      <c r="F52" s="222"/>
      <c r="G52" s="237"/>
      <c r="H52" s="238"/>
      <c r="I52" s="238"/>
      <c r="J52" s="23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23723.25</v>
      </c>
      <c r="F54" s="21"/>
      <c r="J54" s="34"/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FB7C1-B160-4AD8-A035-E6D4F8411E2E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0" t="s">
        <v>1</v>
      </c>
      <c r="O1" s="100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1" t="s">
        <v>7</v>
      </c>
      <c r="B4" s="102"/>
      <c r="C4" s="102"/>
      <c r="D4" s="103"/>
      <c r="F4" s="104" t="s">
        <v>8</v>
      </c>
      <c r="G4" s="106">
        <v>3</v>
      </c>
      <c r="H4" s="108" t="s">
        <v>9</v>
      </c>
      <c r="I4" s="110">
        <v>45967</v>
      </c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5"/>
      <c r="B6" s="16" t="s">
        <v>15</v>
      </c>
      <c r="C6" s="10">
        <v>522</v>
      </c>
      <c r="D6" s="13">
        <f t="shared" ref="D6:D28" si="1">C6*L6</f>
        <v>384714</v>
      </c>
      <c r="F6" s="117" t="s">
        <v>16</v>
      </c>
      <c r="G6" s="119" t="s">
        <v>111</v>
      </c>
      <c r="H6" s="120"/>
      <c r="I6" s="120"/>
      <c r="J6" s="12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5"/>
      <c r="B7" s="16" t="s">
        <v>18</v>
      </c>
      <c r="C7" s="10">
        <v>20</v>
      </c>
      <c r="D7" s="13">
        <f t="shared" si="1"/>
        <v>14500</v>
      </c>
      <c r="F7" s="118"/>
      <c r="G7" s="122"/>
      <c r="H7" s="123"/>
      <c r="I7" s="123"/>
      <c r="J7" s="12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5"/>
      <c r="B8" s="16" t="s">
        <v>20</v>
      </c>
      <c r="C8" s="10">
        <v>1</v>
      </c>
      <c r="D8" s="13">
        <f t="shared" si="1"/>
        <v>1033</v>
      </c>
      <c r="F8" s="125" t="s">
        <v>21</v>
      </c>
      <c r="G8" s="127" t="s">
        <v>119</v>
      </c>
      <c r="H8" s="128"/>
      <c r="I8" s="128"/>
      <c r="J8" s="1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5"/>
      <c r="B9" s="16" t="s">
        <v>23</v>
      </c>
      <c r="C9" s="10">
        <v>112</v>
      </c>
      <c r="D9" s="13">
        <f t="shared" si="1"/>
        <v>79184</v>
      </c>
      <c r="F9" s="118"/>
      <c r="G9" s="130"/>
      <c r="H9" s="131"/>
      <c r="I9" s="131"/>
      <c r="J9" s="1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5"/>
      <c r="B10" t="s">
        <v>25</v>
      </c>
      <c r="C10" s="10">
        <v>2</v>
      </c>
      <c r="D10" s="13">
        <f t="shared" si="1"/>
        <v>1944</v>
      </c>
      <c r="F10" s="117" t="s">
        <v>26</v>
      </c>
      <c r="G10" s="133" t="s">
        <v>137</v>
      </c>
      <c r="H10" s="134"/>
      <c r="I10" s="134"/>
      <c r="J10" s="135"/>
      <c r="K10" s="8"/>
      <c r="L10" s="6">
        <f>R36</f>
        <v>972</v>
      </c>
      <c r="P10" s="4"/>
      <c r="Q10" s="4"/>
      <c r="R10" s="5"/>
    </row>
    <row r="11" spans="1:18" ht="15.75" x14ac:dyDescent="0.25">
      <c r="A11" s="115"/>
      <c r="B11" s="17" t="s">
        <v>28</v>
      </c>
      <c r="C11" s="10">
        <v>2</v>
      </c>
      <c r="D11" s="13">
        <f t="shared" si="1"/>
        <v>2250</v>
      </c>
      <c r="F11" s="118"/>
      <c r="G11" s="130"/>
      <c r="H11" s="131"/>
      <c r="I11" s="131"/>
      <c r="J11" s="1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5"/>
      <c r="B12" s="17" t="s">
        <v>30</v>
      </c>
      <c r="C12" s="10">
        <v>2</v>
      </c>
      <c r="D12" s="48">
        <f t="shared" si="1"/>
        <v>1904</v>
      </c>
      <c r="F12" s="136" t="s">
        <v>33</v>
      </c>
      <c r="G12" s="137"/>
      <c r="H12" s="137"/>
      <c r="I12" s="137"/>
      <c r="J12" s="1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5"/>
      <c r="B13" s="17" t="s">
        <v>32</v>
      </c>
      <c r="C13" s="10">
        <v>26</v>
      </c>
      <c r="D13" s="48">
        <f t="shared" si="1"/>
        <v>7982</v>
      </c>
      <c r="F13" s="139" t="s">
        <v>36</v>
      </c>
      <c r="G13" s="140"/>
      <c r="H13" s="141">
        <f>D29</f>
        <v>494817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5"/>
      <c r="B14" s="14" t="s">
        <v>35</v>
      </c>
      <c r="C14" s="10">
        <v>6</v>
      </c>
      <c r="D14" s="31">
        <f t="shared" si="1"/>
        <v>66</v>
      </c>
      <c r="F14" s="144" t="s">
        <v>39</v>
      </c>
      <c r="G14" s="145"/>
      <c r="H14" s="146">
        <f>D54</f>
        <v>57405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5"/>
      <c r="B15" s="14" t="s">
        <v>38</v>
      </c>
      <c r="C15" s="10">
        <v>1</v>
      </c>
      <c r="D15" s="31">
        <f t="shared" si="1"/>
        <v>620</v>
      </c>
      <c r="F15" s="149" t="s">
        <v>40</v>
      </c>
      <c r="G15" s="140"/>
      <c r="H15" s="150">
        <f>H13-H14</f>
        <v>437412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3">
        <f>2250+360</f>
        <v>2610</v>
      </c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B17" t="s">
        <v>113</v>
      </c>
      <c r="C17" s="10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0"/>
      <c r="I19" s="240"/>
      <c r="J19" s="24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3"/>
      <c r="I20" s="153"/>
      <c r="J20" s="15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5"/>
      <c r="B22" s="46" t="s">
        <v>104</v>
      </c>
      <c r="C22" s="10"/>
      <c r="D22" s="48">
        <f t="shared" si="1"/>
        <v>0</v>
      </c>
      <c r="F22" s="77" t="s">
        <v>160</v>
      </c>
      <c r="G22" s="73">
        <v>6886</v>
      </c>
      <c r="H22" s="176">
        <v>147693</v>
      </c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 t="s">
        <v>107</v>
      </c>
      <c r="C23" s="10"/>
      <c r="D23" s="48">
        <f t="shared" si="1"/>
        <v>0</v>
      </c>
      <c r="F23" s="78"/>
      <c r="G23" s="79"/>
      <c r="H23" s="177"/>
      <c r="I23" s="178"/>
      <c r="J23" s="17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 t="s">
        <v>101</v>
      </c>
      <c r="C24" s="10"/>
      <c r="D24" s="48">
        <f t="shared" si="1"/>
        <v>0</v>
      </c>
      <c r="F24" s="38"/>
      <c r="G24" s="37"/>
      <c r="H24" s="177"/>
      <c r="I24" s="178"/>
      <c r="J24" s="17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 t="s">
        <v>105</v>
      </c>
      <c r="C26" s="10"/>
      <c r="D26" s="48">
        <f t="shared" si="1"/>
        <v>0</v>
      </c>
      <c r="F26" s="64"/>
      <c r="G26" s="59"/>
      <c r="H26" s="182"/>
      <c r="I26" s="183"/>
      <c r="J26" s="18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5"/>
      <c r="B27" s="14" t="s">
        <v>109</v>
      </c>
      <c r="C27" s="10"/>
      <c r="D27" s="44">
        <f t="shared" si="1"/>
        <v>0</v>
      </c>
      <c r="F27" s="25"/>
      <c r="G27" s="80"/>
      <c r="H27" s="185"/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 t="s">
        <v>97</v>
      </c>
      <c r="C28" s="10"/>
      <c r="D28" s="48">
        <f t="shared" si="1"/>
        <v>0</v>
      </c>
      <c r="F28" s="91"/>
      <c r="G28" s="61"/>
      <c r="H28" s="188"/>
      <c r="I28" s="189"/>
      <c r="J28" s="19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494817</v>
      </c>
      <c r="F29" s="162" t="s">
        <v>55</v>
      </c>
      <c r="G29" s="163"/>
      <c r="H29" s="166">
        <f>H15-H16-H17-H18-H19-H20-H22-H23-H24+H26+H27</f>
        <v>287109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42</v>
      </c>
      <c r="H34" s="194">
        <f>F34*G34</f>
        <v>42000</v>
      </c>
      <c r="I34" s="195"/>
      <c r="J34" s="19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>
        <v>38</v>
      </c>
      <c r="H35" s="194">
        <f>F35*G35</f>
        <v>19000</v>
      </c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/>
      <c r="D36" s="12">
        <f>C36*1.5</f>
        <v>0</v>
      </c>
      <c r="F36" s="12">
        <v>200</v>
      </c>
      <c r="G36" s="37"/>
      <c r="H36" s="194">
        <f t="shared" ref="H36:H39" si="2">F36*G36</f>
        <v>0</v>
      </c>
      <c r="I36" s="195"/>
      <c r="J36" s="19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4" t="s">
        <v>72</v>
      </c>
      <c r="B37" s="28" t="s">
        <v>66</v>
      </c>
      <c r="C37" s="53">
        <v>488</v>
      </c>
      <c r="D37" s="12">
        <f>C37*111</f>
        <v>54168</v>
      </c>
      <c r="F37" s="12">
        <v>100</v>
      </c>
      <c r="G37" s="39"/>
      <c r="H37" s="194">
        <f t="shared" si="2"/>
        <v>0</v>
      </c>
      <c r="I37" s="195"/>
      <c r="J37" s="19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5"/>
      <c r="B38" s="29" t="s">
        <v>68</v>
      </c>
      <c r="C38" s="54"/>
      <c r="D38" s="12">
        <f>C38*84</f>
        <v>0</v>
      </c>
      <c r="F38" s="30">
        <v>50</v>
      </c>
      <c r="G38" s="39"/>
      <c r="H38" s="194">
        <f t="shared" si="2"/>
        <v>0</v>
      </c>
      <c r="I38" s="195"/>
      <c r="J38" s="19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6"/>
      <c r="B39" s="29" t="s">
        <v>70</v>
      </c>
      <c r="C39" s="52"/>
      <c r="D39" s="31">
        <f>C39*4.5</f>
        <v>0</v>
      </c>
      <c r="F39" s="12">
        <v>20</v>
      </c>
      <c r="G39" s="37"/>
      <c r="H39" s="194">
        <f t="shared" si="2"/>
        <v>0</v>
      </c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94"/>
      <c r="I40" s="195"/>
      <c r="J40" s="19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5"/>
      <c r="B41" s="27" t="s">
        <v>68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6"/>
      <c r="B42" s="27" t="s">
        <v>70</v>
      </c>
      <c r="C42" s="11"/>
      <c r="D42" s="12">
        <f>C42*2.25</f>
        <v>0</v>
      </c>
      <c r="F42" s="39" t="s">
        <v>79</v>
      </c>
      <c r="G42" s="194"/>
      <c r="H42" s="195"/>
      <c r="I42" s="195"/>
      <c r="J42" s="19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94" t="s">
        <v>83</v>
      </c>
      <c r="H43" s="200" t="s">
        <v>13</v>
      </c>
      <c r="I43" s="201"/>
      <c r="J43" s="202"/>
      <c r="K43" s="21"/>
      <c r="P43" s="4"/>
      <c r="Q43" s="4"/>
      <c r="R43" s="5"/>
    </row>
    <row r="44" spans="1:18" ht="15.75" x14ac:dyDescent="0.25">
      <c r="A44" s="198"/>
      <c r="B44" s="27" t="s">
        <v>66</v>
      </c>
      <c r="C44" s="10">
        <v>7</v>
      </c>
      <c r="D44" s="12">
        <f>C44*120</f>
        <v>840</v>
      </c>
      <c r="F44" s="37" t="s">
        <v>148</v>
      </c>
      <c r="G44" s="76" t="s">
        <v>159</v>
      </c>
      <c r="H44" s="178">
        <v>226005</v>
      </c>
      <c r="I44" s="178"/>
      <c r="J44" s="178"/>
      <c r="K44" s="21"/>
      <c r="P44" s="4"/>
      <c r="Q44" s="4"/>
      <c r="R44" s="5"/>
    </row>
    <row r="45" spans="1:18" ht="15.75" x14ac:dyDescent="0.25">
      <c r="A45" s="198"/>
      <c r="B45" s="27" t="s">
        <v>68</v>
      </c>
      <c r="C45" s="33"/>
      <c r="D45" s="12">
        <f>C45*84</f>
        <v>0</v>
      </c>
      <c r="F45" s="37"/>
      <c r="G45" s="76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/>
      <c r="D46" s="12">
        <f>C46*1.5</f>
        <v>0</v>
      </c>
      <c r="F46" s="37"/>
      <c r="G46" s="62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>
        <v>11</v>
      </c>
      <c r="D48" s="12">
        <f>C48*78</f>
        <v>858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>
        <v>15</v>
      </c>
      <c r="D49" s="12">
        <f>C49*42</f>
        <v>630</v>
      </c>
      <c r="F49" s="219" t="s">
        <v>86</v>
      </c>
      <c r="G49" s="166">
        <f>H34+H35+H36+H37+H38+H39+H40+H41+G42+H44+H45+H46</f>
        <v>287005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>
        <v>2</v>
      </c>
      <c r="D50" s="12">
        <f>C50*1.5</f>
        <v>3</v>
      </c>
      <c r="F50" s="220"/>
      <c r="G50" s="169"/>
      <c r="H50" s="170"/>
      <c r="I50" s="170"/>
      <c r="J50" s="171"/>
      <c r="P50" s="4"/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142</v>
      </c>
      <c r="G51" s="234">
        <f>G49-H29</f>
        <v>-104</v>
      </c>
      <c r="H51" s="235"/>
      <c r="I51" s="235"/>
      <c r="J51" s="23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8"/>
      <c r="B52" s="29"/>
      <c r="C52" s="33"/>
      <c r="D52" s="45"/>
      <c r="F52" s="222"/>
      <c r="G52" s="237"/>
      <c r="H52" s="238"/>
      <c r="I52" s="238"/>
      <c r="J52" s="23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57405</v>
      </c>
      <c r="F54" s="21"/>
      <c r="J54" s="34"/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07142-2579-4E15-A001-DB2D886643D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0" t="s">
        <v>1</v>
      </c>
      <c r="O1" s="100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1" t="s">
        <v>7</v>
      </c>
      <c r="B4" s="102"/>
      <c r="C4" s="102"/>
      <c r="D4" s="103"/>
      <c r="F4" s="104" t="s">
        <v>8</v>
      </c>
      <c r="G4" s="106"/>
      <c r="H4" s="108" t="s">
        <v>9</v>
      </c>
      <c r="I4" s="110"/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5"/>
      <c r="B6" s="16"/>
      <c r="C6" s="10"/>
      <c r="D6" s="13">
        <f t="shared" ref="D6:D28" si="1">C6*L6</f>
        <v>0</v>
      </c>
      <c r="F6" s="117" t="s">
        <v>16</v>
      </c>
      <c r="G6" s="119"/>
      <c r="H6" s="120"/>
      <c r="I6" s="120"/>
      <c r="J6" s="12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5"/>
      <c r="B7" s="16"/>
      <c r="C7" s="10"/>
      <c r="D7" s="13">
        <f t="shared" si="1"/>
        <v>0</v>
      </c>
      <c r="F7" s="118"/>
      <c r="G7" s="122"/>
      <c r="H7" s="123"/>
      <c r="I7" s="123"/>
      <c r="J7" s="12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5"/>
      <c r="B8" s="16"/>
      <c r="C8" s="10"/>
      <c r="D8" s="13">
        <f t="shared" si="1"/>
        <v>0</v>
      </c>
      <c r="F8" s="125" t="s">
        <v>21</v>
      </c>
      <c r="G8" s="127"/>
      <c r="H8" s="128"/>
      <c r="I8" s="128"/>
      <c r="J8" s="12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5"/>
      <c r="B9" s="16"/>
      <c r="C9" s="10"/>
      <c r="D9" s="13">
        <f t="shared" si="1"/>
        <v>0</v>
      </c>
      <c r="F9" s="118"/>
      <c r="G9" s="130"/>
      <c r="H9" s="131"/>
      <c r="I9" s="131"/>
      <c r="J9" s="13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5"/>
      <c r="C10" s="10"/>
      <c r="D10" s="13">
        <f t="shared" si="1"/>
        <v>0</v>
      </c>
      <c r="F10" s="117" t="s">
        <v>26</v>
      </c>
      <c r="G10" s="133"/>
      <c r="H10" s="134"/>
      <c r="I10" s="134"/>
      <c r="J10" s="135"/>
      <c r="K10" s="8"/>
      <c r="L10" s="6">
        <f>R36</f>
        <v>972</v>
      </c>
      <c r="P10" s="4"/>
      <c r="Q10" s="4"/>
      <c r="R10" s="5"/>
    </row>
    <row r="11" spans="1:19" ht="15.75" x14ac:dyDescent="0.25">
      <c r="A11" s="115"/>
      <c r="B11" s="17"/>
      <c r="C11" s="10"/>
      <c r="D11" s="13">
        <f t="shared" si="1"/>
        <v>0</v>
      </c>
      <c r="F11" s="118"/>
      <c r="G11" s="130"/>
      <c r="H11" s="131"/>
      <c r="I11" s="131"/>
      <c r="J11" s="1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5"/>
      <c r="B12" s="17"/>
      <c r="C12" s="10"/>
      <c r="D12" s="48">
        <f t="shared" si="1"/>
        <v>0</v>
      </c>
      <c r="F12" s="136" t="s">
        <v>33</v>
      </c>
      <c r="G12" s="137"/>
      <c r="H12" s="137"/>
      <c r="I12" s="137"/>
      <c r="J12" s="1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5"/>
      <c r="B13" s="17"/>
      <c r="C13" s="10"/>
      <c r="D13" s="48">
        <f t="shared" si="1"/>
        <v>0</v>
      </c>
      <c r="F13" s="139" t="s">
        <v>36</v>
      </c>
      <c r="G13" s="140"/>
      <c r="H13" s="141">
        <f>D29</f>
        <v>0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5"/>
      <c r="B14" s="14"/>
      <c r="C14" s="10"/>
      <c r="D14" s="31">
        <f t="shared" si="1"/>
        <v>0</v>
      </c>
      <c r="F14" s="144" t="s">
        <v>39</v>
      </c>
      <c r="G14" s="145"/>
      <c r="H14" s="146">
        <f>D54</f>
        <v>0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5"/>
      <c r="B15" s="14"/>
      <c r="C15" s="10"/>
      <c r="D15" s="31">
        <f t="shared" si="1"/>
        <v>0</v>
      </c>
      <c r="F15" s="149" t="s">
        <v>40</v>
      </c>
      <c r="G15" s="140"/>
      <c r="H15" s="150">
        <f>H13-H14</f>
        <v>0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C17" s="10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/>
      <c r="C18" s="10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/>
      <c r="C19" s="10"/>
      <c r="D19" s="48">
        <f t="shared" si="1"/>
        <v>0</v>
      </c>
      <c r="F19" s="56"/>
      <c r="G19" s="68" t="s">
        <v>50</v>
      </c>
      <c r="H19" s="172"/>
      <c r="I19" s="172"/>
      <c r="J19" s="17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5"/>
      <c r="B20" s="46"/>
      <c r="C20" s="10"/>
      <c r="D20" s="13">
        <f t="shared" si="1"/>
        <v>0</v>
      </c>
      <c r="F20" s="57"/>
      <c r="G20" s="70" t="s">
        <v>120</v>
      </c>
      <c r="H20" s="153"/>
      <c r="I20" s="153"/>
      <c r="J20" s="15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5"/>
      <c r="B22" s="46"/>
      <c r="C22" s="10"/>
      <c r="D22" s="48">
        <f t="shared" si="1"/>
        <v>0</v>
      </c>
      <c r="F22" s="77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/>
      <c r="C23" s="10"/>
      <c r="D23" s="48">
        <f t="shared" si="1"/>
        <v>0</v>
      </c>
      <c r="F23" s="78"/>
      <c r="G23" s="79"/>
      <c r="H23" s="177"/>
      <c r="I23" s="178"/>
      <c r="J23" s="17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/>
      <c r="C24" s="10"/>
      <c r="D24" s="48">
        <f t="shared" si="1"/>
        <v>0</v>
      </c>
      <c r="F24" s="38"/>
      <c r="G24" s="37"/>
      <c r="H24" s="177"/>
      <c r="I24" s="178"/>
      <c r="J24" s="17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/>
      <c r="C26" s="10"/>
      <c r="D26" s="48">
        <f t="shared" si="1"/>
        <v>0</v>
      </c>
      <c r="F26" s="64"/>
      <c r="G26" s="59"/>
      <c r="H26" s="182"/>
      <c r="I26" s="183"/>
      <c r="J26" s="18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5"/>
      <c r="B27" s="14"/>
      <c r="C27" s="10"/>
      <c r="D27" s="44">
        <f t="shared" si="1"/>
        <v>0</v>
      </c>
      <c r="F27" s="25"/>
      <c r="G27" s="80"/>
      <c r="H27" s="185"/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/>
      <c r="C28" s="10"/>
      <c r="D28" s="48">
        <f t="shared" si="1"/>
        <v>0</v>
      </c>
      <c r="F28" s="91"/>
      <c r="G28" s="61"/>
      <c r="H28" s="188"/>
      <c r="I28" s="189"/>
      <c r="J28" s="19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62" t="s">
        <v>55</v>
      </c>
      <c r="G29" s="163"/>
      <c r="H29" s="166">
        <f>H15-H16-H17-H18-H19-H20-H22-H23-H24+H26+H27</f>
        <v>0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4"/>
      <c r="I34" s="195"/>
      <c r="J34" s="19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/>
      <c r="H35" s="194"/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/>
      <c r="D36" s="12">
        <f>C36*1.5</f>
        <v>0</v>
      </c>
      <c r="F36" s="12">
        <v>200</v>
      </c>
      <c r="G36" s="37"/>
      <c r="H36" s="194"/>
      <c r="I36" s="195"/>
      <c r="J36" s="19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4"/>
      <c r="I37" s="195"/>
      <c r="J37" s="19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5"/>
      <c r="B38" s="29" t="s">
        <v>68</v>
      </c>
      <c r="C38" s="54"/>
      <c r="D38" s="12">
        <f>C38*84</f>
        <v>0</v>
      </c>
      <c r="F38" s="30">
        <v>50</v>
      </c>
      <c r="G38" s="39"/>
      <c r="H38" s="194"/>
      <c r="I38" s="195"/>
      <c r="J38" s="19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6"/>
      <c r="B39" s="29" t="s">
        <v>70</v>
      </c>
      <c r="C39" s="52"/>
      <c r="D39" s="31">
        <f>C39*4.5</f>
        <v>0</v>
      </c>
      <c r="F39" s="12">
        <v>20</v>
      </c>
      <c r="G39" s="37"/>
      <c r="H39" s="194"/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5"/>
      <c r="B41" s="27" t="s">
        <v>68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6"/>
      <c r="B42" s="27" t="s">
        <v>70</v>
      </c>
      <c r="C42" s="11"/>
      <c r="D42" s="12">
        <f>C42*2.25</f>
        <v>0</v>
      </c>
      <c r="F42" s="39" t="s">
        <v>79</v>
      </c>
      <c r="G42" s="194"/>
      <c r="H42" s="195"/>
      <c r="I42" s="195"/>
      <c r="J42" s="19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94" t="s">
        <v>83</v>
      </c>
      <c r="H43" s="200" t="s">
        <v>13</v>
      </c>
      <c r="I43" s="201"/>
      <c r="J43" s="202"/>
      <c r="K43" s="21"/>
      <c r="P43" s="4"/>
      <c r="Q43" s="4"/>
      <c r="R43" s="5"/>
    </row>
    <row r="44" spans="1:18" ht="15.75" x14ac:dyDescent="0.25">
      <c r="A44" s="198"/>
      <c r="B44" s="27" t="s">
        <v>66</v>
      </c>
      <c r="C44" s="10"/>
      <c r="D44" s="12">
        <f>C44*120</f>
        <v>0</v>
      </c>
      <c r="F44" s="37"/>
      <c r="G44" s="76"/>
      <c r="H44" s="178"/>
      <c r="I44" s="178"/>
      <c r="J44" s="178"/>
      <c r="K44" s="21"/>
      <c r="P44" s="4"/>
      <c r="Q44" s="4"/>
      <c r="R44" s="5"/>
    </row>
    <row r="45" spans="1:18" ht="15.75" x14ac:dyDescent="0.25">
      <c r="A45" s="198"/>
      <c r="B45" s="27" t="s">
        <v>68</v>
      </c>
      <c r="C45" s="33"/>
      <c r="D45" s="12">
        <f>C45*84</f>
        <v>0</v>
      </c>
      <c r="F45" s="37"/>
      <c r="G45" s="76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/>
      <c r="D46" s="12">
        <f>C46*1.5</f>
        <v>0</v>
      </c>
      <c r="F46" s="37"/>
      <c r="G46" s="62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/>
      <c r="D48" s="12">
        <f>C48*78</f>
        <v>0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/>
      <c r="D49" s="12">
        <f>C49*42</f>
        <v>0</v>
      </c>
      <c r="F49" s="219" t="s">
        <v>86</v>
      </c>
      <c r="G49" s="166">
        <f>H34+H35+H36+H37+H38+H39+H40+H41+G42+H44+H45+H46</f>
        <v>0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/>
      <c r="D50" s="12">
        <f>C50*1.5</f>
        <v>0</v>
      </c>
      <c r="F50" s="220"/>
      <c r="G50" s="169"/>
      <c r="H50" s="170"/>
      <c r="I50" s="170"/>
      <c r="J50" s="171"/>
      <c r="P50" s="4"/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128</v>
      </c>
      <c r="G51" s="223">
        <f>G49-H29</f>
        <v>0</v>
      </c>
      <c r="H51" s="224"/>
      <c r="I51" s="224"/>
      <c r="J51" s="22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8"/>
      <c r="B52" s="29"/>
      <c r="C52" s="33"/>
      <c r="D52" s="45"/>
      <c r="F52" s="222"/>
      <c r="G52" s="226"/>
      <c r="H52" s="227"/>
      <c r="I52" s="227"/>
      <c r="J52" s="22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0</v>
      </c>
      <c r="F54" s="21"/>
      <c r="J54" s="34"/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4348D3-B306-4076-A033-BE1A4264D08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0" t="s">
        <v>1</v>
      </c>
      <c r="O1" s="100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1" t="s">
        <v>7</v>
      </c>
      <c r="B4" s="102"/>
      <c r="C4" s="102"/>
      <c r="D4" s="103"/>
      <c r="F4" s="104" t="s">
        <v>8</v>
      </c>
      <c r="G4" s="106">
        <v>1</v>
      </c>
      <c r="H4" s="108" t="s">
        <v>9</v>
      </c>
      <c r="I4" s="110">
        <v>45968</v>
      </c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5"/>
      <c r="B6" s="16" t="s">
        <v>15</v>
      </c>
      <c r="C6" s="89"/>
      <c r="D6" s="13">
        <f t="shared" ref="D6:D28" si="1">C6*L6</f>
        <v>0</v>
      </c>
      <c r="F6" s="117" t="s">
        <v>16</v>
      </c>
      <c r="G6" s="119" t="s">
        <v>129</v>
      </c>
      <c r="H6" s="120"/>
      <c r="I6" s="120"/>
      <c r="J6" s="12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5"/>
      <c r="B7" s="16" t="s">
        <v>18</v>
      </c>
      <c r="C7" s="89"/>
      <c r="D7" s="13">
        <f t="shared" si="1"/>
        <v>0</v>
      </c>
      <c r="F7" s="118"/>
      <c r="G7" s="122"/>
      <c r="H7" s="123"/>
      <c r="I7" s="123"/>
      <c r="J7" s="12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5"/>
      <c r="B8" s="16" t="s">
        <v>20</v>
      </c>
      <c r="C8" s="89"/>
      <c r="D8" s="13">
        <f t="shared" si="1"/>
        <v>0</v>
      </c>
      <c r="F8" s="125" t="s">
        <v>21</v>
      </c>
      <c r="G8" s="127" t="s">
        <v>112</v>
      </c>
      <c r="H8" s="128"/>
      <c r="I8" s="128"/>
      <c r="J8" s="1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5"/>
      <c r="B9" s="16" t="s">
        <v>23</v>
      </c>
      <c r="C9" s="89"/>
      <c r="D9" s="13">
        <f t="shared" si="1"/>
        <v>0</v>
      </c>
      <c r="F9" s="118"/>
      <c r="G9" s="130"/>
      <c r="H9" s="131"/>
      <c r="I9" s="131"/>
      <c r="J9" s="1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5"/>
      <c r="B10" t="s">
        <v>25</v>
      </c>
      <c r="C10" s="89"/>
      <c r="D10" s="13">
        <f t="shared" si="1"/>
        <v>0</v>
      </c>
      <c r="F10" s="117" t="s">
        <v>26</v>
      </c>
      <c r="G10" s="133" t="s">
        <v>130</v>
      </c>
      <c r="H10" s="134"/>
      <c r="I10" s="134"/>
      <c r="J10" s="135"/>
      <c r="K10" s="8"/>
      <c r="L10" s="6">
        <f>R36</f>
        <v>972</v>
      </c>
      <c r="P10" s="4"/>
      <c r="Q10" s="4"/>
      <c r="R10" s="5"/>
    </row>
    <row r="11" spans="1:18" ht="15.75" x14ac:dyDescent="0.25">
      <c r="A11" s="115"/>
      <c r="B11" s="17" t="s">
        <v>28</v>
      </c>
      <c r="C11" s="89"/>
      <c r="D11" s="13">
        <f t="shared" si="1"/>
        <v>0</v>
      </c>
      <c r="F11" s="118"/>
      <c r="G11" s="130"/>
      <c r="H11" s="131"/>
      <c r="I11" s="131"/>
      <c r="J11" s="1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5"/>
      <c r="B12" s="17" t="s">
        <v>30</v>
      </c>
      <c r="C12" s="89"/>
      <c r="D12" s="48">
        <f t="shared" si="1"/>
        <v>0</v>
      </c>
      <c r="F12" s="136" t="s">
        <v>33</v>
      </c>
      <c r="G12" s="137"/>
      <c r="H12" s="137"/>
      <c r="I12" s="137"/>
      <c r="J12" s="1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5"/>
      <c r="B13" s="17" t="s">
        <v>32</v>
      </c>
      <c r="C13" s="89"/>
      <c r="D13" s="48">
        <f t="shared" si="1"/>
        <v>0</v>
      </c>
      <c r="F13" s="139" t="s">
        <v>36</v>
      </c>
      <c r="G13" s="140"/>
      <c r="H13" s="141">
        <f>D29</f>
        <v>0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5"/>
      <c r="B14" s="14" t="s">
        <v>35</v>
      </c>
      <c r="C14" s="89"/>
      <c r="D14" s="31">
        <f t="shared" si="1"/>
        <v>0</v>
      </c>
      <c r="F14" s="144" t="s">
        <v>39</v>
      </c>
      <c r="G14" s="145"/>
      <c r="H14" s="146">
        <f>D54</f>
        <v>0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5"/>
      <c r="B15" s="14" t="s">
        <v>38</v>
      </c>
      <c r="C15" s="89"/>
      <c r="D15" s="31">
        <f t="shared" si="1"/>
        <v>0</v>
      </c>
      <c r="F15" s="149" t="s">
        <v>40</v>
      </c>
      <c r="G15" s="140"/>
      <c r="H15" s="150">
        <f>H13-H14</f>
        <v>0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5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B17" t="s">
        <v>140</v>
      </c>
      <c r="C17" s="89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26"/>
      <c r="I19" s="126"/>
      <c r="J19" s="126"/>
      <c r="L19" s="6">
        <v>1102</v>
      </c>
      <c r="Q19" s="4"/>
      <c r="R19" s="5">
        <f t="shared" si="0"/>
        <v>0</v>
      </c>
    </row>
    <row r="20" spans="1:18" ht="15.75" x14ac:dyDescent="0.25">
      <c r="A20" s="115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53"/>
      <c r="I20" s="153"/>
      <c r="J20" s="15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5"/>
      <c r="B22" s="46" t="s">
        <v>127</v>
      </c>
      <c r="C22" s="89"/>
      <c r="D22" s="48">
        <f t="shared" si="1"/>
        <v>0</v>
      </c>
      <c r="F22" s="77"/>
      <c r="G22" s="73"/>
      <c r="H22" s="176"/>
      <c r="I22" s="176"/>
      <c r="J22" s="17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 t="s">
        <v>101</v>
      </c>
      <c r="C23" s="89"/>
      <c r="D23" s="48">
        <f t="shared" si="1"/>
        <v>0</v>
      </c>
      <c r="F23" s="77"/>
      <c r="G23" s="79"/>
      <c r="H23" s="229"/>
      <c r="I23" s="230"/>
      <c r="J23" s="23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 t="s">
        <v>121</v>
      </c>
      <c r="C24" s="89"/>
      <c r="D24" s="48">
        <f t="shared" si="1"/>
        <v>0</v>
      </c>
      <c r="F24" s="77"/>
      <c r="G24" s="79"/>
      <c r="H24" s="229"/>
      <c r="I24" s="230"/>
      <c r="J24" s="23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 t="s">
        <v>139</v>
      </c>
      <c r="C26" s="89"/>
      <c r="D26" s="48">
        <f t="shared" si="1"/>
        <v>0</v>
      </c>
      <c r="F26" s="75"/>
      <c r="G26" s="65"/>
      <c r="H26" s="178"/>
      <c r="I26" s="178"/>
      <c r="J26" s="178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5"/>
      <c r="B27" s="14" t="s">
        <v>110</v>
      </c>
      <c r="C27" s="89"/>
      <c r="D27" s="44">
        <f t="shared" si="1"/>
        <v>0</v>
      </c>
      <c r="F27" s="71"/>
      <c r="G27" s="94"/>
      <c r="H27" s="231"/>
      <c r="I27" s="232"/>
      <c r="J27" s="23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 t="s">
        <v>97</v>
      </c>
      <c r="C28" s="89"/>
      <c r="D28" s="48">
        <f t="shared" si="1"/>
        <v>0</v>
      </c>
      <c r="F28" s="91"/>
      <c r="G28" s="61"/>
      <c r="H28" s="188"/>
      <c r="I28" s="189"/>
      <c r="J28" s="19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62" t="s">
        <v>55</v>
      </c>
      <c r="G29" s="163"/>
      <c r="H29" s="166">
        <f>H15-H16-H17-H18-H19-H20-H22-H23-H24+H26+H27+H28</f>
        <v>0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94">
        <f t="shared" ref="H34:H39" si="2">F34*G34</f>
        <v>0</v>
      </c>
      <c r="I34" s="195"/>
      <c r="J34" s="19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/>
      <c r="H35" s="194">
        <f t="shared" si="2"/>
        <v>0</v>
      </c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/>
      <c r="D36" s="12">
        <f>C36*1.5</f>
        <v>0</v>
      </c>
      <c r="F36" s="12">
        <v>200</v>
      </c>
      <c r="G36" s="37"/>
      <c r="H36" s="194">
        <f t="shared" si="2"/>
        <v>0</v>
      </c>
      <c r="I36" s="195"/>
      <c r="J36" s="19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4">
        <f t="shared" si="2"/>
        <v>0</v>
      </c>
      <c r="I37" s="195"/>
      <c r="J37" s="19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5"/>
      <c r="B38" s="29" t="s">
        <v>68</v>
      </c>
      <c r="C38" s="54"/>
      <c r="D38" s="12">
        <f>C38*84</f>
        <v>0</v>
      </c>
      <c r="F38" s="30">
        <v>50</v>
      </c>
      <c r="G38" s="39"/>
      <c r="H38" s="194">
        <f t="shared" si="2"/>
        <v>0</v>
      </c>
      <c r="I38" s="195"/>
      <c r="J38" s="19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6"/>
      <c r="B39" s="29" t="s">
        <v>70</v>
      </c>
      <c r="C39" s="52"/>
      <c r="D39" s="31">
        <f>C39*4.5</f>
        <v>0</v>
      </c>
      <c r="F39" s="12">
        <v>20</v>
      </c>
      <c r="G39" s="37"/>
      <c r="H39" s="194">
        <f t="shared" si="2"/>
        <v>0</v>
      </c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5"/>
      <c r="B41" s="27" t="s">
        <v>68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6"/>
      <c r="B42" s="27" t="s">
        <v>70</v>
      </c>
      <c r="C42" s="11"/>
      <c r="D42" s="12">
        <f>C42*2.25</f>
        <v>0</v>
      </c>
      <c r="F42" s="39" t="s">
        <v>79</v>
      </c>
      <c r="G42" s="194"/>
      <c r="H42" s="195"/>
      <c r="I42" s="195"/>
      <c r="J42" s="19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94" t="s">
        <v>83</v>
      </c>
      <c r="H43" s="200" t="s">
        <v>13</v>
      </c>
      <c r="I43" s="201"/>
      <c r="J43" s="20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8"/>
      <c r="B44" s="27" t="s">
        <v>66</v>
      </c>
      <c r="C44" s="10"/>
      <c r="D44" s="12">
        <f>C44*120</f>
        <v>0</v>
      </c>
      <c r="F44" s="37"/>
      <c r="G44" s="62"/>
      <c r="H44" s="178"/>
      <c r="I44" s="178"/>
      <c r="J44" s="17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98"/>
      <c r="B45" s="27" t="s">
        <v>68</v>
      </c>
      <c r="C45" s="33"/>
      <c r="D45" s="12">
        <f>C45*84</f>
        <v>0</v>
      </c>
      <c r="F45" s="37"/>
      <c r="G45" s="62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/>
      <c r="D46" s="12">
        <f>C46*1.5</f>
        <v>0</v>
      </c>
      <c r="F46" s="37"/>
      <c r="G46" s="62"/>
      <c r="H46" s="178"/>
      <c r="I46" s="178"/>
      <c r="J46" s="178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/>
      <c r="D48" s="12">
        <f>C48*78</f>
        <v>0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/>
      <c r="D49" s="12">
        <f>C49*42</f>
        <v>0</v>
      </c>
      <c r="F49" s="219" t="s">
        <v>86</v>
      </c>
      <c r="G49" s="166">
        <f>H34+H35+H36+H37+H38+H39+H40+H41+G42+H44+H45+H46</f>
        <v>0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/>
      <c r="D50" s="12">
        <f>C50*1.5</f>
        <v>0</v>
      </c>
      <c r="F50" s="220"/>
      <c r="G50" s="169"/>
      <c r="H50" s="170"/>
      <c r="I50" s="170"/>
      <c r="J50" s="171"/>
      <c r="P50" s="4"/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131</v>
      </c>
      <c r="G51" s="234">
        <f>G49-H29</f>
        <v>0</v>
      </c>
      <c r="H51" s="235"/>
      <c r="I51" s="235"/>
      <c r="J51" s="23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8"/>
      <c r="B52" s="29"/>
      <c r="C52" s="33"/>
      <c r="D52" s="45"/>
      <c r="F52" s="222"/>
      <c r="G52" s="237"/>
      <c r="H52" s="238"/>
      <c r="I52" s="238"/>
      <c r="J52" s="23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079BAB-60A8-4800-BA30-F7D5DF4727E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0" t="s">
        <v>1</v>
      </c>
      <c r="O1" s="100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1" t="s">
        <v>7</v>
      </c>
      <c r="B4" s="102"/>
      <c r="C4" s="102"/>
      <c r="D4" s="103"/>
      <c r="F4" s="104" t="s">
        <v>8</v>
      </c>
      <c r="G4" s="106">
        <v>2</v>
      </c>
      <c r="H4" s="108" t="s">
        <v>9</v>
      </c>
      <c r="I4" s="110">
        <v>45968</v>
      </c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5"/>
      <c r="B6" s="16" t="s">
        <v>15</v>
      </c>
      <c r="C6" s="10"/>
      <c r="D6" s="13">
        <f t="shared" ref="D6:D28" si="1">C6*L6</f>
        <v>0</v>
      </c>
      <c r="F6" s="117" t="s">
        <v>16</v>
      </c>
      <c r="G6" s="119" t="s">
        <v>134</v>
      </c>
      <c r="H6" s="120"/>
      <c r="I6" s="120"/>
      <c r="J6" s="12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5"/>
      <c r="B7" s="16" t="s">
        <v>18</v>
      </c>
      <c r="C7" s="10"/>
      <c r="D7" s="13">
        <f t="shared" si="1"/>
        <v>0</v>
      </c>
      <c r="F7" s="118"/>
      <c r="G7" s="122"/>
      <c r="H7" s="123"/>
      <c r="I7" s="123"/>
      <c r="J7" s="12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5"/>
      <c r="B8" s="16" t="s">
        <v>20</v>
      </c>
      <c r="C8" s="10"/>
      <c r="D8" s="13">
        <f t="shared" si="1"/>
        <v>0</v>
      </c>
      <c r="F8" s="125" t="s">
        <v>21</v>
      </c>
      <c r="G8" s="127" t="s">
        <v>114</v>
      </c>
      <c r="H8" s="128"/>
      <c r="I8" s="128"/>
      <c r="J8" s="1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5"/>
      <c r="B9" s="16" t="s">
        <v>23</v>
      </c>
      <c r="C9" s="10"/>
      <c r="D9" s="13">
        <f t="shared" si="1"/>
        <v>0</v>
      </c>
      <c r="F9" s="118"/>
      <c r="G9" s="130"/>
      <c r="H9" s="131"/>
      <c r="I9" s="131"/>
      <c r="J9" s="1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5"/>
      <c r="B10" t="s">
        <v>25</v>
      </c>
      <c r="C10" s="10"/>
      <c r="D10" s="13">
        <f t="shared" si="1"/>
        <v>0</v>
      </c>
      <c r="F10" s="117" t="s">
        <v>26</v>
      </c>
      <c r="G10" s="133" t="s">
        <v>115</v>
      </c>
      <c r="H10" s="134"/>
      <c r="I10" s="134"/>
      <c r="J10" s="135"/>
      <c r="K10" s="8"/>
      <c r="L10" s="6">
        <f>R36</f>
        <v>972</v>
      </c>
      <c r="P10" s="4"/>
      <c r="Q10" s="4"/>
      <c r="R10" s="5"/>
    </row>
    <row r="11" spans="1:18" ht="15.75" x14ac:dyDescent="0.25">
      <c r="A11" s="115"/>
      <c r="B11" s="17" t="s">
        <v>28</v>
      </c>
      <c r="C11" s="10"/>
      <c r="D11" s="13">
        <f t="shared" si="1"/>
        <v>0</v>
      </c>
      <c r="F11" s="118"/>
      <c r="G11" s="130"/>
      <c r="H11" s="131"/>
      <c r="I11" s="131"/>
      <c r="J11" s="1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5"/>
      <c r="B12" s="17" t="s">
        <v>30</v>
      </c>
      <c r="C12" s="10"/>
      <c r="D12" s="48">
        <f t="shared" si="1"/>
        <v>0</v>
      </c>
      <c r="F12" s="136" t="s">
        <v>33</v>
      </c>
      <c r="G12" s="137"/>
      <c r="H12" s="137"/>
      <c r="I12" s="137"/>
      <c r="J12" s="1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5"/>
      <c r="B13" s="17" t="s">
        <v>32</v>
      </c>
      <c r="C13" s="10"/>
      <c r="D13" s="48">
        <f t="shared" si="1"/>
        <v>0</v>
      </c>
      <c r="F13" s="139" t="s">
        <v>36</v>
      </c>
      <c r="G13" s="140"/>
      <c r="H13" s="141">
        <f>D29</f>
        <v>0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5"/>
      <c r="B14" s="14" t="s">
        <v>35</v>
      </c>
      <c r="C14" s="10"/>
      <c r="D14" s="31">
        <f t="shared" si="1"/>
        <v>0</v>
      </c>
      <c r="F14" s="144" t="s">
        <v>39</v>
      </c>
      <c r="G14" s="145"/>
      <c r="H14" s="146">
        <f>D54</f>
        <v>0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5"/>
      <c r="B15" s="14" t="s">
        <v>38</v>
      </c>
      <c r="C15" s="10"/>
      <c r="D15" s="31">
        <f t="shared" si="1"/>
        <v>0</v>
      </c>
      <c r="F15" s="149" t="s">
        <v>40</v>
      </c>
      <c r="G15" s="140"/>
      <c r="H15" s="150">
        <f>H13-H14</f>
        <v>0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B17" t="s">
        <v>93</v>
      </c>
      <c r="C17" s="10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3"/>
      <c r="I19" s="233"/>
      <c r="J19" s="23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26"/>
      <c r="I20" s="126"/>
      <c r="J20" s="12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5"/>
      <c r="B22" s="46" t="s">
        <v>104</v>
      </c>
      <c r="C22" s="10"/>
      <c r="D22" s="48">
        <f t="shared" si="1"/>
        <v>0</v>
      </c>
      <c r="F22" s="72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 t="s">
        <v>107</v>
      </c>
      <c r="C23" s="10"/>
      <c r="D23" s="48">
        <f t="shared" si="1"/>
        <v>0</v>
      </c>
      <c r="F23" s="25"/>
      <c r="G23" s="37"/>
      <c r="H23" s="177"/>
      <c r="I23" s="178"/>
      <c r="J23" s="17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 t="s">
        <v>123</v>
      </c>
      <c r="C24" s="10"/>
      <c r="D24" s="48">
        <f t="shared" si="1"/>
        <v>0</v>
      </c>
      <c r="F24" s="38"/>
      <c r="G24" s="37"/>
      <c r="H24" s="177"/>
      <c r="I24" s="178"/>
      <c r="J24" s="17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 t="s">
        <v>105</v>
      </c>
      <c r="C26" s="10"/>
      <c r="D26" s="48">
        <f t="shared" si="1"/>
        <v>0</v>
      </c>
      <c r="F26" s="64"/>
      <c r="G26" s="10"/>
      <c r="H26" s="182"/>
      <c r="I26" s="183"/>
      <c r="J26" s="18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5"/>
      <c r="B27" s="14" t="s">
        <v>109</v>
      </c>
      <c r="C27" s="10"/>
      <c r="D27" s="44">
        <f t="shared" si="1"/>
        <v>0</v>
      </c>
      <c r="F27" s="14"/>
      <c r="G27" s="14"/>
      <c r="H27" s="185"/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 t="s">
        <v>97</v>
      </c>
      <c r="C28" s="10"/>
      <c r="D28" s="48">
        <f t="shared" si="1"/>
        <v>0</v>
      </c>
      <c r="F28" s="91"/>
      <c r="G28" s="61"/>
      <c r="H28" s="188"/>
      <c r="I28" s="189"/>
      <c r="J28" s="19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62" t="s">
        <v>55</v>
      </c>
      <c r="G29" s="163"/>
      <c r="H29" s="166">
        <f>H15-H16-H17-H18-H19-H20-H22-H23-H24+H26+H27</f>
        <v>0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4">
        <f>F34*G34</f>
        <v>0</v>
      </c>
      <c r="I34" s="195"/>
      <c r="J34" s="19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/>
      <c r="H35" s="194">
        <f t="shared" ref="H35:H39" si="2">F35*G35</f>
        <v>0</v>
      </c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/>
      <c r="D36" s="12">
        <f>C36*1.5</f>
        <v>0</v>
      </c>
      <c r="F36" s="12">
        <v>200</v>
      </c>
      <c r="G36" s="37"/>
      <c r="H36" s="194">
        <f>F36*G36</f>
        <v>0</v>
      </c>
      <c r="I36" s="195"/>
      <c r="J36" s="19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4">
        <f t="shared" si="2"/>
        <v>0</v>
      </c>
      <c r="I37" s="195"/>
      <c r="J37" s="19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5"/>
      <c r="B38" s="29" t="s">
        <v>68</v>
      </c>
      <c r="C38" s="54"/>
      <c r="D38" s="12">
        <f>C38*84</f>
        <v>0</v>
      </c>
      <c r="F38" s="30">
        <v>50</v>
      </c>
      <c r="G38" s="39"/>
      <c r="H38" s="194">
        <f t="shared" si="2"/>
        <v>0</v>
      </c>
      <c r="I38" s="195"/>
      <c r="J38" s="19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6"/>
      <c r="B39" s="29" t="s">
        <v>70</v>
      </c>
      <c r="C39" s="52"/>
      <c r="D39" s="31">
        <f>C39*4.5</f>
        <v>0</v>
      </c>
      <c r="F39" s="12">
        <v>20</v>
      </c>
      <c r="G39" s="37"/>
      <c r="H39" s="194">
        <f t="shared" si="2"/>
        <v>0</v>
      </c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5"/>
      <c r="B41" s="27" t="s">
        <v>68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6"/>
      <c r="B42" s="27" t="s">
        <v>70</v>
      </c>
      <c r="C42" s="11"/>
      <c r="D42" s="12">
        <f>C42*2.25</f>
        <v>0</v>
      </c>
      <c r="F42" s="39" t="s">
        <v>79</v>
      </c>
      <c r="G42" s="194"/>
      <c r="H42" s="195"/>
      <c r="I42" s="195"/>
      <c r="J42" s="19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94" t="s">
        <v>83</v>
      </c>
      <c r="H43" s="200" t="s">
        <v>13</v>
      </c>
      <c r="I43" s="201"/>
      <c r="J43" s="202"/>
      <c r="K43" s="21"/>
      <c r="P43" s="4"/>
      <c r="Q43" s="4"/>
      <c r="R43" s="5"/>
    </row>
    <row r="44" spans="1:18" ht="15.75" x14ac:dyDescent="0.25">
      <c r="A44" s="198"/>
      <c r="B44" s="27" t="s">
        <v>66</v>
      </c>
      <c r="C44" s="10"/>
      <c r="D44" s="12">
        <f>C44*120</f>
        <v>0</v>
      </c>
      <c r="F44" s="37"/>
      <c r="G44" s="62"/>
      <c r="H44" s="178"/>
      <c r="I44" s="178"/>
      <c r="J44" s="178"/>
      <c r="K44" s="21"/>
      <c r="P44" s="4"/>
      <c r="Q44" s="4"/>
      <c r="R44" s="5"/>
    </row>
    <row r="45" spans="1:18" ht="15.75" x14ac:dyDescent="0.25">
      <c r="A45" s="198"/>
      <c r="B45" s="27" t="s">
        <v>68</v>
      </c>
      <c r="C45" s="33"/>
      <c r="D45" s="12">
        <f>C45*84</f>
        <v>0</v>
      </c>
      <c r="F45" s="37"/>
      <c r="G45" s="62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/>
      <c r="D46" s="12">
        <f>C46*1.5</f>
        <v>0</v>
      </c>
      <c r="F46" s="37"/>
      <c r="G46" s="93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/>
      <c r="D48" s="12">
        <f>C48*78</f>
        <v>0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/>
      <c r="D49" s="12">
        <f>C49*42</f>
        <v>0</v>
      </c>
      <c r="F49" s="219" t="s">
        <v>86</v>
      </c>
      <c r="G49" s="166">
        <f>H34+H35+H36+H37+H38+H39+H40+H41+G42+H44+H45+H46</f>
        <v>0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/>
      <c r="D50" s="12">
        <f>C50*1.5</f>
        <v>0</v>
      </c>
      <c r="F50" s="220"/>
      <c r="G50" s="169"/>
      <c r="H50" s="170"/>
      <c r="I50" s="170"/>
      <c r="J50" s="171"/>
      <c r="P50" s="4"/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132</v>
      </c>
      <c r="G51" s="234">
        <f>G49-H29</f>
        <v>0</v>
      </c>
      <c r="H51" s="235"/>
      <c r="I51" s="235"/>
      <c r="J51" s="23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8"/>
      <c r="B52" s="29"/>
      <c r="C52" s="33"/>
      <c r="D52" s="45"/>
      <c r="F52" s="222"/>
      <c r="G52" s="237"/>
      <c r="H52" s="238"/>
      <c r="I52" s="238"/>
      <c r="J52" s="23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0</v>
      </c>
      <c r="F54" s="21"/>
      <c r="J54" s="34"/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BC119-CC4D-4B41-834E-A88411C9E0E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0" t="s">
        <v>1</v>
      </c>
      <c r="O1" s="100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1" t="s">
        <v>7</v>
      </c>
      <c r="B4" s="102"/>
      <c r="C4" s="102"/>
      <c r="D4" s="103"/>
      <c r="F4" s="104" t="s">
        <v>8</v>
      </c>
      <c r="G4" s="106">
        <v>3</v>
      </c>
      <c r="H4" s="108" t="s">
        <v>9</v>
      </c>
      <c r="I4" s="110">
        <v>45968</v>
      </c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5"/>
      <c r="B6" s="16" t="s">
        <v>15</v>
      </c>
      <c r="C6" s="10"/>
      <c r="D6" s="13">
        <f t="shared" ref="D6:D28" si="1">C6*L6</f>
        <v>0</v>
      </c>
      <c r="F6" s="117" t="s">
        <v>16</v>
      </c>
      <c r="G6" s="119" t="s">
        <v>111</v>
      </c>
      <c r="H6" s="120"/>
      <c r="I6" s="120"/>
      <c r="J6" s="12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5"/>
      <c r="B7" s="16" t="s">
        <v>18</v>
      </c>
      <c r="C7" s="10"/>
      <c r="D7" s="13">
        <f t="shared" si="1"/>
        <v>0</v>
      </c>
      <c r="F7" s="118"/>
      <c r="G7" s="122"/>
      <c r="H7" s="123"/>
      <c r="I7" s="123"/>
      <c r="J7" s="12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5"/>
      <c r="B8" s="16" t="s">
        <v>20</v>
      </c>
      <c r="C8" s="10"/>
      <c r="D8" s="13">
        <f t="shared" si="1"/>
        <v>0</v>
      </c>
      <c r="F8" s="125" t="s">
        <v>21</v>
      </c>
      <c r="G8" s="127" t="s">
        <v>119</v>
      </c>
      <c r="H8" s="128"/>
      <c r="I8" s="128"/>
      <c r="J8" s="1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5"/>
      <c r="B9" s="16" t="s">
        <v>23</v>
      </c>
      <c r="C9" s="10"/>
      <c r="D9" s="13">
        <f t="shared" si="1"/>
        <v>0</v>
      </c>
      <c r="F9" s="118"/>
      <c r="G9" s="130"/>
      <c r="H9" s="131"/>
      <c r="I9" s="131"/>
      <c r="J9" s="1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5"/>
      <c r="B10" t="s">
        <v>25</v>
      </c>
      <c r="C10" s="10"/>
      <c r="D10" s="13">
        <f t="shared" si="1"/>
        <v>0</v>
      </c>
      <c r="F10" s="117" t="s">
        <v>26</v>
      </c>
      <c r="G10" s="133" t="s">
        <v>137</v>
      </c>
      <c r="H10" s="134"/>
      <c r="I10" s="134"/>
      <c r="J10" s="135"/>
      <c r="K10" s="8"/>
      <c r="L10" s="6">
        <f>R36</f>
        <v>972</v>
      </c>
      <c r="P10" s="4"/>
      <c r="Q10" s="4"/>
      <c r="R10" s="5"/>
    </row>
    <row r="11" spans="1:18" ht="15.75" x14ac:dyDescent="0.25">
      <c r="A11" s="115"/>
      <c r="B11" s="17" t="s">
        <v>28</v>
      </c>
      <c r="C11" s="10"/>
      <c r="D11" s="13">
        <f t="shared" si="1"/>
        <v>0</v>
      </c>
      <c r="F11" s="118"/>
      <c r="G11" s="130"/>
      <c r="H11" s="131"/>
      <c r="I11" s="131"/>
      <c r="J11" s="1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5"/>
      <c r="B12" s="17" t="s">
        <v>30</v>
      </c>
      <c r="C12" s="10"/>
      <c r="D12" s="48">
        <f t="shared" si="1"/>
        <v>0</v>
      </c>
      <c r="F12" s="136" t="s">
        <v>33</v>
      </c>
      <c r="G12" s="137"/>
      <c r="H12" s="137"/>
      <c r="I12" s="137"/>
      <c r="J12" s="1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5"/>
      <c r="B13" s="17" t="s">
        <v>32</v>
      </c>
      <c r="C13" s="10"/>
      <c r="D13" s="48">
        <f t="shared" si="1"/>
        <v>0</v>
      </c>
      <c r="F13" s="139" t="s">
        <v>36</v>
      </c>
      <c r="G13" s="140"/>
      <c r="H13" s="141">
        <f>D29</f>
        <v>0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5"/>
      <c r="B14" s="14" t="s">
        <v>35</v>
      </c>
      <c r="C14" s="10"/>
      <c r="D14" s="31">
        <f t="shared" si="1"/>
        <v>0</v>
      </c>
      <c r="F14" s="144" t="s">
        <v>39</v>
      </c>
      <c r="G14" s="145"/>
      <c r="H14" s="146">
        <f>D54</f>
        <v>0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5"/>
      <c r="B15" s="14" t="s">
        <v>38</v>
      </c>
      <c r="C15" s="10"/>
      <c r="D15" s="31">
        <f t="shared" si="1"/>
        <v>0</v>
      </c>
      <c r="F15" s="149" t="s">
        <v>40</v>
      </c>
      <c r="G15" s="140"/>
      <c r="H15" s="150">
        <f>H13-H14</f>
        <v>0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B17" t="s">
        <v>113</v>
      </c>
      <c r="C17" s="10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0"/>
      <c r="I19" s="240"/>
      <c r="J19" s="24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3"/>
      <c r="I20" s="153"/>
      <c r="J20" s="15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5"/>
      <c r="B22" s="46" t="s">
        <v>104</v>
      </c>
      <c r="C22" s="10"/>
      <c r="D22" s="48">
        <f t="shared" si="1"/>
        <v>0</v>
      </c>
      <c r="F22" s="77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 t="s">
        <v>107</v>
      </c>
      <c r="C23" s="10"/>
      <c r="D23" s="48">
        <f t="shared" si="1"/>
        <v>0</v>
      </c>
      <c r="F23" s="78"/>
      <c r="G23" s="79"/>
      <c r="H23" s="177"/>
      <c r="I23" s="178"/>
      <c r="J23" s="17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 t="s">
        <v>101</v>
      </c>
      <c r="C24" s="10"/>
      <c r="D24" s="48">
        <f t="shared" si="1"/>
        <v>0</v>
      </c>
      <c r="F24" s="38"/>
      <c r="G24" s="37"/>
      <c r="H24" s="177"/>
      <c r="I24" s="178"/>
      <c r="J24" s="17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 t="s">
        <v>105</v>
      </c>
      <c r="C26" s="10"/>
      <c r="D26" s="48">
        <f t="shared" si="1"/>
        <v>0</v>
      </c>
      <c r="F26" s="64"/>
      <c r="G26" s="59"/>
      <c r="H26" s="182"/>
      <c r="I26" s="183"/>
      <c r="J26" s="18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5"/>
      <c r="B27" s="14" t="s">
        <v>109</v>
      </c>
      <c r="C27" s="10"/>
      <c r="D27" s="44">
        <f t="shared" si="1"/>
        <v>0</v>
      </c>
      <c r="F27" s="25"/>
      <c r="G27" s="80"/>
      <c r="H27" s="185"/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 t="s">
        <v>97</v>
      </c>
      <c r="C28" s="10"/>
      <c r="D28" s="48">
        <f t="shared" si="1"/>
        <v>0</v>
      </c>
      <c r="F28" s="91"/>
      <c r="G28" s="61"/>
      <c r="H28" s="188"/>
      <c r="I28" s="189"/>
      <c r="J28" s="19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62" t="s">
        <v>55</v>
      </c>
      <c r="G29" s="163"/>
      <c r="H29" s="166">
        <f>H15-H16-H17-H18-H19-H20-H22-H23-H24+H26+H27</f>
        <v>0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4">
        <f>F34*G34</f>
        <v>0</v>
      </c>
      <c r="I34" s="195"/>
      <c r="J34" s="19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/>
      <c r="H35" s="194">
        <f>F35*G35</f>
        <v>0</v>
      </c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/>
      <c r="D36" s="12">
        <f>C36*1.5</f>
        <v>0</v>
      </c>
      <c r="F36" s="12">
        <v>200</v>
      </c>
      <c r="G36" s="37"/>
      <c r="H36" s="194">
        <f t="shared" ref="H36:H39" si="2">F36*G36</f>
        <v>0</v>
      </c>
      <c r="I36" s="195"/>
      <c r="J36" s="19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4">
        <f t="shared" si="2"/>
        <v>0</v>
      </c>
      <c r="I37" s="195"/>
      <c r="J37" s="19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5"/>
      <c r="B38" s="29" t="s">
        <v>68</v>
      </c>
      <c r="C38" s="54"/>
      <c r="D38" s="12">
        <f>C38*84</f>
        <v>0</v>
      </c>
      <c r="F38" s="30">
        <v>50</v>
      </c>
      <c r="G38" s="39"/>
      <c r="H38" s="194">
        <f t="shared" si="2"/>
        <v>0</v>
      </c>
      <c r="I38" s="195"/>
      <c r="J38" s="19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6"/>
      <c r="B39" s="29" t="s">
        <v>70</v>
      </c>
      <c r="C39" s="52"/>
      <c r="D39" s="31">
        <f>C39*4.5</f>
        <v>0</v>
      </c>
      <c r="F39" s="12">
        <v>20</v>
      </c>
      <c r="G39" s="37"/>
      <c r="H39" s="194">
        <f t="shared" si="2"/>
        <v>0</v>
      </c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5"/>
      <c r="B41" s="27" t="s">
        <v>68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6"/>
      <c r="B42" s="27" t="s">
        <v>70</v>
      </c>
      <c r="C42" s="11"/>
      <c r="D42" s="12">
        <f>C42*2.25</f>
        <v>0</v>
      </c>
      <c r="F42" s="39" t="s">
        <v>79</v>
      </c>
      <c r="G42" s="194"/>
      <c r="H42" s="195"/>
      <c r="I42" s="195"/>
      <c r="J42" s="19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94" t="s">
        <v>83</v>
      </c>
      <c r="H43" s="200" t="s">
        <v>13</v>
      </c>
      <c r="I43" s="201"/>
      <c r="J43" s="202"/>
      <c r="K43" s="21"/>
      <c r="P43" s="4"/>
      <c r="Q43" s="4"/>
      <c r="R43" s="5"/>
    </row>
    <row r="44" spans="1:18" ht="15.75" x14ac:dyDescent="0.25">
      <c r="A44" s="198"/>
      <c r="B44" s="27" t="s">
        <v>66</v>
      </c>
      <c r="C44" s="10"/>
      <c r="D44" s="12">
        <f>C44*120</f>
        <v>0</v>
      </c>
      <c r="F44" s="37"/>
      <c r="G44" s="76"/>
      <c r="H44" s="178"/>
      <c r="I44" s="178"/>
      <c r="J44" s="178"/>
      <c r="K44" s="21"/>
      <c r="P44" s="4"/>
      <c r="Q44" s="4"/>
      <c r="R44" s="5"/>
    </row>
    <row r="45" spans="1:18" ht="15.75" x14ac:dyDescent="0.25">
      <c r="A45" s="198"/>
      <c r="B45" s="27" t="s">
        <v>68</v>
      </c>
      <c r="C45" s="33"/>
      <c r="D45" s="12">
        <f>C45*84</f>
        <v>0</v>
      </c>
      <c r="F45" s="37"/>
      <c r="G45" s="76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/>
      <c r="D46" s="12">
        <f>C46*1.5</f>
        <v>0</v>
      </c>
      <c r="F46" s="37"/>
      <c r="G46" s="62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/>
      <c r="D48" s="12">
        <f>C48*78</f>
        <v>0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/>
      <c r="D49" s="12">
        <f>C49*42</f>
        <v>0</v>
      </c>
      <c r="F49" s="219" t="s">
        <v>86</v>
      </c>
      <c r="G49" s="166">
        <f>H34+H35+H36+H37+H38+H39+H40+H41+G42+H44+H45+H46</f>
        <v>0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/>
      <c r="D50" s="12">
        <f>C50*1.5</f>
        <v>0</v>
      </c>
      <c r="F50" s="220"/>
      <c r="G50" s="169"/>
      <c r="H50" s="170"/>
      <c r="I50" s="170"/>
      <c r="J50" s="171"/>
      <c r="P50" s="4"/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142</v>
      </c>
      <c r="G51" s="234">
        <f>G49-H29</f>
        <v>0</v>
      </c>
      <c r="H51" s="235"/>
      <c r="I51" s="235"/>
      <c r="J51" s="23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8"/>
      <c r="B52" s="29"/>
      <c r="C52" s="33"/>
      <c r="D52" s="45"/>
      <c r="F52" s="222"/>
      <c r="G52" s="237"/>
      <c r="H52" s="238"/>
      <c r="I52" s="238"/>
      <c r="J52" s="23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0</v>
      </c>
      <c r="F54" s="21"/>
      <c r="J54" s="34"/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5886AB-FAAC-40B6-BB35-F9500F94B3E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0" t="s">
        <v>1</v>
      </c>
      <c r="O1" s="100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1" t="s">
        <v>7</v>
      </c>
      <c r="B4" s="102"/>
      <c r="C4" s="102"/>
      <c r="D4" s="103"/>
      <c r="F4" s="104" t="s">
        <v>8</v>
      </c>
      <c r="G4" s="106"/>
      <c r="H4" s="108" t="s">
        <v>9</v>
      </c>
      <c r="I4" s="110"/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5"/>
      <c r="B6" s="16"/>
      <c r="C6" s="10"/>
      <c r="D6" s="13">
        <f t="shared" ref="D6:D28" si="1">C6*L6</f>
        <v>0</v>
      </c>
      <c r="F6" s="117" t="s">
        <v>16</v>
      </c>
      <c r="G6" s="119"/>
      <c r="H6" s="120"/>
      <c r="I6" s="120"/>
      <c r="J6" s="12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5"/>
      <c r="B7" s="16"/>
      <c r="C7" s="10"/>
      <c r="D7" s="13">
        <f t="shared" si="1"/>
        <v>0</v>
      </c>
      <c r="F7" s="118"/>
      <c r="G7" s="122"/>
      <c r="H7" s="123"/>
      <c r="I7" s="123"/>
      <c r="J7" s="12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5"/>
      <c r="B8" s="16"/>
      <c r="C8" s="10"/>
      <c r="D8" s="13">
        <f t="shared" si="1"/>
        <v>0</v>
      </c>
      <c r="F8" s="125" t="s">
        <v>21</v>
      </c>
      <c r="G8" s="127"/>
      <c r="H8" s="128"/>
      <c r="I8" s="128"/>
      <c r="J8" s="12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5"/>
      <c r="B9" s="16"/>
      <c r="C9" s="10"/>
      <c r="D9" s="13">
        <f t="shared" si="1"/>
        <v>0</v>
      </c>
      <c r="F9" s="118"/>
      <c r="G9" s="130"/>
      <c r="H9" s="131"/>
      <c r="I9" s="131"/>
      <c r="J9" s="13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5"/>
      <c r="C10" s="10"/>
      <c r="D10" s="13">
        <f t="shared" si="1"/>
        <v>0</v>
      </c>
      <c r="F10" s="117" t="s">
        <v>26</v>
      </c>
      <c r="G10" s="133"/>
      <c r="H10" s="134"/>
      <c r="I10" s="134"/>
      <c r="J10" s="135"/>
      <c r="K10" s="8"/>
      <c r="L10" s="6">
        <f>R36</f>
        <v>972</v>
      </c>
      <c r="P10" s="4"/>
      <c r="Q10" s="4"/>
      <c r="R10" s="5"/>
    </row>
    <row r="11" spans="1:19" ht="15.75" x14ac:dyDescent="0.25">
      <c r="A11" s="115"/>
      <c r="B11" s="17"/>
      <c r="C11" s="10"/>
      <c r="D11" s="13">
        <f t="shared" si="1"/>
        <v>0</v>
      </c>
      <c r="F11" s="118"/>
      <c r="G11" s="130"/>
      <c r="H11" s="131"/>
      <c r="I11" s="131"/>
      <c r="J11" s="1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5"/>
      <c r="B12" s="17"/>
      <c r="C12" s="10"/>
      <c r="D12" s="48">
        <f t="shared" si="1"/>
        <v>0</v>
      </c>
      <c r="F12" s="136" t="s">
        <v>33</v>
      </c>
      <c r="G12" s="137"/>
      <c r="H12" s="137"/>
      <c r="I12" s="137"/>
      <c r="J12" s="1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5"/>
      <c r="B13" s="17"/>
      <c r="C13" s="10"/>
      <c r="D13" s="48">
        <f t="shared" si="1"/>
        <v>0</v>
      </c>
      <c r="F13" s="139" t="s">
        <v>36</v>
      </c>
      <c r="G13" s="140"/>
      <c r="H13" s="141">
        <f>D29</f>
        <v>0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5"/>
      <c r="B14" s="14"/>
      <c r="C14" s="10"/>
      <c r="D14" s="31">
        <f t="shared" si="1"/>
        <v>0</v>
      </c>
      <c r="F14" s="144" t="s">
        <v>39</v>
      </c>
      <c r="G14" s="145"/>
      <c r="H14" s="146">
        <f>D54</f>
        <v>0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5"/>
      <c r="B15" s="14"/>
      <c r="C15" s="10"/>
      <c r="D15" s="31">
        <f t="shared" si="1"/>
        <v>0</v>
      </c>
      <c r="F15" s="149" t="s">
        <v>40</v>
      </c>
      <c r="G15" s="140"/>
      <c r="H15" s="150">
        <f>H13-H14</f>
        <v>0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C17" s="10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/>
      <c r="C18" s="10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/>
      <c r="C19" s="10"/>
      <c r="D19" s="48">
        <f t="shared" si="1"/>
        <v>0</v>
      </c>
      <c r="F19" s="56"/>
      <c r="G19" s="68" t="s">
        <v>50</v>
      </c>
      <c r="H19" s="172"/>
      <c r="I19" s="172"/>
      <c r="J19" s="17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5"/>
      <c r="B20" s="46"/>
      <c r="C20" s="10"/>
      <c r="D20" s="13">
        <f t="shared" si="1"/>
        <v>0</v>
      </c>
      <c r="F20" s="57"/>
      <c r="G20" s="70" t="s">
        <v>120</v>
      </c>
      <c r="H20" s="153"/>
      <c r="I20" s="153"/>
      <c r="J20" s="15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5"/>
      <c r="B22" s="46"/>
      <c r="C22" s="10"/>
      <c r="D22" s="48">
        <f t="shared" si="1"/>
        <v>0</v>
      </c>
      <c r="F22" s="77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/>
      <c r="C23" s="10"/>
      <c r="D23" s="48">
        <f t="shared" si="1"/>
        <v>0</v>
      </c>
      <c r="F23" s="78"/>
      <c r="G23" s="79"/>
      <c r="H23" s="177"/>
      <c r="I23" s="178"/>
      <c r="J23" s="17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/>
      <c r="C24" s="10"/>
      <c r="D24" s="48">
        <f t="shared" si="1"/>
        <v>0</v>
      </c>
      <c r="F24" s="38"/>
      <c r="G24" s="37"/>
      <c r="H24" s="177"/>
      <c r="I24" s="178"/>
      <c r="J24" s="17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/>
      <c r="C26" s="10"/>
      <c r="D26" s="48">
        <f t="shared" si="1"/>
        <v>0</v>
      </c>
      <c r="F26" s="64"/>
      <c r="G26" s="59"/>
      <c r="H26" s="182"/>
      <c r="I26" s="183"/>
      <c r="J26" s="18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5"/>
      <c r="B27" s="14"/>
      <c r="C27" s="10"/>
      <c r="D27" s="44">
        <f t="shared" si="1"/>
        <v>0</v>
      </c>
      <c r="F27" s="25"/>
      <c r="G27" s="80"/>
      <c r="H27" s="185"/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/>
      <c r="C28" s="10"/>
      <c r="D28" s="48">
        <f t="shared" si="1"/>
        <v>0</v>
      </c>
      <c r="F28" s="91"/>
      <c r="G28" s="61"/>
      <c r="H28" s="188"/>
      <c r="I28" s="189"/>
      <c r="J28" s="19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62" t="s">
        <v>55</v>
      </c>
      <c r="G29" s="163"/>
      <c r="H29" s="166">
        <f>H15-H16-H17-H18-H19-H20-H22-H23-H24+H26+H27</f>
        <v>0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4"/>
      <c r="I34" s="195"/>
      <c r="J34" s="19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/>
      <c r="H35" s="194"/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/>
      <c r="D36" s="12">
        <f>C36*1.5</f>
        <v>0</v>
      </c>
      <c r="F36" s="12">
        <v>200</v>
      </c>
      <c r="G36" s="37"/>
      <c r="H36" s="194"/>
      <c r="I36" s="195"/>
      <c r="J36" s="19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4"/>
      <c r="I37" s="195"/>
      <c r="J37" s="19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5"/>
      <c r="B38" s="29" t="s">
        <v>68</v>
      </c>
      <c r="C38" s="54"/>
      <c r="D38" s="12">
        <f>C38*84</f>
        <v>0</v>
      </c>
      <c r="F38" s="30">
        <v>50</v>
      </c>
      <c r="G38" s="39"/>
      <c r="H38" s="194"/>
      <c r="I38" s="195"/>
      <c r="J38" s="19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6"/>
      <c r="B39" s="29" t="s">
        <v>70</v>
      </c>
      <c r="C39" s="52"/>
      <c r="D39" s="31">
        <f>C39*4.5</f>
        <v>0</v>
      </c>
      <c r="F39" s="12">
        <v>20</v>
      </c>
      <c r="G39" s="37"/>
      <c r="H39" s="194"/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5"/>
      <c r="B41" s="27" t="s">
        <v>68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6"/>
      <c r="B42" s="27" t="s">
        <v>70</v>
      </c>
      <c r="C42" s="11"/>
      <c r="D42" s="12">
        <f>C42*2.25</f>
        <v>0</v>
      </c>
      <c r="F42" s="39" t="s">
        <v>79</v>
      </c>
      <c r="G42" s="194"/>
      <c r="H42" s="195"/>
      <c r="I42" s="195"/>
      <c r="J42" s="19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94" t="s">
        <v>83</v>
      </c>
      <c r="H43" s="200" t="s">
        <v>13</v>
      </c>
      <c r="I43" s="201"/>
      <c r="J43" s="202"/>
      <c r="K43" s="21"/>
      <c r="P43" s="4"/>
      <c r="Q43" s="4"/>
      <c r="R43" s="5"/>
    </row>
    <row r="44" spans="1:18" ht="15.75" x14ac:dyDescent="0.25">
      <c r="A44" s="198"/>
      <c r="B44" s="27" t="s">
        <v>66</v>
      </c>
      <c r="C44" s="10"/>
      <c r="D44" s="12">
        <f>C44*120</f>
        <v>0</v>
      </c>
      <c r="F44" s="37"/>
      <c r="G44" s="76"/>
      <c r="H44" s="178"/>
      <c r="I44" s="178"/>
      <c r="J44" s="178"/>
      <c r="K44" s="21"/>
      <c r="P44" s="4"/>
      <c r="Q44" s="4"/>
      <c r="R44" s="5"/>
    </row>
    <row r="45" spans="1:18" ht="15.75" x14ac:dyDescent="0.25">
      <c r="A45" s="198"/>
      <c r="B45" s="27" t="s">
        <v>68</v>
      </c>
      <c r="C45" s="33"/>
      <c r="D45" s="12">
        <f>C45*84</f>
        <v>0</v>
      </c>
      <c r="F45" s="37"/>
      <c r="G45" s="76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/>
      <c r="D46" s="12">
        <f>C46*1.5</f>
        <v>0</v>
      </c>
      <c r="F46" s="37"/>
      <c r="G46" s="62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/>
      <c r="D48" s="12">
        <f>C48*78</f>
        <v>0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/>
      <c r="D49" s="12">
        <f>C49*42</f>
        <v>0</v>
      </c>
      <c r="F49" s="219" t="s">
        <v>86</v>
      </c>
      <c r="G49" s="166">
        <f>H34+H35+H36+H37+H38+H39+H40+H41+G42+H44+H45+H46</f>
        <v>0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/>
      <c r="D50" s="12">
        <f>C50*1.5</f>
        <v>0</v>
      </c>
      <c r="F50" s="220"/>
      <c r="G50" s="169"/>
      <c r="H50" s="170"/>
      <c r="I50" s="170"/>
      <c r="J50" s="171"/>
      <c r="P50" s="4"/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128</v>
      </c>
      <c r="G51" s="223">
        <f>G49-H29</f>
        <v>0</v>
      </c>
      <c r="H51" s="224"/>
      <c r="I51" s="224"/>
      <c r="J51" s="22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8"/>
      <c r="B52" s="29"/>
      <c r="C52" s="33"/>
      <c r="D52" s="45"/>
      <c r="F52" s="222"/>
      <c r="G52" s="226"/>
      <c r="H52" s="227"/>
      <c r="I52" s="227"/>
      <c r="J52" s="22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0</v>
      </c>
      <c r="F54" s="21"/>
      <c r="J54" s="34"/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96E4E-8EDC-48E6-B8A2-82F6C3DA134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0" t="s">
        <v>1</v>
      </c>
      <c r="O1" s="100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1" t="s">
        <v>7</v>
      </c>
      <c r="B4" s="102"/>
      <c r="C4" s="102"/>
      <c r="D4" s="103"/>
      <c r="F4" s="104" t="s">
        <v>8</v>
      </c>
      <c r="G4" s="106">
        <v>1</v>
      </c>
      <c r="H4" s="108" t="s">
        <v>9</v>
      </c>
      <c r="I4" s="110">
        <v>45969</v>
      </c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5"/>
      <c r="B6" s="16" t="s">
        <v>15</v>
      </c>
      <c r="C6" s="89"/>
      <c r="D6" s="13">
        <f t="shared" ref="D6:D28" si="1">C6*L6</f>
        <v>0</v>
      </c>
      <c r="F6" s="117" t="s">
        <v>16</v>
      </c>
      <c r="G6" s="119" t="s">
        <v>129</v>
      </c>
      <c r="H6" s="120"/>
      <c r="I6" s="120"/>
      <c r="J6" s="12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5"/>
      <c r="B7" s="16" t="s">
        <v>18</v>
      </c>
      <c r="C7" s="89"/>
      <c r="D7" s="13">
        <f t="shared" si="1"/>
        <v>0</v>
      </c>
      <c r="F7" s="118"/>
      <c r="G7" s="122"/>
      <c r="H7" s="123"/>
      <c r="I7" s="123"/>
      <c r="J7" s="12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5"/>
      <c r="B8" s="16" t="s">
        <v>20</v>
      </c>
      <c r="C8" s="89"/>
      <c r="D8" s="13">
        <f t="shared" si="1"/>
        <v>0</v>
      </c>
      <c r="F8" s="125" t="s">
        <v>21</v>
      </c>
      <c r="G8" s="127" t="s">
        <v>112</v>
      </c>
      <c r="H8" s="128"/>
      <c r="I8" s="128"/>
      <c r="J8" s="1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5"/>
      <c r="B9" s="16" t="s">
        <v>23</v>
      </c>
      <c r="C9" s="89"/>
      <c r="D9" s="13">
        <f t="shared" si="1"/>
        <v>0</v>
      </c>
      <c r="F9" s="118"/>
      <c r="G9" s="130"/>
      <c r="H9" s="131"/>
      <c r="I9" s="131"/>
      <c r="J9" s="1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5"/>
      <c r="B10" t="s">
        <v>25</v>
      </c>
      <c r="C10" s="89"/>
      <c r="D10" s="13">
        <f t="shared" si="1"/>
        <v>0</v>
      </c>
      <c r="F10" s="117" t="s">
        <v>26</v>
      </c>
      <c r="G10" s="133" t="s">
        <v>130</v>
      </c>
      <c r="H10" s="134"/>
      <c r="I10" s="134"/>
      <c r="J10" s="135"/>
      <c r="K10" s="8"/>
      <c r="L10" s="6">
        <f>R36</f>
        <v>972</v>
      </c>
      <c r="P10" s="4"/>
      <c r="Q10" s="4"/>
      <c r="R10" s="5"/>
    </row>
    <row r="11" spans="1:18" ht="15.75" x14ac:dyDescent="0.25">
      <c r="A11" s="115"/>
      <c r="B11" s="17" t="s">
        <v>28</v>
      </c>
      <c r="C11" s="89"/>
      <c r="D11" s="13">
        <f t="shared" si="1"/>
        <v>0</v>
      </c>
      <c r="F11" s="118"/>
      <c r="G11" s="130"/>
      <c r="H11" s="131"/>
      <c r="I11" s="131"/>
      <c r="J11" s="1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5"/>
      <c r="B12" s="17" t="s">
        <v>30</v>
      </c>
      <c r="C12" s="89"/>
      <c r="D12" s="48">
        <f t="shared" si="1"/>
        <v>0</v>
      </c>
      <c r="F12" s="136" t="s">
        <v>33</v>
      </c>
      <c r="G12" s="137"/>
      <c r="H12" s="137"/>
      <c r="I12" s="137"/>
      <c r="J12" s="1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5"/>
      <c r="B13" s="17" t="s">
        <v>32</v>
      </c>
      <c r="C13" s="89"/>
      <c r="D13" s="48">
        <f t="shared" si="1"/>
        <v>0</v>
      </c>
      <c r="F13" s="139" t="s">
        <v>36</v>
      </c>
      <c r="G13" s="140"/>
      <c r="H13" s="141">
        <f>D29</f>
        <v>0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5"/>
      <c r="B14" s="14" t="s">
        <v>35</v>
      </c>
      <c r="C14" s="89"/>
      <c r="D14" s="31">
        <f t="shared" si="1"/>
        <v>0</v>
      </c>
      <c r="F14" s="144" t="s">
        <v>39</v>
      </c>
      <c r="G14" s="145"/>
      <c r="H14" s="146">
        <f>D54</f>
        <v>0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5"/>
      <c r="B15" s="14" t="s">
        <v>38</v>
      </c>
      <c r="C15" s="89"/>
      <c r="D15" s="31">
        <f t="shared" si="1"/>
        <v>0</v>
      </c>
      <c r="F15" s="149" t="s">
        <v>40</v>
      </c>
      <c r="G15" s="140"/>
      <c r="H15" s="150">
        <f>H13-H14</f>
        <v>0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5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B17" t="s">
        <v>140</v>
      </c>
      <c r="C17" s="89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26"/>
      <c r="I19" s="126"/>
      <c r="J19" s="126"/>
      <c r="L19" s="6">
        <v>1102</v>
      </c>
      <c r="Q19" s="4"/>
      <c r="R19" s="5">
        <f t="shared" si="0"/>
        <v>0</v>
      </c>
    </row>
    <row r="20" spans="1:18" ht="15.75" x14ac:dyDescent="0.25">
      <c r="A20" s="115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53"/>
      <c r="I20" s="153"/>
      <c r="J20" s="15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5"/>
      <c r="B22" s="46" t="s">
        <v>127</v>
      </c>
      <c r="C22" s="89"/>
      <c r="D22" s="48">
        <f t="shared" si="1"/>
        <v>0</v>
      </c>
      <c r="F22" s="77"/>
      <c r="G22" s="73"/>
      <c r="H22" s="176"/>
      <c r="I22" s="176"/>
      <c r="J22" s="17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 t="s">
        <v>101</v>
      </c>
      <c r="C23" s="89"/>
      <c r="D23" s="48">
        <f t="shared" si="1"/>
        <v>0</v>
      </c>
      <c r="F23" s="77"/>
      <c r="G23" s="79"/>
      <c r="H23" s="229"/>
      <c r="I23" s="230"/>
      <c r="J23" s="23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 t="s">
        <v>121</v>
      </c>
      <c r="C24" s="89"/>
      <c r="D24" s="48">
        <f t="shared" si="1"/>
        <v>0</v>
      </c>
      <c r="F24" s="77"/>
      <c r="G24" s="79"/>
      <c r="H24" s="229"/>
      <c r="I24" s="230"/>
      <c r="J24" s="23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 t="s">
        <v>139</v>
      </c>
      <c r="C26" s="89"/>
      <c r="D26" s="48">
        <f t="shared" si="1"/>
        <v>0</v>
      </c>
      <c r="F26" s="75"/>
      <c r="G26" s="65"/>
      <c r="H26" s="178"/>
      <c r="I26" s="178"/>
      <c r="J26" s="178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5"/>
      <c r="B27" s="14" t="s">
        <v>110</v>
      </c>
      <c r="C27" s="89"/>
      <c r="D27" s="44">
        <f t="shared" si="1"/>
        <v>0</v>
      </c>
      <c r="F27" s="71"/>
      <c r="G27" s="94"/>
      <c r="H27" s="231"/>
      <c r="I27" s="232"/>
      <c r="J27" s="23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 t="s">
        <v>97</v>
      </c>
      <c r="C28" s="89"/>
      <c r="D28" s="48">
        <f t="shared" si="1"/>
        <v>0</v>
      </c>
      <c r="F28" s="91"/>
      <c r="G28" s="61"/>
      <c r="H28" s="188"/>
      <c r="I28" s="189"/>
      <c r="J28" s="19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62" t="s">
        <v>55</v>
      </c>
      <c r="G29" s="163"/>
      <c r="H29" s="166">
        <f>H15-H16-H17-H18-H19-H20-H22-H23-H24+H26+H27+H28</f>
        <v>0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94">
        <f t="shared" ref="H34:H39" si="2">F34*G34</f>
        <v>0</v>
      </c>
      <c r="I34" s="195"/>
      <c r="J34" s="19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/>
      <c r="H35" s="194">
        <f t="shared" si="2"/>
        <v>0</v>
      </c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/>
      <c r="D36" s="12">
        <f>C36*1.5</f>
        <v>0</v>
      </c>
      <c r="F36" s="12">
        <v>200</v>
      </c>
      <c r="G36" s="37"/>
      <c r="H36" s="194">
        <f t="shared" si="2"/>
        <v>0</v>
      </c>
      <c r="I36" s="195"/>
      <c r="J36" s="19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4">
        <f t="shared" si="2"/>
        <v>0</v>
      </c>
      <c r="I37" s="195"/>
      <c r="J37" s="19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5"/>
      <c r="B38" s="29" t="s">
        <v>68</v>
      </c>
      <c r="C38" s="54"/>
      <c r="D38" s="12">
        <f>C38*84</f>
        <v>0</v>
      </c>
      <c r="F38" s="30">
        <v>50</v>
      </c>
      <c r="G38" s="39"/>
      <c r="H38" s="194">
        <f t="shared" si="2"/>
        <v>0</v>
      </c>
      <c r="I38" s="195"/>
      <c r="J38" s="19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6"/>
      <c r="B39" s="29" t="s">
        <v>70</v>
      </c>
      <c r="C39" s="52"/>
      <c r="D39" s="31">
        <f>C39*4.5</f>
        <v>0</v>
      </c>
      <c r="F39" s="12">
        <v>20</v>
      </c>
      <c r="G39" s="37"/>
      <c r="H39" s="194">
        <f t="shared" si="2"/>
        <v>0</v>
      </c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5"/>
      <c r="B41" s="27" t="s">
        <v>68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6"/>
      <c r="B42" s="27" t="s">
        <v>70</v>
      </c>
      <c r="C42" s="11"/>
      <c r="D42" s="12">
        <f>C42*2.25</f>
        <v>0</v>
      </c>
      <c r="F42" s="39" t="s">
        <v>79</v>
      </c>
      <c r="G42" s="194"/>
      <c r="H42" s="195"/>
      <c r="I42" s="195"/>
      <c r="J42" s="19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94" t="s">
        <v>83</v>
      </c>
      <c r="H43" s="200" t="s">
        <v>13</v>
      </c>
      <c r="I43" s="201"/>
      <c r="J43" s="20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8"/>
      <c r="B44" s="27" t="s">
        <v>66</v>
      </c>
      <c r="C44" s="10"/>
      <c r="D44" s="12">
        <f>C44*120</f>
        <v>0</v>
      </c>
      <c r="F44" s="37"/>
      <c r="G44" s="62"/>
      <c r="H44" s="178"/>
      <c r="I44" s="178"/>
      <c r="J44" s="17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98"/>
      <c r="B45" s="27" t="s">
        <v>68</v>
      </c>
      <c r="C45" s="33"/>
      <c r="D45" s="12">
        <f>C45*84</f>
        <v>0</v>
      </c>
      <c r="F45" s="37"/>
      <c r="G45" s="62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/>
      <c r="D46" s="12">
        <f>C46*1.5</f>
        <v>0</v>
      </c>
      <c r="F46" s="37"/>
      <c r="G46" s="62"/>
      <c r="H46" s="178"/>
      <c r="I46" s="178"/>
      <c r="J46" s="178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/>
      <c r="D48" s="12">
        <f>C48*78</f>
        <v>0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/>
      <c r="D49" s="12">
        <f>C49*42</f>
        <v>0</v>
      </c>
      <c r="F49" s="219" t="s">
        <v>86</v>
      </c>
      <c r="G49" s="166">
        <f>H34+H35+H36+H37+H38+H39+H40+H41+G42+H44+H45+H46</f>
        <v>0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/>
      <c r="D50" s="12">
        <f>C50*1.5</f>
        <v>0</v>
      </c>
      <c r="F50" s="220"/>
      <c r="G50" s="169"/>
      <c r="H50" s="170"/>
      <c r="I50" s="170"/>
      <c r="J50" s="171"/>
      <c r="P50" s="4"/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131</v>
      </c>
      <c r="G51" s="234">
        <f>G49-H29</f>
        <v>0</v>
      </c>
      <c r="H51" s="235"/>
      <c r="I51" s="235"/>
      <c r="J51" s="23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8"/>
      <c r="B52" s="29"/>
      <c r="C52" s="33"/>
      <c r="D52" s="45"/>
      <c r="F52" s="222"/>
      <c r="G52" s="237"/>
      <c r="H52" s="238"/>
      <c r="I52" s="238"/>
      <c r="J52" s="23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8B918F-B58D-4864-A538-7044B97DFB7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0" t="s">
        <v>1</v>
      </c>
      <c r="O1" s="100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1" t="s">
        <v>7</v>
      </c>
      <c r="B4" s="102"/>
      <c r="C4" s="102"/>
      <c r="D4" s="103"/>
      <c r="F4" s="104" t="s">
        <v>8</v>
      </c>
      <c r="G4" s="106">
        <v>2</v>
      </c>
      <c r="H4" s="108" t="s">
        <v>9</v>
      </c>
      <c r="I4" s="110">
        <v>45969</v>
      </c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5"/>
      <c r="B6" s="16" t="s">
        <v>15</v>
      </c>
      <c r="C6" s="10"/>
      <c r="D6" s="13">
        <f t="shared" ref="D6:D28" si="1">C6*L6</f>
        <v>0</v>
      </c>
      <c r="F6" s="117" t="s">
        <v>16</v>
      </c>
      <c r="G6" s="119" t="s">
        <v>134</v>
      </c>
      <c r="H6" s="120"/>
      <c r="I6" s="120"/>
      <c r="J6" s="12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5"/>
      <c r="B7" s="16" t="s">
        <v>18</v>
      </c>
      <c r="C7" s="10"/>
      <c r="D7" s="13">
        <f t="shared" si="1"/>
        <v>0</v>
      </c>
      <c r="F7" s="118"/>
      <c r="G7" s="122"/>
      <c r="H7" s="123"/>
      <c r="I7" s="123"/>
      <c r="J7" s="12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5"/>
      <c r="B8" s="16" t="s">
        <v>20</v>
      </c>
      <c r="C8" s="10"/>
      <c r="D8" s="13">
        <f t="shared" si="1"/>
        <v>0</v>
      </c>
      <c r="F8" s="125" t="s">
        <v>21</v>
      </c>
      <c r="G8" s="127" t="s">
        <v>114</v>
      </c>
      <c r="H8" s="128"/>
      <c r="I8" s="128"/>
      <c r="J8" s="1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5"/>
      <c r="B9" s="16" t="s">
        <v>23</v>
      </c>
      <c r="C9" s="10"/>
      <c r="D9" s="13">
        <f t="shared" si="1"/>
        <v>0</v>
      </c>
      <c r="F9" s="118"/>
      <c r="G9" s="130"/>
      <c r="H9" s="131"/>
      <c r="I9" s="131"/>
      <c r="J9" s="1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5"/>
      <c r="B10" t="s">
        <v>25</v>
      </c>
      <c r="C10" s="10"/>
      <c r="D10" s="13">
        <f t="shared" si="1"/>
        <v>0</v>
      </c>
      <c r="F10" s="117" t="s">
        <v>26</v>
      </c>
      <c r="G10" s="133" t="s">
        <v>115</v>
      </c>
      <c r="H10" s="134"/>
      <c r="I10" s="134"/>
      <c r="J10" s="135"/>
      <c r="K10" s="8"/>
      <c r="L10" s="6">
        <f>R36</f>
        <v>972</v>
      </c>
      <c r="P10" s="4"/>
      <c r="Q10" s="4"/>
      <c r="R10" s="5"/>
    </row>
    <row r="11" spans="1:18" ht="15.75" x14ac:dyDescent="0.25">
      <c r="A11" s="115"/>
      <c r="B11" s="17" t="s">
        <v>28</v>
      </c>
      <c r="C11" s="10"/>
      <c r="D11" s="13">
        <f t="shared" si="1"/>
        <v>0</v>
      </c>
      <c r="F11" s="118"/>
      <c r="G11" s="130"/>
      <c r="H11" s="131"/>
      <c r="I11" s="131"/>
      <c r="J11" s="1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5"/>
      <c r="B12" s="17" t="s">
        <v>30</v>
      </c>
      <c r="C12" s="10"/>
      <c r="D12" s="48">
        <f t="shared" si="1"/>
        <v>0</v>
      </c>
      <c r="F12" s="136" t="s">
        <v>33</v>
      </c>
      <c r="G12" s="137"/>
      <c r="H12" s="137"/>
      <c r="I12" s="137"/>
      <c r="J12" s="1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5"/>
      <c r="B13" s="17" t="s">
        <v>32</v>
      </c>
      <c r="C13" s="10"/>
      <c r="D13" s="48">
        <f t="shared" si="1"/>
        <v>0</v>
      </c>
      <c r="F13" s="139" t="s">
        <v>36</v>
      </c>
      <c r="G13" s="140"/>
      <c r="H13" s="141">
        <f>D29</f>
        <v>0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5"/>
      <c r="B14" s="14" t="s">
        <v>35</v>
      </c>
      <c r="C14" s="10"/>
      <c r="D14" s="31">
        <f t="shared" si="1"/>
        <v>0</v>
      </c>
      <c r="F14" s="144" t="s">
        <v>39</v>
      </c>
      <c r="G14" s="145"/>
      <c r="H14" s="146">
        <f>D54</f>
        <v>0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5"/>
      <c r="B15" s="14" t="s">
        <v>38</v>
      </c>
      <c r="C15" s="10"/>
      <c r="D15" s="31">
        <f t="shared" si="1"/>
        <v>0</v>
      </c>
      <c r="F15" s="149" t="s">
        <v>40</v>
      </c>
      <c r="G15" s="140"/>
      <c r="H15" s="150">
        <f>H13-H14</f>
        <v>0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B17" t="s">
        <v>93</v>
      </c>
      <c r="C17" s="10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3"/>
      <c r="I19" s="233"/>
      <c r="J19" s="23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26"/>
      <c r="I20" s="126"/>
      <c r="J20" s="12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5"/>
      <c r="B22" s="46" t="s">
        <v>104</v>
      </c>
      <c r="C22" s="10"/>
      <c r="D22" s="48">
        <f t="shared" si="1"/>
        <v>0</v>
      </c>
      <c r="F22" s="72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 t="s">
        <v>107</v>
      </c>
      <c r="C23" s="10"/>
      <c r="D23" s="48">
        <f t="shared" si="1"/>
        <v>0</v>
      </c>
      <c r="F23" s="25"/>
      <c r="G23" s="37"/>
      <c r="H23" s="177"/>
      <c r="I23" s="178"/>
      <c r="J23" s="17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 t="s">
        <v>123</v>
      </c>
      <c r="C24" s="10"/>
      <c r="D24" s="48">
        <f t="shared" si="1"/>
        <v>0</v>
      </c>
      <c r="F24" s="38"/>
      <c r="G24" s="37"/>
      <c r="H24" s="177"/>
      <c r="I24" s="178"/>
      <c r="J24" s="17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 t="s">
        <v>105</v>
      </c>
      <c r="C26" s="10"/>
      <c r="D26" s="48">
        <f t="shared" si="1"/>
        <v>0</v>
      </c>
      <c r="F26" s="64"/>
      <c r="G26" s="10"/>
      <c r="H26" s="182"/>
      <c r="I26" s="183"/>
      <c r="J26" s="18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5"/>
      <c r="B27" s="14" t="s">
        <v>109</v>
      </c>
      <c r="C27" s="10"/>
      <c r="D27" s="44">
        <f t="shared" si="1"/>
        <v>0</v>
      </c>
      <c r="F27" s="14"/>
      <c r="G27" s="14"/>
      <c r="H27" s="185"/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 t="s">
        <v>97</v>
      </c>
      <c r="C28" s="10"/>
      <c r="D28" s="48">
        <f t="shared" si="1"/>
        <v>0</v>
      </c>
      <c r="F28" s="91"/>
      <c r="G28" s="61"/>
      <c r="H28" s="188"/>
      <c r="I28" s="189"/>
      <c r="J28" s="19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62" t="s">
        <v>55</v>
      </c>
      <c r="G29" s="163"/>
      <c r="H29" s="166">
        <f>H15-H16-H17-H18-H19-H20-H22-H23-H24+H26+H27</f>
        <v>0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4">
        <f>F34*G34</f>
        <v>0</v>
      </c>
      <c r="I34" s="195"/>
      <c r="J34" s="19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/>
      <c r="H35" s="194">
        <f t="shared" ref="H35:H39" si="2">F35*G35</f>
        <v>0</v>
      </c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/>
      <c r="D36" s="12">
        <f>C36*1.5</f>
        <v>0</v>
      </c>
      <c r="F36" s="12">
        <v>200</v>
      </c>
      <c r="G36" s="37"/>
      <c r="H36" s="194">
        <f>F36*G36</f>
        <v>0</v>
      </c>
      <c r="I36" s="195"/>
      <c r="J36" s="19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4">
        <f t="shared" si="2"/>
        <v>0</v>
      </c>
      <c r="I37" s="195"/>
      <c r="J37" s="19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5"/>
      <c r="B38" s="29" t="s">
        <v>68</v>
      </c>
      <c r="C38" s="54"/>
      <c r="D38" s="12">
        <f>C38*84</f>
        <v>0</v>
      </c>
      <c r="F38" s="30">
        <v>50</v>
      </c>
      <c r="G38" s="39"/>
      <c r="H38" s="194">
        <f t="shared" si="2"/>
        <v>0</v>
      </c>
      <c r="I38" s="195"/>
      <c r="J38" s="19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6"/>
      <c r="B39" s="29" t="s">
        <v>70</v>
      </c>
      <c r="C39" s="52"/>
      <c r="D39" s="31">
        <f>C39*4.5</f>
        <v>0</v>
      </c>
      <c r="F39" s="12">
        <v>20</v>
      </c>
      <c r="G39" s="37"/>
      <c r="H39" s="194">
        <f t="shared" si="2"/>
        <v>0</v>
      </c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5"/>
      <c r="B41" s="27" t="s">
        <v>68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6"/>
      <c r="B42" s="27" t="s">
        <v>70</v>
      </c>
      <c r="C42" s="11"/>
      <c r="D42" s="12">
        <f>C42*2.25</f>
        <v>0</v>
      </c>
      <c r="F42" s="39" t="s">
        <v>79</v>
      </c>
      <c r="G42" s="194"/>
      <c r="H42" s="195"/>
      <c r="I42" s="195"/>
      <c r="J42" s="19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94" t="s">
        <v>83</v>
      </c>
      <c r="H43" s="200" t="s">
        <v>13</v>
      </c>
      <c r="I43" s="201"/>
      <c r="J43" s="202"/>
      <c r="K43" s="21"/>
      <c r="P43" s="4"/>
      <c r="Q43" s="4"/>
      <c r="R43" s="5"/>
    </row>
    <row r="44" spans="1:18" ht="15.75" x14ac:dyDescent="0.25">
      <c r="A44" s="198"/>
      <c r="B44" s="27" t="s">
        <v>66</v>
      </c>
      <c r="C44" s="10"/>
      <c r="D44" s="12">
        <f>C44*120</f>
        <v>0</v>
      </c>
      <c r="F44" s="37"/>
      <c r="G44" s="62"/>
      <c r="H44" s="178"/>
      <c r="I44" s="178"/>
      <c r="J44" s="178"/>
      <c r="K44" s="21"/>
      <c r="P44" s="4"/>
      <c r="Q44" s="4"/>
      <c r="R44" s="5"/>
    </row>
    <row r="45" spans="1:18" ht="15.75" x14ac:dyDescent="0.25">
      <c r="A45" s="198"/>
      <c r="B45" s="27" t="s">
        <v>68</v>
      </c>
      <c r="C45" s="33"/>
      <c r="D45" s="12">
        <f>C45*84</f>
        <v>0</v>
      </c>
      <c r="F45" s="37"/>
      <c r="G45" s="62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/>
      <c r="D46" s="12">
        <f>C46*1.5</f>
        <v>0</v>
      </c>
      <c r="F46" s="37"/>
      <c r="G46" s="93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/>
      <c r="D48" s="12">
        <f>C48*78</f>
        <v>0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/>
      <c r="D49" s="12">
        <f>C49*42</f>
        <v>0</v>
      </c>
      <c r="F49" s="219" t="s">
        <v>86</v>
      </c>
      <c r="G49" s="166">
        <f>H34+H35+H36+H37+H38+H39+H40+H41+G42+H44+H45+H46</f>
        <v>0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/>
      <c r="D50" s="12">
        <f>C50*1.5</f>
        <v>0</v>
      </c>
      <c r="F50" s="220"/>
      <c r="G50" s="169"/>
      <c r="H50" s="170"/>
      <c r="I50" s="170"/>
      <c r="J50" s="171"/>
      <c r="P50" s="4"/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132</v>
      </c>
      <c r="G51" s="234">
        <f>G49-H29</f>
        <v>0</v>
      </c>
      <c r="H51" s="235"/>
      <c r="I51" s="235"/>
      <c r="J51" s="23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8"/>
      <c r="B52" s="29"/>
      <c r="C52" s="33"/>
      <c r="D52" s="45"/>
      <c r="F52" s="222"/>
      <c r="G52" s="237"/>
      <c r="H52" s="238"/>
      <c r="I52" s="238"/>
      <c r="J52" s="23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0</v>
      </c>
      <c r="F54" s="21"/>
      <c r="J54" s="34"/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C011E6-686B-4381-9576-AD93232154A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0" t="s">
        <v>1</v>
      </c>
      <c r="O1" s="100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1" t="s">
        <v>7</v>
      </c>
      <c r="B4" s="102"/>
      <c r="C4" s="102"/>
      <c r="D4" s="103"/>
      <c r="F4" s="104" t="s">
        <v>8</v>
      </c>
      <c r="G4" s="106">
        <v>3</v>
      </c>
      <c r="H4" s="108" t="s">
        <v>9</v>
      </c>
      <c r="I4" s="110">
        <v>45969</v>
      </c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5"/>
      <c r="B6" s="16" t="s">
        <v>15</v>
      </c>
      <c r="C6" s="10"/>
      <c r="D6" s="13">
        <f t="shared" ref="D6:D28" si="1">C6*L6</f>
        <v>0</v>
      </c>
      <c r="F6" s="117" t="s">
        <v>16</v>
      </c>
      <c r="G6" s="119" t="s">
        <v>111</v>
      </c>
      <c r="H6" s="120"/>
      <c r="I6" s="120"/>
      <c r="J6" s="12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5"/>
      <c r="B7" s="16" t="s">
        <v>18</v>
      </c>
      <c r="C7" s="10"/>
      <c r="D7" s="13">
        <f t="shared" si="1"/>
        <v>0</v>
      </c>
      <c r="F7" s="118"/>
      <c r="G7" s="122"/>
      <c r="H7" s="123"/>
      <c r="I7" s="123"/>
      <c r="J7" s="12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5"/>
      <c r="B8" s="16" t="s">
        <v>20</v>
      </c>
      <c r="C8" s="10"/>
      <c r="D8" s="13">
        <f t="shared" si="1"/>
        <v>0</v>
      </c>
      <c r="F8" s="125" t="s">
        <v>21</v>
      </c>
      <c r="G8" s="127" t="s">
        <v>119</v>
      </c>
      <c r="H8" s="128"/>
      <c r="I8" s="128"/>
      <c r="J8" s="1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5"/>
      <c r="B9" s="16" t="s">
        <v>23</v>
      </c>
      <c r="C9" s="10"/>
      <c r="D9" s="13">
        <f t="shared" si="1"/>
        <v>0</v>
      </c>
      <c r="F9" s="118"/>
      <c r="G9" s="130"/>
      <c r="H9" s="131"/>
      <c r="I9" s="131"/>
      <c r="J9" s="1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5"/>
      <c r="B10" t="s">
        <v>25</v>
      </c>
      <c r="C10" s="10"/>
      <c r="D10" s="13">
        <f t="shared" si="1"/>
        <v>0</v>
      </c>
      <c r="F10" s="117" t="s">
        <v>26</v>
      </c>
      <c r="G10" s="133" t="s">
        <v>137</v>
      </c>
      <c r="H10" s="134"/>
      <c r="I10" s="134"/>
      <c r="J10" s="135"/>
      <c r="K10" s="8"/>
      <c r="L10" s="6">
        <f>R36</f>
        <v>972</v>
      </c>
      <c r="P10" s="4"/>
      <c r="Q10" s="4"/>
      <c r="R10" s="5"/>
    </row>
    <row r="11" spans="1:18" ht="15.75" x14ac:dyDescent="0.25">
      <c r="A11" s="115"/>
      <c r="B11" s="17" t="s">
        <v>28</v>
      </c>
      <c r="C11" s="10"/>
      <c r="D11" s="13">
        <f t="shared" si="1"/>
        <v>0</v>
      </c>
      <c r="F11" s="118"/>
      <c r="G11" s="130"/>
      <c r="H11" s="131"/>
      <c r="I11" s="131"/>
      <c r="J11" s="1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5"/>
      <c r="B12" s="17" t="s">
        <v>30</v>
      </c>
      <c r="C12" s="10"/>
      <c r="D12" s="48">
        <f t="shared" si="1"/>
        <v>0</v>
      </c>
      <c r="F12" s="136" t="s">
        <v>33</v>
      </c>
      <c r="G12" s="137"/>
      <c r="H12" s="137"/>
      <c r="I12" s="137"/>
      <c r="J12" s="1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5"/>
      <c r="B13" s="17" t="s">
        <v>32</v>
      </c>
      <c r="C13" s="10"/>
      <c r="D13" s="48">
        <f t="shared" si="1"/>
        <v>0</v>
      </c>
      <c r="F13" s="139" t="s">
        <v>36</v>
      </c>
      <c r="G13" s="140"/>
      <c r="H13" s="141">
        <f>D29</f>
        <v>0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5"/>
      <c r="B14" s="14" t="s">
        <v>35</v>
      </c>
      <c r="C14" s="10"/>
      <c r="D14" s="31">
        <f t="shared" si="1"/>
        <v>0</v>
      </c>
      <c r="F14" s="144" t="s">
        <v>39</v>
      </c>
      <c r="G14" s="145"/>
      <c r="H14" s="146">
        <f>D54</f>
        <v>0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5"/>
      <c r="B15" s="14" t="s">
        <v>38</v>
      </c>
      <c r="C15" s="10"/>
      <c r="D15" s="31">
        <f t="shared" si="1"/>
        <v>0</v>
      </c>
      <c r="F15" s="149" t="s">
        <v>40</v>
      </c>
      <c r="G15" s="140"/>
      <c r="H15" s="150">
        <f>H13-H14</f>
        <v>0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B17" t="s">
        <v>113</v>
      </c>
      <c r="C17" s="10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0"/>
      <c r="I19" s="240"/>
      <c r="J19" s="24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3"/>
      <c r="I20" s="153"/>
      <c r="J20" s="15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5"/>
      <c r="B22" s="46" t="s">
        <v>104</v>
      </c>
      <c r="C22" s="10"/>
      <c r="D22" s="48">
        <f t="shared" si="1"/>
        <v>0</v>
      </c>
      <c r="F22" s="77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 t="s">
        <v>107</v>
      </c>
      <c r="C23" s="10"/>
      <c r="D23" s="48">
        <f t="shared" si="1"/>
        <v>0</v>
      </c>
      <c r="F23" s="78"/>
      <c r="G23" s="79"/>
      <c r="H23" s="177"/>
      <c r="I23" s="178"/>
      <c r="J23" s="17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 t="s">
        <v>101</v>
      </c>
      <c r="C24" s="10"/>
      <c r="D24" s="48">
        <f t="shared" si="1"/>
        <v>0</v>
      </c>
      <c r="F24" s="38"/>
      <c r="G24" s="37"/>
      <c r="H24" s="177"/>
      <c r="I24" s="178"/>
      <c r="J24" s="17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 t="s">
        <v>105</v>
      </c>
      <c r="C26" s="10"/>
      <c r="D26" s="48">
        <f t="shared" si="1"/>
        <v>0</v>
      </c>
      <c r="F26" s="64"/>
      <c r="G26" s="59"/>
      <c r="H26" s="182"/>
      <c r="I26" s="183"/>
      <c r="J26" s="18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5"/>
      <c r="B27" s="14" t="s">
        <v>109</v>
      </c>
      <c r="C27" s="10"/>
      <c r="D27" s="44">
        <f t="shared" si="1"/>
        <v>0</v>
      </c>
      <c r="F27" s="25"/>
      <c r="G27" s="80"/>
      <c r="H27" s="185"/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 t="s">
        <v>97</v>
      </c>
      <c r="C28" s="10"/>
      <c r="D28" s="48">
        <f t="shared" si="1"/>
        <v>0</v>
      </c>
      <c r="F28" s="91"/>
      <c r="G28" s="61"/>
      <c r="H28" s="188"/>
      <c r="I28" s="189"/>
      <c r="J28" s="19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62" t="s">
        <v>55</v>
      </c>
      <c r="G29" s="163"/>
      <c r="H29" s="166">
        <f>H15-H16-H17-H18-H19-H20-H22-H23-H24+H26+H27</f>
        <v>0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4">
        <f>F34*G34</f>
        <v>0</v>
      </c>
      <c r="I34" s="195"/>
      <c r="J34" s="19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/>
      <c r="H35" s="194">
        <f>F35*G35</f>
        <v>0</v>
      </c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/>
      <c r="D36" s="12">
        <f>C36*1.5</f>
        <v>0</v>
      </c>
      <c r="F36" s="12">
        <v>200</v>
      </c>
      <c r="G36" s="37"/>
      <c r="H36" s="194">
        <f t="shared" ref="H36:H39" si="2">F36*G36</f>
        <v>0</v>
      </c>
      <c r="I36" s="195"/>
      <c r="J36" s="19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4">
        <f t="shared" si="2"/>
        <v>0</v>
      </c>
      <c r="I37" s="195"/>
      <c r="J37" s="19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5"/>
      <c r="B38" s="29" t="s">
        <v>68</v>
      </c>
      <c r="C38" s="54"/>
      <c r="D38" s="12">
        <f>C38*84</f>
        <v>0</v>
      </c>
      <c r="F38" s="30">
        <v>50</v>
      </c>
      <c r="G38" s="39"/>
      <c r="H38" s="194">
        <f t="shared" si="2"/>
        <v>0</v>
      </c>
      <c r="I38" s="195"/>
      <c r="J38" s="19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6"/>
      <c r="B39" s="29" t="s">
        <v>70</v>
      </c>
      <c r="C39" s="52"/>
      <c r="D39" s="31">
        <f>C39*4.5</f>
        <v>0</v>
      </c>
      <c r="F39" s="12">
        <v>20</v>
      </c>
      <c r="G39" s="37"/>
      <c r="H39" s="194">
        <f t="shared" si="2"/>
        <v>0</v>
      </c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5"/>
      <c r="B41" s="27" t="s">
        <v>68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6"/>
      <c r="B42" s="27" t="s">
        <v>70</v>
      </c>
      <c r="C42" s="11"/>
      <c r="D42" s="12">
        <f>C42*2.25</f>
        <v>0</v>
      </c>
      <c r="F42" s="39" t="s">
        <v>79</v>
      </c>
      <c r="G42" s="194"/>
      <c r="H42" s="195"/>
      <c r="I42" s="195"/>
      <c r="J42" s="19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94" t="s">
        <v>83</v>
      </c>
      <c r="H43" s="200" t="s">
        <v>13</v>
      </c>
      <c r="I43" s="201"/>
      <c r="J43" s="202"/>
      <c r="K43" s="21"/>
      <c r="P43" s="4"/>
      <c r="Q43" s="4"/>
      <c r="R43" s="5"/>
    </row>
    <row r="44" spans="1:18" ht="15.75" x14ac:dyDescent="0.25">
      <c r="A44" s="198"/>
      <c r="B44" s="27" t="s">
        <v>66</v>
      </c>
      <c r="C44" s="10"/>
      <c r="D44" s="12">
        <f>C44*120</f>
        <v>0</v>
      </c>
      <c r="F44" s="37"/>
      <c r="G44" s="76"/>
      <c r="H44" s="178"/>
      <c r="I44" s="178"/>
      <c r="J44" s="178"/>
      <c r="K44" s="21"/>
      <c r="P44" s="4"/>
      <c r="Q44" s="4"/>
      <c r="R44" s="5"/>
    </row>
    <row r="45" spans="1:18" ht="15.75" x14ac:dyDescent="0.25">
      <c r="A45" s="198"/>
      <c r="B45" s="27" t="s">
        <v>68</v>
      </c>
      <c r="C45" s="33"/>
      <c r="D45" s="12">
        <f>C45*84</f>
        <v>0</v>
      </c>
      <c r="F45" s="37"/>
      <c r="G45" s="76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/>
      <c r="D46" s="12">
        <f>C46*1.5</f>
        <v>0</v>
      </c>
      <c r="F46" s="37"/>
      <c r="G46" s="62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/>
      <c r="D48" s="12">
        <f>C48*78</f>
        <v>0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/>
      <c r="D49" s="12">
        <f>C49*42</f>
        <v>0</v>
      </c>
      <c r="F49" s="219" t="s">
        <v>86</v>
      </c>
      <c r="G49" s="166">
        <f>H34+H35+H36+H37+H38+H39+H40+H41+G42+H44+H45+H46</f>
        <v>0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/>
      <c r="D50" s="12">
        <f>C50*1.5</f>
        <v>0</v>
      </c>
      <c r="F50" s="220"/>
      <c r="G50" s="169"/>
      <c r="H50" s="170"/>
      <c r="I50" s="170"/>
      <c r="J50" s="171"/>
      <c r="P50" s="4"/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142</v>
      </c>
      <c r="G51" s="234">
        <f>G49-H29</f>
        <v>0</v>
      </c>
      <c r="H51" s="235"/>
      <c r="I51" s="235"/>
      <c r="J51" s="23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8"/>
      <c r="B52" s="29"/>
      <c r="C52" s="33"/>
      <c r="D52" s="45"/>
      <c r="F52" s="222"/>
      <c r="G52" s="237"/>
      <c r="H52" s="238"/>
      <c r="I52" s="238"/>
      <c r="J52" s="23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0</v>
      </c>
      <c r="F54" s="21"/>
      <c r="J54" s="34"/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EFA72-AC5A-4B7E-BC00-DE5DCA4B569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0" t="s">
        <v>1</v>
      </c>
      <c r="O1" s="100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1" t="s">
        <v>7</v>
      </c>
      <c r="B4" s="102"/>
      <c r="C4" s="102"/>
      <c r="D4" s="103"/>
      <c r="F4" s="104" t="s">
        <v>8</v>
      </c>
      <c r="G4" s="106"/>
      <c r="H4" s="108" t="s">
        <v>9</v>
      </c>
      <c r="I4" s="110"/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5"/>
      <c r="B6" s="16"/>
      <c r="C6" s="10"/>
      <c r="D6" s="13">
        <f t="shared" ref="D6:D28" si="1">C6*L6</f>
        <v>0</v>
      </c>
      <c r="F6" s="117" t="s">
        <v>16</v>
      </c>
      <c r="G6" s="119"/>
      <c r="H6" s="120"/>
      <c r="I6" s="120"/>
      <c r="J6" s="12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5"/>
      <c r="B7" s="16"/>
      <c r="C7" s="10"/>
      <c r="D7" s="13">
        <f t="shared" si="1"/>
        <v>0</v>
      </c>
      <c r="F7" s="118"/>
      <c r="G7" s="122"/>
      <c r="H7" s="123"/>
      <c r="I7" s="123"/>
      <c r="J7" s="12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5"/>
      <c r="B8" s="16"/>
      <c r="C8" s="10"/>
      <c r="D8" s="13">
        <f t="shared" si="1"/>
        <v>0</v>
      </c>
      <c r="F8" s="125" t="s">
        <v>21</v>
      </c>
      <c r="G8" s="127"/>
      <c r="H8" s="128"/>
      <c r="I8" s="128"/>
      <c r="J8" s="12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5"/>
      <c r="B9" s="16"/>
      <c r="C9" s="10"/>
      <c r="D9" s="13">
        <f t="shared" si="1"/>
        <v>0</v>
      </c>
      <c r="F9" s="118"/>
      <c r="G9" s="130"/>
      <c r="H9" s="131"/>
      <c r="I9" s="131"/>
      <c r="J9" s="13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5"/>
      <c r="C10" s="10"/>
      <c r="D10" s="13">
        <f t="shared" si="1"/>
        <v>0</v>
      </c>
      <c r="F10" s="117" t="s">
        <v>26</v>
      </c>
      <c r="G10" s="133"/>
      <c r="H10" s="134"/>
      <c r="I10" s="134"/>
      <c r="J10" s="135"/>
      <c r="K10" s="8"/>
      <c r="L10" s="6">
        <f>R36</f>
        <v>972</v>
      </c>
      <c r="P10" s="4"/>
      <c r="Q10" s="4"/>
      <c r="R10" s="5"/>
    </row>
    <row r="11" spans="1:19" ht="15.75" x14ac:dyDescent="0.25">
      <c r="A11" s="115"/>
      <c r="B11" s="17"/>
      <c r="C11" s="10"/>
      <c r="D11" s="13">
        <f t="shared" si="1"/>
        <v>0</v>
      </c>
      <c r="F11" s="118"/>
      <c r="G11" s="130"/>
      <c r="H11" s="131"/>
      <c r="I11" s="131"/>
      <c r="J11" s="1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5"/>
      <c r="B12" s="17"/>
      <c r="C12" s="10"/>
      <c r="D12" s="48">
        <f t="shared" si="1"/>
        <v>0</v>
      </c>
      <c r="F12" s="136" t="s">
        <v>33</v>
      </c>
      <c r="G12" s="137"/>
      <c r="H12" s="137"/>
      <c r="I12" s="137"/>
      <c r="J12" s="1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5"/>
      <c r="B13" s="17"/>
      <c r="C13" s="10"/>
      <c r="D13" s="48">
        <f t="shared" si="1"/>
        <v>0</v>
      </c>
      <c r="F13" s="139" t="s">
        <v>36</v>
      </c>
      <c r="G13" s="140"/>
      <c r="H13" s="141">
        <f>D29</f>
        <v>0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5"/>
      <c r="B14" s="14"/>
      <c r="C14" s="10"/>
      <c r="D14" s="31">
        <f t="shared" si="1"/>
        <v>0</v>
      </c>
      <c r="F14" s="144" t="s">
        <v>39</v>
      </c>
      <c r="G14" s="145"/>
      <c r="H14" s="146">
        <f>D54</f>
        <v>0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5"/>
      <c r="B15" s="14"/>
      <c r="C15" s="10"/>
      <c r="D15" s="31">
        <f t="shared" si="1"/>
        <v>0</v>
      </c>
      <c r="F15" s="149" t="s">
        <v>40</v>
      </c>
      <c r="G15" s="140"/>
      <c r="H15" s="150">
        <f>H13-H14</f>
        <v>0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C17" s="10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/>
      <c r="C18" s="10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/>
      <c r="C19" s="10"/>
      <c r="D19" s="48">
        <f t="shared" si="1"/>
        <v>0</v>
      </c>
      <c r="F19" s="56"/>
      <c r="G19" s="68" t="s">
        <v>50</v>
      </c>
      <c r="H19" s="172"/>
      <c r="I19" s="172"/>
      <c r="J19" s="17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5"/>
      <c r="B20" s="46"/>
      <c r="C20" s="10"/>
      <c r="D20" s="13">
        <f t="shared" si="1"/>
        <v>0</v>
      </c>
      <c r="F20" s="57"/>
      <c r="G20" s="70" t="s">
        <v>120</v>
      </c>
      <c r="H20" s="153"/>
      <c r="I20" s="153"/>
      <c r="J20" s="15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5"/>
      <c r="B22" s="46"/>
      <c r="C22" s="10"/>
      <c r="D22" s="48">
        <f t="shared" si="1"/>
        <v>0</v>
      </c>
      <c r="F22" s="77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/>
      <c r="C23" s="10"/>
      <c r="D23" s="48">
        <f t="shared" si="1"/>
        <v>0</v>
      </c>
      <c r="F23" s="78"/>
      <c r="G23" s="79"/>
      <c r="H23" s="177"/>
      <c r="I23" s="178"/>
      <c r="J23" s="17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/>
      <c r="C24" s="10"/>
      <c r="D24" s="48">
        <f t="shared" si="1"/>
        <v>0</v>
      </c>
      <c r="F24" s="38"/>
      <c r="G24" s="37"/>
      <c r="H24" s="177"/>
      <c r="I24" s="178"/>
      <c r="J24" s="17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/>
      <c r="C26" s="10"/>
      <c r="D26" s="48">
        <f t="shared" si="1"/>
        <v>0</v>
      </c>
      <c r="F26" s="64"/>
      <c r="G26" s="59"/>
      <c r="H26" s="182"/>
      <c r="I26" s="183"/>
      <c r="J26" s="18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5"/>
      <c r="B27" s="14"/>
      <c r="C27" s="10"/>
      <c r="D27" s="44">
        <f t="shared" si="1"/>
        <v>0</v>
      </c>
      <c r="F27" s="25"/>
      <c r="G27" s="80"/>
      <c r="H27" s="185"/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/>
      <c r="C28" s="10"/>
      <c r="D28" s="48">
        <f t="shared" si="1"/>
        <v>0</v>
      </c>
      <c r="F28" s="91"/>
      <c r="G28" s="61"/>
      <c r="H28" s="188"/>
      <c r="I28" s="189"/>
      <c r="J28" s="19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62" t="s">
        <v>55</v>
      </c>
      <c r="G29" s="163"/>
      <c r="H29" s="166">
        <f>H15-H16-H17-H18-H19-H20-H22-H23-H24+H26+H27</f>
        <v>0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4"/>
      <c r="I34" s="195"/>
      <c r="J34" s="19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/>
      <c r="H35" s="194"/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/>
      <c r="D36" s="12">
        <f>C36*1.5</f>
        <v>0</v>
      </c>
      <c r="F36" s="12">
        <v>200</v>
      </c>
      <c r="G36" s="37"/>
      <c r="H36" s="194"/>
      <c r="I36" s="195"/>
      <c r="J36" s="19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4"/>
      <c r="I37" s="195"/>
      <c r="J37" s="19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5"/>
      <c r="B38" s="29" t="s">
        <v>68</v>
      </c>
      <c r="C38" s="54"/>
      <c r="D38" s="12">
        <f>C38*84</f>
        <v>0</v>
      </c>
      <c r="F38" s="30">
        <v>50</v>
      </c>
      <c r="G38" s="39"/>
      <c r="H38" s="194"/>
      <c r="I38" s="195"/>
      <c r="J38" s="19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6"/>
      <c r="B39" s="29" t="s">
        <v>70</v>
      </c>
      <c r="C39" s="52"/>
      <c r="D39" s="31">
        <f>C39*4.5</f>
        <v>0</v>
      </c>
      <c r="F39" s="12">
        <v>20</v>
      </c>
      <c r="G39" s="37"/>
      <c r="H39" s="194"/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5"/>
      <c r="B41" s="27" t="s">
        <v>68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6"/>
      <c r="B42" s="27" t="s">
        <v>70</v>
      </c>
      <c r="C42" s="11"/>
      <c r="D42" s="12">
        <f>C42*2.25</f>
        <v>0</v>
      </c>
      <c r="F42" s="39" t="s">
        <v>79</v>
      </c>
      <c r="G42" s="194"/>
      <c r="H42" s="195"/>
      <c r="I42" s="195"/>
      <c r="J42" s="19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94" t="s">
        <v>83</v>
      </c>
      <c r="H43" s="200" t="s">
        <v>13</v>
      </c>
      <c r="I43" s="201"/>
      <c r="J43" s="202"/>
      <c r="K43" s="21"/>
      <c r="P43" s="4"/>
      <c r="Q43" s="4"/>
      <c r="R43" s="5"/>
    </row>
    <row r="44" spans="1:18" ht="15.75" x14ac:dyDescent="0.25">
      <c r="A44" s="198"/>
      <c r="B44" s="27" t="s">
        <v>66</v>
      </c>
      <c r="C44" s="10"/>
      <c r="D44" s="12">
        <f>C44*120</f>
        <v>0</v>
      </c>
      <c r="F44" s="37"/>
      <c r="G44" s="76"/>
      <c r="H44" s="178"/>
      <c r="I44" s="178"/>
      <c r="J44" s="178"/>
      <c r="K44" s="21"/>
      <c r="P44" s="4"/>
      <c r="Q44" s="4"/>
      <c r="R44" s="5"/>
    </row>
    <row r="45" spans="1:18" ht="15.75" x14ac:dyDescent="0.25">
      <c r="A45" s="198"/>
      <c r="B45" s="27" t="s">
        <v>68</v>
      </c>
      <c r="C45" s="33"/>
      <c r="D45" s="12">
        <f>C45*84</f>
        <v>0</v>
      </c>
      <c r="F45" s="37"/>
      <c r="G45" s="76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/>
      <c r="D46" s="12">
        <f>C46*1.5</f>
        <v>0</v>
      </c>
      <c r="F46" s="37"/>
      <c r="G46" s="62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/>
      <c r="D48" s="12">
        <f>C48*78</f>
        <v>0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/>
      <c r="D49" s="12">
        <f>C49*42</f>
        <v>0</v>
      </c>
      <c r="F49" s="219" t="s">
        <v>86</v>
      </c>
      <c r="G49" s="166">
        <f>H34+H35+H36+H37+H38+H39+H40+H41+G42+H44+H45+H46</f>
        <v>0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/>
      <c r="D50" s="12">
        <f>C50*1.5</f>
        <v>0</v>
      </c>
      <c r="F50" s="220"/>
      <c r="G50" s="169"/>
      <c r="H50" s="170"/>
      <c r="I50" s="170"/>
      <c r="J50" s="171"/>
      <c r="P50" s="4"/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128</v>
      </c>
      <c r="G51" s="223">
        <f>G49-H29</f>
        <v>0</v>
      </c>
      <c r="H51" s="224"/>
      <c r="I51" s="224"/>
      <c r="J51" s="22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8"/>
      <c r="B52" s="29"/>
      <c r="C52" s="33"/>
      <c r="D52" s="45"/>
      <c r="F52" s="222"/>
      <c r="G52" s="226"/>
      <c r="H52" s="227"/>
      <c r="I52" s="227"/>
      <c r="J52" s="22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0</v>
      </c>
      <c r="F54" s="21"/>
      <c r="J54" s="34"/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154F3-9C37-4B04-98ED-E037A93874C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0" t="s">
        <v>1</v>
      </c>
      <c r="O1" s="100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1" t="s">
        <v>7</v>
      </c>
      <c r="B4" s="102"/>
      <c r="C4" s="102"/>
      <c r="D4" s="103"/>
      <c r="F4" s="104" t="s">
        <v>8</v>
      </c>
      <c r="G4" s="106">
        <v>1</v>
      </c>
      <c r="H4" s="108" t="s">
        <v>9</v>
      </c>
      <c r="I4" s="110">
        <v>45971</v>
      </c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5"/>
      <c r="B6" s="16" t="s">
        <v>15</v>
      </c>
      <c r="C6" s="89"/>
      <c r="D6" s="13">
        <f t="shared" ref="D6:D28" si="1">C6*L6</f>
        <v>0</v>
      </c>
      <c r="F6" s="117" t="s">
        <v>16</v>
      </c>
      <c r="G6" s="119" t="s">
        <v>129</v>
      </c>
      <c r="H6" s="120"/>
      <c r="I6" s="120"/>
      <c r="J6" s="12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5"/>
      <c r="B7" s="16" t="s">
        <v>18</v>
      </c>
      <c r="C7" s="89"/>
      <c r="D7" s="13">
        <f t="shared" si="1"/>
        <v>0</v>
      </c>
      <c r="F7" s="118"/>
      <c r="G7" s="122"/>
      <c r="H7" s="123"/>
      <c r="I7" s="123"/>
      <c r="J7" s="12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5"/>
      <c r="B8" s="16" t="s">
        <v>20</v>
      </c>
      <c r="C8" s="89"/>
      <c r="D8" s="13">
        <f t="shared" si="1"/>
        <v>0</v>
      </c>
      <c r="F8" s="125" t="s">
        <v>21</v>
      </c>
      <c r="G8" s="127" t="s">
        <v>112</v>
      </c>
      <c r="H8" s="128"/>
      <c r="I8" s="128"/>
      <c r="J8" s="1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5"/>
      <c r="B9" s="16" t="s">
        <v>23</v>
      </c>
      <c r="C9" s="89"/>
      <c r="D9" s="13">
        <f t="shared" si="1"/>
        <v>0</v>
      </c>
      <c r="F9" s="118"/>
      <c r="G9" s="130"/>
      <c r="H9" s="131"/>
      <c r="I9" s="131"/>
      <c r="J9" s="1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5"/>
      <c r="B10" t="s">
        <v>25</v>
      </c>
      <c r="C10" s="89"/>
      <c r="D10" s="13">
        <f t="shared" si="1"/>
        <v>0</v>
      </c>
      <c r="F10" s="117" t="s">
        <v>26</v>
      </c>
      <c r="G10" s="133" t="s">
        <v>130</v>
      </c>
      <c r="H10" s="134"/>
      <c r="I10" s="134"/>
      <c r="J10" s="135"/>
      <c r="K10" s="8"/>
      <c r="L10" s="6">
        <f>R36</f>
        <v>972</v>
      </c>
      <c r="P10" s="4"/>
      <c r="Q10" s="4"/>
      <c r="R10" s="5"/>
    </row>
    <row r="11" spans="1:18" ht="15.75" x14ac:dyDescent="0.25">
      <c r="A11" s="115"/>
      <c r="B11" s="17" t="s">
        <v>28</v>
      </c>
      <c r="C11" s="89"/>
      <c r="D11" s="13">
        <f t="shared" si="1"/>
        <v>0</v>
      </c>
      <c r="F11" s="118"/>
      <c r="G11" s="130"/>
      <c r="H11" s="131"/>
      <c r="I11" s="131"/>
      <c r="J11" s="1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5"/>
      <c r="B12" s="17" t="s">
        <v>30</v>
      </c>
      <c r="C12" s="89"/>
      <c r="D12" s="48">
        <f t="shared" si="1"/>
        <v>0</v>
      </c>
      <c r="F12" s="136" t="s">
        <v>33</v>
      </c>
      <c r="G12" s="137"/>
      <c r="H12" s="137"/>
      <c r="I12" s="137"/>
      <c r="J12" s="1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5"/>
      <c r="B13" s="17" t="s">
        <v>32</v>
      </c>
      <c r="C13" s="89"/>
      <c r="D13" s="48">
        <f t="shared" si="1"/>
        <v>0</v>
      </c>
      <c r="F13" s="139" t="s">
        <v>36</v>
      </c>
      <c r="G13" s="140"/>
      <c r="H13" s="141">
        <f>D29</f>
        <v>0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5"/>
      <c r="B14" s="14" t="s">
        <v>35</v>
      </c>
      <c r="C14" s="89"/>
      <c r="D14" s="31">
        <f t="shared" si="1"/>
        <v>0</v>
      </c>
      <c r="F14" s="144" t="s">
        <v>39</v>
      </c>
      <c r="G14" s="145"/>
      <c r="H14" s="146">
        <f>D54</f>
        <v>0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5"/>
      <c r="B15" s="14" t="s">
        <v>38</v>
      </c>
      <c r="C15" s="89"/>
      <c r="D15" s="31">
        <f t="shared" si="1"/>
        <v>0</v>
      </c>
      <c r="F15" s="149" t="s">
        <v>40</v>
      </c>
      <c r="G15" s="140"/>
      <c r="H15" s="150">
        <f>H13-H14</f>
        <v>0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5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B17" t="s">
        <v>140</v>
      </c>
      <c r="C17" s="89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26"/>
      <c r="I19" s="126"/>
      <c r="J19" s="126"/>
      <c r="L19" s="6">
        <v>1102</v>
      </c>
      <c r="Q19" s="4"/>
      <c r="R19" s="5">
        <f t="shared" si="0"/>
        <v>0</v>
      </c>
    </row>
    <row r="20" spans="1:18" ht="15.75" x14ac:dyDescent="0.25">
      <c r="A20" s="115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53"/>
      <c r="I20" s="153"/>
      <c r="J20" s="15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5"/>
      <c r="B22" s="46" t="s">
        <v>127</v>
      </c>
      <c r="C22" s="89"/>
      <c r="D22" s="48">
        <f t="shared" si="1"/>
        <v>0</v>
      </c>
      <c r="F22" s="77"/>
      <c r="G22" s="73"/>
      <c r="H22" s="176"/>
      <c r="I22" s="176"/>
      <c r="J22" s="17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 t="s">
        <v>101</v>
      </c>
      <c r="C23" s="89"/>
      <c r="D23" s="48">
        <f t="shared" si="1"/>
        <v>0</v>
      </c>
      <c r="F23" s="77"/>
      <c r="G23" s="79"/>
      <c r="H23" s="229"/>
      <c r="I23" s="230"/>
      <c r="J23" s="23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 t="s">
        <v>121</v>
      </c>
      <c r="C24" s="89"/>
      <c r="D24" s="48">
        <f t="shared" si="1"/>
        <v>0</v>
      </c>
      <c r="F24" s="77"/>
      <c r="G24" s="79"/>
      <c r="H24" s="229"/>
      <c r="I24" s="230"/>
      <c r="J24" s="23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 t="s">
        <v>139</v>
      </c>
      <c r="C26" s="89"/>
      <c r="D26" s="48">
        <f t="shared" si="1"/>
        <v>0</v>
      </c>
      <c r="F26" s="75"/>
      <c r="G26" s="65"/>
      <c r="H26" s="178"/>
      <c r="I26" s="178"/>
      <c r="J26" s="178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5"/>
      <c r="B27" s="14" t="s">
        <v>110</v>
      </c>
      <c r="C27" s="89"/>
      <c r="D27" s="44">
        <f t="shared" si="1"/>
        <v>0</v>
      </c>
      <c r="F27" s="71"/>
      <c r="G27" s="94"/>
      <c r="H27" s="231"/>
      <c r="I27" s="232"/>
      <c r="J27" s="23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 t="s">
        <v>97</v>
      </c>
      <c r="C28" s="89"/>
      <c r="D28" s="48">
        <f t="shared" si="1"/>
        <v>0</v>
      </c>
      <c r="F28" s="91"/>
      <c r="G28" s="61"/>
      <c r="H28" s="188"/>
      <c r="I28" s="189"/>
      <c r="J28" s="19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62" t="s">
        <v>55</v>
      </c>
      <c r="G29" s="163"/>
      <c r="H29" s="166">
        <f>H15-H16-H17-H18-H19-H20-H22-H23-H24+H26+H27+H28</f>
        <v>0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94">
        <f t="shared" ref="H34:H39" si="2">F34*G34</f>
        <v>0</v>
      </c>
      <c r="I34" s="195"/>
      <c r="J34" s="19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/>
      <c r="H35" s="194">
        <f t="shared" si="2"/>
        <v>0</v>
      </c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/>
      <c r="D36" s="12">
        <f>C36*1.5</f>
        <v>0</v>
      </c>
      <c r="F36" s="12">
        <v>200</v>
      </c>
      <c r="G36" s="37"/>
      <c r="H36" s="194">
        <f t="shared" si="2"/>
        <v>0</v>
      </c>
      <c r="I36" s="195"/>
      <c r="J36" s="19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4">
        <f t="shared" si="2"/>
        <v>0</v>
      </c>
      <c r="I37" s="195"/>
      <c r="J37" s="19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5"/>
      <c r="B38" s="29" t="s">
        <v>68</v>
      </c>
      <c r="C38" s="54"/>
      <c r="D38" s="12">
        <f>C38*84</f>
        <v>0</v>
      </c>
      <c r="F38" s="30">
        <v>50</v>
      </c>
      <c r="G38" s="39"/>
      <c r="H38" s="194">
        <f t="shared" si="2"/>
        <v>0</v>
      </c>
      <c r="I38" s="195"/>
      <c r="J38" s="19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6"/>
      <c r="B39" s="29" t="s">
        <v>70</v>
      </c>
      <c r="C39" s="52"/>
      <c r="D39" s="31">
        <f>C39*4.5</f>
        <v>0</v>
      </c>
      <c r="F39" s="12">
        <v>20</v>
      </c>
      <c r="G39" s="37"/>
      <c r="H39" s="194">
        <f t="shared" si="2"/>
        <v>0</v>
      </c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5"/>
      <c r="B41" s="27" t="s">
        <v>68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6"/>
      <c r="B42" s="27" t="s">
        <v>70</v>
      </c>
      <c r="C42" s="11"/>
      <c r="D42" s="12">
        <f>C42*2.25</f>
        <v>0</v>
      </c>
      <c r="F42" s="39" t="s">
        <v>79</v>
      </c>
      <c r="G42" s="194"/>
      <c r="H42" s="195"/>
      <c r="I42" s="195"/>
      <c r="J42" s="19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94" t="s">
        <v>83</v>
      </c>
      <c r="H43" s="200" t="s">
        <v>13</v>
      </c>
      <c r="I43" s="201"/>
      <c r="J43" s="20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8"/>
      <c r="B44" s="27" t="s">
        <v>66</v>
      </c>
      <c r="C44" s="10"/>
      <c r="D44" s="12">
        <f>C44*120</f>
        <v>0</v>
      </c>
      <c r="F44" s="37"/>
      <c r="G44" s="62"/>
      <c r="H44" s="178"/>
      <c r="I44" s="178"/>
      <c r="J44" s="17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98"/>
      <c r="B45" s="27" t="s">
        <v>68</v>
      </c>
      <c r="C45" s="33"/>
      <c r="D45" s="12">
        <f>C45*84</f>
        <v>0</v>
      </c>
      <c r="F45" s="37"/>
      <c r="G45" s="62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/>
      <c r="D46" s="12">
        <f>C46*1.5</f>
        <v>0</v>
      </c>
      <c r="F46" s="37"/>
      <c r="G46" s="62"/>
      <c r="H46" s="178"/>
      <c r="I46" s="178"/>
      <c r="J46" s="178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/>
      <c r="D48" s="12">
        <f>C48*78</f>
        <v>0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/>
      <c r="D49" s="12">
        <f>C49*42</f>
        <v>0</v>
      </c>
      <c r="F49" s="219" t="s">
        <v>86</v>
      </c>
      <c r="G49" s="166">
        <f>H34+H35+H36+H37+H38+H39+H40+H41+G42+H44+H45+H46</f>
        <v>0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/>
      <c r="D50" s="12">
        <f>C50*1.5</f>
        <v>0</v>
      </c>
      <c r="F50" s="220"/>
      <c r="G50" s="169"/>
      <c r="H50" s="170"/>
      <c r="I50" s="170"/>
      <c r="J50" s="171"/>
      <c r="P50" s="4"/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131</v>
      </c>
      <c r="G51" s="234">
        <f>G49-H29</f>
        <v>0</v>
      </c>
      <c r="H51" s="235"/>
      <c r="I51" s="235"/>
      <c r="J51" s="23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8"/>
      <c r="B52" s="29"/>
      <c r="C52" s="33"/>
      <c r="D52" s="45"/>
      <c r="F52" s="222"/>
      <c r="G52" s="237"/>
      <c r="H52" s="238"/>
      <c r="I52" s="238"/>
      <c r="J52" s="23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08B07-FE9D-4D68-8214-92E1CE75A92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0" t="s">
        <v>1</v>
      </c>
      <c r="O1" s="100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1" t="s">
        <v>7</v>
      </c>
      <c r="B4" s="102"/>
      <c r="C4" s="102"/>
      <c r="D4" s="103"/>
      <c r="F4" s="104" t="s">
        <v>8</v>
      </c>
      <c r="G4" s="106">
        <v>2</v>
      </c>
      <c r="H4" s="108" t="s">
        <v>9</v>
      </c>
      <c r="I4" s="110">
        <v>45971</v>
      </c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5"/>
      <c r="B6" s="16" t="s">
        <v>15</v>
      </c>
      <c r="C6" s="10"/>
      <c r="D6" s="13">
        <f t="shared" ref="D6:D28" si="1">C6*L6</f>
        <v>0</v>
      </c>
      <c r="F6" s="117" t="s">
        <v>16</v>
      </c>
      <c r="G6" s="119" t="s">
        <v>134</v>
      </c>
      <c r="H6" s="120"/>
      <c r="I6" s="120"/>
      <c r="J6" s="12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5"/>
      <c r="B7" s="16" t="s">
        <v>18</v>
      </c>
      <c r="C7" s="10"/>
      <c r="D7" s="13">
        <f t="shared" si="1"/>
        <v>0</v>
      </c>
      <c r="F7" s="118"/>
      <c r="G7" s="122"/>
      <c r="H7" s="123"/>
      <c r="I7" s="123"/>
      <c r="J7" s="12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5"/>
      <c r="B8" s="16" t="s">
        <v>20</v>
      </c>
      <c r="C8" s="10"/>
      <c r="D8" s="13">
        <f t="shared" si="1"/>
        <v>0</v>
      </c>
      <c r="F8" s="125" t="s">
        <v>21</v>
      </c>
      <c r="G8" s="127" t="s">
        <v>114</v>
      </c>
      <c r="H8" s="128"/>
      <c r="I8" s="128"/>
      <c r="J8" s="1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5"/>
      <c r="B9" s="16" t="s">
        <v>23</v>
      </c>
      <c r="C9" s="10"/>
      <c r="D9" s="13">
        <f t="shared" si="1"/>
        <v>0</v>
      </c>
      <c r="F9" s="118"/>
      <c r="G9" s="130"/>
      <c r="H9" s="131"/>
      <c r="I9" s="131"/>
      <c r="J9" s="1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5"/>
      <c r="B10" t="s">
        <v>25</v>
      </c>
      <c r="C10" s="10"/>
      <c r="D10" s="13">
        <f t="shared" si="1"/>
        <v>0</v>
      </c>
      <c r="F10" s="117" t="s">
        <v>26</v>
      </c>
      <c r="G10" s="133" t="s">
        <v>115</v>
      </c>
      <c r="H10" s="134"/>
      <c r="I10" s="134"/>
      <c r="J10" s="135"/>
      <c r="K10" s="8"/>
      <c r="L10" s="6">
        <f>R36</f>
        <v>972</v>
      </c>
      <c r="P10" s="4"/>
      <c r="Q10" s="4"/>
      <c r="R10" s="5"/>
    </row>
    <row r="11" spans="1:18" ht="15.75" x14ac:dyDescent="0.25">
      <c r="A11" s="115"/>
      <c r="B11" s="17" t="s">
        <v>28</v>
      </c>
      <c r="C11" s="10"/>
      <c r="D11" s="13">
        <f t="shared" si="1"/>
        <v>0</v>
      </c>
      <c r="F11" s="118"/>
      <c r="G11" s="130"/>
      <c r="H11" s="131"/>
      <c r="I11" s="131"/>
      <c r="J11" s="1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5"/>
      <c r="B12" s="17" t="s">
        <v>30</v>
      </c>
      <c r="C12" s="10"/>
      <c r="D12" s="48">
        <f t="shared" si="1"/>
        <v>0</v>
      </c>
      <c r="F12" s="136" t="s">
        <v>33</v>
      </c>
      <c r="G12" s="137"/>
      <c r="H12" s="137"/>
      <c r="I12" s="137"/>
      <c r="J12" s="1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5"/>
      <c r="B13" s="17" t="s">
        <v>32</v>
      </c>
      <c r="C13" s="10"/>
      <c r="D13" s="48">
        <f t="shared" si="1"/>
        <v>0</v>
      </c>
      <c r="F13" s="139" t="s">
        <v>36</v>
      </c>
      <c r="G13" s="140"/>
      <c r="H13" s="141">
        <f>D29</f>
        <v>0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5"/>
      <c r="B14" s="14" t="s">
        <v>35</v>
      </c>
      <c r="C14" s="10"/>
      <c r="D14" s="31">
        <f t="shared" si="1"/>
        <v>0</v>
      </c>
      <c r="F14" s="144" t="s">
        <v>39</v>
      </c>
      <c r="G14" s="145"/>
      <c r="H14" s="146">
        <f>D54</f>
        <v>0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5"/>
      <c r="B15" s="14" t="s">
        <v>38</v>
      </c>
      <c r="C15" s="10"/>
      <c r="D15" s="31">
        <f t="shared" si="1"/>
        <v>0</v>
      </c>
      <c r="F15" s="149" t="s">
        <v>40</v>
      </c>
      <c r="G15" s="140"/>
      <c r="H15" s="150">
        <f>H13-H14</f>
        <v>0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B17" t="s">
        <v>93</v>
      </c>
      <c r="C17" s="10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3"/>
      <c r="I19" s="233"/>
      <c r="J19" s="23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26"/>
      <c r="I20" s="126"/>
      <c r="J20" s="12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5"/>
      <c r="B22" s="46" t="s">
        <v>104</v>
      </c>
      <c r="C22" s="10"/>
      <c r="D22" s="48">
        <f t="shared" si="1"/>
        <v>0</v>
      </c>
      <c r="F22" s="72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 t="s">
        <v>107</v>
      </c>
      <c r="C23" s="10"/>
      <c r="D23" s="48">
        <f t="shared" si="1"/>
        <v>0</v>
      </c>
      <c r="F23" s="25"/>
      <c r="G23" s="37"/>
      <c r="H23" s="177"/>
      <c r="I23" s="178"/>
      <c r="J23" s="17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 t="s">
        <v>123</v>
      </c>
      <c r="C24" s="10"/>
      <c r="D24" s="48">
        <f t="shared" si="1"/>
        <v>0</v>
      </c>
      <c r="F24" s="38"/>
      <c r="G24" s="37"/>
      <c r="H24" s="177"/>
      <c r="I24" s="178"/>
      <c r="J24" s="17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 t="s">
        <v>105</v>
      </c>
      <c r="C26" s="10"/>
      <c r="D26" s="48">
        <f t="shared" si="1"/>
        <v>0</v>
      </c>
      <c r="F26" s="64"/>
      <c r="G26" s="10"/>
      <c r="H26" s="182"/>
      <c r="I26" s="183"/>
      <c r="J26" s="18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5"/>
      <c r="B27" s="14" t="s">
        <v>109</v>
      </c>
      <c r="C27" s="10"/>
      <c r="D27" s="44">
        <f t="shared" si="1"/>
        <v>0</v>
      </c>
      <c r="F27" s="14"/>
      <c r="G27" s="14"/>
      <c r="H27" s="185"/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 t="s">
        <v>97</v>
      </c>
      <c r="C28" s="10"/>
      <c r="D28" s="48">
        <f t="shared" si="1"/>
        <v>0</v>
      </c>
      <c r="F28" s="91"/>
      <c r="G28" s="61"/>
      <c r="H28" s="188"/>
      <c r="I28" s="189"/>
      <c r="J28" s="19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62" t="s">
        <v>55</v>
      </c>
      <c r="G29" s="163"/>
      <c r="H29" s="166">
        <f>H15-H16-H17-H18-H19-H20-H22-H23-H24+H26+H27</f>
        <v>0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4">
        <f>F34*G34</f>
        <v>0</v>
      </c>
      <c r="I34" s="195"/>
      <c r="J34" s="19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/>
      <c r="H35" s="194">
        <f t="shared" ref="H35:H39" si="2">F35*G35</f>
        <v>0</v>
      </c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/>
      <c r="D36" s="12">
        <f>C36*1.5</f>
        <v>0</v>
      </c>
      <c r="F36" s="12">
        <v>200</v>
      </c>
      <c r="G36" s="37"/>
      <c r="H36" s="194">
        <f>F36*G36</f>
        <v>0</v>
      </c>
      <c r="I36" s="195"/>
      <c r="J36" s="19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4">
        <f t="shared" si="2"/>
        <v>0</v>
      </c>
      <c r="I37" s="195"/>
      <c r="J37" s="19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5"/>
      <c r="B38" s="29" t="s">
        <v>68</v>
      </c>
      <c r="C38" s="54"/>
      <c r="D38" s="12">
        <f>C38*84</f>
        <v>0</v>
      </c>
      <c r="F38" s="30">
        <v>50</v>
      </c>
      <c r="G38" s="39"/>
      <c r="H38" s="194">
        <f t="shared" si="2"/>
        <v>0</v>
      </c>
      <c r="I38" s="195"/>
      <c r="J38" s="19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6"/>
      <c r="B39" s="29" t="s">
        <v>70</v>
      </c>
      <c r="C39" s="52"/>
      <c r="D39" s="31">
        <f>C39*4.5</f>
        <v>0</v>
      </c>
      <c r="F39" s="12">
        <v>20</v>
      </c>
      <c r="G39" s="37"/>
      <c r="H39" s="194">
        <f t="shared" si="2"/>
        <v>0</v>
      </c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5"/>
      <c r="B41" s="27" t="s">
        <v>68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6"/>
      <c r="B42" s="27" t="s">
        <v>70</v>
      </c>
      <c r="C42" s="11"/>
      <c r="D42" s="12">
        <f>C42*2.25</f>
        <v>0</v>
      </c>
      <c r="F42" s="39" t="s">
        <v>79</v>
      </c>
      <c r="G42" s="194"/>
      <c r="H42" s="195"/>
      <c r="I42" s="195"/>
      <c r="J42" s="19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94" t="s">
        <v>83</v>
      </c>
      <c r="H43" s="200" t="s">
        <v>13</v>
      </c>
      <c r="I43" s="201"/>
      <c r="J43" s="202"/>
      <c r="K43" s="21"/>
      <c r="P43" s="4"/>
      <c r="Q43" s="4"/>
      <c r="R43" s="5"/>
    </row>
    <row r="44" spans="1:18" ht="15.75" x14ac:dyDescent="0.25">
      <c r="A44" s="198"/>
      <c r="B44" s="27" t="s">
        <v>66</v>
      </c>
      <c r="C44" s="10"/>
      <c r="D44" s="12">
        <f>C44*120</f>
        <v>0</v>
      </c>
      <c r="F44" s="37"/>
      <c r="G44" s="62"/>
      <c r="H44" s="178"/>
      <c r="I44" s="178"/>
      <c r="J44" s="178"/>
      <c r="K44" s="21"/>
      <c r="P44" s="4"/>
      <c r="Q44" s="4"/>
      <c r="R44" s="5"/>
    </row>
    <row r="45" spans="1:18" ht="15.75" x14ac:dyDescent="0.25">
      <c r="A45" s="198"/>
      <c r="B45" s="27" t="s">
        <v>68</v>
      </c>
      <c r="C45" s="33"/>
      <c r="D45" s="12">
        <f>C45*84</f>
        <v>0</v>
      </c>
      <c r="F45" s="37"/>
      <c r="G45" s="62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/>
      <c r="D46" s="12">
        <f>C46*1.5</f>
        <v>0</v>
      </c>
      <c r="F46" s="37"/>
      <c r="G46" s="93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/>
      <c r="D48" s="12">
        <f>C48*78</f>
        <v>0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/>
      <c r="D49" s="12">
        <f>C49*42</f>
        <v>0</v>
      </c>
      <c r="F49" s="219" t="s">
        <v>86</v>
      </c>
      <c r="G49" s="166">
        <f>H34+H35+H36+H37+H38+H39+H40+H41+G42+H44+H45+H46</f>
        <v>0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/>
      <c r="D50" s="12">
        <f>C50*1.5</f>
        <v>0</v>
      </c>
      <c r="F50" s="220"/>
      <c r="G50" s="169"/>
      <c r="H50" s="170"/>
      <c r="I50" s="170"/>
      <c r="J50" s="171"/>
      <c r="P50" s="4"/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132</v>
      </c>
      <c r="G51" s="234">
        <f>G49-H29</f>
        <v>0</v>
      </c>
      <c r="H51" s="235"/>
      <c r="I51" s="235"/>
      <c r="J51" s="23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8"/>
      <c r="B52" s="29"/>
      <c r="C52" s="33"/>
      <c r="D52" s="45"/>
      <c r="F52" s="222"/>
      <c r="G52" s="237"/>
      <c r="H52" s="238"/>
      <c r="I52" s="238"/>
      <c r="J52" s="23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0</v>
      </c>
      <c r="F54" s="21"/>
      <c r="J54" s="34"/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C5632-DA67-4E27-82F5-95F137057FF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0" t="s">
        <v>1</v>
      </c>
      <c r="O1" s="100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1" t="s">
        <v>7</v>
      </c>
      <c r="B4" s="102"/>
      <c r="C4" s="102"/>
      <c r="D4" s="103"/>
      <c r="F4" s="104" t="s">
        <v>8</v>
      </c>
      <c r="G4" s="106">
        <v>3</v>
      </c>
      <c r="H4" s="108" t="s">
        <v>9</v>
      </c>
      <c r="I4" s="110">
        <v>45971</v>
      </c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5"/>
      <c r="B6" s="16" t="s">
        <v>15</v>
      </c>
      <c r="C6" s="10"/>
      <c r="D6" s="13">
        <f t="shared" ref="D6:D28" si="1">C6*L6</f>
        <v>0</v>
      </c>
      <c r="F6" s="117" t="s">
        <v>16</v>
      </c>
      <c r="G6" s="119" t="s">
        <v>111</v>
      </c>
      <c r="H6" s="120"/>
      <c r="I6" s="120"/>
      <c r="J6" s="12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5"/>
      <c r="B7" s="16" t="s">
        <v>18</v>
      </c>
      <c r="C7" s="10"/>
      <c r="D7" s="13">
        <f t="shared" si="1"/>
        <v>0</v>
      </c>
      <c r="F7" s="118"/>
      <c r="G7" s="122"/>
      <c r="H7" s="123"/>
      <c r="I7" s="123"/>
      <c r="J7" s="12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5"/>
      <c r="B8" s="16" t="s">
        <v>20</v>
      </c>
      <c r="C8" s="10"/>
      <c r="D8" s="13">
        <f t="shared" si="1"/>
        <v>0</v>
      </c>
      <c r="F8" s="125" t="s">
        <v>21</v>
      </c>
      <c r="G8" s="127" t="s">
        <v>119</v>
      </c>
      <c r="H8" s="128"/>
      <c r="I8" s="128"/>
      <c r="J8" s="1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5"/>
      <c r="B9" s="16" t="s">
        <v>23</v>
      </c>
      <c r="C9" s="10"/>
      <c r="D9" s="13">
        <f t="shared" si="1"/>
        <v>0</v>
      </c>
      <c r="F9" s="118"/>
      <c r="G9" s="130"/>
      <c r="H9" s="131"/>
      <c r="I9" s="131"/>
      <c r="J9" s="1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5"/>
      <c r="B10" t="s">
        <v>25</v>
      </c>
      <c r="C10" s="10"/>
      <c r="D10" s="13">
        <f t="shared" si="1"/>
        <v>0</v>
      </c>
      <c r="F10" s="117" t="s">
        <v>26</v>
      </c>
      <c r="G10" s="133" t="s">
        <v>137</v>
      </c>
      <c r="H10" s="134"/>
      <c r="I10" s="134"/>
      <c r="J10" s="135"/>
      <c r="K10" s="8"/>
      <c r="L10" s="6">
        <f>R36</f>
        <v>972</v>
      </c>
      <c r="P10" s="4"/>
      <c r="Q10" s="4"/>
      <c r="R10" s="5"/>
    </row>
    <row r="11" spans="1:18" ht="15.75" x14ac:dyDescent="0.25">
      <c r="A11" s="115"/>
      <c r="B11" s="17" t="s">
        <v>28</v>
      </c>
      <c r="C11" s="10"/>
      <c r="D11" s="13">
        <f t="shared" si="1"/>
        <v>0</v>
      </c>
      <c r="F11" s="118"/>
      <c r="G11" s="130"/>
      <c r="H11" s="131"/>
      <c r="I11" s="131"/>
      <c r="J11" s="1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5"/>
      <c r="B12" s="17" t="s">
        <v>30</v>
      </c>
      <c r="C12" s="10"/>
      <c r="D12" s="48">
        <f t="shared" si="1"/>
        <v>0</v>
      </c>
      <c r="F12" s="136" t="s">
        <v>33</v>
      </c>
      <c r="G12" s="137"/>
      <c r="H12" s="137"/>
      <c r="I12" s="137"/>
      <c r="J12" s="1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5"/>
      <c r="B13" s="17" t="s">
        <v>32</v>
      </c>
      <c r="C13" s="10"/>
      <c r="D13" s="48">
        <f t="shared" si="1"/>
        <v>0</v>
      </c>
      <c r="F13" s="139" t="s">
        <v>36</v>
      </c>
      <c r="G13" s="140"/>
      <c r="H13" s="141">
        <f>D29</f>
        <v>0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5"/>
      <c r="B14" s="14" t="s">
        <v>35</v>
      </c>
      <c r="C14" s="10"/>
      <c r="D14" s="31">
        <f t="shared" si="1"/>
        <v>0</v>
      </c>
      <c r="F14" s="144" t="s">
        <v>39</v>
      </c>
      <c r="G14" s="145"/>
      <c r="H14" s="146">
        <f>D54</f>
        <v>0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5"/>
      <c r="B15" s="14" t="s">
        <v>38</v>
      </c>
      <c r="C15" s="10"/>
      <c r="D15" s="31">
        <f t="shared" si="1"/>
        <v>0</v>
      </c>
      <c r="F15" s="149" t="s">
        <v>40</v>
      </c>
      <c r="G15" s="140"/>
      <c r="H15" s="150">
        <f>H13-H14</f>
        <v>0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B17" t="s">
        <v>113</v>
      </c>
      <c r="C17" s="10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0"/>
      <c r="I19" s="240"/>
      <c r="J19" s="24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3"/>
      <c r="I20" s="153"/>
      <c r="J20" s="15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5"/>
      <c r="B22" s="46" t="s">
        <v>104</v>
      </c>
      <c r="C22" s="10"/>
      <c r="D22" s="48">
        <f t="shared" si="1"/>
        <v>0</v>
      </c>
      <c r="F22" s="77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 t="s">
        <v>107</v>
      </c>
      <c r="C23" s="10"/>
      <c r="D23" s="48">
        <f t="shared" si="1"/>
        <v>0</v>
      </c>
      <c r="F23" s="78"/>
      <c r="G23" s="79"/>
      <c r="H23" s="177"/>
      <c r="I23" s="178"/>
      <c r="J23" s="17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 t="s">
        <v>101</v>
      </c>
      <c r="C24" s="10"/>
      <c r="D24" s="48">
        <f t="shared" si="1"/>
        <v>0</v>
      </c>
      <c r="F24" s="38"/>
      <c r="G24" s="37"/>
      <c r="H24" s="177"/>
      <c r="I24" s="178"/>
      <c r="J24" s="17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 t="s">
        <v>105</v>
      </c>
      <c r="C26" s="10"/>
      <c r="D26" s="48">
        <f t="shared" si="1"/>
        <v>0</v>
      </c>
      <c r="F26" s="64"/>
      <c r="G26" s="59"/>
      <c r="H26" s="182"/>
      <c r="I26" s="183"/>
      <c r="J26" s="18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5"/>
      <c r="B27" s="14" t="s">
        <v>109</v>
      </c>
      <c r="C27" s="10"/>
      <c r="D27" s="44">
        <f t="shared" si="1"/>
        <v>0</v>
      </c>
      <c r="F27" s="25"/>
      <c r="G27" s="80"/>
      <c r="H27" s="185"/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 t="s">
        <v>97</v>
      </c>
      <c r="C28" s="10"/>
      <c r="D28" s="48">
        <f t="shared" si="1"/>
        <v>0</v>
      </c>
      <c r="F28" s="91"/>
      <c r="G28" s="61"/>
      <c r="H28" s="188"/>
      <c r="I28" s="189"/>
      <c r="J28" s="19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62" t="s">
        <v>55</v>
      </c>
      <c r="G29" s="163"/>
      <c r="H29" s="166">
        <f>H15-H16-H17-H18-H19-H20-H22-H23-H24+H26+H27</f>
        <v>0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4">
        <f>F34*G34</f>
        <v>0</v>
      </c>
      <c r="I34" s="195"/>
      <c r="J34" s="19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/>
      <c r="H35" s="194">
        <f>F35*G35</f>
        <v>0</v>
      </c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/>
      <c r="D36" s="12">
        <f>C36*1.5</f>
        <v>0</v>
      </c>
      <c r="F36" s="12">
        <v>200</v>
      </c>
      <c r="G36" s="37"/>
      <c r="H36" s="194">
        <f t="shared" ref="H36:H39" si="2">F36*G36</f>
        <v>0</v>
      </c>
      <c r="I36" s="195"/>
      <c r="J36" s="19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4">
        <f t="shared" si="2"/>
        <v>0</v>
      </c>
      <c r="I37" s="195"/>
      <c r="J37" s="19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5"/>
      <c r="B38" s="29" t="s">
        <v>68</v>
      </c>
      <c r="C38" s="54"/>
      <c r="D38" s="12">
        <f>C38*84</f>
        <v>0</v>
      </c>
      <c r="F38" s="30">
        <v>50</v>
      </c>
      <c r="G38" s="39"/>
      <c r="H38" s="194">
        <f t="shared" si="2"/>
        <v>0</v>
      </c>
      <c r="I38" s="195"/>
      <c r="J38" s="19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6"/>
      <c r="B39" s="29" t="s">
        <v>70</v>
      </c>
      <c r="C39" s="52"/>
      <c r="D39" s="31">
        <f>C39*4.5</f>
        <v>0</v>
      </c>
      <c r="F39" s="12">
        <v>20</v>
      </c>
      <c r="G39" s="37"/>
      <c r="H39" s="194">
        <f t="shared" si="2"/>
        <v>0</v>
      </c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5"/>
      <c r="B41" s="27" t="s">
        <v>68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6"/>
      <c r="B42" s="27" t="s">
        <v>70</v>
      </c>
      <c r="C42" s="11"/>
      <c r="D42" s="12">
        <f>C42*2.25</f>
        <v>0</v>
      </c>
      <c r="F42" s="39" t="s">
        <v>79</v>
      </c>
      <c r="G42" s="194"/>
      <c r="H42" s="195"/>
      <c r="I42" s="195"/>
      <c r="J42" s="19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94" t="s">
        <v>83</v>
      </c>
      <c r="H43" s="200" t="s">
        <v>13</v>
      </c>
      <c r="I43" s="201"/>
      <c r="J43" s="202"/>
      <c r="K43" s="21"/>
      <c r="P43" s="4"/>
      <c r="Q43" s="4"/>
      <c r="R43" s="5"/>
    </row>
    <row r="44" spans="1:18" ht="15.75" x14ac:dyDescent="0.25">
      <c r="A44" s="198"/>
      <c r="B44" s="27" t="s">
        <v>66</v>
      </c>
      <c r="C44" s="10"/>
      <c r="D44" s="12">
        <f>C44*120</f>
        <v>0</v>
      </c>
      <c r="F44" s="37"/>
      <c r="G44" s="76"/>
      <c r="H44" s="178"/>
      <c r="I44" s="178"/>
      <c r="J44" s="178"/>
      <c r="K44" s="21"/>
      <c r="P44" s="4"/>
      <c r="Q44" s="4"/>
      <c r="R44" s="5"/>
    </row>
    <row r="45" spans="1:18" ht="15.75" x14ac:dyDescent="0.25">
      <c r="A45" s="198"/>
      <c r="B45" s="27" t="s">
        <v>68</v>
      </c>
      <c r="C45" s="33"/>
      <c r="D45" s="12">
        <f>C45*84</f>
        <v>0</v>
      </c>
      <c r="F45" s="37"/>
      <c r="G45" s="76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/>
      <c r="D46" s="12">
        <f>C46*1.5</f>
        <v>0</v>
      </c>
      <c r="F46" s="37"/>
      <c r="G46" s="62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/>
      <c r="D48" s="12">
        <f>C48*78</f>
        <v>0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/>
      <c r="D49" s="12">
        <f>C49*42</f>
        <v>0</v>
      </c>
      <c r="F49" s="219" t="s">
        <v>86</v>
      </c>
      <c r="G49" s="166">
        <f>H34+H35+H36+H37+H38+H39+H40+H41+G42+H44+H45+H46</f>
        <v>0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/>
      <c r="D50" s="12">
        <f>C50*1.5</f>
        <v>0</v>
      </c>
      <c r="F50" s="220"/>
      <c r="G50" s="169"/>
      <c r="H50" s="170"/>
      <c r="I50" s="170"/>
      <c r="J50" s="171"/>
      <c r="P50" s="4"/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142</v>
      </c>
      <c r="G51" s="234">
        <f>G49-H29</f>
        <v>0</v>
      </c>
      <c r="H51" s="235"/>
      <c r="I51" s="235"/>
      <c r="J51" s="23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8"/>
      <c r="B52" s="29"/>
      <c r="C52" s="33"/>
      <c r="D52" s="45"/>
      <c r="F52" s="222"/>
      <c r="G52" s="237"/>
      <c r="H52" s="238"/>
      <c r="I52" s="238"/>
      <c r="J52" s="23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0</v>
      </c>
      <c r="F54" s="21"/>
      <c r="J54" s="34"/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30</vt:i4>
      </vt:variant>
      <vt:variant>
        <vt:lpstr>Named Ranges</vt:lpstr>
      </vt:variant>
      <vt:variant>
        <vt:i4>29</vt:i4>
      </vt:variant>
    </vt:vector>
  </HeadingPairs>
  <TitlesOfParts>
    <vt:vector size="59" baseType="lpstr">
      <vt:lpstr>(November 2025)</vt:lpstr>
      <vt:lpstr>(03)</vt:lpstr>
      <vt:lpstr>03,11 R1</vt:lpstr>
      <vt:lpstr>03,11 R2</vt:lpstr>
      <vt:lpstr>03,11 R3</vt:lpstr>
      <vt:lpstr>(4)</vt:lpstr>
      <vt:lpstr>04,11 R1 No Trip</vt:lpstr>
      <vt:lpstr>04,11 R2</vt:lpstr>
      <vt:lpstr>04,11 R3-A</vt:lpstr>
      <vt:lpstr>04,11 R3-B</vt:lpstr>
      <vt:lpstr>(5)</vt:lpstr>
      <vt:lpstr>05,11 R1</vt:lpstr>
      <vt:lpstr>05,11 R2</vt:lpstr>
      <vt:lpstr>05,11 R3</vt:lpstr>
      <vt:lpstr>(6)</vt:lpstr>
      <vt:lpstr>06,11 R1</vt:lpstr>
      <vt:lpstr>06,11 R2</vt:lpstr>
      <vt:lpstr>06,11 R3</vt:lpstr>
      <vt:lpstr>(7)</vt:lpstr>
      <vt:lpstr>07,11 R1</vt:lpstr>
      <vt:lpstr>07,11 R2</vt:lpstr>
      <vt:lpstr>07,11 R3</vt:lpstr>
      <vt:lpstr>(8)</vt:lpstr>
      <vt:lpstr>08,11 R1</vt:lpstr>
      <vt:lpstr>08,11 R2</vt:lpstr>
      <vt:lpstr>08,11 R3</vt:lpstr>
      <vt:lpstr>(10)</vt:lpstr>
      <vt:lpstr>10,11 R1</vt:lpstr>
      <vt:lpstr>10,11 R2</vt:lpstr>
      <vt:lpstr>10,11 R3</vt:lpstr>
      <vt:lpstr>'(03)'!Print_Area</vt:lpstr>
      <vt:lpstr>'(10)'!Print_Area</vt:lpstr>
      <vt:lpstr>'(4)'!Print_Area</vt:lpstr>
      <vt:lpstr>'(5)'!Print_Area</vt:lpstr>
      <vt:lpstr>'(6)'!Print_Area</vt:lpstr>
      <vt:lpstr>'(7)'!Print_Area</vt:lpstr>
      <vt:lpstr>'(8)'!Print_Area</vt:lpstr>
      <vt:lpstr>'03,11 R1'!Print_Area</vt:lpstr>
      <vt:lpstr>'03,11 R2'!Print_Area</vt:lpstr>
      <vt:lpstr>'03,11 R3'!Print_Area</vt:lpstr>
      <vt:lpstr>'04,11 R1 No Trip'!Print_Area</vt:lpstr>
      <vt:lpstr>'04,11 R2'!Print_Area</vt:lpstr>
      <vt:lpstr>'04,11 R3-A'!Print_Area</vt:lpstr>
      <vt:lpstr>'04,11 R3-B'!Print_Area</vt:lpstr>
      <vt:lpstr>'05,11 R1'!Print_Area</vt:lpstr>
      <vt:lpstr>'05,11 R2'!Print_Area</vt:lpstr>
      <vt:lpstr>'05,11 R3'!Print_Area</vt:lpstr>
      <vt:lpstr>'06,11 R1'!Print_Area</vt:lpstr>
      <vt:lpstr>'06,11 R2'!Print_Area</vt:lpstr>
      <vt:lpstr>'06,11 R3'!Print_Area</vt:lpstr>
      <vt:lpstr>'07,11 R1'!Print_Area</vt:lpstr>
      <vt:lpstr>'07,11 R2'!Print_Area</vt:lpstr>
      <vt:lpstr>'07,11 R3'!Print_Area</vt:lpstr>
      <vt:lpstr>'08,11 R1'!Print_Area</vt:lpstr>
      <vt:lpstr>'08,11 R2'!Print_Area</vt:lpstr>
      <vt:lpstr>'08,11 R3'!Print_Area</vt:lpstr>
      <vt:lpstr>'10,11 R1'!Print_Area</vt:lpstr>
      <vt:lpstr>'10,11 R2'!Print_Area</vt:lpstr>
      <vt:lpstr>'10,11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2025-11-07T01:11:09Z</cp:lastPrinted>
  <dcterms:created xsi:type="dcterms:W3CDTF">2024-09-01T23:36:50Z</dcterms:created>
  <dcterms:modified xsi:type="dcterms:W3CDTF">2025-11-07T01:11:35Z</dcterms:modified>
</cp:coreProperties>
</file>