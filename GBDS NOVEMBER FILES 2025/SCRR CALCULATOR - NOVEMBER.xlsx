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2ACC1B5D-2D0B-4E63-86AB-ACFFFEDE31E1}" xr6:coauthVersionLast="45" xr6:coauthVersionMax="47" xr10:uidLastSave="{00000000-0000-0000-0000-000000000000}"/>
  <bookViews>
    <workbookView xWindow="-120" yWindow="-120" windowWidth="29040" windowHeight="15840" firstSheet="10" activeTab="17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</sheets>
  <definedNames>
    <definedName name="_xlnm.Print_Area" localSheetId="1">'(03)'!$A$1:$J$60</definedName>
    <definedName name="_xlnm.Print_Area" localSheetId="26">'(10)'!$A$1:$J$60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458" l="1"/>
  <c r="L25" i="1454" l="1"/>
  <c r="C21" i="1453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G49" i="1470" s="1"/>
  <c r="D34" i="1470"/>
  <c r="D54" i="1470" s="1"/>
  <c r="H14" i="1470" s="1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G49" i="1469" s="1"/>
  <c r="D36" i="1469"/>
  <c r="R35" i="1469"/>
  <c r="L19" i="1469" s="1"/>
  <c r="D19" i="1469" s="1"/>
  <c r="H35" i="1469"/>
  <c r="D35" i="1469"/>
  <c r="R34" i="1469"/>
  <c r="H34" i="1469"/>
  <c r="D34" i="1469"/>
  <c r="D54" i="1469" s="1"/>
  <c r="H14" i="1469" s="1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G49" i="1468" s="1"/>
  <c r="D34" i="1468"/>
  <c r="D54" i="1468" s="1"/>
  <c r="H14" i="1468" s="1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G49" i="1466" s="1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D54" i="1466" s="1"/>
  <c r="H14" i="1466" s="1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G49" i="1465" s="1"/>
  <c r="D34" i="1465"/>
  <c r="D54" i="1465" s="1"/>
  <c r="H14" i="1465" s="1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D29" i="1465" s="1"/>
  <c r="H13" i="1465" s="1"/>
  <c r="H15" i="1465" s="1"/>
  <c r="H29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G49" i="1464" s="1"/>
  <c r="D34" i="1464"/>
  <c r="D54" i="1464" s="1"/>
  <c r="H14" i="1464" s="1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G49" i="1462" s="1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D54" i="1462" s="1"/>
  <c r="H14" i="1462" s="1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G49" i="1460" s="1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D54" i="1460" s="1"/>
  <c r="H14" i="1460" s="1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D29" i="1460" s="1"/>
  <c r="H13" i="1460" s="1"/>
  <c r="H15" i="1460" s="1"/>
  <c r="H29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57" l="1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H15" i="1470" s="1"/>
  <c r="H29" i="1470" s="1"/>
  <c r="G51" i="1470" s="1"/>
  <c r="D29" i="1469"/>
  <c r="H13" i="1469" s="1"/>
  <c r="H15" i="1469" s="1"/>
  <c r="H29" i="1469" s="1"/>
  <c r="G51" i="1469" s="1"/>
  <c r="D29" i="1468"/>
  <c r="H13" i="1468" s="1"/>
  <c r="H15" i="1468" s="1"/>
  <c r="H29" i="1468" s="1"/>
  <c r="G51" i="1468"/>
  <c r="G51" i="1467"/>
  <c r="D29" i="1466"/>
  <c r="H13" i="1466" s="1"/>
  <c r="H15" i="1466" s="1"/>
  <c r="H29" i="1466" s="1"/>
  <c r="G51" i="1466" s="1"/>
  <c r="G51" i="1465"/>
  <c r="D29" i="1464"/>
  <c r="H13" i="1464" s="1"/>
  <c r="H15" i="1464" s="1"/>
  <c r="H29" i="1464" s="1"/>
  <c r="G51" i="1464" s="1"/>
  <c r="D29" i="1463"/>
  <c r="H13" i="1463" s="1"/>
  <c r="H15" i="1463" s="1"/>
  <c r="H29" i="1463" s="1"/>
  <c r="G51" i="1463" s="1"/>
  <c r="D29" i="1462"/>
  <c r="H13" i="1462" s="1"/>
  <c r="H15" i="1462" s="1"/>
  <c r="H29" i="1462" s="1"/>
  <c r="G51" i="1462"/>
  <c r="D29" i="1461"/>
  <c r="H13" i="1461" s="1"/>
  <c r="H15" i="1461" s="1"/>
  <c r="H29" i="1461" s="1"/>
  <c r="G51" i="1461"/>
  <c r="G51" i="1460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58" l="1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<sst xmlns="http://schemas.openxmlformats.org/spreadsheetml/2006/main" count="3825" uniqueCount="162">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</sst>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2979FA-D15F-4B41-BE69-427949040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C9035D-F6B5-47B4-8B16-89987DB7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87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8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45964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>
        <v>189</v>
      </c>
      <c r="D6" s="13">
        <f t="shared" ref="D6:D28" si="1">C6*L6</f>
        <v>139293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>
        <v>10</v>
      </c>
      <c r="D7" s="13">
        <f t="shared" si="1"/>
        <v>7250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>
        <v>1</v>
      </c>
      <c r="D8" s="13">
        <f t="shared" si="1"/>
        <v>1033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>
        <v>21</v>
      </c>
      <c r="D9" s="13">
        <f t="shared" si="1"/>
        <v>14847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>
        <v>1</v>
      </c>
      <c r="D11" s="13">
        <f t="shared" si="1"/>
        <v>1125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>
        <f>1+1</f>
        <v>2</v>
      </c>
      <c r="D12" s="48">
        <f t="shared" si="1"/>
        <v>1904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>
        <f>7</f>
        <v>7</v>
      </c>
      <c r="D13" s="48">
        <f t="shared" si="1"/>
        <v>2149</v>
      </c>
      <c r="F13" s="228" t="s">
        <v>36</v>
      </c>
      <c r="G13" s="192"/>
      <c r="H13" s="183">
        <f>D29</f>
        <v>176285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>
        <v>18</v>
      </c>
      <c r="D14" s="31">
        <f t="shared" si="1"/>
        <v>198</v>
      </c>
      <c r="F14" s="186" t="s">
        <v>39</v>
      </c>
      <c r="G14" s="187"/>
      <c r="H14" s="188">
        <f>D54</f>
        <v>26221.5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150063.5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39">
        <v>87612</v>
      </c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8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>
        <v>1</v>
      </c>
      <c r="D28" s="48">
        <f t="shared" si="1"/>
        <v>785</v>
      </c>
      <c r="F28" s="87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176285</v>
      </c>
      <c r="F29" s="100" t="s">
        <v>55</v>
      </c>
      <c r="G29" s="162"/>
      <c r="H29" s="122">
        <f>H15-H16-H17-H18-H19-H20-H22-H23-H24+H26+H27+H28</f>
        <v>237675.5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44">
        <f t="shared" ref="H34:H39" si="2">F34*G34</f>
        <v>120000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44">
        <f t="shared" si="2"/>
        <v>24000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44">
        <f t="shared" si="2"/>
        <v>200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44">
        <f t="shared" si="2"/>
        <v>3500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44">
        <f t="shared" si="2"/>
        <v>250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6</v>
      </c>
      <c r="D42" s="12">
        <f>C42*2.25</f>
        <v>13.5</v>
      </c>
      <c r="F42" s="39" t="s">
        <v>79</v>
      </c>
      <c r="G42" s="144">
        <v>2143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8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39">
        <v>87612</v>
      </c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>
        <v>3</v>
      </c>
      <c r="D45" s="12">
        <f>C45*84</f>
        <v>252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237705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22</v>
      </c>
      <c r="D50" s="12">
        <f>C50*1.5</f>
        <v>33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143</v>
      </c>
      <c r="G51" s="130">
        <f>G49-H29</f>
        <v>29.5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45964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329</v>
      </c>
      <c r="D6" s="13">
        <f t="shared" ref="D6:D28" si="1">C6*L6</f>
        <v>242473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13</v>
      </c>
      <c r="D9" s="13">
        <f t="shared" si="1"/>
        <v>9191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228" t="s">
        <v>36</v>
      </c>
      <c r="G13" s="192"/>
      <c r="H13" s="183">
        <f>D29</f>
        <v>254855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11</v>
      </c>
      <c r="D14" s="31">
        <f t="shared" si="1"/>
        <v>121</v>
      </c>
      <c r="F14" s="186" t="s">
        <v>39</v>
      </c>
      <c r="G14" s="187"/>
      <c r="H14" s="188">
        <f>D54</f>
        <v>38556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216299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1998+1071</f>
        <v>3069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87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254855</v>
      </c>
      <c r="F29" s="100" t="s">
        <v>55</v>
      </c>
      <c r="G29" s="162"/>
      <c r="H29" s="122">
        <f>H15-H16-H17-H18-H19-H20-H22-H23-H24+H26+H27</f>
        <v>213230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44">
        <f>F34*G34</f>
        <v>73000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44">
        <f t="shared" ref="H35:H39" si="2">F35*G35</f>
        <v>4500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4">
        <f>F36*G36</f>
        <v>400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>
        <v>105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8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39">
        <v>134760</v>
      </c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85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10</v>
      </c>
      <c r="D49" s="12">
        <f>C49*42</f>
        <v>420</v>
      </c>
      <c r="F49" s="120" t="s">
        <v>86</v>
      </c>
      <c r="G49" s="122">
        <f>H34+H35+H36+H37+H38+H39+H40+H41+G42+H44+H45+H46</f>
        <v>212765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10</v>
      </c>
      <c r="D50" s="12">
        <f>C50*1.5</f>
        <v>15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-465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38556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45964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264</v>
      </c>
      <c r="D6" s="13">
        <f t="shared" ref="D6:D28" si="1">C6*L6</f>
        <v>194568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3625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44</v>
      </c>
      <c r="D9" s="13">
        <f t="shared" si="1"/>
        <v>31108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972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1125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1</f>
        <v>1</v>
      </c>
      <c r="D12" s="48">
        <f t="shared" si="1"/>
        <v>952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5</v>
      </c>
      <c r="D13" s="48">
        <f t="shared" si="1"/>
        <v>1535</v>
      </c>
      <c r="F13" s="228" t="s">
        <v>36</v>
      </c>
      <c r="G13" s="192"/>
      <c r="H13" s="183">
        <f>D29</f>
        <v>237953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13</v>
      </c>
      <c r="D14" s="31">
        <f t="shared" si="1"/>
        <v>143</v>
      </c>
      <c r="F14" s="186" t="s">
        <v>39</v>
      </c>
      <c r="G14" s="187"/>
      <c r="H14" s="188">
        <f>D54</f>
        <v>37326.75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200626.25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840+990</f>
        <v>1830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>
        <v>5</v>
      </c>
      <c r="D28" s="48">
        <f t="shared" si="1"/>
        <v>3925</v>
      </c>
      <c r="F28" s="87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237953</v>
      </c>
      <c r="F29" s="100" t="s">
        <v>55</v>
      </c>
      <c r="G29" s="162"/>
      <c r="H29" s="122">
        <f>H15-H16-H17-H18-H19-H20-H22-H23-H24+H26+H27</f>
        <v>198796.25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44">
        <f>F34*G34</f>
        <v>103000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44">
        <f>F35*G35</f>
        <v>10000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44">
        <f t="shared" si="2"/>
        <v>700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44">
        <f t="shared" si="2"/>
        <v>150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4">
        <v>521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8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39">
        <v>84520</v>
      </c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>
        <v>1</v>
      </c>
      <c r="D45" s="12">
        <f>C45*84</f>
        <v>84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>
        <v>3</v>
      </c>
      <c r="D46" s="12">
        <f>C46*1.5</f>
        <v>4.5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198891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3</v>
      </c>
      <c r="D50" s="12">
        <f>C50*1.5</f>
        <v>4.5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143</v>
      </c>
      <c r="G51" s="130">
        <f>G49-H29</f>
        <v>94.75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37326.75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342</v>
      </c>
      <c r="D6" s="13">
        <f t="shared" ref="D6:D28" si="1">C6*L6</f>
        <v>252054</v>
      </c>
      <c r="F6" s="207" t="s">
        <v>16</v>
      </c>
      <c r="G6" s="209" t="s">
        <v>150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10</v>
      </c>
      <c r="D7" s="13">
        <f t="shared" si="1"/>
        <v>7250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50</v>
      </c>
      <c r="D9" s="13">
        <f t="shared" si="1"/>
        <v>35350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15</v>
      </c>
      <c r="D13" s="48">
        <f t="shared" si="1"/>
        <v>4605</v>
      </c>
      <c r="F13" s="228" t="s">
        <v>36</v>
      </c>
      <c r="G13" s="192"/>
      <c r="H13" s="183">
        <f>D29</f>
        <v>299270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</v>
      </c>
      <c r="D14" s="31">
        <f t="shared" si="1"/>
        <v>11</v>
      </c>
      <c r="F14" s="186" t="s">
        <v>39</v>
      </c>
      <c r="G14" s="187"/>
      <c r="H14" s="188">
        <f>D54</f>
        <v>49524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249746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399*9</f>
        <v>3591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299270</v>
      </c>
      <c r="F29" s="100" t="s">
        <v>55</v>
      </c>
      <c r="G29" s="162"/>
      <c r="H29" s="122">
        <f>H15-H16-H17-H18-H19-H20-H22-H23-H24+H26+H27</f>
        <v>246155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44">
        <f>F34*G34</f>
        <v>103000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44">
        <f t="shared" ref="H35:H39" si="2">F35*G35</f>
        <v>57500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4">
        <f>F36*G36</f>
        <v>200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44">
        <f t="shared" si="2"/>
        <v>70800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44">
        <f t="shared" si="2"/>
        <v>15250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>
        <v>20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31</v>
      </c>
      <c r="D49" s="12">
        <f>C49*42</f>
        <v>1302</v>
      </c>
      <c r="F49" s="120" t="s">
        <v>86</v>
      </c>
      <c r="G49" s="122">
        <f>H34+H35+H36+H37+H38+H39+H40+H41+G42+H44+H45+H46</f>
        <v>246770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156</v>
      </c>
      <c r="G51" s="130">
        <f>G49-H29</f>
        <v>615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49524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 t="s">
        <v>152</v>
      </c>
      <c r="H4" s="201" t="s">
        <v>9</v>
      </c>
      <c r="I4" s="203">
        <v>45965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703</v>
      </c>
      <c r="D6" s="13">
        <f t="shared" ref="D6:D28" si="1">C6*L6</f>
        <v>518111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16</v>
      </c>
      <c r="D7" s="13">
        <f t="shared" si="1"/>
        <v>11600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2</v>
      </c>
      <c r="D8" s="13">
        <f t="shared" si="1"/>
        <v>2066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147</v>
      </c>
      <c r="D9" s="13">
        <f t="shared" si="1"/>
        <v>103929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2</v>
      </c>
      <c r="D10" s="13">
        <f t="shared" si="1"/>
        <v>1944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3</v>
      </c>
      <c r="D11" s="13">
        <f t="shared" si="1"/>
        <v>3375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2+1</f>
        <v>3</v>
      </c>
      <c r="D12" s="48">
        <f t="shared" si="1"/>
        <v>2856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35</v>
      </c>
      <c r="D13" s="48">
        <f t="shared" si="1"/>
        <v>10745</v>
      </c>
      <c r="F13" s="228" t="s">
        <v>36</v>
      </c>
      <c r="G13" s="192"/>
      <c r="H13" s="183">
        <f>D29</f>
        <v>654670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4</v>
      </c>
      <c r="D14" s="31">
        <f t="shared" si="1"/>
        <v>44</v>
      </c>
      <c r="F14" s="186" t="s">
        <v>39</v>
      </c>
      <c r="G14" s="187"/>
      <c r="H14" s="188">
        <f>D54</f>
        <v>112054.5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542615.5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1794+3000+672</f>
        <v>5466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654670</v>
      </c>
      <c r="F29" s="100" t="s">
        <v>55</v>
      </c>
      <c r="G29" s="162"/>
      <c r="H29" s="122">
        <f>H15-H16-H17-H18-H19-H20-H22-H23-H24+H26+H27</f>
        <v>537149.5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44">
        <f>F34*G34</f>
        <v>29000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44">
        <f>F35*G35</f>
        <v>23000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44">
        <f t="shared" si="2"/>
        <v>200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44">
        <f t="shared" si="2"/>
        <v>50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8</v>
      </c>
      <c r="D42" s="12">
        <f>C42*2.25</f>
        <v>18</v>
      </c>
      <c r="F42" s="39" t="s">
        <v>79</v>
      </c>
      <c r="G42" s="144">
        <v>40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39">
        <v>302372</v>
      </c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39">
        <v>182588</v>
      </c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>
        <v>5</v>
      </c>
      <c r="D46" s="12">
        <f>C46*1.5</f>
        <v>7.5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8</v>
      </c>
      <c r="D49" s="12">
        <f>C49*42</f>
        <v>336</v>
      </c>
      <c r="F49" s="120" t="s">
        <v>86</v>
      </c>
      <c r="G49" s="122">
        <f>H34+H35+H36+H37+H38+H39+H40+H41+G42+H44+H45+H46</f>
        <v>537250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143</v>
      </c>
      <c r="G51" s="130">
        <f>G49-H29</f>
        <v>100.5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112054.5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 t="s">
        <v>153</v>
      </c>
      <c r="H4" s="201" t="s">
        <v>9</v>
      </c>
      <c r="I4" s="203">
        <v>45965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213</v>
      </c>
      <c r="D6" s="13">
        <f t="shared" ref="D6:D28" si="1">C6*L6</f>
        <v>156981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4</v>
      </c>
      <c r="D7" s="13">
        <f t="shared" si="1"/>
        <v>2900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</v>
      </c>
      <c r="D9" s="13">
        <f t="shared" si="1"/>
        <v>7070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7</v>
      </c>
      <c r="D13" s="48">
        <f t="shared" si="1"/>
        <v>2149</v>
      </c>
      <c r="F13" s="228" t="s">
        <v>36</v>
      </c>
      <c r="G13" s="192"/>
      <c r="H13" s="183">
        <f>D29</f>
        <v>169353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23</v>
      </c>
      <c r="D14" s="31">
        <f t="shared" si="1"/>
        <v>253</v>
      </c>
      <c r="F14" s="186" t="s">
        <v>39</v>
      </c>
      <c r="G14" s="187"/>
      <c r="H14" s="188">
        <f>D54</f>
        <v>32837.25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136515.75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936+324</f>
        <v>1260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6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169353</v>
      </c>
      <c r="F29" s="100" t="s">
        <v>55</v>
      </c>
      <c r="G29" s="162"/>
      <c r="H29" s="122">
        <f>H15-H16-H17-H18-H19-H20-H22-H23-H24+H26+H27</f>
        <v>135255.75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44">
        <f>F34*G34</f>
        <v>98000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44">
        <f>F35*G35</f>
        <v>36500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44">
        <f t="shared" si="2"/>
        <v>500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4">
        <v>22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8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>
        <v>25</v>
      </c>
      <c r="D46" s="12">
        <f>C46*1.5</f>
        <v>37.5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3</v>
      </c>
      <c r="D49" s="12">
        <f>C49*42</f>
        <v>126</v>
      </c>
      <c r="F49" s="120" t="s">
        <v>86</v>
      </c>
      <c r="G49" s="122">
        <f>H34+H35+H36+H37+H38+H39+H40+H41+G42+H44+H45+H46</f>
        <v>135022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20</v>
      </c>
      <c r="D50" s="12">
        <f>C50*1.5</f>
        <v>30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-233.75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32837.25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45966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>
        <v>291</v>
      </c>
      <c r="D6" s="13">
        <f t="shared" ref="D6:D28" si="1">C6*L6</f>
        <v>214467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>
        <v>5</v>
      </c>
      <c r="D7" s="13">
        <f t="shared" si="1"/>
        <v>3625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>
        <v>25</v>
      </c>
      <c r="D9" s="13">
        <f t="shared" si="1"/>
        <v>17675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>
        <v>5</v>
      </c>
      <c r="D13" s="48">
        <f t="shared" si="1"/>
        <v>1535</v>
      </c>
      <c r="F13" s="228" t="s">
        <v>36</v>
      </c>
      <c r="G13" s="192"/>
      <c r="H13" s="183">
        <f>D29</f>
        <v>238949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>
        <v>7</v>
      </c>
      <c r="D14" s="31">
        <f t="shared" si="1"/>
        <v>77</v>
      </c>
      <c r="F14" s="186" t="s">
        <v>39</v>
      </c>
      <c r="G14" s="187"/>
      <c r="H14" s="188">
        <f>D54</f>
        <v>35661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203288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>
        <v>2</v>
      </c>
      <c r="D28" s="48">
        <f t="shared" si="1"/>
        <v>1570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238949</v>
      </c>
      <c r="F29" s="100" t="s">
        <v>55</v>
      </c>
      <c r="G29" s="162"/>
      <c r="H29" s="122">
        <f>H15-H16-H17-H18-H19-H20-H22-H23-H24+H26+H27+H28</f>
        <v>203288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44">
        <f t="shared" ref="H34:H39" si="2">F34*G34</f>
        <v>119000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44">
        <f t="shared" si="2"/>
        <v>40000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4">
        <f t="shared" si="2"/>
        <v>400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44">
        <f t="shared" si="2"/>
        <v>11300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44">
        <f t="shared" si="2"/>
        <v>1500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44">
        <f t="shared" si="2"/>
        <v>20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>
        <v>394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 t="s">
        <v>157</v>
      </c>
      <c r="G44" s="62"/>
      <c r="H44" s="139">
        <v>30000</v>
      </c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>
        <v>15</v>
      </c>
      <c r="D46" s="12">
        <f>C46*1.5</f>
        <v>22.5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1</v>
      </c>
      <c r="D49" s="12">
        <f>C49*42</f>
        <v>42</v>
      </c>
      <c r="F49" s="120" t="s">
        <v>86</v>
      </c>
      <c r="G49" s="122">
        <f>H34+H35+H36+H37+H38+H39+H40+H41+G42+H44+H45+H46</f>
        <v>202614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15</v>
      </c>
      <c r="D50" s="12">
        <f>C50*1.5</f>
        <v>22.5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-674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45966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268</v>
      </c>
      <c r="D6" s="13">
        <f t="shared" ref="D6:D28" si="1">C6*L6</f>
        <v>197516</v>
      </c>
      <c r="F6" s="207" t="s">
        <v>16</v>
      </c>
      <c r="G6" s="209" t="s">
        <v>150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3625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15</v>
      </c>
      <c r="D9" s="13">
        <f t="shared" si="1"/>
        <v>10605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6</v>
      </c>
      <c r="D12" s="48">
        <f t="shared" si="1"/>
        <v>5712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11</v>
      </c>
      <c r="D13" s="48">
        <f t="shared" si="1"/>
        <v>3377</v>
      </c>
      <c r="F13" s="228" t="s">
        <v>36</v>
      </c>
      <c r="G13" s="192"/>
      <c r="H13" s="183">
        <f>D29</f>
        <v>236512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7</v>
      </c>
      <c r="D14" s="31">
        <f t="shared" si="1"/>
        <v>77</v>
      </c>
      <c r="F14" s="186" t="s">
        <v>39</v>
      </c>
      <c r="G14" s="187"/>
      <c r="H14" s="188">
        <f>D54</f>
        <v>59487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177025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v>1683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236512</v>
      </c>
      <c r="F29" s="100" t="s">
        <v>55</v>
      </c>
      <c r="G29" s="162"/>
      <c r="H29" s="122">
        <f>H15-H16-H17-H18-H19-H20-H22-H23-H24+H26+H27</f>
        <v>175342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44">
        <f>F34*G34</f>
        <v>51000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44">
        <f t="shared" ref="H35:H39" si="2">F35*G35</f>
        <v>16500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4">
        <f>F36*G36</f>
        <v>400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44">
        <f t="shared" si="2"/>
        <v>2700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44">
        <f t="shared" si="2"/>
        <v>1500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44">
        <f t="shared" si="2"/>
        <v>40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>
        <v>1024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39">
        <v>102187</v>
      </c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175351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3</v>
      </c>
      <c r="D50" s="12">
        <f>C50*1.5</f>
        <v>4.5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156</v>
      </c>
      <c r="G51" s="130">
        <f>G49-H29</f>
        <v>9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59487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45966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238</v>
      </c>
      <c r="D6" s="13">
        <f t="shared" ref="D6:D28" si="1">C6*L6</f>
        <v>175406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3</v>
      </c>
      <c r="D7" s="13">
        <f t="shared" si="1"/>
        <v>2175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24</v>
      </c>
      <c r="D9" s="13">
        <f t="shared" si="1"/>
        <v>16968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1125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952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15</v>
      </c>
      <c r="D13" s="48">
        <f t="shared" si="1"/>
        <v>4605</v>
      </c>
      <c r="F13" s="228" t="s">
        <v>36</v>
      </c>
      <c r="G13" s="192"/>
      <c r="H13" s="183">
        <f>D29</f>
        <v>202340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21</v>
      </c>
      <c r="D14" s="31">
        <f t="shared" si="1"/>
        <v>231</v>
      </c>
      <c r="F14" s="186" t="s">
        <v>39</v>
      </c>
      <c r="G14" s="187"/>
      <c r="H14" s="188">
        <f>D54</f>
        <v>19476.75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182863.25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v>864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121</v>
      </c>
      <c r="C25" s="10">
        <v>12</v>
      </c>
      <c r="D25" s="48">
        <f t="shared" si="1"/>
        <v>444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852/24+1.5</f>
        <v>37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>
        <v>12</v>
      </c>
      <c r="D26" s="48">
        <f t="shared" si="1"/>
        <v>434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202340</v>
      </c>
      <c r="F29" s="100" t="s">
        <v>55</v>
      </c>
      <c r="G29" s="162"/>
      <c r="H29" s="122">
        <f>H15-H16-H17-H18-H19-H20-H22-H23-H24+H26+H27</f>
        <v>181999.25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44">
        <f>F34*G34</f>
        <v>136000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44">
        <f>F35*G35</f>
        <v>38500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44">
        <f t="shared" ref="H36:H39" si="2">F36*G36</f>
        <v>800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44">
        <f t="shared" si="2"/>
        <v>6600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44">
        <f t="shared" si="2"/>
        <v>200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44">
        <f t="shared" si="2"/>
        <v>20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3</v>
      </c>
      <c r="D42" s="12">
        <f>C42*2.25</f>
        <v>6.75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>
        <v>1</v>
      </c>
      <c r="D44" s="12">
        <f>C44*120</f>
        <v>120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>
        <v>15</v>
      </c>
      <c r="D46" s="12">
        <f>C46*1.5</f>
        <v>22.5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182120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38</v>
      </c>
      <c r="D50" s="12">
        <f>C50*1.5</f>
        <v>57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143</v>
      </c>
      <c r="G51" s="130">
        <f>G49-H29</f>
        <v>120.75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19476.75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45967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>
        <v>134</v>
      </c>
      <c r="D6" s="13">
        <f t="shared" ref="D6:D28" si="1">C6*L6</f>
        <v>98758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>
        <v>6</v>
      </c>
      <c r="D9" s="13">
        <f t="shared" si="1"/>
        <v>4242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>
        <v>3</v>
      </c>
      <c r="D13" s="48">
        <f t="shared" si="1"/>
        <v>921</v>
      </c>
      <c r="F13" s="228" t="s">
        <v>36</v>
      </c>
      <c r="G13" s="192"/>
      <c r="H13" s="183">
        <f>D29</f>
        <v>106155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>
        <v>4</v>
      </c>
      <c r="D14" s="31">
        <f t="shared" si="1"/>
        <v>44</v>
      </c>
      <c r="F14" s="186" t="s">
        <v>39</v>
      </c>
      <c r="G14" s="187"/>
      <c r="H14" s="188">
        <f>D54</f>
        <v>15195.75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>
        <v>1</v>
      </c>
      <c r="D15" s="31">
        <f t="shared" si="1"/>
        <v>620</v>
      </c>
      <c r="F15" s="191" t="s">
        <v>40</v>
      </c>
      <c r="G15" s="192"/>
      <c r="H15" s="193">
        <f>H13-H14</f>
        <v>90959.25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>
        <v>2</v>
      </c>
      <c r="D28" s="48">
        <f t="shared" si="1"/>
        <v>1570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106155</v>
      </c>
      <c r="F29" s="100" t="s">
        <v>55</v>
      </c>
      <c r="G29" s="162"/>
      <c r="H29" s="122">
        <f>H15-H16-H17-H18-H19-H20-H22-H23-H24+H26+H27+H28</f>
        <v>90959.25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44">
        <f t="shared" ref="H34:H39" si="2">F34*G34</f>
        <v>81000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44">
        <f t="shared" si="2"/>
        <v>5000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44">
        <f t="shared" si="2"/>
        <v>4400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44">
        <f t="shared" si="2"/>
        <v>350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1</v>
      </c>
      <c r="D42" s="12">
        <f>C42*2.25</f>
        <v>2.25</v>
      </c>
      <c r="F42" s="39" t="s">
        <v>79</v>
      </c>
      <c r="G42" s="144">
        <v>80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>
        <v>1</v>
      </c>
      <c r="D44" s="12">
        <f>C44*120</f>
        <v>120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90830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75</v>
      </c>
      <c r="D50" s="12">
        <f>C50*1.5</f>
        <v>112.5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-129.25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45967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196</v>
      </c>
      <c r="D6" s="13">
        <f t="shared" ref="D6:D28" si="1">C6*L6</f>
        <v>144452</v>
      </c>
      <c r="F6" s="207" t="s">
        <v>16</v>
      </c>
      <c r="G6" s="209" t="s">
        <v>150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4</v>
      </c>
      <c r="D7" s="13">
        <f t="shared" si="1"/>
        <v>2900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8</v>
      </c>
      <c r="D9" s="13">
        <f t="shared" si="1"/>
        <v>5656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972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1125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952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4</v>
      </c>
      <c r="D13" s="48">
        <f t="shared" si="1"/>
        <v>1228</v>
      </c>
      <c r="F13" s="228" t="s">
        <v>36</v>
      </c>
      <c r="G13" s="192"/>
      <c r="H13" s="183">
        <f>D29</f>
        <v>158246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16</v>
      </c>
      <c r="D14" s="31">
        <f t="shared" si="1"/>
        <v>176</v>
      </c>
      <c r="F14" s="186" t="s">
        <v>39</v>
      </c>
      <c r="G14" s="187"/>
      <c r="H14" s="188">
        <f>D54</f>
        <v>23723.25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134522.75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v>656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3">
        <v>50</v>
      </c>
      <c r="I19" s="153"/>
      <c r="J19" s="1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>
        <v>1</v>
      </c>
      <c r="D28" s="48">
        <f t="shared" si="1"/>
        <v>785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158246</v>
      </c>
      <c r="F29" s="100" t="s">
        <v>55</v>
      </c>
      <c r="G29" s="162"/>
      <c r="H29" s="122">
        <f>H15-H16-H17-H18-H19-H20-H22-H23-H24+H26+H27</f>
        <v>133816.75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44">
        <f>F34*G34</f>
        <v>87000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44">
        <f t="shared" ref="H35:H39" si="2">F35*G35</f>
        <v>43000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44">
        <f>F36*G36</f>
        <v>200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44">
        <f t="shared" si="2"/>
        <v>2800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44">
        <f t="shared" si="2"/>
        <v>100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4">
        <v>92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>
        <v>3</v>
      </c>
      <c r="D45" s="12">
        <f>C45*84</f>
        <v>252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>
        <v>13</v>
      </c>
      <c r="D46" s="12">
        <f>C46*1.5</f>
        <v>19.5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133192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36</v>
      </c>
      <c r="D50" s="12">
        <f>C50*1.5</f>
        <v>54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-624.75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23723.25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45967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522</v>
      </c>
      <c r="D6" s="13">
        <f t="shared" ref="D6:D28" si="1">C6*L6</f>
        <v>384714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20</v>
      </c>
      <c r="D7" s="13">
        <f t="shared" si="1"/>
        <v>14500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1</v>
      </c>
      <c r="D8" s="13">
        <f t="shared" si="1"/>
        <v>1033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112</v>
      </c>
      <c r="D9" s="13">
        <f t="shared" si="1"/>
        <v>79184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2</v>
      </c>
      <c r="D10" s="13">
        <f t="shared" si="1"/>
        <v>1944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2</v>
      </c>
      <c r="D11" s="13">
        <f t="shared" si="1"/>
        <v>2250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2</v>
      </c>
      <c r="D12" s="48">
        <f t="shared" si="1"/>
        <v>1904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26</v>
      </c>
      <c r="D13" s="48">
        <f t="shared" si="1"/>
        <v>7982</v>
      </c>
      <c r="F13" s="228" t="s">
        <v>36</v>
      </c>
      <c r="G13" s="192"/>
      <c r="H13" s="183">
        <f>D29</f>
        <v>494817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6</v>
      </c>
      <c r="D14" s="31">
        <f t="shared" si="1"/>
        <v>66</v>
      </c>
      <c r="F14" s="186" t="s">
        <v>39</v>
      </c>
      <c r="G14" s="187"/>
      <c r="H14" s="188">
        <f>D54</f>
        <v>57405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>
        <v>1</v>
      </c>
      <c r="D15" s="31">
        <f t="shared" si="1"/>
        <v>620</v>
      </c>
      <c r="F15" s="191" t="s">
        <v>40</v>
      </c>
      <c r="G15" s="192"/>
      <c r="H15" s="193">
        <f>H13-H14</f>
        <v>437412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2250+360</f>
        <v>2610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494817</v>
      </c>
      <c r="F29" s="100" t="s">
        <v>55</v>
      </c>
      <c r="G29" s="162"/>
      <c r="H29" s="122">
        <f>H15-H16-H17-H18-H19-H20-H22-H23-H24+H26+H27</f>
        <v>434802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44">
        <f>F34*G34</f>
        <v>42000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44">
        <f>F35*G35</f>
        <v>19000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39">
        <v>226005</v>
      </c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39">
        <v>147693</v>
      </c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15</v>
      </c>
      <c r="D49" s="12">
        <f>C49*42</f>
        <v>630</v>
      </c>
      <c r="F49" s="120" t="s">
        <v>86</v>
      </c>
      <c r="G49" s="122">
        <f>H34+H35+H36+H37+H38+H39+H40+H41+G42+H44+H45+H46</f>
        <v>434698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2</v>
      </c>
      <c r="D50" s="12">
        <f>C50*1.5</f>
        <v>3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-104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57405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45968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45968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ref="H35:H39" si="2"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45968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45969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45969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ref="H35:H39" si="2"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45969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45971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45971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ref="H35:H39" si="2"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45971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29</vt:i4>
      </vt:variant>
    </vt:vector>
  </HeadingPairs>
  <TitlesOfParts>
    <vt:vector size="59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'(03)'!Print_Area</vt:lpstr>
      <vt:lpstr>'(10)'!Print_Area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2025-11-07T02:59:05Z</cp:lastPrinted>
  <dcterms:created xsi:type="dcterms:W3CDTF">2024-09-01T23:36:50Z</dcterms:created>
  <dcterms:modified xsi:type="dcterms:W3CDTF">2025-11-07T03:00:15Z</dcterms:modified>
</cp:coreProperties>
</file>