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A1D78AE5-1CB4-41FE-BDB5-BD49E1F16C36}" xr6:coauthVersionLast="45" xr6:coauthVersionMax="47" xr10:uidLastSave="{00000000-0000-0000-0000-000000000000}"/>
  <bookViews>
    <workbookView xWindow="-120" yWindow="-120" windowWidth="29040" windowHeight="15840" firstSheet="29" activeTab="33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 No Trip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  <sheet name="(11)" sheetId="1472" r:id="rId31"/>
    <sheet name="11,11 R1" sheetId="1473" r:id="rId32"/>
    <sheet name="11,11 R2" sheetId="1474" r:id="rId33"/>
    <sheet name="11,11 R3" sheetId="1475" r:id="rId34"/>
    <sheet name="(12)" sheetId="1476" r:id="rId35"/>
    <sheet name="12,11 R1" sheetId="1477" r:id="rId36"/>
    <sheet name="12,11 R2" sheetId="1478" r:id="rId37"/>
    <sheet name="12,11 R3" sheetId="1479" r:id="rId38"/>
    <sheet name="(13)" sheetId="1480" r:id="rId39"/>
    <sheet name="13,11 R1" sheetId="1481" r:id="rId40"/>
    <sheet name="13,11 R2" sheetId="1482" r:id="rId41"/>
    <sheet name="13,11 R3" sheetId="1483" r:id="rId42"/>
    <sheet name="(14)" sheetId="1484" r:id="rId43"/>
    <sheet name="14,11 R1" sheetId="1485" r:id="rId44"/>
    <sheet name="14,11 R2" sheetId="1486" r:id="rId45"/>
    <sheet name="14,11 R3" sheetId="1487" r:id="rId46"/>
    <sheet name="(15)" sheetId="1488" r:id="rId47"/>
    <sheet name="15,11 R1" sheetId="1489" r:id="rId48"/>
    <sheet name="15,11 R2" sheetId="1490" r:id="rId49"/>
    <sheet name="15,11 R3" sheetId="1491" r:id="rId50"/>
    <sheet name="(17)" sheetId="1492" r:id="rId51"/>
    <sheet name="17,11 R1" sheetId="1493" r:id="rId52"/>
    <sheet name="17,11 R2" sheetId="1494" r:id="rId53"/>
    <sheet name="17,11 R3" sheetId="1495" r:id="rId54"/>
    <sheet name="(18)" sheetId="1496" r:id="rId55"/>
    <sheet name="18,11 R1" sheetId="1497" r:id="rId56"/>
    <sheet name="18,11 R2" sheetId="1498" r:id="rId57"/>
    <sheet name="18,11 R3" sheetId="1499" r:id="rId58"/>
    <sheet name="(19)" sheetId="1500" r:id="rId59"/>
    <sheet name="19,11 R1" sheetId="1501" r:id="rId60"/>
    <sheet name="19,11 R2" sheetId="1502" r:id="rId61"/>
    <sheet name="19,11 R3" sheetId="1503" r:id="rId62"/>
    <sheet name="(20)" sheetId="1504" r:id="rId63"/>
    <sheet name="20,11 R1" sheetId="1505" r:id="rId64"/>
    <sheet name="20,11 R2" sheetId="1506" r:id="rId65"/>
    <sheet name="20,11 R3" sheetId="1507" r:id="rId66"/>
    <sheet name="(21)" sheetId="1508" r:id="rId67"/>
    <sheet name="21,11 R1" sheetId="1509" r:id="rId68"/>
    <sheet name="21,11 R2" sheetId="1510" r:id="rId69"/>
    <sheet name="21,11 R3" sheetId="1511" r:id="rId70"/>
    <sheet name="(22)" sheetId="1512" r:id="rId71"/>
    <sheet name="22,11 R1" sheetId="1513" r:id="rId72"/>
    <sheet name="22,11 R2" sheetId="1514" r:id="rId73"/>
    <sheet name="22,11 R3" sheetId="1515" r:id="rId74"/>
    <sheet name="(24)" sheetId="1516" r:id="rId75"/>
    <sheet name="24,11 R1" sheetId="1517" r:id="rId76"/>
    <sheet name="24,11 R2" sheetId="1518" r:id="rId77"/>
    <sheet name="24,11 R3" sheetId="1519" r:id="rId78"/>
  </sheets>
  <definedNames>
    <definedName name="_xlnm.Print_Area" localSheetId="1">'(03)'!$A$1:$J$60</definedName>
    <definedName name="_xlnm.Print_Area" localSheetId="26">'(10)'!$A$1:$J$60</definedName>
    <definedName name="_xlnm.Print_Area" localSheetId="30">'(11)'!$A$1:$J$60</definedName>
    <definedName name="_xlnm.Print_Area" localSheetId="34">'(12)'!$A$1:$J$60</definedName>
    <definedName name="_xlnm.Print_Area" localSheetId="38">'(13)'!$A$1:$J$60</definedName>
    <definedName name="_xlnm.Print_Area" localSheetId="42">'(14)'!$A$1:$J$60</definedName>
    <definedName name="_xlnm.Print_Area" localSheetId="46">'(15)'!$A$1:$J$60</definedName>
    <definedName name="_xlnm.Print_Area" localSheetId="50">'(17)'!$A$1:$J$60</definedName>
    <definedName name="_xlnm.Print_Area" localSheetId="54">'(18)'!$A$1:$J$60</definedName>
    <definedName name="_xlnm.Print_Area" localSheetId="58">'(19)'!$A$1:$J$60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4">'(24)'!$A$1:$J$60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 No Trip'!$A$1:$J$60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  <definedName name="_xlnm.Print_Area" localSheetId="31">'11,11 R1'!$A$1:$J$60</definedName>
    <definedName name="_xlnm.Print_Area" localSheetId="32">'11,11 R2'!$A$1:$J$60</definedName>
    <definedName name="_xlnm.Print_Area" localSheetId="33">'11,11 R3'!$A$1:$J$60</definedName>
    <definedName name="_xlnm.Print_Area" localSheetId="35">'12,11 R1'!$A$1:$J$60</definedName>
    <definedName name="_xlnm.Print_Area" localSheetId="36">'12,11 R2'!$A$1:$J$60</definedName>
    <definedName name="_xlnm.Print_Area" localSheetId="37">'12,11 R3'!$A$1:$J$60</definedName>
    <definedName name="_xlnm.Print_Area" localSheetId="39">'13,11 R1'!$A$1:$J$60</definedName>
    <definedName name="_xlnm.Print_Area" localSheetId="40">'13,11 R2'!$A$1:$J$60</definedName>
    <definedName name="_xlnm.Print_Area" localSheetId="41">'13,11 R3'!$A$1:$J$60</definedName>
    <definedName name="_xlnm.Print_Area" localSheetId="43">'14,11 R1'!$A$1:$J$60</definedName>
    <definedName name="_xlnm.Print_Area" localSheetId="44">'14,11 R2'!$A$1:$J$60</definedName>
    <definedName name="_xlnm.Print_Area" localSheetId="45">'14,11 R3'!$A$1:$J$60</definedName>
    <definedName name="_xlnm.Print_Area" localSheetId="47">'15,11 R1'!$A$1:$J$60</definedName>
    <definedName name="_xlnm.Print_Area" localSheetId="48">'15,11 R2'!$A$1:$J$60</definedName>
    <definedName name="_xlnm.Print_Area" localSheetId="49">'15,11 R3'!$A$1:$J$60</definedName>
    <definedName name="_xlnm.Print_Area" localSheetId="51">'17,11 R1'!$A$1:$J$60</definedName>
    <definedName name="_xlnm.Print_Area" localSheetId="52">'17,11 R2'!$A$1:$J$60</definedName>
    <definedName name="_xlnm.Print_Area" localSheetId="53">'17,11 R3'!$A$1:$J$60</definedName>
    <definedName name="_xlnm.Print_Area" localSheetId="55">'18,11 R1'!$A$1:$J$60</definedName>
    <definedName name="_xlnm.Print_Area" localSheetId="56">'18,11 R2'!$A$1:$J$60</definedName>
    <definedName name="_xlnm.Print_Area" localSheetId="57">'18,11 R3'!$A$1:$J$60</definedName>
    <definedName name="_xlnm.Print_Area" localSheetId="59">'19,11 R1'!$A$1:$J$60</definedName>
    <definedName name="_xlnm.Print_Area" localSheetId="60">'19,11 R2'!$A$1:$J$60</definedName>
    <definedName name="_xlnm.Print_Area" localSheetId="61">'19,11 R3'!$A$1:$J$60</definedName>
    <definedName name="_xlnm.Print_Area" localSheetId="63">'20,11 R1'!$A$1:$J$60</definedName>
    <definedName name="_xlnm.Print_Area" localSheetId="64">'20,11 R2'!$A$1:$J$60</definedName>
    <definedName name="_xlnm.Print_Area" localSheetId="65">'20,11 R3'!$A$1:$J$60</definedName>
    <definedName name="_xlnm.Print_Area" localSheetId="67">'21,11 R1'!$A$1:$J$60</definedName>
    <definedName name="_xlnm.Print_Area" localSheetId="68">'21,11 R2'!$A$1:$J$60</definedName>
    <definedName name="_xlnm.Print_Area" localSheetId="69">'21,11 R3'!$A$1:$J$60</definedName>
    <definedName name="_xlnm.Print_Area" localSheetId="71">'22,11 R1'!$A$1:$J$60</definedName>
    <definedName name="_xlnm.Print_Area" localSheetId="72">'22,11 R2'!$A$1:$J$60</definedName>
    <definedName name="_xlnm.Print_Area" localSheetId="73">'22,11 R3'!$A$1:$J$60</definedName>
    <definedName name="_xlnm.Print_Area" localSheetId="75">'24,11 R1'!$A$1:$J$60</definedName>
    <definedName name="_xlnm.Print_Area" localSheetId="76">'24,11 R2'!$A$1:$J$60</definedName>
    <definedName name="_xlnm.Print_Area" localSheetId="77">'24,11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9" i="1475" l="1"/>
  <c r="H16" i="1475"/>
  <c r="L26" i="1473"/>
  <c r="C12" i="1473"/>
  <c r="R52" i="1519" l="1"/>
  <c r="R51" i="1519"/>
  <c r="D50" i="1519"/>
  <c r="R49" i="1519"/>
  <c r="D49" i="1519"/>
  <c r="R48" i="1519"/>
  <c r="D48" i="1519"/>
  <c r="D46" i="1519"/>
  <c r="D45" i="1519"/>
  <c r="D44" i="1519"/>
  <c r="R42" i="1519"/>
  <c r="D42" i="1519"/>
  <c r="R41" i="1519"/>
  <c r="L7" i="1519" s="1"/>
  <c r="D7" i="1519" s="1"/>
  <c r="D41" i="1519"/>
  <c r="R40" i="1519"/>
  <c r="L8" i="1519" s="1"/>
  <c r="D8" i="1519" s="1"/>
  <c r="D40" i="1519"/>
  <c r="R39" i="1519"/>
  <c r="H39" i="1519"/>
  <c r="D39" i="1519"/>
  <c r="R38" i="1519"/>
  <c r="L9" i="1519" s="1"/>
  <c r="D9" i="1519" s="1"/>
  <c r="H38" i="1519"/>
  <c r="D38" i="1519"/>
  <c r="R37" i="1519"/>
  <c r="H37" i="1519"/>
  <c r="D37" i="1519"/>
  <c r="R36" i="1519"/>
  <c r="H36" i="1519"/>
  <c r="D36" i="1519"/>
  <c r="R35" i="1519"/>
  <c r="L19" i="1519" s="1"/>
  <c r="D19" i="1519" s="1"/>
  <c r="H35" i="1519"/>
  <c r="D35" i="1519"/>
  <c r="R34" i="1519"/>
  <c r="L12" i="1519" s="1"/>
  <c r="D12" i="1519" s="1"/>
  <c r="H34" i="1519"/>
  <c r="G49" i="1519" s="1"/>
  <c r="D34" i="1519"/>
  <c r="D54" i="1519" s="1"/>
  <c r="H14" i="1519" s="1"/>
  <c r="R33" i="1519"/>
  <c r="R32" i="1519"/>
  <c r="R31" i="1519"/>
  <c r="R30" i="1519"/>
  <c r="R29" i="1519"/>
  <c r="R28" i="1519"/>
  <c r="D28" i="1519"/>
  <c r="R27" i="1519"/>
  <c r="D27" i="1519"/>
  <c r="R26" i="1519"/>
  <c r="L26" i="1519"/>
  <c r="D26" i="1519" s="1"/>
  <c r="R25" i="1519"/>
  <c r="L25" i="1519"/>
  <c r="D25" i="1519"/>
  <c r="R24" i="1519"/>
  <c r="D24" i="1519"/>
  <c r="R23" i="1519"/>
  <c r="L23" i="1519"/>
  <c r="D23" i="1519" s="1"/>
  <c r="R22" i="1519"/>
  <c r="L22" i="1519"/>
  <c r="D22" i="1519"/>
  <c r="R21" i="1519"/>
  <c r="D21" i="1519"/>
  <c r="R20" i="1519"/>
  <c r="L20" i="1519"/>
  <c r="D20" i="1519" s="1"/>
  <c r="R19" i="1519"/>
  <c r="R18" i="1519"/>
  <c r="D18" i="1519"/>
  <c r="R17" i="1519"/>
  <c r="D17" i="1519"/>
  <c r="R16" i="1519"/>
  <c r="L16" i="1519"/>
  <c r="D16" i="1519" s="1"/>
  <c r="R15" i="1519"/>
  <c r="D15" i="1519"/>
  <c r="R14" i="1519"/>
  <c r="D14" i="1519"/>
  <c r="R13" i="1519"/>
  <c r="D13" i="1519"/>
  <c r="R12" i="1519"/>
  <c r="R11" i="1519"/>
  <c r="L11" i="1519"/>
  <c r="D11" i="1519" s="1"/>
  <c r="L10" i="1519"/>
  <c r="D10" i="1519"/>
  <c r="R6" i="1519"/>
  <c r="L6" i="1519"/>
  <c r="D6" i="1519" s="1"/>
  <c r="R5" i="1519"/>
  <c r="R4" i="1519"/>
  <c r="R52" i="1518"/>
  <c r="R51" i="1518"/>
  <c r="D50" i="1518"/>
  <c r="R49" i="1518"/>
  <c r="D49" i="1518"/>
  <c r="R48" i="1518"/>
  <c r="D48" i="1518"/>
  <c r="D46" i="1518"/>
  <c r="D45" i="1518"/>
  <c r="D44" i="1518"/>
  <c r="R42" i="1518"/>
  <c r="D42" i="1518"/>
  <c r="R41" i="1518"/>
  <c r="L7" i="1518" s="1"/>
  <c r="D7" i="1518" s="1"/>
  <c r="D41" i="1518"/>
  <c r="R40" i="1518"/>
  <c r="D40" i="1518"/>
  <c r="R39" i="1518"/>
  <c r="H39" i="1518"/>
  <c r="D39" i="1518"/>
  <c r="R38" i="1518"/>
  <c r="H38" i="1518"/>
  <c r="D38" i="1518"/>
  <c r="R37" i="1518"/>
  <c r="H37" i="1518"/>
  <c r="D37" i="1518"/>
  <c r="R36" i="1518"/>
  <c r="H36" i="1518"/>
  <c r="D36" i="1518"/>
  <c r="R35" i="1518"/>
  <c r="L19" i="1518" s="1"/>
  <c r="D19" i="1518" s="1"/>
  <c r="H35" i="1518"/>
  <c r="D35" i="1518"/>
  <c r="R34" i="1518"/>
  <c r="L12" i="1518" s="1"/>
  <c r="D12" i="1518" s="1"/>
  <c r="H34" i="1518"/>
  <c r="G49" i="1518" s="1"/>
  <c r="D34" i="1518"/>
  <c r="D54" i="1518" s="1"/>
  <c r="H14" i="1518" s="1"/>
  <c r="R33" i="1518"/>
  <c r="L23" i="1518" s="1"/>
  <c r="D23" i="1518" s="1"/>
  <c r="R32" i="1518"/>
  <c r="R31" i="1518"/>
  <c r="R30" i="1518"/>
  <c r="R29" i="1518"/>
  <c r="R28" i="1518"/>
  <c r="D28" i="1518"/>
  <c r="R27" i="1518"/>
  <c r="D27" i="1518"/>
  <c r="R26" i="1518"/>
  <c r="L26" i="1518"/>
  <c r="D26" i="1518"/>
  <c r="R25" i="1518"/>
  <c r="L25" i="1518"/>
  <c r="D25" i="1518"/>
  <c r="R24" i="1518"/>
  <c r="L24" i="1518"/>
  <c r="D24" i="1518" s="1"/>
  <c r="R23" i="1518"/>
  <c r="R22" i="1518"/>
  <c r="L22" i="1518"/>
  <c r="D22" i="1518"/>
  <c r="R21" i="1518"/>
  <c r="L17" i="1518" s="1"/>
  <c r="D17" i="1518" s="1"/>
  <c r="D21" i="1518"/>
  <c r="R20" i="1518"/>
  <c r="L20" i="1518"/>
  <c r="D20" i="1518"/>
  <c r="R19" i="1518"/>
  <c r="R18" i="1518"/>
  <c r="D18" i="1518"/>
  <c r="R17" i="1518"/>
  <c r="R16" i="1518"/>
  <c r="L16" i="1518"/>
  <c r="D16" i="1518"/>
  <c r="R15" i="1518"/>
  <c r="D15" i="1518"/>
  <c r="R14" i="1518"/>
  <c r="D14" i="1518"/>
  <c r="R13" i="1518"/>
  <c r="D13" i="1518"/>
  <c r="R12" i="1518"/>
  <c r="R11" i="1518"/>
  <c r="L11" i="1518"/>
  <c r="D11" i="1518"/>
  <c r="L10" i="1518"/>
  <c r="D10" i="1518"/>
  <c r="L9" i="1518"/>
  <c r="D9" i="1518"/>
  <c r="L8" i="1518"/>
  <c r="D8" i="1518" s="1"/>
  <c r="R6" i="1518"/>
  <c r="L6" i="1518"/>
  <c r="D6" i="1518" s="1"/>
  <c r="R5" i="1518"/>
  <c r="R4" i="1518"/>
  <c r="R52" i="1517"/>
  <c r="R51" i="1517"/>
  <c r="D50" i="1517"/>
  <c r="R49" i="1517"/>
  <c r="D49" i="1517"/>
  <c r="R48" i="1517"/>
  <c r="D48" i="1517"/>
  <c r="D46" i="1517"/>
  <c r="D45" i="1517"/>
  <c r="P44" i="1517"/>
  <c r="R44" i="1517" s="1"/>
  <c r="D44" i="1517"/>
  <c r="R42" i="1517"/>
  <c r="L6" i="1517" s="1"/>
  <c r="D6" i="1517" s="1"/>
  <c r="D42" i="1517"/>
  <c r="R41" i="1517"/>
  <c r="D41" i="1517"/>
  <c r="R40" i="1517"/>
  <c r="L8" i="1517" s="1"/>
  <c r="D8" i="1517" s="1"/>
  <c r="D40" i="1517"/>
  <c r="R39" i="1517"/>
  <c r="L20" i="1517" s="1"/>
  <c r="D20" i="1517" s="1"/>
  <c r="H39" i="1517"/>
  <c r="D39" i="1517"/>
  <c r="R38" i="1517"/>
  <c r="L9" i="1517" s="1"/>
  <c r="D9" i="1517" s="1"/>
  <c r="H38" i="1517"/>
  <c r="D38" i="1517"/>
  <c r="R37" i="1517"/>
  <c r="H37" i="1517"/>
  <c r="D37" i="1517"/>
  <c r="R36" i="1517"/>
  <c r="H36" i="1517"/>
  <c r="G49" i="1517" s="1"/>
  <c r="D36" i="1517"/>
  <c r="D54" i="1517" s="1"/>
  <c r="H14" i="1517" s="1"/>
  <c r="R35" i="1517"/>
  <c r="H35" i="1517"/>
  <c r="D35" i="1517"/>
  <c r="R34" i="1517"/>
  <c r="L12" i="1517" s="1"/>
  <c r="D12" i="1517" s="1"/>
  <c r="H34" i="1517"/>
  <c r="D34" i="1517"/>
  <c r="R33" i="1517"/>
  <c r="R32" i="1517"/>
  <c r="L11" i="1517" s="1"/>
  <c r="D11" i="1517" s="1"/>
  <c r="R31" i="1517"/>
  <c r="R30" i="1517"/>
  <c r="R29" i="1517"/>
  <c r="R28" i="1517"/>
  <c r="D28" i="1517"/>
  <c r="R27" i="1517"/>
  <c r="D27" i="1517"/>
  <c r="R26" i="1517"/>
  <c r="L26" i="1517"/>
  <c r="D26" i="1517"/>
  <c r="R25" i="1517"/>
  <c r="L25" i="1517"/>
  <c r="D25" i="1517" s="1"/>
  <c r="R24" i="1517"/>
  <c r="L24" i="1517"/>
  <c r="D24" i="1517" s="1"/>
  <c r="R23" i="1517"/>
  <c r="D23" i="1517"/>
  <c r="R22" i="1517"/>
  <c r="D22" i="1517"/>
  <c r="R21" i="1517"/>
  <c r="D21" i="1517"/>
  <c r="R20" i="1517"/>
  <c r="R19" i="1517"/>
  <c r="D19" i="1517"/>
  <c r="R18" i="1517"/>
  <c r="D18" i="1517"/>
  <c r="R17" i="1517"/>
  <c r="L17" i="1517"/>
  <c r="D17" i="1517" s="1"/>
  <c r="R16" i="1517"/>
  <c r="L16" i="1517"/>
  <c r="D16" i="1517"/>
  <c r="R15" i="1517"/>
  <c r="D15" i="1517"/>
  <c r="R14" i="1517"/>
  <c r="D14" i="1517"/>
  <c r="R13" i="1517"/>
  <c r="D13" i="1517"/>
  <c r="R12" i="1517"/>
  <c r="R11" i="1517"/>
  <c r="L10" i="1517"/>
  <c r="D10" i="1517" s="1"/>
  <c r="L7" i="1517"/>
  <c r="D7" i="1517"/>
  <c r="R6" i="1517"/>
  <c r="R5" i="1517"/>
  <c r="R4" i="1517"/>
  <c r="R52" i="1516"/>
  <c r="R51" i="1516"/>
  <c r="D50" i="1516"/>
  <c r="R49" i="1516"/>
  <c r="G49" i="1516"/>
  <c r="D49" i="1516"/>
  <c r="R48" i="1516"/>
  <c r="D48" i="1516"/>
  <c r="D46" i="1516"/>
  <c r="D45" i="1516"/>
  <c r="D44" i="1516"/>
  <c r="R42" i="1516"/>
  <c r="L6" i="1516" s="1"/>
  <c r="D6" i="1516" s="1"/>
  <c r="D42" i="1516"/>
  <c r="R41" i="1516"/>
  <c r="L7" i="1516" s="1"/>
  <c r="D7" i="1516" s="1"/>
  <c r="D41" i="1516"/>
  <c r="R40" i="1516"/>
  <c r="L8" i="1516" s="1"/>
  <c r="D8" i="1516" s="1"/>
  <c r="D40" i="1516"/>
  <c r="R39" i="1516"/>
  <c r="D39" i="1516"/>
  <c r="R38" i="1516"/>
  <c r="L9" i="1516" s="1"/>
  <c r="D9" i="1516" s="1"/>
  <c r="D38" i="1516"/>
  <c r="R37" i="1516"/>
  <c r="D37" i="1516"/>
  <c r="R36" i="1516"/>
  <c r="D36" i="1516"/>
  <c r="R35" i="1516"/>
  <c r="D35" i="1516"/>
  <c r="R34" i="1516"/>
  <c r="L12" i="1516" s="1"/>
  <c r="D12" i="1516" s="1"/>
  <c r="D34" i="1516"/>
  <c r="D54" i="1516" s="1"/>
  <c r="H14" i="1516" s="1"/>
  <c r="R33" i="1516"/>
  <c r="L23" i="1516" s="1"/>
  <c r="D23" i="1516" s="1"/>
  <c r="R32" i="1516"/>
  <c r="R31" i="1516"/>
  <c r="R30" i="1516"/>
  <c r="R29" i="1516"/>
  <c r="R28" i="1516"/>
  <c r="D28" i="1516"/>
  <c r="R27" i="1516"/>
  <c r="D27" i="1516"/>
  <c r="R26" i="1516"/>
  <c r="L26" i="1516"/>
  <c r="D26" i="1516"/>
  <c r="R25" i="1516"/>
  <c r="L25" i="1516"/>
  <c r="D25" i="1516"/>
  <c r="R24" i="1516"/>
  <c r="D24" i="1516"/>
  <c r="R23" i="1516"/>
  <c r="R22" i="1516"/>
  <c r="L22" i="1516"/>
  <c r="D22" i="1516" s="1"/>
  <c r="R21" i="1516"/>
  <c r="D21" i="1516"/>
  <c r="R20" i="1516"/>
  <c r="L20" i="1516"/>
  <c r="D20" i="1516"/>
  <c r="R19" i="1516"/>
  <c r="L19" i="1516"/>
  <c r="D19" i="1516"/>
  <c r="R18" i="1516"/>
  <c r="D18" i="1516"/>
  <c r="R17" i="1516"/>
  <c r="D17" i="1516"/>
  <c r="R16" i="1516"/>
  <c r="L16" i="1516"/>
  <c r="D16" i="1516" s="1"/>
  <c r="S15" i="1516"/>
  <c r="R15" i="1516"/>
  <c r="D15" i="1516"/>
  <c r="S14" i="1516"/>
  <c r="R14" i="1516"/>
  <c r="D14" i="1516"/>
  <c r="R13" i="1516"/>
  <c r="D13" i="1516"/>
  <c r="R12" i="1516"/>
  <c r="R11" i="1516"/>
  <c r="L11" i="1516"/>
  <c r="D11" i="1516" s="1"/>
  <c r="L10" i="1516"/>
  <c r="D10" i="1516" s="1"/>
  <c r="R6" i="1516"/>
  <c r="R5" i="1516"/>
  <c r="R4" i="1516"/>
  <c r="R52" i="1515"/>
  <c r="R51" i="1515"/>
  <c r="D50" i="1515"/>
  <c r="R49" i="1515"/>
  <c r="D49" i="1515"/>
  <c r="R48" i="1515"/>
  <c r="D48" i="1515"/>
  <c r="D46" i="1515"/>
  <c r="D45" i="1515"/>
  <c r="D44" i="1515"/>
  <c r="R42" i="1515"/>
  <c r="D42" i="1515"/>
  <c r="R41" i="1515"/>
  <c r="L7" i="1515" s="1"/>
  <c r="D7" i="1515" s="1"/>
  <c r="D41" i="1515"/>
  <c r="R40" i="1515"/>
  <c r="D40" i="1515"/>
  <c r="R39" i="1515"/>
  <c r="H39" i="1515"/>
  <c r="D39" i="1515"/>
  <c r="R38" i="1515"/>
  <c r="L9" i="1515" s="1"/>
  <c r="D9" i="1515" s="1"/>
  <c r="H38" i="1515"/>
  <c r="D38" i="1515"/>
  <c r="R37" i="1515"/>
  <c r="H37" i="1515"/>
  <c r="D37" i="1515"/>
  <c r="R36" i="1515"/>
  <c r="H36" i="1515"/>
  <c r="D36" i="1515"/>
  <c r="R35" i="1515"/>
  <c r="L19" i="1515" s="1"/>
  <c r="D19" i="1515" s="1"/>
  <c r="H35" i="1515"/>
  <c r="D35" i="1515"/>
  <c r="R34" i="1515"/>
  <c r="H34" i="1515"/>
  <c r="G49" i="1515" s="1"/>
  <c r="D34" i="1515"/>
  <c r="D54" i="1515" s="1"/>
  <c r="H14" i="1515" s="1"/>
  <c r="R33" i="1515"/>
  <c r="R32" i="1515"/>
  <c r="L11" i="1515" s="1"/>
  <c r="D11" i="1515" s="1"/>
  <c r="R31" i="1515"/>
  <c r="R30" i="1515"/>
  <c r="R29" i="1515"/>
  <c r="R28" i="1515"/>
  <c r="D28" i="1515"/>
  <c r="R27" i="1515"/>
  <c r="D27" i="1515"/>
  <c r="R26" i="1515"/>
  <c r="L26" i="1515"/>
  <c r="D26" i="1515" s="1"/>
  <c r="R25" i="1515"/>
  <c r="L25" i="1515"/>
  <c r="D25" i="1515"/>
  <c r="R24" i="1515"/>
  <c r="D24" i="1515"/>
  <c r="R23" i="1515"/>
  <c r="L23" i="1515"/>
  <c r="D23" i="1515" s="1"/>
  <c r="R22" i="1515"/>
  <c r="L22" i="1515"/>
  <c r="D22" i="1515"/>
  <c r="R21" i="1515"/>
  <c r="D21" i="1515"/>
  <c r="R20" i="1515"/>
  <c r="L20" i="1515"/>
  <c r="D20" i="1515" s="1"/>
  <c r="R19" i="1515"/>
  <c r="R18" i="1515"/>
  <c r="D18" i="1515"/>
  <c r="R17" i="1515"/>
  <c r="D17" i="1515"/>
  <c r="R16" i="1515"/>
  <c r="L16" i="1515"/>
  <c r="D16" i="1515" s="1"/>
  <c r="R15" i="1515"/>
  <c r="D15" i="1515"/>
  <c r="R14" i="1515"/>
  <c r="D14" i="1515"/>
  <c r="R13" i="1515"/>
  <c r="D13" i="1515"/>
  <c r="R12" i="1515"/>
  <c r="L12" i="1515"/>
  <c r="D12" i="1515" s="1"/>
  <c r="R11" i="1515"/>
  <c r="L10" i="1515"/>
  <c r="D10" i="1515"/>
  <c r="L8" i="1515"/>
  <c r="D8" i="1515" s="1"/>
  <c r="R6" i="1515"/>
  <c r="L6" i="1515"/>
  <c r="D6" i="1515" s="1"/>
  <c r="R5" i="1515"/>
  <c r="R4" i="1515"/>
  <c r="R52" i="1514"/>
  <c r="R51" i="1514"/>
  <c r="D50" i="1514"/>
  <c r="R49" i="1514"/>
  <c r="D49" i="1514"/>
  <c r="R48" i="1514"/>
  <c r="D48" i="1514"/>
  <c r="D46" i="1514"/>
  <c r="D45" i="1514"/>
  <c r="D44" i="1514"/>
  <c r="R42" i="1514"/>
  <c r="L6" i="1514" s="1"/>
  <c r="D6" i="1514" s="1"/>
  <c r="D29" i="1514" s="1"/>
  <c r="H13" i="1514" s="1"/>
  <c r="H15" i="1514" s="1"/>
  <c r="H29" i="1514" s="1"/>
  <c r="D42" i="1514"/>
  <c r="R41" i="1514"/>
  <c r="D41" i="1514"/>
  <c r="D54" i="1514" s="1"/>
  <c r="H14" i="1514" s="1"/>
  <c r="R40" i="1514"/>
  <c r="D40" i="1514"/>
  <c r="R39" i="1514"/>
  <c r="H39" i="1514"/>
  <c r="D39" i="1514"/>
  <c r="R38" i="1514"/>
  <c r="H38" i="1514"/>
  <c r="D38" i="1514"/>
  <c r="R37" i="1514"/>
  <c r="H37" i="1514"/>
  <c r="D37" i="1514"/>
  <c r="R36" i="1514"/>
  <c r="H36" i="1514"/>
  <c r="D36" i="1514"/>
  <c r="R35" i="1514"/>
  <c r="H35" i="1514"/>
  <c r="G49" i="1514" s="1"/>
  <c r="D35" i="1514"/>
  <c r="R34" i="1514"/>
  <c r="H34" i="1514"/>
  <c r="D34" i="1514"/>
  <c r="R33" i="1514"/>
  <c r="L23" i="1514" s="1"/>
  <c r="D23" i="1514" s="1"/>
  <c r="R32" i="1514"/>
  <c r="L11" i="1514" s="1"/>
  <c r="D11" i="1514" s="1"/>
  <c r="R31" i="1514"/>
  <c r="R30" i="1514"/>
  <c r="R29" i="1514"/>
  <c r="R28" i="1514"/>
  <c r="D28" i="1514"/>
  <c r="R27" i="1514"/>
  <c r="D27" i="1514"/>
  <c r="R26" i="1514"/>
  <c r="L26" i="1514"/>
  <c r="D26" i="1514" s="1"/>
  <c r="R25" i="1514"/>
  <c r="L25" i="1514"/>
  <c r="D25" i="1514"/>
  <c r="R24" i="1514"/>
  <c r="L24" i="1514"/>
  <c r="D24" i="1514"/>
  <c r="R23" i="1514"/>
  <c r="R22" i="1514"/>
  <c r="L22" i="1514"/>
  <c r="D22" i="1514" s="1"/>
  <c r="R21" i="1514"/>
  <c r="D21" i="1514"/>
  <c r="R20" i="1514"/>
  <c r="L20" i="1514"/>
  <c r="D20" i="1514" s="1"/>
  <c r="R19" i="1514"/>
  <c r="L19" i="1514"/>
  <c r="D19" i="1514" s="1"/>
  <c r="R18" i="1514"/>
  <c r="D18" i="1514"/>
  <c r="R17" i="1514"/>
  <c r="L17" i="1514"/>
  <c r="D17" i="1514" s="1"/>
  <c r="R16" i="1514"/>
  <c r="L16" i="1514"/>
  <c r="D16" i="1514" s="1"/>
  <c r="R15" i="1514"/>
  <c r="D15" i="1514"/>
  <c r="R14" i="1514"/>
  <c r="D14" i="1514"/>
  <c r="R13" i="1514"/>
  <c r="D13" i="1514"/>
  <c r="R12" i="1514"/>
  <c r="L12" i="1514"/>
  <c r="D12" i="1514"/>
  <c r="R11" i="1514"/>
  <c r="L10" i="1514"/>
  <c r="D10" i="1514"/>
  <c r="L9" i="1514"/>
  <c r="D9" i="1514" s="1"/>
  <c r="L8" i="1514"/>
  <c r="D8" i="1514" s="1"/>
  <c r="L7" i="1514"/>
  <c r="D7" i="1514"/>
  <c r="R6" i="1514"/>
  <c r="R5" i="1514"/>
  <c r="R4" i="1514"/>
  <c r="R52" i="1513"/>
  <c r="R51" i="1513"/>
  <c r="D50" i="1513"/>
  <c r="R49" i="1513"/>
  <c r="D49" i="1513"/>
  <c r="R48" i="1513"/>
  <c r="D48" i="1513"/>
  <c r="D46" i="1513"/>
  <c r="D45" i="1513"/>
  <c r="P44" i="1513"/>
  <c r="R44" i="1513" s="1"/>
  <c r="D44" i="1513"/>
  <c r="R42" i="1513"/>
  <c r="L6" i="1513" s="1"/>
  <c r="D6" i="1513" s="1"/>
  <c r="D42" i="1513"/>
  <c r="R41" i="1513"/>
  <c r="D41" i="1513"/>
  <c r="R40" i="1513"/>
  <c r="L8" i="1513" s="1"/>
  <c r="D8" i="1513" s="1"/>
  <c r="D40" i="1513"/>
  <c r="R39" i="1513"/>
  <c r="L20" i="1513" s="1"/>
  <c r="D20" i="1513" s="1"/>
  <c r="H39" i="1513"/>
  <c r="D39" i="1513"/>
  <c r="R38" i="1513"/>
  <c r="H38" i="1513"/>
  <c r="D38" i="1513"/>
  <c r="R37" i="1513"/>
  <c r="H37" i="1513"/>
  <c r="D37" i="1513"/>
  <c r="R36" i="1513"/>
  <c r="H36" i="1513"/>
  <c r="D36" i="1513"/>
  <c r="R35" i="1513"/>
  <c r="H35" i="1513"/>
  <c r="D35" i="1513"/>
  <c r="R34" i="1513"/>
  <c r="H34" i="1513"/>
  <c r="G49" i="1513" s="1"/>
  <c r="D34" i="1513"/>
  <c r="D54" i="1513" s="1"/>
  <c r="H14" i="1513" s="1"/>
  <c r="R33" i="1513"/>
  <c r="R32" i="1513"/>
  <c r="R31" i="1513"/>
  <c r="R30" i="1513"/>
  <c r="R29" i="1513"/>
  <c r="R28" i="1513"/>
  <c r="D28" i="1513"/>
  <c r="R27" i="1513"/>
  <c r="D27" i="1513"/>
  <c r="R26" i="1513"/>
  <c r="L26" i="1513"/>
  <c r="D26" i="1513" s="1"/>
  <c r="R25" i="1513"/>
  <c r="L25" i="1513"/>
  <c r="D25" i="1513"/>
  <c r="R24" i="1513"/>
  <c r="L24" i="1513"/>
  <c r="D24" i="1513" s="1"/>
  <c r="R23" i="1513"/>
  <c r="D23" i="1513"/>
  <c r="R22" i="1513"/>
  <c r="D22" i="1513"/>
  <c r="R21" i="1513"/>
  <c r="D21" i="1513"/>
  <c r="R20" i="1513"/>
  <c r="R19" i="1513"/>
  <c r="D19" i="1513"/>
  <c r="R18" i="1513"/>
  <c r="D18" i="1513"/>
  <c r="R17" i="1513"/>
  <c r="L17" i="1513"/>
  <c r="D17" i="1513"/>
  <c r="R16" i="1513"/>
  <c r="L16" i="1513"/>
  <c r="D16" i="1513"/>
  <c r="R15" i="1513"/>
  <c r="D15" i="1513"/>
  <c r="R14" i="1513"/>
  <c r="D14" i="1513"/>
  <c r="R13" i="1513"/>
  <c r="D13" i="1513"/>
  <c r="R12" i="1513"/>
  <c r="L12" i="1513"/>
  <c r="D12" i="1513"/>
  <c r="R11" i="1513"/>
  <c r="L11" i="1513"/>
  <c r="D11" i="1513" s="1"/>
  <c r="L10" i="1513"/>
  <c r="D10" i="1513" s="1"/>
  <c r="L9" i="1513"/>
  <c r="D9" i="1513" s="1"/>
  <c r="L7" i="1513"/>
  <c r="D7" i="1513" s="1"/>
  <c r="R6" i="1513"/>
  <c r="R5" i="1513"/>
  <c r="R4" i="1513"/>
  <c r="R52" i="1512"/>
  <c r="R51" i="1512"/>
  <c r="D50" i="1512"/>
  <c r="R49" i="1512"/>
  <c r="G49" i="1512"/>
  <c r="D49" i="1512"/>
  <c r="R48" i="1512"/>
  <c r="D48" i="1512"/>
  <c r="D46" i="1512"/>
  <c r="D45" i="1512"/>
  <c r="D44" i="1512"/>
  <c r="R42" i="1512"/>
  <c r="D42" i="1512"/>
  <c r="R41" i="1512"/>
  <c r="L7" i="1512" s="1"/>
  <c r="D7" i="1512" s="1"/>
  <c r="D41" i="1512"/>
  <c r="R40" i="1512"/>
  <c r="L8" i="1512" s="1"/>
  <c r="D8" i="1512" s="1"/>
  <c r="D40" i="1512"/>
  <c r="D54" i="1512" s="1"/>
  <c r="H14" i="1512" s="1"/>
  <c r="R39" i="1512"/>
  <c r="D39" i="1512"/>
  <c r="R38" i="1512"/>
  <c r="D38" i="1512"/>
  <c r="R37" i="1512"/>
  <c r="D37" i="1512"/>
  <c r="R36" i="1512"/>
  <c r="D36" i="1512"/>
  <c r="R35" i="1512"/>
  <c r="L19" i="1512" s="1"/>
  <c r="D19" i="1512" s="1"/>
  <c r="D35" i="1512"/>
  <c r="R34" i="1512"/>
  <c r="L12" i="1512" s="1"/>
  <c r="D12" i="1512" s="1"/>
  <c r="D34" i="1512"/>
  <c r="R33" i="1512"/>
  <c r="L23" i="1512" s="1"/>
  <c r="D23" i="1512" s="1"/>
  <c r="R32" i="1512"/>
  <c r="L11" i="1512" s="1"/>
  <c r="D11" i="1512" s="1"/>
  <c r="R31" i="1512"/>
  <c r="R30" i="1512"/>
  <c r="R29" i="1512"/>
  <c r="R28" i="1512"/>
  <c r="L16" i="1512" s="1"/>
  <c r="D16" i="1512" s="1"/>
  <c r="D28" i="1512"/>
  <c r="R27" i="1512"/>
  <c r="D27" i="1512"/>
  <c r="R26" i="1512"/>
  <c r="L26" i="1512"/>
  <c r="D26" i="1512" s="1"/>
  <c r="R25" i="1512"/>
  <c r="L25" i="1512"/>
  <c r="D25" i="1512"/>
  <c r="R24" i="1512"/>
  <c r="D24" i="1512"/>
  <c r="R23" i="1512"/>
  <c r="R22" i="1512"/>
  <c r="L22" i="1512"/>
  <c r="D22" i="1512" s="1"/>
  <c r="R21" i="1512"/>
  <c r="D21" i="1512"/>
  <c r="R20" i="1512"/>
  <c r="L20" i="1512"/>
  <c r="D20" i="1512" s="1"/>
  <c r="R19" i="1512"/>
  <c r="R18" i="1512"/>
  <c r="D18" i="1512"/>
  <c r="R17" i="1512"/>
  <c r="D17" i="1512"/>
  <c r="R16" i="1512"/>
  <c r="S15" i="1512"/>
  <c r="R15" i="1512"/>
  <c r="D15" i="1512"/>
  <c r="S14" i="1512"/>
  <c r="R14" i="1512"/>
  <c r="D14" i="1512"/>
  <c r="R13" i="1512"/>
  <c r="D13" i="1512"/>
  <c r="R12" i="1512"/>
  <c r="R11" i="1512"/>
  <c r="L10" i="1512"/>
  <c r="D10" i="1512" s="1"/>
  <c r="L9" i="1512"/>
  <c r="D9" i="1512"/>
  <c r="R6" i="1512"/>
  <c r="L6" i="1512"/>
  <c r="D6" i="1512"/>
  <c r="R5" i="1512"/>
  <c r="R4" i="1512"/>
  <c r="R52" i="1511"/>
  <c r="R51" i="1511"/>
  <c r="D50" i="1511"/>
  <c r="R49" i="1511"/>
  <c r="D49" i="1511"/>
  <c r="R48" i="1511"/>
  <c r="D48" i="1511"/>
  <c r="D46" i="1511"/>
  <c r="D45" i="1511"/>
  <c r="D44" i="1511"/>
  <c r="R42" i="1511"/>
  <c r="D42" i="1511"/>
  <c r="R41" i="1511"/>
  <c r="D41" i="1511"/>
  <c r="R40" i="1511"/>
  <c r="L8" i="1511" s="1"/>
  <c r="D8" i="1511" s="1"/>
  <c r="D40" i="1511"/>
  <c r="R39" i="1511"/>
  <c r="H39" i="1511"/>
  <c r="D39" i="1511"/>
  <c r="R38" i="1511"/>
  <c r="L9" i="1511" s="1"/>
  <c r="D9" i="1511" s="1"/>
  <c r="H38" i="1511"/>
  <c r="D38" i="1511"/>
  <c r="R37" i="1511"/>
  <c r="H37" i="1511"/>
  <c r="D37" i="1511"/>
  <c r="R36" i="1511"/>
  <c r="H36" i="1511"/>
  <c r="D36" i="1511"/>
  <c r="R35" i="1511"/>
  <c r="L19" i="1511" s="1"/>
  <c r="D19" i="1511" s="1"/>
  <c r="H35" i="1511"/>
  <c r="D35" i="1511"/>
  <c r="D54" i="1511" s="1"/>
  <c r="H14" i="1511" s="1"/>
  <c r="R34" i="1511"/>
  <c r="L12" i="1511" s="1"/>
  <c r="D12" i="1511" s="1"/>
  <c r="H34" i="1511"/>
  <c r="G49" i="1511" s="1"/>
  <c r="D34" i="1511"/>
  <c r="R33" i="1511"/>
  <c r="R32" i="1511"/>
  <c r="R31" i="1511"/>
  <c r="R30" i="1511"/>
  <c r="R29" i="1511"/>
  <c r="R28" i="1511"/>
  <c r="D28" i="1511"/>
  <c r="R27" i="1511"/>
  <c r="D27" i="1511"/>
  <c r="R26" i="1511"/>
  <c r="L26" i="1511"/>
  <c r="D26" i="1511"/>
  <c r="R25" i="1511"/>
  <c r="L25" i="1511"/>
  <c r="D25" i="1511"/>
  <c r="R24" i="1511"/>
  <c r="D24" i="1511"/>
  <c r="R23" i="1511"/>
  <c r="L23" i="1511"/>
  <c r="D23" i="1511"/>
  <c r="R22" i="1511"/>
  <c r="L22" i="1511"/>
  <c r="D22" i="1511"/>
  <c r="R21" i="1511"/>
  <c r="D21" i="1511"/>
  <c r="R20" i="1511"/>
  <c r="L20" i="1511"/>
  <c r="D20" i="1511"/>
  <c r="R19" i="1511"/>
  <c r="R18" i="1511"/>
  <c r="D18" i="1511"/>
  <c r="R17" i="1511"/>
  <c r="D17" i="1511"/>
  <c r="R16" i="1511"/>
  <c r="L16" i="1511"/>
  <c r="D16" i="1511" s="1"/>
  <c r="R15" i="1511"/>
  <c r="D15" i="1511"/>
  <c r="R14" i="1511"/>
  <c r="D14" i="1511"/>
  <c r="R13" i="1511"/>
  <c r="D13" i="1511"/>
  <c r="R12" i="1511"/>
  <c r="R11" i="1511"/>
  <c r="L11" i="1511"/>
  <c r="D11" i="1511"/>
  <c r="L10" i="1511"/>
  <c r="D10" i="1511"/>
  <c r="L7" i="1511"/>
  <c r="D7" i="1511"/>
  <c r="R6" i="1511"/>
  <c r="L6" i="1511"/>
  <c r="D6" i="1511"/>
  <c r="R5" i="1511"/>
  <c r="R4" i="1511"/>
  <c r="R52" i="1510"/>
  <c r="R51" i="1510"/>
  <c r="D50" i="1510"/>
  <c r="R49" i="1510"/>
  <c r="G49" i="1510"/>
  <c r="D49" i="1510"/>
  <c r="R48" i="1510"/>
  <c r="D48" i="1510"/>
  <c r="D46" i="1510"/>
  <c r="D45" i="1510"/>
  <c r="D44" i="1510"/>
  <c r="R42" i="1510"/>
  <c r="L6" i="1510" s="1"/>
  <c r="D6" i="1510" s="1"/>
  <c r="D42" i="1510"/>
  <c r="R41" i="1510"/>
  <c r="D41" i="1510"/>
  <c r="R40" i="1510"/>
  <c r="D40" i="1510"/>
  <c r="R39" i="1510"/>
  <c r="H39" i="1510"/>
  <c r="D39" i="1510"/>
  <c r="R38" i="1510"/>
  <c r="L9" i="1510" s="1"/>
  <c r="D9" i="1510" s="1"/>
  <c r="H38" i="1510"/>
  <c r="D38" i="1510"/>
  <c r="R37" i="1510"/>
  <c r="H37" i="1510"/>
  <c r="D37" i="1510"/>
  <c r="R36" i="1510"/>
  <c r="L10" i="1510" s="1"/>
  <c r="D10" i="1510" s="1"/>
  <c r="H36" i="1510"/>
  <c r="D36" i="1510"/>
  <c r="R35" i="1510"/>
  <c r="H35" i="1510"/>
  <c r="D35" i="1510"/>
  <c r="R34" i="1510"/>
  <c r="L12" i="1510" s="1"/>
  <c r="D12" i="1510" s="1"/>
  <c r="H34" i="1510"/>
  <c r="D34" i="1510"/>
  <c r="D54" i="1510" s="1"/>
  <c r="H14" i="1510" s="1"/>
  <c r="R33" i="1510"/>
  <c r="L23" i="1510" s="1"/>
  <c r="D23" i="1510" s="1"/>
  <c r="R32" i="1510"/>
  <c r="L11" i="1510" s="1"/>
  <c r="D11" i="1510" s="1"/>
  <c r="R31" i="1510"/>
  <c r="R30" i="1510"/>
  <c r="R29" i="1510"/>
  <c r="R28" i="1510"/>
  <c r="D28" i="1510"/>
  <c r="R27" i="1510"/>
  <c r="D27" i="1510"/>
  <c r="R26" i="1510"/>
  <c r="L26" i="1510"/>
  <c r="D26" i="1510"/>
  <c r="R25" i="1510"/>
  <c r="L25" i="1510"/>
  <c r="D25" i="1510"/>
  <c r="R24" i="1510"/>
  <c r="L24" i="1510"/>
  <c r="D24" i="1510"/>
  <c r="R23" i="1510"/>
  <c r="R22" i="1510"/>
  <c r="L22" i="1510"/>
  <c r="D22" i="1510" s="1"/>
  <c r="R21" i="1510"/>
  <c r="D21" i="1510"/>
  <c r="R20" i="1510"/>
  <c r="L20" i="1510"/>
  <c r="D20" i="1510" s="1"/>
  <c r="R19" i="1510"/>
  <c r="L19" i="1510"/>
  <c r="D19" i="1510"/>
  <c r="R18" i="1510"/>
  <c r="D18" i="1510"/>
  <c r="R17" i="1510"/>
  <c r="L17" i="1510"/>
  <c r="D17" i="1510" s="1"/>
  <c r="R16" i="1510"/>
  <c r="L16" i="1510"/>
  <c r="D16" i="1510" s="1"/>
  <c r="R15" i="1510"/>
  <c r="D15" i="1510"/>
  <c r="R14" i="1510"/>
  <c r="D14" i="1510"/>
  <c r="R13" i="1510"/>
  <c r="D13" i="1510"/>
  <c r="R12" i="1510"/>
  <c r="R11" i="1510"/>
  <c r="L8" i="1510"/>
  <c r="D8" i="1510" s="1"/>
  <c r="L7" i="1510"/>
  <c r="D7" i="1510"/>
  <c r="R6" i="1510"/>
  <c r="R5" i="1510"/>
  <c r="R4" i="1510"/>
  <c r="R52" i="1509"/>
  <c r="R51" i="1509"/>
  <c r="D50" i="1509"/>
  <c r="R49" i="1509"/>
  <c r="D49" i="1509"/>
  <c r="R48" i="1509"/>
  <c r="D48" i="1509"/>
  <c r="D46" i="1509"/>
  <c r="D45" i="1509"/>
  <c r="P44" i="1509"/>
  <c r="R44" i="1509" s="1"/>
  <c r="D44" i="1509"/>
  <c r="R42" i="1509"/>
  <c r="L6" i="1509" s="1"/>
  <c r="D6" i="1509" s="1"/>
  <c r="D42" i="1509"/>
  <c r="R41" i="1509"/>
  <c r="D41" i="1509"/>
  <c r="R40" i="1509"/>
  <c r="L8" i="1509" s="1"/>
  <c r="D8" i="1509" s="1"/>
  <c r="D40" i="1509"/>
  <c r="R39" i="1509"/>
  <c r="H39" i="1509"/>
  <c r="D39" i="1509"/>
  <c r="R38" i="1509"/>
  <c r="H38" i="1509"/>
  <c r="D38" i="1509"/>
  <c r="R37" i="1509"/>
  <c r="H37" i="1509"/>
  <c r="D37" i="1509"/>
  <c r="R36" i="1509"/>
  <c r="L10" i="1509" s="1"/>
  <c r="D10" i="1509" s="1"/>
  <c r="H36" i="1509"/>
  <c r="D36" i="1509"/>
  <c r="R35" i="1509"/>
  <c r="H35" i="1509"/>
  <c r="D35" i="1509"/>
  <c r="R34" i="1509"/>
  <c r="H34" i="1509"/>
  <c r="G49" i="1509" s="1"/>
  <c r="D34" i="1509"/>
  <c r="D54" i="1509" s="1"/>
  <c r="H14" i="1509" s="1"/>
  <c r="R33" i="1509"/>
  <c r="R32" i="1509"/>
  <c r="R31" i="1509"/>
  <c r="R30" i="1509"/>
  <c r="R29" i="1509"/>
  <c r="R28" i="1509"/>
  <c r="L16" i="1509" s="1"/>
  <c r="D16" i="1509" s="1"/>
  <c r="D28" i="1509"/>
  <c r="R27" i="1509"/>
  <c r="D27" i="1509"/>
  <c r="R26" i="1509"/>
  <c r="L26" i="1509"/>
  <c r="D26" i="1509" s="1"/>
  <c r="R25" i="1509"/>
  <c r="L25" i="1509"/>
  <c r="D25" i="1509" s="1"/>
  <c r="R24" i="1509"/>
  <c r="L24" i="1509"/>
  <c r="D24" i="1509"/>
  <c r="R23" i="1509"/>
  <c r="D23" i="1509"/>
  <c r="R22" i="1509"/>
  <c r="D22" i="1509"/>
  <c r="R21" i="1509"/>
  <c r="D21" i="1509"/>
  <c r="R20" i="1509"/>
  <c r="L20" i="1509"/>
  <c r="D20" i="1509"/>
  <c r="R19" i="1509"/>
  <c r="D19" i="1509"/>
  <c r="R18" i="1509"/>
  <c r="D18" i="1509"/>
  <c r="R17" i="1509"/>
  <c r="L17" i="1509"/>
  <c r="D17" i="1509"/>
  <c r="R16" i="1509"/>
  <c r="R15" i="1509"/>
  <c r="D15" i="1509"/>
  <c r="R14" i="1509"/>
  <c r="D14" i="1509"/>
  <c r="R13" i="1509"/>
  <c r="D13" i="1509"/>
  <c r="R12" i="1509"/>
  <c r="L12" i="1509"/>
  <c r="D12" i="1509"/>
  <c r="R11" i="1509"/>
  <c r="L11" i="1509"/>
  <c r="D11" i="1509" s="1"/>
  <c r="L9" i="1509"/>
  <c r="D9" i="1509" s="1"/>
  <c r="L7" i="1509"/>
  <c r="D7" i="1509" s="1"/>
  <c r="R6" i="1509"/>
  <c r="R5" i="1509"/>
  <c r="R4" i="1509"/>
  <c r="R52" i="1508"/>
  <c r="R51" i="1508"/>
  <c r="D50" i="1508"/>
  <c r="R49" i="1508"/>
  <c r="G49" i="1508"/>
  <c r="D49" i="1508"/>
  <c r="R48" i="1508"/>
  <c r="D48" i="1508"/>
  <c r="D46" i="1508"/>
  <c r="D45" i="1508"/>
  <c r="D44" i="1508"/>
  <c r="R42" i="1508"/>
  <c r="L6" i="1508" s="1"/>
  <c r="D6" i="1508" s="1"/>
  <c r="D42" i="1508"/>
  <c r="R41" i="1508"/>
  <c r="L7" i="1508" s="1"/>
  <c r="D7" i="1508" s="1"/>
  <c r="D41" i="1508"/>
  <c r="R40" i="1508"/>
  <c r="D40" i="1508"/>
  <c r="R39" i="1508"/>
  <c r="D39" i="1508"/>
  <c r="R38" i="1508"/>
  <c r="L9" i="1508" s="1"/>
  <c r="D9" i="1508" s="1"/>
  <c r="D38" i="1508"/>
  <c r="R37" i="1508"/>
  <c r="D37" i="1508"/>
  <c r="R36" i="1508"/>
  <c r="L10" i="1508" s="1"/>
  <c r="D10" i="1508" s="1"/>
  <c r="D36" i="1508"/>
  <c r="R35" i="1508"/>
  <c r="D35" i="1508"/>
  <c r="R34" i="1508"/>
  <c r="L12" i="1508" s="1"/>
  <c r="D12" i="1508" s="1"/>
  <c r="D34" i="1508"/>
  <c r="D54" i="1508" s="1"/>
  <c r="H14" i="1508" s="1"/>
  <c r="R33" i="1508"/>
  <c r="L23" i="1508" s="1"/>
  <c r="D23" i="1508" s="1"/>
  <c r="R32" i="1508"/>
  <c r="R31" i="1508"/>
  <c r="R30" i="1508"/>
  <c r="R29" i="1508"/>
  <c r="R28" i="1508"/>
  <c r="D28" i="1508"/>
  <c r="R27" i="1508"/>
  <c r="D27" i="1508"/>
  <c r="R26" i="1508"/>
  <c r="L26" i="1508"/>
  <c r="D26" i="1508" s="1"/>
  <c r="R25" i="1508"/>
  <c r="L25" i="1508"/>
  <c r="D25" i="1508"/>
  <c r="R24" i="1508"/>
  <c r="D24" i="1508"/>
  <c r="R23" i="1508"/>
  <c r="R22" i="1508"/>
  <c r="L22" i="1508"/>
  <c r="D22" i="1508"/>
  <c r="R21" i="1508"/>
  <c r="D21" i="1508"/>
  <c r="R20" i="1508"/>
  <c r="L20" i="1508"/>
  <c r="D20" i="1508" s="1"/>
  <c r="R19" i="1508"/>
  <c r="L19" i="1508"/>
  <c r="D19" i="1508"/>
  <c r="R18" i="1508"/>
  <c r="D18" i="1508"/>
  <c r="R17" i="1508"/>
  <c r="D17" i="1508"/>
  <c r="R16" i="1508"/>
  <c r="L16" i="1508"/>
  <c r="D16" i="1508" s="1"/>
  <c r="S15" i="1508"/>
  <c r="R15" i="1508"/>
  <c r="D15" i="1508"/>
  <c r="S14" i="1508"/>
  <c r="R14" i="1508"/>
  <c r="D14" i="1508"/>
  <c r="R13" i="1508"/>
  <c r="D13" i="1508"/>
  <c r="R12" i="1508"/>
  <c r="R11" i="1508"/>
  <c r="L11" i="1508"/>
  <c r="D11" i="1508" s="1"/>
  <c r="L8" i="1508"/>
  <c r="D8" i="1508"/>
  <c r="R6" i="1508"/>
  <c r="R5" i="1508"/>
  <c r="R4" i="1508"/>
  <c r="R52" i="1507"/>
  <c r="R51" i="1507"/>
  <c r="D50" i="1507"/>
  <c r="R49" i="1507"/>
  <c r="D49" i="1507"/>
  <c r="R48" i="1507"/>
  <c r="D48" i="1507"/>
  <c r="D46" i="1507"/>
  <c r="D45" i="1507"/>
  <c r="D44" i="1507"/>
  <c r="R42" i="1507"/>
  <c r="L6" i="1507" s="1"/>
  <c r="D6" i="1507" s="1"/>
  <c r="D42" i="1507"/>
  <c r="R41" i="1507"/>
  <c r="L7" i="1507" s="1"/>
  <c r="D7" i="1507" s="1"/>
  <c r="D41" i="1507"/>
  <c r="R40" i="1507"/>
  <c r="D40" i="1507"/>
  <c r="R39" i="1507"/>
  <c r="H39" i="1507"/>
  <c r="D39" i="1507"/>
  <c r="R38" i="1507"/>
  <c r="H38" i="1507"/>
  <c r="D38" i="1507"/>
  <c r="R37" i="1507"/>
  <c r="H37" i="1507"/>
  <c r="D37" i="1507"/>
  <c r="R36" i="1507"/>
  <c r="H36" i="1507"/>
  <c r="G49" i="1507" s="1"/>
  <c r="D36" i="1507"/>
  <c r="R35" i="1507"/>
  <c r="L19" i="1507" s="1"/>
  <c r="D19" i="1507" s="1"/>
  <c r="H35" i="1507"/>
  <c r="D35" i="1507"/>
  <c r="R34" i="1507"/>
  <c r="H34" i="1507"/>
  <c r="D34" i="1507"/>
  <c r="D54" i="1507" s="1"/>
  <c r="H14" i="1507" s="1"/>
  <c r="R33" i="1507"/>
  <c r="R32" i="1507"/>
  <c r="R31" i="1507"/>
  <c r="R30" i="1507"/>
  <c r="R29" i="1507"/>
  <c r="R28" i="1507"/>
  <c r="D28" i="1507"/>
  <c r="R27" i="1507"/>
  <c r="D27" i="1507"/>
  <c r="R26" i="1507"/>
  <c r="L26" i="1507"/>
  <c r="D26" i="1507"/>
  <c r="R25" i="1507"/>
  <c r="L25" i="1507"/>
  <c r="D25" i="1507"/>
  <c r="R24" i="1507"/>
  <c r="D24" i="1507"/>
  <c r="R23" i="1507"/>
  <c r="L23" i="1507"/>
  <c r="D23" i="1507"/>
  <c r="R22" i="1507"/>
  <c r="L22" i="1507"/>
  <c r="D22" i="1507"/>
  <c r="R21" i="1507"/>
  <c r="D21" i="1507"/>
  <c r="R20" i="1507"/>
  <c r="L20" i="1507"/>
  <c r="D20" i="1507"/>
  <c r="R19" i="1507"/>
  <c r="R18" i="1507"/>
  <c r="D18" i="1507"/>
  <c r="R17" i="1507"/>
  <c r="D17" i="1507"/>
  <c r="R16" i="1507"/>
  <c r="L16" i="1507"/>
  <c r="D16" i="1507" s="1"/>
  <c r="R15" i="1507"/>
  <c r="D15" i="1507"/>
  <c r="R14" i="1507"/>
  <c r="D14" i="1507"/>
  <c r="R13" i="1507"/>
  <c r="D13" i="1507"/>
  <c r="R12" i="1507"/>
  <c r="L12" i="1507"/>
  <c r="D12" i="1507"/>
  <c r="R11" i="1507"/>
  <c r="L11" i="1507"/>
  <c r="D11" i="1507"/>
  <c r="L10" i="1507"/>
  <c r="D10" i="1507"/>
  <c r="L9" i="1507"/>
  <c r="D9" i="1507"/>
  <c r="L8" i="1507"/>
  <c r="D8" i="1507" s="1"/>
  <c r="R6" i="1507"/>
  <c r="R5" i="1507"/>
  <c r="R4" i="1507"/>
  <c r="R52" i="1506"/>
  <c r="R51" i="1506"/>
  <c r="D50" i="1506"/>
  <c r="R49" i="1506"/>
  <c r="D49" i="1506"/>
  <c r="R48" i="1506"/>
  <c r="D48" i="1506"/>
  <c r="D46" i="1506"/>
  <c r="D45" i="1506"/>
  <c r="D44" i="1506"/>
  <c r="R42" i="1506"/>
  <c r="D42" i="1506"/>
  <c r="R41" i="1506"/>
  <c r="D41" i="1506"/>
  <c r="R40" i="1506"/>
  <c r="D40" i="1506"/>
  <c r="R39" i="1506"/>
  <c r="L20" i="1506" s="1"/>
  <c r="D20" i="1506" s="1"/>
  <c r="H39" i="1506"/>
  <c r="D39" i="1506"/>
  <c r="R38" i="1506"/>
  <c r="L9" i="1506" s="1"/>
  <c r="D9" i="1506" s="1"/>
  <c r="H38" i="1506"/>
  <c r="D38" i="1506"/>
  <c r="R37" i="1506"/>
  <c r="H37" i="1506"/>
  <c r="D37" i="1506"/>
  <c r="R36" i="1506"/>
  <c r="H36" i="1506"/>
  <c r="D36" i="1506"/>
  <c r="R35" i="1506"/>
  <c r="H35" i="1506"/>
  <c r="D35" i="1506"/>
  <c r="R34" i="1506"/>
  <c r="L12" i="1506" s="1"/>
  <c r="D12" i="1506" s="1"/>
  <c r="H34" i="1506"/>
  <c r="G49" i="1506" s="1"/>
  <c r="D34" i="1506"/>
  <c r="D54" i="1506" s="1"/>
  <c r="H14" i="1506" s="1"/>
  <c r="R33" i="1506"/>
  <c r="L23" i="1506" s="1"/>
  <c r="D23" i="1506" s="1"/>
  <c r="R32" i="1506"/>
  <c r="L11" i="1506" s="1"/>
  <c r="D11" i="1506" s="1"/>
  <c r="R31" i="1506"/>
  <c r="R30" i="1506"/>
  <c r="R29" i="1506"/>
  <c r="R28" i="1506"/>
  <c r="D28" i="1506"/>
  <c r="R27" i="1506"/>
  <c r="D27" i="1506"/>
  <c r="R26" i="1506"/>
  <c r="L26" i="1506"/>
  <c r="D26" i="1506"/>
  <c r="R25" i="1506"/>
  <c r="L25" i="1506"/>
  <c r="D25" i="1506" s="1"/>
  <c r="R24" i="1506"/>
  <c r="L24" i="1506"/>
  <c r="D24" i="1506" s="1"/>
  <c r="R23" i="1506"/>
  <c r="R22" i="1506"/>
  <c r="L22" i="1506"/>
  <c r="D22" i="1506"/>
  <c r="R21" i="1506"/>
  <c r="L17" i="1506" s="1"/>
  <c r="D17" i="1506" s="1"/>
  <c r="D21" i="1506"/>
  <c r="R20" i="1506"/>
  <c r="R19" i="1506"/>
  <c r="L19" i="1506"/>
  <c r="D19" i="1506" s="1"/>
  <c r="R18" i="1506"/>
  <c r="D18" i="1506"/>
  <c r="R17" i="1506"/>
  <c r="R16" i="1506"/>
  <c r="L16" i="1506"/>
  <c r="D16" i="1506"/>
  <c r="R15" i="1506"/>
  <c r="D15" i="1506"/>
  <c r="R14" i="1506"/>
  <c r="D14" i="1506"/>
  <c r="R13" i="1506"/>
  <c r="D13" i="1506"/>
  <c r="R12" i="1506"/>
  <c r="R11" i="1506"/>
  <c r="L10" i="1506"/>
  <c r="D10" i="1506"/>
  <c r="L8" i="1506"/>
  <c r="D8" i="1506"/>
  <c r="L7" i="1506"/>
  <c r="D7" i="1506"/>
  <c r="R6" i="1506"/>
  <c r="L6" i="1506"/>
  <c r="D6" i="1506" s="1"/>
  <c r="R5" i="1506"/>
  <c r="R4" i="1506"/>
  <c r="R52" i="1505"/>
  <c r="R51" i="1505"/>
  <c r="D50" i="1505"/>
  <c r="R49" i="1505"/>
  <c r="G49" i="1505"/>
  <c r="D49" i="1505"/>
  <c r="R48" i="1505"/>
  <c r="D48" i="1505"/>
  <c r="D46" i="1505"/>
  <c r="D45" i="1505"/>
  <c r="P44" i="1505"/>
  <c r="R44" i="1505" s="1"/>
  <c r="D44" i="1505"/>
  <c r="R42" i="1505"/>
  <c r="D42" i="1505"/>
  <c r="R41" i="1505"/>
  <c r="D41" i="1505"/>
  <c r="R40" i="1505"/>
  <c r="L8" i="1505" s="1"/>
  <c r="D8" i="1505" s="1"/>
  <c r="D40" i="1505"/>
  <c r="R39" i="1505"/>
  <c r="L20" i="1505" s="1"/>
  <c r="D20" i="1505" s="1"/>
  <c r="H39" i="1505"/>
  <c r="D39" i="1505"/>
  <c r="R38" i="1505"/>
  <c r="H38" i="1505"/>
  <c r="D38" i="1505"/>
  <c r="R37" i="1505"/>
  <c r="H37" i="1505"/>
  <c r="D37" i="1505"/>
  <c r="R36" i="1505"/>
  <c r="H36" i="1505"/>
  <c r="D36" i="1505"/>
  <c r="R35" i="1505"/>
  <c r="H35" i="1505"/>
  <c r="D35" i="1505"/>
  <c r="R34" i="1505"/>
  <c r="L12" i="1505" s="1"/>
  <c r="D12" i="1505" s="1"/>
  <c r="H34" i="1505"/>
  <c r="D34" i="1505"/>
  <c r="D54" i="1505" s="1"/>
  <c r="H14" i="1505" s="1"/>
  <c r="R33" i="1505"/>
  <c r="R32" i="1505"/>
  <c r="R31" i="1505"/>
  <c r="R30" i="1505"/>
  <c r="R29" i="1505"/>
  <c r="R28" i="1505"/>
  <c r="D28" i="1505"/>
  <c r="R27" i="1505"/>
  <c r="D27" i="1505"/>
  <c r="R26" i="1505"/>
  <c r="L26" i="1505"/>
  <c r="D26" i="1505"/>
  <c r="R25" i="1505"/>
  <c r="L25" i="1505"/>
  <c r="D25" i="1505" s="1"/>
  <c r="R24" i="1505"/>
  <c r="L24" i="1505"/>
  <c r="D24" i="1505"/>
  <c r="R23" i="1505"/>
  <c r="D23" i="1505"/>
  <c r="R22" i="1505"/>
  <c r="D22" i="1505"/>
  <c r="R21" i="1505"/>
  <c r="D21" i="1505"/>
  <c r="R20" i="1505"/>
  <c r="R19" i="1505"/>
  <c r="D19" i="1505"/>
  <c r="R18" i="1505"/>
  <c r="D18" i="1505"/>
  <c r="R17" i="1505"/>
  <c r="L17" i="1505"/>
  <c r="D17" i="1505" s="1"/>
  <c r="R16" i="1505"/>
  <c r="L16" i="1505"/>
  <c r="D16" i="1505"/>
  <c r="R15" i="1505"/>
  <c r="D15" i="1505"/>
  <c r="R14" i="1505"/>
  <c r="D14" i="1505"/>
  <c r="R13" i="1505"/>
  <c r="D13" i="1505"/>
  <c r="R12" i="1505"/>
  <c r="R11" i="1505"/>
  <c r="L11" i="1505"/>
  <c r="D11" i="1505"/>
  <c r="L10" i="1505"/>
  <c r="D10" i="1505" s="1"/>
  <c r="L9" i="1505"/>
  <c r="D9" i="1505" s="1"/>
  <c r="L7" i="1505"/>
  <c r="D7" i="1505"/>
  <c r="R6" i="1505"/>
  <c r="L6" i="1505"/>
  <c r="D6" i="1505" s="1"/>
  <c r="R5" i="1505"/>
  <c r="R4" i="1505"/>
  <c r="D54" i="1504"/>
  <c r="H14" i="1504" s="1"/>
  <c r="R52" i="1504"/>
  <c r="R51" i="1504"/>
  <c r="D50" i="1504"/>
  <c r="R49" i="1504"/>
  <c r="G49" i="1504"/>
  <c r="D49" i="1504"/>
  <c r="R48" i="1504"/>
  <c r="D48" i="1504"/>
  <c r="D46" i="1504"/>
  <c r="D45" i="1504"/>
  <c r="D44" i="1504"/>
  <c r="R42" i="1504"/>
  <c r="D42" i="1504"/>
  <c r="R41" i="1504"/>
  <c r="D41" i="1504"/>
  <c r="R40" i="1504"/>
  <c r="D40" i="1504"/>
  <c r="R39" i="1504"/>
  <c r="D39" i="1504"/>
  <c r="R38" i="1504"/>
  <c r="D38" i="1504"/>
  <c r="R37" i="1504"/>
  <c r="D37" i="1504"/>
  <c r="R36" i="1504"/>
  <c r="D36" i="1504"/>
  <c r="R35" i="1504"/>
  <c r="D35" i="1504"/>
  <c r="R34" i="1504"/>
  <c r="D34" i="1504"/>
  <c r="R33" i="1504"/>
  <c r="R32" i="1504"/>
  <c r="R31" i="1504"/>
  <c r="R30" i="1504"/>
  <c r="R29" i="1504"/>
  <c r="R28" i="1504"/>
  <c r="D28" i="1504"/>
  <c r="R27" i="1504"/>
  <c r="D27" i="1504"/>
  <c r="R26" i="1504"/>
  <c r="L26" i="1504"/>
  <c r="D26" i="1504"/>
  <c r="R25" i="1504"/>
  <c r="L25" i="1504"/>
  <c r="D25" i="1504"/>
  <c r="R24" i="1504"/>
  <c r="D24" i="1504"/>
  <c r="R23" i="1504"/>
  <c r="L23" i="1504"/>
  <c r="D23" i="1504"/>
  <c r="R22" i="1504"/>
  <c r="L22" i="1504"/>
  <c r="D22" i="1504"/>
  <c r="R21" i="1504"/>
  <c r="D21" i="1504"/>
  <c r="R20" i="1504"/>
  <c r="L20" i="1504"/>
  <c r="D20" i="1504"/>
  <c r="R19" i="1504"/>
  <c r="L19" i="1504"/>
  <c r="D19" i="1504"/>
  <c r="R18" i="1504"/>
  <c r="D18" i="1504"/>
  <c r="R17" i="1504"/>
  <c r="D17" i="1504"/>
  <c r="R16" i="1504"/>
  <c r="L16" i="1504"/>
  <c r="D16" i="1504"/>
  <c r="S15" i="1504"/>
  <c r="R15" i="1504"/>
  <c r="D15" i="1504"/>
  <c r="S14" i="1504"/>
  <c r="R14" i="1504"/>
  <c r="D14" i="1504"/>
  <c r="R13" i="1504"/>
  <c r="D13" i="1504"/>
  <c r="R12" i="1504"/>
  <c r="L12" i="1504"/>
  <c r="D12" i="1504"/>
  <c r="R11" i="1504"/>
  <c r="L11" i="1504"/>
  <c r="D11" i="1504"/>
  <c r="L10" i="1504"/>
  <c r="D10" i="1504"/>
  <c r="D29" i="1504" s="1"/>
  <c r="H13" i="1504" s="1"/>
  <c r="H15" i="1504" s="1"/>
  <c r="H29" i="1504" s="1"/>
  <c r="G51" i="1504" s="1"/>
  <c r="L9" i="1504"/>
  <c r="D9" i="1504"/>
  <c r="L8" i="1504"/>
  <c r="D8" i="1504"/>
  <c r="L7" i="1504"/>
  <c r="D7" i="1504"/>
  <c r="R6" i="1504"/>
  <c r="L6" i="1504"/>
  <c r="D6" i="1504"/>
  <c r="R5" i="1504"/>
  <c r="R4" i="1504"/>
  <c r="R52" i="1503"/>
  <c r="R51" i="1503"/>
  <c r="D50" i="1503"/>
  <c r="R49" i="1503"/>
  <c r="D49" i="1503"/>
  <c r="R48" i="1503"/>
  <c r="D48" i="1503"/>
  <c r="D46" i="1503"/>
  <c r="D45" i="1503"/>
  <c r="D44" i="1503"/>
  <c r="R42" i="1503"/>
  <c r="L6" i="1503" s="1"/>
  <c r="D6" i="1503" s="1"/>
  <c r="D42" i="1503"/>
  <c r="R41" i="1503"/>
  <c r="L7" i="1503" s="1"/>
  <c r="D7" i="1503" s="1"/>
  <c r="D41" i="1503"/>
  <c r="R40" i="1503"/>
  <c r="D40" i="1503"/>
  <c r="R39" i="1503"/>
  <c r="H39" i="1503"/>
  <c r="D39" i="1503"/>
  <c r="R38" i="1503"/>
  <c r="H38" i="1503"/>
  <c r="D38" i="1503"/>
  <c r="R37" i="1503"/>
  <c r="H37" i="1503"/>
  <c r="D37" i="1503"/>
  <c r="R36" i="1503"/>
  <c r="L10" i="1503" s="1"/>
  <c r="D10" i="1503" s="1"/>
  <c r="H36" i="1503"/>
  <c r="D36" i="1503"/>
  <c r="R35" i="1503"/>
  <c r="L19" i="1503" s="1"/>
  <c r="D19" i="1503" s="1"/>
  <c r="H35" i="1503"/>
  <c r="D35" i="1503"/>
  <c r="R34" i="1503"/>
  <c r="H34" i="1503"/>
  <c r="G49" i="1503" s="1"/>
  <c r="D34" i="1503"/>
  <c r="D54" i="1503" s="1"/>
  <c r="H14" i="1503" s="1"/>
  <c r="R33" i="1503"/>
  <c r="R32" i="1503"/>
  <c r="R31" i="1503"/>
  <c r="R30" i="1503"/>
  <c r="R29" i="1503"/>
  <c r="R28" i="1503"/>
  <c r="L16" i="1503" s="1"/>
  <c r="D16" i="1503" s="1"/>
  <c r="D28" i="1503"/>
  <c r="R27" i="1503"/>
  <c r="D27" i="1503"/>
  <c r="R26" i="1503"/>
  <c r="L26" i="1503"/>
  <c r="D26" i="1503"/>
  <c r="R25" i="1503"/>
  <c r="L25" i="1503"/>
  <c r="D25" i="1503" s="1"/>
  <c r="R24" i="1503"/>
  <c r="D24" i="1503"/>
  <c r="R23" i="1503"/>
  <c r="L23" i="1503"/>
  <c r="D23" i="1503"/>
  <c r="R22" i="1503"/>
  <c r="L22" i="1503"/>
  <c r="D22" i="1503" s="1"/>
  <c r="R21" i="1503"/>
  <c r="D21" i="1503"/>
  <c r="R20" i="1503"/>
  <c r="L20" i="1503"/>
  <c r="D20" i="1503"/>
  <c r="R19" i="1503"/>
  <c r="R18" i="1503"/>
  <c r="D18" i="1503"/>
  <c r="R17" i="1503"/>
  <c r="D17" i="1503"/>
  <c r="R16" i="1503"/>
  <c r="R15" i="1503"/>
  <c r="D15" i="1503"/>
  <c r="R14" i="1503"/>
  <c r="D14" i="1503"/>
  <c r="R13" i="1503"/>
  <c r="D13" i="1503"/>
  <c r="R12" i="1503"/>
  <c r="L12" i="1503"/>
  <c r="D12" i="1503"/>
  <c r="R11" i="1503"/>
  <c r="L11" i="1503"/>
  <c r="D11" i="1503"/>
  <c r="L9" i="1503"/>
  <c r="D9" i="1503"/>
  <c r="L8" i="1503"/>
  <c r="D8" i="1503" s="1"/>
  <c r="R6" i="1503"/>
  <c r="R5" i="1503"/>
  <c r="R4" i="1503"/>
  <c r="R52" i="1502"/>
  <c r="R51" i="1502"/>
  <c r="D50" i="1502"/>
  <c r="R49" i="1502"/>
  <c r="D49" i="1502"/>
  <c r="R48" i="1502"/>
  <c r="D48" i="1502"/>
  <c r="D46" i="1502"/>
  <c r="D45" i="1502"/>
  <c r="D44" i="1502"/>
  <c r="R42" i="1502"/>
  <c r="L6" i="1502" s="1"/>
  <c r="D6" i="1502" s="1"/>
  <c r="D42" i="1502"/>
  <c r="R41" i="1502"/>
  <c r="L7" i="1502" s="1"/>
  <c r="D7" i="1502" s="1"/>
  <c r="D41" i="1502"/>
  <c r="R40" i="1502"/>
  <c r="L8" i="1502" s="1"/>
  <c r="D8" i="1502" s="1"/>
  <c r="D40" i="1502"/>
  <c r="R39" i="1502"/>
  <c r="L20" i="1502" s="1"/>
  <c r="D20" i="1502" s="1"/>
  <c r="H39" i="1502"/>
  <c r="D39" i="1502"/>
  <c r="R38" i="1502"/>
  <c r="L9" i="1502" s="1"/>
  <c r="D9" i="1502" s="1"/>
  <c r="H38" i="1502"/>
  <c r="D38" i="1502"/>
  <c r="R37" i="1502"/>
  <c r="H37" i="1502"/>
  <c r="D37" i="1502"/>
  <c r="R36" i="1502"/>
  <c r="H36" i="1502"/>
  <c r="D36" i="1502"/>
  <c r="R35" i="1502"/>
  <c r="L19" i="1502" s="1"/>
  <c r="D19" i="1502" s="1"/>
  <c r="H35" i="1502"/>
  <c r="D35" i="1502"/>
  <c r="R34" i="1502"/>
  <c r="H34" i="1502"/>
  <c r="G49" i="1502" s="1"/>
  <c r="D34" i="1502"/>
  <c r="D54" i="1502" s="1"/>
  <c r="H14" i="1502" s="1"/>
  <c r="R33" i="1502"/>
  <c r="R32" i="1502"/>
  <c r="R31" i="1502"/>
  <c r="R30" i="1502"/>
  <c r="R29" i="1502"/>
  <c r="R28" i="1502"/>
  <c r="D28" i="1502"/>
  <c r="R27" i="1502"/>
  <c r="D27" i="1502"/>
  <c r="R26" i="1502"/>
  <c r="L26" i="1502"/>
  <c r="D26" i="1502" s="1"/>
  <c r="R25" i="1502"/>
  <c r="L25" i="1502"/>
  <c r="D25" i="1502" s="1"/>
  <c r="R24" i="1502"/>
  <c r="L24" i="1502"/>
  <c r="D24" i="1502"/>
  <c r="R23" i="1502"/>
  <c r="L23" i="1502"/>
  <c r="D23" i="1502"/>
  <c r="R22" i="1502"/>
  <c r="L22" i="1502"/>
  <c r="D22" i="1502"/>
  <c r="R21" i="1502"/>
  <c r="L17" i="1502" s="1"/>
  <c r="D17" i="1502" s="1"/>
  <c r="D21" i="1502"/>
  <c r="R20" i="1502"/>
  <c r="R19" i="1502"/>
  <c r="R18" i="1502"/>
  <c r="D18" i="1502"/>
  <c r="R17" i="1502"/>
  <c r="R16" i="1502"/>
  <c r="L16" i="1502"/>
  <c r="D16" i="1502"/>
  <c r="R15" i="1502"/>
  <c r="D15" i="1502"/>
  <c r="R14" i="1502"/>
  <c r="D14" i="1502"/>
  <c r="R13" i="1502"/>
  <c r="D13" i="1502"/>
  <c r="R12" i="1502"/>
  <c r="L12" i="1502"/>
  <c r="D12" i="1502"/>
  <c r="R11" i="1502"/>
  <c r="L11" i="1502"/>
  <c r="D11" i="1502"/>
  <c r="L10" i="1502"/>
  <c r="D10" i="1502"/>
  <c r="R6" i="1502"/>
  <c r="R5" i="1502"/>
  <c r="R4" i="1502"/>
  <c r="D54" i="1501"/>
  <c r="H14" i="1501" s="1"/>
  <c r="R52" i="1501"/>
  <c r="R51" i="1501"/>
  <c r="D50" i="1501"/>
  <c r="R49" i="1501"/>
  <c r="D49" i="1501"/>
  <c r="R48" i="1501"/>
  <c r="D48" i="1501"/>
  <c r="D46" i="1501"/>
  <c r="D45" i="1501"/>
  <c r="P44" i="1501"/>
  <c r="R44" i="1501" s="1"/>
  <c r="D44" i="1501"/>
  <c r="R42" i="1501"/>
  <c r="L6" i="1501" s="1"/>
  <c r="D6" i="1501" s="1"/>
  <c r="D42" i="1501"/>
  <c r="R41" i="1501"/>
  <c r="L7" i="1501" s="1"/>
  <c r="D7" i="1501" s="1"/>
  <c r="D41" i="1501"/>
  <c r="R40" i="1501"/>
  <c r="D40" i="1501"/>
  <c r="R39" i="1501"/>
  <c r="L20" i="1501" s="1"/>
  <c r="D20" i="1501" s="1"/>
  <c r="H39" i="1501"/>
  <c r="D39" i="1501"/>
  <c r="R38" i="1501"/>
  <c r="H38" i="1501"/>
  <c r="D38" i="1501"/>
  <c r="R37" i="1501"/>
  <c r="H37" i="1501"/>
  <c r="D37" i="1501"/>
  <c r="R36" i="1501"/>
  <c r="L10" i="1501" s="1"/>
  <c r="D10" i="1501" s="1"/>
  <c r="H36" i="1501"/>
  <c r="G49" i="1501" s="1"/>
  <c r="D36" i="1501"/>
  <c r="R35" i="1501"/>
  <c r="H35" i="1501"/>
  <c r="D35" i="1501"/>
  <c r="R34" i="1501"/>
  <c r="H34" i="1501"/>
  <c r="D34" i="1501"/>
  <c r="R33" i="1501"/>
  <c r="R32" i="1501"/>
  <c r="R31" i="1501"/>
  <c r="R30" i="1501"/>
  <c r="R29" i="1501"/>
  <c r="R28" i="1501"/>
  <c r="L16" i="1501" s="1"/>
  <c r="D16" i="1501" s="1"/>
  <c r="D28" i="1501"/>
  <c r="R27" i="1501"/>
  <c r="D27" i="1501"/>
  <c r="R26" i="1501"/>
  <c r="L26" i="1501"/>
  <c r="D26" i="1501" s="1"/>
  <c r="R25" i="1501"/>
  <c r="L25" i="1501"/>
  <c r="D25" i="1501"/>
  <c r="R24" i="1501"/>
  <c r="L24" i="1501"/>
  <c r="D24" i="1501"/>
  <c r="R23" i="1501"/>
  <c r="D23" i="1501"/>
  <c r="R22" i="1501"/>
  <c r="D22" i="1501"/>
  <c r="R21" i="1501"/>
  <c r="D21" i="1501"/>
  <c r="R20" i="1501"/>
  <c r="R19" i="1501"/>
  <c r="D19" i="1501"/>
  <c r="R18" i="1501"/>
  <c r="D18" i="1501"/>
  <c r="R17" i="1501"/>
  <c r="L17" i="1501"/>
  <c r="D17" i="1501"/>
  <c r="R16" i="1501"/>
  <c r="R15" i="1501"/>
  <c r="D15" i="1501"/>
  <c r="R14" i="1501"/>
  <c r="D14" i="1501"/>
  <c r="R13" i="1501"/>
  <c r="D13" i="1501"/>
  <c r="R12" i="1501"/>
  <c r="L12" i="1501"/>
  <c r="D12" i="1501" s="1"/>
  <c r="R11" i="1501"/>
  <c r="L11" i="1501"/>
  <c r="D11" i="1501"/>
  <c r="L9" i="1501"/>
  <c r="D9" i="1501"/>
  <c r="L8" i="1501"/>
  <c r="D8" i="1501" s="1"/>
  <c r="R6" i="1501"/>
  <c r="R5" i="1501"/>
  <c r="R4" i="1501"/>
  <c r="R52" i="1500"/>
  <c r="R51" i="1500"/>
  <c r="D50" i="1500"/>
  <c r="R49" i="1500"/>
  <c r="G49" i="1500"/>
  <c r="D49" i="1500"/>
  <c r="R48" i="1500"/>
  <c r="D48" i="1500"/>
  <c r="D46" i="1500"/>
  <c r="D45" i="1500"/>
  <c r="D44" i="1500"/>
  <c r="R42" i="1500"/>
  <c r="L6" i="1500" s="1"/>
  <c r="D6" i="1500" s="1"/>
  <c r="D42" i="1500"/>
  <c r="R41" i="1500"/>
  <c r="L7" i="1500" s="1"/>
  <c r="D7" i="1500" s="1"/>
  <c r="D41" i="1500"/>
  <c r="R40" i="1500"/>
  <c r="D40" i="1500"/>
  <c r="R39" i="1500"/>
  <c r="D39" i="1500"/>
  <c r="R38" i="1500"/>
  <c r="D38" i="1500"/>
  <c r="R37" i="1500"/>
  <c r="D37" i="1500"/>
  <c r="R36" i="1500"/>
  <c r="D36" i="1500"/>
  <c r="R35" i="1500"/>
  <c r="D35" i="1500"/>
  <c r="R34" i="1500"/>
  <c r="L12" i="1500" s="1"/>
  <c r="D12" i="1500" s="1"/>
  <c r="D34" i="1500"/>
  <c r="D54" i="1500" s="1"/>
  <c r="H14" i="1500" s="1"/>
  <c r="R33" i="1500"/>
  <c r="L23" i="1500" s="1"/>
  <c r="D23" i="1500" s="1"/>
  <c r="R32" i="1500"/>
  <c r="R31" i="1500"/>
  <c r="R30" i="1500"/>
  <c r="R29" i="1500"/>
  <c r="R28" i="1500"/>
  <c r="L16" i="1500" s="1"/>
  <c r="D16" i="1500" s="1"/>
  <c r="D28" i="1500"/>
  <c r="R27" i="1500"/>
  <c r="D27" i="1500"/>
  <c r="R26" i="1500"/>
  <c r="L26" i="1500"/>
  <c r="D26" i="1500"/>
  <c r="R25" i="1500"/>
  <c r="L25" i="1500"/>
  <c r="D25" i="1500"/>
  <c r="R24" i="1500"/>
  <c r="D24" i="1500"/>
  <c r="R23" i="1500"/>
  <c r="R22" i="1500"/>
  <c r="L22" i="1500"/>
  <c r="D22" i="1500"/>
  <c r="R21" i="1500"/>
  <c r="D21" i="1500"/>
  <c r="R20" i="1500"/>
  <c r="L20" i="1500"/>
  <c r="D20" i="1500"/>
  <c r="R19" i="1500"/>
  <c r="L19" i="1500"/>
  <c r="D19" i="1500"/>
  <c r="R18" i="1500"/>
  <c r="D18" i="1500"/>
  <c r="R17" i="1500"/>
  <c r="D17" i="1500"/>
  <c r="R16" i="1500"/>
  <c r="S15" i="1500"/>
  <c r="R15" i="1500"/>
  <c r="D15" i="1500"/>
  <c r="S14" i="1500"/>
  <c r="R14" i="1500"/>
  <c r="D14" i="1500"/>
  <c r="R13" i="1500"/>
  <c r="D13" i="1500"/>
  <c r="R12" i="1500"/>
  <c r="R11" i="1500"/>
  <c r="L11" i="1500"/>
  <c r="D11" i="1500" s="1"/>
  <c r="L10" i="1500"/>
  <c r="D10" i="1500"/>
  <c r="L9" i="1500"/>
  <c r="D9" i="1500"/>
  <c r="L8" i="1500"/>
  <c r="D8" i="1500"/>
  <c r="R6" i="1500"/>
  <c r="R5" i="1500"/>
  <c r="R4" i="1500"/>
  <c r="R52" i="1499"/>
  <c r="R51" i="1499"/>
  <c r="D50" i="1499"/>
  <c r="R49" i="1499"/>
  <c r="D49" i="1499"/>
  <c r="R48" i="1499"/>
  <c r="D48" i="1499"/>
  <c r="D46" i="1499"/>
  <c r="D45" i="1499"/>
  <c r="D44" i="1499"/>
  <c r="R42" i="1499"/>
  <c r="D42" i="1499"/>
  <c r="R41" i="1499"/>
  <c r="D41" i="1499"/>
  <c r="R40" i="1499"/>
  <c r="L8" i="1499" s="1"/>
  <c r="D8" i="1499" s="1"/>
  <c r="D40" i="1499"/>
  <c r="R39" i="1499"/>
  <c r="H39" i="1499"/>
  <c r="D39" i="1499"/>
  <c r="R38" i="1499"/>
  <c r="L9" i="1499" s="1"/>
  <c r="D9" i="1499" s="1"/>
  <c r="H38" i="1499"/>
  <c r="G49" i="1499" s="1"/>
  <c r="D38" i="1499"/>
  <c r="R37" i="1499"/>
  <c r="H37" i="1499"/>
  <c r="D37" i="1499"/>
  <c r="R36" i="1499"/>
  <c r="H36" i="1499"/>
  <c r="D36" i="1499"/>
  <c r="R35" i="1499"/>
  <c r="H35" i="1499"/>
  <c r="D35" i="1499"/>
  <c r="R34" i="1499"/>
  <c r="H34" i="1499"/>
  <c r="D34" i="1499"/>
  <c r="D54" i="1499" s="1"/>
  <c r="H14" i="1499" s="1"/>
  <c r="R33" i="1499"/>
  <c r="R32" i="1499"/>
  <c r="L11" i="1499" s="1"/>
  <c r="D11" i="1499" s="1"/>
  <c r="R31" i="1499"/>
  <c r="R30" i="1499"/>
  <c r="R29" i="1499"/>
  <c r="R28" i="1499"/>
  <c r="L16" i="1499" s="1"/>
  <c r="D16" i="1499" s="1"/>
  <c r="D28" i="1499"/>
  <c r="R27" i="1499"/>
  <c r="D27" i="1499"/>
  <c r="R26" i="1499"/>
  <c r="L26" i="1499"/>
  <c r="D26" i="1499" s="1"/>
  <c r="R25" i="1499"/>
  <c r="L25" i="1499"/>
  <c r="D25" i="1499"/>
  <c r="R24" i="1499"/>
  <c r="D24" i="1499"/>
  <c r="R23" i="1499"/>
  <c r="L23" i="1499"/>
  <c r="D23" i="1499" s="1"/>
  <c r="R22" i="1499"/>
  <c r="L22" i="1499"/>
  <c r="D22" i="1499" s="1"/>
  <c r="R21" i="1499"/>
  <c r="D21" i="1499"/>
  <c r="R20" i="1499"/>
  <c r="L20" i="1499"/>
  <c r="D20" i="1499"/>
  <c r="R19" i="1499"/>
  <c r="L19" i="1499"/>
  <c r="D19" i="1499"/>
  <c r="R18" i="1499"/>
  <c r="D18" i="1499"/>
  <c r="R17" i="1499"/>
  <c r="D17" i="1499"/>
  <c r="R16" i="1499"/>
  <c r="R15" i="1499"/>
  <c r="D15" i="1499"/>
  <c r="R14" i="1499"/>
  <c r="D14" i="1499"/>
  <c r="R13" i="1499"/>
  <c r="D13" i="1499"/>
  <c r="R12" i="1499"/>
  <c r="L12" i="1499"/>
  <c r="D12" i="1499"/>
  <c r="R11" i="1499"/>
  <c r="L10" i="1499"/>
  <c r="D10" i="1499" s="1"/>
  <c r="L7" i="1499"/>
  <c r="D7" i="1499"/>
  <c r="R6" i="1499"/>
  <c r="L6" i="1499"/>
  <c r="D6" i="1499"/>
  <c r="R5" i="1499"/>
  <c r="R4" i="1499"/>
  <c r="R52" i="1498"/>
  <c r="R51" i="1498"/>
  <c r="D50" i="1498"/>
  <c r="R49" i="1498"/>
  <c r="D49" i="1498"/>
  <c r="R48" i="1498"/>
  <c r="D48" i="1498"/>
  <c r="D46" i="1498"/>
  <c r="D45" i="1498"/>
  <c r="D44" i="1498"/>
  <c r="R42" i="1498"/>
  <c r="D42" i="1498"/>
  <c r="R41" i="1498"/>
  <c r="D41" i="1498"/>
  <c r="R40" i="1498"/>
  <c r="D40" i="1498"/>
  <c r="R39" i="1498"/>
  <c r="L20" i="1498" s="1"/>
  <c r="D20" i="1498" s="1"/>
  <c r="H39" i="1498"/>
  <c r="D39" i="1498"/>
  <c r="R38" i="1498"/>
  <c r="L9" i="1498" s="1"/>
  <c r="D9" i="1498" s="1"/>
  <c r="H38" i="1498"/>
  <c r="G49" i="1498" s="1"/>
  <c r="D38" i="1498"/>
  <c r="R37" i="1498"/>
  <c r="H37" i="1498"/>
  <c r="D37" i="1498"/>
  <c r="R36" i="1498"/>
  <c r="H36" i="1498"/>
  <c r="D36" i="1498"/>
  <c r="R35" i="1498"/>
  <c r="H35" i="1498"/>
  <c r="D35" i="1498"/>
  <c r="R34" i="1498"/>
  <c r="H34" i="1498"/>
  <c r="D34" i="1498"/>
  <c r="D54" i="1498" s="1"/>
  <c r="H14" i="1498" s="1"/>
  <c r="R33" i="1498"/>
  <c r="L23" i="1498" s="1"/>
  <c r="D23" i="1498" s="1"/>
  <c r="R32" i="1498"/>
  <c r="L11" i="1498" s="1"/>
  <c r="D11" i="1498" s="1"/>
  <c r="R31" i="1498"/>
  <c r="R30" i="1498"/>
  <c r="R29" i="1498"/>
  <c r="R28" i="1498"/>
  <c r="D28" i="1498"/>
  <c r="R27" i="1498"/>
  <c r="D27" i="1498"/>
  <c r="R26" i="1498"/>
  <c r="L26" i="1498"/>
  <c r="D26" i="1498"/>
  <c r="R25" i="1498"/>
  <c r="L25" i="1498"/>
  <c r="D25" i="1498"/>
  <c r="R24" i="1498"/>
  <c r="L24" i="1498"/>
  <c r="D24" i="1498"/>
  <c r="R23" i="1498"/>
  <c r="R22" i="1498"/>
  <c r="L22" i="1498"/>
  <c r="D22" i="1498"/>
  <c r="R21" i="1498"/>
  <c r="D21" i="1498"/>
  <c r="R20" i="1498"/>
  <c r="R19" i="1498"/>
  <c r="L19" i="1498"/>
  <c r="D19" i="1498"/>
  <c r="R18" i="1498"/>
  <c r="D18" i="1498"/>
  <c r="R17" i="1498"/>
  <c r="L17" i="1498"/>
  <c r="D17" i="1498" s="1"/>
  <c r="R16" i="1498"/>
  <c r="L16" i="1498"/>
  <c r="D16" i="1498"/>
  <c r="R15" i="1498"/>
  <c r="D15" i="1498"/>
  <c r="R14" i="1498"/>
  <c r="D14" i="1498"/>
  <c r="R13" i="1498"/>
  <c r="D13" i="1498"/>
  <c r="R12" i="1498"/>
  <c r="L12" i="1498"/>
  <c r="D12" i="1498" s="1"/>
  <c r="R11" i="1498"/>
  <c r="L10" i="1498"/>
  <c r="D10" i="1498"/>
  <c r="L8" i="1498"/>
  <c r="D8" i="1498"/>
  <c r="L7" i="1498"/>
  <c r="D7" i="1498"/>
  <c r="R6" i="1498"/>
  <c r="L6" i="1498"/>
  <c r="D6" i="1498"/>
  <c r="R5" i="1498"/>
  <c r="R4" i="1498"/>
  <c r="R52" i="1497"/>
  <c r="R51" i="1497"/>
  <c r="D50" i="1497"/>
  <c r="R49" i="1497"/>
  <c r="D49" i="1497"/>
  <c r="R48" i="1497"/>
  <c r="D48" i="1497"/>
  <c r="D46" i="1497"/>
  <c r="D45" i="1497"/>
  <c r="P44" i="1497"/>
  <c r="R44" i="1497" s="1"/>
  <c r="D44" i="1497"/>
  <c r="R42" i="1497"/>
  <c r="L6" i="1497" s="1"/>
  <c r="D6" i="1497" s="1"/>
  <c r="D42" i="1497"/>
  <c r="R41" i="1497"/>
  <c r="D41" i="1497"/>
  <c r="R40" i="1497"/>
  <c r="L8" i="1497" s="1"/>
  <c r="D8" i="1497" s="1"/>
  <c r="D40" i="1497"/>
  <c r="R39" i="1497"/>
  <c r="H39" i="1497"/>
  <c r="D39" i="1497"/>
  <c r="R38" i="1497"/>
  <c r="L9" i="1497" s="1"/>
  <c r="D9" i="1497" s="1"/>
  <c r="H38" i="1497"/>
  <c r="D38" i="1497"/>
  <c r="R37" i="1497"/>
  <c r="H37" i="1497"/>
  <c r="D37" i="1497"/>
  <c r="R36" i="1497"/>
  <c r="L10" i="1497" s="1"/>
  <c r="D10" i="1497" s="1"/>
  <c r="H36" i="1497"/>
  <c r="D36" i="1497"/>
  <c r="R35" i="1497"/>
  <c r="H35" i="1497"/>
  <c r="G49" i="1497" s="1"/>
  <c r="D35" i="1497"/>
  <c r="D54" i="1497" s="1"/>
  <c r="H14" i="1497" s="1"/>
  <c r="R34" i="1497"/>
  <c r="L12" i="1497" s="1"/>
  <c r="D12" i="1497" s="1"/>
  <c r="H34" i="1497"/>
  <c r="D34" i="1497"/>
  <c r="R33" i="1497"/>
  <c r="R32" i="1497"/>
  <c r="R31" i="1497"/>
  <c r="R30" i="1497"/>
  <c r="R29" i="1497"/>
  <c r="R28" i="1497"/>
  <c r="L16" i="1497" s="1"/>
  <c r="D16" i="1497" s="1"/>
  <c r="D28" i="1497"/>
  <c r="R27" i="1497"/>
  <c r="D27" i="1497"/>
  <c r="R26" i="1497"/>
  <c r="L26" i="1497"/>
  <c r="D26" i="1497"/>
  <c r="R25" i="1497"/>
  <c r="L25" i="1497"/>
  <c r="D25" i="1497"/>
  <c r="R24" i="1497"/>
  <c r="L24" i="1497"/>
  <c r="D24" i="1497"/>
  <c r="R23" i="1497"/>
  <c r="D23" i="1497"/>
  <c r="R22" i="1497"/>
  <c r="D22" i="1497"/>
  <c r="R21" i="1497"/>
  <c r="D21" i="1497"/>
  <c r="R20" i="1497"/>
  <c r="L20" i="1497"/>
  <c r="D20" i="1497"/>
  <c r="R19" i="1497"/>
  <c r="D19" i="1497"/>
  <c r="R18" i="1497"/>
  <c r="D18" i="1497"/>
  <c r="R17" i="1497"/>
  <c r="L17" i="1497"/>
  <c r="D17" i="1497"/>
  <c r="R16" i="1497"/>
  <c r="R15" i="1497"/>
  <c r="D15" i="1497"/>
  <c r="R14" i="1497"/>
  <c r="D14" i="1497"/>
  <c r="R13" i="1497"/>
  <c r="D13" i="1497"/>
  <c r="R12" i="1497"/>
  <c r="R11" i="1497"/>
  <c r="L11" i="1497"/>
  <c r="D11" i="1497" s="1"/>
  <c r="L7" i="1497"/>
  <c r="D7" i="1497"/>
  <c r="R6" i="1497"/>
  <c r="R5" i="1497"/>
  <c r="R4" i="1497"/>
  <c r="D29" i="1519" l="1"/>
  <c r="H13" i="1519" s="1"/>
  <c r="H15" i="1519" s="1"/>
  <c r="H29" i="1519" s="1"/>
  <c r="G51" i="1519"/>
  <c r="D29" i="1518"/>
  <c r="H13" i="1518" s="1"/>
  <c r="H15" i="1518" s="1"/>
  <c r="H29" i="1518" s="1"/>
  <c r="G51" i="1518"/>
  <c r="D29" i="1517"/>
  <c r="H13" i="1517" s="1"/>
  <c r="H15" i="1517" s="1"/>
  <c r="H29" i="1517" s="1"/>
  <c r="G51" i="1517"/>
  <c r="D29" i="1516"/>
  <c r="H13" i="1516" s="1"/>
  <c r="H15" i="1516" s="1"/>
  <c r="H29" i="1516" s="1"/>
  <c r="G51" i="1516" s="1"/>
  <c r="D29" i="1515"/>
  <c r="H13" i="1515" s="1"/>
  <c r="H15" i="1515" s="1"/>
  <c r="H29" i="1515" s="1"/>
  <c r="G51" i="1515" s="1"/>
  <c r="G51" i="1514"/>
  <c r="D29" i="1513"/>
  <c r="H13" i="1513" s="1"/>
  <c r="H15" i="1513" s="1"/>
  <c r="H29" i="1513" s="1"/>
  <c r="G51" i="1513" s="1"/>
  <c r="D29" i="1512"/>
  <c r="H13" i="1512" s="1"/>
  <c r="H15" i="1512" s="1"/>
  <c r="H29" i="1512" s="1"/>
  <c r="G51" i="1512" s="1"/>
  <c r="D29" i="1511"/>
  <c r="H13" i="1511" s="1"/>
  <c r="H15" i="1511" s="1"/>
  <c r="H29" i="1511" s="1"/>
  <c r="G51" i="1511" s="1"/>
  <c r="D29" i="1510"/>
  <c r="H13" i="1510" s="1"/>
  <c r="H15" i="1510" s="1"/>
  <c r="H29" i="1510" s="1"/>
  <c r="G51" i="1510"/>
  <c r="D29" i="1509"/>
  <c r="H13" i="1509" s="1"/>
  <c r="H15" i="1509" s="1"/>
  <c r="H29" i="1509" s="1"/>
  <c r="G51" i="1509" s="1"/>
  <c r="D29" i="1508"/>
  <c r="H13" i="1508" s="1"/>
  <c r="H15" i="1508" s="1"/>
  <c r="H29" i="1508" s="1"/>
  <c r="G51" i="1508" s="1"/>
  <c r="D29" i="1507"/>
  <c r="H13" i="1507" s="1"/>
  <c r="H15" i="1507" s="1"/>
  <c r="H29" i="1507" s="1"/>
  <c r="G51" i="1507" s="1"/>
  <c r="D29" i="1506"/>
  <c r="H13" i="1506" s="1"/>
  <c r="H15" i="1506" s="1"/>
  <c r="H29" i="1506" s="1"/>
  <c r="G51" i="1506"/>
  <c r="D29" i="1505"/>
  <c r="H13" i="1505" s="1"/>
  <c r="H15" i="1505" s="1"/>
  <c r="H29" i="1505" s="1"/>
  <c r="G51" i="1505" s="1"/>
  <c r="D29" i="1503"/>
  <c r="H13" i="1503" s="1"/>
  <c r="H15" i="1503" s="1"/>
  <c r="H29" i="1503" s="1"/>
  <c r="G51" i="1503" s="1"/>
  <c r="D29" i="1502"/>
  <c r="H13" i="1502" s="1"/>
  <c r="H15" i="1502" s="1"/>
  <c r="H29" i="1502" s="1"/>
  <c r="G51" i="1502"/>
  <c r="D29" i="1501"/>
  <c r="H13" i="1501" s="1"/>
  <c r="H15" i="1501" s="1"/>
  <c r="H29" i="1501" s="1"/>
  <c r="G51" i="1501" s="1"/>
  <c r="D29" i="1500"/>
  <c r="H13" i="1500" s="1"/>
  <c r="H15" i="1500" s="1"/>
  <c r="H29" i="1500" s="1"/>
  <c r="G51" i="1500" s="1"/>
  <c r="D29" i="1499"/>
  <c r="H13" i="1499" s="1"/>
  <c r="H15" i="1499" s="1"/>
  <c r="H29" i="1499" s="1"/>
  <c r="G51" i="1499" s="1"/>
  <c r="D29" i="1498"/>
  <c r="H13" i="1498" s="1"/>
  <c r="H15" i="1498" s="1"/>
  <c r="H29" i="1498" s="1"/>
  <c r="G51" i="1498" s="1"/>
  <c r="D29" i="1497"/>
  <c r="H13" i="1497" s="1"/>
  <c r="H15" i="1497" s="1"/>
  <c r="H29" i="1497" s="1"/>
  <c r="G51" i="1497" s="1"/>
  <c r="C12" i="1469"/>
  <c r="H16" i="1470" l="1"/>
  <c r="C12" i="1470" l="1"/>
  <c r="H16" i="1466" l="1"/>
  <c r="H16" i="1464" l="1"/>
  <c r="C21" i="1466"/>
  <c r="C21" i="1460" l="1"/>
  <c r="R52" i="1496" l="1"/>
  <c r="R51" i="1496"/>
  <c r="D50" i="1496"/>
  <c r="R49" i="1496"/>
  <c r="G49" i="1496"/>
  <c r="D49" i="1496"/>
  <c r="R48" i="1496"/>
  <c r="D48" i="1496"/>
  <c r="D46" i="1496"/>
  <c r="D45" i="1496"/>
  <c r="D44" i="1496"/>
  <c r="R42" i="1496"/>
  <c r="D42" i="1496"/>
  <c r="R41" i="1496"/>
  <c r="L7" i="1496" s="1"/>
  <c r="D7" i="1496" s="1"/>
  <c r="D41" i="1496"/>
  <c r="R40" i="1496"/>
  <c r="L8" i="1496" s="1"/>
  <c r="D8" i="1496" s="1"/>
  <c r="D40" i="1496"/>
  <c r="R39" i="1496"/>
  <c r="D39" i="1496"/>
  <c r="R38" i="1496"/>
  <c r="D38" i="1496"/>
  <c r="R37" i="1496"/>
  <c r="D37" i="1496"/>
  <c r="R36" i="1496"/>
  <c r="D36" i="1496"/>
  <c r="R35" i="1496"/>
  <c r="D35" i="1496"/>
  <c r="R34" i="1496"/>
  <c r="L12" i="1496" s="1"/>
  <c r="D12" i="1496" s="1"/>
  <c r="D34" i="1496"/>
  <c r="D54" i="1496" s="1"/>
  <c r="H14" i="1496" s="1"/>
  <c r="R33" i="1496"/>
  <c r="L23" i="1496" s="1"/>
  <c r="D23" i="1496" s="1"/>
  <c r="R32" i="1496"/>
  <c r="L11" i="1496" s="1"/>
  <c r="D11" i="1496" s="1"/>
  <c r="R31" i="1496"/>
  <c r="R30" i="1496"/>
  <c r="R29" i="1496"/>
  <c r="R28" i="1496"/>
  <c r="D28" i="1496"/>
  <c r="R27" i="1496"/>
  <c r="D27" i="1496"/>
  <c r="R26" i="1496"/>
  <c r="L26" i="1496"/>
  <c r="D26" i="1496" s="1"/>
  <c r="R25" i="1496"/>
  <c r="L25" i="1496"/>
  <c r="D25" i="1496"/>
  <c r="R24" i="1496"/>
  <c r="D24" i="1496"/>
  <c r="R23" i="1496"/>
  <c r="R22" i="1496"/>
  <c r="L22" i="1496"/>
  <c r="D22" i="1496"/>
  <c r="R21" i="1496"/>
  <c r="D21" i="1496"/>
  <c r="R20" i="1496"/>
  <c r="L20" i="1496"/>
  <c r="D20" i="1496" s="1"/>
  <c r="R19" i="1496"/>
  <c r="L19" i="1496"/>
  <c r="D19" i="1496"/>
  <c r="R18" i="1496"/>
  <c r="D18" i="1496"/>
  <c r="R17" i="1496"/>
  <c r="D17" i="1496"/>
  <c r="R16" i="1496"/>
  <c r="L16" i="1496"/>
  <c r="D16" i="1496" s="1"/>
  <c r="S15" i="1496"/>
  <c r="R15" i="1496"/>
  <c r="D15" i="1496"/>
  <c r="S14" i="1496"/>
  <c r="R14" i="1496"/>
  <c r="D14" i="1496"/>
  <c r="R13" i="1496"/>
  <c r="D13" i="1496"/>
  <c r="R12" i="1496"/>
  <c r="R11" i="1496"/>
  <c r="L10" i="1496"/>
  <c r="D10" i="1496" s="1"/>
  <c r="L9" i="1496"/>
  <c r="D9" i="1496"/>
  <c r="R6" i="1496"/>
  <c r="L6" i="1496"/>
  <c r="D6" i="1496" s="1"/>
  <c r="R5" i="1496"/>
  <c r="R4" i="1496"/>
  <c r="R52" i="1495"/>
  <c r="R51" i="1495"/>
  <c r="D50" i="1495"/>
  <c r="R49" i="1495"/>
  <c r="D49" i="1495"/>
  <c r="R48" i="1495"/>
  <c r="D48" i="1495"/>
  <c r="D46" i="1495"/>
  <c r="D45" i="1495"/>
  <c r="D44" i="1495"/>
  <c r="R42" i="1495"/>
  <c r="D42" i="1495"/>
  <c r="R41" i="1495"/>
  <c r="L7" i="1495" s="1"/>
  <c r="D7" i="1495" s="1"/>
  <c r="D41" i="1495"/>
  <c r="R40" i="1495"/>
  <c r="D40" i="1495"/>
  <c r="R39" i="1495"/>
  <c r="H39" i="1495"/>
  <c r="D39" i="1495"/>
  <c r="R38" i="1495"/>
  <c r="H38" i="1495"/>
  <c r="D38" i="1495"/>
  <c r="R37" i="1495"/>
  <c r="H37" i="1495"/>
  <c r="D37" i="1495"/>
  <c r="R36" i="1495"/>
  <c r="H36" i="1495"/>
  <c r="D36" i="1495"/>
  <c r="R35" i="1495"/>
  <c r="L19" i="1495" s="1"/>
  <c r="D19" i="1495" s="1"/>
  <c r="H35" i="1495"/>
  <c r="G49" i="1495" s="1"/>
  <c r="D35" i="1495"/>
  <c r="R34" i="1495"/>
  <c r="L12" i="1495" s="1"/>
  <c r="D12" i="1495" s="1"/>
  <c r="H34" i="1495"/>
  <c r="D34" i="1495"/>
  <c r="D54" i="1495" s="1"/>
  <c r="H14" i="1495" s="1"/>
  <c r="R33" i="1495"/>
  <c r="L23" i="1495" s="1"/>
  <c r="D23" i="1495" s="1"/>
  <c r="R32" i="1495"/>
  <c r="R31" i="1495"/>
  <c r="R30" i="1495"/>
  <c r="R29" i="1495"/>
  <c r="R28" i="1495"/>
  <c r="D28" i="1495"/>
  <c r="R27" i="1495"/>
  <c r="D27" i="1495"/>
  <c r="R26" i="1495"/>
  <c r="L26" i="1495"/>
  <c r="D26" i="1495"/>
  <c r="R25" i="1495"/>
  <c r="L25" i="1495"/>
  <c r="D25" i="1495"/>
  <c r="R24" i="1495"/>
  <c r="D24" i="1495"/>
  <c r="R23" i="1495"/>
  <c r="R22" i="1495"/>
  <c r="L22" i="1495"/>
  <c r="D22" i="1495" s="1"/>
  <c r="R21" i="1495"/>
  <c r="D21" i="1495"/>
  <c r="R20" i="1495"/>
  <c r="L20" i="1495"/>
  <c r="D20" i="1495"/>
  <c r="R19" i="1495"/>
  <c r="R18" i="1495"/>
  <c r="D18" i="1495"/>
  <c r="R17" i="1495"/>
  <c r="D17" i="1495"/>
  <c r="R16" i="1495"/>
  <c r="L16" i="1495"/>
  <c r="D16" i="1495" s="1"/>
  <c r="R15" i="1495"/>
  <c r="D15" i="1495"/>
  <c r="R14" i="1495"/>
  <c r="D14" i="1495"/>
  <c r="R13" i="1495"/>
  <c r="D13" i="1495"/>
  <c r="R12" i="1495"/>
  <c r="R11" i="1495"/>
  <c r="L11" i="1495"/>
  <c r="D11" i="1495"/>
  <c r="L10" i="1495"/>
  <c r="D10" i="1495" s="1"/>
  <c r="L9" i="1495"/>
  <c r="D9" i="1495"/>
  <c r="L8" i="1495"/>
  <c r="D8" i="1495" s="1"/>
  <c r="R6" i="1495"/>
  <c r="L6" i="1495"/>
  <c r="D6" i="1495" s="1"/>
  <c r="R5" i="1495"/>
  <c r="R4" i="1495"/>
  <c r="R52" i="1494"/>
  <c r="R51" i="1494"/>
  <c r="D50" i="1494"/>
  <c r="R49" i="1494"/>
  <c r="D49" i="1494"/>
  <c r="R48" i="1494"/>
  <c r="D48" i="1494"/>
  <c r="D46" i="1494"/>
  <c r="D45" i="1494"/>
  <c r="D44" i="1494"/>
  <c r="R42" i="1494"/>
  <c r="L6" i="1494" s="1"/>
  <c r="D6" i="1494" s="1"/>
  <c r="D42" i="1494"/>
  <c r="R41" i="1494"/>
  <c r="L7" i="1494" s="1"/>
  <c r="D7" i="1494" s="1"/>
  <c r="D41" i="1494"/>
  <c r="R40" i="1494"/>
  <c r="D40" i="1494"/>
  <c r="R39" i="1494"/>
  <c r="L20" i="1494" s="1"/>
  <c r="D20" i="1494" s="1"/>
  <c r="H39" i="1494"/>
  <c r="D39" i="1494"/>
  <c r="R38" i="1494"/>
  <c r="L9" i="1494" s="1"/>
  <c r="D9" i="1494" s="1"/>
  <c r="H38" i="1494"/>
  <c r="D38" i="1494"/>
  <c r="R37" i="1494"/>
  <c r="H37" i="1494"/>
  <c r="D37" i="1494"/>
  <c r="R36" i="1494"/>
  <c r="H36" i="1494"/>
  <c r="G49" i="1494" s="1"/>
  <c r="D36" i="1494"/>
  <c r="R35" i="1494"/>
  <c r="L19" i="1494" s="1"/>
  <c r="D19" i="1494" s="1"/>
  <c r="H35" i="1494"/>
  <c r="D35" i="1494"/>
  <c r="R34" i="1494"/>
  <c r="H34" i="1494"/>
  <c r="D34" i="1494"/>
  <c r="D54" i="1494" s="1"/>
  <c r="H14" i="1494" s="1"/>
  <c r="R33" i="1494"/>
  <c r="R32" i="1494"/>
  <c r="R31" i="1494"/>
  <c r="R30" i="1494"/>
  <c r="R29" i="1494"/>
  <c r="R28" i="1494"/>
  <c r="D28" i="1494"/>
  <c r="R27" i="1494"/>
  <c r="D27" i="1494"/>
  <c r="R26" i="1494"/>
  <c r="L26" i="1494"/>
  <c r="D26" i="1494"/>
  <c r="R25" i="1494"/>
  <c r="L25" i="1494"/>
  <c r="D25" i="1494"/>
  <c r="R24" i="1494"/>
  <c r="L24" i="1494"/>
  <c r="D24" i="1494"/>
  <c r="R23" i="1494"/>
  <c r="L23" i="1494"/>
  <c r="D23" i="1494"/>
  <c r="R22" i="1494"/>
  <c r="L22" i="1494"/>
  <c r="D22" i="1494"/>
  <c r="R21" i="1494"/>
  <c r="L17" i="1494" s="1"/>
  <c r="D17" i="1494" s="1"/>
  <c r="D21" i="1494"/>
  <c r="R20" i="1494"/>
  <c r="R19" i="1494"/>
  <c r="R18" i="1494"/>
  <c r="D18" i="1494"/>
  <c r="R17" i="1494"/>
  <c r="R16" i="1494"/>
  <c r="L16" i="1494"/>
  <c r="D16" i="1494"/>
  <c r="R15" i="1494"/>
  <c r="D15" i="1494"/>
  <c r="R14" i="1494"/>
  <c r="D14" i="1494"/>
  <c r="R13" i="1494"/>
  <c r="D13" i="1494"/>
  <c r="R12" i="1494"/>
  <c r="L12" i="1494"/>
  <c r="D12" i="1494"/>
  <c r="R11" i="1494"/>
  <c r="L11" i="1494"/>
  <c r="D11" i="1494"/>
  <c r="L10" i="1494"/>
  <c r="D10" i="1494"/>
  <c r="L8" i="1494"/>
  <c r="D8" i="1494"/>
  <c r="R6" i="1494"/>
  <c r="R5" i="1494"/>
  <c r="R4" i="1494"/>
  <c r="R52" i="1493"/>
  <c r="R51" i="1493"/>
  <c r="D50" i="1493"/>
  <c r="R49" i="1493"/>
  <c r="D49" i="1493"/>
  <c r="R48" i="1493"/>
  <c r="D48" i="1493"/>
  <c r="D46" i="1493"/>
  <c r="D45" i="1493"/>
  <c r="P44" i="1493"/>
  <c r="R44" i="1493" s="1"/>
  <c r="D44" i="1493"/>
  <c r="R42" i="1493"/>
  <c r="L6" i="1493" s="1"/>
  <c r="D6" i="1493" s="1"/>
  <c r="D42" i="1493"/>
  <c r="R41" i="1493"/>
  <c r="D41" i="1493"/>
  <c r="R40" i="1493"/>
  <c r="D40" i="1493"/>
  <c r="R39" i="1493"/>
  <c r="L20" i="1493" s="1"/>
  <c r="D20" i="1493" s="1"/>
  <c r="H39" i="1493"/>
  <c r="D39" i="1493"/>
  <c r="R38" i="1493"/>
  <c r="H38" i="1493"/>
  <c r="D38" i="1493"/>
  <c r="R37" i="1493"/>
  <c r="H37" i="1493"/>
  <c r="D37" i="1493"/>
  <c r="R36" i="1493"/>
  <c r="L10" i="1493" s="1"/>
  <c r="D10" i="1493" s="1"/>
  <c r="H36" i="1493"/>
  <c r="D36" i="1493"/>
  <c r="D54" i="1493" s="1"/>
  <c r="H14" i="1493" s="1"/>
  <c r="R35" i="1493"/>
  <c r="H35" i="1493"/>
  <c r="D35" i="1493"/>
  <c r="R34" i="1493"/>
  <c r="L12" i="1493" s="1"/>
  <c r="D12" i="1493" s="1"/>
  <c r="H34" i="1493"/>
  <c r="G49" i="1493" s="1"/>
  <c r="D34" i="1493"/>
  <c r="R33" i="1493"/>
  <c r="R32" i="1493"/>
  <c r="R31" i="1493"/>
  <c r="R30" i="1493"/>
  <c r="R29" i="1493"/>
  <c r="R28" i="1493"/>
  <c r="L16" i="1493" s="1"/>
  <c r="D16" i="1493" s="1"/>
  <c r="D28" i="1493"/>
  <c r="R27" i="1493"/>
  <c r="D27" i="1493"/>
  <c r="R26" i="1493"/>
  <c r="L26" i="1493"/>
  <c r="D26" i="1493"/>
  <c r="R25" i="1493"/>
  <c r="L25" i="1493"/>
  <c r="D25" i="1493"/>
  <c r="R24" i="1493"/>
  <c r="L24" i="1493"/>
  <c r="D24" i="1493"/>
  <c r="R23" i="1493"/>
  <c r="D23" i="1493"/>
  <c r="R22" i="1493"/>
  <c r="D22" i="1493"/>
  <c r="R21" i="1493"/>
  <c r="D21" i="1493"/>
  <c r="R20" i="1493"/>
  <c r="R19" i="1493"/>
  <c r="D19" i="1493"/>
  <c r="R18" i="1493"/>
  <c r="D18" i="1493"/>
  <c r="R17" i="1493"/>
  <c r="L17" i="1493"/>
  <c r="D17" i="1493"/>
  <c r="R16" i="1493"/>
  <c r="R15" i="1493"/>
  <c r="D15" i="1493"/>
  <c r="R14" i="1493"/>
  <c r="D14" i="1493"/>
  <c r="R13" i="1493"/>
  <c r="D13" i="1493"/>
  <c r="R12" i="1493"/>
  <c r="R11" i="1493"/>
  <c r="L11" i="1493"/>
  <c r="D11" i="1493" s="1"/>
  <c r="L9" i="1493"/>
  <c r="D9" i="1493"/>
  <c r="L8" i="1493"/>
  <c r="D8" i="1493"/>
  <c r="L7" i="1493"/>
  <c r="D7" i="1493"/>
  <c r="R6" i="1493"/>
  <c r="R5" i="1493"/>
  <c r="R4" i="1493"/>
  <c r="R52" i="1492"/>
  <c r="R51" i="1492"/>
  <c r="D50" i="1492"/>
  <c r="R49" i="1492"/>
  <c r="G49" i="1492"/>
  <c r="D49" i="1492"/>
  <c r="R48" i="1492"/>
  <c r="D48" i="1492"/>
  <c r="D46" i="1492"/>
  <c r="D45" i="1492"/>
  <c r="D44" i="1492"/>
  <c r="R42" i="1492"/>
  <c r="L6" i="1492" s="1"/>
  <c r="D6" i="1492" s="1"/>
  <c r="D42" i="1492"/>
  <c r="R41" i="1492"/>
  <c r="L7" i="1492" s="1"/>
  <c r="D7" i="1492" s="1"/>
  <c r="D41" i="1492"/>
  <c r="R40" i="1492"/>
  <c r="L8" i="1492" s="1"/>
  <c r="D8" i="1492" s="1"/>
  <c r="D40" i="1492"/>
  <c r="R39" i="1492"/>
  <c r="D39" i="1492"/>
  <c r="R38" i="1492"/>
  <c r="L9" i="1492" s="1"/>
  <c r="D9" i="1492" s="1"/>
  <c r="D38" i="1492"/>
  <c r="R37" i="1492"/>
  <c r="D37" i="1492"/>
  <c r="R36" i="1492"/>
  <c r="L10" i="1492" s="1"/>
  <c r="D10" i="1492" s="1"/>
  <c r="D36" i="1492"/>
  <c r="R35" i="1492"/>
  <c r="D35" i="1492"/>
  <c r="D54" i="1492" s="1"/>
  <c r="H14" i="1492" s="1"/>
  <c r="R34" i="1492"/>
  <c r="L12" i="1492" s="1"/>
  <c r="D12" i="1492" s="1"/>
  <c r="D34" i="1492"/>
  <c r="R33" i="1492"/>
  <c r="L23" i="1492" s="1"/>
  <c r="D23" i="1492" s="1"/>
  <c r="R32" i="1492"/>
  <c r="L11" i="1492" s="1"/>
  <c r="D11" i="1492" s="1"/>
  <c r="R31" i="1492"/>
  <c r="R30" i="1492"/>
  <c r="R29" i="1492"/>
  <c r="R28" i="1492"/>
  <c r="D28" i="1492"/>
  <c r="R27" i="1492"/>
  <c r="D27" i="1492"/>
  <c r="R26" i="1492"/>
  <c r="L26" i="1492"/>
  <c r="D26" i="1492"/>
  <c r="R25" i="1492"/>
  <c r="L25" i="1492"/>
  <c r="D25" i="1492"/>
  <c r="R24" i="1492"/>
  <c r="D24" i="1492"/>
  <c r="R23" i="1492"/>
  <c r="R22" i="1492"/>
  <c r="L22" i="1492"/>
  <c r="D22" i="1492"/>
  <c r="R21" i="1492"/>
  <c r="D21" i="1492"/>
  <c r="R20" i="1492"/>
  <c r="L20" i="1492"/>
  <c r="D20" i="1492"/>
  <c r="R19" i="1492"/>
  <c r="L19" i="1492"/>
  <c r="D19" i="1492"/>
  <c r="R18" i="1492"/>
  <c r="D18" i="1492"/>
  <c r="R17" i="1492"/>
  <c r="D17" i="1492"/>
  <c r="R16" i="1492"/>
  <c r="L16" i="1492"/>
  <c r="D16" i="1492" s="1"/>
  <c r="S15" i="1492"/>
  <c r="R15" i="1492"/>
  <c r="D15" i="1492"/>
  <c r="S14" i="1492"/>
  <c r="R14" i="1492"/>
  <c r="D14" i="1492"/>
  <c r="R13" i="1492"/>
  <c r="D13" i="1492"/>
  <c r="R12" i="1492"/>
  <c r="R11" i="1492"/>
  <c r="R6" i="1492"/>
  <c r="R5" i="1492"/>
  <c r="R4" i="1492"/>
  <c r="R52" i="1491"/>
  <c r="R51" i="1491"/>
  <c r="D50" i="1491"/>
  <c r="R49" i="1491"/>
  <c r="D49" i="1491"/>
  <c r="R48" i="1491"/>
  <c r="D48" i="1491"/>
  <c r="D46" i="1491"/>
  <c r="D45" i="1491"/>
  <c r="D44" i="1491"/>
  <c r="R42" i="1491"/>
  <c r="D42" i="1491"/>
  <c r="R41" i="1491"/>
  <c r="L7" i="1491" s="1"/>
  <c r="D7" i="1491" s="1"/>
  <c r="D41" i="1491"/>
  <c r="R40" i="1491"/>
  <c r="L8" i="1491" s="1"/>
  <c r="D8" i="1491" s="1"/>
  <c r="D40" i="1491"/>
  <c r="R39" i="1491"/>
  <c r="H39" i="1491"/>
  <c r="D39" i="1491"/>
  <c r="R38" i="1491"/>
  <c r="H38" i="1491"/>
  <c r="D38" i="1491"/>
  <c r="R37" i="1491"/>
  <c r="H37" i="1491"/>
  <c r="D37" i="1491"/>
  <c r="R36" i="1491"/>
  <c r="H36" i="1491"/>
  <c r="G49" i="1491" s="1"/>
  <c r="D36" i="1491"/>
  <c r="R35" i="1491"/>
  <c r="L19" i="1491" s="1"/>
  <c r="D19" i="1491" s="1"/>
  <c r="H35" i="1491"/>
  <c r="D35" i="1491"/>
  <c r="R34" i="1491"/>
  <c r="H34" i="1491"/>
  <c r="D34" i="1491"/>
  <c r="D54" i="1491" s="1"/>
  <c r="H14" i="1491" s="1"/>
  <c r="R33" i="1491"/>
  <c r="L23" i="1491" s="1"/>
  <c r="D23" i="1491" s="1"/>
  <c r="R32" i="1491"/>
  <c r="R31" i="1491"/>
  <c r="R30" i="1491"/>
  <c r="R29" i="1491"/>
  <c r="R28" i="1491"/>
  <c r="L16" i="1491" s="1"/>
  <c r="D16" i="1491" s="1"/>
  <c r="D28" i="1491"/>
  <c r="R27" i="1491"/>
  <c r="D27" i="1491"/>
  <c r="R26" i="1491"/>
  <c r="L26" i="1491"/>
  <c r="D26" i="1491" s="1"/>
  <c r="R25" i="1491"/>
  <c r="L25" i="1491"/>
  <c r="D25" i="1491"/>
  <c r="R24" i="1491"/>
  <c r="D24" i="1491"/>
  <c r="R23" i="1491"/>
  <c r="R22" i="1491"/>
  <c r="L22" i="1491"/>
  <c r="D22" i="1491" s="1"/>
  <c r="R21" i="1491"/>
  <c r="D21" i="1491"/>
  <c r="R20" i="1491"/>
  <c r="L20" i="1491"/>
  <c r="D20" i="1491" s="1"/>
  <c r="R19" i="1491"/>
  <c r="R18" i="1491"/>
  <c r="D18" i="1491"/>
  <c r="R17" i="1491"/>
  <c r="D17" i="1491"/>
  <c r="R16" i="1491"/>
  <c r="R15" i="1491"/>
  <c r="D15" i="1491"/>
  <c r="R14" i="1491"/>
  <c r="D14" i="1491"/>
  <c r="R13" i="1491"/>
  <c r="D13" i="1491"/>
  <c r="R12" i="1491"/>
  <c r="L12" i="1491"/>
  <c r="D12" i="1491" s="1"/>
  <c r="R11" i="1491"/>
  <c r="L11" i="1491"/>
  <c r="D11" i="1491"/>
  <c r="L10" i="1491"/>
  <c r="D10" i="1491" s="1"/>
  <c r="L9" i="1491"/>
  <c r="D9" i="1491"/>
  <c r="R6" i="1491"/>
  <c r="L6" i="1491"/>
  <c r="D6" i="1491" s="1"/>
  <c r="R5" i="1491"/>
  <c r="R4" i="1491"/>
  <c r="R52" i="1490"/>
  <c r="R51" i="1490"/>
  <c r="D50" i="1490"/>
  <c r="R49" i="1490"/>
  <c r="G49" i="1490"/>
  <c r="D49" i="1490"/>
  <c r="R48" i="1490"/>
  <c r="D48" i="1490"/>
  <c r="D46" i="1490"/>
  <c r="D45" i="1490"/>
  <c r="D44" i="1490"/>
  <c r="R42" i="1490"/>
  <c r="L6" i="1490" s="1"/>
  <c r="D6" i="1490" s="1"/>
  <c r="D42" i="1490"/>
  <c r="R41" i="1490"/>
  <c r="D41" i="1490"/>
  <c r="R40" i="1490"/>
  <c r="D40" i="1490"/>
  <c r="R39" i="1490"/>
  <c r="L20" i="1490" s="1"/>
  <c r="D20" i="1490" s="1"/>
  <c r="H39" i="1490"/>
  <c r="D39" i="1490"/>
  <c r="R38" i="1490"/>
  <c r="L9" i="1490" s="1"/>
  <c r="D9" i="1490" s="1"/>
  <c r="H38" i="1490"/>
  <c r="D38" i="1490"/>
  <c r="R37" i="1490"/>
  <c r="H37" i="1490"/>
  <c r="D37" i="1490"/>
  <c r="R36" i="1490"/>
  <c r="L10" i="1490" s="1"/>
  <c r="D10" i="1490" s="1"/>
  <c r="H36" i="1490"/>
  <c r="D36" i="1490"/>
  <c r="R35" i="1490"/>
  <c r="H35" i="1490"/>
  <c r="D35" i="1490"/>
  <c r="R34" i="1490"/>
  <c r="L12" i="1490" s="1"/>
  <c r="D12" i="1490" s="1"/>
  <c r="H34" i="1490"/>
  <c r="D34" i="1490"/>
  <c r="D54" i="1490" s="1"/>
  <c r="H14" i="1490" s="1"/>
  <c r="R33" i="1490"/>
  <c r="L23" i="1490" s="1"/>
  <c r="D23" i="1490" s="1"/>
  <c r="R32" i="1490"/>
  <c r="L11" i="1490" s="1"/>
  <c r="D11" i="1490" s="1"/>
  <c r="R31" i="1490"/>
  <c r="R30" i="1490"/>
  <c r="R29" i="1490"/>
  <c r="R28" i="1490"/>
  <c r="D28" i="1490"/>
  <c r="R27" i="1490"/>
  <c r="D27" i="1490"/>
  <c r="R26" i="1490"/>
  <c r="L26" i="1490"/>
  <c r="D26" i="1490"/>
  <c r="R25" i="1490"/>
  <c r="L25" i="1490"/>
  <c r="D25" i="1490"/>
  <c r="R24" i="1490"/>
  <c r="L24" i="1490"/>
  <c r="D24" i="1490"/>
  <c r="R23" i="1490"/>
  <c r="R22" i="1490"/>
  <c r="L22" i="1490"/>
  <c r="D22" i="1490" s="1"/>
  <c r="R21" i="1490"/>
  <c r="L17" i="1490" s="1"/>
  <c r="D17" i="1490" s="1"/>
  <c r="D21" i="1490"/>
  <c r="R20" i="1490"/>
  <c r="R19" i="1490"/>
  <c r="L19" i="1490"/>
  <c r="D19" i="1490"/>
  <c r="R18" i="1490"/>
  <c r="D18" i="1490"/>
  <c r="R17" i="1490"/>
  <c r="R16" i="1490"/>
  <c r="L16" i="1490"/>
  <c r="D16" i="1490" s="1"/>
  <c r="R15" i="1490"/>
  <c r="D15" i="1490"/>
  <c r="R14" i="1490"/>
  <c r="D14" i="1490"/>
  <c r="R13" i="1490"/>
  <c r="D13" i="1490"/>
  <c r="R12" i="1490"/>
  <c r="R11" i="1490"/>
  <c r="L8" i="1490"/>
  <c r="D8" i="1490"/>
  <c r="L7" i="1490"/>
  <c r="D7" i="1490"/>
  <c r="R6" i="1490"/>
  <c r="R5" i="1490"/>
  <c r="R4" i="1490"/>
  <c r="R52" i="1489"/>
  <c r="R51" i="1489"/>
  <c r="D50" i="1489"/>
  <c r="R49" i="1489"/>
  <c r="D49" i="1489"/>
  <c r="R48" i="1489"/>
  <c r="D48" i="1489"/>
  <c r="D46" i="1489"/>
  <c r="D45" i="1489"/>
  <c r="P44" i="1489"/>
  <c r="R44" i="1489" s="1"/>
  <c r="D44" i="1489"/>
  <c r="R42" i="1489"/>
  <c r="L6" i="1489" s="1"/>
  <c r="D6" i="1489" s="1"/>
  <c r="D29" i="1489" s="1"/>
  <c r="H13" i="1489" s="1"/>
  <c r="H15" i="1489" s="1"/>
  <c r="H29" i="1489" s="1"/>
  <c r="D42" i="1489"/>
  <c r="R41" i="1489"/>
  <c r="D41" i="1489"/>
  <c r="R40" i="1489"/>
  <c r="L8" i="1489" s="1"/>
  <c r="D8" i="1489" s="1"/>
  <c r="D40" i="1489"/>
  <c r="R39" i="1489"/>
  <c r="L20" i="1489" s="1"/>
  <c r="D20" i="1489" s="1"/>
  <c r="H39" i="1489"/>
  <c r="D39" i="1489"/>
  <c r="R38" i="1489"/>
  <c r="H38" i="1489"/>
  <c r="D38" i="1489"/>
  <c r="R37" i="1489"/>
  <c r="H37" i="1489"/>
  <c r="D37" i="1489"/>
  <c r="R36" i="1489"/>
  <c r="H36" i="1489"/>
  <c r="G49" i="1489" s="1"/>
  <c r="D36" i="1489"/>
  <c r="R35" i="1489"/>
  <c r="H35" i="1489"/>
  <c r="D35" i="1489"/>
  <c r="R34" i="1489"/>
  <c r="H34" i="1489"/>
  <c r="D34" i="1489"/>
  <c r="D54" i="1489" s="1"/>
  <c r="H14" i="1489" s="1"/>
  <c r="R33" i="1489"/>
  <c r="R32" i="1489"/>
  <c r="R31" i="1489"/>
  <c r="R30" i="1489"/>
  <c r="R29" i="1489"/>
  <c r="R28" i="1489"/>
  <c r="D28" i="1489"/>
  <c r="R27" i="1489"/>
  <c r="D27" i="1489"/>
  <c r="R26" i="1489"/>
  <c r="L26" i="1489"/>
  <c r="D26" i="1489"/>
  <c r="R25" i="1489"/>
  <c r="L25" i="1489"/>
  <c r="D25" i="1489"/>
  <c r="R24" i="1489"/>
  <c r="L24" i="1489"/>
  <c r="D24" i="1489"/>
  <c r="R23" i="1489"/>
  <c r="D23" i="1489"/>
  <c r="R22" i="1489"/>
  <c r="D22" i="1489"/>
  <c r="R21" i="1489"/>
  <c r="D21" i="1489"/>
  <c r="R20" i="1489"/>
  <c r="R19" i="1489"/>
  <c r="D19" i="1489"/>
  <c r="R18" i="1489"/>
  <c r="D18" i="1489"/>
  <c r="R17" i="1489"/>
  <c r="L17" i="1489"/>
  <c r="D17" i="1489"/>
  <c r="R16" i="1489"/>
  <c r="L16" i="1489"/>
  <c r="D16" i="1489"/>
  <c r="R15" i="1489"/>
  <c r="D15" i="1489"/>
  <c r="R14" i="1489"/>
  <c r="D14" i="1489"/>
  <c r="R13" i="1489"/>
  <c r="D13" i="1489"/>
  <c r="R12" i="1489"/>
  <c r="L12" i="1489"/>
  <c r="D12" i="1489"/>
  <c r="R11" i="1489"/>
  <c r="L11" i="1489"/>
  <c r="D11" i="1489" s="1"/>
  <c r="L10" i="1489"/>
  <c r="D10" i="1489" s="1"/>
  <c r="L9" i="1489"/>
  <c r="D9" i="1489" s="1"/>
  <c r="L7" i="1489"/>
  <c r="D7" i="1489"/>
  <c r="R6" i="1489"/>
  <c r="R5" i="1489"/>
  <c r="R4" i="1489"/>
  <c r="R52" i="1488"/>
  <c r="R51" i="1488"/>
  <c r="D50" i="1488"/>
  <c r="R49" i="1488"/>
  <c r="G49" i="1488"/>
  <c r="D49" i="1488"/>
  <c r="R48" i="1488"/>
  <c r="D48" i="1488"/>
  <c r="D46" i="1488"/>
  <c r="D45" i="1488"/>
  <c r="D44" i="1488"/>
  <c r="R42" i="1488"/>
  <c r="L6" i="1488" s="1"/>
  <c r="D6" i="1488" s="1"/>
  <c r="D42" i="1488"/>
  <c r="R41" i="1488"/>
  <c r="L7" i="1488" s="1"/>
  <c r="D7" i="1488" s="1"/>
  <c r="D41" i="1488"/>
  <c r="R40" i="1488"/>
  <c r="D40" i="1488"/>
  <c r="R39" i="1488"/>
  <c r="D39" i="1488"/>
  <c r="R38" i="1488"/>
  <c r="L9" i="1488" s="1"/>
  <c r="D9" i="1488" s="1"/>
  <c r="D38" i="1488"/>
  <c r="R37" i="1488"/>
  <c r="D37" i="1488"/>
  <c r="R36" i="1488"/>
  <c r="L10" i="1488" s="1"/>
  <c r="D10" i="1488" s="1"/>
  <c r="D36" i="1488"/>
  <c r="R35" i="1488"/>
  <c r="D35" i="1488"/>
  <c r="R34" i="1488"/>
  <c r="L12" i="1488" s="1"/>
  <c r="D12" i="1488" s="1"/>
  <c r="D34" i="1488"/>
  <c r="D54" i="1488" s="1"/>
  <c r="H14" i="1488" s="1"/>
  <c r="R33" i="1488"/>
  <c r="L23" i="1488" s="1"/>
  <c r="D23" i="1488" s="1"/>
  <c r="R32" i="1488"/>
  <c r="R31" i="1488"/>
  <c r="R30" i="1488"/>
  <c r="R29" i="1488"/>
  <c r="R28" i="1488"/>
  <c r="D28" i="1488"/>
  <c r="R27" i="1488"/>
  <c r="D27" i="1488"/>
  <c r="R26" i="1488"/>
  <c r="L26" i="1488"/>
  <c r="D26" i="1488"/>
  <c r="R25" i="1488"/>
  <c r="L25" i="1488"/>
  <c r="D25" i="1488"/>
  <c r="R24" i="1488"/>
  <c r="D24" i="1488"/>
  <c r="R23" i="1488"/>
  <c r="R22" i="1488"/>
  <c r="L22" i="1488"/>
  <c r="D22" i="1488"/>
  <c r="R21" i="1488"/>
  <c r="D21" i="1488"/>
  <c r="R20" i="1488"/>
  <c r="L20" i="1488"/>
  <c r="D20" i="1488"/>
  <c r="R19" i="1488"/>
  <c r="L19" i="1488"/>
  <c r="D19" i="1488"/>
  <c r="R18" i="1488"/>
  <c r="D18" i="1488"/>
  <c r="R17" i="1488"/>
  <c r="D17" i="1488"/>
  <c r="R16" i="1488"/>
  <c r="L16" i="1488"/>
  <c r="D16" i="1488" s="1"/>
  <c r="S15" i="1488"/>
  <c r="R15" i="1488"/>
  <c r="D15" i="1488"/>
  <c r="S14" i="1488"/>
  <c r="R14" i="1488"/>
  <c r="D14" i="1488"/>
  <c r="R13" i="1488"/>
  <c r="D13" i="1488"/>
  <c r="R12" i="1488"/>
  <c r="R11" i="1488"/>
  <c r="L11" i="1488"/>
  <c r="D11" i="1488"/>
  <c r="L8" i="1488"/>
  <c r="D8" i="1488"/>
  <c r="R6" i="1488"/>
  <c r="R5" i="1488"/>
  <c r="R4" i="1488"/>
  <c r="R52" i="1487"/>
  <c r="R51" i="1487"/>
  <c r="D50" i="1487"/>
  <c r="R49" i="1487"/>
  <c r="D49" i="1487"/>
  <c r="R48" i="1487"/>
  <c r="D48" i="1487"/>
  <c r="D46" i="1487"/>
  <c r="D45" i="1487"/>
  <c r="D44" i="1487"/>
  <c r="R42" i="1487"/>
  <c r="D42" i="1487"/>
  <c r="R41" i="1487"/>
  <c r="L7" i="1487" s="1"/>
  <c r="D7" i="1487" s="1"/>
  <c r="D41" i="1487"/>
  <c r="R40" i="1487"/>
  <c r="D40" i="1487"/>
  <c r="R39" i="1487"/>
  <c r="H39" i="1487"/>
  <c r="D39" i="1487"/>
  <c r="R38" i="1487"/>
  <c r="H38" i="1487"/>
  <c r="D38" i="1487"/>
  <c r="D54" i="1487" s="1"/>
  <c r="H14" i="1487" s="1"/>
  <c r="R37" i="1487"/>
  <c r="H37" i="1487"/>
  <c r="D37" i="1487"/>
  <c r="R36" i="1487"/>
  <c r="H36" i="1487"/>
  <c r="D36" i="1487"/>
  <c r="R35" i="1487"/>
  <c r="L19" i="1487" s="1"/>
  <c r="D19" i="1487" s="1"/>
  <c r="H35" i="1487"/>
  <c r="D35" i="1487"/>
  <c r="R34" i="1487"/>
  <c r="H34" i="1487"/>
  <c r="G49" i="1487" s="1"/>
  <c r="D34" i="1487"/>
  <c r="R33" i="1487"/>
  <c r="L23" i="1487" s="1"/>
  <c r="D23" i="1487" s="1"/>
  <c r="R32" i="1487"/>
  <c r="R31" i="1487"/>
  <c r="R30" i="1487"/>
  <c r="R29" i="1487"/>
  <c r="R28" i="1487"/>
  <c r="D28" i="1487"/>
  <c r="R27" i="1487"/>
  <c r="D27" i="1487"/>
  <c r="R26" i="1487"/>
  <c r="L26" i="1487"/>
  <c r="D26" i="1487"/>
  <c r="R25" i="1487"/>
  <c r="L25" i="1487"/>
  <c r="D25" i="1487"/>
  <c r="R24" i="1487"/>
  <c r="D24" i="1487"/>
  <c r="R23" i="1487"/>
  <c r="R22" i="1487"/>
  <c r="L22" i="1487"/>
  <c r="D22" i="1487"/>
  <c r="R21" i="1487"/>
  <c r="D21" i="1487"/>
  <c r="R20" i="1487"/>
  <c r="L20" i="1487"/>
  <c r="D20" i="1487"/>
  <c r="R19" i="1487"/>
  <c r="R18" i="1487"/>
  <c r="D18" i="1487"/>
  <c r="R17" i="1487"/>
  <c r="D17" i="1487"/>
  <c r="R16" i="1487"/>
  <c r="L16" i="1487"/>
  <c r="D16" i="1487" s="1"/>
  <c r="R15" i="1487"/>
  <c r="D15" i="1487"/>
  <c r="R14" i="1487"/>
  <c r="D14" i="1487"/>
  <c r="R13" i="1487"/>
  <c r="D13" i="1487"/>
  <c r="R12" i="1487"/>
  <c r="L12" i="1487"/>
  <c r="D12" i="1487"/>
  <c r="R11" i="1487"/>
  <c r="L11" i="1487"/>
  <c r="D11" i="1487"/>
  <c r="L10" i="1487"/>
  <c r="D10" i="1487"/>
  <c r="L9" i="1487"/>
  <c r="D9" i="1487"/>
  <c r="L8" i="1487"/>
  <c r="D8" i="1487" s="1"/>
  <c r="R6" i="1487"/>
  <c r="L6" i="1487"/>
  <c r="D6" i="1487" s="1"/>
  <c r="D29" i="1487" s="1"/>
  <c r="H13" i="1487" s="1"/>
  <c r="R5" i="1487"/>
  <c r="R4" i="1487"/>
  <c r="R52" i="1486"/>
  <c r="R51" i="1486"/>
  <c r="D50" i="1486"/>
  <c r="R49" i="1486"/>
  <c r="D49" i="1486"/>
  <c r="R48" i="1486"/>
  <c r="D48" i="1486"/>
  <c r="D46" i="1486"/>
  <c r="D45" i="1486"/>
  <c r="D44" i="1486"/>
  <c r="R42" i="1486"/>
  <c r="D42" i="1486"/>
  <c r="R41" i="1486"/>
  <c r="L7" i="1486" s="1"/>
  <c r="D7" i="1486" s="1"/>
  <c r="D41" i="1486"/>
  <c r="R40" i="1486"/>
  <c r="D40" i="1486"/>
  <c r="R39" i="1486"/>
  <c r="H39" i="1486"/>
  <c r="D39" i="1486"/>
  <c r="R38" i="1486"/>
  <c r="H38" i="1486"/>
  <c r="D38" i="1486"/>
  <c r="R37" i="1486"/>
  <c r="H37" i="1486"/>
  <c r="D37" i="1486"/>
  <c r="R36" i="1486"/>
  <c r="H36" i="1486"/>
  <c r="D36" i="1486"/>
  <c r="R35" i="1486"/>
  <c r="L19" i="1486" s="1"/>
  <c r="D19" i="1486" s="1"/>
  <c r="H35" i="1486"/>
  <c r="D35" i="1486"/>
  <c r="R34" i="1486"/>
  <c r="H34" i="1486"/>
  <c r="G49" i="1486" s="1"/>
  <c r="D34" i="1486"/>
  <c r="D54" i="1486" s="1"/>
  <c r="H14" i="1486" s="1"/>
  <c r="R33" i="1486"/>
  <c r="R32" i="1486"/>
  <c r="R31" i="1486"/>
  <c r="R30" i="1486"/>
  <c r="R29" i="1486"/>
  <c r="R28" i="1486"/>
  <c r="L16" i="1486" s="1"/>
  <c r="D16" i="1486" s="1"/>
  <c r="D28" i="1486"/>
  <c r="R27" i="1486"/>
  <c r="D27" i="1486"/>
  <c r="R26" i="1486"/>
  <c r="L26" i="1486"/>
  <c r="D26" i="1486" s="1"/>
  <c r="R25" i="1486"/>
  <c r="L25" i="1486"/>
  <c r="D25" i="1486" s="1"/>
  <c r="R24" i="1486"/>
  <c r="L24" i="1486"/>
  <c r="D24" i="1486"/>
  <c r="R23" i="1486"/>
  <c r="L23" i="1486"/>
  <c r="D23" i="1486" s="1"/>
  <c r="R22" i="1486"/>
  <c r="L22" i="1486"/>
  <c r="D22" i="1486"/>
  <c r="R21" i="1486"/>
  <c r="L17" i="1486" s="1"/>
  <c r="D17" i="1486" s="1"/>
  <c r="D21" i="1486"/>
  <c r="R20" i="1486"/>
  <c r="L20" i="1486"/>
  <c r="D20" i="1486" s="1"/>
  <c r="R19" i="1486"/>
  <c r="R18" i="1486"/>
  <c r="D18" i="1486"/>
  <c r="R17" i="1486"/>
  <c r="R16" i="1486"/>
  <c r="R15" i="1486"/>
  <c r="D15" i="1486"/>
  <c r="R14" i="1486"/>
  <c r="D14" i="1486"/>
  <c r="R13" i="1486"/>
  <c r="D13" i="1486"/>
  <c r="R12" i="1486"/>
  <c r="L12" i="1486"/>
  <c r="D12" i="1486"/>
  <c r="R11" i="1486"/>
  <c r="L11" i="1486"/>
  <c r="D11" i="1486" s="1"/>
  <c r="L10" i="1486"/>
  <c r="D10" i="1486"/>
  <c r="L9" i="1486"/>
  <c r="D9" i="1486"/>
  <c r="L8" i="1486"/>
  <c r="D8" i="1486" s="1"/>
  <c r="R6" i="1486"/>
  <c r="L6" i="1486"/>
  <c r="D6" i="1486"/>
  <c r="R5" i="1486"/>
  <c r="R4" i="1486"/>
  <c r="R52" i="1485"/>
  <c r="R51" i="1485"/>
  <c r="D50" i="1485"/>
  <c r="R49" i="1485"/>
  <c r="D49" i="1485"/>
  <c r="R48" i="1485"/>
  <c r="D48" i="1485"/>
  <c r="D46" i="1485"/>
  <c r="D45" i="1485"/>
  <c r="P44" i="1485"/>
  <c r="R44" i="1485" s="1"/>
  <c r="D44" i="1485"/>
  <c r="R42" i="1485"/>
  <c r="L6" i="1485" s="1"/>
  <c r="D6" i="1485" s="1"/>
  <c r="D42" i="1485"/>
  <c r="R41" i="1485"/>
  <c r="D41" i="1485"/>
  <c r="R40" i="1485"/>
  <c r="L8" i="1485" s="1"/>
  <c r="D8" i="1485" s="1"/>
  <c r="D40" i="1485"/>
  <c r="R39" i="1485"/>
  <c r="H39" i="1485"/>
  <c r="D39" i="1485"/>
  <c r="R38" i="1485"/>
  <c r="H38" i="1485"/>
  <c r="D38" i="1485"/>
  <c r="R37" i="1485"/>
  <c r="H37" i="1485"/>
  <c r="D37" i="1485"/>
  <c r="R36" i="1485"/>
  <c r="H36" i="1485"/>
  <c r="G49" i="1485" s="1"/>
  <c r="D36" i="1485"/>
  <c r="R35" i="1485"/>
  <c r="H35" i="1485"/>
  <c r="D35" i="1485"/>
  <c r="R34" i="1485"/>
  <c r="H34" i="1485"/>
  <c r="D34" i="1485"/>
  <c r="D54" i="1485" s="1"/>
  <c r="H14" i="1485" s="1"/>
  <c r="R33" i="1485"/>
  <c r="R32" i="1485"/>
  <c r="R31" i="1485"/>
  <c r="R30" i="1485"/>
  <c r="R29" i="1485"/>
  <c r="R28" i="1485"/>
  <c r="D28" i="1485"/>
  <c r="R27" i="1485"/>
  <c r="D27" i="1485"/>
  <c r="R26" i="1485"/>
  <c r="L26" i="1485"/>
  <c r="D26" i="1485" s="1"/>
  <c r="R25" i="1485"/>
  <c r="L25" i="1485"/>
  <c r="D25" i="1485" s="1"/>
  <c r="R24" i="1485"/>
  <c r="L24" i="1485"/>
  <c r="D24" i="1485" s="1"/>
  <c r="R23" i="1485"/>
  <c r="D23" i="1485"/>
  <c r="R22" i="1485"/>
  <c r="D22" i="1485"/>
  <c r="R21" i="1485"/>
  <c r="D21" i="1485"/>
  <c r="R20" i="1485"/>
  <c r="L20" i="1485"/>
  <c r="D20" i="1485"/>
  <c r="R19" i="1485"/>
  <c r="D19" i="1485"/>
  <c r="R18" i="1485"/>
  <c r="D18" i="1485"/>
  <c r="R17" i="1485"/>
  <c r="L17" i="1485"/>
  <c r="D17" i="1485" s="1"/>
  <c r="R16" i="1485"/>
  <c r="L16" i="1485"/>
  <c r="D16" i="1485" s="1"/>
  <c r="R15" i="1485"/>
  <c r="D15" i="1485"/>
  <c r="R14" i="1485"/>
  <c r="D14" i="1485"/>
  <c r="R13" i="1485"/>
  <c r="D13" i="1485"/>
  <c r="R12" i="1485"/>
  <c r="L12" i="1485"/>
  <c r="D12" i="1485" s="1"/>
  <c r="R11" i="1485"/>
  <c r="L11" i="1485"/>
  <c r="D11" i="1485"/>
  <c r="L10" i="1485"/>
  <c r="D10" i="1485" s="1"/>
  <c r="L9" i="1485"/>
  <c r="D9" i="1485" s="1"/>
  <c r="L7" i="1485"/>
  <c r="D7" i="1485" s="1"/>
  <c r="R6" i="1485"/>
  <c r="R5" i="1485"/>
  <c r="R4" i="1485"/>
  <c r="R52" i="1484"/>
  <c r="R51" i="1484"/>
  <c r="D50" i="1484"/>
  <c r="R49" i="1484"/>
  <c r="G49" i="1484"/>
  <c r="D49" i="1484"/>
  <c r="R48" i="1484"/>
  <c r="D48" i="1484"/>
  <c r="D46" i="1484"/>
  <c r="D45" i="1484"/>
  <c r="D44" i="1484"/>
  <c r="R42" i="1484"/>
  <c r="D42" i="1484"/>
  <c r="R41" i="1484"/>
  <c r="L7" i="1484" s="1"/>
  <c r="D7" i="1484" s="1"/>
  <c r="D41" i="1484"/>
  <c r="R40" i="1484"/>
  <c r="D40" i="1484"/>
  <c r="R39" i="1484"/>
  <c r="D39" i="1484"/>
  <c r="R38" i="1484"/>
  <c r="D38" i="1484"/>
  <c r="R37" i="1484"/>
  <c r="D37" i="1484"/>
  <c r="R36" i="1484"/>
  <c r="L10" i="1484" s="1"/>
  <c r="D10" i="1484" s="1"/>
  <c r="D36" i="1484"/>
  <c r="R35" i="1484"/>
  <c r="D35" i="1484"/>
  <c r="R34" i="1484"/>
  <c r="D34" i="1484"/>
  <c r="D54" i="1484" s="1"/>
  <c r="H14" i="1484" s="1"/>
  <c r="R33" i="1484"/>
  <c r="L23" i="1484" s="1"/>
  <c r="D23" i="1484" s="1"/>
  <c r="R32" i="1484"/>
  <c r="R31" i="1484"/>
  <c r="R30" i="1484"/>
  <c r="R29" i="1484"/>
  <c r="R28" i="1484"/>
  <c r="L16" i="1484" s="1"/>
  <c r="D16" i="1484" s="1"/>
  <c r="D28" i="1484"/>
  <c r="R27" i="1484"/>
  <c r="D27" i="1484"/>
  <c r="R26" i="1484"/>
  <c r="L26" i="1484"/>
  <c r="D26" i="1484"/>
  <c r="R25" i="1484"/>
  <c r="L25" i="1484"/>
  <c r="D25" i="1484"/>
  <c r="R24" i="1484"/>
  <c r="D24" i="1484"/>
  <c r="R23" i="1484"/>
  <c r="R22" i="1484"/>
  <c r="L22" i="1484"/>
  <c r="D22" i="1484" s="1"/>
  <c r="R21" i="1484"/>
  <c r="D21" i="1484"/>
  <c r="R20" i="1484"/>
  <c r="L20" i="1484"/>
  <c r="D20" i="1484"/>
  <c r="R19" i="1484"/>
  <c r="L19" i="1484"/>
  <c r="D19" i="1484"/>
  <c r="R18" i="1484"/>
  <c r="D18" i="1484"/>
  <c r="R17" i="1484"/>
  <c r="D17" i="1484"/>
  <c r="R16" i="1484"/>
  <c r="S15" i="1484"/>
  <c r="R15" i="1484"/>
  <c r="D15" i="1484"/>
  <c r="S14" i="1484"/>
  <c r="R14" i="1484"/>
  <c r="D14" i="1484"/>
  <c r="R13" i="1484"/>
  <c r="D13" i="1484"/>
  <c r="R12" i="1484"/>
  <c r="L12" i="1484"/>
  <c r="D12" i="1484"/>
  <c r="R11" i="1484"/>
  <c r="L11" i="1484"/>
  <c r="D11" i="1484" s="1"/>
  <c r="L9" i="1484"/>
  <c r="D9" i="1484" s="1"/>
  <c r="L8" i="1484"/>
  <c r="D8" i="1484" s="1"/>
  <c r="R6" i="1484"/>
  <c r="L6" i="1484"/>
  <c r="D6" i="1484" s="1"/>
  <c r="R5" i="1484"/>
  <c r="R4" i="1484"/>
  <c r="R52" i="1483"/>
  <c r="R51" i="1483"/>
  <c r="D50" i="1483"/>
  <c r="R49" i="1483"/>
  <c r="D49" i="1483"/>
  <c r="R48" i="1483"/>
  <c r="D48" i="1483"/>
  <c r="D46" i="1483"/>
  <c r="D45" i="1483"/>
  <c r="D44" i="1483"/>
  <c r="R42" i="1483"/>
  <c r="D42" i="1483"/>
  <c r="R41" i="1483"/>
  <c r="L7" i="1483" s="1"/>
  <c r="D7" i="1483" s="1"/>
  <c r="D41" i="1483"/>
  <c r="R40" i="1483"/>
  <c r="D40" i="1483"/>
  <c r="R39" i="1483"/>
  <c r="H39" i="1483"/>
  <c r="D39" i="1483"/>
  <c r="R38" i="1483"/>
  <c r="L9" i="1483" s="1"/>
  <c r="D9" i="1483" s="1"/>
  <c r="H38" i="1483"/>
  <c r="D38" i="1483"/>
  <c r="R37" i="1483"/>
  <c r="H37" i="1483"/>
  <c r="D37" i="1483"/>
  <c r="R36" i="1483"/>
  <c r="H36" i="1483"/>
  <c r="D36" i="1483"/>
  <c r="D54" i="1483" s="1"/>
  <c r="H14" i="1483" s="1"/>
  <c r="R35" i="1483"/>
  <c r="L19" i="1483" s="1"/>
  <c r="D19" i="1483" s="1"/>
  <c r="H35" i="1483"/>
  <c r="D35" i="1483"/>
  <c r="R34" i="1483"/>
  <c r="H34" i="1483"/>
  <c r="G49" i="1483" s="1"/>
  <c r="D34" i="1483"/>
  <c r="R33" i="1483"/>
  <c r="R32" i="1483"/>
  <c r="L11" i="1483" s="1"/>
  <c r="D11" i="1483" s="1"/>
  <c r="R31" i="1483"/>
  <c r="R30" i="1483"/>
  <c r="R29" i="1483"/>
  <c r="R28" i="1483"/>
  <c r="D28" i="1483"/>
  <c r="R27" i="1483"/>
  <c r="D27" i="1483"/>
  <c r="R26" i="1483"/>
  <c r="L26" i="1483"/>
  <c r="D26" i="1483"/>
  <c r="R25" i="1483"/>
  <c r="L25" i="1483"/>
  <c r="D25" i="1483"/>
  <c r="R24" i="1483"/>
  <c r="D24" i="1483"/>
  <c r="R23" i="1483"/>
  <c r="L23" i="1483"/>
  <c r="D23" i="1483" s="1"/>
  <c r="R22" i="1483"/>
  <c r="L22" i="1483"/>
  <c r="D22" i="1483"/>
  <c r="R21" i="1483"/>
  <c r="D21" i="1483"/>
  <c r="R20" i="1483"/>
  <c r="L20" i="1483"/>
  <c r="D20" i="1483"/>
  <c r="R19" i="1483"/>
  <c r="R18" i="1483"/>
  <c r="D18" i="1483"/>
  <c r="R17" i="1483"/>
  <c r="D17" i="1483"/>
  <c r="R16" i="1483"/>
  <c r="L16" i="1483"/>
  <c r="D16" i="1483" s="1"/>
  <c r="R15" i="1483"/>
  <c r="D15" i="1483"/>
  <c r="R14" i="1483"/>
  <c r="D14" i="1483"/>
  <c r="R13" i="1483"/>
  <c r="D13" i="1483"/>
  <c r="R12" i="1483"/>
  <c r="L12" i="1483"/>
  <c r="D12" i="1483" s="1"/>
  <c r="R11" i="1483"/>
  <c r="L10" i="1483"/>
  <c r="D10" i="1483"/>
  <c r="L8" i="1483"/>
  <c r="D8" i="1483" s="1"/>
  <c r="R6" i="1483"/>
  <c r="L6" i="1483"/>
  <c r="D6" i="1483"/>
  <c r="R5" i="1483"/>
  <c r="R4" i="1483"/>
  <c r="R52" i="1482"/>
  <c r="R51" i="1482"/>
  <c r="D50" i="1482"/>
  <c r="R49" i="1482"/>
  <c r="D49" i="1482"/>
  <c r="R48" i="1482"/>
  <c r="D48" i="1482"/>
  <c r="D46" i="1482"/>
  <c r="D45" i="1482"/>
  <c r="D44" i="1482"/>
  <c r="R42" i="1482"/>
  <c r="L6" i="1482" s="1"/>
  <c r="D6" i="1482" s="1"/>
  <c r="D42" i="1482"/>
  <c r="R41" i="1482"/>
  <c r="L7" i="1482" s="1"/>
  <c r="D7" i="1482" s="1"/>
  <c r="D41" i="1482"/>
  <c r="R40" i="1482"/>
  <c r="D40" i="1482"/>
  <c r="R39" i="1482"/>
  <c r="H39" i="1482"/>
  <c r="D39" i="1482"/>
  <c r="R38" i="1482"/>
  <c r="L9" i="1482" s="1"/>
  <c r="D9" i="1482" s="1"/>
  <c r="H38" i="1482"/>
  <c r="D38" i="1482"/>
  <c r="R37" i="1482"/>
  <c r="H37" i="1482"/>
  <c r="D37" i="1482"/>
  <c r="R36" i="1482"/>
  <c r="H36" i="1482"/>
  <c r="G49" i="1482" s="1"/>
  <c r="D36" i="1482"/>
  <c r="R35" i="1482"/>
  <c r="L19" i="1482" s="1"/>
  <c r="D19" i="1482" s="1"/>
  <c r="H35" i="1482"/>
  <c r="D35" i="1482"/>
  <c r="R34" i="1482"/>
  <c r="H34" i="1482"/>
  <c r="D34" i="1482"/>
  <c r="D54" i="1482" s="1"/>
  <c r="H14" i="1482" s="1"/>
  <c r="R33" i="1482"/>
  <c r="R32" i="1482"/>
  <c r="R31" i="1482"/>
  <c r="R30" i="1482"/>
  <c r="R29" i="1482"/>
  <c r="R28" i="1482"/>
  <c r="D28" i="1482"/>
  <c r="R27" i="1482"/>
  <c r="D27" i="1482"/>
  <c r="R26" i="1482"/>
  <c r="L26" i="1482"/>
  <c r="D26" i="1482"/>
  <c r="R25" i="1482"/>
  <c r="L25" i="1482"/>
  <c r="D25" i="1482"/>
  <c r="R24" i="1482"/>
  <c r="L24" i="1482"/>
  <c r="D24" i="1482"/>
  <c r="R23" i="1482"/>
  <c r="L23" i="1482"/>
  <c r="D23" i="1482"/>
  <c r="R22" i="1482"/>
  <c r="L22" i="1482"/>
  <c r="D22" i="1482" s="1"/>
  <c r="R21" i="1482"/>
  <c r="L17" i="1482" s="1"/>
  <c r="D17" i="1482" s="1"/>
  <c r="D21" i="1482"/>
  <c r="R20" i="1482"/>
  <c r="L20" i="1482"/>
  <c r="D20" i="1482"/>
  <c r="R19" i="1482"/>
  <c r="R18" i="1482"/>
  <c r="D18" i="1482"/>
  <c r="R17" i="1482"/>
  <c r="R16" i="1482"/>
  <c r="L16" i="1482"/>
  <c r="D16" i="1482" s="1"/>
  <c r="R15" i="1482"/>
  <c r="D15" i="1482"/>
  <c r="R14" i="1482"/>
  <c r="D14" i="1482"/>
  <c r="R13" i="1482"/>
  <c r="D13" i="1482"/>
  <c r="R12" i="1482"/>
  <c r="L12" i="1482"/>
  <c r="D12" i="1482"/>
  <c r="R11" i="1482"/>
  <c r="L11" i="1482"/>
  <c r="D11" i="1482"/>
  <c r="L10" i="1482"/>
  <c r="D10" i="1482"/>
  <c r="L8" i="1482"/>
  <c r="D8" i="1482"/>
  <c r="R6" i="1482"/>
  <c r="R5" i="1482"/>
  <c r="R4" i="1482"/>
  <c r="R52" i="1481"/>
  <c r="R51" i="1481"/>
  <c r="D50" i="1481"/>
  <c r="R49" i="1481"/>
  <c r="D49" i="1481"/>
  <c r="R48" i="1481"/>
  <c r="D48" i="1481"/>
  <c r="D46" i="1481"/>
  <c r="D45" i="1481"/>
  <c r="P44" i="1481"/>
  <c r="R44" i="1481" s="1"/>
  <c r="D44" i="1481"/>
  <c r="R42" i="1481"/>
  <c r="L6" i="1481" s="1"/>
  <c r="D6" i="1481" s="1"/>
  <c r="D42" i="1481"/>
  <c r="R41" i="1481"/>
  <c r="D41" i="1481"/>
  <c r="R40" i="1481"/>
  <c r="D40" i="1481"/>
  <c r="R39" i="1481"/>
  <c r="H39" i="1481"/>
  <c r="D39" i="1481"/>
  <c r="R38" i="1481"/>
  <c r="H38" i="1481"/>
  <c r="D38" i="1481"/>
  <c r="R37" i="1481"/>
  <c r="H37" i="1481"/>
  <c r="D37" i="1481"/>
  <c r="R36" i="1481"/>
  <c r="H36" i="1481"/>
  <c r="D36" i="1481"/>
  <c r="D54" i="1481" s="1"/>
  <c r="H14" i="1481" s="1"/>
  <c r="R35" i="1481"/>
  <c r="H35" i="1481"/>
  <c r="D35" i="1481"/>
  <c r="R34" i="1481"/>
  <c r="H34" i="1481"/>
  <c r="G49" i="1481" s="1"/>
  <c r="D34" i="1481"/>
  <c r="R33" i="1481"/>
  <c r="R32" i="1481"/>
  <c r="L11" i="1481" s="1"/>
  <c r="D11" i="1481" s="1"/>
  <c r="R31" i="1481"/>
  <c r="R30" i="1481"/>
  <c r="R29" i="1481"/>
  <c r="R28" i="1481"/>
  <c r="D28" i="1481"/>
  <c r="R27" i="1481"/>
  <c r="D27" i="1481"/>
  <c r="R26" i="1481"/>
  <c r="L26" i="1481"/>
  <c r="D26" i="1481"/>
  <c r="R25" i="1481"/>
  <c r="L25" i="1481"/>
  <c r="D25" i="1481"/>
  <c r="R24" i="1481"/>
  <c r="L24" i="1481"/>
  <c r="D24" i="1481"/>
  <c r="R23" i="1481"/>
  <c r="D23" i="1481"/>
  <c r="R22" i="1481"/>
  <c r="D22" i="1481"/>
  <c r="R21" i="1481"/>
  <c r="D21" i="1481"/>
  <c r="R20" i="1481"/>
  <c r="L20" i="1481"/>
  <c r="D20" i="1481" s="1"/>
  <c r="R19" i="1481"/>
  <c r="D19" i="1481"/>
  <c r="R18" i="1481"/>
  <c r="D18" i="1481"/>
  <c r="R17" i="1481"/>
  <c r="L17" i="1481"/>
  <c r="D17" i="1481"/>
  <c r="R16" i="1481"/>
  <c r="L16" i="1481"/>
  <c r="D16" i="1481"/>
  <c r="R15" i="1481"/>
  <c r="D15" i="1481"/>
  <c r="R14" i="1481"/>
  <c r="D14" i="1481"/>
  <c r="R13" i="1481"/>
  <c r="D13" i="1481"/>
  <c r="R12" i="1481"/>
  <c r="L12" i="1481"/>
  <c r="D12" i="1481" s="1"/>
  <c r="R11" i="1481"/>
  <c r="L10" i="1481"/>
  <c r="D10" i="1481" s="1"/>
  <c r="L9" i="1481"/>
  <c r="D9" i="1481"/>
  <c r="L8" i="1481"/>
  <c r="D8" i="1481"/>
  <c r="L7" i="1481"/>
  <c r="D7" i="1481"/>
  <c r="R6" i="1481"/>
  <c r="R5" i="1481"/>
  <c r="R4" i="1481"/>
  <c r="R52" i="1480"/>
  <c r="R51" i="1480"/>
  <c r="D50" i="1480"/>
  <c r="R49" i="1480"/>
  <c r="G49" i="1480"/>
  <c r="D49" i="1480"/>
  <c r="R48" i="1480"/>
  <c r="D48" i="1480"/>
  <c r="D46" i="1480"/>
  <c r="D45" i="1480"/>
  <c r="D44" i="1480"/>
  <c r="R42" i="1480"/>
  <c r="D42" i="1480"/>
  <c r="R41" i="1480"/>
  <c r="L7" i="1480" s="1"/>
  <c r="D7" i="1480" s="1"/>
  <c r="D41" i="1480"/>
  <c r="R40" i="1480"/>
  <c r="L8" i="1480" s="1"/>
  <c r="D8" i="1480" s="1"/>
  <c r="D40" i="1480"/>
  <c r="R39" i="1480"/>
  <c r="D39" i="1480"/>
  <c r="R38" i="1480"/>
  <c r="D38" i="1480"/>
  <c r="R37" i="1480"/>
  <c r="D37" i="1480"/>
  <c r="R36" i="1480"/>
  <c r="L10" i="1480" s="1"/>
  <c r="D10" i="1480" s="1"/>
  <c r="D36" i="1480"/>
  <c r="D54" i="1480" s="1"/>
  <c r="H14" i="1480" s="1"/>
  <c r="R35" i="1480"/>
  <c r="D35" i="1480"/>
  <c r="R34" i="1480"/>
  <c r="D34" i="1480"/>
  <c r="R33" i="1480"/>
  <c r="R32" i="1480"/>
  <c r="L11" i="1480" s="1"/>
  <c r="D11" i="1480" s="1"/>
  <c r="R31" i="1480"/>
  <c r="R30" i="1480"/>
  <c r="R29" i="1480"/>
  <c r="R28" i="1480"/>
  <c r="D28" i="1480"/>
  <c r="R27" i="1480"/>
  <c r="D27" i="1480"/>
  <c r="R26" i="1480"/>
  <c r="L26" i="1480"/>
  <c r="D26" i="1480"/>
  <c r="R25" i="1480"/>
  <c r="L25" i="1480"/>
  <c r="D25" i="1480"/>
  <c r="R24" i="1480"/>
  <c r="D24" i="1480"/>
  <c r="R23" i="1480"/>
  <c r="L23" i="1480"/>
  <c r="D23" i="1480" s="1"/>
  <c r="R22" i="1480"/>
  <c r="L22" i="1480"/>
  <c r="D22" i="1480"/>
  <c r="R21" i="1480"/>
  <c r="D21" i="1480"/>
  <c r="R20" i="1480"/>
  <c r="L20" i="1480"/>
  <c r="D20" i="1480"/>
  <c r="R19" i="1480"/>
  <c r="L19" i="1480"/>
  <c r="D19" i="1480"/>
  <c r="R18" i="1480"/>
  <c r="D18" i="1480"/>
  <c r="R17" i="1480"/>
  <c r="D17" i="1480"/>
  <c r="R16" i="1480"/>
  <c r="L16" i="1480"/>
  <c r="D16" i="1480" s="1"/>
  <c r="S15" i="1480"/>
  <c r="R15" i="1480"/>
  <c r="D15" i="1480"/>
  <c r="S14" i="1480"/>
  <c r="R14" i="1480"/>
  <c r="D14" i="1480"/>
  <c r="R13" i="1480"/>
  <c r="D13" i="1480"/>
  <c r="R12" i="1480"/>
  <c r="L12" i="1480"/>
  <c r="D12" i="1480"/>
  <c r="R11" i="1480"/>
  <c r="L9" i="1480"/>
  <c r="D9" i="1480" s="1"/>
  <c r="R6" i="1480"/>
  <c r="L6" i="1480"/>
  <c r="D6" i="1480"/>
  <c r="D29" i="1480" s="1"/>
  <c r="H13" i="1480" s="1"/>
  <c r="H15" i="1480" s="1"/>
  <c r="H29" i="1480" s="1"/>
  <c r="G51" i="1480" s="1"/>
  <c r="R5" i="1480"/>
  <c r="R4" i="1480"/>
  <c r="R52" i="1479"/>
  <c r="R51" i="1479"/>
  <c r="D50" i="1479"/>
  <c r="R49" i="1479"/>
  <c r="D49" i="1479"/>
  <c r="R48" i="1479"/>
  <c r="D48" i="1479"/>
  <c r="D46" i="1479"/>
  <c r="D45" i="1479"/>
  <c r="D44" i="1479"/>
  <c r="R42" i="1479"/>
  <c r="L6" i="1479" s="1"/>
  <c r="D6" i="1479" s="1"/>
  <c r="D42" i="1479"/>
  <c r="R41" i="1479"/>
  <c r="L7" i="1479" s="1"/>
  <c r="D7" i="1479" s="1"/>
  <c r="D41" i="1479"/>
  <c r="R40" i="1479"/>
  <c r="D40" i="1479"/>
  <c r="R39" i="1479"/>
  <c r="H39" i="1479"/>
  <c r="D39" i="1479"/>
  <c r="R38" i="1479"/>
  <c r="L9" i="1479" s="1"/>
  <c r="D9" i="1479" s="1"/>
  <c r="H38" i="1479"/>
  <c r="D38" i="1479"/>
  <c r="R37" i="1479"/>
  <c r="H37" i="1479"/>
  <c r="D37" i="1479"/>
  <c r="R36" i="1479"/>
  <c r="H36" i="1479"/>
  <c r="D36" i="1479"/>
  <c r="R35" i="1479"/>
  <c r="L19" i="1479" s="1"/>
  <c r="D19" i="1479" s="1"/>
  <c r="H35" i="1479"/>
  <c r="D35" i="1479"/>
  <c r="D54" i="1479" s="1"/>
  <c r="H14" i="1479" s="1"/>
  <c r="R34" i="1479"/>
  <c r="L12" i="1479" s="1"/>
  <c r="D12" i="1479" s="1"/>
  <c r="H34" i="1479"/>
  <c r="G49" i="1479" s="1"/>
  <c r="D34" i="1479"/>
  <c r="R33" i="1479"/>
  <c r="R32" i="1479"/>
  <c r="R31" i="1479"/>
  <c r="R30" i="1479"/>
  <c r="R29" i="1479"/>
  <c r="R28" i="1479"/>
  <c r="L16" i="1479" s="1"/>
  <c r="D16" i="1479" s="1"/>
  <c r="D28" i="1479"/>
  <c r="R27" i="1479"/>
  <c r="D27" i="1479"/>
  <c r="R26" i="1479"/>
  <c r="L26" i="1479"/>
  <c r="D26" i="1479" s="1"/>
  <c r="R25" i="1479"/>
  <c r="L25" i="1479"/>
  <c r="D25" i="1479" s="1"/>
  <c r="R24" i="1479"/>
  <c r="D24" i="1479"/>
  <c r="R23" i="1479"/>
  <c r="L23" i="1479"/>
  <c r="D23" i="1479" s="1"/>
  <c r="R22" i="1479"/>
  <c r="L22" i="1479"/>
  <c r="D22" i="1479"/>
  <c r="R21" i="1479"/>
  <c r="D21" i="1479"/>
  <c r="R20" i="1479"/>
  <c r="L20" i="1479"/>
  <c r="D20" i="1479"/>
  <c r="R19" i="1479"/>
  <c r="R18" i="1479"/>
  <c r="D18" i="1479"/>
  <c r="R17" i="1479"/>
  <c r="D17" i="1479"/>
  <c r="R16" i="1479"/>
  <c r="R15" i="1479"/>
  <c r="D15" i="1479"/>
  <c r="R14" i="1479"/>
  <c r="D14" i="1479"/>
  <c r="R13" i="1479"/>
  <c r="D13" i="1479"/>
  <c r="R12" i="1479"/>
  <c r="R11" i="1479"/>
  <c r="L11" i="1479"/>
  <c r="D11" i="1479"/>
  <c r="L10" i="1479"/>
  <c r="D10" i="1479"/>
  <c r="L8" i="1479"/>
  <c r="D8" i="1479" s="1"/>
  <c r="R6" i="1479"/>
  <c r="R5" i="1479"/>
  <c r="R4" i="1479"/>
  <c r="R52" i="1478"/>
  <c r="R51" i="1478"/>
  <c r="D50" i="1478"/>
  <c r="R49" i="1478"/>
  <c r="D49" i="1478"/>
  <c r="R48" i="1478"/>
  <c r="D48" i="1478"/>
  <c r="D46" i="1478"/>
  <c r="D45" i="1478"/>
  <c r="D44" i="1478"/>
  <c r="R42" i="1478"/>
  <c r="L6" i="1478" s="1"/>
  <c r="D6" i="1478" s="1"/>
  <c r="D42" i="1478"/>
  <c r="R41" i="1478"/>
  <c r="L7" i="1478" s="1"/>
  <c r="D7" i="1478" s="1"/>
  <c r="D41" i="1478"/>
  <c r="R40" i="1478"/>
  <c r="D40" i="1478"/>
  <c r="R39" i="1478"/>
  <c r="L20" i="1478" s="1"/>
  <c r="D20" i="1478" s="1"/>
  <c r="H39" i="1478"/>
  <c r="D39" i="1478"/>
  <c r="R38" i="1478"/>
  <c r="H38" i="1478"/>
  <c r="D38" i="1478"/>
  <c r="R37" i="1478"/>
  <c r="H37" i="1478"/>
  <c r="D37" i="1478"/>
  <c r="R36" i="1478"/>
  <c r="H36" i="1478"/>
  <c r="D36" i="1478"/>
  <c r="R35" i="1478"/>
  <c r="L19" i="1478" s="1"/>
  <c r="D19" i="1478" s="1"/>
  <c r="H35" i="1478"/>
  <c r="D35" i="1478"/>
  <c r="D54" i="1478" s="1"/>
  <c r="H14" i="1478" s="1"/>
  <c r="R34" i="1478"/>
  <c r="L12" i="1478" s="1"/>
  <c r="D12" i="1478" s="1"/>
  <c r="H34" i="1478"/>
  <c r="G49" i="1478" s="1"/>
  <c r="D34" i="1478"/>
  <c r="R33" i="1478"/>
  <c r="L23" i="1478" s="1"/>
  <c r="D23" i="1478" s="1"/>
  <c r="R32" i="1478"/>
  <c r="R31" i="1478"/>
  <c r="R30" i="1478"/>
  <c r="R29" i="1478"/>
  <c r="R28" i="1478"/>
  <c r="D28" i="1478"/>
  <c r="R27" i="1478"/>
  <c r="D27" i="1478"/>
  <c r="R26" i="1478"/>
  <c r="L26" i="1478"/>
  <c r="D26" i="1478"/>
  <c r="R25" i="1478"/>
  <c r="L25" i="1478"/>
  <c r="D25" i="1478"/>
  <c r="R24" i="1478"/>
  <c r="L24" i="1478"/>
  <c r="D24" i="1478"/>
  <c r="R23" i="1478"/>
  <c r="R22" i="1478"/>
  <c r="L22" i="1478"/>
  <c r="D22" i="1478"/>
  <c r="R21" i="1478"/>
  <c r="L17" i="1478" s="1"/>
  <c r="D17" i="1478" s="1"/>
  <c r="D21" i="1478"/>
  <c r="R20" i="1478"/>
  <c r="R19" i="1478"/>
  <c r="R18" i="1478"/>
  <c r="D18" i="1478"/>
  <c r="R17" i="1478"/>
  <c r="R16" i="1478"/>
  <c r="L16" i="1478"/>
  <c r="D16" i="1478"/>
  <c r="R15" i="1478"/>
  <c r="D15" i="1478"/>
  <c r="R14" i="1478"/>
  <c r="D14" i="1478"/>
  <c r="R13" i="1478"/>
  <c r="D13" i="1478"/>
  <c r="R12" i="1478"/>
  <c r="R11" i="1478"/>
  <c r="L11" i="1478"/>
  <c r="D11" i="1478"/>
  <c r="L10" i="1478"/>
  <c r="D10" i="1478"/>
  <c r="L9" i="1478"/>
  <c r="D9" i="1478"/>
  <c r="L8" i="1478"/>
  <c r="D8" i="1478"/>
  <c r="R6" i="1478"/>
  <c r="R5" i="1478"/>
  <c r="R4" i="1478"/>
  <c r="R52" i="1477"/>
  <c r="R51" i="1477"/>
  <c r="D50" i="1477"/>
  <c r="R49" i="1477"/>
  <c r="G49" i="1477"/>
  <c r="D49" i="1477"/>
  <c r="R48" i="1477"/>
  <c r="D48" i="1477"/>
  <c r="D46" i="1477"/>
  <c r="D45" i="1477"/>
  <c r="R44" i="1477"/>
  <c r="P44" i="1477"/>
  <c r="D44" i="1477"/>
  <c r="R42" i="1477"/>
  <c r="D42" i="1477"/>
  <c r="R41" i="1477"/>
  <c r="D41" i="1477"/>
  <c r="R40" i="1477"/>
  <c r="L8" i="1477" s="1"/>
  <c r="D8" i="1477" s="1"/>
  <c r="D40" i="1477"/>
  <c r="R39" i="1477"/>
  <c r="L20" i="1477" s="1"/>
  <c r="D20" i="1477" s="1"/>
  <c r="H39" i="1477"/>
  <c r="D39" i="1477"/>
  <c r="R38" i="1477"/>
  <c r="L9" i="1477" s="1"/>
  <c r="D9" i="1477" s="1"/>
  <c r="H38" i="1477"/>
  <c r="D38" i="1477"/>
  <c r="R37" i="1477"/>
  <c r="H37" i="1477"/>
  <c r="D37" i="1477"/>
  <c r="R36" i="1477"/>
  <c r="H36" i="1477"/>
  <c r="D36" i="1477"/>
  <c r="R35" i="1477"/>
  <c r="H35" i="1477"/>
  <c r="D35" i="1477"/>
  <c r="R34" i="1477"/>
  <c r="H34" i="1477"/>
  <c r="D34" i="1477"/>
  <c r="D54" i="1477" s="1"/>
  <c r="H14" i="1477" s="1"/>
  <c r="R33" i="1477"/>
  <c r="R32" i="1477"/>
  <c r="L11" i="1477" s="1"/>
  <c r="D11" i="1477" s="1"/>
  <c r="R31" i="1477"/>
  <c r="R30" i="1477"/>
  <c r="R29" i="1477"/>
  <c r="R28" i="1477"/>
  <c r="D28" i="1477"/>
  <c r="R27" i="1477"/>
  <c r="D27" i="1477"/>
  <c r="R26" i="1477"/>
  <c r="L26" i="1477"/>
  <c r="D26" i="1477"/>
  <c r="R25" i="1477"/>
  <c r="L25" i="1477"/>
  <c r="D25" i="1477" s="1"/>
  <c r="R24" i="1477"/>
  <c r="L24" i="1477"/>
  <c r="D24" i="1477"/>
  <c r="R23" i="1477"/>
  <c r="D23" i="1477"/>
  <c r="R22" i="1477"/>
  <c r="D22" i="1477"/>
  <c r="R21" i="1477"/>
  <c r="D21" i="1477"/>
  <c r="R20" i="1477"/>
  <c r="R19" i="1477"/>
  <c r="D19" i="1477"/>
  <c r="R18" i="1477"/>
  <c r="D18" i="1477"/>
  <c r="R17" i="1477"/>
  <c r="L17" i="1477"/>
  <c r="D17" i="1477"/>
  <c r="R16" i="1477"/>
  <c r="L16" i="1477"/>
  <c r="D16" i="1477" s="1"/>
  <c r="R15" i="1477"/>
  <c r="D15" i="1477"/>
  <c r="R14" i="1477"/>
  <c r="D14" i="1477"/>
  <c r="R13" i="1477"/>
  <c r="D13" i="1477"/>
  <c r="R12" i="1477"/>
  <c r="L12" i="1477"/>
  <c r="D12" i="1477" s="1"/>
  <c r="R11" i="1477"/>
  <c r="L10" i="1477"/>
  <c r="D10" i="1477" s="1"/>
  <c r="L7" i="1477"/>
  <c r="D7" i="1477"/>
  <c r="R6" i="1477"/>
  <c r="L6" i="1477"/>
  <c r="D6" i="1477"/>
  <c r="R5" i="1477"/>
  <c r="R4" i="1477"/>
  <c r="R52" i="1476"/>
  <c r="R51" i="1476"/>
  <c r="D50" i="1476"/>
  <c r="R49" i="1476"/>
  <c r="G49" i="1476"/>
  <c r="D49" i="1476"/>
  <c r="R48" i="1476"/>
  <c r="D48" i="1476"/>
  <c r="D46" i="1476"/>
  <c r="D45" i="1476"/>
  <c r="D44" i="1476"/>
  <c r="R42" i="1476"/>
  <c r="D42" i="1476"/>
  <c r="R41" i="1476"/>
  <c r="L7" i="1476" s="1"/>
  <c r="D7" i="1476" s="1"/>
  <c r="D41" i="1476"/>
  <c r="R40" i="1476"/>
  <c r="L8" i="1476" s="1"/>
  <c r="D8" i="1476" s="1"/>
  <c r="D40" i="1476"/>
  <c r="D54" i="1476" s="1"/>
  <c r="H14" i="1476" s="1"/>
  <c r="R39" i="1476"/>
  <c r="D39" i="1476"/>
  <c r="R38" i="1476"/>
  <c r="D38" i="1476"/>
  <c r="R37" i="1476"/>
  <c r="D37" i="1476"/>
  <c r="R36" i="1476"/>
  <c r="L10" i="1476" s="1"/>
  <c r="D10" i="1476" s="1"/>
  <c r="D36" i="1476"/>
  <c r="R35" i="1476"/>
  <c r="D35" i="1476"/>
  <c r="R34" i="1476"/>
  <c r="D34" i="1476"/>
  <c r="R33" i="1476"/>
  <c r="R32" i="1476"/>
  <c r="L11" i="1476" s="1"/>
  <c r="D11" i="1476" s="1"/>
  <c r="R31" i="1476"/>
  <c r="R30" i="1476"/>
  <c r="R29" i="1476"/>
  <c r="R28" i="1476"/>
  <c r="D28" i="1476"/>
  <c r="R27" i="1476"/>
  <c r="D27" i="1476"/>
  <c r="R26" i="1476"/>
  <c r="L26" i="1476"/>
  <c r="D26" i="1476" s="1"/>
  <c r="R25" i="1476"/>
  <c r="L25" i="1476"/>
  <c r="D25" i="1476"/>
  <c r="R24" i="1476"/>
  <c r="D24" i="1476"/>
  <c r="R23" i="1476"/>
  <c r="L23" i="1476"/>
  <c r="D23" i="1476" s="1"/>
  <c r="R22" i="1476"/>
  <c r="L22" i="1476"/>
  <c r="D22" i="1476" s="1"/>
  <c r="R21" i="1476"/>
  <c r="D21" i="1476"/>
  <c r="R20" i="1476"/>
  <c r="L20" i="1476"/>
  <c r="D20" i="1476" s="1"/>
  <c r="R19" i="1476"/>
  <c r="L19" i="1476"/>
  <c r="D19" i="1476"/>
  <c r="R18" i="1476"/>
  <c r="D18" i="1476"/>
  <c r="R17" i="1476"/>
  <c r="D17" i="1476"/>
  <c r="R16" i="1476"/>
  <c r="L16" i="1476"/>
  <c r="D16" i="1476" s="1"/>
  <c r="S15" i="1476"/>
  <c r="R15" i="1476"/>
  <c r="D15" i="1476"/>
  <c r="S14" i="1476"/>
  <c r="R14" i="1476"/>
  <c r="D14" i="1476"/>
  <c r="R13" i="1476"/>
  <c r="D13" i="1476"/>
  <c r="R12" i="1476"/>
  <c r="L12" i="1476"/>
  <c r="D12" i="1476" s="1"/>
  <c r="R11" i="1476"/>
  <c r="L9" i="1476"/>
  <c r="D9" i="1476" s="1"/>
  <c r="R6" i="1476"/>
  <c r="L6" i="1476"/>
  <c r="D6" i="1476"/>
  <c r="R5" i="1476"/>
  <c r="R4" i="1476"/>
  <c r="R52" i="1475"/>
  <c r="R51" i="1475"/>
  <c r="D50" i="1475"/>
  <c r="R49" i="1475"/>
  <c r="D49" i="1475"/>
  <c r="R48" i="1475"/>
  <c r="D48" i="1475"/>
  <c r="D46" i="1475"/>
  <c r="D45" i="1475"/>
  <c r="D44" i="1475"/>
  <c r="R42" i="1475"/>
  <c r="L6" i="1475" s="1"/>
  <c r="D6" i="1475" s="1"/>
  <c r="D42" i="1475"/>
  <c r="R41" i="1475"/>
  <c r="D41" i="1475"/>
  <c r="R40" i="1475"/>
  <c r="L8" i="1475" s="1"/>
  <c r="D8" i="1475" s="1"/>
  <c r="D40" i="1475"/>
  <c r="R39" i="1475"/>
  <c r="H39" i="1475"/>
  <c r="D39" i="1475"/>
  <c r="R38" i="1475"/>
  <c r="H38" i="1475"/>
  <c r="D38" i="1475"/>
  <c r="R37" i="1475"/>
  <c r="H37" i="1475"/>
  <c r="D37" i="1475"/>
  <c r="R36" i="1475"/>
  <c r="H36" i="1475"/>
  <c r="D36" i="1475"/>
  <c r="R35" i="1475"/>
  <c r="L19" i="1475" s="1"/>
  <c r="D19" i="1475" s="1"/>
  <c r="H35" i="1475"/>
  <c r="D35" i="1475"/>
  <c r="R34" i="1475"/>
  <c r="L12" i="1475" s="1"/>
  <c r="D12" i="1475" s="1"/>
  <c r="H34" i="1475"/>
  <c r="D34" i="1475"/>
  <c r="R33" i="1475"/>
  <c r="R32" i="1475"/>
  <c r="R31" i="1475"/>
  <c r="R30" i="1475"/>
  <c r="R29" i="1475"/>
  <c r="R28" i="1475"/>
  <c r="L16" i="1475" s="1"/>
  <c r="D16" i="1475" s="1"/>
  <c r="D28" i="1475"/>
  <c r="R27" i="1475"/>
  <c r="D27" i="1475"/>
  <c r="R26" i="1475"/>
  <c r="L26" i="1475"/>
  <c r="D26" i="1475"/>
  <c r="R25" i="1475"/>
  <c r="L25" i="1475"/>
  <c r="D25" i="1475"/>
  <c r="R24" i="1475"/>
  <c r="D24" i="1475"/>
  <c r="R23" i="1475"/>
  <c r="L23" i="1475"/>
  <c r="D23" i="1475"/>
  <c r="R22" i="1475"/>
  <c r="L22" i="1475"/>
  <c r="D22" i="1475" s="1"/>
  <c r="R21" i="1475"/>
  <c r="D21" i="1475"/>
  <c r="R20" i="1475"/>
  <c r="L20" i="1475"/>
  <c r="D20" i="1475"/>
  <c r="R19" i="1475"/>
  <c r="R18" i="1475"/>
  <c r="D18" i="1475"/>
  <c r="R17" i="1475"/>
  <c r="D17" i="1475"/>
  <c r="R16" i="1475"/>
  <c r="R15" i="1475"/>
  <c r="D15" i="1475"/>
  <c r="R14" i="1475"/>
  <c r="D14" i="1475"/>
  <c r="R13" i="1475"/>
  <c r="D13" i="1475"/>
  <c r="R12" i="1475"/>
  <c r="R11" i="1475"/>
  <c r="L11" i="1475"/>
  <c r="D11" i="1475"/>
  <c r="L10" i="1475"/>
  <c r="D10" i="1475" s="1"/>
  <c r="L9" i="1475"/>
  <c r="D9" i="1475"/>
  <c r="L7" i="1475"/>
  <c r="D7" i="1475"/>
  <c r="R6" i="1475"/>
  <c r="R5" i="1475"/>
  <c r="R4" i="1475"/>
  <c r="R52" i="1474"/>
  <c r="R51" i="1474"/>
  <c r="D50" i="1474"/>
  <c r="R49" i="1474"/>
  <c r="D49" i="1474"/>
  <c r="R48" i="1474"/>
  <c r="D48" i="1474"/>
  <c r="D46" i="1474"/>
  <c r="D45" i="1474"/>
  <c r="D44" i="1474"/>
  <c r="R42" i="1474"/>
  <c r="L6" i="1474" s="1"/>
  <c r="D6" i="1474" s="1"/>
  <c r="D42" i="1474"/>
  <c r="R41" i="1474"/>
  <c r="L7" i="1474" s="1"/>
  <c r="D7" i="1474" s="1"/>
  <c r="D41" i="1474"/>
  <c r="R40" i="1474"/>
  <c r="D40" i="1474"/>
  <c r="R39" i="1474"/>
  <c r="L20" i="1474" s="1"/>
  <c r="D20" i="1474" s="1"/>
  <c r="H39" i="1474"/>
  <c r="D39" i="1474"/>
  <c r="R38" i="1474"/>
  <c r="L9" i="1474" s="1"/>
  <c r="D9" i="1474" s="1"/>
  <c r="H38" i="1474"/>
  <c r="D38" i="1474"/>
  <c r="R37" i="1474"/>
  <c r="H37" i="1474"/>
  <c r="D37" i="1474"/>
  <c r="R36" i="1474"/>
  <c r="H36" i="1474"/>
  <c r="D36" i="1474"/>
  <c r="R35" i="1474"/>
  <c r="L19" i="1474" s="1"/>
  <c r="D19" i="1474" s="1"/>
  <c r="H35" i="1474"/>
  <c r="D35" i="1474"/>
  <c r="R34" i="1474"/>
  <c r="H34" i="1474"/>
  <c r="D34" i="1474"/>
  <c r="R33" i="1474"/>
  <c r="R32" i="1474"/>
  <c r="R31" i="1474"/>
  <c r="R30" i="1474"/>
  <c r="R29" i="1474"/>
  <c r="R28" i="1474"/>
  <c r="D28" i="1474"/>
  <c r="R27" i="1474"/>
  <c r="D27" i="1474"/>
  <c r="R26" i="1474"/>
  <c r="L26" i="1474"/>
  <c r="D26" i="1474"/>
  <c r="R25" i="1474"/>
  <c r="L25" i="1474"/>
  <c r="D25" i="1474"/>
  <c r="R24" i="1474"/>
  <c r="L24" i="1474"/>
  <c r="D24" i="1474"/>
  <c r="R23" i="1474"/>
  <c r="L23" i="1474"/>
  <c r="D23" i="1474"/>
  <c r="R22" i="1474"/>
  <c r="L22" i="1474"/>
  <c r="D22" i="1474"/>
  <c r="R21" i="1474"/>
  <c r="L17" i="1474" s="1"/>
  <c r="D17" i="1474" s="1"/>
  <c r="D21" i="1474"/>
  <c r="R20" i="1474"/>
  <c r="R19" i="1474"/>
  <c r="R18" i="1474"/>
  <c r="D18" i="1474"/>
  <c r="R17" i="1474"/>
  <c r="R16" i="1474"/>
  <c r="L16" i="1474"/>
  <c r="D16" i="1474"/>
  <c r="R15" i="1474"/>
  <c r="D15" i="1474"/>
  <c r="R14" i="1474"/>
  <c r="D14" i="1474"/>
  <c r="R13" i="1474"/>
  <c r="D13" i="1474"/>
  <c r="R12" i="1474"/>
  <c r="L12" i="1474"/>
  <c r="D12" i="1474"/>
  <c r="R11" i="1474"/>
  <c r="L11" i="1474"/>
  <c r="D11" i="1474"/>
  <c r="L10" i="1474"/>
  <c r="D10" i="1474"/>
  <c r="L8" i="1474"/>
  <c r="D8" i="1474"/>
  <c r="R6" i="1474"/>
  <c r="R5" i="1474"/>
  <c r="R4" i="1474"/>
  <c r="R52" i="1473"/>
  <c r="R51" i="1473"/>
  <c r="D50" i="1473"/>
  <c r="R49" i="1473"/>
  <c r="D49" i="1473"/>
  <c r="R48" i="1473"/>
  <c r="D48" i="1473"/>
  <c r="D46" i="1473"/>
  <c r="D45" i="1473"/>
  <c r="P44" i="1473"/>
  <c r="R44" i="1473" s="1"/>
  <c r="D44" i="1473"/>
  <c r="R42" i="1473"/>
  <c r="L6" i="1473" s="1"/>
  <c r="D6" i="1473" s="1"/>
  <c r="D42" i="1473"/>
  <c r="R41" i="1473"/>
  <c r="L7" i="1473" s="1"/>
  <c r="D7" i="1473" s="1"/>
  <c r="D41" i="1473"/>
  <c r="R40" i="1473"/>
  <c r="D40" i="1473"/>
  <c r="R39" i="1473"/>
  <c r="H39" i="1473"/>
  <c r="D39" i="1473"/>
  <c r="R38" i="1473"/>
  <c r="H38" i="1473"/>
  <c r="D38" i="1473"/>
  <c r="R37" i="1473"/>
  <c r="H37" i="1473"/>
  <c r="D37" i="1473"/>
  <c r="R36" i="1473"/>
  <c r="L10" i="1473" s="1"/>
  <c r="D10" i="1473" s="1"/>
  <c r="H36" i="1473"/>
  <c r="D36" i="1473"/>
  <c r="R35" i="1473"/>
  <c r="H35" i="1473"/>
  <c r="D35" i="1473"/>
  <c r="R34" i="1473"/>
  <c r="H34" i="1473"/>
  <c r="D34" i="1473"/>
  <c r="R33" i="1473"/>
  <c r="R32" i="1473"/>
  <c r="R31" i="1473"/>
  <c r="R30" i="1473"/>
  <c r="R29" i="1473"/>
  <c r="R28" i="1473"/>
  <c r="L16" i="1473" s="1"/>
  <c r="D16" i="1473" s="1"/>
  <c r="D28" i="1473"/>
  <c r="R27" i="1473"/>
  <c r="D27" i="1473"/>
  <c r="R26" i="1473"/>
  <c r="D26" i="1473"/>
  <c r="R25" i="1473"/>
  <c r="L25" i="1473"/>
  <c r="D25" i="1473"/>
  <c r="R24" i="1473"/>
  <c r="L24" i="1473"/>
  <c r="D24" i="1473"/>
  <c r="R23" i="1473"/>
  <c r="D23" i="1473"/>
  <c r="R22" i="1473"/>
  <c r="D22" i="1473"/>
  <c r="R21" i="1473"/>
  <c r="D21" i="1473"/>
  <c r="R20" i="1473"/>
  <c r="L20" i="1473"/>
  <c r="D20" i="1473" s="1"/>
  <c r="R19" i="1473"/>
  <c r="D19" i="1473"/>
  <c r="R18" i="1473"/>
  <c r="D18" i="1473"/>
  <c r="R17" i="1473"/>
  <c r="L17" i="1473"/>
  <c r="D17" i="1473"/>
  <c r="R16" i="1473"/>
  <c r="R15" i="1473"/>
  <c r="D15" i="1473"/>
  <c r="R14" i="1473"/>
  <c r="D14" i="1473"/>
  <c r="R13" i="1473"/>
  <c r="D13" i="1473"/>
  <c r="R12" i="1473"/>
  <c r="L12" i="1473"/>
  <c r="D12" i="1473"/>
  <c r="R11" i="1473"/>
  <c r="L11" i="1473"/>
  <c r="D11" i="1473"/>
  <c r="L9" i="1473"/>
  <c r="D9" i="1473" s="1"/>
  <c r="L8" i="1473"/>
  <c r="D8" i="1473"/>
  <c r="R6" i="1473"/>
  <c r="R5" i="1473"/>
  <c r="R4" i="1473"/>
  <c r="R52" i="1472"/>
  <c r="R51" i="1472"/>
  <c r="D50" i="1472"/>
  <c r="R49" i="1472"/>
  <c r="G49" i="1472"/>
  <c r="D49" i="1472"/>
  <c r="R48" i="1472"/>
  <c r="D48" i="1472"/>
  <c r="D46" i="1472"/>
  <c r="D45" i="1472"/>
  <c r="D44" i="1472"/>
  <c r="R42" i="1472"/>
  <c r="D42" i="1472"/>
  <c r="R41" i="1472"/>
  <c r="L7" i="1472" s="1"/>
  <c r="D7" i="1472" s="1"/>
  <c r="D41" i="1472"/>
  <c r="R40" i="1472"/>
  <c r="L8" i="1472" s="1"/>
  <c r="D8" i="1472" s="1"/>
  <c r="D40" i="1472"/>
  <c r="R39" i="1472"/>
  <c r="D39" i="1472"/>
  <c r="R38" i="1472"/>
  <c r="L9" i="1472" s="1"/>
  <c r="D9" i="1472" s="1"/>
  <c r="D38" i="1472"/>
  <c r="R37" i="1472"/>
  <c r="D37" i="1472"/>
  <c r="D54" i="1472" s="1"/>
  <c r="H14" i="1472" s="1"/>
  <c r="R36" i="1472"/>
  <c r="L10" i="1472" s="1"/>
  <c r="D10" i="1472" s="1"/>
  <c r="D36" i="1472"/>
  <c r="R35" i="1472"/>
  <c r="D35" i="1472"/>
  <c r="R34" i="1472"/>
  <c r="L12" i="1472" s="1"/>
  <c r="D12" i="1472" s="1"/>
  <c r="D34" i="1472"/>
  <c r="R33" i="1472"/>
  <c r="L23" i="1472" s="1"/>
  <c r="D23" i="1472" s="1"/>
  <c r="R32" i="1472"/>
  <c r="R31" i="1472"/>
  <c r="R30" i="1472"/>
  <c r="R29" i="1472"/>
  <c r="R28" i="1472"/>
  <c r="L16" i="1472" s="1"/>
  <c r="D16" i="1472" s="1"/>
  <c r="D28" i="1472"/>
  <c r="R27" i="1472"/>
  <c r="D27" i="1472"/>
  <c r="R26" i="1472"/>
  <c r="L26" i="1472"/>
  <c r="D26" i="1472"/>
  <c r="R25" i="1472"/>
  <c r="L25" i="1472"/>
  <c r="D25" i="1472"/>
  <c r="R24" i="1472"/>
  <c r="D24" i="1472"/>
  <c r="R23" i="1472"/>
  <c r="R22" i="1472"/>
  <c r="L22" i="1472"/>
  <c r="D22" i="1472"/>
  <c r="R21" i="1472"/>
  <c r="D21" i="1472"/>
  <c r="R20" i="1472"/>
  <c r="L20" i="1472"/>
  <c r="D20" i="1472"/>
  <c r="R19" i="1472"/>
  <c r="L19" i="1472"/>
  <c r="D19" i="1472"/>
  <c r="R18" i="1472"/>
  <c r="D18" i="1472"/>
  <c r="R17" i="1472"/>
  <c r="D17" i="1472"/>
  <c r="R16" i="1472"/>
  <c r="S15" i="1472"/>
  <c r="R15" i="1472"/>
  <c r="D15" i="1472"/>
  <c r="S14" i="1472"/>
  <c r="R14" i="1472"/>
  <c r="D14" i="1472"/>
  <c r="R13" i="1472"/>
  <c r="D13" i="1472"/>
  <c r="R12" i="1472"/>
  <c r="R11" i="1472"/>
  <c r="L11" i="1472"/>
  <c r="D11" i="1472"/>
  <c r="R6" i="1472"/>
  <c r="L6" i="1472"/>
  <c r="D6" i="1472" s="1"/>
  <c r="R5" i="1472"/>
  <c r="R4" i="1472"/>
  <c r="G49" i="1475" l="1"/>
  <c r="G49" i="1474"/>
  <c r="G49" i="1473"/>
  <c r="D54" i="1475"/>
  <c r="H14" i="1475" s="1"/>
  <c r="D54" i="1474"/>
  <c r="H14" i="1474" s="1"/>
  <c r="D54" i="1473"/>
  <c r="H14" i="1473" s="1"/>
  <c r="D29" i="1496"/>
  <c r="H13" i="1496" s="1"/>
  <c r="H15" i="1496" s="1"/>
  <c r="H29" i="1496" s="1"/>
  <c r="G51" i="1496" s="1"/>
  <c r="D29" i="1495"/>
  <c r="H13" i="1495" s="1"/>
  <c r="H15" i="1495" s="1"/>
  <c r="H29" i="1495" s="1"/>
  <c r="G51" i="1495" s="1"/>
  <c r="G51" i="1494"/>
  <c r="D29" i="1494"/>
  <c r="H13" i="1494" s="1"/>
  <c r="H15" i="1494" s="1"/>
  <c r="H29" i="1494" s="1"/>
  <c r="D29" i="1493"/>
  <c r="H13" i="1493" s="1"/>
  <c r="H15" i="1493" s="1"/>
  <c r="H29" i="1493" s="1"/>
  <c r="G51" i="1493" s="1"/>
  <c r="D29" i="1492"/>
  <c r="H13" i="1492" s="1"/>
  <c r="H15" i="1492" s="1"/>
  <c r="H29" i="1492" s="1"/>
  <c r="G51" i="1492"/>
  <c r="D29" i="1491"/>
  <c r="H13" i="1491" s="1"/>
  <c r="H15" i="1491" s="1"/>
  <c r="H29" i="1491" s="1"/>
  <c r="G51" i="1491" s="1"/>
  <c r="D29" i="1490"/>
  <c r="H13" i="1490" s="1"/>
  <c r="H15" i="1490" s="1"/>
  <c r="H29" i="1490" s="1"/>
  <c r="G51" i="1490" s="1"/>
  <c r="G51" i="1489"/>
  <c r="D29" i="1488"/>
  <c r="H13" i="1488" s="1"/>
  <c r="H15" i="1488" s="1"/>
  <c r="H29" i="1488" s="1"/>
  <c r="G51" i="1488"/>
  <c r="H15" i="1487"/>
  <c r="H29" i="1487" s="1"/>
  <c r="G51" i="1487"/>
  <c r="D29" i="1486"/>
  <c r="H13" i="1486" s="1"/>
  <c r="H15" i="1486" s="1"/>
  <c r="H29" i="1486" s="1"/>
  <c r="G51" i="1486" s="1"/>
  <c r="D29" i="1485"/>
  <c r="H13" i="1485" s="1"/>
  <c r="H15" i="1485" s="1"/>
  <c r="H29" i="1485" s="1"/>
  <c r="G51" i="1485"/>
  <c r="D29" i="1484"/>
  <c r="H13" i="1484" s="1"/>
  <c r="H15" i="1484" s="1"/>
  <c r="H29" i="1484" s="1"/>
  <c r="G51" i="1484" s="1"/>
  <c r="D29" i="1483"/>
  <c r="H13" i="1483" s="1"/>
  <c r="H15" i="1483" s="1"/>
  <c r="H29" i="1483" s="1"/>
  <c r="G51" i="1483" s="1"/>
  <c r="D29" i="1482"/>
  <c r="H13" i="1482" s="1"/>
  <c r="H15" i="1482" s="1"/>
  <c r="H29" i="1482" s="1"/>
  <c r="G51" i="1482" s="1"/>
  <c r="D29" i="1481"/>
  <c r="H13" i="1481" s="1"/>
  <c r="H15" i="1481" s="1"/>
  <c r="H29" i="1481" s="1"/>
  <c r="G51" i="1481"/>
  <c r="D29" i="1479"/>
  <c r="H13" i="1479" s="1"/>
  <c r="H15" i="1479" s="1"/>
  <c r="H29" i="1479" s="1"/>
  <c r="G51" i="1479" s="1"/>
  <c r="D29" i="1478"/>
  <c r="H13" i="1478" s="1"/>
  <c r="H15" i="1478" s="1"/>
  <c r="H29" i="1478" s="1"/>
  <c r="G51" i="1478" s="1"/>
  <c r="D29" i="1477"/>
  <c r="H13" i="1477" s="1"/>
  <c r="H15" i="1477" s="1"/>
  <c r="H29" i="1477" s="1"/>
  <c r="G51" i="1477" s="1"/>
  <c r="D29" i="1476"/>
  <c r="H13" i="1476" s="1"/>
  <c r="H15" i="1476" s="1"/>
  <c r="H29" i="1476" s="1"/>
  <c r="G51" i="1476" s="1"/>
  <c r="D29" i="1475"/>
  <c r="H13" i="1475" s="1"/>
  <c r="D29" i="1474"/>
  <c r="H13" i="1474" s="1"/>
  <c r="D29" i="1473"/>
  <c r="H13" i="1473" s="1"/>
  <c r="D29" i="1472"/>
  <c r="H13" i="1472" s="1"/>
  <c r="H15" i="1472" s="1"/>
  <c r="H29" i="1472" s="1"/>
  <c r="G51" i="1472"/>
  <c r="L25" i="1454"/>
  <c r="H15" i="1475" l="1"/>
  <c r="H29" i="1475" s="1"/>
  <c r="G51" i="1475" s="1"/>
  <c r="H15" i="1474"/>
  <c r="H29" i="1474" s="1"/>
  <c r="G51" i="1474" s="1"/>
  <c r="H15" i="1473"/>
  <c r="H29" i="1473" s="1"/>
  <c r="G51" i="1473" s="1"/>
  <c r="H16" i="1458"/>
  <c r="C21" i="1453" l="1"/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D34" i="1470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D36" i="1469"/>
  <c r="R35" i="1469"/>
  <c r="L19" i="1469" s="1"/>
  <c r="D19" i="1469" s="1"/>
  <c r="H35" i="1469"/>
  <c r="D35" i="1469"/>
  <c r="R34" i="1469"/>
  <c r="H34" i="1469"/>
  <c r="D34" i="1469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D34" i="1468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D34" i="1465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D34" i="1464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D34" i="1457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D34" i="1456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R35" i="1453"/>
  <c r="L19" i="1453" s="1"/>
  <c r="D19" i="1453" s="1"/>
  <c r="H35" i="1453"/>
  <c r="D35" i="1453"/>
  <c r="R34" i="1453"/>
  <c r="H34" i="1453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G49" i="1470" l="1"/>
  <c r="G49" i="1469"/>
  <c r="D54" i="1470"/>
  <c r="H14" i="1470" s="1"/>
  <c r="D54" i="1469"/>
  <c r="H14" i="1469" s="1"/>
  <c r="D54" i="1468"/>
  <c r="H14" i="1468" s="1"/>
  <c r="G49" i="1468"/>
  <c r="G49" i="1464"/>
  <c r="G49" i="1466"/>
  <c r="G49" i="1465"/>
  <c r="D54" i="1466"/>
  <c r="H14" i="1466" s="1"/>
  <c r="D54" i="1465"/>
  <c r="H14" i="1465" s="1"/>
  <c r="D29" i="1465"/>
  <c r="H13" i="1465" s="1"/>
  <c r="D54" i="1464"/>
  <c r="H14" i="1464" s="1"/>
  <c r="D54" i="1462"/>
  <c r="H14" i="1462" s="1"/>
  <c r="D54" i="1460"/>
  <c r="H14" i="1460" s="1"/>
  <c r="D29" i="1460"/>
  <c r="H13" i="1460" s="1"/>
  <c r="G49" i="1462"/>
  <c r="G49" i="1460"/>
  <c r="G49" i="1457"/>
  <c r="G49" i="1456"/>
  <c r="D54" i="1458"/>
  <c r="H14" i="1458" s="1"/>
  <c r="D54" i="1457"/>
  <c r="H14" i="1457" s="1"/>
  <c r="D54" i="1456"/>
  <c r="H14" i="1456" s="1"/>
  <c r="D29" i="1456"/>
  <c r="H13" i="1456" s="1"/>
  <c r="G49" i="1454"/>
  <c r="G49" i="1453"/>
  <c r="G49" i="1452"/>
  <c r="D54" i="1454"/>
  <c r="H14" i="1454" s="1"/>
  <c r="D54" i="1453"/>
  <c r="H14" i="1453" s="1"/>
  <c r="D54" i="1452"/>
  <c r="H14" i="1452" s="1"/>
  <c r="D54" i="1450"/>
  <c r="H14" i="1450" s="1"/>
  <c r="D54" i="1449"/>
  <c r="H14" i="1449" s="1"/>
  <c r="G49" i="1450"/>
  <c r="G49" i="1449"/>
  <c r="D29" i="1470"/>
  <c r="H13" i="1470" s="1"/>
  <c r="D29" i="1469"/>
  <c r="H13" i="1469" s="1"/>
  <c r="D29" i="1468"/>
  <c r="H13" i="1468" s="1"/>
  <c r="G51" i="1467"/>
  <c r="D29" i="1466"/>
  <c r="H13" i="1466" s="1"/>
  <c r="D29" i="1464"/>
  <c r="H13" i="1464" s="1"/>
  <c r="D29" i="1463"/>
  <c r="H13" i="1463" s="1"/>
  <c r="H15" i="1463" s="1"/>
  <c r="H29" i="1463" s="1"/>
  <c r="G51" i="1463" s="1"/>
  <c r="D29" i="1462"/>
  <c r="H13" i="1462" s="1"/>
  <c r="D29" i="1461"/>
  <c r="H13" i="1461" s="1"/>
  <c r="H15" i="1461" s="1"/>
  <c r="H29" i="1461" s="1"/>
  <c r="G51" i="1461"/>
  <c r="D29" i="1459"/>
  <c r="H13" i="1459" s="1"/>
  <c r="H15" i="1459" s="1"/>
  <c r="H29" i="1459" s="1"/>
  <c r="G51" i="1459" s="1"/>
  <c r="D29" i="1458"/>
  <c r="H13" i="1458" s="1"/>
  <c r="D29" i="1457"/>
  <c r="H13" i="1457" s="1"/>
  <c r="G51" i="1455"/>
  <c r="D29" i="1454"/>
  <c r="H13" i="1454" s="1"/>
  <c r="D29" i="1453"/>
  <c r="H13" i="1453" s="1"/>
  <c r="H15" i="1453" s="1"/>
  <c r="H29" i="1453" s="1"/>
  <c r="D29" i="1452"/>
  <c r="H13" i="1452" s="1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70" l="1"/>
  <c r="H29" i="1470" s="1"/>
  <c r="G51" i="1470" s="1"/>
  <c r="H15" i="1469"/>
  <c r="H29" i="1469" s="1"/>
  <c r="G51" i="1469" s="1"/>
  <c r="H15" i="1468"/>
  <c r="H29" i="1468" s="1"/>
  <c r="G51" i="1468" s="1"/>
  <c r="H15" i="1466"/>
  <c r="H29" i="1466" s="1"/>
  <c r="G51" i="1466" s="1"/>
  <c r="H15" i="1465"/>
  <c r="H29" i="1465" s="1"/>
  <c r="G51" i="1465" s="1"/>
  <c r="H15" i="1464"/>
  <c r="H29" i="1464" s="1"/>
  <c r="G51" i="1464" s="1"/>
  <c r="H15" i="1462"/>
  <c r="H29" i="1462" s="1"/>
  <c r="G51" i="1462" s="1"/>
  <c r="H15" i="1460"/>
  <c r="H29" i="1460" s="1"/>
  <c r="G51" i="1460" s="1"/>
  <c r="H15" i="1458"/>
  <c r="H29" i="1458" s="1"/>
  <c r="G51" i="1458" s="1"/>
  <c r="H15" i="1457"/>
  <c r="H29" i="1457" s="1"/>
  <c r="G51" i="1457" s="1"/>
  <c r="H15" i="1456"/>
  <c r="H29" i="1456" s="1"/>
  <c r="G51" i="1456" s="1"/>
  <c r="G51" i="1453"/>
  <c r="H15" i="1454"/>
  <c r="H29" i="1454" s="1"/>
  <c r="G51" i="1454" s="1"/>
  <c r="H15" i="1452"/>
  <c r="H29" i="1452" s="1"/>
  <c r="G51" i="1452" s="1"/>
  <c r="H15" i="1450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<sst xmlns="http://schemas.openxmlformats.org/spreadsheetml/2006/main" count="10131" uniqueCount="170">
  <si>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</si>
  <si>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</si>
  <si>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</si>
  <si>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</si>
  <si>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</si>
  <si>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</si>
  <si>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</si>
  <si>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</si>
  <si>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</si>
  <si>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</si>
  <si>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</si>
  <si>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</si>
  <si>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</si>
  <si>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</si>
  <si>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</si>
  <si>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</si>
  <si>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</si>
  <si>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</si>
  <si>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</si>
  <si>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</si>
  <si>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</si>
  <si>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</si>
  <si>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</si>
  <si>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</si>
  <si>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</si>
  <si>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</si>
  <si>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</si>
  <si>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</si>
  <si>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</si>
  <si>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</si>
  <si>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</si>
  <si>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</si>
  <si>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</si>
  <si>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</si>
  <si>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</si>
  <si>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</si>
  <si>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</si>
  <si>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</si>
  <si>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</si>
  <si>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</si>
  <si>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</si>
  <si>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</si>
  <si>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</si>
  <si>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</si>
  <si>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</si>
  <si>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</si>
  <si>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</si>
  <si>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</si>
  <si>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</si>
  <si>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</si>
  <si>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</si>
  <si>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</si>
  <si>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</si>
  <si>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</si>
  <si>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</si>
  <si>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</si>
  <si>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</si>
  <si>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</si>
  <si>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</si>
  <si>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</si>
  <si>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</si>
  <si>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</si>
  <si>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</si>
  <si>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</si>
  <si>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</si>
  <si>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</si>
  <si>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</si>
  <si>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</si>
  <si>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</si>
  <si>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</si>
  <si>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</si>
  <si>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</si>
  <si>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</si>
  <si>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</si>
  <si>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</si>
  <si>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</si>
  <si>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</si>
  <si>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</si>
  <si>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</si>
  <si>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</si>
  <si>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</si>
  <si>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</si>
  <si>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</si>
  <si>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</si>
  <si>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</si>
  <si>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</si>
  <si>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</si>
  <si>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</si>
  <si>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</si>
  <si>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</si>
  <si>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</si>
  <si>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</si>
  <si>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</si>
  <si>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</si>
  <si>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</si>
  <si>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</si>
  <si>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</si>
  <si>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</si>
  <si>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</si>
  <si>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</si>
  <si>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</si>
  <si>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</si>
  <si>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</si>
  <si>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</si>
  <si>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</si>
  <si>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</si>
  <si>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</si>
  <si>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</si>
  <si>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</si>
  <si>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</si>
  <si>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</si>
  <si>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</si>
  <si>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</si>
  <si>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</si>
  <si>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</si>
  <si>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</si>
  <si>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</si>
  <si>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</si>
  <si>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</si>
  <si>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</si>
  <si>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</si>
  <si>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</si>
  <si>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</si>
  <si>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</si>
  <si>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</si>
  <si>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</si>
  <si>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</si>
  <si>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</si>
  <si>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</si>
  <si>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</si>
  <si>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</si>
  <si>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</si>
  <si>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</si>
  <si>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</si>
  <si>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</si>
  <si>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</si>
  <si>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</si>
  <si>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</si>
  <si>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</si>
  <si>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</si>
  <si>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</si>
  <si>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</si>
  <si>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</si>
  <si>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</si>
  <si>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</si>
  <si>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</si>
  <si>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</si>
  <si>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</si>
  <si>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</si>
  <si>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</si>
  <si>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</si>
  <si>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</si>
  <si>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</si>
  <si>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</si>
  <si>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</si>
  <si>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</si>
  <si>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</si>
  <si>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G-CASH</t>
  </si>
  <si>
    <t>140763</t>
  </si>
  <si>
    <t>2000002557</t>
  </si>
  <si>
    <t>1VB</t>
  </si>
  <si>
    <t>4820773</t>
  </si>
  <si>
    <t>42882</t>
  </si>
  <si>
    <t>PSBC</t>
  </si>
  <si>
    <t>2120012665</t>
  </si>
  <si>
    <t>BAID STORE</t>
  </si>
  <si>
    <t>47782</t>
  </si>
  <si>
    <t>METRO BANK</t>
  </si>
  <si>
    <t>3593234</t>
  </si>
  <si>
    <t>PP BOTT.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</si>
</sst>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2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54</xdr:row>
      <xdr:rowOff>78374</xdr:rowOff>
    </xdr:from>
    <xdr:to>
      <xdr:col>3</xdr:col>
      <xdr:colOff>180975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4FE72D8-3BDC-4841-B695-C8CFEAA87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0632074"/>
          <a:ext cx="1076325" cy="3788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704850</xdr:colOff>
      <xdr:row>54</xdr:row>
      <xdr:rowOff>66675</xdr:rowOff>
    </xdr:from>
    <xdr:to>
      <xdr:col>3</xdr:col>
      <xdr:colOff>249290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D3A7FF-AF7C-4D76-8D6E-E406B1C3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10620375"/>
          <a:ext cx="1163690" cy="4095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54</xdr:row>
      <xdr:rowOff>57194</xdr:rowOff>
    </xdr:from>
    <xdr:to>
      <xdr:col>3</xdr:col>
      <xdr:colOff>228600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FFB1FCB-244B-4A26-AD3E-C54C14D9D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610894"/>
          <a:ext cx="1190625" cy="419055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733426</xdr:colOff>
      <xdr:row>54</xdr:row>
      <xdr:rowOff>85725</xdr:rowOff>
    </xdr:from>
    <xdr:to>
      <xdr:col>3</xdr:col>
      <xdr:colOff>142554</xdr:colOff>
      <xdr:row>56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DBD1BAE-34E5-46F8-9573-3EBD7E95F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6" y="10639425"/>
          <a:ext cx="1028378" cy="361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B4F60E-69FC-4315-8D37-B2A76BAB3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2E33B-B68A-48DE-B1E3-2648167613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11857</xdr:rowOff>
    </xdr:from>
    <xdr:to>
      <xdr:col>3</xdr:col>
      <xdr:colOff>276226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9F3D77A-FC41-4725-88F8-C3CED6E7A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565557"/>
          <a:ext cx="1238250" cy="43581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F42240-E0BD-412B-89FD-BC0F2CD281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0C3937-2806-4482-AEFF-27D23C54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1A2B6-4068-4EA6-B55F-C2E5E1FED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D71D9B-D0ED-4A13-8DD8-DE9E9EBCC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F34A6-7ACE-4179-815C-44D3FF235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A7BF58-0120-4DCB-B1F1-029A0D5BA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278142-DC23-4A58-A77D-477E5A532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078616-F302-41EB-973F-A8A4ECD899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4FC4B0-C39F-457F-B51B-F788E020A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4640BE-2F17-48BB-87AF-10551FF50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93AC4E-9290-4D1C-A5F7-8BF187CB7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62CDBB-8CF4-4166-8588-2B7AA74D3A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EF20F-9DB2-4314-B15F-1D603DFBB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2C75D-78F9-4836-8E25-11041522A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BD3CB-3714-4A3F-8282-FD6C0EA7A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8CEA63-A93C-4C49-9287-68DC141EFD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2CF7D0-BCB7-4C1F-A414-FD1898034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E00534-80DC-4E69-8515-D94FC0B05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89CC3E-6DB7-4268-9811-433F1C430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282124-5738-4E4A-9D35-58DC489477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F6879-4A8B-4516-ADCB-229DD53B5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429C3-3FCE-4466-8011-FF45B555B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B515F-7F4D-4A37-93B5-363FBCB20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6251E4-A9F0-4DFA-92A4-1298CAF41A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436F60-1879-4B6F-932E-F43B3911C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857C38-72A4-48C1-B1F4-1C774B460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108557-9DAB-4412-9692-2083719BB7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AD9C55-C613-4CF8-9729-113D667DF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7EAD4-86BA-47BC-B84B-BE2AF91E2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A9D9A0-C979-456F-836B-822B280DD0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4F27C8-E323-4E58-A05F-792F898FA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F3E05A-9FA7-41CF-BDDE-DF47A528A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18F800-CFBF-4EAF-9E5B-0A0CF2A396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10242-D2ED-44A4-8F8C-1ACF00B5A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F9C5A9-1E99-4353-8BB2-17FA23E88F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A0F1B-2F25-45A9-A8E7-B4E47299E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32791C-D9B1-4CBE-83D7-DBF87CF59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390D1-A479-44B3-B0E2-FC8008E22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841A0B-5E0B-4B6A-84E1-2C1B960E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C7DCC6-009B-436C-A736-6646AC4250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13549F-F7C4-4E44-B3A4-3CFC5F655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412AA-A467-4A29-844A-FCD870D2F8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4818A0-154F-46CD-9601-2BC3134C1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2560FE-978D-48BF-8811-E478CF1F5B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76144F-0747-4952-A518-BF7304975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8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8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45964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9">
        <v>189</v>
      </c>
      <c r="D6" s="13">
        <f t="shared" ref="D6:D28" si="1">C6*L6</f>
        <v>139293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9">
        <v>10</v>
      </c>
      <c r="D7" s="13">
        <f t="shared" si="1"/>
        <v>7250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9">
        <v>1</v>
      </c>
      <c r="D8" s="13">
        <f t="shared" si="1"/>
        <v>1033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9">
        <v>21</v>
      </c>
      <c r="D9" s="13">
        <f t="shared" si="1"/>
        <v>14847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9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9">
        <v>1</v>
      </c>
      <c r="D11" s="13">
        <f t="shared" si="1"/>
        <v>1125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9">
        <f>1+1</f>
        <v>2</v>
      </c>
      <c r="D12" s="48">
        <f t="shared" si="1"/>
        <v>1904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9">
        <f>7</f>
        <v>7</v>
      </c>
      <c r="D13" s="48">
        <f t="shared" si="1"/>
        <v>2149</v>
      </c>
      <c r="F13" s="239" t="s">
        <v>36</v>
      </c>
      <c r="G13" s="203"/>
      <c r="H13" s="194">
        <f>D29</f>
        <v>176285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9">
        <v>18</v>
      </c>
      <c r="D14" s="31">
        <f t="shared" si="1"/>
        <v>198</v>
      </c>
      <c r="F14" s="197" t="s">
        <v>39</v>
      </c>
      <c r="G14" s="198"/>
      <c r="H14" s="199">
        <f>D54</f>
        <v>26221.5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9"/>
      <c r="D15" s="31">
        <f t="shared" si="1"/>
        <v>0</v>
      </c>
      <c r="F15" s="202" t="s">
        <v>40</v>
      </c>
      <c r="G15" s="203"/>
      <c r="H15" s="204">
        <f>H13-H14</f>
        <v>150063.5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140</v>
      </c>
      <c r="C17" s="89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9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150">
        <v>87612</v>
      </c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9"/>
      <c r="D27" s="44">
        <f t="shared" si="1"/>
        <v>0</v>
      </c>
      <c r="F27" s="71"/>
      <c r="G27" s="84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9">
        <v>1</v>
      </c>
      <c r="D28" s="48">
        <f t="shared" si="1"/>
        <v>785</v>
      </c>
      <c r="F28" s="8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176285</v>
      </c>
      <c r="F29" s="111" t="s">
        <v>55</v>
      </c>
      <c r="G29" s="173"/>
      <c r="H29" s="133">
        <f>H15-H16-H17-H18-H19-H20-H22-H23-H24+H26+H27+H28</f>
        <v>237675.5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55">
        <f t="shared" ref="H34:H39" si="2">F34*G34</f>
        <v>120000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155">
        <f t="shared" si="2"/>
        <v>24000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155">
        <f t="shared" si="2"/>
        <v>200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155">
        <f t="shared" si="2"/>
        <v>3500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155">
        <f t="shared" si="2"/>
        <v>250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6</v>
      </c>
      <c r="D42" s="12">
        <f>C42*2.25</f>
        <v>13.5</v>
      </c>
      <c r="F42" s="39" t="s">
        <v>79</v>
      </c>
      <c r="G42" s="155">
        <v>2143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84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150">
        <v>87612</v>
      </c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>
        <v>3</v>
      </c>
      <c r="D45" s="12">
        <f>C45*84</f>
        <v>252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237705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22</v>
      </c>
      <c r="D50" s="12">
        <f>C50*1.5</f>
        <v>33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143</v>
      </c>
      <c r="G51" s="141">
        <f>G49-H29</f>
        <v>29.5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45964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329</v>
      </c>
      <c r="D6" s="13">
        <f t="shared" ref="D6:D28" si="1">C6*L6</f>
        <v>242473</v>
      </c>
      <c r="F6" s="218" t="s">
        <v>16</v>
      </c>
      <c r="G6" s="220" t="s">
        <v>134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13</v>
      </c>
      <c r="D9" s="13">
        <f t="shared" si="1"/>
        <v>9191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10</v>
      </c>
      <c r="D13" s="48">
        <f t="shared" si="1"/>
        <v>3070</v>
      </c>
      <c r="F13" s="239" t="s">
        <v>36</v>
      </c>
      <c r="G13" s="203"/>
      <c r="H13" s="194">
        <f>D29</f>
        <v>254855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11</v>
      </c>
      <c r="D14" s="31">
        <f t="shared" si="1"/>
        <v>121</v>
      </c>
      <c r="F14" s="197" t="s">
        <v>39</v>
      </c>
      <c r="G14" s="198"/>
      <c r="H14" s="199">
        <f>D54</f>
        <v>38556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216299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1998+1071</f>
        <v>3069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8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254855</v>
      </c>
      <c r="F29" s="111" t="s">
        <v>55</v>
      </c>
      <c r="G29" s="173"/>
      <c r="H29" s="133">
        <f>H15-H16-H17-H18-H19-H20-H22-H23-H24+H26+H27</f>
        <v>213230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155">
        <f>F34*G34</f>
        <v>73000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155">
        <f t="shared" ref="H35:H39" si="2">F35*G35</f>
        <v>4500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5">
        <f>F36*G36</f>
        <v>400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>
        <v>105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8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150">
        <v>134760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85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10</v>
      </c>
      <c r="D49" s="12">
        <f>C49*42</f>
        <v>420</v>
      </c>
      <c r="F49" s="131" t="s">
        <v>86</v>
      </c>
      <c r="G49" s="133">
        <f>H34+H35+H36+H37+H38+H39+H40+H41+G42+H44+H45+H46</f>
        <v>212765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10</v>
      </c>
      <c r="D50" s="12">
        <f>C50*1.5</f>
        <v>15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-465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38556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45964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264</v>
      </c>
      <c r="D6" s="13">
        <f t="shared" ref="D6:D28" si="1">C6*L6</f>
        <v>194568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5</v>
      </c>
      <c r="D7" s="13">
        <f t="shared" si="1"/>
        <v>3625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44</v>
      </c>
      <c r="D9" s="13">
        <f t="shared" si="1"/>
        <v>31108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1</v>
      </c>
      <c r="D10" s="13">
        <f t="shared" si="1"/>
        <v>972</v>
      </c>
      <c r="F10" s="218" t="s">
        <v>26</v>
      </c>
      <c r="G10" s="233" t="s">
        <v>137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>
        <v>1</v>
      </c>
      <c r="D11" s="13">
        <f t="shared" si="1"/>
        <v>1125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f>1</f>
        <v>1</v>
      </c>
      <c r="D12" s="48">
        <f t="shared" si="1"/>
        <v>952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5</v>
      </c>
      <c r="D13" s="48">
        <f t="shared" si="1"/>
        <v>1535</v>
      </c>
      <c r="F13" s="239" t="s">
        <v>36</v>
      </c>
      <c r="G13" s="203"/>
      <c r="H13" s="194">
        <f>D29</f>
        <v>237953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13</v>
      </c>
      <c r="D14" s="31">
        <f t="shared" si="1"/>
        <v>143</v>
      </c>
      <c r="F14" s="197" t="s">
        <v>39</v>
      </c>
      <c r="G14" s="198"/>
      <c r="H14" s="199">
        <f>D54</f>
        <v>37326.75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200626.25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840+990</f>
        <v>1830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>
        <v>5</v>
      </c>
      <c r="D28" s="48">
        <f t="shared" si="1"/>
        <v>3925</v>
      </c>
      <c r="F28" s="8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237953</v>
      </c>
      <c r="F29" s="111" t="s">
        <v>55</v>
      </c>
      <c r="G29" s="173"/>
      <c r="H29" s="133">
        <f>H15-H16-H17-H18-H19-H20-H22-H23-H24+H26+H27</f>
        <v>198796.25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155">
        <f>F34*G34</f>
        <v>103000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55">
        <f>F35*G35</f>
        <v>10000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155">
        <f t="shared" si="2"/>
        <v>700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155">
        <f t="shared" si="2"/>
        <v>150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5">
        <v>521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8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150">
        <v>84520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>
        <v>1</v>
      </c>
      <c r="D45" s="12">
        <f>C45*84</f>
        <v>84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3</v>
      </c>
      <c r="D46" s="12">
        <f>C46*1.5</f>
        <v>4.5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198891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3</v>
      </c>
      <c r="D50" s="12">
        <f>C50*1.5</f>
        <v>4.5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143</v>
      </c>
      <c r="G51" s="141">
        <f>G49-H29</f>
        <v>94.75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37326.75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9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45965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9"/>
      <c r="D6" s="13">
        <f t="shared" ref="D6:D28" si="1">C6*L6</f>
        <v>0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9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9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9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9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9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9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9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9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9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140</v>
      </c>
      <c r="C17" s="89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9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139</v>
      </c>
      <c r="C26" s="89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9"/>
      <c r="D27" s="44">
        <f t="shared" si="1"/>
        <v>0</v>
      </c>
      <c r="F27" s="71"/>
      <c r="G27" s="94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9"/>
      <c r="D28" s="48">
        <f t="shared" si="1"/>
        <v>0</v>
      </c>
      <c r="F28" s="9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H15-H16-H17-H18-H19-H20-H22-H23-H24+H26+H27+H28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4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45965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342</v>
      </c>
      <c r="D6" s="13">
        <f t="shared" ref="D6:D28" si="1">C6*L6</f>
        <v>252054</v>
      </c>
      <c r="F6" s="218" t="s">
        <v>16</v>
      </c>
      <c r="G6" s="220" t="s">
        <v>150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10</v>
      </c>
      <c r="D7" s="13">
        <f t="shared" si="1"/>
        <v>7250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50</v>
      </c>
      <c r="D9" s="13">
        <f t="shared" si="1"/>
        <v>35350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15</v>
      </c>
      <c r="D13" s="48">
        <f t="shared" si="1"/>
        <v>4605</v>
      </c>
      <c r="F13" s="239" t="s">
        <v>36</v>
      </c>
      <c r="G13" s="203"/>
      <c r="H13" s="194">
        <f>D29</f>
        <v>299270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</v>
      </c>
      <c r="D14" s="31">
        <f t="shared" si="1"/>
        <v>11</v>
      </c>
      <c r="F14" s="197" t="s">
        <v>39</v>
      </c>
      <c r="G14" s="198"/>
      <c r="H14" s="199">
        <f>D54</f>
        <v>49524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249746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399*9</f>
        <v>3591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9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299270</v>
      </c>
      <c r="F29" s="111" t="s">
        <v>55</v>
      </c>
      <c r="G29" s="173"/>
      <c r="H29" s="133">
        <f>H15-H16-H17-H18-H19-H20-H22-H23-H24+H26+H27</f>
        <v>246155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55">
        <f>F34*G34</f>
        <v>103000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155">
        <f t="shared" ref="H35:H39" si="2">F35*G35</f>
        <v>57500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5">
        <f>F36*G36</f>
        <v>200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155">
        <f t="shared" si="2"/>
        <v>70800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155">
        <f t="shared" si="2"/>
        <v>15250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>
        <v>20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93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31</v>
      </c>
      <c r="D49" s="12">
        <f>C49*42</f>
        <v>1302</v>
      </c>
      <c r="F49" s="131" t="s">
        <v>86</v>
      </c>
      <c r="G49" s="133">
        <f>H34+H35+H36+H37+H38+H39+H40+H41+G42+H44+H45+H46</f>
        <v>246770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156</v>
      </c>
      <c r="G51" s="141">
        <f>G49-H29</f>
        <v>615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49524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 t="s">
        <v>152</v>
      </c>
      <c r="H4" s="212" t="s">
        <v>9</v>
      </c>
      <c r="I4" s="214">
        <v>45965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703</v>
      </c>
      <c r="D6" s="13">
        <f t="shared" ref="D6:D28" si="1">C6*L6</f>
        <v>518111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16</v>
      </c>
      <c r="D7" s="13">
        <f t="shared" si="1"/>
        <v>11600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>
        <v>2</v>
      </c>
      <c r="D8" s="13">
        <f t="shared" si="1"/>
        <v>2066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147</v>
      </c>
      <c r="D9" s="13">
        <f t="shared" si="1"/>
        <v>103929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2</v>
      </c>
      <c r="D10" s="13">
        <f t="shared" si="1"/>
        <v>1944</v>
      </c>
      <c r="F10" s="218" t="s">
        <v>26</v>
      </c>
      <c r="G10" s="233" t="s">
        <v>137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>
        <v>3</v>
      </c>
      <c r="D11" s="13">
        <f t="shared" si="1"/>
        <v>3375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f>2+1</f>
        <v>3</v>
      </c>
      <c r="D12" s="48">
        <f t="shared" si="1"/>
        <v>2856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35</v>
      </c>
      <c r="D13" s="48">
        <f t="shared" si="1"/>
        <v>10745</v>
      </c>
      <c r="F13" s="239" t="s">
        <v>36</v>
      </c>
      <c r="G13" s="203"/>
      <c r="H13" s="194">
        <f>D29</f>
        <v>654670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4</v>
      </c>
      <c r="D14" s="31">
        <f t="shared" si="1"/>
        <v>44</v>
      </c>
      <c r="F14" s="197" t="s">
        <v>39</v>
      </c>
      <c r="G14" s="198"/>
      <c r="H14" s="199">
        <f>D54</f>
        <v>112054.5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542615.5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1794+3000+672</f>
        <v>5466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9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654670</v>
      </c>
      <c r="F29" s="111" t="s">
        <v>55</v>
      </c>
      <c r="G29" s="173"/>
      <c r="H29" s="133">
        <f>H15-H16-H17-H18-H19-H20-H22-H23-H24+H26+H27</f>
        <v>537149.5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155">
        <f>F34*G34</f>
        <v>29000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155">
        <f>F35*G35</f>
        <v>23000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155">
        <f t="shared" si="2"/>
        <v>200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55">
        <f t="shared" si="2"/>
        <v>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8</v>
      </c>
      <c r="D42" s="12">
        <f>C42*2.25</f>
        <v>18</v>
      </c>
      <c r="F42" s="39" t="s">
        <v>79</v>
      </c>
      <c r="G42" s="155">
        <v>40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150">
        <v>302372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150">
        <v>182588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5</v>
      </c>
      <c r="D46" s="12">
        <f>C46*1.5</f>
        <v>7.5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8</v>
      </c>
      <c r="D49" s="12">
        <f>C49*42</f>
        <v>336</v>
      </c>
      <c r="F49" s="131" t="s">
        <v>86</v>
      </c>
      <c r="G49" s="133">
        <f>H34+H35+H36+H37+H38+H39+H40+H41+G42+H44+H45+H46</f>
        <v>537250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143</v>
      </c>
      <c r="G51" s="141">
        <f>G49-H29</f>
        <v>100.5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112054.5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 t="s">
        <v>153</v>
      </c>
      <c r="H4" s="212" t="s">
        <v>9</v>
      </c>
      <c r="I4" s="214">
        <v>45965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213</v>
      </c>
      <c r="D6" s="13">
        <f t="shared" ref="D6:D28" si="1">C6*L6</f>
        <v>156981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4</v>
      </c>
      <c r="D7" s="13">
        <f t="shared" si="1"/>
        <v>2900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10</v>
      </c>
      <c r="D9" s="13">
        <f t="shared" si="1"/>
        <v>7070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7</v>
      </c>
      <c r="D13" s="48">
        <f t="shared" si="1"/>
        <v>2149</v>
      </c>
      <c r="F13" s="239" t="s">
        <v>36</v>
      </c>
      <c r="G13" s="203"/>
      <c r="H13" s="194">
        <f>D29</f>
        <v>169353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23</v>
      </c>
      <c r="D14" s="31">
        <f t="shared" si="1"/>
        <v>253</v>
      </c>
      <c r="F14" s="197" t="s">
        <v>39</v>
      </c>
      <c r="G14" s="198"/>
      <c r="H14" s="199">
        <f>D54</f>
        <v>32837.25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136515.75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936+324</f>
        <v>1260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96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169353</v>
      </c>
      <c r="F29" s="111" t="s">
        <v>55</v>
      </c>
      <c r="G29" s="173"/>
      <c r="H29" s="133">
        <f>H15-H16-H17-H18-H19-H20-H22-H23-H24+H26+H27</f>
        <v>135255.75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155">
        <f>F34*G34</f>
        <v>98000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155">
        <f>F35*G35</f>
        <v>36500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155">
        <f t="shared" si="2"/>
        <v>500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5">
        <v>22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8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25</v>
      </c>
      <c r="D46" s="12">
        <f>C46*1.5</f>
        <v>37.5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3</v>
      </c>
      <c r="D49" s="12">
        <f>C49*42</f>
        <v>126</v>
      </c>
      <c r="F49" s="131" t="s">
        <v>86</v>
      </c>
      <c r="G49" s="133">
        <f>H34+H35+H36+H37+H38+H39+H40+H41+G42+H44+H45+H46</f>
        <v>135022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20</v>
      </c>
      <c r="D50" s="12">
        <f>C50*1.5</f>
        <v>30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142</v>
      </c>
      <c r="G51" s="244">
        <f>G49-H29</f>
        <v>-233.75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32837.25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9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topLeftCell="A10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45966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9">
        <v>291</v>
      </c>
      <c r="D6" s="13">
        <f t="shared" ref="D6:D28" si="1">C6*L6</f>
        <v>214467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9">
        <v>5</v>
      </c>
      <c r="D7" s="13">
        <f t="shared" si="1"/>
        <v>3625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9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9">
        <v>25</v>
      </c>
      <c r="D9" s="13">
        <f t="shared" si="1"/>
        <v>17675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9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9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9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9">
        <v>5</v>
      </c>
      <c r="D13" s="48">
        <f t="shared" si="1"/>
        <v>1535</v>
      </c>
      <c r="F13" s="239" t="s">
        <v>36</v>
      </c>
      <c r="G13" s="203"/>
      <c r="H13" s="194">
        <f>D29</f>
        <v>238949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9">
        <v>7</v>
      </c>
      <c r="D14" s="31">
        <f t="shared" si="1"/>
        <v>77</v>
      </c>
      <c r="F14" s="197" t="s">
        <v>39</v>
      </c>
      <c r="G14" s="198"/>
      <c r="H14" s="199">
        <f>D54</f>
        <v>35661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9"/>
      <c r="D15" s="31">
        <f t="shared" si="1"/>
        <v>0</v>
      </c>
      <c r="F15" s="202" t="s">
        <v>40</v>
      </c>
      <c r="G15" s="203"/>
      <c r="H15" s="204">
        <f>H13-H14</f>
        <v>203288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140</v>
      </c>
      <c r="C17" s="89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9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139</v>
      </c>
      <c r="C26" s="89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9"/>
      <c r="D27" s="44">
        <f t="shared" si="1"/>
        <v>0</v>
      </c>
      <c r="F27" s="71"/>
      <c r="G27" s="94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9">
        <v>2</v>
      </c>
      <c r="D28" s="48">
        <f t="shared" si="1"/>
        <v>1570</v>
      </c>
      <c r="F28" s="9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238949</v>
      </c>
      <c r="F29" s="111" t="s">
        <v>55</v>
      </c>
      <c r="G29" s="173"/>
      <c r="H29" s="133">
        <f>H15-H16-H17-H18-H19-H20-H22-H23-H24+H26+H27+H28</f>
        <v>203288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119</v>
      </c>
      <c r="H34" s="155">
        <f t="shared" ref="H34:H39" si="2">F34*G34</f>
        <v>119000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55">
        <f t="shared" si="2"/>
        <v>40000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5">
        <f t="shared" si="2"/>
        <v>400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>
        <v>113</v>
      </c>
      <c r="H37" s="155">
        <f t="shared" si="2"/>
        <v>11300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30</v>
      </c>
      <c r="H38" s="155">
        <f t="shared" si="2"/>
        <v>1500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55">
        <f t="shared" si="2"/>
        <v>20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>
        <v>394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4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 t="s">
        <v>157</v>
      </c>
      <c r="G44" s="62"/>
      <c r="H44" s="150">
        <v>30000</v>
      </c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15</v>
      </c>
      <c r="D46" s="12">
        <f>C46*1.5</f>
        <v>22.5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</v>
      </c>
      <c r="D49" s="12">
        <f>C49*42</f>
        <v>42</v>
      </c>
      <c r="F49" s="131" t="s">
        <v>86</v>
      </c>
      <c r="G49" s="133">
        <f>H34+H35+H36+H37+H38+H39+H40+H41+G42+H44+H45+H46</f>
        <v>202614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15</v>
      </c>
      <c r="D50" s="12">
        <f>C50*1.5</f>
        <v>22.5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-674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35661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45966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268</v>
      </c>
      <c r="D6" s="13">
        <f t="shared" ref="D6:D28" si="1">C6*L6</f>
        <v>197516</v>
      </c>
      <c r="F6" s="218" t="s">
        <v>16</v>
      </c>
      <c r="G6" s="220" t="s">
        <v>150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5</v>
      </c>
      <c r="D7" s="13">
        <f t="shared" si="1"/>
        <v>3625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15</v>
      </c>
      <c r="D9" s="13">
        <f t="shared" si="1"/>
        <v>10605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6</v>
      </c>
      <c r="D12" s="48">
        <f t="shared" si="1"/>
        <v>5712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11</v>
      </c>
      <c r="D13" s="48">
        <f t="shared" si="1"/>
        <v>3377</v>
      </c>
      <c r="F13" s="239" t="s">
        <v>36</v>
      </c>
      <c r="G13" s="203"/>
      <c r="H13" s="194">
        <f>D29</f>
        <v>236512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7</v>
      </c>
      <c r="D14" s="31">
        <f t="shared" si="1"/>
        <v>77</v>
      </c>
      <c r="F14" s="197" t="s">
        <v>39</v>
      </c>
      <c r="G14" s="198"/>
      <c r="H14" s="199">
        <f>D54</f>
        <v>59487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177025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v>1683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>
        <f>13+11</f>
        <v>24</v>
      </c>
      <c r="D21" s="48">
        <f t="shared" si="1"/>
        <v>15600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9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236512</v>
      </c>
      <c r="F29" s="111" t="s">
        <v>55</v>
      </c>
      <c r="G29" s="173"/>
      <c r="H29" s="133">
        <f>H15-H16-H17-H18-H19-H20-H22-H23-H24+H26+H27</f>
        <v>175342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155">
        <f>F34*G34</f>
        <v>51000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33</v>
      </c>
      <c r="H35" s="155">
        <f t="shared" ref="H35:H39" si="2">F35*G35</f>
        <v>16500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5">
        <f>F36*G36</f>
        <v>400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518</v>
      </c>
      <c r="D37" s="12">
        <f>C37*111</f>
        <v>57498</v>
      </c>
      <c r="F37" s="12">
        <v>100</v>
      </c>
      <c r="G37" s="39">
        <v>27</v>
      </c>
      <c r="H37" s="155">
        <f t="shared" si="2"/>
        <v>2700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30</v>
      </c>
      <c r="H38" s="155">
        <f t="shared" si="2"/>
        <v>1500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55">
        <f t="shared" si="2"/>
        <v>40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>
        <v>1024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158</v>
      </c>
      <c r="H44" s="150">
        <v>102187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93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175351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3</v>
      </c>
      <c r="D50" s="12">
        <f>C50*1.5</f>
        <v>4.5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156</v>
      </c>
      <c r="G51" s="141">
        <f>G49-H29</f>
        <v>9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59487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45966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238</v>
      </c>
      <c r="D6" s="13">
        <f t="shared" ref="D6:D28" si="1">C6*L6</f>
        <v>175406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3</v>
      </c>
      <c r="D7" s="13">
        <f t="shared" si="1"/>
        <v>2175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24</v>
      </c>
      <c r="D9" s="13">
        <f t="shared" si="1"/>
        <v>16968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137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>
        <v>1</v>
      </c>
      <c r="D11" s="13">
        <f t="shared" si="1"/>
        <v>1125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1</v>
      </c>
      <c r="D12" s="48">
        <f t="shared" si="1"/>
        <v>952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15</v>
      </c>
      <c r="D13" s="48">
        <f t="shared" si="1"/>
        <v>4605</v>
      </c>
      <c r="F13" s="239" t="s">
        <v>36</v>
      </c>
      <c r="G13" s="203"/>
      <c r="H13" s="194">
        <f>D29</f>
        <v>202370.5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21</v>
      </c>
      <c r="D14" s="31">
        <f t="shared" si="1"/>
        <v>231</v>
      </c>
      <c r="F14" s="197" t="s">
        <v>39</v>
      </c>
      <c r="G14" s="198"/>
      <c r="H14" s="199">
        <f>D54</f>
        <v>19476.75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182893.75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v>864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>
        <v>12</v>
      </c>
      <c r="D26" s="48">
        <f t="shared" si="1"/>
        <v>434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9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202370.5</v>
      </c>
      <c r="F29" s="111" t="s">
        <v>55</v>
      </c>
      <c r="G29" s="173"/>
      <c r="H29" s="133">
        <f>H15-H16-H17-H18-H19-H20-H22-H23-H24+H26+H27</f>
        <v>182029.75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136</v>
      </c>
      <c r="H34" s="155">
        <f>F34*G34</f>
        <v>136000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55">
        <f>F35*G35</f>
        <v>38500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4</v>
      </c>
      <c r="H36" s="155">
        <f t="shared" ref="H36:H39" si="2">F36*G36</f>
        <v>800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149</v>
      </c>
      <c r="D37" s="12">
        <f>C37*111</f>
        <v>16539</v>
      </c>
      <c r="F37" s="12">
        <v>100</v>
      </c>
      <c r="G37" s="39">
        <v>66</v>
      </c>
      <c r="H37" s="155">
        <f t="shared" si="2"/>
        <v>6600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55">
        <f t="shared" si="2"/>
        <v>200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55">
        <f t="shared" si="2"/>
        <v>20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3</v>
      </c>
      <c r="D42" s="12">
        <f>C42*2.25</f>
        <v>6.75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1</v>
      </c>
      <c r="D44" s="12">
        <f>C44*120</f>
        <v>120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15</v>
      </c>
      <c r="D46" s="12">
        <f>C46*1.5</f>
        <v>22.5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182120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38</v>
      </c>
      <c r="D50" s="12">
        <f>C50*1.5</f>
        <v>57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143</v>
      </c>
      <c r="G51" s="141">
        <f>G49-H29</f>
        <v>90.25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19476.75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9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45967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9">
        <v>134</v>
      </c>
      <c r="D6" s="13">
        <f t="shared" ref="D6:D28" si="1">C6*L6</f>
        <v>98758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9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9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9">
        <v>6</v>
      </c>
      <c r="D9" s="13">
        <f t="shared" si="1"/>
        <v>4242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9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9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9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9">
        <v>3</v>
      </c>
      <c r="D13" s="48">
        <f t="shared" si="1"/>
        <v>921</v>
      </c>
      <c r="F13" s="239" t="s">
        <v>36</v>
      </c>
      <c r="G13" s="203"/>
      <c r="H13" s="194">
        <f>D29</f>
        <v>106155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9">
        <v>4</v>
      </c>
      <c r="D14" s="31">
        <f t="shared" si="1"/>
        <v>44</v>
      </c>
      <c r="F14" s="197" t="s">
        <v>39</v>
      </c>
      <c r="G14" s="198"/>
      <c r="H14" s="199">
        <f>D54</f>
        <v>15195.75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9">
        <v>1</v>
      </c>
      <c r="D15" s="31">
        <f t="shared" si="1"/>
        <v>620</v>
      </c>
      <c r="F15" s="202" t="s">
        <v>40</v>
      </c>
      <c r="G15" s="203"/>
      <c r="H15" s="204">
        <f>H13-H14</f>
        <v>90959.25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140</v>
      </c>
      <c r="C17" s="89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9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139</v>
      </c>
      <c r="C26" s="89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9"/>
      <c r="D27" s="44">
        <f t="shared" si="1"/>
        <v>0</v>
      </c>
      <c r="F27" s="71"/>
      <c r="G27" s="94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9">
        <v>2</v>
      </c>
      <c r="D28" s="48">
        <f t="shared" si="1"/>
        <v>1570</v>
      </c>
      <c r="F28" s="9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106155</v>
      </c>
      <c r="F29" s="111" t="s">
        <v>55</v>
      </c>
      <c r="G29" s="173"/>
      <c r="H29" s="133">
        <f>H15-H16-H17-H18-H19-H20-H22-H23-H24+H26+H27+H28</f>
        <v>90959.25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81</v>
      </c>
      <c r="H34" s="155">
        <f t="shared" ref="H34:H39" si="2">F34*G34</f>
        <v>81000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55">
        <f t="shared" si="2"/>
        <v>5000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131</v>
      </c>
      <c r="D37" s="12">
        <f>C37*111</f>
        <v>14541</v>
      </c>
      <c r="F37" s="12">
        <v>100</v>
      </c>
      <c r="G37" s="39">
        <v>44</v>
      </c>
      <c r="H37" s="155">
        <f t="shared" si="2"/>
        <v>4400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7</v>
      </c>
      <c r="H38" s="155">
        <f t="shared" si="2"/>
        <v>350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1</v>
      </c>
      <c r="D42" s="12">
        <f>C42*2.25</f>
        <v>2.25</v>
      </c>
      <c r="F42" s="39" t="s">
        <v>79</v>
      </c>
      <c r="G42" s="155">
        <v>80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4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>
        <v>1</v>
      </c>
      <c r="D44" s="12">
        <f>C44*120</f>
        <v>120</v>
      </c>
      <c r="F44" s="37"/>
      <c r="G44" s="62"/>
      <c r="H44" s="150"/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90830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75</v>
      </c>
      <c r="D50" s="12">
        <f>C50*1.5</f>
        <v>112.5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-129.25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15195.75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45967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196</v>
      </c>
      <c r="D6" s="13">
        <f t="shared" ref="D6:D28" si="1">C6*L6</f>
        <v>144452</v>
      </c>
      <c r="F6" s="218" t="s">
        <v>16</v>
      </c>
      <c r="G6" s="220" t="s">
        <v>150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4</v>
      </c>
      <c r="D7" s="13">
        <f t="shared" si="1"/>
        <v>2900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8</v>
      </c>
      <c r="D9" s="13">
        <f t="shared" si="1"/>
        <v>5656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1</v>
      </c>
      <c r="D10" s="13">
        <f t="shared" si="1"/>
        <v>972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>
        <v>1</v>
      </c>
      <c r="D11" s="13">
        <f t="shared" si="1"/>
        <v>1125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1</v>
      </c>
      <c r="D12" s="48">
        <f t="shared" si="1"/>
        <v>952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4</v>
      </c>
      <c r="D13" s="48">
        <f t="shared" si="1"/>
        <v>1228</v>
      </c>
      <c r="F13" s="239" t="s">
        <v>36</v>
      </c>
      <c r="G13" s="203"/>
      <c r="H13" s="194">
        <f>D29</f>
        <v>158246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16</v>
      </c>
      <c r="D14" s="31">
        <f t="shared" si="1"/>
        <v>176</v>
      </c>
      <c r="F14" s="197" t="s">
        <v>39</v>
      </c>
      <c r="G14" s="198"/>
      <c r="H14" s="199">
        <f>D54</f>
        <v>23723.25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134522.75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v>656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4">
        <v>50</v>
      </c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>
        <v>1</v>
      </c>
      <c r="D28" s="48">
        <f t="shared" si="1"/>
        <v>785</v>
      </c>
      <c r="F28" s="9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158246</v>
      </c>
      <c r="F29" s="111" t="s">
        <v>55</v>
      </c>
      <c r="G29" s="173"/>
      <c r="H29" s="133">
        <f>H15-H16-H17-H18-H19-H20-H22-H23-H24+H26+H27</f>
        <v>133816.75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87</v>
      </c>
      <c r="H34" s="155">
        <f>F34*G34</f>
        <v>87000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155">
        <f t="shared" ref="H35:H39" si="2">F35*G35</f>
        <v>43000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1</v>
      </c>
      <c r="H36" s="155">
        <f>F36*G36</f>
        <v>200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28</v>
      </c>
      <c r="H37" s="155">
        <f t="shared" si="2"/>
        <v>2800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55">
        <f t="shared" si="2"/>
        <v>100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5">
        <v>92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>
        <v>3</v>
      </c>
      <c r="D45" s="12">
        <f>C45*84</f>
        <v>252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13</v>
      </c>
      <c r="D46" s="12">
        <f>C46*1.5</f>
        <v>19.5</v>
      </c>
      <c r="F46" s="37"/>
      <c r="G46" s="93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133192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36</v>
      </c>
      <c r="D50" s="12">
        <f>C50*1.5</f>
        <v>54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-624.75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23723.25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45967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522</v>
      </c>
      <c r="D6" s="13">
        <f t="shared" ref="D6:D28" si="1">C6*L6</f>
        <v>384714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20</v>
      </c>
      <c r="D7" s="13">
        <f t="shared" si="1"/>
        <v>14500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>
        <v>1</v>
      </c>
      <c r="D8" s="13">
        <f t="shared" si="1"/>
        <v>1033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112</v>
      </c>
      <c r="D9" s="13">
        <f t="shared" si="1"/>
        <v>79184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2</v>
      </c>
      <c r="D10" s="13">
        <f t="shared" si="1"/>
        <v>1944</v>
      </c>
      <c r="F10" s="218" t="s">
        <v>26</v>
      </c>
      <c r="G10" s="233" t="s">
        <v>137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>
        <v>2</v>
      </c>
      <c r="D11" s="13">
        <f t="shared" si="1"/>
        <v>2250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2</v>
      </c>
      <c r="D12" s="48">
        <f t="shared" si="1"/>
        <v>1904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26</v>
      </c>
      <c r="D13" s="48">
        <f t="shared" si="1"/>
        <v>7982</v>
      </c>
      <c r="F13" s="239" t="s">
        <v>36</v>
      </c>
      <c r="G13" s="203"/>
      <c r="H13" s="194">
        <f>D29</f>
        <v>494817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6</v>
      </c>
      <c r="D14" s="31">
        <f t="shared" si="1"/>
        <v>66</v>
      </c>
      <c r="F14" s="197" t="s">
        <v>39</v>
      </c>
      <c r="G14" s="198"/>
      <c r="H14" s="199">
        <f>D54</f>
        <v>57405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>
        <v>1</v>
      </c>
      <c r="D15" s="31">
        <f t="shared" si="1"/>
        <v>620</v>
      </c>
      <c r="F15" s="202" t="s">
        <v>40</v>
      </c>
      <c r="G15" s="203"/>
      <c r="H15" s="204">
        <f>H13-H14</f>
        <v>437412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2250+360</f>
        <v>2610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9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494817</v>
      </c>
      <c r="F29" s="111" t="s">
        <v>55</v>
      </c>
      <c r="G29" s="173"/>
      <c r="H29" s="133">
        <f>H15-H16-H17-H18-H19-H20-H22-H23-H24+H26+H27</f>
        <v>434802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42</v>
      </c>
      <c r="H34" s="155">
        <f>F34*G34</f>
        <v>42000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55">
        <f>F35*G35</f>
        <v>19000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488</v>
      </c>
      <c r="D37" s="12">
        <f>C37*111</f>
        <v>54168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7</v>
      </c>
      <c r="D44" s="12">
        <f>C44*120</f>
        <v>840</v>
      </c>
      <c r="F44" s="37" t="s">
        <v>148</v>
      </c>
      <c r="G44" s="76" t="s">
        <v>159</v>
      </c>
      <c r="H44" s="150">
        <v>226005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 t="s">
        <v>160</v>
      </c>
      <c r="G45" s="76" t="s">
        <v>161</v>
      </c>
      <c r="H45" s="150">
        <v>147693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15</v>
      </c>
      <c r="D49" s="12">
        <f>C49*42</f>
        <v>630</v>
      </c>
      <c r="F49" s="131" t="s">
        <v>86</v>
      </c>
      <c r="G49" s="133">
        <f>H34+H35+H36+H37+H38+H39+H40+H41+G42+H44+H45+H46</f>
        <v>434698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2</v>
      </c>
      <c r="D50" s="12">
        <f>C50*1.5</f>
        <v>3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142</v>
      </c>
      <c r="G51" s="244">
        <f>G49-H29</f>
        <v>-104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57405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9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topLeftCell="A3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45968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9">
        <v>257</v>
      </c>
      <c r="D6" s="13">
        <f t="shared" ref="D6:D28" si="1">C6*L6</f>
        <v>189409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9">
        <v>10</v>
      </c>
      <c r="D7" s="13">
        <f t="shared" si="1"/>
        <v>7250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9">
        <v>5</v>
      </c>
      <c r="D8" s="13">
        <f t="shared" si="1"/>
        <v>5165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9">
        <v>32</v>
      </c>
      <c r="D9" s="13">
        <f t="shared" si="1"/>
        <v>22624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9">
        <v>2</v>
      </c>
      <c r="D10" s="13">
        <f t="shared" si="1"/>
        <v>1944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9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9">
        <v>3</v>
      </c>
      <c r="D12" s="48">
        <f t="shared" si="1"/>
        <v>2856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9">
        <v>10</v>
      </c>
      <c r="D13" s="48">
        <f t="shared" si="1"/>
        <v>3070</v>
      </c>
      <c r="F13" s="239" t="s">
        <v>36</v>
      </c>
      <c r="G13" s="203"/>
      <c r="H13" s="194">
        <f>D29</f>
        <v>241468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9"/>
      <c r="D14" s="31">
        <f t="shared" si="1"/>
        <v>0</v>
      </c>
      <c r="F14" s="197" t="s">
        <v>39</v>
      </c>
      <c r="G14" s="198"/>
      <c r="H14" s="199">
        <f>D54</f>
        <v>35980.5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9"/>
      <c r="D15" s="31">
        <f t="shared" si="1"/>
        <v>0</v>
      </c>
      <c r="F15" s="202" t="s">
        <v>40</v>
      </c>
      <c r="G15" s="203"/>
      <c r="H15" s="204">
        <f>H13-H14</f>
        <v>205487.5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140</v>
      </c>
      <c r="C17" s="89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9"/>
      <c r="D22" s="48">
        <f t="shared" si="1"/>
        <v>0</v>
      </c>
      <c r="F22" s="77" t="s">
        <v>147</v>
      </c>
      <c r="G22" s="73">
        <v>6965</v>
      </c>
      <c r="H22" s="180">
        <v>62969</v>
      </c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9"/>
      <c r="D23" s="48">
        <f t="shared" si="1"/>
        <v>0</v>
      </c>
      <c r="F23" s="77" t="s">
        <v>147</v>
      </c>
      <c r="G23" s="79">
        <v>6969</v>
      </c>
      <c r="H23" s="240">
        <v>2504</v>
      </c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139</v>
      </c>
      <c r="C26" s="89"/>
      <c r="D26" s="48">
        <f t="shared" si="1"/>
        <v>0</v>
      </c>
      <c r="F26" s="75" t="s">
        <v>147</v>
      </c>
      <c r="G26" s="65">
        <v>6689</v>
      </c>
      <c r="H26" s="150">
        <v>72491</v>
      </c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9"/>
      <c r="D27" s="44">
        <f t="shared" si="1"/>
        <v>0</v>
      </c>
      <c r="F27" s="71"/>
      <c r="G27" s="94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9">
        <v>10</v>
      </c>
      <c r="D28" s="48">
        <f t="shared" si="1"/>
        <v>7850</v>
      </c>
      <c r="F28" s="9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241468</v>
      </c>
      <c r="F29" s="111" t="s">
        <v>55</v>
      </c>
      <c r="G29" s="173"/>
      <c r="H29" s="133">
        <f>H15-H16-H17-H18-H19-H20-H22-H23-H24+H26+H27+H28</f>
        <v>212505.5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107</v>
      </c>
      <c r="H34" s="155">
        <f t="shared" ref="H34:H39" si="2">F34*G34</f>
        <v>107000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55">
        <f t="shared" si="2"/>
        <v>15500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55">
        <f t="shared" si="2"/>
        <v>400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293</v>
      </c>
      <c r="D37" s="12">
        <f>C37*111</f>
        <v>32523</v>
      </c>
      <c r="F37" s="12">
        <v>100</v>
      </c>
      <c r="G37" s="39">
        <v>31</v>
      </c>
      <c r="H37" s="155">
        <f t="shared" si="2"/>
        <v>3100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6</v>
      </c>
      <c r="H38" s="155">
        <f t="shared" si="2"/>
        <v>300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9</v>
      </c>
      <c r="H39" s="155">
        <f t="shared" si="2"/>
        <v>180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2</v>
      </c>
      <c r="D42" s="12">
        <f>C42*2.25</f>
        <v>4.5</v>
      </c>
      <c r="F42" s="39" t="s">
        <v>79</v>
      </c>
      <c r="G42" s="155">
        <v>51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4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50">
        <v>13593</v>
      </c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 t="s">
        <v>157</v>
      </c>
      <c r="G45" s="62"/>
      <c r="H45" s="150">
        <v>72491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4</v>
      </c>
      <c r="D46" s="12">
        <f>C46*1.5</f>
        <v>6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2</v>
      </c>
      <c r="D49" s="12">
        <f>C49*42</f>
        <v>84</v>
      </c>
      <c r="F49" s="131" t="s">
        <v>86</v>
      </c>
      <c r="G49" s="133">
        <f>H34+H35+H36+H37+H38+H39+H40+H41+G42+H44+H45+H46</f>
        <v>212615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13</v>
      </c>
      <c r="D50" s="12">
        <f>C50*1.5</f>
        <v>19.5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143</v>
      </c>
      <c r="G51" s="141">
        <f>G49-H29</f>
        <v>109.5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35980.5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45968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134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9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ref="H35:H39" si="2"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93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45968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211</v>
      </c>
      <c r="D6" s="13">
        <f t="shared" ref="D6:D28" si="1">C6*L6</f>
        <v>155507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2</v>
      </c>
      <c r="D7" s="13">
        <f t="shared" si="1"/>
        <v>1450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138</v>
      </c>
      <c r="D9" s="13">
        <f t="shared" si="1"/>
        <v>97566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1</v>
      </c>
      <c r="D10" s="13">
        <f t="shared" si="1"/>
        <v>972</v>
      </c>
      <c r="F10" s="218" t="s">
        <v>26</v>
      </c>
      <c r="G10" s="233" t="s">
        <v>137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>
        <v>2</v>
      </c>
      <c r="D11" s="13">
        <f t="shared" si="1"/>
        <v>2250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1</v>
      </c>
      <c r="D12" s="48">
        <f t="shared" si="1"/>
        <v>952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</v>
      </c>
      <c r="D13" s="48">
        <f t="shared" si="1"/>
        <v>307</v>
      </c>
      <c r="F13" s="239" t="s">
        <v>36</v>
      </c>
      <c r="G13" s="203"/>
      <c r="H13" s="194">
        <f>D29</f>
        <v>259191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17</v>
      </c>
      <c r="D14" s="31">
        <f t="shared" si="1"/>
        <v>187</v>
      </c>
      <c r="F14" s="197" t="s">
        <v>39</v>
      </c>
      <c r="G14" s="198"/>
      <c r="H14" s="199">
        <f>D54</f>
        <v>36323.25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222867.75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v>1608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9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259191</v>
      </c>
      <c r="F29" s="111" t="s">
        <v>55</v>
      </c>
      <c r="G29" s="173"/>
      <c r="H29" s="133">
        <f>H15-H16-H17-H18-H19-H20-H22-H23-H24+H26+H27</f>
        <v>221259.75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</v>
      </c>
      <c r="H34" s="155">
        <f>F34*G34</f>
        <v>15000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85</v>
      </c>
      <c r="H35" s="155">
        <f>F35*G35</f>
        <v>42500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315</v>
      </c>
      <c r="D37" s="12">
        <f>C37*111</f>
        <v>34965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3</v>
      </c>
      <c r="D44" s="12">
        <f>C44*120</f>
        <v>360</v>
      </c>
      <c r="F44" s="37" t="s">
        <v>144</v>
      </c>
      <c r="G44" s="76" t="s">
        <v>162</v>
      </c>
      <c r="H44" s="150">
        <v>163678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2</v>
      </c>
      <c r="D46" s="12">
        <f>C46*1.5</f>
        <v>3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</v>
      </c>
      <c r="D49" s="12">
        <f>C49*42</f>
        <v>42</v>
      </c>
      <c r="F49" s="131" t="s">
        <v>86</v>
      </c>
      <c r="G49" s="133">
        <f>H34+H35+H36+H37+H38+H39+H40+H41+G42+H44+H45+H46</f>
        <v>221178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5</v>
      </c>
      <c r="D50" s="12">
        <f>C50*1.5</f>
        <v>7.5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142</v>
      </c>
      <c r="G51" s="244">
        <f>G49-H29</f>
        <v>-81.75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36323.25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9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45969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9">
        <v>593</v>
      </c>
      <c r="D6" s="13">
        <f t="shared" ref="D6:D28" si="1">C6*L6</f>
        <v>437041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9">
        <v>5</v>
      </c>
      <c r="D7" s="13">
        <f t="shared" si="1"/>
        <v>3625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9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9">
        <v>42</v>
      </c>
      <c r="D9" s="13">
        <f t="shared" si="1"/>
        <v>29694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9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9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9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9">
        <v>23</v>
      </c>
      <c r="D13" s="48">
        <f t="shared" si="1"/>
        <v>7061</v>
      </c>
      <c r="F13" s="239" t="s">
        <v>36</v>
      </c>
      <c r="G13" s="203"/>
      <c r="H13" s="194">
        <f>D29</f>
        <v>477597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9">
        <v>16</v>
      </c>
      <c r="D14" s="31">
        <f t="shared" si="1"/>
        <v>176</v>
      </c>
      <c r="F14" s="197" t="s">
        <v>39</v>
      </c>
      <c r="G14" s="198"/>
      <c r="H14" s="199">
        <f>D54</f>
        <v>55938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9"/>
      <c r="D15" s="31">
        <f t="shared" si="1"/>
        <v>0</v>
      </c>
      <c r="F15" s="202" t="s">
        <v>40</v>
      </c>
      <c r="G15" s="203"/>
      <c r="H15" s="204">
        <f>H13-H14</f>
        <v>421659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>
        <f>4968</f>
        <v>4968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140</v>
      </c>
      <c r="C17" s="89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9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139</v>
      </c>
      <c r="C26" s="89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9"/>
      <c r="D27" s="44">
        <f t="shared" si="1"/>
        <v>0</v>
      </c>
      <c r="F27" s="71"/>
      <c r="G27" s="94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9"/>
      <c r="D28" s="48">
        <f t="shared" si="1"/>
        <v>0</v>
      </c>
      <c r="F28" s="9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477597</v>
      </c>
      <c r="F29" s="111" t="s">
        <v>55</v>
      </c>
      <c r="G29" s="173"/>
      <c r="H29" s="133">
        <f>H15-H16-H17-H18-H19-H20-H22-H23-H24+H26+H27+H28</f>
        <v>416691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206</v>
      </c>
      <c r="H34" s="155">
        <f t="shared" ref="H34:H39" si="2">F34*G34</f>
        <v>206000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298</v>
      </c>
      <c r="H35" s="155">
        <f t="shared" si="2"/>
        <v>149000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490</v>
      </c>
      <c r="D37" s="12">
        <f>C37*111</f>
        <v>54390</v>
      </c>
      <c r="F37" s="12">
        <v>100</v>
      </c>
      <c r="G37" s="39">
        <v>3</v>
      </c>
      <c r="H37" s="155">
        <f t="shared" si="2"/>
        <v>300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55">
        <f t="shared" si="2"/>
        <v>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>
        <v>83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4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 t="s">
        <v>163</v>
      </c>
      <c r="G44" s="62" t="s">
        <v>164</v>
      </c>
      <c r="H44" s="150">
        <v>61244</v>
      </c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7</v>
      </c>
      <c r="D46" s="12">
        <f>C46*1.5</f>
        <v>10.5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7</v>
      </c>
      <c r="D49" s="12">
        <f>C49*42</f>
        <v>294</v>
      </c>
      <c r="F49" s="131" t="s">
        <v>86</v>
      </c>
      <c r="G49" s="133">
        <f>H34+H35+H36+H37+H38+H39+H40+H41+G42+H44+H45+H46</f>
        <v>416677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3</v>
      </c>
      <c r="D50" s="12">
        <f>C50*1.5</f>
        <v>4.5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-14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55938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45969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119</v>
      </c>
      <c r="D6" s="13">
        <f t="shared" ref="D6:D28" si="1">C6*L6</f>
        <v>87703</v>
      </c>
      <c r="F6" s="218" t="s">
        <v>16</v>
      </c>
      <c r="G6" s="220" t="s">
        <v>150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8</v>
      </c>
      <c r="D7" s="13">
        <f t="shared" si="1"/>
        <v>5800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17</v>
      </c>
      <c r="D9" s="13">
        <f t="shared" si="1"/>
        <v>12019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2</v>
      </c>
      <c r="D12" s="48">
        <f t="shared" si="1"/>
        <v>1904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4</v>
      </c>
      <c r="D13" s="48">
        <f t="shared" si="1"/>
        <v>1228</v>
      </c>
      <c r="F13" s="239" t="s">
        <v>36</v>
      </c>
      <c r="G13" s="203"/>
      <c r="H13" s="194">
        <f>D29</f>
        <v>109447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13</v>
      </c>
      <c r="D14" s="31">
        <f t="shared" si="1"/>
        <v>143</v>
      </c>
      <c r="F14" s="197" t="s">
        <v>39</v>
      </c>
      <c r="G14" s="198"/>
      <c r="H14" s="199">
        <f>D54</f>
        <v>16447.5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92999.5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9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109447</v>
      </c>
      <c r="F29" s="111" t="s">
        <v>55</v>
      </c>
      <c r="G29" s="173"/>
      <c r="H29" s="133">
        <f>H15-H16-H17-H18-H19-H20-H22-H23-H24+H26+H27</f>
        <v>92999.5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67</v>
      </c>
      <c r="H34" s="155">
        <f>F34*G34</f>
        <v>67000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30</v>
      </c>
      <c r="H35" s="155">
        <f t="shared" ref="H35:H39" si="2">F35*G35</f>
        <v>15000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155">
        <f>F36*G36</f>
        <v>200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115</v>
      </c>
      <c r="D37" s="12">
        <f>C37*111</f>
        <v>12765</v>
      </c>
      <c r="F37" s="12">
        <v>100</v>
      </c>
      <c r="G37" s="39">
        <v>106</v>
      </c>
      <c r="H37" s="155">
        <f t="shared" si="2"/>
        <v>10600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55">
        <f t="shared" si="2"/>
        <v>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>
        <v>197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>
        <v>1</v>
      </c>
      <c r="D45" s="12">
        <f>C45*84</f>
        <v>84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13</v>
      </c>
      <c r="D46" s="12">
        <f>C46*1.5</f>
        <v>19.5</v>
      </c>
      <c r="F46" s="37"/>
      <c r="G46" s="93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93047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6</v>
      </c>
      <c r="D50" s="12">
        <f>C50*1.5</f>
        <v>9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156</v>
      </c>
      <c r="G51" s="141">
        <f>G49-H29</f>
        <v>47.5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16447.5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45969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313</v>
      </c>
      <c r="D6" s="13">
        <f t="shared" ref="D6:D28" si="1">C6*L6</f>
        <v>230681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18</v>
      </c>
      <c r="D7" s="13">
        <f t="shared" si="1"/>
        <v>13050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40</v>
      </c>
      <c r="D9" s="13">
        <f t="shared" si="1"/>
        <v>28280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137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1</v>
      </c>
      <c r="D12" s="48">
        <f t="shared" si="1"/>
        <v>952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7</v>
      </c>
      <c r="D13" s="48">
        <f t="shared" si="1"/>
        <v>2149</v>
      </c>
      <c r="F13" s="239" t="s">
        <v>36</v>
      </c>
      <c r="G13" s="203"/>
      <c r="H13" s="194">
        <f>D29</f>
        <v>287432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35280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252152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690+306+1020</f>
        <v>2016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>
        <v>10</v>
      </c>
      <c r="D20" s="13">
        <f t="shared" si="1"/>
        <v>11020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9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287432</v>
      </c>
      <c r="F29" s="111" t="s">
        <v>55</v>
      </c>
      <c r="G29" s="173"/>
      <c r="H29" s="133">
        <f>H15-H16-H17-H18-H19-H20-H22-H23-H24+H26+H27</f>
        <v>250136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225</v>
      </c>
      <c r="H34" s="155">
        <f>F34*G34</f>
        <v>225000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55">
        <f>F35*G35</f>
        <v>24500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287</v>
      </c>
      <c r="D37" s="12">
        <f>C37*111</f>
        <v>31857</v>
      </c>
      <c r="F37" s="12">
        <v>100</v>
      </c>
      <c r="G37" s="39">
        <v>4</v>
      </c>
      <c r="H37" s="155">
        <f t="shared" si="2"/>
        <v>400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55">
        <f t="shared" si="2"/>
        <v>100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2</v>
      </c>
      <c r="D42" s="12">
        <f>C42*2.25</f>
        <v>4.5</v>
      </c>
      <c r="F42" s="39" t="s">
        <v>79</v>
      </c>
      <c r="G42" s="155">
        <v>757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1</v>
      </c>
      <c r="D44" s="12">
        <f>C44*120</f>
        <v>120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15</v>
      </c>
      <c r="D46" s="12">
        <f>C46*1.5</f>
        <v>22.5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7</v>
      </c>
      <c r="D49" s="12">
        <f>C49*42</f>
        <v>294</v>
      </c>
      <c r="F49" s="131" t="s">
        <v>86</v>
      </c>
      <c r="G49" s="133">
        <f>H34+H35+H36+H37+H38+H39+H40+H41+G42+H44+H45+H46</f>
        <v>250757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9</v>
      </c>
      <c r="D50" s="12">
        <f>C50*1.5</f>
        <v>13.5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143</v>
      </c>
      <c r="G51" s="141">
        <f>G49-H29</f>
        <v>621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35280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9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45971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9">
        <v>104</v>
      </c>
      <c r="D6" s="13">
        <f t="shared" ref="D6:D28" si="1">C6*L6</f>
        <v>76648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9">
        <v>8</v>
      </c>
      <c r="D7" s="13">
        <f t="shared" si="1"/>
        <v>5800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9">
        <v>2</v>
      </c>
      <c r="D8" s="13">
        <f t="shared" si="1"/>
        <v>2066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9">
        <v>6</v>
      </c>
      <c r="D9" s="13">
        <f t="shared" si="1"/>
        <v>4242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9">
        <v>2</v>
      </c>
      <c r="D10" s="13">
        <f t="shared" si="1"/>
        <v>1944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9">
        <v>1</v>
      </c>
      <c r="D11" s="13">
        <f t="shared" si="1"/>
        <v>1125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9">
        <v>1</v>
      </c>
      <c r="D12" s="48">
        <f t="shared" si="1"/>
        <v>952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9">
        <v>1</v>
      </c>
      <c r="D13" s="48">
        <f t="shared" si="1"/>
        <v>307</v>
      </c>
      <c r="F13" s="239" t="s">
        <v>36</v>
      </c>
      <c r="G13" s="203"/>
      <c r="H13" s="194">
        <f>D29</f>
        <v>95117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9">
        <v>13</v>
      </c>
      <c r="D14" s="31">
        <f t="shared" si="1"/>
        <v>143</v>
      </c>
      <c r="F14" s="197" t="s">
        <v>39</v>
      </c>
      <c r="G14" s="198"/>
      <c r="H14" s="199">
        <f>D54</f>
        <v>13739.25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9">
        <v>2</v>
      </c>
      <c r="D15" s="31">
        <f t="shared" si="1"/>
        <v>1240</v>
      </c>
      <c r="F15" s="202" t="s">
        <v>40</v>
      </c>
      <c r="G15" s="203"/>
      <c r="H15" s="204">
        <f>H13-H14</f>
        <v>81377.75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140</v>
      </c>
      <c r="C17" s="89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9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139</v>
      </c>
      <c r="C26" s="89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9"/>
      <c r="D27" s="44">
        <f t="shared" si="1"/>
        <v>0</v>
      </c>
      <c r="F27" s="71"/>
      <c r="G27" s="94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9"/>
      <c r="D28" s="48">
        <f t="shared" si="1"/>
        <v>0</v>
      </c>
      <c r="F28" s="9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95117</v>
      </c>
      <c r="F29" s="111" t="s">
        <v>55</v>
      </c>
      <c r="G29" s="173"/>
      <c r="H29" s="133">
        <f>H15-H16-H17-H18-H19-H20-H22-H23-H24+H26+H27+H28</f>
        <v>81377.75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49</v>
      </c>
      <c r="H34" s="155">
        <f t="shared" ref="H34:H39" si="2">F34*G34</f>
        <v>49000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55">
        <f t="shared" si="2"/>
        <v>7000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2</v>
      </c>
      <c r="H36" s="155">
        <f t="shared" si="2"/>
        <v>400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99</v>
      </c>
      <c r="D37" s="12">
        <f>C37*111</f>
        <v>10989</v>
      </c>
      <c r="F37" s="12">
        <v>100</v>
      </c>
      <c r="G37" s="39">
        <v>17</v>
      </c>
      <c r="H37" s="155">
        <f t="shared" si="2"/>
        <v>1700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27</v>
      </c>
      <c r="H38" s="155">
        <f t="shared" si="2"/>
        <v>1350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5">
        <v>38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4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50">
        <v>21910</v>
      </c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>
        <v>3</v>
      </c>
      <c r="D45" s="12">
        <f>C45*84</f>
        <v>252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14</v>
      </c>
      <c r="D46" s="12">
        <f>C46*1.5</f>
        <v>21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</v>
      </c>
      <c r="D49" s="12">
        <f>C49*42</f>
        <v>42</v>
      </c>
      <c r="F49" s="131" t="s">
        <v>86</v>
      </c>
      <c r="G49" s="133">
        <f>H34+H35+H36+H37+H38+H39+H40+H41+G42+H44+H45+H46</f>
        <v>81398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14</v>
      </c>
      <c r="D50" s="12">
        <f>C50*1.5</f>
        <v>21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143</v>
      </c>
      <c r="G51" s="141">
        <f>G49-H29</f>
        <v>20.25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13739.25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45971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173</v>
      </c>
      <c r="D6" s="13">
        <f t="shared" ref="D6:D28" si="1">C6*L6</f>
        <v>127501</v>
      </c>
      <c r="F6" s="218" t="s">
        <v>16</v>
      </c>
      <c r="G6" s="220" t="s">
        <v>150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7</v>
      </c>
      <c r="D7" s="13">
        <f t="shared" si="1"/>
        <v>5075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23</v>
      </c>
      <c r="D9" s="13">
        <f t="shared" si="1"/>
        <v>16261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f>1+1+1</f>
        <v>3</v>
      </c>
      <c r="D12" s="48">
        <f t="shared" si="1"/>
        <v>2856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6</v>
      </c>
      <c r="D13" s="48">
        <f t="shared" si="1"/>
        <v>1842</v>
      </c>
      <c r="F13" s="239" t="s">
        <v>36</v>
      </c>
      <c r="G13" s="203"/>
      <c r="H13" s="194">
        <f>D29</f>
        <v>153590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5</v>
      </c>
      <c r="D14" s="31">
        <f t="shared" si="1"/>
        <v>55</v>
      </c>
      <c r="F14" s="197" t="s">
        <v>39</v>
      </c>
      <c r="G14" s="198"/>
      <c r="H14" s="199">
        <f>D54</f>
        <v>23355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130235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9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153590</v>
      </c>
      <c r="F29" s="111" t="s">
        <v>55</v>
      </c>
      <c r="G29" s="173"/>
      <c r="H29" s="133">
        <f>H15-H16-H17-H18-H19-H20-H22-H23-H24+H26+H27</f>
        <v>130235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55">
        <f>F34*G34</f>
        <v>103000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55">
        <f t="shared" ref="H35:H39" si="2">F35*G35</f>
        <v>19000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155">
        <f>F36*G36</f>
        <v>200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193</v>
      </c>
      <c r="D37" s="12">
        <f>C37*111</f>
        <v>21423</v>
      </c>
      <c r="F37" s="12">
        <v>100</v>
      </c>
      <c r="G37" s="39">
        <v>24</v>
      </c>
      <c r="H37" s="155">
        <f t="shared" si="2"/>
        <v>2400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22</v>
      </c>
      <c r="H38" s="155">
        <f t="shared" si="2"/>
        <v>1100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55">
        <f t="shared" si="2"/>
        <v>20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4</v>
      </c>
      <c r="D42" s="12">
        <f>C42*2.25</f>
        <v>9</v>
      </c>
      <c r="F42" s="39" t="s">
        <v>79</v>
      </c>
      <c r="G42" s="155">
        <v>232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2</v>
      </c>
      <c r="D44" s="12">
        <f>C44*120</f>
        <v>240</v>
      </c>
      <c r="F44" s="37" t="s">
        <v>157</v>
      </c>
      <c r="G44" s="110" t="s">
        <v>165</v>
      </c>
      <c r="H44" s="150">
        <v>3118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>
        <v>1</v>
      </c>
      <c r="D45" s="12">
        <f>C45*84</f>
        <v>84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8</v>
      </c>
      <c r="D46" s="12">
        <f>C46*1.5</f>
        <v>12</v>
      </c>
      <c r="F46" s="37"/>
      <c r="G46" s="93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</v>
      </c>
      <c r="D49" s="12">
        <f>C49*42</f>
        <v>42</v>
      </c>
      <c r="F49" s="131" t="s">
        <v>86</v>
      </c>
      <c r="G49" s="133">
        <f>H34+H35+H36+H37+H38+H39+H40+H41+G42+H44+H45+H46</f>
        <v>129070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10</v>
      </c>
      <c r="D50" s="12">
        <f>C50*1.5</f>
        <v>15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-1165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23355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45971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261</v>
      </c>
      <c r="D6" s="13">
        <f t="shared" ref="D6:D28" si="1">C6*L6</f>
        <v>192357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72</v>
      </c>
      <c r="D9" s="13">
        <f t="shared" si="1"/>
        <v>50904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137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>
        <v>3</v>
      </c>
      <c r="D11" s="13">
        <f t="shared" si="1"/>
        <v>3375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f>5+3</f>
        <v>8</v>
      </c>
      <c r="D12" s="48">
        <f t="shared" si="1"/>
        <v>7616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12</v>
      </c>
      <c r="D13" s="48">
        <f t="shared" si="1"/>
        <v>3684</v>
      </c>
      <c r="F13" s="239" t="s">
        <v>36</v>
      </c>
      <c r="G13" s="203"/>
      <c r="H13" s="194">
        <f>D29</f>
        <v>259983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17</v>
      </c>
      <c r="D14" s="31">
        <f t="shared" si="1"/>
        <v>187</v>
      </c>
      <c r="F14" s="197" t="s">
        <v>39</v>
      </c>
      <c r="G14" s="198"/>
      <c r="H14" s="199">
        <f>D54</f>
        <v>44370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>
        <v>3</v>
      </c>
      <c r="D15" s="31">
        <f t="shared" si="1"/>
        <v>1860</v>
      </c>
      <c r="F15" s="202" t="s">
        <v>40</v>
      </c>
      <c r="G15" s="203"/>
      <c r="H15" s="204">
        <f>H13-H14</f>
        <v>215613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1248</f>
        <v>1248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9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259983</v>
      </c>
      <c r="F29" s="111" t="s">
        <v>55</v>
      </c>
      <c r="G29" s="173"/>
      <c r="H29" s="133">
        <f>H15-H16-H17-H18-H19-H20-H22-H23-H24+H26+H27</f>
        <v>214365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155">
        <f>F34*G34</f>
        <v>25000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55">
        <f>F35*G35</f>
        <v>7000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</v>
      </c>
      <c r="H37" s="155">
        <f t="shared" si="2"/>
        <v>300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2</v>
      </c>
      <c r="H38" s="155">
        <f t="shared" si="2"/>
        <v>100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>
        <v>97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 t="s">
        <v>144</v>
      </c>
      <c r="G44" s="76" t="s">
        <v>166</v>
      </c>
      <c r="H44" s="150">
        <v>125184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>
        <v>12</v>
      </c>
      <c r="D45" s="12">
        <f>C45*84</f>
        <v>1008</v>
      </c>
      <c r="F45" s="37" t="s">
        <v>167</v>
      </c>
      <c r="G45" s="76" t="s">
        <v>168</v>
      </c>
      <c r="H45" s="150">
        <v>56466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6</v>
      </c>
      <c r="D49" s="12">
        <f>C49*42</f>
        <v>252</v>
      </c>
      <c r="F49" s="131" t="s">
        <v>86</v>
      </c>
      <c r="G49" s="133">
        <f>H34+H35+H36+H37+H38+H39+H40+H41+G42+H44+H45+H46</f>
        <v>214147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9</v>
      </c>
      <c r="D50" s="12">
        <f>C50*1.5</f>
        <v>13.5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142</v>
      </c>
      <c r="G51" s="244">
        <f>G49-H29</f>
        <v>-218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44370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1D02E-39E1-47AB-96A9-A4A4C43822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6AAE1-5101-4C06-9DEE-A2A9A4D27B4E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45972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9">
        <v>301</v>
      </c>
      <c r="D6" s="13">
        <f t="shared" ref="D6:D28" si="1">C6*L6</f>
        <v>221837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9">
        <v>12</v>
      </c>
      <c r="D7" s="13">
        <f t="shared" si="1"/>
        <v>8700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9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9">
        <v>21</v>
      </c>
      <c r="D9" s="13">
        <f t="shared" si="1"/>
        <v>14847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9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9">
        <v>2</v>
      </c>
      <c r="D11" s="13">
        <f t="shared" si="1"/>
        <v>2250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9">
        <f>2+1</f>
        <v>3</v>
      </c>
      <c r="D12" s="48">
        <f t="shared" si="1"/>
        <v>2856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9">
        <v>5</v>
      </c>
      <c r="D13" s="48">
        <f t="shared" si="1"/>
        <v>1535</v>
      </c>
      <c r="F13" s="239" t="s">
        <v>36</v>
      </c>
      <c r="G13" s="203"/>
      <c r="H13" s="194">
        <f>D29</f>
        <v>256893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9">
        <v>19</v>
      </c>
      <c r="D14" s="31">
        <f t="shared" si="1"/>
        <v>209</v>
      </c>
      <c r="F14" s="197" t="s">
        <v>39</v>
      </c>
      <c r="G14" s="198"/>
      <c r="H14" s="199">
        <f>D54</f>
        <v>38674.5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9"/>
      <c r="D15" s="31">
        <f t="shared" si="1"/>
        <v>0</v>
      </c>
      <c r="F15" s="202" t="s">
        <v>40</v>
      </c>
      <c r="G15" s="203"/>
      <c r="H15" s="204">
        <f>H13-H14</f>
        <v>218218.5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140</v>
      </c>
      <c r="C17" s="89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9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169</v>
      </c>
      <c r="C26" s="89">
        <v>12</v>
      </c>
      <c r="D26" s="48">
        <f t="shared" si="1"/>
        <v>444</v>
      </c>
      <c r="F26" s="75"/>
      <c r="G26" s="65"/>
      <c r="H26" s="150"/>
      <c r="I26" s="150"/>
      <c r="J26" s="150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9"/>
      <c r="D27" s="44">
        <f t="shared" si="1"/>
        <v>0</v>
      </c>
      <c r="F27" s="71"/>
      <c r="G27" s="104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9">
        <v>3</v>
      </c>
      <c r="D28" s="48">
        <f t="shared" si="1"/>
        <v>2355</v>
      </c>
      <c r="F28" s="10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256893</v>
      </c>
      <c r="F29" s="111" t="s">
        <v>55</v>
      </c>
      <c r="G29" s="173"/>
      <c r="H29" s="133">
        <f>H15-H16-H17-H18-H19-H20-H22-H23-H24+H26+H27+H28</f>
        <v>218218.5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176</v>
      </c>
      <c r="H34" s="155">
        <f t="shared" ref="H34:H39" si="2">F34*G34</f>
        <v>176000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49</v>
      </c>
      <c r="H35" s="155">
        <f t="shared" si="2"/>
        <v>24500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3</v>
      </c>
      <c r="H36" s="155">
        <f t="shared" si="2"/>
        <v>600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61</v>
      </c>
      <c r="H37" s="155">
        <f t="shared" si="2"/>
        <v>6100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20</v>
      </c>
      <c r="H38" s="155">
        <f t="shared" si="2"/>
        <v>1000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8</v>
      </c>
      <c r="D42" s="12">
        <f>C42*2.25</f>
        <v>18</v>
      </c>
      <c r="F42" s="39" t="s">
        <v>79</v>
      </c>
      <c r="G42" s="155">
        <v>2146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4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50">
        <v>3177</v>
      </c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>
        <v>1</v>
      </c>
      <c r="D45" s="12">
        <f>C45*84</f>
        <v>84</v>
      </c>
      <c r="F45" s="37" t="s">
        <v>157</v>
      </c>
      <c r="G45" s="62"/>
      <c r="H45" s="150">
        <v>3756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217279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39</v>
      </c>
      <c r="D50" s="12">
        <f>C50*1.5</f>
        <v>58.5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-939.5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38674.5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837A-931D-4366-87C4-7EB54B685C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45972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539</v>
      </c>
      <c r="D6" s="13">
        <f t="shared" ref="D6:D28" si="1">C6*L6</f>
        <v>397243</v>
      </c>
      <c r="F6" s="218" t="s">
        <v>16</v>
      </c>
      <c r="G6" s="220" t="s">
        <v>150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50</v>
      </c>
      <c r="D9" s="13">
        <f t="shared" si="1"/>
        <v>35350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24</v>
      </c>
      <c r="D13" s="48">
        <f t="shared" si="1"/>
        <v>7368</v>
      </c>
      <c r="F13" s="239" t="s">
        <v>36</v>
      </c>
      <c r="G13" s="203"/>
      <c r="H13" s="194">
        <f>D29</f>
        <v>440093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12</v>
      </c>
      <c r="D14" s="31">
        <f t="shared" si="1"/>
        <v>132</v>
      </c>
      <c r="F14" s="197" t="s">
        <v>39</v>
      </c>
      <c r="G14" s="198"/>
      <c r="H14" s="199">
        <f>D54</f>
        <v>61989.75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378103.25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v>5517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440093</v>
      </c>
      <c r="F29" s="111" t="s">
        <v>55</v>
      </c>
      <c r="G29" s="173"/>
      <c r="H29" s="133">
        <f>H15-H16-H17-H18-H19-H20-H22-H23-H24+H26+H27</f>
        <v>372586.25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155">
        <f>F34*G34</f>
        <v>104000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539</v>
      </c>
      <c r="H35" s="155">
        <f t="shared" ref="H35:H39" si="2">F35*G35</f>
        <v>269500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543</v>
      </c>
      <c r="D37" s="12">
        <f>C37*111</f>
        <v>60273</v>
      </c>
      <c r="F37" s="12">
        <v>100</v>
      </c>
      <c r="G37" s="39">
        <v>1</v>
      </c>
      <c r="H37" s="155">
        <f t="shared" si="2"/>
        <v>100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5</v>
      </c>
      <c r="H38" s="155">
        <f t="shared" si="2"/>
        <v>250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5">
        <f t="shared" si="2"/>
        <v>20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5">
        <v>50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1</v>
      </c>
      <c r="D44" s="12">
        <f>C44*120</f>
        <v>120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>
        <v>1</v>
      </c>
      <c r="D45" s="12">
        <f>C45*84</f>
        <v>84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13</v>
      </c>
      <c r="D46" s="12">
        <f>C46*1.5</f>
        <v>19.5</v>
      </c>
      <c r="F46" s="37"/>
      <c r="G46" s="103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9</v>
      </c>
      <c r="D49" s="12">
        <f>C49*42</f>
        <v>378</v>
      </c>
      <c r="F49" s="131" t="s">
        <v>86</v>
      </c>
      <c r="G49" s="133">
        <f>H34+H35+H36+H37+H38+H39+H40+H41+G42+H44+H45+H46</f>
        <v>373920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1</v>
      </c>
      <c r="D50" s="12">
        <f>C50*1.5</f>
        <v>1.5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156</v>
      </c>
      <c r="G51" s="141">
        <f>G49-H29</f>
        <v>1333.75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61989.75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335FA-5799-4361-87DB-ED7AFDEE32F9}">
  <dimension ref="A1:R59"/>
  <sheetViews>
    <sheetView tabSelected="1" topLeftCell="A10" zoomScaleNormal="100" zoomScaleSheetLayoutView="85" workbookViewId="0">
      <selection activeCell="H19" sqref="H19:J1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45972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247</v>
      </c>
      <c r="D6" s="13">
        <f t="shared" ref="D6:D28" si="1">C6*L6</f>
        <v>182039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16</v>
      </c>
      <c r="D7" s="13">
        <f t="shared" si="1"/>
        <v>11600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30</v>
      </c>
      <c r="D9" s="13">
        <f t="shared" si="1"/>
        <v>21210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137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12</v>
      </c>
      <c r="D13" s="48">
        <f t="shared" si="1"/>
        <v>3684</v>
      </c>
      <c r="F13" s="239" t="s">
        <v>36</v>
      </c>
      <c r="G13" s="203"/>
      <c r="H13" s="194">
        <f>D29</f>
        <v>218610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7</v>
      </c>
      <c r="D14" s="31">
        <f t="shared" si="1"/>
        <v>77</v>
      </c>
      <c r="F14" s="197" t="s">
        <v>39</v>
      </c>
      <c r="G14" s="198"/>
      <c r="H14" s="199">
        <f>D54</f>
        <v>20649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197961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960+402+282</f>
        <v>1644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>
        <f>50+50</f>
        <v>100</v>
      </c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218610</v>
      </c>
      <c r="F29" s="111" t="s">
        <v>55</v>
      </c>
      <c r="G29" s="173"/>
      <c r="H29" s="133">
        <f>H15-H16-H17-H18-H19-H20-H22-H23-H24+H26+H27</f>
        <v>196217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155">
        <f>F34*G34</f>
        <v>180000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155">
        <f>F35*G35</f>
        <v>1500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55">
        <f t="shared" ref="H36:H39" si="2">F36*G36</f>
        <v>800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166</v>
      </c>
      <c r="D37" s="12">
        <f>C37*111</f>
        <v>18426</v>
      </c>
      <c r="F37" s="12">
        <v>100</v>
      </c>
      <c r="G37" s="39">
        <v>106</v>
      </c>
      <c r="H37" s="155">
        <f t="shared" si="2"/>
        <v>10600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61</v>
      </c>
      <c r="H38" s="155">
        <f t="shared" si="2"/>
        <v>3050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55">
        <f t="shared" si="2"/>
        <v>20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6</v>
      </c>
      <c r="D42" s="12">
        <f>C42*2.25</f>
        <v>13.5</v>
      </c>
      <c r="F42" s="39" t="s">
        <v>79</v>
      </c>
      <c r="G42" s="155">
        <v>73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1</v>
      </c>
      <c r="D44" s="12">
        <f>C44*120</f>
        <v>120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1</v>
      </c>
      <c r="D46" s="12">
        <f>C46*1.5</f>
        <v>1.5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4</v>
      </c>
      <c r="D49" s="12">
        <f>C49*42</f>
        <v>168</v>
      </c>
      <c r="F49" s="131" t="s">
        <v>86</v>
      </c>
      <c r="G49" s="133">
        <f>H34+H35+H36+H37+H38+H39+H40+H41+G42+H44+H45+H46</f>
        <v>196043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9</v>
      </c>
      <c r="D50" s="12">
        <f>C50*1.5</f>
        <v>13.5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142</v>
      </c>
      <c r="G51" s="244">
        <f>G49-H29</f>
        <v>-174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20649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C9E6-31EF-4A0D-9F45-99257313490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A6101-0BB5-45B7-98E7-8F129D91F3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45973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9"/>
      <c r="D6" s="13">
        <f t="shared" ref="D6:D28" si="1">C6*L6</f>
        <v>0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9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9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9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9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9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9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9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9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9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140</v>
      </c>
      <c r="C17" s="89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9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139</v>
      </c>
      <c r="C26" s="89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9"/>
      <c r="D27" s="44">
        <f t="shared" si="1"/>
        <v>0</v>
      </c>
      <c r="F27" s="71"/>
      <c r="G27" s="104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9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H15-H16-H17-H18-H19-H20-H22-H23-H24+H26+H27+H28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4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6E853-934C-4E78-B803-F1ACEB4F570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45973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134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ref="H35:H39" si="2"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103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7EE72-951F-445C-A6EB-A51F88E424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45973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137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C2A7-8455-494F-94E7-681A4D8C006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BD598-0279-441A-83CB-1D8330CA07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45974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9"/>
      <c r="D6" s="13">
        <f t="shared" ref="D6:D28" si="1">C6*L6</f>
        <v>0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9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9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9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9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9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9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9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9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9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140</v>
      </c>
      <c r="C17" s="89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9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139</v>
      </c>
      <c r="C26" s="89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9"/>
      <c r="D27" s="44">
        <f t="shared" si="1"/>
        <v>0</v>
      </c>
      <c r="F27" s="71"/>
      <c r="G27" s="104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9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H15-H16-H17-H18-H19-H20-H22-H23-H24+H26+H27+H28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4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E21C3-ED0B-4127-A8B9-E623F811C8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45974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134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ref="H35:H39" si="2"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103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EA44-7418-4113-AA44-42427A642B3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45974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137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BCA35-CEB0-4210-ABE4-D1EDD8D738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818E-75C1-4380-8795-57EE4038AA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45975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9"/>
      <c r="D6" s="13">
        <f t="shared" ref="D6:D28" si="1">C6*L6</f>
        <v>0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9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9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9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9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9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9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9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9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9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140</v>
      </c>
      <c r="C17" s="89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9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139</v>
      </c>
      <c r="C26" s="89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9"/>
      <c r="D27" s="44">
        <f t="shared" si="1"/>
        <v>0</v>
      </c>
      <c r="F27" s="71"/>
      <c r="G27" s="104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9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H15-H16-H17-H18-H19-H20-H22-H23-H24+H26+H27+H28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4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B7DD-349C-4CED-9BCF-695DF5A455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45975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134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ref="H35:H39" si="2"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103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4C29D-8304-4761-BAA7-A7AB3704FA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45975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137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F3CA-038C-4440-AB16-0724BA34A5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78A-5BE5-4192-A0AB-03C6D7B001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45976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9"/>
      <c r="D6" s="13">
        <f t="shared" ref="D6:D28" si="1">C6*L6</f>
        <v>0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9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9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9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9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9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9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9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9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9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140</v>
      </c>
      <c r="C17" s="89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9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139</v>
      </c>
      <c r="C26" s="89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9"/>
      <c r="D27" s="44">
        <f t="shared" si="1"/>
        <v>0</v>
      </c>
      <c r="F27" s="71"/>
      <c r="G27" s="104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9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H15-H16-H17-H18-H19-H20-H22-H23-H24+H26+H27+H28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4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D14A-175E-458E-929B-1D101A57AF8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45976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134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ref="H35:H39" si="2"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103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ECA62-7D92-453B-90AE-0176B1EE51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45976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137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A16B0-7AF6-41D1-9FC2-F17C5F8F5B3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706FA-EA3E-45EC-82C1-E9A6C3473B8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45978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9"/>
      <c r="D6" s="13">
        <f t="shared" ref="D6:D28" si="1">C6*L6</f>
        <v>0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9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9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9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9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9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9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9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9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9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140</v>
      </c>
      <c r="C17" s="89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9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139</v>
      </c>
      <c r="C26" s="89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9"/>
      <c r="D27" s="44">
        <f t="shared" si="1"/>
        <v>0</v>
      </c>
      <c r="F27" s="71"/>
      <c r="G27" s="104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9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H15-H16-H17-H18-H19-H20-H22-H23-H24+H26+H27+H28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4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EB459-F8E3-483C-A9E7-75832FA483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45978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134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ref="H35:H39" si="2"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103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F8E19-0CBA-4B0B-B385-E062B1E205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45978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137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A3BE-7E4D-4BEC-A5FC-7CAF37DC9C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4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E6ABA-654F-4FB2-BAF9-0C2134F7E0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45979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9"/>
      <c r="D6" s="13">
        <f t="shared" ref="D6:D28" si="1">C6*L6</f>
        <v>0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9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9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9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9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9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9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9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9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9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140</v>
      </c>
      <c r="C17" s="89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9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139</v>
      </c>
      <c r="C26" s="89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9"/>
      <c r="D27" s="44">
        <f t="shared" si="1"/>
        <v>0</v>
      </c>
      <c r="F27" s="71"/>
      <c r="G27" s="109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9"/>
      <c r="D28" s="48">
        <f t="shared" si="1"/>
        <v>0</v>
      </c>
      <c r="F28" s="106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H15-H16-H17-H18-H19-H20-H22-H23-H24+H26+H27+H28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9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ED7AB-B0FE-41DF-93EB-684805CBFC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45979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134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6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ref="H35:H39" si="2"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9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108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9A8AF-2816-481D-AB31-8DE8FB52845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45979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137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6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9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3992D-2FC4-4AF3-8779-F093F46214F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6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9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2DB73-C22F-4CAD-B22E-BDE80128E0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45980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9"/>
      <c r="D6" s="13">
        <f t="shared" ref="D6:D28" si="1">C6*L6</f>
        <v>0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9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9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9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9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9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9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9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9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9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140</v>
      </c>
      <c r="C17" s="89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9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139</v>
      </c>
      <c r="C26" s="89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9"/>
      <c r="D27" s="44">
        <f t="shared" si="1"/>
        <v>0</v>
      </c>
      <c r="F27" s="71"/>
      <c r="G27" s="109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9"/>
      <c r="D28" s="48">
        <f t="shared" si="1"/>
        <v>0</v>
      </c>
      <c r="F28" s="106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H15-H16-H17-H18-H19-H20-H22-H23-H24+H26+H27+H28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9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EEB7E-FC1D-4E22-ADEC-2819CD8967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45980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134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6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ref="H35:H39" si="2"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9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108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2D79-0B47-47BB-8777-B1ED3EC114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45980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137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6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9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E5B03-A6D5-4FAB-9238-50F433366D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6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9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E282-C46B-4F1A-9515-94F5E5779C3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45981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9"/>
      <c r="D6" s="13">
        <f t="shared" ref="D6:D28" si="1">C6*L6</f>
        <v>0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9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9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9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9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9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9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9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9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9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140</v>
      </c>
      <c r="C17" s="89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9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139</v>
      </c>
      <c r="C26" s="89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9"/>
      <c r="D27" s="44">
        <f t="shared" si="1"/>
        <v>0</v>
      </c>
      <c r="F27" s="71"/>
      <c r="G27" s="109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9"/>
      <c r="D28" s="48">
        <f t="shared" si="1"/>
        <v>0</v>
      </c>
      <c r="F28" s="106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H15-H16-H17-H18-H19-H20-H22-H23-H24+H26+H27+H28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9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6615A-D1DE-4B18-9DCB-09A0D201FA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45981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134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6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ref="H35:H39" si="2"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9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108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03D04-3432-4A02-A3A2-69CD1CFBDC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45981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137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6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9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C9CE-84DC-4780-B516-57D9770D007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6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9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3F597-9B8B-41E2-935D-DFC1E01DAE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45982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9"/>
      <c r="D6" s="13">
        <f t="shared" ref="D6:D28" si="1">C6*L6</f>
        <v>0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9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9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9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9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9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9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9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9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9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140</v>
      </c>
      <c r="C17" s="89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9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139</v>
      </c>
      <c r="C26" s="89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9"/>
      <c r="D27" s="44">
        <f t="shared" si="1"/>
        <v>0</v>
      </c>
      <c r="F27" s="71"/>
      <c r="G27" s="109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9"/>
      <c r="D28" s="48">
        <f t="shared" si="1"/>
        <v>0</v>
      </c>
      <c r="F28" s="106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H15-H16-H17-H18-H19-H20-H22-H23-H24+H26+H27+H28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9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04CF-0206-4A78-A63A-980446B00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45982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134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6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ref="H35:H39" si="2"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9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108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0105C-1975-452C-8A8F-B46AF4EAC21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45982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137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6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9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259A9-84F0-41FC-A0F6-C6052F4185E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6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9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B62A7-05FC-497A-8317-8CEE9B749849}">
  <dimension ref="A1:R59"/>
  <sheetViews>
    <sheetView zoomScaleNormal="100" zoomScaleSheetLayoutView="85" workbookViewId="0">
      <selection activeCell="M36" sqref="M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45983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9"/>
      <c r="D6" s="13">
        <f t="shared" ref="D6:D28" si="1">C6*L6</f>
        <v>0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9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9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9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9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9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9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9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9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9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140</v>
      </c>
      <c r="C17" s="89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9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139</v>
      </c>
      <c r="C26" s="89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9"/>
      <c r="D27" s="44">
        <f t="shared" si="1"/>
        <v>0</v>
      </c>
      <c r="F27" s="71"/>
      <c r="G27" s="109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9"/>
      <c r="D28" s="48">
        <f t="shared" si="1"/>
        <v>0</v>
      </c>
      <c r="F28" s="106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H15-H16-H17-H18-H19-H20-H22-H23-H24+H26+H27+H28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9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2B31C-76E0-416C-90A7-5651DCB50A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45983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134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6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ref="H35:H39" si="2"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9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108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AFF2-7D56-4D00-A4D8-12E3046BBA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45983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137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6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9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D6F05-57EA-4B6D-BFC7-E42F3F981FB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6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9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B907A-695F-41D7-B299-DF0BF71AA6D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45985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9"/>
      <c r="D6" s="13">
        <f t="shared" ref="D6:D28" si="1">C6*L6</f>
        <v>0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9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9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9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9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9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9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9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9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9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140</v>
      </c>
      <c r="C17" s="89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9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139</v>
      </c>
      <c r="C26" s="89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9"/>
      <c r="D27" s="44">
        <f t="shared" si="1"/>
        <v>0</v>
      </c>
      <c r="F27" s="71"/>
      <c r="G27" s="109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9"/>
      <c r="D28" s="48">
        <f t="shared" si="1"/>
        <v>0</v>
      </c>
      <c r="F28" s="106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H15-H16-H17-H18-H19-H20-H22-H23-H24+H26+H27+H28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9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64B36-7E32-4CFE-AD33-228185F20D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45985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134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6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ref="H35:H39" si="2"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9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108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2D9E9-1AF9-461C-A6CF-F22B7F07CA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45985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137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6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9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78</vt:i4>
      </vt:variant>
      <vt:variant>
        <vt:lpstr>Named Ranges</vt:lpstr>
      </vt:variant>
      <vt:variant>
        <vt:i4>77</vt:i4>
      </vt:variant>
    </vt:vector>
  </HeadingPairs>
  <TitlesOfParts>
    <vt:vector size="155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 No Trip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(11)</vt:lpstr>
      <vt:lpstr>11,11 R1</vt:lpstr>
      <vt:lpstr>11,11 R2</vt:lpstr>
      <vt:lpstr>11,11 R3</vt:lpstr>
      <vt:lpstr>(12)</vt:lpstr>
      <vt:lpstr>12,11 R1</vt:lpstr>
      <vt:lpstr>12,11 R2</vt:lpstr>
      <vt:lpstr>12,11 R3</vt:lpstr>
      <vt:lpstr>(13)</vt:lpstr>
      <vt:lpstr>13,11 R1</vt:lpstr>
      <vt:lpstr>13,11 R2</vt:lpstr>
      <vt:lpstr>13,11 R3</vt:lpstr>
      <vt:lpstr>(14)</vt:lpstr>
      <vt:lpstr>14,11 R1</vt:lpstr>
      <vt:lpstr>14,11 R2</vt:lpstr>
      <vt:lpstr>14,11 R3</vt:lpstr>
      <vt:lpstr>(15)</vt:lpstr>
      <vt:lpstr>15,11 R1</vt:lpstr>
      <vt:lpstr>15,11 R2</vt:lpstr>
      <vt:lpstr>15,11 R3</vt:lpstr>
      <vt:lpstr>(17)</vt:lpstr>
      <vt:lpstr>17,11 R1</vt:lpstr>
      <vt:lpstr>17,11 R2</vt:lpstr>
      <vt:lpstr>17,11 R3</vt:lpstr>
      <vt:lpstr>(18)</vt:lpstr>
      <vt:lpstr>18,11 R1</vt:lpstr>
      <vt:lpstr>18,11 R2</vt:lpstr>
      <vt:lpstr>18,11 R3</vt:lpstr>
      <vt:lpstr>(19)</vt:lpstr>
      <vt:lpstr>19,11 R1</vt:lpstr>
      <vt:lpstr>19,11 R2</vt:lpstr>
      <vt:lpstr>19,11 R3</vt:lpstr>
      <vt:lpstr>(20)</vt:lpstr>
      <vt:lpstr>20,11 R1</vt:lpstr>
      <vt:lpstr>20,11 R2</vt:lpstr>
      <vt:lpstr>20,11 R3</vt:lpstr>
      <vt:lpstr>(21)</vt:lpstr>
      <vt:lpstr>21,11 R1</vt:lpstr>
      <vt:lpstr>21,11 R2</vt:lpstr>
      <vt:lpstr>21,11 R3</vt:lpstr>
      <vt:lpstr>(22)</vt:lpstr>
      <vt:lpstr>22,11 R1</vt:lpstr>
      <vt:lpstr>22,11 R2</vt:lpstr>
      <vt:lpstr>22,11 R3</vt:lpstr>
      <vt:lpstr>(24)</vt:lpstr>
      <vt:lpstr>24,11 R1</vt:lpstr>
      <vt:lpstr>24,11 R2</vt:lpstr>
      <vt:lpstr>24,11 R3</vt:lpstr>
      <vt:lpstr>'(03)'!Print_Area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'(4)'!Print_Area</vt:lpstr>
      <vt:lpstr>'(5)'!Print_Area</vt:lpstr>
      <vt:lpstr>'(6)'!Print_Area</vt:lpstr>
      <vt:lpstr>'(7)'!Print_Area</vt:lpstr>
      <vt:lpstr>'(8)'!Print_Area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 No Trip'!Print_Area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  <vt:lpstr>'11,11 R1'!Print_Area</vt:lpstr>
      <vt:lpstr>'11,11 R2'!Print_Area</vt:lpstr>
      <vt:lpstr>'11,11 R3'!Print_Area</vt:lpstr>
      <vt:lpstr>'12,11 R1'!Print_Area</vt:lpstr>
      <vt:lpstr>'12,11 R2'!Print_Area</vt:lpstr>
      <vt:lpstr>'12,11 R3'!Print_Area</vt:lpstr>
      <vt:lpstr>'13,11 R1'!Print_Area</vt:lpstr>
      <vt:lpstr>'13,11 R2'!Print_Area</vt:lpstr>
      <vt:lpstr>'13,11 R3'!Print_Area</vt:lpstr>
      <vt:lpstr>'14,11 R1'!Print_Area</vt:lpstr>
      <vt:lpstr>'14,11 R2'!Print_Area</vt:lpstr>
      <vt:lpstr>'14,11 R3'!Print_Area</vt:lpstr>
      <vt:lpstr>'15,11 R1'!Print_Area</vt:lpstr>
      <vt:lpstr>'15,11 R2'!Print_Area</vt:lpstr>
      <vt:lpstr>'15,11 R3'!Print_Area</vt:lpstr>
      <vt:lpstr>'17,11 R1'!Print_Area</vt:lpstr>
      <vt:lpstr>'17,11 R2'!Print_Area</vt:lpstr>
      <vt:lpstr>'17,11 R3'!Print_Area</vt:lpstr>
      <vt:lpstr>'18,11 R1'!Print_Area</vt:lpstr>
      <vt:lpstr>'18,11 R2'!Print_Area</vt:lpstr>
      <vt:lpstr>'18,11 R3'!Print_Area</vt:lpstr>
      <vt:lpstr>'19,11 R1'!Print_Area</vt:lpstr>
      <vt:lpstr>'19,11 R2'!Print_Area</vt:lpstr>
      <vt:lpstr>'19,11 R3'!Print_Area</vt:lpstr>
      <vt:lpstr>'20,11 R1'!Print_Area</vt:lpstr>
      <vt:lpstr>'20,11 R2'!Print_Area</vt:lpstr>
      <vt:lpstr>'20,11 R3'!Print_Area</vt:lpstr>
      <vt:lpstr>'21,11 R1'!Print_Area</vt:lpstr>
      <vt:lpstr>'21,11 R2'!Print_Area</vt:lpstr>
      <vt:lpstr>'21,11 R3'!Print_Area</vt:lpstr>
      <vt:lpstr>'22,11 R1'!Print_Area</vt:lpstr>
      <vt:lpstr>'22,11 R2'!Print_Area</vt:lpstr>
      <vt:lpstr>'22,11 R3'!Print_Area</vt:lpstr>
      <vt:lpstr>'24,11 R1'!Print_Area</vt:lpstr>
      <vt:lpstr>'24,11 R2'!Print_Area</vt:lpstr>
      <vt:lpstr>'24,11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2025-11-12T00:06:29Z</cp:lastPrinted>
  <dcterms:created xsi:type="dcterms:W3CDTF">2024-09-01T23:36:50Z</dcterms:created>
  <dcterms:modified xsi:type="dcterms:W3CDTF">2025-11-12T01:06:41Z</dcterms:modified>
</cp:coreProperties>
</file>