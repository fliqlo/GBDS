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59581C6C-C6FC-4786-8254-8730582E1D8C}" xr6:coauthVersionLast="45" xr6:coauthVersionMax="47" xr10:uidLastSave="{00000000-0000-0000-0000-000000000000}"/>
  <bookViews>
    <workbookView xWindow="-120" yWindow="-120" windowWidth="29040" windowHeight="15840" firstSheet="52" activeTab="59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D54" i="1535"/>
  <c r="H14" i="1535" s="1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G49" i="1535" s="1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D29" i="1535" s="1"/>
  <c r="H13" i="1535" s="1"/>
  <c r="H15" i="1535" s="1"/>
  <c r="H29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D54" i="1534" s="1"/>
  <c r="H14" i="1534" s="1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G49" i="1534" s="1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G49" i="1533" s="1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D54" i="1533" s="1"/>
  <c r="H14" i="1533" s="1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D29" i="1533" s="1"/>
  <c r="H13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G49" i="1531" s="1"/>
  <c r="D34" i="1531"/>
  <c r="D54" i="1531" s="1"/>
  <c r="H14" i="1531" s="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G49" i="1530" s="1"/>
  <c r="D37" i="1530"/>
  <c r="R36" i="1530"/>
  <c r="H36" i="1530"/>
  <c r="D36" i="1530"/>
  <c r="R35" i="1530"/>
  <c r="H35" i="1530"/>
  <c r="D35" i="1530"/>
  <c r="D54" i="1530" s="1"/>
  <c r="H14" i="1530" s="1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G49" i="1529" s="1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D54" i="1529" s="1"/>
  <c r="H14" i="1529" s="1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G49" i="1527" s="1"/>
  <c r="D34" i="1527"/>
  <c r="D54" i="1527" s="1"/>
  <c r="H14" i="1527" s="1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D54" i="1526" s="1"/>
  <c r="H14" i="1526" s="1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G49" i="1526" s="1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D54" i="1525" s="1"/>
  <c r="H14" i="1525" s="1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D29" i="1525" s="1"/>
  <c r="H13" i="1525" s="1"/>
  <c r="H15" i="1525" s="1"/>
  <c r="H29" i="1525" s="1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G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D54" i="1523" s="1"/>
  <c r="H14" i="1523" s="1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G49" i="1522" s="1"/>
  <c r="D35" i="1522"/>
  <c r="D54" i="1522" s="1"/>
  <c r="H14" i="1522" s="1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D54" i="1521" s="1"/>
  <c r="H14" i="1521" s="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D29" i="1540" l="1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G51" i="1535"/>
  <c r="G51" i="1534"/>
  <c r="D29" i="1534"/>
  <c r="H13" i="1534" s="1"/>
  <c r="H15" i="1534" s="1"/>
  <c r="H29" i="1534" s="1"/>
  <c r="H15" i="1533"/>
  <c r="H29" i="1533" s="1"/>
  <c r="G51" i="1533"/>
  <c r="D29" i="1532"/>
  <c r="H13" i="1532" s="1"/>
  <c r="H15" i="1532" s="1"/>
  <c r="H29" i="1532" s="1"/>
  <c r="G51" i="1532"/>
  <c r="D29" i="1531"/>
  <c r="H13" i="1531" s="1"/>
  <c r="H15" i="1531" s="1"/>
  <c r="H29" i="1531" s="1"/>
  <c r="G51" i="1531" s="1"/>
  <c r="D29" i="1530"/>
  <c r="H13" i="1530" s="1"/>
  <c r="H15" i="1530" s="1"/>
  <c r="H29" i="1530" s="1"/>
  <c r="G51" i="1530"/>
  <c r="D29" i="1529"/>
  <c r="H13" i="1529" s="1"/>
  <c r="H15" i="1529" s="1"/>
  <c r="H29" i="1529" s="1"/>
  <c r="G51" i="1529" s="1"/>
  <c r="G51" i="1528"/>
  <c r="D29" i="1527"/>
  <c r="H13" i="1527" s="1"/>
  <c r="H15" i="1527" s="1"/>
  <c r="H29" i="1527" s="1"/>
  <c r="G51" i="1527"/>
  <c r="D29" i="1526"/>
  <c r="H13" i="1526" s="1"/>
  <c r="H15" i="1526" s="1"/>
  <c r="H29" i="1526" s="1"/>
  <c r="G51" i="1526" s="1"/>
  <c r="G51" i="1525"/>
  <c r="D29" i="1524"/>
  <c r="H13" i="1524" s="1"/>
  <c r="H15" i="1524" s="1"/>
  <c r="H29" i="1524" s="1"/>
  <c r="G51" i="1524" s="1"/>
  <c r="D29" i="1523"/>
  <c r="H13" i="1523" s="1"/>
  <c r="H15" i="1523" s="1"/>
  <c r="H29" i="1523" s="1"/>
  <c r="G51" i="1523" s="1"/>
  <c r="D29" i="1522"/>
  <c r="H13" i="1522" s="1"/>
  <c r="H15" i="1522" s="1"/>
  <c r="H29" i="1522" s="1"/>
  <c r="G51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L25" i="1497" l="1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D54" i="1511" s="1"/>
  <c r="H14" i="1511" s="1"/>
  <c r="R34" i="1511"/>
  <c r="L12" i="1511" s="1"/>
  <c r="D12" i="1511" s="1"/>
  <c r="H34" i="1511"/>
  <c r="G49" i="1511" s="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G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D54" i="1510" s="1"/>
  <c r="H14" i="1510" s="1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G49" i="1509" s="1"/>
  <c r="D34" i="1509"/>
  <c r="D54" i="1509" s="1"/>
  <c r="H14" i="1509" s="1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L26" i="1509"/>
  <c r="D26" i="1509" s="1"/>
  <c r="R25" i="1509"/>
  <c r="L25" i="1509"/>
  <c r="D25" i="1509" s="1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G49" i="1507" s="1"/>
  <c r="D36" i="1507"/>
  <c r="R35" i="1507"/>
  <c r="L19" i="1507" s="1"/>
  <c r="D19" i="1507" s="1"/>
  <c r="H35" i="1507"/>
  <c r="D35" i="1507"/>
  <c r="R34" i="1507"/>
  <c r="H34" i="1507"/>
  <c r="D34" i="1507"/>
  <c r="D54" i="1507" s="1"/>
  <c r="H14" i="1507" s="1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G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D54" i="1505" s="1"/>
  <c r="H14" i="1505" s="1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03" l="1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H15" i="1511" s="1"/>
  <c r="H29" i="1511" s="1"/>
  <c r="G51" i="1511" s="1"/>
  <c r="D29" i="1510"/>
  <c r="H13" i="1510" s="1"/>
  <c r="H15" i="1510" s="1"/>
  <c r="H29" i="1510" s="1"/>
  <c r="G51" i="1510"/>
  <c r="D29" i="1509"/>
  <c r="H13" i="1509" s="1"/>
  <c r="H15" i="1509" s="1"/>
  <c r="H29" i="1509" s="1"/>
  <c r="G51" i="1509" s="1"/>
  <c r="D29" i="1508"/>
  <c r="H13" i="1508" s="1"/>
  <c r="H15" i="1508" s="1"/>
  <c r="H29" i="1508" s="1"/>
  <c r="G51" i="1508" s="1"/>
  <c r="D29" i="1507"/>
  <c r="H13" i="1507" s="1"/>
  <c r="H15" i="1507" s="1"/>
  <c r="H29" i="1507" s="1"/>
  <c r="G51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03" l="1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<sst xmlns="http://schemas.openxmlformats.org/spreadsheetml/2006/main" count="12901" uniqueCount="189">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</sst>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A0F1B-2F25-45A9-A8E7-B4E47299E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635D74-61C2-443A-8254-EE13711EB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B5CDF9-FBCD-49E4-B0FB-7F5FE7875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C987CE-DF9B-4223-8269-36211B130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5F15-1AAE-4FE2-AF3A-92C2C39DD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189</v>
      </c>
      <c r="D6" s="13">
        <f t="shared" ref="D6:D28" si="1">C6*L6</f>
        <v>139293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1</v>
      </c>
      <c r="D8" s="13">
        <f t="shared" si="1"/>
        <v>1033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21</v>
      </c>
      <c r="D9" s="13">
        <f t="shared" si="1"/>
        <v>14847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f>1+1</f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f>7</f>
        <v>7</v>
      </c>
      <c r="D13" s="48">
        <f t="shared" si="1"/>
        <v>2149</v>
      </c>
      <c r="F13" s="246" t="s">
        <v>36</v>
      </c>
      <c r="G13" s="210"/>
      <c r="H13" s="201">
        <f>D29</f>
        <v>176285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18</v>
      </c>
      <c r="D14" s="31">
        <f t="shared" si="1"/>
        <v>198</v>
      </c>
      <c r="F14" s="204" t="s">
        <v>39</v>
      </c>
      <c r="G14" s="205"/>
      <c r="H14" s="206">
        <f>D54</f>
        <v>26221.5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150063.5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57">
        <v>87612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8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</v>
      </c>
      <c r="D28" s="48">
        <f t="shared" si="1"/>
        <v>785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176285</v>
      </c>
      <c r="F29" s="118" t="s">
        <v>55</v>
      </c>
      <c r="G29" s="180"/>
      <c r="H29" s="140">
        <f>H15-H16-H17-H18-H19-H20-H22-H23-H24+H26+H27+H28</f>
        <v>237675.5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2">
        <f t="shared" ref="H34:H39" si="2">F34*G34</f>
        <v>120000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62">
        <f t="shared" si="2"/>
        <v>24000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62">
        <f t="shared" si="2"/>
        <v>3500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62">
        <f t="shared" si="2"/>
        <v>250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6</v>
      </c>
      <c r="D42" s="12">
        <f>C42*2.25</f>
        <v>13.5</v>
      </c>
      <c r="F42" s="39" t="s">
        <v>79</v>
      </c>
      <c r="G42" s="162">
        <v>2143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57">
        <v>87612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3</v>
      </c>
      <c r="D45" s="12">
        <f>C45*84</f>
        <v>252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237705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22</v>
      </c>
      <c r="D50" s="12">
        <f>C50*1.5</f>
        <v>33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29.5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329</v>
      </c>
      <c r="D6" s="13">
        <f t="shared" ref="D6:D28" si="1">C6*L6</f>
        <v>242473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13</v>
      </c>
      <c r="D9" s="13">
        <f t="shared" si="1"/>
        <v>9191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10</v>
      </c>
      <c r="D13" s="48">
        <f t="shared" si="1"/>
        <v>3070</v>
      </c>
      <c r="F13" s="246" t="s">
        <v>36</v>
      </c>
      <c r="G13" s="210"/>
      <c r="H13" s="201">
        <f>D29</f>
        <v>254855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11</v>
      </c>
      <c r="D14" s="31">
        <f t="shared" si="1"/>
        <v>121</v>
      </c>
      <c r="F14" s="204" t="s">
        <v>39</v>
      </c>
      <c r="G14" s="205"/>
      <c r="H14" s="206">
        <f>D54</f>
        <v>38556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216299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1998+1071</f>
        <v>3069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254855</v>
      </c>
      <c r="F29" s="118" t="s">
        <v>55</v>
      </c>
      <c r="G29" s="180"/>
      <c r="H29" s="140">
        <f>H15-H16-H17-H18-H19-H20-H22-H23-H24+H26+H27</f>
        <v>213230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62">
        <f>F34*G34</f>
        <v>73000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62">
        <f t="shared" ref="H35:H39" si="2">F35*G35</f>
        <v>4500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2">
        <f>F36*G36</f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105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57">
        <v>134760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85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10</v>
      </c>
      <c r="D49" s="12">
        <f>C49*42</f>
        <v>420</v>
      </c>
      <c r="F49" s="138" t="s">
        <v>86</v>
      </c>
      <c r="G49" s="140">
        <f>H34+H35+H36+H37+H38+H39+H40+H41+G42+H44+H45+H46</f>
        <v>212765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10</v>
      </c>
      <c r="D50" s="12">
        <f>C50*1.5</f>
        <v>15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-465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38556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264</v>
      </c>
      <c r="D6" s="13">
        <f t="shared" ref="D6:D28" si="1">C6*L6</f>
        <v>194568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44</v>
      </c>
      <c r="D9" s="13">
        <f t="shared" si="1"/>
        <v>31108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1</f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5</v>
      </c>
      <c r="D13" s="48">
        <f t="shared" si="1"/>
        <v>1535</v>
      </c>
      <c r="F13" s="246" t="s">
        <v>36</v>
      </c>
      <c r="G13" s="210"/>
      <c r="H13" s="201">
        <f>D29</f>
        <v>237953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13</v>
      </c>
      <c r="D14" s="31">
        <f t="shared" si="1"/>
        <v>143</v>
      </c>
      <c r="F14" s="204" t="s">
        <v>39</v>
      </c>
      <c r="G14" s="205"/>
      <c r="H14" s="206">
        <f>D54</f>
        <v>37326.75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200626.25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840+990</f>
        <v>1830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5</v>
      </c>
      <c r="D28" s="48">
        <f t="shared" si="1"/>
        <v>3925</v>
      </c>
      <c r="F28" s="87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237953</v>
      </c>
      <c r="F29" s="118" t="s">
        <v>55</v>
      </c>
      <c r="G29" s="180"/>
      <c r="H29" s="140">
        <f>H15-H16-H17-H18-H19-H20-H22-H23-H24+H26+H27</f>
        <v>198796.25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62">
        <f>F34*G34</f>
        <v>103000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2">
        <f>F35*G35</f>
        <v>10000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62">
        <f t="shared" si="2"/>
        <v>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2">
        <v>521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8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57">
        <v>84520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</v>
      </c>
      <c r="D46" s="12">
        <f>C46*1.5</f>
        <v>4.5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198891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94.75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37326.75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342</v>
      </c>
      <c r="D6" s="13">
        <f t="shared" ref="D6:D28" si="1">C6*L6</f>
        <v>252054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50</v>
      </c>
      <c r="D9" s="13">
        <f t="shared" si="1"/>
        <v>35350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15</v>
      </c>
      <c r="D13" s="48">
        <f t="shared" si="1"/>
        <v>4605</v>
      </c>
      <c r="F13" s="246" t="s">
        <v>36</v>
      </c>
      <c r="G13" s="210"/>
      <c r="H13" s="201">
        <f>D29</f>
        <v>299270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</v>
      </c>
      <c r="D14" s="31">
        <f t="shared" si="1"/>
        <v>11</v>
      </c>
      <c r="F14" s="204" t="s">
        <v>39</v>
      </c>
      <c r="G14" s="205"/>
      <c r="H14" s="206">
        <f>D54</f>
        <v>49524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249746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399*9</f>
        <v>3591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299270</v>
      </c>
      <c r="F29" s="118" t="s">
        <v>55</v>
      </c>
      <c r="G29" s="180"/>
      <c r="H29" s="140">
        <f>H15-H16-H17-H18-H19-H20-H22-H23-H24+H26+H27</f>
        <v>246155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2">
        <f>F34*G34</f>
        <v>103000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2">
        <f t="shared" ref="H35:H39" si="2">F35*G35</f>
        <v>57500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62">
        <f t="shared" si="2"/>
        <v>70800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62">
        <f t="shared" si="2"/>
        <v>15250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20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31</v>
      </c>
      <c r="D49" s="12">
        <f>C49*42</f>
        <v>1302</v>
      </c>
      <c r="F49" s="138" t="s">
        <v>86</v>
      </c>
      <c r="G49" s="140">
        <f>H34+H35+H36+H37+H38+H39+H40+H41+G42+H44+H45+H46</f>
        <v>246770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615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49524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 t="s">
        <v>152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703</v>
      </c>
      <c r="D6" s="13">
        <f t="shared" ref="D6:D28" si="1">C6*L6</f>
        <v>518111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16</v>
      </c>
      <c r="D7" s="13">
        <f t="shared" si="1"/>
        <v>11600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2</v>
      </c>
      <c r="D8" s="13">
        <f t="shared" si="1"/>
        <v>2066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147</v>
      </c>
      <c r="D9" s="13">
        <f t="shared" si="1"/>
        <v>103929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3</v>
      </c>
      <c r="D11" s="13">
        <f t="shared" si="1"/>
        <v>3375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2+1</f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35</v>
      </c>
      <c r="D13" s="48">
        <f t="shared" si="1"/>
        <v>10745</v>
      </c>
      <c r="F13" s="246" t="s">
        <v>36</v>
      </c>
      <c r="G13" s="210"/>
      <c r="H13" s="201">
        <f>D29</f>
        <v>654670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4</v>
      </c>
      <c r="D14" s="31">
        <f t="shared" si="1"/>
        <v>44</v>
      </c>
      <c r="F14" s="204" t="s">
        <v>39</v>
      </c>
      <c r="G14" s="205"/>
      <c r="H14" s="206">
        <f>D54</f>
        <v>112054.5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542615.5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1794+3000+672</f>
        <v>5466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654670</v>
      </c>
      <c r="F29" s="118" t="s">
        <v>55</v>
      </c>
      <c r="G29" s="180"/>
      <c r="H29" s="140">
        <f>H15-H16-H17-H18-H19-H20-H22-H23-H24+H26+H27</f>
        <v>537149.5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62">
        <f>F34*G34</f>
        <v>29000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62">
        <f>F35*G35</f>
        <v>23000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62">
        <f t="shared" si="2"/>
        <v>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8</v>
      </c>
      <c r="D42" s="12">
        <f>C42*2.25</f>
        <v>18</v>
      </c>
      <c r="F42" s="39" t="s">
        <v>79</v>
      </c>
      <c r="G42" s="162">
        <v>40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57">
        <v>302372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57">
        <v>182588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5</v>
      </c>
      <c r="D46" s="12">
        <f>C46*1.5</f>
        <v>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8</v>
      </c>
      <c r="D49" s="12">
        <f>C49*42</f>
        <v>336</v>
      </c>
      <c r="F49" s="138" t="s">
        <v>86</v>
      </c>
      <c r="G49" s="140">
        <f>H34+H35+H36+H37+H38+H39+H40+H41+G42+H44+H45+H46</f>
        <v>537250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100.5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112054.5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 t="s">
        <v>153</v>
      </c>
      <c r="H4" s="219" t="s">
        <v>9</v>
      </c>
      <c r="I4" s="221">
        <v>45965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213</v>
      </c>
      <c r="D6" s="13">
        <f t="shared" ref="D6:D28" si="1">C6*L6</f>
        <v>156981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</v>
      </c>
      <c r="D9" s="13">
        <f t="shared" si="1"/>
        <v>7070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169353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23</v>
      </c>
      <c r="D14" s="31">
        <f t="shared" si="1"/>
        <v>253</v>
      </c>
      <c r="F14" s="204" t="s">
        <v>39</v>
      </c>
      <c r="G14" s="205"/>
      <c r="H14" s="206">
        <f>D54</f>
        <v>32837.25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136515.75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936+324</f>
        <v>1260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169353</v>
      </c>
      <c r="F29" s="118" t="s">
        <v>55</v>
      </c>
      <c r="G29" s="180"/>
      <c r="H29" s="140">
        <f>H15-H16-H17-H18-H19-H20-H22-H23-H24+H26+H27</f>
        <v>135255.75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62">
        <f>F34*G34</f>
        <v>98000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62">
        <f>F35*G35</f>
        <v>36500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62">
        <f t="shared" si="2"/>
        <v>500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22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8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25</v>
      </c>
      <c r="D46" s="12">
        <f>C46*1.5</f>
        <v>37.5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3</v>
      </c>
      <c r="D49" s="12">
        <f>C49*42</f>
        <v>126</v>
      </c>
      <c r="F49" s="138" t="s">
        <v>86</v>
      </c>
      <c r="G49" s="140">
        <f>H34+H35+H36+H37+H38+H39+H40+H41+G42+H44+H45+H46</f>
        <v>135022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20</v>
      </c>
      <c r="D50" s="12">
        <f>C50*1.5</f>
        <v>30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-233.75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32837.25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291</v>
      </c>
      <c r="D6" s="13">
        <f t="shared" ref="D6:D28" si="1">C6*L6</f>
        <v>214467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25</v>
      </c>
      <c r="D9" s="13">
        <f t="shared" si="1"/>
        <v>17675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5</v>
      </c>
      <c r="D13" s="48">
        <f t="shared" si="1"/>
        <v>1535</v>
      </c>
      <c r="F13" s="246" t="s">
        <v>36</v>
      </c>
      <c r="G13" s="210"/>
      <c r="H13" s="201">
        <f>D29</f>
        <v>238949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7</v>
      </c>
      <c r="D14" s="31">
        <f t="shared" si="1"/>
        <v>77</v>
      </c>
      <c r="F14" s="204" t="s">
        <v>39</v>
      </c>
      <c r="G14" s="205"/>
      <c r="H14" s="206">
        <f>D54</f>
        <v>35661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203288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2</v>
      </c>
      <c r="D28" s="48">
        <f t="shared" si="1"/>
        <v>1570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238949</v>
      </c>
      <c r="F29" s="118" t="s">
        <v>55</v>
      </c>
      <c r="G29" s="180"/>
      <c r="H29" s="140">
        <f>H15-H16-H17-H18-H19-H20-H22-H23-H24+H26+H27+H28</f>
        <v>203288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62">
        <f t="shared" ref="H34:H39" si="2">F34*G34</f>
        <v>119000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2">
        <f t="shared" si="2"/>
        <v>40000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62">
        <f t="shared" si="2"/>
        <v>11300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62">
        <f t="shared" si="2"/>
        <v>1500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394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157</v>
      </c>
      <c r="G44" s="62"/>
      <c r="H44" s="157">
        <v>30000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15</v>
      </c>
      <c r="D46" s="12">
        <f>C46*1.5</f>
        <v>22.5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202614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15</v>
      </c>
      <c r="D50" s="12">
        <f>C50*1.5</f>
        <v>22.5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-674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268</v>
      </c>
      <c r="D6" s="13">
        <f t="shared" ref="D6:D28" si="1">C6*L6</f>
        <v>197516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15</v>
      </c>
      <c r="D9" s="13">
        <f t="shared" si="1"/>
        <v>10605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6</v>
      </c>
      <c r="D12" s="48">
        <f t="shared" si="1"/>
        <v>5712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11</v>
      </c>
      <c r="D13" s="48">
        <f t="shared" si="1"/>
        <v>3377</v>
      </c>
      <c r="F13" s="246" t="s">
        <v>36</v>
      </c>
      <c r="G13" s="210"/>
      <c r="H13" s="201">
        <f>D29</f>
        <v>236512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7</v>
      </c>
      <c r="D14" s="31">
        <f t="shared" si="1"/>
        <v>77</v>
      </c>
      <c r="F14" s="204" t="s">
        <v>39</v>
      </c>
      <c r="G14" s="205"/>
      <c r="H14" s="206">
        <f>D54</f>
        <v>59487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177025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1683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236512</v>
      </c>
      <c r="F29" s="118" t="s">
        <v>55</v>
      </c>
      <c r="G29" s="180"/>
      <c r="H29" s="140">
        <f>H15-H16-H17-H18-H19-H20-H22-H23-H24+H26+H27</f>
        <v>175342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62">
        <f>F34*G34</f>
        <v>51000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62">
        <f t="shared" ref="H35:H39" si="2">F35*G35</f>
        <v>16500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2">
        <f>F36*G36</f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62">
        <f t="shared" si="2"/>
        <v>2700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62">
        <f t="shared" si="2"/>
        <v>1500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1024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57">
        <v>102187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175351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9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59487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238</v>
      </c>
      <c r="D6" s="13">
        <f t="shared" ref="D6:D28" si="1">C6*L6</f>
        <v>175406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3</v>
      </c>
      <c r="D7" s="13">
        <f t="shared" si="1"/>
        <v>2175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24</v>
      </c>
      <c r="D9" s="13">
        <f t="shared" si="1"/>
        <v>16968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15</v>
      </c>
      <c r="D13" s="48">
        <f t="shared" si="1"/>
        <v>4605</v>
      </c>
      <c r="F13" s="246" t="s">
        <v>36</v>
      </c>
      <c r="G13" s="210"/>
      <c r="H13" s="201">
        <f>D29</f>
        <v>202370.5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21</v>
      </c>
      <c r="D14" s="31">
        <f t="shared" si="1"/>
        <v>231</v>
      </c>
      <c r="F14" s="204" t="s">
        <v>39</v>
      </c>
      <c r="G14" s="205"/>
      <c r="H14" s="206">
        <f>D54</f>
        <v>19476.75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182893.75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864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>
        <v>12</v>
      </c>
      <c r="D26" s="48">
        <f t="shared" si="1"/>
        <v>434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202370.5</v>
      </c>
      <c r="F29" s="118" t="s">
        <v>55</v>
      </c>
      <c r="G29" s="180"/>
      <c r="H29" s="140">
        <f>H15-H16-H17-H18-H19-H20-H22-H23-H24+H26+H27</f>
        <v>182029.75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62">
        <f>F34*G34</f>
        <v>136000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2">
        <f>F35*G35</f>
        <v>38500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62">
        <f t="shared" ref="H36:H39" si="2">F36*G36</f>
        <v>800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62">
        <f t="shared" si="2"/>
        <v>6600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62">
        <f t="shared" si="2"/>
        <v>200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3</v>
      </c>
      <c r="D42" s="12">
        <f>C42*2.25</f>
        <v>6.75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15</v>
      </c>
      <c r="D46" s="12">
        <f>C46*1.5</f>
        <v>22.5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182120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38</v>
      </c>
      <c r="D50" s="12">
        <f>C50*1.5</f>
        <v>57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90.25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19476.75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134</v>
      </c>
      <c r="D6" s="13">
        <f t="shared" ref="D6:D28" si="1">C6*L6</f>
        <v>98758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6</v>
      </c>
      <c r="D9" s="13">
        <f t="shared" si="1"/>
        <v>4242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3</v>
      </c>
      <c r="D13" s="48">
        <f t="shared" si="1"/>
        <v>921</v>
      </c>
      <c r="F13" s="246" t="s">
        <v>36</v>
      </c>
      <c r="G13" s="210"/>
      <c r="H13" s="201">
        <f>D29</f>
        <v>106155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4</v>
      </c>
      <c r="D14" s="31">
        <f t="shared" si="1"/>
        <v>44</v>
      </c>
      <c r="F14" s="204" t="s">
        <v>39</v>
      </c>
      <c r="G14" s="205"/>
      <c r="H14" s="206">
        <f>D54</f>
        <v>15195.75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1</v>
      </c>
      <c r="D15" s="31">
        <f t="shared" si="1"/>
        <v>620</v>
      </c>
      <c r="F15" s="209" t="s">
        <v>40</v>
      </c>
      <c r="G15" s="210"/>
      <c r="H15" s="211">
        <f>H13-H14</f>
        <v>90959.25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2</v>
      </c>
      <c r="D28" s="48">
        <f t="shared" si="1"/>
        <v>1570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106155</v>
      </c>
      <c r="F29" s="118" t="s">
        <v>55</v>
      </c>
      <c r="G29" s="180"/>
      <c r="H29" s="140">
        <f>H15-H16-H17-H18-H19-H20-H22-H23-H24+H26+H27+H28</f>
        <v>90959.25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62">
        <f t="shared" ref="H34:H39" si="2">F34*G34</f>
        <v>81000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2">
        <f t="shared" si="2"/>
        <v>5000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62">
        <f t="shared" si="2"/>
        <v>4400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62">
        <f t="shared" si="2"/>
        <v>350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</v>
      </c>
      <c r="D42" s="12">
        <f>C42*2.25</f>
        <v>2.25</v>
      </c>
      <c r="F42" s="39" t="s">
        <v>79</v>
      </c>
      <c r="G42" s="162">
        <v>80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90830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75</v>
      </c>
      <c r="D50" s="12">
        <f>C50*1.5</f>
        <v>112.5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-129.25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196</v>
      </c>
      <c r="D6" s="13">
        <f t="shared" ref="D6:D28" si="1">C6*L6</f>
        <v>144452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</v>
      </c>
      <c r="D9" s="13">
        <f t="shared" si="1"/>
        <v>5656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4</v>
      </c>
      <c r="D13" s="48">
        <f t="shared" si="1"/>
        <v>1228</v>
      </c>
      <c r="F13" s="246" t="s">
        <v>36</v>
      </c>
      <c r="G13" s="210"/>
      <c r="H13" s="201">
        <f>D29</f>
        <v>158246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16</v>
      </c>
      <c r="D14" s="31">
        <f t="shared" si="1"/>
        <v>176</v>
      </c>
      <c r="F14" s="204" t="s">
        <v>39</v>
      </c>
      <c r="G14" s="205"/>
      <c r="H14" s="206">
        <f>D54</f>
        <v>23723.25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134522.75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656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1">
        <v>50</v>
      </c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1</v>
      </c>
      <c r="D28" s="48">
        <f t="shared" si="1"/>
        <v>785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158246</v>
      </c>
      <c r="F29" s="118" t="s">
        <v>55</v>
      </c>
      <c r="G29" s="180"/>
      <c r="H29" s="140">
        <f>H15-H16-H17-H18-H19-H20-H22-H23-H24+H26+H27</f>
        <v>133816.75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62">
        <f>F34*G34</f>
        <v>87000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62">
        <f t="shared" ref="H35:H39" si="2">F35*G35</f>
        <v>43000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62">
        <f t="shared" si="2"/>
        <v>2800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92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3</v>
      </c>
      <c r="D45" s="12">
        <f>C45*84</f>
        <v>252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13</v>
      </c>
      <c r="D46" s="12">
        <f>C46*1.5</f>
        <v>19.5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133192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36</v>
      </c>
      <c r="D50" s="12">
        <f>C50*1.5</f>
        <v>54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-624.75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23723.25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522</v>
      </c>
      <c r="D6" s="13">
        <f t="shared" ref="D6:D28" si="1">C6*L6</f>
        <v>384714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20</v>
      </c>
      <c r="D7" s="13">
        <f t="shared" si="1"/>
        <v>14500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1</v>
      </c>
      <c r="D8" s="13">
        <f t="shared" si="1"/>
        <v>1033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112</v>
      </c>
      <c r="D9" s="13">
        <f t="shared" si="1"/>
        <v>79184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26</v>
      </c>
      <c r="D13" s="48">
        <f t="shared" si="1"/>
        <v>7982</v>
      </c>
      <c r="F13" s="246" t="s">
        <v>36</v>
      </c>
      <c r="G13" s="210"/>
      <c r="H13" s="201">
        <f>D29</f>
        <v>494817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57405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1</v>
      </c>
      <c r="D15" s="31">
        <f t="shared" si="1"/>
        <v>620</v>
      </c>
      <c r="F15" s="209" t="s">
        <v>40</v>
      </c>
      <c r="G15" s="210"/>
      <c r="H15" s="211">
        <f>H13-H14</f>
        <v>437412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2250+360</f>
        <v>2610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494817</v>
      </c>
      <c r="F29" s="118" t="s">
        <v>55</v>
      </c>
      <c r="G29" s="180"/>
      <c r="H29" s="140">
        <f>H15-H16-H17-H18-H19-H20-H22-H23-H24+H26+H27</f>
        <v>434802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62">
        <f>F34*G34</f>
        <v>42000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2">
        <f>F35*G35</f>
        <v>19000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57">
        <v>226005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57">
        <v>147693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15</v>
      </c>
      <c r="D49" s="12">
        <f>C49*42</f>
        <v>630</v>
      </c>
      <c r="F49" s="138" t="s">
        <v>86</v>
      </c>
      <c r="G49" s="140">
        <f>H34+H35+H36+H37+H38+H39+H40+H41+G42+H44+H45+H46</f>
        <v>434698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</v>
      </c>
      <c r="D50" s="12">
        <f>C50*1.5</f>
        <v>3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-104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57405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257</v>
      </c>
      <c r="D6" s="13">
        <f t="shared" ref="D6:D28" si="1">C6*L6</f>
        <v>189409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5</v>
      </c>
      <c r="D8" s="13">
        <f t="shared" si="1"/>
        <v>5165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32</v>
      </c>
      <c r="D9" s="13">
        <f t="shared" si="1"/>
        <v>22624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2</v>
      </c>
      <c r="D10" s="13">
        <f t="shared" si="1"/>
        <v>1944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10</v>
      </c>
      <c r="D13" s="48">
        <f t="shared" si="1"/>
        <v>3070</v>
      </c>
      <c r="F13" s="246" t="s">
        <v>36</v>
      </c>
      <c r="G13" s="210"/>
      <c r="H13" s="201">
        <f>D29</f>
        <v>241468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35980.5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205487.5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7">
        <v>62969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7">
        <v>2504</v>
      </c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57">
        <v>72491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10</v>
      </c>
      <c r="D28" s="48">
        <f t="shared" si="1"/>
        <v>7850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241468</v>
      </c>
      <c r="F29" s="118" t="s">
        <v>55</v>
      </c>
      <c r="G29" s="180"/>
      <c r="H29" s="140">
        <f>H15-H16-H17-H18-H19-H20-H22-H23-H24+H26+H27+H28</f>
        <v>212505.5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62">
        <f t="shared" ref="H34:H39" si="2">F34*G34</f>
        <v>107000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2">
        <f t="shared" si="2"/>
        <v>15500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62">
        <f t="shared" si="2"/>
        <v>3100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62">
        <f t="shared" si="2"/>
        <v>180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51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7">
        <v>13593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157</v>
      </c>
      <c r="G45" s="62"/>
      <c r="H45" s="157">
        <v>72491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4</v>
      </c>
      <c r="D46" s="12">
        <f>C46*1.5</f>
        <v>6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212615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13</v>
      </c>
      <c r="D50" s="12">
        <f>C50*1.5</f>
        <v>19.5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109.5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211</v>
      </c>
      <c r="D6" s="13">
        <f t="shared" ref="D6:D28" si="1">C6*L6</f>
        <v>155507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</v>
      </c>
      <c r="D7" s="13">
        <f t="shared" si="1"/>
        <v>1450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138</v>
      </c>
      <c r="D9" s="13">
        <f t="shared" si="1"/>
        <v>97566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1</v>
      </c>
      <c r="D10" s="13">
        <f t="shared" si="1"/>
        <v>972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</v>
      </c>
      <c r="D13" s="48">
        <f t="shared" si="1"/>
        <v>307</v>
      </c>
      <c r="F13" s="246" t="s">
        <v>36</v>
      </c>
      <c r="G13" s="210"/>
      <c r="H13" s="201">
        <f>D29</f>
        <v>259191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17</v>
      </c>
      <c r="D14" s="31">
        <f t="shared" si="1"/>
        <v>187</v>
      </c>
      <c r="F14" s="204" t="s">
        <v>39</v>
      </c>
      <c r="G14" s="205"/>
      <c r="H14" s="206">
        <f>D54</f>
        <v>36323.25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222867.75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1608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259191</v>
      </c>
      <c r="F29" s="118" t="s">
        <v>55</v>
      </c>
      <c r="G29" s="180"/>
      <c r="H29" s="140">
        <f>H15-H16-H17-H18-H19-H20-H22-H23-H24+H26+H27</f>
        <v>221259.75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62">
        <f>F34*G34</f>
        <v>15000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62">
        <f>F35*G35</f>
        <v>42500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57">
        <v>163678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</v>
      </c>
      <c r="D46" s="12">
        <f>C46*1.5</f>
        <v>3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221178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-81.75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36323.25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45969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593</v>
      </c>
      <c r="D6" s="13">
        <f t="shared" ref="D6:D28" si="1">C6*L6</f>
        <v>437041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42</v>
      </c>
      <c r="D9" s="13">
        <f t="shared" si="1"/>
        <v>29694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23</v>
      </c>
      <c r="D13" s="48">
        <f t="shared" si="1"/>
        <v>7061</v>
      </c>
      <c r="F13" s="246" t="s">
        <v>36</v>
      </c>
      <c r="G13" s="210"/>
      <c r="H13" s="201">
        <f>D29</f>
        <v>477597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16</v>
      </c>
      <c r="D14" s="31">
        <f t="shared" si="1"/>
        <v>176</v>
      </c>
      <c r="F14" s="204" t="s">
        <v>39</v>
      </c>
      <c r="G14" s="205"/>
      <c r="H14" s="206">
        <f>D54</f>
        <v>55938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421659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>
        <f>4968</f>
        <v>4968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477597</v>
      </c>
      <c r="F29" s="118" t="s">
        <v>55</v>
      </c>
      <c r="G29" s="180"/>
      <c r="H29" s="140">
        <f>H15-H16-H17-H18-H19-H20-H22-H23-H24+H26+H27+H28</f>
        <v>416691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62">
        <f t="shared" ref="H34:H39" si="2">F34*G34</f>
        <v>206000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62">
        <f t="shared" si="2"/>
        <v>149000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83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57">
        <v>61244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7</v>
      </c>
      <c r="D46" s="12">
        <f>C46*1.5</f>
        <v>10.5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7</v>
      </c>
      <c r="D49" s="12">
        <f>C49*42</f>
        <v>294</v>
      </c>
      <c r="F49" s="138" t="s">
        <v>86</v>
      </c>
      <c r="G49" s="140">
        <f>H34+H35+H36+H37+H38+H39+H40+H41+G42+H44+H45+H46</f>
        <v>416677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45969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119</v>
      </c>
      <c r="D6" s="13">
        <f t="shared" ref="D6:D28" si="1">C6*L6</f>
        <v>87703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8</v>
      </c>
      <c r="D7" s="13">
        <f t="shared" si="1"/>
        <v>5800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17</v>
      </c>
      <c r="D9" s="13">
        <f t="shared" si="1"/>
        <v>12019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4</v>
      </c>
      <c r="D13" s="48">
        <f t="shared" si="1"/>
        <v>1228</v>
      </c>
      <c r="F13" s="246" t="s">
        <v>36</v>
      </c>
      <c r="G13" s="210"/>
      <c r="H13" s="201">
        <f>D29</f>
        <v>109447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13</v>
      </c>
      <c r="D14" s="31">
        <f t="shared" si="1"/>
        <v>143</v>
      </c>
      <c r="F14" s="204" t="s">
        <v>39</v>
      </c>
      <c r="G14" s="205"/>
      <c r="H14" s="206">
        <f>D54</f>
        <v>16447.5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92999.5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109447</v>
      </c>
      <c r="F29" s="118" t="s">
        <v>55</v>
      </c>
      <c r="G29" s="180"/>
      <c r="H29" s="140">
        <f>H15-H16-H17-H18-H19-H20-H22-H23-H24+H26+H27</f>
        <v>92999.5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62">
        <f>F34*G34</f>
        <v>67000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62">
        <f t="shared" ref="H35:H39" si="2">F35*G35</f>
        <v>15000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62">
        <f t="shared" si="2"/>
        <v>10600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197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13</v>
      </c>
      <c r="D46" s="12">
        <f>C46*1.5</f>
        <v>19.5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93047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6</v>
      </c>
      <c r="D50" s="12">
        <f>C50*1.5</f>
        <v>9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47.5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16447.5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45969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313</v>
      </c>
      <c r="D6" s="13">
        <f t="shared" ref="D6:D28" si="1">C6*L6</f>
        <v>230681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18</v>
      </c>
      <c r="D7" s="13">
        <f t="shared" si="1"/>
        <v>13050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40</v>
      </c>
      <c r="D9" s="13">
        <f t="shared" si="1"/>
        <v>28280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287432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35280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252152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690+306+1020</f>
        <v>2016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287432</v>
      </c>
      <c r="F29" s="118" t="s">
        <v>55</v>
      </c>
      <c r="G29" s="180"/>
      <c r="H29" s="140">
        <f>H15-H16-H17-H18-H19-H20-H22-H23-H24+H26+H27</f>
        <v>250136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62">
        <f>F34*G34</f>
        <v>225000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2">
        <f>F35*G35</f>
        <v>24500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62">
        <f t="shared" si="2"/>
        <v>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757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15</v>
      </c>
      <c r="D46" s="12">
        <f>C46*1.5</f>
        <v>22.5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7</v>
      </c>
      <c r="D49" s="12">
        <f>C49*42</f>
        <v>294</v>
      </c>
      <c r="F49" s="138" t="s">
        <v>86</v>
      </c>
      <c r="G49" s="140">
        <f>H34+H35+H36+H37+H38+H39+H40+H41+G42+H44+H45+H46</f>
        <v>250757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621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35280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104</v>
      </c>
      <c r="D6" s="13">
        <f t="shared" ref="D6:D28" si="1">C6*L6</f>
        <v>76648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8</v>
      </c>
      <c r="D7" s="13">
        <f t="shared" si="1"/>
        <v>5800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2</v>
      </c>
      <c r="D8" s="13">
        <f t="shared" si="1"/>
        <v>2066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6</v>
      </c>
      <c r="D9" s="13">
        <f t="shared" si="1"/>
        <v>4242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2</v>
      </c>
      <c r="D10" s="13">
        <f t="shared" si="1"/>
        <v>1944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</v>
      </c>
      <c r="D13" s="48">
        <f t="shared" si="1"/>
        <v>307</v>
      </c>
      <c r="F13" s="246" t="s">
        <v>36</v>
      </c>
      <c r="G13" s="210"/>
      <c r="H13" s="201">
        <f>D29</f>
        <v>95117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13</v>
      </c>
      <c r="D14" s="31">
        <f t="shared" si="1"/>
        <v>143</v>
      </c>
      <c r="F14" s="204" t="s">
        <v>39</v>
      </c>
      <c r="G14" s="205"/>
      <c r="H14" s="206">
        <f>D54</f>
        <v>13739.25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2</v>
      </c>
      <c r="D15" s="31">
        <f t="shared" si="1"/>
        <v>1240</v>
      </c>
      <c r="F15" s="209" t="s">
        <v>40</v>
      </c>
      <c r="G15" s="210"/>
      <c r="H15" s="211">
        <f>H13-H14</f>
        <v>81377.75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9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95117</v>
      </c>
      <c r="F29" s="118" t="s">
        <v>55</v>
      </c>
      <c r="G29" s="180"/>
      <c r="H29" s="140">
        <f>H15-H16-H17-H18-H19-H20-H22-H23-H24+H26+H27+H28</f>
        <v>81377.75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62">
        <f t="shared" ref="H34:H39" si="2">F34*G34</f>
        <v>49000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 t="shared" si="2"/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62">
        <f t="shared" si="2"/>
        <v>400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62">
        <f t="shared" si="2"/>
        <v>1700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62">
        <f t="shared" si="2"/>
        <v>1350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38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7">
        <v>21910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3</v>
      </c>
      <c r="D45" s="12">
        <f>C45*84</f>
        <v>252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14</v>
      </c>
      <c r="D46" s="12">
        <f>C46*1.5</f>
        <v>21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81398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14</v>
      </c>
      <c r="D50" s="12">
        <f>C50*1.5</f>
        <v>21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20.25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173</v>
      </c>
      <c r="D6" s="13">
        <f t="shared" ref="D6:D28" si="1">C6*L6</f>
        <v>127501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7</v>
      </c>
      <c r="D7" s="13">
        <f t="shared" si="1"/>
        <v>5075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23</v>
      </c>
      <c r="D9" s="13">
        <f t="shared" si="1"/>
        <v>16261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1+1+1</f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6</v>
      </c>
      <c r="D13" s="48">
        <f t="shared" si="1"/>
        <v>1842</v>
      </c>
      <c r="F13" s="246" t="s">
        <v>36</v>
      </c>
      <c r="G13" s="210"/>
      <c r="H13" s="201">
        <f>D29</f>
        <v>153590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5</v>
      </c>
      <c r="D14" s="31">
        <f t="shared" si="1"/>
        <v>55</v>
      </c>
      <c r="F14" s="204" t="s">
        <v>39</v>
      </c>
      <c r="G14" s="205"/>
      <c r="H14" s="206">
        <f>D54</f>
        <v>23355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130235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153590</v>
      </c>
      <c r="F29" s="118" t="s">
        <v>55</v>
      </c>
      <c r="G29" s="180"/>
      <c r="H29" s="140">
        <f>H15-H16-H17-H18-H19-H20-H22-H23-H24+H26+H27</f>
        <v>130235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2">
        <f>F34*G34</f>
        <v>103000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2">
        <f t="shared" ref="H35:H39" si="2">F35*G35</f>
        <v>19000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62">
        <f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62">
        <f t="shared" si="2"/>
        <v>2400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62">
        <f t="shared" si="2"/>
        <v>1100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4</v>
      </c>
      <c r="D42" s="12">
        <f>C42*2.25</f>
        <v>9</v>
      </c>
      <c r="F42" s="39" t="s">
        <v>79</v>
      </c>
      <c r="G42" s="162">
        <v>232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57">
        <v>3118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8</v>
      </c>
      <c r="D46" s="12">
        <f>C46*1.5</f>
        <v>12</v>
      </c>
      <c r="F46" s="37"/>
      <c r="G46" s="9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129070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10</v>
      </c>
      <c r="D50" s="12">
        <f>C50*1.5</f>
        <v>15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-1165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23355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261</v>
      </c>
      <c r="D6" s="13">
        <f t="shared" ref="D6:D28" si="1">C6*L6</f>
        <v>192357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72</v>
      </c>
      <c r="D9" s="13">
        <f t="shared" si="1"/>
        <v>50904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3</v>
      </c>
      <c r="D11" s="13">
        <f t="shared" si="1"/>
        <v>3375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f>5+3</f>
        <v>8</v>
      </c>
      <c r="D12" s="48">
        <f t="shared" si="1"/>
        <v>7616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259983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17</v>
      </c>
      <c r="D14" s="31">
        <f t="shared" si="1"/>
        <v>187</v>
      </c>
      <c r="F14" s="204" t="s">
        <v>39</v>
      </c>
      <c r="G14" s="205"/>
      <c r="H14" s="206">
        <f>D54</f>
        <v>44370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3</v>
      </c>
      <c r="D15" s="31">
        <f t="shared" si="1"/>
        <v>1860</v>
      </c>
      <c r="F15" s="209" t="s">
        <v>40</v>
      </c>
      <c r="G15" s="210"/>
      <c r="H15" s="211">
        <f>H13-H14</f>
        <v>215613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1248</f>
        <v>1248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9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259983</v>
      </c>
      <c r="F29" s="118" t="s">
        <v>55</v>
      </c>
      <c r="G29" s="180"/>
      <c r="H29" s="140">
        <f>H15-H16-H17-H18-H19-H20-H22-H23-H24+H26+H27</f>
        <v>214365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62">
        <f>F34*G34</f>
        <v>25000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97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9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57">
        <v>125184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57">
        <v>56466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6</v>
      </c>
      <c r="D49" s="12">
        <f>C49*42</f>
        <v>252</v>
      </c>
      <c r="F49" s="138" t="s">
        <v>86</v>
      </c>
      <c r="G49" s="140">
        <f>H34+H35+H36+H37+H38+H39+H40+H41+G42+H44+H45+H46</f>
        <v>214147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-218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44370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301</v>
      </c>
      <c r="D6" s="13">
        <f t="shared" ref="D6:D28" si="1">C6*L6</f>
        <v>221837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12</v>
      </c>
      <c r="D7" s="13">
        <f t="shared" si="1"/>
        <v>8700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21</v>
      </c>
      <c r="D9" s="13">
        <f t="shared" si="1"/>
        <v>14847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f>2+1</f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5</v>
      </c>
      <c r="D13" s="48">
        <f t="shared" si="1"/>
        <v>1535</v>
      </c>
      <c r="F13" s="246" t="s">
        <v>36</v>
      </c>
      <c r="G13" s="210"/>
      <c r="H13" s="201">
        <f>D29</f>
        <v>256893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19</v>
      </c>
      <c r="D14" s="31">
        <f t="shared" si="1"/>
        <v>209</v>
      </c>
      <c r="F14" s="204" t="s">
        <v>39</v>
      </c>
      <c r="G14" s="205"/>
      <c r="H14" s="206">
        <f>D54</f>
        <v>38674.5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218218.5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169</v>
      </c>
      <c r="C26" s="89">
        <v>12</v>
      </c>
      <c r="D26" s="48">
        <f t="shared" si="1"/>
        <v>444</v>
      </c>
      <c r="F26" s="75"/>
      <c r="G26" s="65"/>
      <c r="H26" s="157"/>
      <c r="I26" s="157"/>
      <c r="J26" s="157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3</v>
      </c>
      <c r="D28" s="48">
        <f t="shared" si="1"/>
        <v>2355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256893</v>
      </c>
      <c r="F29" s="118" t="s">
        <v>55</v>
      </c>
      <c r="G29" s="180"/>
      <c r="H29" s="140">
        <f>H15-H16-H17-H18-H19-H20-H22-H23-H24+H26+H27+H28</f>
        <v>218218.5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162">
        <f t="shared" ref="H34:H39" si="2">F34*G34</f>
        <v>176000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162">
        <f t="shared" si="2"/>
        <v>24500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162">
        <f t="shared" si="2"/>
        <v>600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162">
        <f t="shared" si="2"/>
        <v>6100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162">
        <f t="shared" si="2"/>
        <v>1000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8</v>
      </c>
      <c r="D42" s="12">
        <f>C42*2.25</f>
        <v>18</v>
      </c>
      <c r="F42" s="39" t="s">
        <v>79</v>
      </c>
      <c r="G42" s="162">
        <v>2146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7">
        <v>3177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57">
        <v>3756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217279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39</v>
      </c>
      <c r="D50" s="12">
        <f>C50*1.5</f>
        <v>58.5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-939.5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539</v>
      </c>
      <c r="D6" s="13">
        <f t="shared" ref="D6:D28" si="1">C6*L6</f>
        <v>397243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50</v>
      </c>
      <c r="D9" s="13">
        <f t="shared" si="1"/>
        <v>35350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24</v>
      </c>
      <c r="D13" s="48">
        <f t="shared" si="1"/>
        <v>7368</v>
      </c>
      <c r="F13" s="246" t="s">
        <v>36</v>
      </c>
      <c r="G13" s="210"/>
      <c r="H13" s="201">
        <f>D29</f>
        <v>440093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12</v>
      </c>
      <c r="D14" s="31">
        <f t="shared" si="1"/>
        <v>132</v>
      </c>
      <c r="F14" s="204" t="s">
        <v>39</v>
      </c>
      <c r="G14" s="205"/>
      <c r="H14" s="206">
        <f>D54</f>
        <v>61989.75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378103.25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5517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440093</v>
      </c>
      <c r="F29" s="118" t="s">
        <v>55</v>
      </c>
      <c r="G29" s="180"/>
      <c r="H29" s="140">
        <f>H15-H16-H17-H18-H19-H20-H22-H23-H24+H26+H27</f>
        <v>372586.25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62">
        <f>F34*G34</f>
        <v>104000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162">
        <f t="shared" ref="H35:H39" si="2">F35*G35</f>
        <v>269500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162">
        <f t="shared" si="2"/>
        <v>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62">
        <f t="shared" si="2"/>
        <v>250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50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13</v>
      </c>
      <c r="D46" s="12">
        <f>C46*1.5</f>
        <v>19.5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9</v>
      </c>
      <c r="D49" s="12">
        <f>C49*42</f>
        <v>378</v>
      </c>
      <c r="F49" s="138" t="s">
        <v>86</v>
      </c>
      <c r="G49" s="140">
        <f>H34+H35+H36+H37+H38+H39+H40+H41+G42+H44+H45+H46</f>
        <v>373920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</v>
      </c>
      <c r="D50" s="12">
        <f>C50*1.5</f>
        <v>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1333.75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61989.75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247</v>
      </c>
      <c r="D6" s="13">
        <f t="shared" ref="D6:D28" si="1">C6*L6</f>
        <v>182039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16</v>
      </c>
      <c r="D7" s="13">
        <f t="shared" si="1"/>
        <v>11600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30</v>
      </c>
      <c r="D9" s="13">
        <f t="shared" si="1"/>
        <v>21210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218610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7</v>
      </c>
      <c r="D14" s="31">
        <f t="shared" si="1"/>
        <v>77</v>
      </c>
      <c r="F14" s="204" t="s">
        <v>39</v>
      </c>
      <c r="G14" s="205"/>
      <c r="H14" s="206">
        <f>D54</f>
        <v>20649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197961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960+402+282</f>
        <v>1644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f>50+50</f>
        <v>100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218610</v>
      </c>
      <c r="F29" s="118" t="s">
        <v>55</v>
      </c>
      <c r="G29" s="180"/>
      <c r="H29" s="140">
        <f>H15-H16-H17-H18-H19-H20-H22-H23-H24+H26+H27</f>
        <v>196217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62">
        <f>F34*G34</f>
        <v>180000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62">
        <f>F35*G35</f>
        <v>1500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62">
        <f t="shared" ref="H36:H39" si="2">F36*G36</f>
        <v>800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162">
        <f t="shared" si="2"/>
        <v>10600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162">
        <f t="shared" si="2"/>
        <v>3050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6</v>
      </c>
      <c r="D42" s="12">
        <f>C42*2.25</f>
        <v>13.5</v>
      </c>
      <c r="F42" s="39" t="s">
        <v>79</v>
      </c>
      <c r="G42" s="162">
        <v>73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4</v>
      </c>
      <c r="D49" s="12">
        <f>C49*42</f>
        <v>168</v>
      </c>
      <c r="F49" s="138" t="s">
        <v>86</v>
      </c>
      <c r="G49" s="140">
        <f>H34+H35+H36+H37+H38+H39+H40+H41+G42+H44+H45+H46</f>
        <v>196043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-174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20649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215</v>
      </c>
      <c r="D6" s="13">
        <f t="shared" ref="D6:D28" si="1">C6*L6</f>
        <v>158455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1</v>
      </c>
      <c r="D8" s="13">
        <f t="shared" si="1"/>
        <v>1033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21</v>
      </c>
      <c r="D9" s="13">
        <f t="shared" si="1"/>
        <v>14847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11</v>
      </c>
      <c r="D13" s="48">
        <f t="shared" si="1"/>
        <v>3377</v>
      </c>
      <c r="F13" s="246" t="s">
        <v>36</v>
      </c>
      <c r="G13" s="210"/>
      <c r="H13" s="201">
        <f>D29</f>
        <v>189411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12</v>
      </c>
      <c r="D14" s="31">
        <f t="shared" si="1"/>
        <v>132</v>
      </c>
      <c r="F14" s="204" t="s">
        <v>39</v>
      </c>
      <c r="G14" s="205"/>
      <c r="H14" s="206">
        <f>D54</f>
        <v>29274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160137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7">
        <v>66744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57">
        <v>62969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9">
        <v>2504</v>
      </c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2</v>
      </c>
      <c r="D28" s="48">
        <f t="shared" si="1"/>
        <v>1570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189411</v>
      </c>
      <c r="F29" s="118" t="s">
        <v>55</v>
      </c>
      <c r="G29" s="180"/>
      <c r="H29" s="140">
        <f>H15-H16-H17-H18-H19-H20-H22-H23-H24+H26+H27+H28</f>
        <v>158866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62">
        <f t="shared" ref="H34:H39" si="2">F34*G34</f>
        <v>71000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2">
        <f t="shared" si="2"/>
        <v>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162">
        <f t="shared" si="2"/>
        <v>8600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162">
        <f t="shared" si="2"/>
        <v>1900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2">
        <v>38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57">
        <v>3804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57">
        <v>62969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57">
        <v>2504</v>
      </c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159815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949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207</v>
      </c>
      <c r="D6" s="13">
        <f t="shared" ref="D6:D28" si="1">C6*L6</f>
        <v>152559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</v>
      </c>
      <c r="D9" s="13">
        <f t="shared" si="1"/>
        <v>7070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8</v>
      </c>
      <c r="D13" s="48">
        <f t="shared" si="1"/>
        <v>2456</v>
      </c>
      <c r="F13" s="246" t="s">
        <v>36</v>
      </c>
      <c r="G13" s="210"/>
      <c r="H13" s="201">
        <f>D29</f>
        <v>162338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23</v>
      </c>
      <c r="D14" s="31">
        <f t="shared" si="1"/>
        <v>253</v>
      </c>
      <c r="F14" s="204" t="s">
        <v>39</v>
      </c>
      <c r="G14" s="205"/>
      <c r="H14" s="206">
        <f>D54</f>
        <v>21364.5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140973.5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1863</f>
        <v>1863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162338</v>
      </c>
      <c r="F29" s="118" t="s">
        <v>55</v>
      </c>
      <c r="G29" s="180"/>
      <c r="H29" s="140">
        <f>H15-H16-H17-H18-H19-H20-H22-H23-H24+H26+H27</f>
        <v>139110.5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162">
        <f>F34*G34</f>
        <v>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2">
        <f t="shared" ref="H35:H39" si="2">F35*G35</f>
        <v>1000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162">
        <f t="shared" si="2"/>
        <v>600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67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57">
        <v>128294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139111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</v>
      </c>
      <c r="D50" s="12">
        <f>C50*1.5</f>
        <v>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0.5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21364.5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171</v>
      </c>
      <c r="D6" s="13">
        <f t="shared" ref="D6:D28" si="1">C6*L6</f>
        <v>126027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6</v>
      </c>
      <c r="D7" s="13">
        <f t="shared" si="1"/>
        <v>4350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24</v>
      </c>
      <c r="D9" s="13">
        <f t="shared" si="1"/>
        <v>16968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2</v>
      </c>
      <c r="D12" s="48">
        <f t="shared" si="1"/>
        <v>1904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156308.5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22</v>
      </c>
      <c r="D14" s="31">
        <f t="shared" si="1"/>
        <v>242</v>
      </c>
      <c r="F14" s="204" t="s">
        <v>39</v>
      </c>
      <c r="G14" s="205"/>
      <c r="H14" s="206">
        <f>D54</f>
        <v>35391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>
        <v>1</v>
      </c>
      <c r="D15" s="31">
        <f t="shared" si="1"/>
        <v>620</v>
      </c>
      <c r="F15" s="209" t="s">
        <v>40</v>
      </c>
      <c r="G15" s="210"/>
      <c r="H15" s="211">
        <f>H13-H14</f>
        <v>120917.5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52*6</f>
        <v>312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>
        <v>12</v>
      </c>
      <c r="D26" s="48">
        <f t="shared" si="1"/>
        <v>434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4</v>
      </c>
      <c r="D28" s="48">
        <f t="shared" si="1"/>
        <v>3140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156308.5</v>
      </c>
      <c r="F29" s="118" t="s">
        <v>55</v>
      </c>
      <c r="G29" s="180"/>
      <c r="H29" s="140">
        <f>H15-H16-H17-H18-H19-H20-H22-H23-H24+H26+H27</f>
        <v>120555.5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162">
        <f>F34*G34</f>
        <v>77000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162">
        <f>F35*G35</f>
        <v>37500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162">
        <f t="shared" ref="H36:H39" si="2"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162">
        <f t="shared" si="2"/>
        <v>2700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162">
        <f t="shared" si="2"/>
        <v>2800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383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10</v>
      </c>
      <c r="D46" s="12">
        <f>C46*1.5</f>
        <v>15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120603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47.5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35391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249</v>
      </c>
      <c r="D6" s="13">
        <f t="shared" ref="D6:D28" si="1">C6*L6</f>
        <v>183513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7</v>
      </c>
      <c r="D9" s="13">
        <f t="shared" si="1"/>
        <v>4949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191305.5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20</v>
      </c>
      <c r="D14" s="31">
        <f t="shared" si="1"/>
        <v>220</v>
      </c>
      <c r="F14" s="204" t="s">
        <v>39</v>
      </c>
      <c r="G14" s="205"/>
      <c r="H14" s="206">
        <f>D54</f>
        <v>59463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131842.5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1998</f>
        <v>1998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191305.5</v>
      </c>
      <c r="F29" s="118" t="s">
        <v>55</v>
      </c>
      <c r="G29" s="180"/>
      <c r="H29" s="140">
        <f>H15-H16-H17-H18-H19-H20-H22-H23-H24+H26+H27</f>
        <v>129844.5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162">
        <f>F34*G34</f>
        <v>18000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2">
        <f t="shared" ref="H35:H39" si="2">F35*G35</f>
        <v>5000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162">
        <f t="shared" si="2"/>
        <v>2200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57">
        <v>104376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32</v>
      </c>
      <c r="D46" s="12">
        <f>C46*1.5</f>
        <v>48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26</v>
      </c>
      <c r="D49" s="12">
        <f>C49*42</f>
        <v>1092</v>
      </c>
      <c r="F49" s="138" t="s">
        <v>86</v>
      </c>
      <c r="G49" s="140">
        <f>H34+H35+H36+H37+H38+H39+H40+H41+G42+H44+H45+H46</f>
        <v>129876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12</v>
      </c>
      <c r="D50" s="12">
        <f>C50*1.5</f>
        <v>18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31.5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59463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45974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281</v>
      </c>
      <c r="D6" s="13">
        <f t="shared" ref="D6:D28" si="1">C6*L6</f>
        <v>207097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59</v>
      </c>
      <c r="D9" s="13">
        <f t="shared" si="1"/>
        <v>41713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5</v>
      </c>
      <c r="D11" s="13">
        <f t="shared" si="1"/>
        <v>5625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14</v>
      </c>
      <c r="D13" s="48">
        <f t="shared" si="1"/>
        <v>4298</v>
      </c>
      <c r="F13" s="246" t="s">
        <v>36</v>
      </c>
      <c r="G13" s="210"/>
      <c r="H13" s="201">
        <f>D29</f>
        <v>266979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4</v>
      </c>
      <c r="D14" s="31">
        <f t="shared" si="1"/>
        <v>44</v>
      </c>
      <c r="F14" s="204" t="s">
        <v>39</v>
      </c>
      <c r="G14" s="205"/>
      <c r="H14" s="206">
        <f>D54</f>
        <v>20738.25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246240.75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1590+312</f>
        <v>1902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266979</v>
      </c>
      <c r="F29" s="118" t="s">
        <v>55</v>
      </c>
      <c r="G29" s="180"/>
      <c r="H29" s="140">
        <f>H15-H16-H17-H18-H19-H20-H22-H23-H24+H26+H27</f>
        <v>244338.75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2">
        <f>F34*G34</f>
        <v>44000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62">
        <f>F35*G35</f>
        <v>19500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162">
        <f t="shared" si="2"/>
        <v>400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2">
        <v>33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57">
        <v>180501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244554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40</v>
      </c>
      <c r="D50" s="12">
        <f>C50*1.5</f>
        <v>60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215.25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20738.25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45</v>
      </c>
      <c r="D6" s="13">
        <f t="shared" ref="D6:D28" si="1">C6*L6</f>
        <v>33165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7</v>
      </c>
      <c r="D7" s="13">
        <f t="shared" si="1"/>
        <v>5075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45</v>
      </c>
      <c r="D8" s="13">
        <f t="shared" si="1"/>
        <v>46485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9</v>
      </c>
      <c r="D9" s="13">
        <f t="shared" si="1"/>
        <v>6363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6</v>
      </c>
      <c r="D11" s="13">
        <f t="shared" si="1"/>
        <v>6750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7</v>
      </c>
      <c r="D12" s="48">
        <f t="shared" si="1"/>
        <v>6664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1</v>
      </c>
      <c r="D13" s="48">
        <f t="shared" si="1"/>
        <v>307</v>
      </c>
      <c r="F13" s="246" t="s">
        <v>36</v>
      </c>
      <c r="G13" s="210"/>
      <c r="H13" s="201">
        <f>D29</f>
        <v>109025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2</v>
      </c>
      <c r="D14" s="31">
        <f t="shared" si="1"/>
        <v>22</v>
      </c>
      <c r="F14" s="204" t="s">
        <v>39</v>
      </c>
      <c r="G14" s="205"/>
      <c r="H14" s="206">
        <f>D54</f>
        <v>14175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94850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169</v>
      </c>
      <c r="C26" s="89">
        <v>12</v>
      </c>
      <c r="D26" s="48">
        <f t="shared" si="1"/>
        <v>444</v>
      </c>
      <c r="F26" s="75"/>
      <c r="G26" s="65"/>
      <c r="H26" s="157"/>
      <c r="I26" s="157"/>
      <c r="J26" s="157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109025</v>
      </c>
      <c r="F29" s="118" t="s">
        <v>55</v>
      </c>
      <c r="G29" s="180"/>
      <c r="H29" s="140">
        <f>H15-H16-H17-H18-H19-H20-H22-H23-H24+H26+H27+H28</f>
        <v>94850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162">
        <f t="shared" ref="H34:H39" si="2">F34*G34</f>
        <v>76000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4</v>
      </c>
      <c r="D42" s="12">
        <f>C42*2.25</f>
        <v>9</v>
      </c>
      <c r="F42" s="39" t="s">
        <v>79</v>
      </c>
      <c r="G42" s="162">
        <v>2220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57">
        <v>13450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57">
        <v>3249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39</v>
      </c>
      <c r="D46" s="12">
        <f>C46*1.5</f>
        <v>58.5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95169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21</v>
      </c>
      <c r="D50" s="12">
        <f>C50*1.5</f>
        <v>31.5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319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186</v>
      </c>
      <c r="D6" s="13">
        <f t="shared" ref="D6:D28" si="1">C6*L6</f>
        <v>137082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9</v>
      </c>
      <c r="D7" s="13">
        <f t="shared" si="1"/>
        <v>6525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</v>
      </c>
      <c r="D9" s="13">
        <f t="shared" si="1"/>
        <v>5656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7</v>
      </c>
      <c r="D13" s="48">
        <f t="shared" si="1"/>
        <v>2149</v>
      </c>
      <c r="F13" s="246" t="s">
        <v>36</v>
      </c>
      <c r="G13" s="210"/>
      <c r="H13" s="201">
        <f>D29</f>
        <v>151412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23467.5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127944.5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83*8</f>
        <v>664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151412</v>
      </c>
      <c r="F29" s="118" t="s">
        <v>55</v>
      </c>
      <c r="G29" s="180"/>
      <c r="H29" s="140">
        <f>H15-H16-H17-H18-H19-H20-H22-H23-H24+H26+H27</f>
        <v>127280.5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162">
        <f>F34*G34</f>
        <v>76000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2">
        <f t="shared" ref="H35:H39" si="2">F35*G35</f>
        <v>38500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2">
        <f>F36*G36</f>
        <v>600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162">
        <f t="shared" si="2"/>
        <v>8000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162">
        <f t="shared" si="2"/>
        <v>4100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60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11</v>
      </c>
      <c r="D46" s="12">
        <f>C46*1.5</f>
        <v>16.5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3</v>
      </c>
      <c r="D49" s="12">
        <f>C49*42</f>
        <v>126</v>
      </c>
      <c r="F49" s="138" t="s">
        <v>86</v>
      </c>
      <c r="G49" s="140">
        <f>H34+H35+H36+H37+H38+H39+H40+H41+G42+H44+H45+H46</f>
        <v>127300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22</v>
      </c>
      <c r="D50" s="12">
        <f>C50*1.5</f>
        <v>33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19.5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23467.5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399</v>
      </c>
      <c r="D6" s="13">
        <f t="shared" ref="D6:D28" si="1">C6*L6</f>
        <v>294063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15</v>
      </c>
      <c r="D7" s="13">
        <f t="shared" si="1"/>
        <v>10875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82</v>
      </c>
      <c r="D9" s="13">
        <f t="shared" si="1"/>
        <v>57974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18</v>
      </c>
      <c r="D13" s="48">
        <f t="shared" si="1"/>
        <v>5526</v>
      </c>
      <c r="F13" s="246" t="s">
        <v>36</v>
      </c>
      <c r="G13" s="210"/>
      <c r="H13" s="201">
        <f>D29</f>
        <v>371682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41797.5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329884.5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156*6+1752+414</f>
        <v>3102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87">
        <v>110586</v>
      </c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371682</v>
      </c>
      <c r="F29" s="118" t="s">
        <v>55</v>
      </c>
      <c r="G29" s="180"/>
      <c r="H29" s="140">
        <f>H15-H16-H17-H18-H19-H20-H22-H23-H24+H26+H27</f>
        <v>216196.5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162">
        <f>F34*G34</f>
        <v>33000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 t="shared" ref="H36:H39" si="2"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162">
        <f t="shared" si="2"/>
        <v>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2">
        <v>30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57">
        <v>175156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215656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-540.5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41797.5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205</v>
      </c>
      <c r="D6" s="13">
        <f t="shared" ref="D6:D28" si="1">C6*L6</f>
        <v>151085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>
        <v>1</v>
      </c>
      <c r="D8" s="13">
        <f t="shared" si="1"/>
        <v>1033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29</v>
      </c>
      <c r="D9" s="13">
        <f t="shared" si="1"/>
        <v>20503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2</v>
      </c>
      <c r="D10" s="13">
        <f t="shared" si="1"/>
        <v>1944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6</v>
      </c>
      <c r="D13" s="48">
        <f t="shared" si="1"/>
        <v>1842</v>
      </c>
      <c r="F13" s="246" t="s">
        <v>36</v>
      </c>
      <c r="G13" s="210"/>
      <c r="H13" s="201">
        <f>D29</f>
        <v>181692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15</v>
      </c>
      <c r="D14" s="31">
        <f t="shared" si="1"/>
        <v>165</v>
      </c>
      <c r="F14" s="204" t="s">
        <v>39</v>
      </c>
      <c r="G14" s="205"/>
      <c r="H14" s="206">
        <f>D54</f>
        <v>27591.75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154100.25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2</v>
      </c>
      <c r="D28" s="48">
        <f t="shared" si="1"/>
        <v>1570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181692</v>
      </c>
      <c r="F29" s="118" t="s">
        <v>55</v>
      </c>
      <c r="G29" s="180"/>
      <c r="H29" s="140">
        <f>H15-H16-H17-H18-H19-H20-H22-H23-H24+H26+H27</f>
        <v>154100.25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162">
        <f>F34*G34</f>
        <v>95000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62">
        <f t="shared" ref="H35:H39" si="2">F35*G35</f>
        <v>30500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162">
        <f>F36*G36</f>
        <v>1200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162">
        <f t="shared" si="2"/>
        <v>1700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162">
        <f t="shared" si="2"/>
        <v>700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21</v>
      </c>
      <c r="D42" s="12">
        <f>C42*2.25</f>
        <v>47.25</v>
      </c>
      <c r="F42" s="39" t="s">
        <v>79</v>
      </c>
      <c r="G42" s="162">
        <v>2431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57">
        <v>22576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4</v>
      </c>
      <c r="D46" s="12">
        <f>C46*1.5</f>
        <v>6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154107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16</v>
      </c>
      <c r="D50" s="12">
        <f>C50*1.5</f>
        <v>24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6.75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27591.75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521</v>
      </c>
      <c r="D6" s="13">
        <f t="shared" ref="D6:D28" si="1">C6*L6</f>
        <v>383977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180</v>
      </c>
      <c r="D9" s="13">
        <f t="shared" si="1"/>
        <v>127260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27</v>
      </c>
      <c r="D13" s="48">
        <f t="shared" si="1"/>
        <v>8289</v>
      </c>
      <c r="F13" s="246" t="s">
        <v>36</v>
      </c>
      <c r="G13" s="210"/>
      <c r="H13" s="201">
        <f>D29</f>
        <v>523772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14</v>
      </c>
      <c r="D14" s="31">
        <f t="shared" si="1"/>
        <v>154</v>
      </c>
      <c r="F14" s="204" t="s">
        <v>39</v>
      </c>
      <c r="G14" s="205"/>
      <c r="H14" s="206">
        <f>D54</f>
        <v>42216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481556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750+312+3120</f>
        <v>4182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4</v>
      </c>
      <c r="D28" s="48">
        <f t="shared" si="1"/>
        <v>3140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523772</v>
      </c>
      <c r="F29" s="118" t="s">
        <v>55</v>
      </c>
      <c r="G29" s="180"/>
      <c r="H29" s="140">
        <f>H15-H16-H17-H18-H19-H20-H22-H23-H24+H26+H27</f>
        <v>477374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162">
        <f>F34*G34</f>
        <v>97000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62">
        <f>F35*G35</f>
        <v>14000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162">
        <f t="shared" si="2"/>
        <v>10000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162">
        <f t="shared" si="2"/>
        <v>450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149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57">
        <v>351432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6</v>
      </c>
      <c r="D46" s="12">
        <f>C46*1.5</f>
        <v>9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6</v>
      </c>
      <c r="D49" s="12">
        <f>C49*42</f>
        <v>252</v>
      </c>
      <c r="F49" s="138" t="s">
        <v>86</v>
      </c>
      <c r="G49" s="140">
        <f>H34+H35+H36+H37+H38+H39+H40+H41+G42+H44+H45+H46</f>
        <v>473031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21</v>
      </c>
      <c r="D50" s="12">
        <f>C50*1.5</f>
        <v>31.5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-4343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42216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266</v>
      </c>
      <c r="D6" s="13">
        <f t="shared" ref="D6:D28" si="1">C6*L6</f>
        <v>196042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9</v>
      </c>
      <c r="D7" s="13">
        <f t="shared" si="1"/>
        <v>6525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16</v>
      </c>
      <c r="D9" s="13">
        <f t="shared" si="1"/>
        <v>11312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</v>
      </c>
      <c r="D11" s="13">
        <f t="shared" si="1"/>
        <v>1125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7</v>
      </c>
      <c r="D13" s="48">
        <f t="shared" si="1"/>
        <v>2149</v>
      </c>
      <c r="F13" s="246" t="s">
        <v>36</v>
      </c>
      <c r="G13" s="210"/>
      <c r="H13" s="201">
        <f>D29</f>
        <v>220870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15</v>
      </c>
      <c r="D14" s="31">
        <f t="shared" si="1"/>
        <v>165</v>
      </c>
      <c r="F14" s="204" t="s">
        <v>39</v>
      </c>
      <c r="G14" s="205"/>
      <c r="H14" s="206">
        <f>D54</f>
        <v>31911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v>1</v>
      </c>
      <c r="D15" s="31">
        <f t="shared" si="1"/>
        <v>620</v>
      </c>
      <c r="F15" s="209" t="s">
        <v>40</v>
      </c>
      <c r="G15" s="210"/>
      <c r="H15" s="211">
        <f>H13-H14</f>
        <v>188959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87">
        <v>81964</v>
      </c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157">
        <v>66744</v>
      </c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4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>
        <v>1</v>
      </c>
      <c r="D28" s="48">
        <f t="shared" si="1"/>
        <v>785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220870</v>
      </c>
      <c r="F29" s="118" t="s">
        <v>55</v>
      </c>
      <c r="G29" s="180"/>
      <c r="H29" s="140">
        <f>H15-H16-H17-H18-H19-H20-H22-H23-H24+H26+H27+H28</f>
        <v>173739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162">
        <f t="shared" ref="H34:H39" si="2">F34*G34</f>
        <v>78000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62">
        <f t="shared" si="2"/>
        <v>18000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162">
        <f t="shared" si="2"/>
        <v>1100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16</v>
      </c>
      <c r="D42" s="12">
        <f>C42*2.25</f>
        <v>36</v>
      </c>
      <c r="F42" s="39" t="s">
        <v>79</v>
      </c>
      <c r="G42" s="162">
        <v>17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7">
        <v>1906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157</v>
      </c>
      <c r="G45" s="62"/>
      <c r="H45" s="157">
        <v>6179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157">
        <v>66744</v>
      </c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2</v>
      </c>
      <c r="D49" s="12">
        <f>C49*42</f>
        <v>84</v>
      </c>
      <c r="F49" s="138" t="s">
        <v>86</v>
      </c>
      <c r="G49" s="140">
        <f>H34+H35+H36+H37+H38+H39+H40+H41+G42+H44+H45+H46</f>
        <v>172246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30</v>
      </c>
      <c r="D50" s="12">
        <f>C50*1.5</f>
        <v>45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-1493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169</v>
      </c>
      <c r="D6" s="13">
        <f t="shared" ref="D6:D28" si="1">C6*L6</f>
        <v>124553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33</v>
      </c>
      <c r="D9" s="13">
        <f t="shared" si="1"/>
        <v>23331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3</v>
      </c>
      <c r="D13" s="48">
        <f t="shared" si="1"/>
        <v>921</v>
      </c>
      <c r="F13" s="246" t="s">
        <v>36</v>
      </c>
      <c r="G13" s="210"/>
      <c r="H13" s="201">
        <f>D29</f>
        <v>152888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21</v>
      </c>
      <c r="D14" s="31">
        <f t="shared" si="1"/>
        <v>231</v>
      </c>
      <c r="F14" s="204" t="s">
        <v>39</v>
      </c>
      <c r="G14" s="205"/>
      <c r="H14" s="206">
        <f>D54</f>
        <v>23528.25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129359.75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424</f>
        <v>424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152888</v>
      </c>
      <c r="F29" s="118" t="s">
        <v>55</v>
      </c>
      <c r="G29" s="180"/>
      <c r="H29" s="140">
        <f>H15-H16-H17-H18-H19-H20-H22-H23-H24+H26+H27</f>
        <v>128935.75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162">
        <f>F34*G34</f>
        <v>119000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 t="shared" ref="H35:H39" si="2"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162">
        <f t="shared" si="2"/>
        <v>800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162">
        <v>2277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23</v>
      </c>
      <c r="D46" s="12">
        <f>C46*1.5</f>
        <v>34.5</v>
      </c>
      <c r="F46" s="37"/>
      <c r="G46" s="103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129227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27</v>
      </c>
      <c r="D50" s="12">
        <f>C50*1.5</f>
        <v>40.5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291.25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23528.25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189</v>
      </c>
      <c r="D6" s="13">
        <f t="shared" ref="D6:D28" si="1">C6*L6</f>
        <v>139293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5</v>
      </c>
      <c r="D7" s="13">
        <f t="shared" si="1"/>
        <v>3625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14</v>
      </c>
      <c r="D9" s="13">
        <f t="shared" si="1"/>
        <v>9898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4</v>
      </c>
      <c r="D13" s="48">
        <f t="shared" si="1"/>
        <v>1228</v>
      </c>
      <c r="F13" s="246" t="s">
        <v>36</v>
      </c>
      <c r="G13" s="210"/>
      <c r="H13" s="201">
        <f>D29</f>
        <v>154198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14</v>
      </c>
      <c r="D14" s="31">
        <f t="shared" si="1"/>
        <v>154</v>
      </c>
      <c r="F14" s="204" t="s">
        <v>39</v>
      </c>
      <c r="G14" s="205"/>
      <c r="H14" s="206">
        <f>D54</f>
        <v>25923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128275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624</f>
        <v>624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154198</v>
      </c>
      <c r="F29" s="118" t="s">
        <v>55</v>
      </c>
      <c r="G29" s="180"/>
      <c r="H29" s="140">
        <f>H15-H16-H17-H18-H19-H20-H22-H23-H24+H26+H27</f>
        <v>127651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162">
        <f>F34*G34</f>
        <v>112000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2">
        <f>F35*G35</f>
        <v>16000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2">
        <f t="shared" ref="H36:H39" si="2">F36*G36</f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162">
        <f t="shared" si="2"/>
        <v>2900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62">
        <f t="shared" si="2"/>
        <v>300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44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131444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3793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25923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4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45979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266</v>
      </c>
      <c r="D6" s="13">
        <f t="shared" ref="D6:D28" si="1">C6*L6</f>
        <v>196042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>
        <v>4</v>
      </c>
      <c r="D7" s="13">
        <f t="shared" si="1"/>
        <v>2900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>
        <v>15</v>
      </c>
      <c r="D9" s="13">
        <f t="shared" si="1"/>
        <v>10605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1</v>
      </c>
      <c r="D10" s="13">
        <f t="shared" si="1"/>
        <v>972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6</v>
      </c>
      <c r="D13" s="48">
        <f t="shared" si="1"/>
        <v>1842</v>
      </c>
      <c r="F13" s="246" t="s">
        <v>36</v>
      </c>
      <c r="G13" s="210"/>
      <c r="H13" s="201">
        <f>D29</f>
        <v>214998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>
        <v>1</v>
      </c>
      <c r="D14" s="31">
        <f t="shared" si="1"/>
        <v>11</v>
      </c>
      <c r="F14" s="204" t="s">
        <v>39</v>
      </c>
      <c r="G14" s="205"/>
      <c r="H14" s="206">
        <f>D54</f>
        <v>32010.75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>
        <f>1+1</f>
        <v>2</v>
      </c>
      <c r="D15" s="31">
        <f t="shared" si="1"/>
        <v>1240</v>
      </c>
      <c r="F15" s="209" t="s">
        <v>40</v>
      </c>
      <c r="G15" s="210"/>
      <c r="H15" s="211">
        <f>H13-H14</f>
        <v>182987.25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214998</v>
      </c>
      <c r="F29" s="118" t="s">
        <v>55</v>
      </c>
      <c r="G29" s="180"/>
      <c r="H29" s="140">
        <f>H15-H16-H17-H18-H19-H20-H22-H23-H24+H26+H27+H28</f>
        <v>182987.25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162">
        <f t="shared" ref="H34:H39" si="2">F34*G34</f>
        <v>140000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162">
        <f t="shared" si="2"/>
        <v>16500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62">
        <f t="shared" si="2"/>
        <v>200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62">
        <f t="shared" si="2"/>
        <v>100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2">
        <f t="shared" si="2"/>
        <v>20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742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57">
        <v>4000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157">
        <v>21364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14</v>
      </c>
      <c r="D46" s="12">
        <f>C46*1.5</f>
        <v>21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182926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74</v>
      </c>
      <c r="D50" s="12">
        <f>C50*1.5</f>
        <v>111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-61.25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45979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224</v>
      </c>
      <c r="D6" s="13">
        <f t="shared" ref="D6:D28" si="1">C6*L6</f>
        <v>165088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3</v>
      </c>
      <c r="D7" s="13">
        <f t="shared" si="1"/>
        <v>2175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2</v>
      </c>
      <c r="D9" s="13">
        <f t="shared" si="1"/>
        <v>1414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9</v>
      </c>
      <c r="D13" s="48">
        <f t="shared" si="1"/>
        <v>2763</v>
      </c>
      <c r="F13" s="246" t="s">
        <v>36</v>
      </c>
      <c r="G13" s="210"/>
      <c r="H13" s="201">
        <f>D29</f>
        <v>173613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8</v>
      </c>
      <c r="D14" s="31">
        <f t="shared" si="1"/>
        <v>88</v>
      </c>
      <c r="F14" s="204" t="s">
        <v>39</v>
      </c>
      <c r="G14" s="205"/>
      <c r="H14" s="206">
        <f>D54</f>
        <v>27418.5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146194.5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1854</f>
        <v>1854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>
        <v>1</v>
      </c>
      <c r="D28" s="48">
        <f t="shared" si="1"/>
        <v>785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173613</v>
      </c>
      <c r="F29" s="118" t="s">
        <v>55</v>
      </c>
      <c r="G29" s="180"/>
      <c r="H29" s="140">
        <f>H15-H16-H17-H18-H19-H20-H22-H23-H24+H26+H27</f>
        <v>144340.5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162">
        <f>F34*G34</f>
        <v>19000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2</v>
      </c>
      <c r="D42" s="12">
        <f>C42*2.25</f>
        <v>4.5</v>
      </c>
      <c r="F42" s="39" t="s">
        <v>79</v>
      </c>
      <c r="G42" s="162">
        <v>32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157">
        <v>125142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16</v>
      </c>
      <c r="D46" s="12">
        <f>C46*1.5</f>
        <v>24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144324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5</v>
      </c>
      <c r="D50" s="12">
        <f>C50*1.5</f>
        <v>7.5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-16.5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27418.5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45979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461</v>
      </c>
      <c r="D6" s="13">
        <f t="shared" ref="D6:D28" si="1">C6*L6</f>
        <v>339757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20</v>
      </c>
      <c r="D7" s="13">
        <f t="shared" si="1"/>
        <v>14500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102</v>
      </c>
      <c r="D9" s="13">
        <f t="shared" si="1"/>
        <v>72114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>
        <v>3</v>
      </c>
      <c r="D10" s="13">
        <f t="shared" si="1"/>
        <v>2916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>
        <v>2</v>
      </c>
      <c r="D11" s="13">
        <f t="shared" si="1"/>
        <v>2250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3</v>
      </c>
      <c r="D12" s="48">
        <f t="shared" si="1"/>
        <v>2856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25</v>
      </c>
      <c r="D13" s="48">
        <f t="shared" si="1"/>
        <v>7675</v>
      </c>
      <c r="F13" s="246" t="s">
        <v>36</v>
      </c>
      <c r="G13" s="210"/>
      <c r="H13" s="201">
        <f>D29</f>
        <v>444659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16</v>
      </c>
      <c r="D14" s="31">
        <f t="shared" si="1"/>
        <v>176</v>
      </c>
      <c r="F14" s="204" t="s">
        <v>39</v>
      </c>
      <c r="G14" s="205"/>
      <c r="H14" s="206">
        <f>D54</f>
        <v>60058.5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384600.5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630+2682+300</f>
        <v>3612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>
        <v>1</v>
      </c>
      <c r="D23" s="48">
        <f t="shared" si="1"/>
        <v>1175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444659</v>
      </c>
      <c r="F29" s="118" t="s">
        <v>55</v>
      </c>
      <c r="G29" s="180"/>
      <c r="H29" s="140">
        <f>H15-H16-H17-H18-H19-H20-H22-H23-H24+H26+H27</f>
        <v>380988.5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162">
        <f>F34*G34</f>
        <v>98000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2">
        <f>F35*G35</f>
        <v>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162">
        <f t="shared" si="2"/>
        <v>2300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16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157">
        <v>270987</v>
      </c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11</v>
      </c>
      <c r="D46" s="12">
        <f>C46*1.5</f>
        <v>16.5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11</v>
      </c>
      <c r="D49" s="12">
        <f>C49*42</f>
        <v>462</v>
      </c>
      <c r="F49" s="138" t="s">
        <v>86</v>
      </c>
      <c r="G49" s="140">
        <f>H34+H35+H36+H37+H38+H39+H40+H41+G42+H44+H45+H46</f>
        <v>380493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9</v>
      </c>
      <c r="D50" s="12">
        <f>C50*1.5</f>
        <v>13.5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-495.5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60058.5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>
        <v>143</v>
      </c>
      <c r="D6" s="13">
        <f t="shared" ref="D6:D28" si="1">C6*L6</f>
        <v>105391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>
        <v>61</v>
      </c>
      <c r="D8" s="13">
        <f t="shared" si="1"/>
        <v>63013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>
        <v>35</v>
      </c>
      <c r="D10" s="13">
        <f t="shared" si="1"/>
        <v>34020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>
        <v>15</v>
      </c>
      <c r="D11" s="13">
        <f t="shared" si="1"/>
        <v>16875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>
        <v>30</v>
      </c>
      <c r="D12" s="48">
        <f t="shared" si="1"/>
        <v>28560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>
        <v>5</v>
      </c>
      <c r="D13" s="48">
        <f t="shared" si="1"/>
        <v>1535</v>
      </c>
      <c r="F13" s="246" t="s">
        <v>36</v>
      </c>
      <c r="G13" s="210"/>
      <c r="H13" s="201">
        <f>D29</f>
        <v>256496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123066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133430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>
        <f>1692</f>
        <v>1692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256496</v>
      </c>
      <c r="F29" s="118" t="s">
        <v>55</v>
      </c>
      <c r="G29" s="180"/>
      <c r="H29" s="140">
        <f>H15-H16-H17-H18-H19-H20-H22-H23-H24+H26+H27+H28</f>
        <v>131738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162">
        <f t="shared" ref="H34:H39" si="2">F34*G34</f>
        <v>80000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2">
        <f t="shared" si="2"/>
        <v>2000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162">
        <f t="shared" si="2"/>
        <v>300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2">
        <f t="shared" si="2"/>
        <v>150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62">
        <f t="shared" si="2"/>
        <v>40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2">
        <v>10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157">
        <v>41121</v>
      </c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157">
        <v>8400</v>
      </c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3</v>
      </c>
      <c r="D46" s="12">
        <f>C46*1.5</f>
        <v>4.5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132021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3</v>
      </c>
      <c r="D50" s="12">
        <f>C50*1.5</f>
        <v>4.5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143</v>
      </c>
      <c r="G51" s="148">
        <f>G49-H29</f>
        <v>283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225</v>
      </c>
      <c r="D6" s="13">
        <f t="shared" ref="D6:D28" si="1">C6*L6</f>
        <v>165825</v>
      </c>
      <c r="F6" s="225" t="s">
        <v>16</v>
      </c>
      <c r="G6" s="227" t="s">
        <v>150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10</v>
      </c>
      <c r="D7" s="13">
        <f t="shared" si="1"/>
        <v>7250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50</v>
      </c>
      <c r="D9" s="13">
        <f t="shared" si="1"/>
        <v>35350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12</v>
      </c>
      <c r="D13" s="48">
        <f t="shared" si="1"/>
        <v>3684</v>
      </c>
      <c r="F13" s="246" t="s">
        <v>36</v>
      </c>
      <c r="G13" s="210"/>
      <c r="H13" s="201">
        <f>D29</f>
        <v>212175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34363.5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177811.5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v>2583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212175</v>
      </c>
      <c r="F29" s="118" t="s">
        <v>55</v>
      </c>
      <c r="G29" s="180"/>
      <c r="H29" s="140">
        <f>H15-H16-H17-H18-H19-H20-H22-H23-H24+H26+H27</f>
        <v>175228.5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62">
        <f>F34*G34</f>
        <v>106000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162">
        <f t="shared" ref="H35:H39" si="2">F35*G35</f>
        <v>69000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162">
        <f t="shared" si="2"/>
        <v>100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>
        <v>222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9</v>
      </c>
      <c r="D49" s="12">
        <f>C49*42</f>
        <v>378</v>
      </c>
      <c r="F49" s="138" t="s">
        <v>86</v>
      </c>
      <c r="G49" s="140">
        <f>H34+H35+H36+H37+H38+H39+H40+H41+G42+H44+H45+H46</f>
        <v>175322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>
        <v>6</v>
      </c>
      <c r="D50" s="12">
        <f>C50*1.5</f>
        <v>9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156</v>
      </c>
      <c r="G51" s="148">
        <f>G49-H29</f>
        <v>93.5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34363.5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>
        <v>176</v>
      </c>
      <c r="D6" s="13">
        <f t="shared" ref="D6:D28" si="1">C6*L6</f>
        <v>129712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>
        <v>1</v>
      </c>
      <c r="D7" s="13">
        <f t="shared" si="1"/>
        <v>725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>
        <v>51</v>
      </c>
      <c r="D9" s="13">
        <f t="shared" si="1"/>
        <v>36057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>
        <v>1</v>
      </c>
      <c r="D12" s="48">
        <f t="shared" si="1"/>
        <v>952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>
        <v>10</v>
      </c>
      <c r="D13" s="48">
        <f t="shared" si="1"/>
        <v>3070</v>
      </c>
      <c r="F13" s="246" t="s">
        <v>36</v>
      </c>
      <c r="G13" s="210"/>
      <c r="H13" s="201">
        <f>D29</f>
        <v>172836.5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>
        <v>6</v>
      </c>
      <c r="D14" s="31">
        <f t="shared" si="1"/>
        <v>66</v>
      </c>
      <c r="F14" s="204" t="s">
        <v>39</v>
      </c>
      <c r="G14" s="205"/>
      <c r="H14" s="206">
        <f>D54</f>
        <v>26265.75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146570.75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>
        <f>948</f>
        <v>948</v>
      </c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87">
        <v>94126</v>
      </c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>
        <v>12</v>
      </c>
      <c r="D26" s="48">
        <f t="shared" si="1"/>
        <v>434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172836.5</v>
      </c>
      <c r="F29" s="118" t="s">
        <v>55</v>
      </c>
      <c r="G29" s="180"/>
      <c r="H29" s="140">
        <f>H15-H16-H17-H18-H19-H20-H22-H23-H24+H26+H27</f>
        <v>51496.75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2">
        <f>F34*G34</f>
        <v>44000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2">
        <f>F35*G35</f>
        <v>7000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162">
        <f t="shared" si="2"/>
        <v>200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62">
        <f t="shared" si="2"/>
        <v>50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2">
        <v>30</v>
      </c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>
        <v>1</v>
      </c>
      <c r="D44" s="12">
        <f>C44*120</f>
        <v>120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>
        <v>1</v>
      </c>
      <c r="D45" s="12">
        <f>C45*84</f>
        <v>84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>
        <v>7</v>
      </c>
      <c r="D46" s="12">
        <f>C46*1.5</f>
        <v>10.5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>
        <v>1</v>
      </c>
      <c r="D49" s="12">
        <f>C49*42</f>
        <v>42</v>
      </c>
      <c r="F49" s="138" t="s">
        <v>86</v>
      </c>
      <c r="G49" s="140">
        <f>H34+H35+H36+H37+H38+H39+H40+H41+G42+H44+H45+H46</f>
        <v>51280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-216.75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26265.75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45981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45982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45983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09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08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45985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0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09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45986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45987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45988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45989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45989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45989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1</v>
      </c>
      <c r="H4" s="219" t="s">
        <v>9</v>
      </c>
      <c r="I4" s="221">
        <v>45990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89"/>
      <c r="D6" s="13">
        <f t="shared" ref="D6:D28" si="1">C6*L6</f>
        <v>0</v>
      </c>
      <c r="F6" s="225" t="s">
        <v>16</v>
      </c>
      <c r="G6" s="227" t="s">
        <v>129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89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89"/>
      <c r="D8" s="13">
        <f t="shared" si="1"/>
        <v>0</v>
      </c>
      <c r="F8" s="233" t="s">
        <v>21</v>
      </c>
      <c r="G8" s="234" t="s">
        <v>112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89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89"/>
      <c r="D10" s="13">
        <f t="shared" si="1"/>
        <v>0</v>
      </c>
      <c r="F10" s="225" t="s">
        <v>26</v>
      </c>
      <c r="G10" s="240" t="s">
        <v>130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89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89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89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89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89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140</v>
      </c>
      <c r="C17" s="89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2"/>
      <c r="I19" s="182"/>
      <c r="J19" s="182"/>
      <c r="L19" s="6">
        <v>1102</v>
      </c>
      <c r="Q19" s="4"/>
      <c r="R19" s="5">
        <f t="shared" si="0"/>
        <v>0</v>
      </c>
    </row>
    <row r="20" spans="1:18" ht="15.75" x14ac:dyDescent="0.25">
      <c r="A20" s="16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127</v>
      </c>
      <c r="C22" s="89"/>
      <c r="D22" s="48">
        <f t="shared" si="1"/>
        <v>0</v>
      </c>
      <c r="F22" s="77"/>
      <c r="G22" s="73"/>
      <c r="H22" s="187"/>
      <c r="I22" s="187"/>
      <c r="J22" s="18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101</v>
      </c>
      <c r="C23" s="89"/>
      <c r="D23" s="48">
        <f t="shared" si="1"/>
        <v>0</v>
      </c>
      <c r="F23" s="77"/>
      <c r="G23" s="79"/>
      <c r="H23" s="247"/>
      <c r="I23" s="248"/>
      <c r="J23" s="24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121</v>
      </c>
      <c r="C24" s="89"/>
      <c r="D24" s="48">
        <f t="shared" si="1"/>
        <v>0</v>
      </c>
      <c r="F24" s="77"/>
      <c r="G24" s="79"/>
      <c r="H24" s="247"/>
      <c r="I24" s="248"/>
      <c r="J24" s="24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139</v>
      </c>
      <c r="C26" s="89"/>
      <c r="D26" s="48">
        <f t="shared" si="1"/>
        <v>0</v>
      </c>
      <c r="F26" s="75"/>
      <c r="G26" s="65"/>
      <c r="H26" s="157"/>
      <c r="I26" s="157"/>
      <c r="J26" s="15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110</v>
      </c>
      <c r="C27" s="89"/>
      <c r="D27" s="44">
        <f t="shared" si="1"/>
        <v>0</v>
      </c>
      <c r="F27" s="71"/>
      <c r="G27" s="113"/>
      <c r="H27" s="249"/>
      <c r="I27" s="250"/>
      <c r="J27" s="25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89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H15-H16-H17-H18-H19-H20-H22-H23-H24+H26+H27+H28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2">
        <f t="shared" ref="H34:H39" si="2"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si="2"/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si="2"/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131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2</v>
      </c>
      <c r="H4" s="219" t="s">
        <v>9</v>
      </c>
      <c r="I4" s="221">
        <v>45990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134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114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115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93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7"/>
      <c r="I19" s="257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25"/>
      <c r="G23" s="37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123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10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14"/>
      <c r="G27" s="14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 t="shared" ref="H35:H39" si="2"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62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62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114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132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5" t="s">
        <v>7</v>
      </c>
      <c r="B4" s="166"/>
      <c r="C4" s="166"/>
      <c r="D4" s="167"/>
      <c r="F4" s="215" t="s">
        <v>8</v>
      </c>
      <c r="G4" s="217">
        <v>3</v>
      </c>
      <c r="H4" s="219" t="s">
        <v>9</v>
      </c>
      <c r="I4" s="221">
        <v>45990</v>
      </c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0"/>
      <c r="B6" s="16" t="s">
        <v>15</v>
      </c>
      <c r="C6" s="10"/>
      <c r="D6" s="13">
        <f t="shared" ref="D6:D28" si="1">C6*L6</f>
        <v>0</v>
      </c>
      <c r="F6" s="225" t="s">
        <v>16</v>
      </c>
      <c r="G6" s="227" t="s">
        <v>111</v>
      </c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0"/>
      <c r="B7" s="16" t="s">
        <v>18</v>
      </c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0"/>
      <c r="B8" s="16" t="s">
        <v>20</v>
      </c>
      <c r="C8" s="10"/>
      <c r="D8" s="13">
        <f t="shared" si="1"/>
        <v>0</v>
      </c>
      <c r="F8" s="233" t="s">
        <v>21</v>
      </c>
      <c r="G8" s="234" t="s">
        <v>119</v>
      </c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0"/>
      <c r="B9" s="16" t="s">
        <v>23</v>
      </c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0"/>
      <c r="B10" t="s">
        <v>25</v>
      </c>
      <c r="C10" s="10"/>
      <c r="D10" s="13">
        <f t="shared" si="1"/>
        <v>0</v>
      </c>
      <c r="F10" s="225" t="s">
        <v>26</v>
      </c>
      <c r="G10" s="240" t="s">
        <v>137</v>
      </c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8" ht="15.75" x14ac:dyDescent="0.25">
      <c r="A11" s="160"/>
      <c r="B11" s="17" t="s">
        <v>28</v>
      </c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0"/>
      <c r="B12" s="17" t="s">
        <v>30</v>
      </c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0"/>
      <c r="B13" s="17" t="s">
        <v>32</v>
      </c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0"/>
      <c r="B14" s="14" t="s">
        <v>35</v>
      </c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0"/>
      <c r="B15" s="14" t="s">
        <v>38</v>
      </c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B17" t="s">
        <v>113</v>
      </c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 t="s">
        <v>104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 t="s">
        <v>107</v>
      </c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 t="s">
        <v>101</v>
      </c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 t="s">
        <v>105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 t="s">
        <v>109</v>
      </c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 t="s">
        <v>97</v>
      </c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>
        <f>F34*G34</f>
        <v>0</v>
      </c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>
        <f>F35*G35</f>
        <v>0</v>
      </c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>
        <f t="shared" ref="H36:H39" si="2">F36*G36</f>
        <v>0</v>
      </c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>
        <f t="shared" si="2"/>
        <v>0</v>
      </c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>
        <f t="shared" si="2"/>
        <v>0</v>
      </c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>
        <f t="shared" si="2"/>
        <v>0</v>
      </c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142</v>
      </c>
      <c r="G51" s="251">
        <f>G49-H29</f>
        <v>0</v>
      </c>
      <c r="H51" s="252"/>
      <c r="I51" s="252"/>
      <c r="J51" s="2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254"/>
      <c r="H52" s="255"/>
      <c r="I52" s="255"/>
      <c r="J52" s="2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4" t="s">
        <v>1</v>
      </c>
      <c r="O1" s="214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5" t="s">
        <v>7</v>
      </c>
      <c r="B4" s="166"/>
      <c r="C4" s="166"/>
      <c r="D4" s="167"/>
      <c r="F4" s="215" t="s">
        <v>8</v>
      </c>
      <c r="G4" s="217"/>
      <c r="H4" s="219" t="s">
        <v>9</v>
      </c>
      <c r="I4" s="221"/>
      <c r="J4" s="2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9" t="s">
        <v>7</v>
      </c>
      <c r="B5" s="15" t="s">
        <v>11</v>
      </c>
      <c r="C5" s="9" t="s">
        <v>12</v>
      </c>
      <c r="D5" s="25" t="s">
        <v>13</v>
      </c>
      <c r="F5" s="216"/>
      <c r="G5" s="218"/>
      <c r="H5" s="220"/>
      <c r="I5" s="223"/>
      <c r="J5" s="2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0"/>
      <c r="B6" s="16"/>
      <c r="C6" s="10"/>
      <c r="D6" s="13">
        <f t="shared" ref="D6:D28" si="1">C6*L6</f>
        <v>0</v>
      </c>
      <c r="F6" s="225" t="s">
        <v>16</v>
      </c>
      <c r="G6" s="227"/>
      <c r="H6" s="228"/>
      <c r="I6" s="228"/>
      <c r="J6" s="22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0"/>
      <c r="B7" s="16"/>
      <c r="C7" s="10"/>
      <c r="D7" s="13">
        <f t="shared" si="1"/>
        <v>0</v>
      </c>
      <c r="F7" s="226"/>
      <c r="G7" s="230"/>
      <c r="H7" s="231"/>
      <c r="I7" s="231"/>
      <c r="J7" s="23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0"/>
      <c r="B8" s="16"/>
      <c r="C8" s="10"/>
      <c r="D8" s="13">
        <f t="shared" si="1"/>
        <v>0</v>
      </c>
      <c r="F8" s="233" t="s">
        <v>21</v>
      </c>
      <c r="G8" s="234"/>
      <c r="H8" s="235"/>
      <c r="I8" s="235"/>
      <c r="J8" s="23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0"/>
      <c r="B9" s="16"/>
      <c r="C9" s="10"/>
      <c r="D9" s="13">
        <f t="shared" si="1"/>
        <v>0</v>
      </c>
      <c r="F9" s="226"/>
      <c r="G9" s="237"/>
      <c r="H9" s="238"/>
      <c r="I9" s="238"/>
      <c r="J9" s="23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0"/>
      <c r="C10" s="10"/>
      <c r="D10" s="13">
        <f t="shared" si="1"/>
        <v>0</v>
      </c>
      <c r="F10" s="225" t="s">
        <v>26</v>
      </c>
      <c r="G10" s="240"/>
      <c r="H10" s="241"/>
      <c r="I10" s="241"/>
      <c r="J10" s="242"/>
      <c r="K10" s="8"/>
      <c r="L10" s="6">
        <f>R36</f>
        <v>972</v>
      </c>
      <c r="P10" s="4"/>
      <c r="Q10" s="4"/>
      <c r="R10" s="5"/>
    </row>
    <row r="11" spans="1:19" ht="15.75" x14ac:dyDescent="0.25">
      <c r="A11" s="160"/>
      <c r="B11" s="17"/>
      <c r="C11" s="10"/>
      <c r="D11" s="13">
        <f t="shared" si="1"/>
        <v>0</v>
      </c>
      <c r="F11" s="226"/>
      <c r="G11" s="237"/>
      <c r="H11" s="238"/>
      <c r="I11" s="238"/>
      <c r="J11" s="23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0"/>
      <c r="B12" s="17"/>
      <c r="C12" s="10"/>
      <c r="D12" s="48">
        <f t="shared" si="1"/>
        <v>0</v>
      </c>
      <c r="F12" s="243" t="s">
        <v>33</v>
      </c>
      <c r="G12" s="244"/>
      <c r="H12" s="244"/>
      <c r="I12" s="244"/>
      <c r="J12" s="24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0"/>
      <c r="B13" s="17"/>
      <c r="C13" s="10"/>
      <c r="D13" s="48">
        <f t="shared" si="1"/>
        <v>0</v>
      </c>
      <c r="F13" s="246" t="s">
        <v>36</v>
      </c>
      <c r="G13" s="210"/>
      <c r="H13" s="201">
        <f>D29</f>
        <v>0</v>
      </c>
      <c r="I13" s="202"/>
      <c r="J13" s="20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0"/>
      <c r="B14" s="14"/>
      <c r="C14" s="10"/>
      <c r="D14" s="31">
        <f t="shared" si="1"/>
        <v>0</v>
      </c>
      <c r="F14" s="204" t="s">
        <v>39</v>
      </c>
      <c r="G14" s="205"/>
      <c r="H14" s="206">
        <f>D54</f>
        <v>0</v>
      </c>
      <c r="I14" s="207"/>
      <c r="J14" s="20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0"/>
      <c r="B15" s="14"/>
      <c r="C15" s="10"/>
      <c r="D15" s="31">
        <f t="shared" si="1"/>
        <v>0</v>
      </c>
      <c r="F15" s="209" t="s">
        <v>40</v>
      </c>
      <c r="G15" s="210"/>
      <c r="H15" s="211">
        <f>H13-H14</f>
        <v>0</v>
      </c>
      <c r="I15" s="212"/>
      <c r="J15" s="21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1"/>
      <c r="I16" s="171"/>
      <c r="J16" s="17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0"/>
      <c r="C17" s="10"/>
      <c r="D17" s="48">
        <f t="shared" si="1"/>
        <v>0</v>
      </c>
      <c r="F17" s="56"/>
      <c r="G17" s="66" t="s">
        <v>45</v>
      </c>
      <c r="H17" s="182"/>
      <c r="I17" s="182"/>
      <c r="J17" s="18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0"/>
      <c r="B18" s="19"/>
      <c r="C18" s="10"/>
      <c r="D18" s="48">
        <f t="shared" si="1"/>
        <v>0</v>
      </c>
      <c r="F18" s="56"/>
      <c r="G18" s="66" t="s">
        <v>47</v>
      </c>
      <c r="H18" s="182"/>
      <c r="I18" s="182"/>
      <c r="J18" s="18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0"/>
      <c r="B19" s="14"/>
      <c r="C19" s="10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0"/>
      <c r="B20" s="46"/>
      <c r="C20" s="10"/>
      <c r="D20" s="13">
        <f t="shared" si="1"/>
        <v>0</v>
      </c>
      <c r="F20" s="57"/>
      <c r="G20" s="70" t="s">
        <v>120</v>
      </c>
      <c r="H20" s="171"/>
      <c r="I20" s="171"/>
      <c r="J20" s="17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4" t="s">
        <v>13</v>
      </c>
      <c r="I21" s="185"/>
      <c r="J21" s="18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0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0"/>
      <c r="B23" s="14"/>
      <c r="C23" s="10"/>
      <c r="D23" s="48">
        <f t="shared" si="1"/>
        <v>0</v>
      </c>
      <c r="F23" s="78"/>
      <c r="G23" s="79"/>
      <c r="H23" s="188"/>
      <c r="I23" s="157"/>
      <c r="J23" s="15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0"/>
      <c r="B24" s="14"/>
      <c r="C24" s="10"/>
      <c r="D24" s="48">
        <f t="shared" si="1"/>
        <v>0</v>
      </c>
      <c r="F24" s="38"/>
      <c r="G24" s="37"/>
      <c r="H24" s="188"/>
      <c r="I24" s="157"/>
      <c r="J24" s="15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9" t="s">
        <v>13</v>
      </c>
      <c r="I25" s="190"/>
      <c r="J25" s="19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0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0"/>
      <c r="B27" s="14"/>
      <c r="C27" s="10"/>
      <c r="D27" s="44">
        <f t="shared" si="1"/>
        <v>0</v>
      </c>
      <c r="F27" s="25"/>
      <c r="G27" s="80"/>
      <c r="H27" s="195"/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1"/>
      <c r="B28" s="46"/>
      <c r="C28" s="10"/>
      <c r="D28" s="48">
        <f t="shared" si="1"/>
        <v>0</v>
      </c>
      <c r="F28" s="116"/>
      <c r="G28" s="61"/>
      <c r="H28" s="198"/>
      <c r="I28" s="199"/>
      <c r="J28" s="20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2" t="s">
        <v>36</v>
      </c>
      <c r="B29" s="173"/>
      <c r="C29" s="174"/>
      <c r="D29" s="178">
        <f>SUM(D6:D28)</f>
        <v>0</v>
      </c>
      <c r="F29" s="118" t="s">
        <v>55</v>
      </c>
      <c r="G29" s="180"/>
      <c r="H29" s="140">
        <f>H15-H16-H17-H18-H19-H20-H22-H23-H24+H26+H27</f>
        <v>0</v>
      </c>
      <c r="I29" s="141"/>
      <c r="J29" s="14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5"/>
      <c r="B30" s="176"/>
      <c r="C30" s="177"/>
      <c r="D30" s="179"/>
      <c r="F30" s="121"/>
      <c r="G30" s="181"/>
      <c r="H30" s="143"/>
      <c r="I30" s="144"/>
      <c r="J30" s="14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5" t="s">
        <v>58</v>
      </c>
      <c r="B32" s="166"/>
      <c r="C32" s="166"/>
      <c r="D32" s="167"/>
      <c r="F32" s="168" t="s">
        <v>59</v>
      </c>
      <c r="G32" s="169"/>
      <c r="H32" s="169"/>
      <c r="I32" s="169"/>
      <c r="J32" s="17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68" t="s">
        <v>13</v>
      </c>
      <c r="I33" s="169"/>
      <c r="J33" s="17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2"/>
      <c r="I34" s="163"/>
      <c r="J34" s="16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0"/>
      <c r="B35" s="27" t="s">
        <v>68</v>
      </c>
      <c r="C35" s="52"/>
      <c r="D35" s="30">
        <f>C35*84</f>
        <v>0</v>
      </c>
      <c r="F35" s="58">
        <v>500</v>
      </c>
      <c r="G35" s="41"/>
      <c r="H35" s="162"/>
      <c r="I35" s="163"/>
      <c r="J35" s="16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1"/>
      <c r="B36" s="26" t="s">
        <v>70</v>
      </c>
      <c r="C36" s="10"/>
      <c r="D36" s="12">
        <f>C36*1.5</f>
        <v>0</v>
      </c>
      <c r="F36" s="12">
        <v>200</v>
      </c>
      <c r="G36" s="37"/>
      <c r="H36" s="162"/>
      <c r="I36" s="163"/>
      <c r="J36" s="16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2"/>
      <c r="I37" s="163"/>
      <c r="J37" s="16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0"/>
      <c r="B38" s="29" t="s">
        <v>68</v>
      </c>
      <c r="C38" s="54"/>
      <c r="D38" s="12">
        <f>C38*84</f>
        <v>0</v>
      </c>
      <c r="F38" s="30">
        <v>50</v>
      </c>
      <c r="G38" s="39"/>
      <c r="H38" s="162"/>
      <c r="I38" s="163"/>
      <c r="J38" s="16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1"/>
      <c r="B39" s="29" t="s">
        <v>70</v>
      </c>
      <c r="C39" s="52"/>
      <c r="D39" s="31">
        <f>C39*4.5</f>
        <v>0</v>
      </c>
      <c r="F39" s="12">
        <v>20</v>
      </c>
      <c r="G39" s="37"/>
      <c r="H39" s="162"/>
      <c r="I39" s="163"/>
      <c r="J39" s="16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2"/>
      <c r="I40" s="163"/>
      <c r="J40" s="16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0"/>
      <c r="B41" s="27" t="s">
        <v>68</v>
      </c>
      <c r="C41" s="10"/>
      <c r="D41" s="12">
        <f>C41*84</f>
        <v>0</v>
      </c>
      <c r="F41" s="12">
        <v>5</v>
      </c>
      <c r="G41" s="42"/>
      <c r="H41" s="162"/>
      <c r="I41" s="163"/>
      <c r="J41" s="16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1"/>
      <c r="B42" s="27" t="s">
        <v>70</v>
      </c>
      <c r="C42" s="11"/>
      <c r="D42" s="12">
        <f>C42*2.25</f>
        <v>0</v>
      </c>
      <c r="F42" s="39" t="s">
        <v>79</v>
      </c>
      <c r="G42" s="162"/>
      <c r="H42" s="163"/>
      <c r="I42" s="163"/>
      <c r="J42" s="16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2" t="s">
        <v>81</v>
      </c>
      <c r="C43" s="11"/>
      <c r="D43" s="12"/>
      <c r="F43" s="59" t="s">
        <v>82</v>
      </c>
      <c r="G43" s="113" t="s">
        <v>83</v>
      </c>
      <c r="H43" s="154" t="s">
        <v>13</v>
      </c>
      <c r="I43" s="155"/>
      <c r="J43" s="156"/>
      <c r="K43" s="21"/>
      <c r="P43" s="4"/>
      <c r="Q43" s="4"/>
      <c r="R43" s="5"/>
    </row>
    <row r="44" spans="1:18" ht="15.75" x14ac:dyDescent="0.25">
      <c r="A44" s="133"/>
      <c r="B44" s="27" t="s">
        <v>66</v>
      </c>
      <c r="C44" s="10"/>
      <c r="D44" s="12">
        <f>C44*120</f>
        <v>0</v>
      </c>
      <c r="F44" s="37"/>
      <c r="G44" s="76"/>
      <c r="H44" s="157"/>
      <c r="I44" s="157"/>
      <c r="J44" s="157"/>
      <c r="K44" s="21"/>
      <c r="P44" s="4"/>
      <c r="Q44" s="4"/>
      <c r="R44" s="5"/>
    </row>
    <row r="45" spans="1:18" ht="15.75" x14ac:dyDescent="0.25">
      <c r="A45" s="133"/>
      <c r="B45" s="27" t="s">
        <v>68</v>
      </c>
      <c r="C45" s="33"/>
      <c r="D45" s="12">
        <f>C45*84</f>
        <v>0</v>
      </c>
      <c r="F45" s="37"/>
      <c r="G45" s="76"/>
      <c r="H45" s="157"/>
      <c r="I45" s="157"/>
      <c r="J45" s="157"/>
      <c r="K45" s="21"/>
      <c r="P45" s="4"/>
      <c r="Q45" s="4"/>
      <c r="R45" s="5"/>
    </row>
    <row r="46" spans="1:18" ht="15.75" x14ac:dyDescent="0.25">
      <c r="A46" s="133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4"/>
      <c r="B47" s="27"/>
      <c r="C47" s="11"/>
      <c r="D47" s="12"/>
      <c r="F47" s="59"/>
      <c r="G47" s="59"/>
      <c r="H47" s="135"/>
      <c r="I47" s="136"/>
      <c r="J47" s="137"/>
      <c r="K47" s="21"/>
      <c r="P47" s="4"/>
      <c r="Q47" s="4"/>
      <c r="R47" s="5"/>
    </row>
    <row r="48" spans="1:18" ht="15" customHeight="1" x14ac:dyDescent="0.25">
      <c r="A48" s="132" t="s">
        <v>32</v>
      </c>
      <c r="B48" s="27" t="s">
        <v>66</v>
      </c>
      <c r="C48" s="10"/>
      <c r="D48" s="12">
        <f>C48*78</f>
        <v>0</v>
      </c>
      <c r="F48" s="59"/>
      <c r="G48" s="59"/>
      <c r="H48" s="135"/>
      <c r="I48" s="136"/>
      <c r="J48" s="13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3"/>
      <c r="B49" s="29" t="s">
        <v>68</v>
      </c>
      <c r="C49" s="33"/>
      <c r="D49" s="12">
        <f>C49*42</f>
        <v>0</v>
      </c>
      <c r="F49" s="138" t="s">
        <v>86</v>
      </c>
      <c r="G49" s="140">
        <f>H34+H35+H36+H37+H38+H39+H40+H41+G42+H44+H45+H46</f>
        <v>0</v>
      </c>
      <c r="H49" s="141"/>
      <c r="I49" s="141"/>
      <c r="J49" s="14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3"/>
      <c r="B50" s="32" t="s">
        <v>70</v>
      </c>
      <c r="C50" s="11"/>
      <c r="D50" s="12">
        <f>C50*1.5</f>
        <v>0</v>
      </c>
      <c r="F50" s="139"/>
      <c r="G50" s="143"/>
      <c r="H50" s="144"/>
      <c r="I50" s="144"/>
      <c r="J50" s="145"/>
      <c r="P50" s="4"/>
      <c r="Q50" s="4"/>
      <c r="R50" s="5"/>
    </row>
    <row r="51" spans="1:18" ht="15" customHeight="1" x14ac:dyDescent="0.25">
      <c r="A51" s="133"/>
      <c r="B51" s="27"/>
      <c r="C51" s="10"/>
      <c r="D51" s="31"/>
      <c r="F51" s="146" t="s">
        <v>128</v>
      </c>
      <c r="G51" s="148">
        <f>G49-H29</f>
        <v>0</v>
      </c>
      <c r="H51" s="149"/>
      <c r="I51" s="149"/>
      <c r="J51" s="15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3"/>
      <c r="B52" s="29"/>
      <c r="C52" s="33"/>
      <c r="D52" s="45"/>
      <c r="F52" s="147"/>
      <c r="G52" s="151"/>
      <c r="H52" s="152"/>
      <c r="I52" s="152"/>
      <c r="J52" s="1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8" t="s">
        <v>90</v>
      </c>
      <c r="B54" s="119"/>
      <c r="C54" s="120"/>
      <c r="D54" s="124">
        <f>SUM(D34:D53)</f>
        <v>0</v>
      </c>
      <c r="F54" s="21"/>
      <c r="J54" s="34"/>
    </row>
    <row r="55" spans="1:18" x14ac:dyDescent="0.25">
      <c r="A55" s="121"/>
      <c r="B55" s="122"/>
      <c r="C55" s="123"/>
      <c r="D55" s="1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6" t="s">
        <v>91</v>
      </c>
      <c r="B58" s="127"/>
      <c r="C58" s="127"/>
      <c r="D58" s="128"/>
      <c r="F58" s="126" t="s">
        <v>92</v>
      </c>
      <c r="G58" s="127"/>
      <c r="H58" s="127"/>
      <c r="I58" s="127"/>
      <c r="J58" s="128"/>
    </row>
    <row r="59" spans="1:18" x14ac:dyDescent="0.25">
      <c r="A59" s="129"/>
      <c r="B59" s="130"/>
      <c r="C59" s="130"/>
      <c r="D59" s="131"/>
      <c r="F59" s="129"/>
      <c r="G59" s="130"/>
      <c r="H59" s="130"/>
      <c r="I59" s="130"/>
      <c r="J59" s="1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2025-11-20T00:47:39Z</cp:lastPrinted>
  <dcterms:created xsi:type="dcterms:W3CDTF">2024-09-01T23:36:50Z</dcterms:created>
  <dcterms:modified xsi:type="dcterms:W3CDTF">2025-11-20T00:49:02Z</dcterms:modified>
</cp:coreProperties>
</file>