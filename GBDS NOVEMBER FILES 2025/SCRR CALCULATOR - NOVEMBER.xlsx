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347A778-C6A3-4818-9B99-A16411196321}" xr6:coauthVersionLast="45" xr6:coauthVersionMax="47" xr10:uidLastSave="{00000000-0000-0000-0000-000000000000}"/>
  <bookViews>
    <workbookView xWindow="-120" yWindow="-120" windowWidth="29040" windowHeight="15840" firstSheet="26" activeTab="35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89" r:id="rId48"/>
    <sheet name="15,11 R2" sheetId="1490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G49" i="1507" s="1"/>
  <c r="D36" i="1507"/>
  <c r="R35" i="1507"/>
  <c r="L19" i="1507" s="1"/>
  <c r="D19" i="1507" s="1"/>
  <c r="H35" i="1507"/>
  <c r="D35" i="1507"/>
  <c r="R34" i="1507"/>
  <c r="H34" i="1507"/>
  <c r="D34" i="1507"/>
  <c r="D54" i="1507" s="1"/>
  <c r="H14" i="1507" s="1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G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D54" i="1505" s="1"/>
  <c r="H14" i="1505" s="1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D54" i="1503" s="1"/>
  <c r="H14" i="1503" s="1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L25" i="1503"/>
  <c r="D25" i="1503" s="1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G49" i="1502" s="1"/>
  <c r="D34" i="1502"/>
  <c r="D54" i="1502" s="1"/>
  <c r="H14" i="1502" s="1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D54" i="1501"/>
  <c r="H14" i="1501" s="1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G49" i="1501" s="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G49" i="1499" s="1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D54" i="1499" s="1"/>
  <c r="H14" i="1499" s="1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D54" i="1498" s="1"/>
  <c r="H14" i="1498" s="1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G49" i="1497" s="1"/>
  <c r="D35" i="1497"/>
  <c r="D54" i="1497" s="1"/>
  <c r="H14" i="1497" s="1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L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29" i="1519" l="1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H15" i="1507" s="1"/>
  <c r="H29" i="1507" s="1"/>
  <c r="G51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H15" i="1503" s="1"/>
  <c r="H29" i="1503" s="1"/>
  <c r="G51" i="1503" s="1"/>
  <c r="D29" i="1502"/>
  <c r="H13" i="1502" s="1"/>
  <c r="H15" i="1502" s="1"/>
  <c r="H29" i="1502" s="1"/>
  <c r="G51" i="1502"/>
  <c r="D29" i="1501"/>
  <c r="H13" i="1501" s="1"/>
  <c r="H15" i="1501" s="1"/>
  <c r="H29" i="1501" s="1"/>
  <c r="G51" i="1501" s="1"/>
  <c r="D29" i="1500"/>
  <c r="H13" i="1500" s="1"/>
  <c r="H15" i="1500" s="1"/>
  <c r="H29" i="1500" s="1"/>
  <c r="G51" i="1500" s="1"/>
  <c r="D29" i="1499"/>
  <c r="H13" i="1499" s="1"/>
  <c r="H15" i="1499" s="1"/>
  <c r="H29" i="1499" s="1"/>
  <c r="G51" i="1499" s="1"/>
  <c r="D29" i="1498"/>
  <c r="H13" i="1498" s="1"/>
  <c r="H15" i="1498" s="1"/>
  <c r="H29" i="1498" s="1"/>
  <c r="G51" i="1498" s="1"/>
  <c r="D29" i="1497"/>
  <c r="H13" i="1497" s="1"/>
  <c r="H15" i="1497" s="1"/>
  <c r="H29" i="1497" s="1"/>
  <c r="G51" i="1497" s="1"/>
  <c r="C12" i="1469"/>
  <c r="H16" i="1470" l="1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G49" i="1491" s="1"/>
  <c r="D36" i="1491"/>
  <c r="R35" i="1491"/>
  <c r="L19" i="1491" s="1"/>
  <c r="D19" i="1491" s="1"/>
  <c r="H35" i="1491"/>
  <c r="D35" i="1491"/>
  <c r="R34" i="1491"/>
  <c r="H34" i="1491"/>
  <c r="D34" i="1491"/>
  <c r="D54" i="1491" s="1"/>
  <c r="H14" i="1491" s="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G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D54" i="1490" s="1"/>
  <c r="H14" i="1490" s="1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29" i="1489" s="1"/>
  <c r="H13" i="1489" s="1"/>
  <c r="H15" i="1489" s="1"/>
  <c r="H29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D54" i="1489" s="1"/>
  <c r="H14" i="1489" s="1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D54" i="1487" s="1"/>
  <c r="H14" i="1487" s="1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G49" i="1487" s="1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D29" i="1487" s="1"/>
  <c r="H13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G49" i="1486" s="1"/>
  <c r="D34" i="1486"/>
  <c r="D54" i="1486" s="1"/>
  <c r="H14" i="1486" s="1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G49" i="1485" s="1"/>
  <c r="D36" i="1485"/>
  <c r="R35" i="1485"/>
  <c r="H35" i="1485"/>
  <c r="D35" i="1485"/>
  <c r="R34" i="1485"/>
  <c r="H34" i="1485"/>
  <c r="D34" i="1485"/>
  <c r="D54" i="1485" s="1"/>
  <c r="H14" i="1485" s="1"/>
  <c r="R33" i="1485"/>
  <c r="R32" i="1485"/>
  <c r="R31" i="1485"/>
  <c r="R30" i="1485"/>
  <c r="R29" i="1485"/>
  <c r="R28" i="1485"/>
  <c r="D28" i="1485"/>
  <c r="R27" i="1485"/>
  <c r="D27" i="1485"/>
  <c r="R26" i="1485"/>
  <c r="L26" i="1485"/>
  <c r="D26" i="1485" s="1"/>
  <c r="R25" i="1485"/>
  <c r="L25" i="1485"/>
  <c r="D25" i="1485" s="1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D54" i="1483" s="1"/>
  <c r="H14" i="1483" s="1"/>
  <c r="R35" i="1483"/>
  <c r="L19" i="1483" s="1"/>
  <c r="D19" i="1483" s="1"/>
  <c r="H35" i="1483"/>
  <c r="D35" i="1483"/>
  <c r="R34" i="1483"/>
  <c r="H34" i="1483"/>
  <c r="G49" i="1483" s="1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G49" i="1482" s="1"/>
  <c r="D36" i="1482"/>
  <c r="R35" i="1482"/>
  <c r="L19" i="1482" s="1"/>
  <c r="D19" i="1482" s="1"/>
  <c r="H35" i="1482"/>
  <c r="D35" i="1482"/>
  <c r="R34" i="1482"/>
  <c r="H34" i="1482"/>
  <c r="D34" i="1482"/>
  <c r="D54" i="1482" s="1"/>
  <c r="H14" i="1482" s="1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L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79" l="1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H15" i="1491" s="1"/>
  <c r="H29" i="1491" s="1"/>
  <c r="G51" i="1491" s="1"/>
  <c r="D29" i="1490"/>
  <c r="H13" i="1490" s="1"/>
  <c r="H15" i="1490" s="1"/>
  <c r="H29" i="1490" s="1"/>
  <c r="G51" i="1490" s="1"/>
  <c r="G51" i="1489"/>
  <c r="D29" i="1488"/>
  <c r="H13" i="1488" s="1"/>
  <c r="H15" i="1488" s="1"/>
  <c r="H29" i="1488" s="1"/>
  <c r="G51" i="1488"/>
  <c r="H15" i="1487"/>
  <c r="H29" i="1487" s="1"/>
  <c r="G51" i="1487"/>
  <c r="D29" i="1486"/>
  <c r="H13" i="1486" s="1"/>
  <c r="H15" i="1486" s="1"/>
  <c r="H29" i="1486" s="1"/>
  <c r="G51" i="1486" s="1"/>
  <c r="D29" i="1485"/>
  <c r="H13" i="1485" s="1"/>
  <c r="H15" i="1485" s="1"/>
  <c r="H29" i="1485" s="1"/>
  <c r="G51" i="1485"/>
  <c r="D29" i="1484"/>
  <c r="H13" i="1484" s="1"/>
  <c r="H15" i="1484" s="1"/>
  <c r="H29" i="1484" s="1"/>
  <c r="G51" i="1484" s="1"/>
  <c r="D29" i="1483"/>
  <c r="H13" i="1483" s="1"/>
  <c r="H15" i="1483" s="1"/>
  <c r="H29" i="1483" s="1"/>
  <c r="G51" i="1483" s="1"/>
  <c r="D29" i="1482"/>
  <c r="H13" i="1482" s="1"/>
  <c r="H15" i="1482" s="1"/>
  <c r="H29" i="1482" s="1"/>
  <c r="G51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H15" i="1479" l="1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<sst xmlns="http://schemas.openxmlformats.org/spreadsheetml/2006/main" count="10141" uniqueCount="171">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</sst>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078616-F302-41EB-973F-A8A4ECD899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2CDBB-8CF4-4166-8588-2B7AA74D3A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8CEA63-A93C-4C49-9287-68DC141EF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6251E4-A9F0-4DFA-92A4-1298CAF41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AD9C55-C613-4CF8-9729-113D667DF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8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8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45964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>
        <v>189</v>
      </c>
      <c r="D6" s="13">
        <f t="shared" ref="D6:D28" si="1">C6*L6</f>
        <v>139293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>
        <v>10</v>
      </c>
      <c r="D7" s="13">
        <f t="shared" si="1"/>
        <v>7250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>
        <v>1</v>
      </c>
      <c r="D8" s="13">
        <f t="shared" si="1"/>
        <v>1033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>
        <v>21</v>
      </c>
      <c r="D9" s="13">
        <f t="shared" si="1"/>
        <v>14847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>
        <v>1</v>
      </c>
      <c r="D11" s="13">
        <f t="shared" si="1"/>
        <v>1125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>
        <f>1+1</f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>
        <f>7</f>
        <v>7</v>
      </c>
      <c r="D13" s="48">
        <f t="shared" si="1"/>
        <v>2149</v>
      </c>
      <c r="F13" s="150" t="s">
        <v>36</v>
      </c>
      <c r="G13" s="151"/>
      <c r="H13" s="152">
        <f>D29</f>
        <v>176285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>
        <v>18</v>
      </c>
      <c r="D14" s="31">
        <f t="shared" si="1"/>
        <v>198</v>
      </c>
      <c r="F14" s="155" t="s">
        <v>39</v>
      </c>
      <c r="G14" s="156"/>
      <c r="H14" s="157">
        <f>D54</f>
        <v>26221.5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150063.5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89">
        <v>87612</v>
      </c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8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>
        <v>1</v>
      </c>
      <c r="D28" s="48">
        <f t="shared" si="1"/>
        <v>785</v>
      </c>
      <c r="F28" s="8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176285</v>
      </c>
      <c r="F29" s="173" t="s">
        <v>55</v>
      </c>
      <c r="G29" s="174"/>
      <c r="H29" s="177">
        <f>H15-H16-H17-H18-H19-H20-H22-H23-H24+H26+H27+H28</f>
        <v>237675.5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05">
        <f t="shared" ref="H34:H39" si="2">F34*G34</f>
        <v>120000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205">
        <f t="shared" si="2"/>
        <v>24000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205">
        <f t="shared" si="2"/>
        <v>200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205">
        <f t="shared" si="2"/>
        <v>3500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05">
        <f t="shared" si="2"/>
        <v>250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6</v>
      </c>
      <c r="D42" s="12">
        <f>C42*2.25</f>
        <v>13.5</v>
      </c>
      <c r="F42" s="39" t="s">
        <v>79</v>
      </c>
      <c r="G42" s="205">
        <v>2143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8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89">
        <v>87612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>
        <v>3</v>
      </c>
      <c r="D45" s="12">
        <f>C45*84</f>
        <v>252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237705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22</v>
      </c>
      <c r="D50" s="12">
        <f>C50*1.5</f>
        <v>33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34">
        <f>G49-H29</f>
        <v>29.5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45964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329</v>
      </c>
      <c r="D6" s="13">
        <f t="shared" ref="D6:D28" si="1">C6*L6</f>
        <v>242473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13</v>
      </c>
      <c r="D9" s="13">
        <f t="shared" si="1"/>
        <v>9191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10</v>
      </c>
      <c r="D13" s="48">
        <f t="shared" si="1"/>
        <v>3070</v>
      </c>
      <c r="F13" s="150" t="s">
        <v>36</v>
      </c>
      <c r="G13" s="151"/>
      <c r="H13" s="152">
        <f>D29</f>
        <v>254855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11</v>
      </c>
      <c r="D14" s="31">
        <f t="shared" si="1"/>
        <v>121</v>
      </c>
      <c r="F14" s="155" t="s">
        <v>39</v>
      </c>
      <c r="G14" s="156"/>
      <c r="H14" s="157">
        <f>D54</f>
        <v>38556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216299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1998+1071</f>
        <v>3069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8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254855</v>
      </c>
      <c r="F29" s="173" t="s">
        <v>55</v>
      </c>
      <c r="G29" s="174"/>
      <c r="H29" s="177">
        <f>H15-H16-H17-H18-H19-H20-H22-H23-H24+H26+H27</f>
        <v>213230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05">
        <f>F34*G34</f>
        <v>73000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205">
        <f t="shared" ref="H35:H39" si="2">F35*G35</f>
        <v>4500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5">
        <f>F36*G36</f>
        <v>400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105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8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89">
        <v>134760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85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10</v>
      </c>
      <c r="D49" s="12">
        <f>C49*42</f>
        <v>420</v>
      </c>
      <c r="F49" s="230" t="s">
        <v>86</v>
      </c>
      <c r="G49" s="177">
        <f>H34+H35+H36+H37+H38+H39+H40+H41+G42+H44+H45+H46</f>
        <v>212765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10</v>
      </c>
      <c r="D50" s="12">
        <f>C50*1.5</f>
        <v>15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-465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38556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45964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264</v>
      </c>
      <c r="D6" s="13">
        <f t="shared" ref="D6:D28" si="1">C6*L6</f>
        <v>194568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5</v>
      </c>
      <c r="D7" s="13">
        <f t="shared" si="1"/>
        <v>3625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44</v>
      </c>
      <c r="D9" s="13">
        <f t="shared" si="1"/>
        <v>31108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972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1</v>
      </c>
      <c r="D11" s="13">
        <f t="shared" si="1"/>
        <v>1125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1</f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5</v>
      </c>
      <c r="D13" s="48">
        <f t="shared" si="1"/>
        <v>1535</v>
      </c>
      <c r="F13" s="150" t="s">
        <v>36</v>
      </c>
      <c r="G13" s="151"/>
      <c r="H13" s="152">
        <f>D29</f>
        <v>237953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13</v>
      </c>
      <c r="D14" s="31">
        <f t="shared" si="1"/>
        <v>143</v>
      </c>
      <c r="F14" s="155" t="s">
        <v>39</v>
      </c>
      <c r="G14" s="156"/>
      <c r="H14" s="157">
        <f>D54</f>
        <v>37326.75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200626.25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840+990</f>
        <v>1830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5</v>
      </c>
      <c r="D28" s="48">
        <f t="shared" si="1"/>
        <v>3925</v>
      </c>
      <c r="F28" s="8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237953</v>
      </c>
      <c r="F29" s="173" t="s">
        <v>55</v>
      </c>
      <c r="G29" s="174"/>
      <c r="H29" s="177">
        <f>H15-H16-H17-H18-H19-H20-H22-H23-H24+H26+H27</f>
        <v>198796.25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205">
        <f>F34*G34</f>
        <v>103000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05">
        <f>F35*G35</f>
        <v>10000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05">
        <f t="shared" si="2"/>
        <v>700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05">
        <f t="shared" si="2"/>
        <v>150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5">
        <v>521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8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89">
        <v>84520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3</v>
      </c>
      <c r="D46" s="12">
        <f>C46*1.5</f>
        <v>4.5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198891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3</v>
      </c>
      <c r="D50" s="12">
        <f>C50*1.5</f>
        <v>4.5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34">
        <f>G49-H29</f>
        <v>94.75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37326.75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45965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45965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342</v>
      </c>
      <c r="D6" s="13">
        <f t="shared" ref="D6:D28" si="1">C6*L6</f>
        <v>252054</v>
      </c>
      <c r="F6" s="128" t="s">
        <v>16</v>
      </c>
      <c r="G6" s="130" t="s">
        <v>150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10</v>
      </c>
      <c r="D7" s="13">
        <f t="shared" si="1"/>
        <v>7250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50</v>
      </c>
      <c r="D9" s="13">
        <f t="shared" si="1"/>
        <v>35350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15</v>
      </c>
      <c r="D13" s="48">
        <f t="shared" si="1"/>
        <v>4605</v>
      </c>
      <c r="F13" s="150" t="s">
        <v>36</v>
      </c>
      <c r="G13" s="151"/>
      <c r="H13" s="152">
        <f>D29</f>
        <v>299270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</v>
      </c>
      <c r="D14" s="31">
        <f t="shared" si="1"/>
        <v>11</v>
      </c>
      <c r="F14" s="155" t="s">
        <v>39</v>
      </c>
      <c r="G14" s="156"/>
      <c r="H14" s="157">
        <f>D54</f>
        <v>49524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249746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399*9</f>
        <v>3591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299270</v>
      </c>
      <c r="F29" s="173" t="s">
        <v>55</v>
      </c>
      <c r="G29" s="174"/>
      <c r="H29" s="177">
        <f>H15-H16-H17-H18-H19-H20-H22-H23-H24+H26+H27</f>
        <v>246155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5">
        <f>F34*G34</f>
        <v>103000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05">
        <f t="shared" ref="H35:H39" si="2">F35*G35</f>
        <v>57500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5">
        <f>F36*G36</f>
        <v>200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205">
        <f t="shared" si="2"/>
        <v>70800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205">
        <f t="shared" si="2"/>
        <v>15250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20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9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31</v>
      </c>
      <c r="D49" s="12">
        <f>C49*42</f>
        <v>1302</v>
      </c>
      <c r="F49" s="230" t="s">
        <v>86</v>
      </c>
      <c r="G49" s="177">
        <f>H34+H35+H36+H37+H38+H39+H40+H41+G42+H44+H45+H46</f>
        <v>246770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156</v>
      </c>
      <c r="G51" s="234">
        <f>G49-H29</f>
        <v>615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49524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 t="s">
        <v>152</v>
      </c>
      <c r="H4" s="119" t="s">
        <v>9</v>
      </c>
      <c r="I4" s="121">
        <v>45965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703</v>
      </c>
      <c r="D6" s="13">
        <f t="shared" ref="D6:D28" si="1">C6*L6</f>
        <v>518111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16</v>
      </c>
      <c r="D7" s="13">
        <f t="shared" si="1"/>
        <v>11600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2</v>
      </c>
      <c r="D8" s="13">
        <f t="shared" si="1"/>
        <v>2066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147</v>
      </c>
      <c r="D9" s="13">
        <f t="shared" si="1"/>
        <v>103929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2</v>
      </c>
      <c r="D10" s="13">
        <f t="shared" si="1"/>
        <v>1944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3</v>
      </c>
      <c r="D11" s="13">
        <f t="shared" si="1"/>
        <v>3375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2+1</f>
        <v>3</v>
      </c>
      <c r="D12" s="48">
        <f t="shared" si="1"/>
        <v>2856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35</v>
      </c>
      <c r="D13" s="48">
        <f t="shared" si="1"/>
        <v>10745</v>
      </c>
      <c r="F13" s="150" t="s">
        <v>36</v>
      </c>
      <c r="G13" s="151"/>
      <c r="H13" s="152">
        <f>D29</f>
        <v>654670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4</v>
      </c>
      <c r="D14" s="31">
        <f t="shared" si="1"/>
        <v>44</v>
      </c>
      <c r="F14" s="155" t="s">
        <v>39</v>
      </c>
      <c r="G14" s="156"/>
      <c r="H14" s="157">
        <f>D54</f>
        <v>112054.5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542615.5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1794+3000+672</f>
        <v>5466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654670</v>
      </c>
      <c r="F29" s="173" t="s">
        <v>55</v>
      </c>
      <c r="G29" s="174"/>
      <c r="H29" s="177">
        <f>H15-H16-H17-H18-H19-H20-H22-H23-H24+H26+H27</f>
        <v>537149.5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205">
        <f>F34*G34</f>
        <v>29000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205">
        <f>F35*G35</f>
        <v>23000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205">
        <f t="shared" si="2"/>
        <v>200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8</v>
      </c>
      <c r="D42" s="12">
        <f>C42*2.25</f>
        <v>18</v>
      </c>
      <c r="F42" s="39" t="s">
        <v>79</v>
      </c>
      <c r="G42" s="205">
        <v>40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89">
        <v>302372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89">
        <v>182588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5</v>
      </c>
      <c r="D46" s="12">
        <f>C46*1.5</f>
        <v>7.5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8</v>
      </c>
      <c r="D49" s="12">
        <f>C49*42</f>
        <v>336</v>
      </c>
      <c r="F49" s="230" t="s">
        <v>86</v>
      </c>
      <c r="G49" s="177">
        <f>H34+H35+H36+H37+H38+H39+H40+H41+G42+H44+H45+H46</f>
        <v>537250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34">
        <f>G49-H29</f>
        <v>100.5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112054.5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 t="s">
        <v>153</v>
      </c>
      <c r="H4" s="119" t="s">
        <v>9</v>
      </c>
      <c r="I4" s="121">
        <v>45965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213</v>
      </c>
      <c r="D6" s="13">
        <f t="shared" ref="D6:D28" si="1">C6*L6</f>
        <v>156981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4</v>
      </c>
      <c r="D7" s="13">
        <f t="shared" si="1"/>
        <v>2900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10</v>
      </c>
      <c r="D9" s="13">
        <f t="shared" si="1"/>
        <v>7070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7</v>
      </c>
      <c r="D13" s="48">
        <f t="shared" si="1"/>
        <v>2149</v>
      </c>
      <c r="F13" s="150" t="s">
        <v>36</v>
      </c>
      <c r="G13" s="151"/>
      <c r="H13" s="152">
        <f>D29</f>
        <v>169353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23</v>
      </c>
      <c r="D14" s="31">
        <f t="shared" si="1"/>
        <v>253</v>
      </c>
      <c r="F14" s="155" t="s">
        <v>39</v>
      </c>
      <c r="G14" s="156"/>
      <c r="H14" s="157">
        <f>D54</f>
        <v>32837.25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136515.75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936+324</f>
        <v>1260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169353</v>
      </c>
      <c r="F29" s="173" t="s">
        <v>55</v>
      </c>
      <c r="G29" s="174"/>
      <c r="H29" s="177">
        <f>H15-H16-H17-H18-H19-H20-H22-H23-H24+H26+H27</f>
        <v>135255.75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205">
        <f>F34*G34</f>
        <v>98000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205">
        <f>F35*G35</f>
        <v>36500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205">
        <f t="shared" si="2"/>
        <v>500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5">
        <v>22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8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25</v>
      </c>
      <c r="D46" s="12">
        <f>C46*1.5</f>
        <v>37.5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3</v>
      </c>
      <c r="D49" s="12">
        <f>C49*42</f>
        <v>126</v>
      </c>
      <c r="F49" s="230" t="s">
        <v>86</v>
      </c>
      <c r="G49" s="177">
        <f>H34+H35+H36+H37+H38+H39+H40+H41+G42+H44+H45+H46</f>
        <v>135022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20</v>
      </c>
      <c r="D50" s="12">
        <f>C50*1.5</f>
        <v>30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-233.75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32837.25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topLeftCell="A1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45966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>
        <v>291</v>
      </c>
      <c r="D6" s="13">
        <f t="shared" ref="D6:D28" si="1">C6*L6</f>
        <v>214467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>
        <v>5</v>
      </c>
      <c r="D7" s="13">
        <f t="shared" si="1"/>
        <v>3625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>
        <v>25</v>
      </c>
      <c r="D9" s="13">
        <f t="shared" si="1"/>
        <v>17675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>
        <v>5</v>
      </c>
      <c r="D13" s="48">
        <f t="shared" si="1"/>
        <v>1535</v>
      </c>
      <c r="F13" s="150" t="s">
        <v>36</v>
      </c>
      <c r="G13" s="151"/>
      <c r="H13" s="152">
        <f>D29</f>
        <v>238949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>
        <v>7</v>
      </c>
      <c r="D14" s="31">
        <f t="shared" si="1"/>
        <v>77</v>
      </c>
      <c r="F14" s="155" t="s">
        <v>39</v>
      </c>
      <c r="G14" s="156"/>
      <c r="H14" s="157">
        <f>D54</f>
        <v>35661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203288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>
        <v>2</v>
      </c>
      <c r="D28" s="48">
        <f t="shared" si="1"/>
        <v>1570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238949</v>
      </c>
      <c r="F29" s="173" t="s">
        <v>55</v>
      </c>
      <c r="G29" s="174"/>
      <c r="H29" s="177">
        <f>H15-H16-H17-H18-H19-H20-H22-H23-H24+H26+H27+H28</f>
        <v>203288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205">
        <f t="shared" ref="H34:H39" si="2">F34*G34</f>
        <v>119000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5">
        <f t="shared" si="2"/>
        <v>40000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5">
        <f t="shared" si="2"/>
        <v>400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205">
        <f t="shared" si="2"/>
        <v>11300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205">
        <f t="shared" si="2"/>
        <v>1500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394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 t="s">
        <v>157</v>
      </c>
      <c r="G44" s="62"/>
      <c r="H44" s="189">
        <v>30000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15</v>
      </c>
      <c r="D46" s="12">
        <f>C46*1.5</f>
        <v>22.5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202614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15</v>
      </c>
      <c r="D50" s="12">
        <f>C50*1.5</f>
        <v>22.5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-674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45966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268</v>
      </c>
      <c r="D6" s="13">
        <f t="shared" ref="D6:D28" si="1">C6*L6</f>
        <v>197516</v>
      </c>
      <c r="F6" s="128" t="s">
        <v>16</v>
      </c>
      <c r="G6" s="130" t="s">
        <v>150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5</v>
      </c>
      <c r="D7" s="13">
        <f t="shared" si="1"/>
        <v>3625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15</v>
      </c>
      <c r="D9" s="13">
        <f t="shared" si="1"/>
        <v>10605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6</v>
      </c>
      <c r="D12" s="48">
        <f t="shared" si="1"/>
        <v>5712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11</v>
      </c>
      <c r="D13" s="48">
        <f t="shared" si="1"/>
        <v>3377</v>
      </c>
      <c r="F13" s="150" t="s">
        <v>36</v>
      </c>
      <c r="G13" s="151"/>
      <c r="H13" s="152">
        <f>D29</f>
        <v>236512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7</v>
      </c>
      <c r="D14" s="31">
        <f t="shared" si="1"/>
        <v>77</v>
      </c>
      <c r="F14" s="155" t="s">
        <v>39</v>
      </c>
      <c r="G14" s="156"/>
      <c r="H14" s="157">
        <f>D54</f>
        <v>59487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177025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1683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236512</v>
      </c>
      <c r="F29" s="173" t="s">
        <v>55</v>
      </c>
      <c r="G29" s="174"/>
      <c r="H29" s="177">
        <f>H15-H16-H17-H18-H19-H20-H22-H23-H24+H26+H27</f>
        <v>175342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05">
        <f>F34*G34</f>
        <v>51000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205">
        <f t="shared" ref="H35:H39" si="2">F35*G35</f>
        <v>16500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5">
        <f>F36*G36</f>
        <v>400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205">
        <f t="shared" si="2"/>
        <v>2700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205">
        <f t="shared" si="2"/>
        <v>1500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5">
        <f t="shared" si="2"/>
        <v>40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1024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89">
        <v>102187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9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175351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3</v>
      </c>
      <c r="D50" s="12">
        <f>C50*1.5</f>
        <v>4.5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156</v>
      </c>
      <c r="G51" s="234">
        <f>G49-H29</f>
        <v>9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59487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45966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238</v>
      </c>
      <c r="D6" s="13">
        <f t="shared" ref="D6:D28" si="1">C6*L6</f>
        <v>175406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3</v>
      </c>
      <c r="D7" s="13">
        <f t="shared" si="1"/>
        <v>2175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24</v>
      </c>
      <c r="D9" s="13">
        <f t="shared" si="1"/>
        <v>16968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1</v>
      </c>
      <c r="D11" s="13">
        <f t="shared" si="1"/>
        <v>1125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15</v>
      </c>
      <c r="D13" s="48">
        <f t="shared" si="1"/>
        <v>4605</v>
      </c>
      <c r="F13" s="150" t="s">
        <v>36</v>
      </c>
      <c r="G13" s="151"/>
      <c r="H13" s="152">
        <f>D29</f>
        <v>202370.5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21</v>
      </c>
      <c r="D14" s="31">
        <f t="shared" si="1"/>
        <v>231</v>
      </c>
      <c r="F14" s="155" t="s">
        <v>39</v>
      </c>
      <c r="G14" s="156"/>
      <c r="H14" s="157">
        <f>D54</f>
        <v>19476.75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182893.75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864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>
        <v>12</v>
      </c>
      <c r="D26" s="48">
        <f t="shared" si="1"/>
        <v>434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202370.5</v>
      </c>
      <c r="F29" s="173" t="s">
        <v>55</v>
      </c>
      <c r="G29" s="174"/>
      <c r="H29" s="177">
        <f>H15-H16-H17-H18-H19-H20-H22-H23-H24+H26+H27</f>
        <v>182029.75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205">
        <f>F34*G34</f>
        <v>136000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05">
        <f>F35*G35</f>
        <v>38500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205">
        <f t="shared" ref="H36:H39" si="2">F36*G36</f>
        <v>800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205">
        <f t="shared" si="2"/>
        <v>6600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05">
        <f t="shared" si="2"/>
        <v>200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3</v>
      </c>
      <c r="D42" s="12">
        <f>C42*2.25</f>
        <v>6.75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15</v>
      </c>
      <c r="D46" s="12">
        <f>C46*1.5</f>
        <v>22.5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182120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38</v>
      </c>
      <c r="D50" s="12">
        <f>C50*1.5</f>
        <v>57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34">
        <f>G49-H29</f>
        <v>90.25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19476.75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45967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>
        <v>134</v>
      </c>
      <c r="D6" s="13">
        <f t="shared" ref="D6:D28" si="1">C6*L6</f>
        <v>98758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>
        <v>6</v>
      </c>
      <c r="D9" s="13">
        <f t="shared" si="1"/>
        <v>4242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>
        <v>3</v>
      </c>
      <c r="D13" s="48">
        <f t="shared" si="1"/>
        <v>921</v>
      </c>
      <c r="F13" s="150" t="s">
        <v>36</v>
      </c>
      <c r="G13" s="151"/>
      <c r="H13" s="152">
        <f>D29</f>
        <v>106155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>
        <v>4</v>
      </c>
      <c r="D14" s="31">
        <f t="shared" si="1"/>
        <v>44</v>
      </c>
      <c r="F14" s="155" t="s">
        <v>39</v>
      </c>
      <c r="G14" s="156"/>
      <c r="H14" s="157">
        <f>D54</f>
        <v>15195.75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>
        <v>1</v>
      </c>
      <c r="D15" s="31">
        <f t="shared" si="1"/>
        <v>620</v>
      </c>
      <c r="F15" s="160" t="s">
        <v>40</v>
      </c>
      <c r="G15" s="151"/>
      <c r="H15" s="161">
        <f>H13-H14</f>
        <v>90959.25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>
        <v>2</v>
      </c>
      <c r="D28" s="48">
        <f t="shared" si="1"/>
        <v>1570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106155</v>
      </c>
      <c r="F29" s="173" t="s">
        <v>55</v>
      </c>
      <c r="G29" s="174"/>
      <c r="H29" s="177">
        <f>H15-H16-H17-H18-H19-H20-H22-H23-H24+H26+H27+H28</f>
        <v>90959.25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205">
        <f t="shared" ref="H34:H39" si="2">F34*G34</f>
        <v>81000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05">
        <f t="shared" si="2"/>
        <v>5000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205">
        <f t="shared" si="2"/>
        <v>4400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205">
        <f t="shared" si="2"/>
        <v>350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</v>
      </c>
      <c r="D42" s="12">
        <f>C42*2.25</f>
        <v>2.25</v>
      </c>
      <c r="F42" s="39" t="s">
        <v>79</v>
      </c>
      <c r="G42" s="205">
        <v>80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90830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75</v>
      </c>
      <c r="D50" s="12">
        <f>C50*1.5</f>
        <v>112.5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-129.25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45967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196</v>
      </c>
      <c r="D6" s="13">
        <f t="shared" ref="D6:D28" si="1">C6*L6</f>
        <v>144452</v>
      </c>
      <c r="F6" s="128" t="s">
        <v>16</v>
      </c>
      <c r="G6" s="130" t="s">
        <v>150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4</v>
      </c>
      <c r="D7" s="13">
        <f t="shared" si="1"/>
        <v>2900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8</v>
      </c>
      <c r="D9" s="13">
        <f t="shared" si="1"/>
        <v>5656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972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1</v>
      </c>
      <c r="D11" s="13">
        <f t="shared" si="1"/>
        <v>1125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4</v>
      </c>
      <c r="D13" s="48">
        <f t="shared" si="1"/>
        <v>1228</v>
      </c>
      <c r="F13" s="150" t="s">
        <v>36</v>
      </c>
      <c r="G13" s="151"/>
      <c r="H13" s="152">
        <f>D29</f>
        <v>158246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16</v>
      </c>
      <c r="D14" s="31">
        <f t="shared" si="1"/>
        <v>176</v>
      </c>
      <c r="F14" s="155" t="s">
        <v>39</v>
      </c>
      <c r="G14" s="156"/>
      <c r="H14" s="157">
        <f>D54</f>
        <v>23723.25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134522.75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656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4">
        <v>50</v>
      </c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1</v>
      </c>
      <c r="D28" s="48">
        <f t="shared" si="1"/>
        <v>785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158246</v>
      </c>
      <c r="F29" s="173" t="s">
        <v>55</v>
      </c>
      <c r="G29" s="174"/>
      <c r="H29" s="177">
        <f>H15-H16-H17-H18-H19-H20-H22-H23-H24+H26+H27</f>
        <v>133816.75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205">
        <f>F34*G34</f>
        <v>87000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05">
        <f t="shared" ref="H35:H39" si="2">F35*G35</f>
        <v>43000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205">
        <f>F36*G36</f>
        <v>200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205">
        <f t="shared" si="2"/>
        <v>2800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05">
        <f t="shared" si="2"/>
        <v>100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5">
        <v>92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3</v>
      </c>
      <c r="D45" s="12">
        <f>C45*84</f>
        <v>252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13</v>
      </c>
      <c r="D46" s="12">
        <f>C46*1.5</f>
        <v>19.5</v>
      </c>
      <c r="F46" s="37"/>
      <c r="G46" s="9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133192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36</v>
      </c>
      <c r="D50" s="12">
        <f>C50*1.5</f>
        <v>54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-624.75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23723.25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45967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522</v>
      </c>
      <c r="D6" s="13">
        <f t="shared" ref="D6:D28" si="1">C6*L6</f>
        <v>384714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20</v>
      </c>
      <c r="D7" s="13">
        <f t="shared" si="1"/>
        <v>14500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1</v>
      </c>
      <c r="D8" s="13">
        <f t="shared" si="1"/>
        <v>1033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112</v>
      </c>
      <c r="D9" s="13">
        <f t="shared" si="1"/>
        <v>79184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2</v>
      </c>
      <c r="D10" s="13">
        <f t="shared" si="1"/>
        <v>1944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</v>
      </c>
      <c r="D11" s="13">
        <f t="shared" si="1"/>
        <v>2250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26</v>
      </c>
      <c r="D13" s="48">
        <f t="shared" si="1"/>
        <v>7982</v>
      </c>
      <c r="F13" s="150" t="s">
        <v>36</v>
      </c>
      <c r="G13" s="151"/>
      <c r="H13" s="152">
        <f>D29</f>
        <v>494817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6</v>
      </c>
      <c r="D14" s="31">
        <f t="shared" si="1"/>
        <v>66</v>
      </c>
      <c r="F14" s="155" t="s">
        <v>39</v>
      </c>
      <c r="G14" s="156"/>
      <c r="H14" s="157">
        <f>D54</f>
        <v>57405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>
        <v>1</v>
      </c>
      <c r="D15" s="31">
        <f t="shared" si="1"/>
        <v>620</v>
      </c>
      <c r="F15" s="160" t="s">
        <v>40</v>
      </c>
      <c r="G15" s="151"/>
      <c r="H15" s="161">
        <f>H13-H14</f>
        <v>437412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2250+360</f>
        <v>2610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494817</v>
      </c>
      <c r="F29" s="173" t="s">
        <v>55</v>
      </c>
      <c r="G29" s="174"/>
      <c r="H29" s="177">
        <f>H15-H16-H17-H18-H19-H20-H22-H23-H24+H26+H27</f>
        <v>434802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205">
        <f>F34*G34</f>
        <v>42000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5">
        <f>F35*G35</f>
        <v>19000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89">
        <v>226005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89">
        <v>147693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15</v>
      </c>
      <c r="D49" s="12">
        <f>C49*42</f>
        <v>630</v>
      </c>
      <c r="F49" s="230" t="s">
        <v>86</v>
      </c>
      <c r="G49" s="177">
        <f>H34+H35+H36+H37+H38+H39+H40+H41+G42+H44+H45+H46</f>
        <v>434698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</v>
      </c>
      <c r="D50" s="12">
        <f>C50*1.5</f>
        <v>3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-104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57405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45968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>
        <v>257</v>
      </c>
      <c r="D6" s="13">
        <f t="shared" ref="D6:D28" si="1">C6*L6</f>
        <v>189409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>
        <v>10</v>
      </c>
      <c r="D7" s="13">
        <f t="shared" si="1"/>
        <v>7250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>
        <v>5</v>
      </c>
      <c r="D8" s="13">
        <f t="shared" si="1"/>
        <v>5165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>
        <v>32</v>
      </c>
      <c r="D9" s="13">
        <f t="shared" si="1"/>
        <v>22624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>
        <v>2</v>
      </c>
      <c r="D10" s="13">
        <f t="shared" si="1"/>
        <v>1944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>
        <v>3</v>
      </c>
      <c r="D12" s="48">
        <f t="shared" si="1"/>
        <v>2856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>
        <v>10</v>
      </c>
      <c r="D13" s="48">
        <f t="shared" si="1"/>
        <v>3070</v>
      </c>
      <c r="F13" s="150" t="s">
        <v>36</v>
      </c>
      <c r="G13" s="151"/>
      <c r="H13" s="152">
        <f>D29</f>
        <v>241468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35980.5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205487.5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7">
        <v>62969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0">
        <v>2504</v>
      </c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89">
        <v>72491</v>
      </c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>
        <v>10</v>
      </c>
      <c r="D28" s="48">
        <f t="shared" si="1"/>
        <v>7850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241468</v>
      </c>
      <c r="F29" s="173" t="s">
        <v>55</v>
      </c>
      <c r="G29" s="174"/>
      <c r="H29" s="177">
        <f>H15-H16-H17-H18-H19-H20-H22-H23-H24+H26+H27+H28</f>
        <v>212505.5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205">
        <f t="shared" ref="H34:H39" si="2">F34*G34</f>
        <v>107000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05">
        <f t="shared" si="2"/>
        <v>15500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5">
        <f t="shared" si="2"/>
        <v>400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205">
        <f t="shared" si="2"/>
        <v>3100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205">
        <f t="shared" si="2"/>
        <v>300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205">
        <f t="shared" si="2"/>
        <v>180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2</v>
      </c>
      <c r="D42" s="12">
        <f>C42*2.25</f>
        <v>4.5</v>
      </c>
      <c r="F42" s="39" t="s">
        <v>79</v>
      </c>
      <c r="G42" s="205">
        <v>51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89">
        <v>13593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 t="s">
        <v>157</v>
      </c>
      <c r="G45" s="62"/>
      <c r="H45" s="189">
        <v>72491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4</v>
      </c>
      <c r="D46" s="12">
        <f>C46*1.5</f>
        <v>6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2</v>
      </c>
      <c r="D49" s="12">
        <f>C49*42</f>
        <v>84</v>
      </c>
      <c r="F49" s="230" t="s">
        <v>86</v>
      </c>
      <c r="G49" s="177">
        <f>H34+H35+H36+H37+H38+H39+H40+H41+G42+H44+H45+H46</f>
        <v>212615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13</v>
      </c>
      <c r="D50" s="12">
        <f>C50*1.5</f>
        <v>19.5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34">
        <f>G49-H29</f>
        <v>109.5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45968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9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45968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211</v>
      </c>
      <c r="D6" s="13">
        <f t="shared" ref="D6:D28" si="1">C6*L6</f>
        <v>155507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</v>
      </c>
      <c r="D7" s="13">
        <f t="shared" si="1"/>
        <v>1450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138</v>
      </c>
      <c r="D9" s="13">
        <f t="shared" si="1"/>
        <v>97566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972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</v>
      </c>
      <c r="D11" s="13">
        <f t="shared" si="1"/>
        <v>2250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</v>
      </c>
      <c r="D13" s="48">
        <f t="shared" si="1"/>
        <v>307</v>
      </c>
      <c r="F13" s="150" t="s">
        <v>36</v>
      </c>
      <c r="G13" s="151"/>
      <c r="H13" s="152">
        <f>D29</f>
        <v>259191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17</v>
      </c>
      <c r="D14" s="31">
        <f t="shared" si="1"/>
        <v>187</v>
      </c>
      <c r="F14" s="155" t="s">
        <v>39</v>
      </c>
      <c r="G14" s="156"/>
      <c r="H14" s="157">
        <f>D54</f>
        <v>36323.25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222867.75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1608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259191</v>
      </c>
      <c r="F29" s="173" t="s">
        <v>55</v>
      </c>
      <c r="G29" s="174"/>
      <c r="H29" s="177">
        <f>H15-H16-H17-H18-H19-H20-H22-H23-H24+H26+H27</f>
        <v>221259.75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205">
        <f>F34*G34</f>
        <v>15000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205">
        <f>F35*G35</f>
        <v>42500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89">
        <v>163678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2</v>
      </c>
      <c r="D46" s="12">
        <f>C46*1.5</f>
        <v>3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221178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5</v>
      </c>
      <c r="D50" s="12">
        <f>C50*1.5</f>
        <v>7.5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-81.75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36323.25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45969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>
        <v>593</v>
      </c>
      <c r="D6" s="13">
        <f t="shared" ref="D6:D28" si="1">C6*L6</f>
        <v>437041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>
        <v>5</v>
      </c>
      <c r="D7" s="13">
        <f t="shared" si="1"/>
        <v>3625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>
        <v>42</v>
      </c>
      <c r="D9" s="13">
        <f t="shared" si="1"/>
        <v>29694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>
        <v>23</v>
      </c>
      <c r="D13" s="48">
        <f t="shared" si="1"/>
        <v>7061</v>
      </c>
      <c r="F13" s="150" t="s">
        <v>36</v>
      </c>
      <c r="G13" s="151"/>
      <c r="H13" s="152">
        <f>D29</f>
        <v>477597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>
        <v>16</v>
      </c>
      <c r="D14" s="31">
        <f t="shared" si="1"/>
        <v>176</v>
      </c>
      <c r="F14" s="155" t="s">
        <v>39</v>
      </c>
      <c r="G14" s="156"/>
      <c r="H14" s="157">
        <f>D54</f>
        <v>55938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421659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>
        <f>4968</f>
        <v>4968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477597</v>
      </c>
      <c r="F29" s="173" t="s">
        <v>55</v>
      </c>
      <c r="G29" s="174"/>
      <c r="H29" s="177">
        <f>H15-H16-H17-H18-H19-H20-H22-H23-H24+H26+H27+H28</f>
        <v>416691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205">
        <f t="shared" ref="H34:H39" si="2">F34*G34</f>
        <v>206000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205">
        <f t="shared" si="2"/>
        <v>149000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205">
        <f t="shared" si="2"/>
        <v>300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83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89">
        <v>61244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7</v>
      </c>
      <c r="D46" s="12">
        <f>C46*1.5</f>
        <v>10.5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7</v>
      </c>
      <c r="D49" s="12">
        <f>C49*42</f>
        <v>294</v>
      </c>
      <c r="F49" s="230" t="s">
        <v>86</v>
      </c>
      <c r="G49" s="177">
        <f>H34+H35+H36+H37+H38+H39+H40+H41+G42+H44+H45+H46</f>
        <v>416677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3</v>
      </c>
      <c r="D50" s="12">
        <f>C50*1.5</f>
        <v>4.5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-14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45969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119</v>
      </c>
      <c r="D6" s="13">
        <f t="shared" ref="D6:D28" si="1">C6*L6</f>
        <v>87703</v>
      </c>
      <c r="F6" s="128" t="s">
        <v>16</v>
      </c>
      <c r="G6" s="130" t="s">
        <v>150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8</v>
      </c>
      <c r="D7" s="13">
        <f t="shared" si="1"/>
        <v>5800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17</v>
      </c>
      <c r="D9" s="13">
        <f t="shared" si="1"/>
        <v>12019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4</v>
      </c>
      <c r="D13" s="48">
        <f t="shared" si="1"/>
        <v>1228</v>
      </c>
      <c r="F13" s="150" t="s">
        <v>36</v>
      </c>
      <c r="G13" s="151"/>
      <c r="H13" s="152">
        <f>D29</f>
        <v>109447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13</v>
      </c>
      <c r="D14" s="31">
        <f t="shared" si="1"/>
        <v>143</v>
      </c>
      <c r="F14" s="155" t="s">
        <v>39</v>
      </c>
      <c r="G14" s="156"/>
      <c r="H14" s="157">
        <f>D54</f>
        <v>16447.5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92999.5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109447</v>
      </c>
      <c r="F29" s="173" t="s">
        <v>55</v>
      </c>
      <c r="G29" s="174"/>
      <c r="H29" s="177">
        <f>H15-H16-H17-H18-H19-H20-H22-H23-H24+H26+H27</f>
        <v>92999.5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205">
        <f>F34*G34</f>
        <v>67000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05">
        <f t="shared" ref="H35:H39" si="2">F35*G35</f>
        <v>15000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05">
        <f>F36*G36</f>
        <v>200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205">
        <f t="shared" si="2"/>
        <v>10600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197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13</v>
      </c>
      <c r="D46" s="12">
        <f>C46*1.5</f>
        <v>19.5</v>
      </c>
      <c r="F46" s="37"/>
      <c r="G46" s="9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93047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6</v>
      </c>
      <c r="D50" s="12">
        <f>C50*1.5</f>
        <v>9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156</v>
      </c>
      <c r="G51" s="234">
        <f>G49-H29</f>
        <v>47.5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16447.5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45969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313</v>
      </c>
      <c r="D6" s="13">
        <f t="shared" ref="D6:D28" si="1">C6*L6</f>
        <v>230681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18</v>
      </c>
      <c r="D7" s="13">
        <f t="shared" si="1"/>
        <v>13050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40</v>
      </c>
      <c r="D9" s="13">
        <f t="shared" si="1"/>
        <v>28280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7</v>
      </c>
      <c r="D13" s="48">
        <f t="shared" si="1"/>
        <v>2149</v>
      </c>
      <c r="F13" s="150" t="s">
        <v>36</v>
      </c>
      <c r="G13" s="151"/>
      <c r="H13" s="152">
        <f>D29</f>
        <v>287432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35280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252152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690+306+1020</f>
        <v>2016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287432</v>
      </c>
      <c r="F29" s="173" t="s">
        <v>55</v>
      </c>
      <c r="G29" s="174"/>
      <c r="H29" s="177">
        <f>H15-H16-H17-H18-H19-H20-H22-H23-H24+H26+H27</f>
        <v>250136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205">
        <f>F34*G34</f>
        <v>225000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05">
        <f>F35*G35</f>
        <v>24500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205">
        <f t="shared" si="2"/>
        <v>400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05">
        <f t="shared" si="2"/>
        <v>100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2</v>
      </c>
      <c r="D42" s="12">
        <f>C42*2.25</f>
        <v>4.5</v>
      </c>
      <c r="F42" s="39" t="s">
        <v>79</v>
      </c>
      <c r="G42" s="205">
        <v>757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15</v>
      </c>
      <c r="D46" s="12">
        <f>C46*1.5</f>
        <v>22.5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7</v>
      </c>
      <c r="D49" s="12">
        <f>C49*42</f>
        <v>294</v>
      </c>
      <c r="F49" s="230" t="s">
        <v>86</v>
      </c>
      <c r="G49" s="177">
        <f>H34+H35+H36+H37+H38+H39+H40+H41+G42+H44+H45+H46</f>
        <v>250757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9</v>
      </c>
      <c r="D50" s="12">
        <f>C50*1.5</f>
        <v>13.5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34">
        <f>G49-H29</f>
        <v>621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35280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45971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>
        <v>104</v>
      </c>
      <c r="D6" s="13">
        <f t="shared" ref="D6:D28" si="1">C6*L6</f>
        <v>76648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>
        <v>8</v>
      </c>
      <c r="D7" s="13">
        <f t="shared" si="1"/>
        <v>5800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>
        <v>2</v>
      </c>
      <c r="D8" s="13">
        <f t="shared" si="1"/>
        <v>2066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>
        <v>6</v>
      </c>
      <c r="D9" s="13">
        <f t="shared" si="1"/>
        <v>4242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>
        <v>2</v>
      </c>
      <c r="D10" s="13">
        <f t="shared" si="1"/>
        <v>1944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>
        <v>1</v>
      </c>
      <c r="D11" s="13">
        <f t="shared" si="1"/>
        <v>1125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>
        <v>1</v>
      </c>
      <c r="D13" s="48">
        <f t="shared" si="1"/>
        <v>307</v>
      </c>
      <c r="F13" s="150" t="s">
        <v>36</v>
      </c>
      <c r="G13" s="151"/>
      <c r="H13" s="152">
        <f>D29</f>
        <v>95117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>
        <v>13</v>
      </c>
      <c r="D14" s="31">
        <f t="shared" si="1"/>
        <v>143</v>
      </c>
      <c r="F14" s="155" t="s">
        <v>39</v>
      </c>
      <c r="G14" s="156"/>
      <c r="H14" s="157">
        <f>D54</f>
        <v>13739.25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>
        <v>2</v>
      </c>
      <c r="D15" s="31">
        <f t="shared" si="1"/>
        <v>1240</v>
      </c>
      <c r="F15" s="160" t="s">
        <v>40</v>
      </c>
      <c r="G15" s="151"/>
      <c r="H15" s="161">
        <f>H13-H14</f>
        <v>81377.75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9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95117</v>
      </c>
      <c r="F29" s="173" t="s">
        <v>55</v>
      </c>
      <c r="G29" s="174"/>
      <c r="H29" s="177">
        <f>H15-H16-H17-H18-H19-H20-H22-H23-H24+H26+H27+H28</f>
        <v>81377.75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205">
        <f t="shared" ref="H34:H39" si="2">F34*G34</f>
        <v>49000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05">
        <f t="shared" si="2"/>
        <v>7000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205">
        <f t="shared" si="2"/>
        <v>400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205">
        <f t="shared" si="2"/>
        <v>1700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205">
        <f t="shared" si="2"/>
        <v>1350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5">
        <v>38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89">
        <v>21910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>
        <v>3</v>
      </c>
      <c r="D45" s="12">
        <f>C45*84</f>
        <v>252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14</v>
      </c>
      <c r="D46" s="12">
        <f>C46*1.5</f>
        <v>21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81398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14</v>
      </c>
      <c r="D50" s="12">
        <f>C50*1.5</f>
        <v>21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34">
        <f>G49-H29</f>
        <v>20.25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45971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173</v>
      </c>
      <c r="D6" s="13">
        <f t="shared" ref="D6:D28" si="1">C6*L6</f>
        <v>127501</v>
      </c>
      <c r="F6" s="128" t="s">
        <v>16</v>
      </c>
      <c r="G6" s="130" t="s">
        <v>150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7</v>
      </c>
      <c r="D7" s="13">
        <f t="shared" si="1"/>
        <v>5075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23</v>
      </c>
      <c r="D9" s="13">
        <f t="shared" si="1"/>
        <v>16261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1+1+1</f>
        <v>3</v>
      </c>
      <c r="D12" s="48">
        <f t="shared" si="1"/>
        <v>2856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6</v>
      </c>
      <c r="D13" s="48">
        <f t="shared" si="1"/>
        <v>1842</v>
      </c>
      <c r="F13" s="150" t="s">
        <v>36</v>
      </c>
      <c r="G13" s="151"/>
      <c r="H13" s="152">
        <f>D29</f>
        <v>153590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5</v>
      </c>
      <c r="D14" s="31">
        <f t="shared" si="1"/>
        <v>55</v>
      </c>
      <c r="F14" s="155" t="s">
        <v>39</v>
      </c>
      <c r="G14" s="156"/>
      <c r="H14" s="157">
        <f>D54</f>
        <v>23355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130235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153590</v>
      </c>
      <c r="F29" s="173" t="s">
        <v>55</v>
      </c>
      <c r="G29" s="174"/>
      <c r="H29" s="177">
        <f>H15-H16-H17-H18-H19-H20-H22-H23-H24+H26+H27</f>
        <v>130235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5">
        <f>F34*G34</f>
        <v>103000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5">
        <f t="shared" ref="H35:H39" si="2">F35*G35</f>
        <v>19000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05">
        <f>F36*G36</f>
        <v>200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205">
        <f t="shared" si="2"/>
        <v>2400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205">
        <f t="shared" si="2"/>
        <v>1100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4</v>
      </c>
      <c r="D42" s="12">
        <f>C42*2.25</f>
        <v>9</v>
      </c>
      <c r="F42" s="39" t="s">
        <v>79</v>
      </c>
      <c r="G42" s="205">
        <v>232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89">
        <v>3118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8</v>
      </c>
      <c r="D46" s="12">
        <f>C46*1.5</f>
        <v>12</v>
      </c>
      <c r="F46" s="37"/>
      <c r="G46" s="9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129070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10</v>
      </c>
      <c r="D50" s="12">
        <f>C50*1.5</f>
        <v>15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-1165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23355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45971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261</v>
      </c>
      <c r="D6" s="13">
        <f t="shared" ref="D6:D28" si="1">C6*L6</f>
        <v>192357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72</v>
      </c>
      <c r="D9" s="13">
        <f t="shared" si="1"/>
        <v>50904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3</v>
      </c>
      <c r="D11" s="13">
        <f t="shared" si="1"/>
        <v>3375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5+3</f>
        <v>8</v>
      </c>
      <c r="D12" s="48">
        <f t="shared" si="1"/>
        <v>7616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12</v>
      </c>
      <c r="D13" s="48">
        <f t="shared" si="1"/>
        <v>3684</v>
      </c>
      <c r="F13" s="150" t="s">
        <v>36</v>
      </c>
      <c r="G13" s="151"/>
      <c r="H13" s="152">
        <f>D29</f>
        <v>259983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17</v>
      </c>
      <c r="D14" s="31">
        <f t="shared" si="1"/>
        <v>187</v>
      </c>
      <c r="F14" s="155" t="s">
        <v>39</v>
      </c>
      <c r="G14" s="156"/>
      <c r="H14" s="157">
        <f>D54</f>
        <v>44370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>
        <v>3</v>
      </c>
      <c r="D15" s="31">
        <f t="shared" si="1"/>
        <v>1860</v>
      </c>
      <c r="F15" s="160" t="s">
        <v>40</v>
      </c>
      <c r="G15" s="151"/>
      <c r="H15" s="161">
        <f>H13-H14</f>
        <v>215613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1248</f>
        <v>1248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259983</v>
      </c>
      <c r="F29" s="173" t="s">
        <v>55</v>
      </c>
      <c r="G29" s="174"/>
      <c r="H29" s="177">
        <f>H15-H16-H17-H18-H19-H20-H22-H23-H24+H26+H27</f>
        <v>214365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05">
        <f>F34*G34</f>
        <v>25000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05">
        <f>F35*G35</f>
        <v>7000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205">
        <f t="shared" si="2"/>
        <v>300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205">
        <f t="shared" si="2"/>
        <v>100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97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89">
        <v>125184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89">
        <v>56466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6</v>
      </c>
      <c r="D49" s="12">
        <f>C49*42</f>
        <v>252</v>
      </c>
      <c r="F49" s="230" t="s">
        <v>86</v>
      </c>
      <c r="G49" s="177">
        <f>H34+H35+H36+H37+H38+H39+H40+H41+G42+H44+H45+H46</f>
        <v>214147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9</v>
      </c>
      <c r="D50" s="12">
        <f>C50*1.5</f>
        <v>13.5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-218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44370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45972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>
        <v>301</v>
      </c>
      <c r="D6" s="13">
        <f t="shared" ref="D6:D28" si="1">C6*L6</f>
        <v>221837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>
        <v>12</v>
      </c>
      <c r="D7" s="13">
        <f t="shared" si="1"/>
        <v>8700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>
        <v>21</v>
      </c>
      <c r="D9" s="13">
        <f t="shared" si="1"/>
        <v>14847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>
        <v>2</v>
      </c>
      <c r="D11" s="13">
        <f t="shared" si="1"/>
        <v>2250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>
        <f>2+1</f>
        <v>3</v>
      </c>
      <c r="D12" s="48">
        <f t="shared" si="1"/>
        <v>2856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>
        <v>5</v>
      </c>
      <c r="D13" s="48">
        <f t="shared" si="1"/>
        <v>1535</v>
      </c>
      <c r="F13" s="150" t="s">
        <v>36</v>
      </c>
      <c r="G13" s="151"/>
      <c r="H13" s="152">
        <f>D29</f>
        <v>256893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>
        <v>19</v>
      </c>
      <c r="D14" s="31">
        <f t="shared" si="1"/>
        <v>209</v>
      </c>
      <c r="F14" s="155" t="s">
        <v>39</v>
      </c>
      <c r="G14" s="156"/>
      <c r="H14" s="157">
        <f>D54</f>
        <v>38674.5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218218.5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169</v>
      </c>
      <c r="C26" s="89">
        <v>12</v>
      </c>
      <c r="D26" s="48">
        <f t="shared" si="1"/>
        <v>444</v>
      </c>
      <c r="F26" s="75"/>
      <c r="G26" s="65"/>
      <c r="H26" s="189"/>
      <c r="I26" s="189"/>
      <c r="J26" s="189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10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>
        <v>3</v>
      </c>
      <c r="D28" s="48">
        <f t="shared" si="1"/>
        <v>2355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256893</v>
      </c>
      <c r="F29" s="173" t="s">
        <v>55</v>
      </c>
      <c r="G29" s="174"/>
      <c r="H29" s="177">
        <f>H15-H16-H17-H18-H19-H20-H22-H23-H24+H26+H27+H28</f>
        <v>218218.5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205">
        <f t="shared" ref="H34:H39" si="2">F34*G34</f>
        <v>176000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205">
        <f t="shared" si="2"/>
        <v>24500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205">
        <f t="shared" si="2"/>
        <v>600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205">
        <f t="shared" si="2"/>
        <v>6100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205">
        <f t="shared" si="2"/>
        <v>1000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8</v>
      </c>
      <c r="D42" s="12">
        <f>C42*2.25</f>
        <v>18</v>
      </c>
      <c r="F42" s="39" t="s">
        <v>79</v>
      </c>
      <c r="G42" s="205">
        <v>2146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89">
        <v>3177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89">
        <v>3756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217279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39</v>
      </c>
      <c r="D50" s="12">
        <f>C50*1.5</f>
        <v>58.5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-939.5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45972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539</v>
      </c>
      <c r="D6" s="13">
        <f t="shared" ref="D6:D28" si="1">C6*L6</f>
        <v>397243</v>
      </c>
      <c r="F6" s="128" t="s">
        <v>16</v>
      </c>
      <c r="G6" s="130" t="s">
        <v>150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50</v>
      </c>
      <c r="D9" s="13">
        <f t="shared" si="1"/>
        <v>35350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24</v>
      </c>
      <c r="D13" s="48">
        <f t="shared" si="1"/>
        <v>7368</v>
      </c>
      <c r="F13" s="150" t="s">
        <v>36</v>
      </c>
      <c r="G13" s="151"/>
      <c r="H13" s="152">
        <f>D29</f>
        <v>440093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39</v>
      </c>
      <c r="G14" s="156"/>
      <c r="H14" s="157">
        <f>D54</f>
        <v>61989.75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378103.25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5517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440093</v>
      </c>
      <c r="F29" s="173" t="s">
        <v>55</v>
      </c>
      <c r="G29" s="174"/>
      <c r="H29" s="177">
        <f>H15-H16-H17-H18-H19-H20-H22-H23-H24+H26+H27</f>
        <v>372586.25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05">
        <f>F34*G34</f>
        <v>104000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205">
        <f t="shared" ref="H35:H39" si="2">F35*G35</f>
        <v>269500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205">
        <f t="shared" si="2"/>
        <v>100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05">
        <f t="shared" si="2"/>
        <v>250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5">
        <v>50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13</v>
      </c>
      <c r="D46" s="12">
        <f>C46*1.5</f>
        <v>19.5</v>
      </c>
      <c r="F46" s="37"/>
      <c r="G46" s="10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9</v>
      </c>
      <c r="D49" s="12">
        <f>C49*42</f>
        <v>378</v>
      </c>
      <c r="F49" s="230" t="s">
        <v>86</v>
      </c>
      <c r="G49" s="177">
        <f>H34+H35+H36+H37+H38+H39+H40+H41+G42+H44+H45+H46</f>
        <v>373920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</v>
      </c>
      <c r="D50" s="12">
        <f>C50*1.5</f>
        <v>1.5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156</v>
      </c>
      <c r="G51" s="234">
        <f>G49-H29</f>
        <v>1333.75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61989.75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45972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247</v>
      </c>
      <c r="D6" s="13">
        <f t="shared" ref="D6:D28" si="1">C6*L6</f>
        <v>182039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16</v>
      </c>
      <c r="D7" s="13">
        <f t="shared" si="1"/>
        <v>11600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30</v>
      </c>
      <c r="D9" s="13">
        <f t="shared" si="1"/>
        <v>21210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12</v>
      </c>
      <c r="D13" s="48">
        <f t="shared" si="1"/>
        <v>3684</v>
      </c>
      <c r="F13" s="150" t="s">
        <v>36</v>
      </c>
      <c r="G13" s="151"/>
      <c r="H13" s="152">
        <f>D29</f>
        <v>218610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7</v>
      </c>
      <c r="D14" s="31">
        <f t="shared" si="1"/>
        <v>77</v>
      </c>
      <c r="F14" s="155" t="s">
        <v>39</v>
      </c>
      <c r="G14" s="156"/>
      <c r="H14" s="157">
        <f>D54</f>
        <v>20649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197961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960+402+282</f>
        <v>1644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>
        <f>50+50</f>
        <v>100</v>
      </c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218610</v>
      </c>
      <c r="F29" s="173" t="s">
        <v>55</v>
      </c>
      <c r="G29" s="174"/>
      <c r="H29" s="177">
        <f>H15-H16-H17-H18-H19-H20-H22-H23-H24+H26+H27</f>
        <v>196217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05">
        <f>F34*G34</f>
        <v>180000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05">
        <f>F35*G35</f>
        <v>1500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5">
        <f t="shared" ref="H36:H39" si="2">F36*G36</f>
        <v>800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205">
        <f t="shared" si="2"/>
        <v>10600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205">
        <f t="shared" si="2"/>
        <v>3050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6</v>
      </c>
      <c r="D42" s="12">
        <f>C42*2.25</f>
        <v>13.5</v>
      </c>
      <c r="F42" s="39" t="s">
        <v>79</v>
      </c>
      <c r="G42" s="205">
        <v>73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</v>
      </c>
      <c r="D46" s="12">
        <f>C46*1.5</f>
        <v>1.5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4</v>
      </c>
      <c r="D49" s="12">
        <f>C49*42</f>
        <v>168</v>
      </c>
      <c r="F49" s="230" t="s">
        <v>86</v>
      </c>
      <c r="G49" s="177">
        <f>H34+H35+H36+H37+H38+H39+H40+H41+G42+H44+H45+H46</f>
        <v>196043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9</v>
      </c>
      <c r="D50" s="12">
        <f>C50*1.5</f>
        <v>13.5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-174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20649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45973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>
        <v>215</v>
      </c>
      <c r="D6" s="13">
        <f t="shared" ref="D6:D28" si="1">C6*L6</f>
        <v>158455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>
        <v>10</v>
      </c>
      <c r="D7" s="13">
        <f t="shared" si="1"/>
        <v>7250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>
        <v>1</v>
      </c>
      <c r="D8" s="13">
        <f t="shared" si="1"/>
        <v>1033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>
        <v>21</v>
      </c>
      <c r="D9" s="13">
        <f t="shared" si="1"/>
        <v>14847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>
        <v>1</v>
      </c>
      <c r="D10" s="13">
        <f t="shared" si="1"/>
        <v>972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>
        <v>1</v>
      </c>
      <c r="D11" s="13">
        <f t="shared" si="1"/>
        <v>1125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>
        <v>11</v>
      </c>
      <c r="D13" s="48">
        <f t="shared" si="1"/>
        <v>3377</v>
      </c>
      <c r="F13" s="150" t="s">
        <v>36</v>
      </c>
      <c r="G13" s="151"/>
      <c r="H13" s="152">
        <f>D29</f>
        <v>189411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>
        <v>12</v>
      </c>
      <c r="D14" s="31">
        <f t="shared" si="1"/>
        <v>132</v>
      </c>
      <c r="F14" s="155" t="s">
        <v>39</v>
      </c>
      <c r="G14" s="156"/>
      <c r="H14" s="157">
        <f>D54</f>
        <v>29274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160137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7">
        <v>66744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252" t="s">
        <v>147</v>
      </c>
      <c r="G26" s="65">
        <v>6965</v>
      </c>
      <c r="H26" s="189">
        <v>62969</v>
      </c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253" t="s">
        <v>147</v>
      </c>
      <c r="G27" s="104">
        <v>6969</v>
      </c>
      <c r="H27" s="242">
        <v>2504</v>
      </c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>
        <v>2</v>
      </c>
      <c r="D28" s="48">
        <f t="shared" si="1"/>
        <v>1570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189411</v>
      </c>
      <c r="F29" s="173" t="s">
        <v>55</v>
      </c>
      <c r="G29" s="174"/>
      <c r="H29" s="177">
        <f>H15-H16-H17-H18-H19-H20-H22-H23-H24+H26+H27+H28</f>
        <v>158866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05">
        <f t="shared" ref="H34:H39" si="2">F34*G34</f>
        <v>71000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05">
        <f t="shared" si="2"/>
        <v>9000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205">
        <f t="shared" si="2"/>
        <v>8600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205">
        <f t="shared" si="2"/>
        <v>1900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05">
        <v>38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89">
        <v>3804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89">
        <v>62969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89">
        <v>2504</v>
      </c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159815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5</v>
      </c>
      <c r="D50" s="12">
        <f>C50*1.5</f>
        <v>7.5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34">
        <f>G49-H29</f>
        <v>949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45973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207</v>
      </c>
      <c r="D6" s="13">
        <f t="shared" ref="D6:D28" si="1">C6*L6</f>
        <v>152559</v>
      </c>
      <c r="F6" s="128" t="s">
        <v>16</v>
      </c>
      <c r="G6" s="130" t="s">
        <v>150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10</v>
      </c>
      <c r="D9" s="13">
        <f t="shared" si="1"/>
        <v>7070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8</v>
      </c>
      <c r="D13" s="48">
        <f t="shared" si="1"/>
        <v>2456</v>
      </c>
      <c r="F13" s="150" t="s">
        <v>36</v>
      </c>
      <c r="G13" s="151"/>
      <c r="H13" s="152">
        <f>D29</f>
        <v>162338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23</v>
      </c>
      <c r="D14" s="31">
        <f t="shared" si="1"/>
        <v>253</v>
      </c>
      <c r="F14" s="155" t="s">
        <v>39</v>
      </c>
      <c r="G14" s="156"/>
      <c r="H14" s="157">
        <f>D54</f>
        <v>21364.5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140973.5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1863</f>
        <v>1863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162338</v>
      </c>
      <c r="F29" s="173" t="s">
        <v>55</v>
      </c>
      <c r="G29" s="174"/>
      <c r="H29" s="177">
        <f>H15-H16-H17-H18-H19-H20-H22-H23-H24+H26+H27</f>
        <v>139110.5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205">
        <f>F34*G34</f>
        <v>9000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05">
        <f t="shared" ref="H35:H39" si="2">F35*G35</f>
        <v>1000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205">
        <f t="shared" si="2"/>
        <v>600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5">
        <f t="shared" si="2"/>
        <v>150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67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89">
        <v>128294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139111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</v>
      </c>
      <c r="D50" s="12">
        <f>C50*1.5</f>
        <v>1.5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156</v>
      </c>
      <c r="G51" s="234">
        <f>G49-H29</f>
        <v>0.5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21364.5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45973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171</v>
      </c>
      <c r="D6" s="13">
        <f t="shared" ref="D6:D28" si="1">C6*L6</f>
        <v>126027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6</v>
      </c>
      <c r="D7" s="13">
        <f t="shared" si="1"/>
        <v>4350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24</v>
      </c>
      <c r="D9" s="13">
        <f t="shared" si="1"/>
        <v>16968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7</v>
      </c>
      <c r="D13" s="48">
        <f t="shared" si="1"/>
        <v>2149</v>
      </c>
      <c r="F13" s="150" t="s">
        <v>36</v>
      </c>
      <c r="G13" s="151"/>
      <c r="H13" s="152">
        <f>D29</f>
        <v>156308.5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22</v>
      </c>
      <c r="D14" s="31">
        <f t="shared" si="1"/>
        <v>242</v>
      </c>
      <c r="F14" s="155" t="s">
        <v>39</v>
      </c>
      <c r="G14" s="156"/>
      <c r="H14" s="157">
        <f>D54</f>
        <v>35391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>
        <v>1</v>
      </c>
      <c r="D15" s="31">
        <f t="shared" si="1"/>
        <v>620</v>
      </c>
      <c r="F15" s="160" t="s">
        <v>40</v>
      </c>
      <c r="G15" s="151"/>
      <c r="H15" s="161">
        <f>H13-H14</f>
        <v>120917.5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52*6</f>
        <v>312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>
        <v>50</v>
      </c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>
        <v>12</v>
      </c>
      <c r="D26" s="48">
        <f t="shared" si="1"/>
        <v>434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4</v>
      </c>
      <c r="D28" s="48">
        <f t="shared" si="1"/>
        <v>3140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156308.5</v>
      </c>
      <c r="F29" s="173" t="s">
        <v>55</v>
      </c>
      <c r="G29" s="174"/>
      <c r="H29" s="177">
        <f>H15-H16-H17-H18-H19-H20-H22-H23-H24+H26+H27</f>
        <v>120555.5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205">
        <f>F34*G34</f>
        <v>77000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205">
        <f>F35*G35</f>
        <v>37500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205">
        <f t="shared" ref="H36:H39" si="2">F36*G36</f>
        <v>200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205">
        <f t="shared" si="2"/>
        <v>2700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205">
        <f t="shared" si="2"/>
        <v>2800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383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3</v>
      </c>
      <c r="D44" s="12">
        <f>C44*120</f>
        <v>360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10</v>
      </c>
      <c r="D46" s="12">
        <f>C46*1.5</f>
        <v>15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2</v>
      </c>
      <c r="D49" s="12">
        <f>C49*42</f>
        <v>84</v>
      </c>
      <c r="F49" s="230" t="s">
        <v>86</v>
      </c>
      <c r="G49" s="177">
        <f>H34+H35+H36+H37+H38+H39+H40+H41+G42+H44+H45+H46</f>
        <v>120603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34">
        <f>G49-H29</f>
        <v>47.5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35391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45974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10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45974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45974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45975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10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45975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45975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45976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10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45976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45976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45978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104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45978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3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45978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4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45979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45979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8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45979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45980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45980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8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45980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45981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45981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8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45981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45982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45982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8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45982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45983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45983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8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45983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9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9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9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9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9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9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9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9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9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9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140</v>
      </c>
      <c r="C17" s="89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9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9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139</v>
      </c>
      <c r="C26" s="89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9"/>
      <c r="D27" s="44">
        <f t="shared" si="1"/>
        <v>0</v>
      </c>
      <c r="F27" s="71"/>
      <c r="G27" s="109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9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134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8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137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6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9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78</vt:i4>
      </vt:variant>
      <vt:variant>
        <vt:lpstr>Named Ranges</vt:lpstr>
      </vt:variant>
      <vt:variant>
        <vt:i4>77</vt:i4>
      </vt:variant>
    </vt:vector>
  </HeadingPairs>
  <TitlesOfParts>
    <vt:vector size="155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2025-11-13T01:16:38Z</cp:lastPrinted>
  <dcterms:created xsi:type="dcterms:W3CDTF">2024-09-01T23:36:50Z</dcterms:created>
  <dcterms:modified xsi:type="dcterms:W3CDTF">2025-11-13T01:17:05Z</dcterms:modified>
</cp:coreProperties>
</file>