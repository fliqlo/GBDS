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NOVEMBER FILES 2025\"/>
    </mc:Choice>
  </mc:AlternateContent>
  <xr:revisionPtr revIDLastSave="0" documentId="13_ncr:1_{CAB4B0B9-7D91-4544-848B-AD4C609EEF16}" xr6:coauthVersionLast="45" xr6:coauthVersionMax="47" xr10:uidLastSave="{00000000-0000-0000-0000-000000000000}"/>
  <bookViews>
    <workbookView xWindow="-120" yWindow="-120" windowWidth="29040" windowHeight="15840" activeTab="7" xr2:uid="{00000000-000D-0000-FFFF-FFFF00000000}"/>
  </bookViews>
  <sheets>
    <sheet name="(November 2025)" sheetId="814" r:id="rId1"/>
    <sheet name="(03)" sheetId="1426" r:id="rId2"/>
    <sheet name="03,11 R1" sheetId="1427" r:id="rId3"/>
    <sheet name="03,11 R2" sheetId="1428" r:id="rId4"/>
    <sheet name="03,11 R3" sheetId="1429" r:id="rId5"/>
    <sheet name="(4)" sheetId="1447" r:id="rId6"/>
    <sheet name="04,11 R1 No Trip" sheetId="1448" r:id="rId7"/>
    <sheet name="04,11 R2" sheetId="1449" r:id="rId8"/>
    <sheet name="04,11 R3-A" sheetId="1450" r:id="rId9"/>
    <sheet name="04,11 R3-B" sheetId="1471" r:id="rId10"/>
    <sheet name="(5)" sheetId="1451" r:id="rId11"/>
    <sheet name="05,11 R1" sheetId="1452" r:id="rId12"/>
    <sheet name="05,11 R2" sheetId="1453" r:id="rId13"/>
    <sheet name="05,11 R3" sheetId="1454" r:id="rId14"/>
    <sheet name="(6)" sheetId="1455" r:id="rId15"/>
    <sheet name="06,11 R1" sheetId="1456" r:id="rId16"/>
    <sheet name="06,11 R2" sheetId="1457" r:id="rId17"/>
    <sheet name="06,11 R3" sheetId="1458" r:id="rId18"/>
    <sheet name="(7)" sheetId="1459" r:id="rId19"/>
    <sheet name="07,11 R1" sheetId="1460" r:id="rId20"/>
    <sheet name="07,11 R2" sheetId="1461" r:id="rId21"/>
    <sheet name="07,11 R3" sheetId="1462" r:id="rId22"/>
    <sheet name="(8)" sheetId="1463" r:id="rId23"/>
    <sheet name="08,11 R1" sheetId="1464" r:id="rId24"/>
    <sheet name="08,11 R2" sheetId="1465" r:id="rId25"/>
    <sheet name="08,11 R3" sheetId="1466" r:id="rId26"/>
    <sheet name="(10)" sheetId="1467" r:id="rId27"/>
    <sheet name="10,11 R1" sheetId="1468" r:id="rId28"/>
    <sheet name="10,11 R2" sheetId="1469" r:id="rId29"/>
    <sheet name="10,11 R3" sheetId="1470" r:id="rId30"/>
  </sheets>
  <definedNames>
    <definedName name="_xlnm.Print_Area" localSheetId="1">'(03)'!$A$1:$J$60</definedName>
    <definedName name="_xlnm.Print_Area" localSheetId="26">'(10)'!$A$1:$J$60</definedName>
    <definedName name="_xlnm.Print_Area" localSheetId="5">'(4)'!$A$1:$J$60</definedName>
    <definedName name="_xlnm.Print_Area" localSheetId="10">'(5)'!$A$1:$J$60</definedName>
    <definedName name="_xlnm.Print_Area" localSheetId="14">'(6)'!$A$1:$J$60</definedName>
    <definedName name="_xlnm.Print_Area" localSheetId="18">'(7)'!$A$1:$J$60</definedName>
    <definedName name="_xlnm.Print_Area" localSheetId="22">'(8)'!$A$1:$J$60</definedName>
    <definedName name="_xlnm.Print_Area" localSheetId="2">'03,11 R1'!$A$1:$J$60</definedName>
    <definedName name="_xlnm.Print_Area" localSheetId="3">'03,11 R2'!$A$1:$J$60</definedName>
    <definedName name="_xlnm.Print_Area" localSheetId="4">'03,11 R3'!$A$1:$J$60</definedName>
    <definedName name="_xlnm.Print_Area" localSheetId="6">'04,11 R1 No Trip'!$A$1:$J$60</definedName>
    <definedName name="_xlnm.Print_Area" localSheetId="7">'04,11 R2'!$A$1:$J$60</definedName>
    <definedName name="_xlnm.Print_Area" localSheetId="8">'04,11 R3-A'!$A$1:$J$60</definedName>
    <definedName name="_xlnm.Print_Area" localSheetId="9">'04,11 R3-B'!$A$1:$J$60</definedName>
    <definedName name="_xlnm.Print_Area" localSheetId="11">'05,11 R1'!$A$1:$J$60</definedName>
    <definedName name="_xlnm.Print_Area" localSheetId="12">'05,11 R2'!$A$1:$J$60</definedName>
    <definedName name="_xlnm.Print_Area" localSheetId="13">'05,11 R3'!$A$1:$J$60</definedName>
    <definedName name="_xlnm.Print_Area" localSheetId="15">'06,11 R1'!$A$1:$J$60</definedName>
    <definedName name="_xlnm.Print_Area" localSheetId="16">'06,11 R2'!$A$1:$J$60</definedName>
    <definedName name="_xlnm.Print_Area" localSheetId="17">'06,11 R3'!$A$1:$J$60</definedName>
    <definedName name="_xlnm.Print_Area" localSheetId="19">'07,11 R1'!$A$1:$J$60</definedName>
    <definedName name="_xlnm.Print_Area" localSheetId="20">'07,11 R2'!$A$1:$J$60</definedName>
    <definedName name="_xlnm.Print_Area" localSheetId="21">'07,11 R3'!$A$1:$J$60</definedName>
    <definedName name="_xlnm.Print_Area" localSheetId="23">'08,11 R1'!$A$1:$J$60</definedName>
    <definedName name="_xlnm.Print_Area" localSheetId="24">'08,11 R2'!$A$1:$J$60</definedName>
    <definedName name="_xlnm.Print_Area" localSheetId="25">'08,11 R3'!$A$1:$J$60</definedName>
    <definedName name="_xlnm.Print_Area" localSheetId="27">'10,11 R1'!$A$1:$J$60</definedName>
    <definedName name="_xlnm.Print_Area" localSheetId="28">'10,11 R2'!$A$1:$J$60</definedName>
    <definedName name="_xlnm.Print_Area" localSheetId="29">'10,11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12" i="1450" l="1"/>
  <c r="H16" i="1471"/>
  <c r="H16" i="1450"/>
  <c r="R52" i="1471"/>
  <c r="R51" i="1471"/>
  <c r="D50" i="1471"/>
  <c r="R49" i="1471"/>
  <c r="D49" i="1471"/>
  <c r="R48" i="1471"/>
  <c r="D48" i="1471"/>
  <c r="D46" i="1471"/>
  <c r="D45" i="1471"/>
  <c r="D44" i="1471"/>
  <c r="R42" i="1471"/>
  <c r="L6" i="1471" s="1"/>
  <c r="D6" i="1471" s="1"/>
  <c r="D42" i="1471"/>
  <c r="R41" i="1471"/>
  <c r="L7" i="1471" s="1"/>
  <c r="D7" i="1471" s="1"/>
  <c r="D41" i="1471"/>
  <c r="R40" i="1471"/>
  <c r="D40" i="1471"/>
  <c r="R39" i="1471"/>
  <c r="H39" i="1471"/>
  <c r="D39" i="1471"/>
  <c r="R38" i="1471"/>
  <c r="H38" i="1471"/>
  <c r="D38" i="1471"/>
  <c r="R37" i="1471"/>
  <c r="H37" i="1471"/>
  <c r="D37" i="1471"/>
  <c r="R36" i="1471"/>
  <c r="H36" i="1471"/>
  <c r="D36" i="1471"/>
  <c r="R35" i="1471"/>
  <c r="L19" i="1471" s="1"/>
  <c r="D19" i="1471" s="1"/>
  <c r="H35" i="1471"/>
  <c r="D35" i="1471"/>
  <c r="R34" i="1471"/>
  <c r="H34" i="1471"/>
  <c r="D34" i="1471"/>
  <c r="R33" i="1471"/>
  <c r="L23" i="1471" s="1"/>
  <c r="D23" i="1471" s="1"/>
  <c r="R32" i="1471"/>
  <c r="L11" i="1471" s="1"/>
  <c r="D11" i="1471" s="1"/>
  <c r="R31" i="1471"/>
  <c r="R30" i="1471"/>
  <c r="R29" i="1471"/>
  <c r="R28" i="1471"/>
  <c r="L16" i="1471" s="1"/>
  <c r="D16" i="1471" s="1"/>
  <c r="D28" i="1471"/>
  <c r="R27" i="1471"/>
  <c r="D27" i="1471"/>
  <c r="R26" i="1471"/>
  <c r="L26" i="1471"/>
  <c r="D26" i="1471"/>
  <c r="R25" i="1471"/>
  <c r="L25" i="1471"/>
  <c r="D25" i="1471"/>
  <c r="R24" i="1471"/>
  <c r="D24" i="1471"/>
  <c r="R23" i="1471"/>
  <c r="R22" i="1471"/>
  <c r="L22" i="1471"/>
  <c r="D22" i="1471"/>
  <c r="R21" i="1471"/>
  <c r="D21" i="1471"/>
  <c r="R20" i="1471"/>
  <c r="L20" i="1471"/>
  <c r="D20" i="1471"/>
  <c r="R19" i="1471"/>
  <c r="R18" i="1471"/>
  <c r="D18" i="1471"/>
  <c r="R17" i="1471"/>
  <c r="D17" i="1471"/>
  <c r="R16" i="1471"/>
  <c r="R15" i="1471"/>
  <c r="D15" i="1471"/>
  <c r="R14" i="1471"/>
  <c r="D14" i="1471"/>
  <c r="R13" i="1471"/>
  <c r="D13" i="1471"/>
  <c r="R12" i="1471"/>
  <c r="L12" i="1471"/>
  <c r="D12" i="1471" s="1"/>
  <c r="R11" i="1471"/>
  <c r="L10" i="1471"/>
  <c r="D10" i="1471" s="1"/>
  <c r="L9" i="1471"/>
  <c r="D9" i="1471"/>
  <c r="L8" i="1471"/>
  <c r="D8" i="1471"/>
  <c r="R6" i="1471"/>
  <c r="R5" i="1471"/>
  <c r="R4" i="1471"/>
  <c r="H16" i="1449"/>
  <c r="D54" i="1471" l="1"/>
  <c r="H14" i="1471" s="1"/>
  <c r="D29" i="1471"/>
  <c r="H13" i="1471" s="1"/>
  <c r="G49" i="1471"/>
  <c r="H16" i="1429"/>
  <c r="H16" i="1428"/>
  <c r="H15" i="1471" l="1"/>
  <c r="H29" i="1471" s="1"/>
  <c r="G51" i="1471" s="1"/>
  <c r="C12" i="1429"/>
  <c r="C19" i="1427"/>
  <c r="C12" i="1427"/>
  <c r="C13" i="1427"/>
  <c r="C21" i="1427"/>
  <c r="R52" i="1470" l="1"/>
  <c r="R51" i="1470"/>
  <c r="D50" i="1470"/>
  <c r="R49" i="1470"/>
  <c r="D49" i="1470"/>
  <c r="R48" i="1470"/>
  <c r="D48" i="1470"/>
  <c r="D46" i="1470"/>
  <c r="D45" i="1470"/>
  <c r="D44" i="1470"/>
  <c r="R42" i="1470"/>
  <c r="D42" i="1470"/>
  <c r="R41" i="1470"/>
  <c r="D41" i="1470"/>
  <c r="R40" i="1470"/>
  <c r="L8" i="1470" s="1"/>
  <c r="D8" i="1470" s="1"/>
  <c r="D40" i="1470"/>
  <c r="R39" i="1470"/>
  <c r="H39" i="1470"/>
  <c r="D39" i="1470"/>
  <c r="R38" i="1470"/>
  <c r="L9" i="1470" s="1"/>
  <c r="D9" i="1470" s="1"/>
  <c r="H38" i="1470"/>
  <c r="D38" i="1470"/>
  <c r="R37" i="1470"/>
  <c r="H37" i="1470"/>
  <c r="D37" i="1470"/>
  <c r="R36" i="1470"/>
  <c r="H36" i="1470"/>
  <c r="D36" i="1470"/>
  <c r="R35" i="1470"/>
  <c r="H35" i="1470"/>
  <c r="D35" i="1470"/>
  <c r="R34" i="1470"/>
  <c r="H34" i="1470"/>
  <c r="G49" i="1470" s="1"/>
  <c r="D34" i="1470"/>
  <c r="D54" i="1470" s="1"/>
  <c r="H14" i="1470" s="1"/>
  <c r="R33" i="1470"/>
  <c r="L23" i="1470" s="1"/>
  <c r="D23" i="1470" s="1"/>
  <c r="R32" i="1470"/>
  <c r="L11" i="1470" s="1"/>
  <c r="D11" i="1470" s="1"/>
  <c r="R31" i="1470"/>
  <c r="R30" i="1470"/>
  <c r="R29" i="1470"/>
  <c r="R28" i="1470"/>
  <c r="L16" i="1470" s="1"/>
  <c r="D16" i="1470" s="1"/>
  <c r="D28" i="1470"/>
  <c r="R27" i="1470"/>
  <c r="D27" i="1470"/>
  <c r="R26" i="1470"/>
  <c r="L26" i="1470"/>
  <c r="D26" i="1470"/>
  <c r="R25" i="1470"/>
  <c r="L25" i="1470"/>
  <c r="D25" i="1470"/>
  <c r="R24" i="1470"/>
  <c r="D24" i="1470"/>
  <c r="R23" i="1470"/>
  <c r="R22" i="1470"/>
  <c r="L22" i="1470"/>
  <c r="D22" i="1470" s="1"/>
  <c r="R21" i="1470"/>
  <c r="D21" i="1470"/>
  <c r="R20" i="1470"/>
  <c r="L20" i="1470"/>
  <c r="D20" i="1470"/>
  <c r="R19" i="1470"/>
  <c r="L19" i="1470"/>
  <c r="D19" i="1470"/>
  <c r="R18" i="1470"/>
  <c r="D18" i="1470"/>
  <c r="R17" i="1470"/>
  <c r="D17" i="1470"/>
  <c r="R16" i="1470"/>
  <c r="R15" i="1470"/>
  <c r="D15" i="1470"/>
  <c r="R14" i="1470"/>
  <c r="D14" i="1470"/>
  <c r="R13" i="1470"/>
  <c r="D13" i="1470"/>
  <c r="R12" i="1470"/>
  <c r="L12" i="1470"/>
  <c r="D12" i="1470" s="1"/>
  <c r="R11" i="1470"/>
  <c r="L10" i="1470"/>
  <c r="D10" i="1470" s="1"/>
  <c r="L7" i="1470"/>
  <c r="D7" i="1470"/>
  <c r="R6" i="1470"/>
  <c r="L6" i="1470"/>
  <c r="D6" i="1470" s="1"/>
  <c r="R5" i="1470"/>
  <c r="R4" i="1470"/>
  <c r="R52" i="1469"/>
  <c r="R51" i="1469"/>
  <c r="D50" i="1469"/>
  <c r="R49" i="1469"/>
  <c r="D49" i="1469"/>
  <c r="R48" i="1469"/>
  <c r="D48" i="1469"/>
  <c r="D46" i="1469"/>
  <c r="D45" i="1469"/>
  <c r="D44" i="1469"/>
  <c r="R42" i="1469"/>
  <c r="L6" i="1469" s="1"/>
  <c r="D6" i="1469" s="1"/>
  <c r="D42" i="1469"/>
  <c r="R41" i="1469"/>
  <c r="L7" i="1469" s="1"/>
  <c r="D7" i="1469" s="1"/>
  <c r="D41" i="1469"/>
  <c r="R40" i="1469"/>
  <c r="L8" i="1469" s="1"/>
  <c r="D8" i="1469" s="1"/>
  <c r="D40" i="1469"/>
  <c r="R39" i="1469"/>
  <c r="H39" i="1469"/>
  <c r="D39" i="1469"/>
  <c r="R38" i="1469"/>
  <c r="L9" i="1469" s="1"/>
  <c r="D9" i="1469" s="1"/>
  <c r="H38" i="1469"/>
  <c r="D38" i="1469"/>
  <c r="R37" i="1469"/>
  <c r="H37" i="1469"/>
  <c r="D37" i="1469"/>
  <c r="R36" i="1469"/>
  <c r="H36" i="1469"/>
  <c r="G49" i="1469" s="1"/>
  <c r="D36" i="1469"/>
  <c r="R35" i="1469"/>
  <c r="L19" i="1469" s="1"/>
  <c r="D19" i="1469" s="1"/>
  <c r="H35" i="1469"/>
  <c r="D35" i="1469"/>
  <c r="R34" i="1469"/>
  <c r="H34" i="1469"/>
  <c r="D34" i="1469"/>
  <c r="D54" i="1469" s="1"/>
  <c r="H14" i="1469" s="1"/>
  <c r="R33" i="1469"/>
  <c r="L23" i="1469" s="1"/>
  <c r="D23" i="1469" s="1"/>
  <c r="R32" i="1469"/>
  <c r="R31" i="1469"/>
  <c r="R30" i="1469"/>
  <c r="R29" i="1469"/>
  <c r="R28" i="1469"/>
  <c r="D28" i="1469"/>
  <c r="R27" i="1469"/>
  <c r="D27" i="1469"/>
  <c r="R26" i="1469"/>
  <c r="L26" i="1469"/>
  <c r="D26" i="1469" s="1"/>
  <c r="R25" i="1469"/>
  <c r="L25" i="1469"/>
  <c r="D25" i="1469" s="1"/>
  <c r="R24" i="1469"/>
  <c r="L24" i="1469"/>
  <c r="D24" i="1469" s="1"/>
  <c r="R23" i="1469"/>
  <c r="R22" i="1469"/>
  <c r="L22" i="1469"/>
  <c r="D22" i="1469"/>
  <c r="R21" i="1469"/>
  <c r="L17" i="1469" s="1"/>
  <c r="D17" i="1469" s="1"/>
  <c r="D21" i="1469"/>
  <c r="R20" i="1469"/>
  <c r="L20" i="1469"/>
  <c r="D20" i="1469" s="1"/>
  <c r="R19" i="1469"/>
  <c r="R18" i="1469"/>
  <c r="D18" i="1469"/>
  <c r="R17" i="1469"/>
  <c r="R16" i="1469"/>
  <c r="L16" i="1469"/>
  <c r="D16" i="1469"/>
  <c r="R15" i="1469"/>
  <c r="D15" i="1469"/>
  <c r="R14" i="1469"/>
  <c r="D14" i="1469"/>
  <c r="R13" i="1469"/>
  <c r="D13" i="1469"/>
  <c r="R12" i="1469"/>
  <c r="L12" i="1469"/>
  <c r="D12" i="1469" s="1"/>
  <c r="R11" i="1469"/>
  <c r="L11" i="1469"/>
  <c r="D11" i="1469"/>
  <c r="L10" i="1469"/>
  <c r="D10" i="1469"/>
  <c r="R6" i="1469"/>
  <c r="R5" i="1469"/>
  <c r="R4" i="1469"/>
  <c r="R52" i="1468"/>
  <c r="R51" i="1468"/>
  <c r="D50" i="1468"/>
  <c r="R49" i="1468"/>
  <c r="D49" i="1468"/>
  <c r="R48" i="1468"/>
  <c r="D48" i="1468"/>
  <c r="D46" i="1468"/>
  <c r="D45" i="1468"/>
  <c r="P44" i="1468"/>
  <c r="R44" i="1468" s="1"/>
  <c r="D44" i="1468"/>
  <c r="R42" i="1468"/>
  <c r="L6" i="1468" s="1"/>
  <c r="D6" i="1468" s="1"/>
  <c r="D42" i="1468"/>
  <c r="R41" i="1468"/>
  <c r="D41" i="1468"/>
  <c r="R40" i="1468"/>
  <c r="D40" i="1468"/>
  <c r="R39" i="1468"/>
  <c r="L20" i="1468" s="1"/>
  <c r="D20" i="1468" s="1"/>
  <c r="H39" i="1468"/>
  <c r="D39" i="1468"/>
  <c r="R38" i="1468"/>
  <c r="H38" i="1468"/>
  <c r="D38" i="1468"/>
  <c r="R37" i="1468"/>
  <c r="H37" i="1468"/>
  <c r="D37" i="1468"/>
  <c r="R36" i="1468"/>
  <c r="H36" i="1468"/>
  <c r="D36" i="1468"/>
  <c r="R35" i="1468"/>
  <c r="H35" i="1468"/>
  <c r="D35" i="1468"/>
  <c r="R34" i="1468"/>
  <c r="L12" i="1468" s="1"/>
  <c r="D12" i="1468" s="1"/>
  <c r="H34" i="1468"/>
  <c r="G49" i="1468" s="1"/>
  <c r="D34" i="1468"/>
  <c r="D54" i="1468" s="1"/>
  <c r="H14" i="1468" s="1"/>
  <c r="R33" i="1468"/>
  <c r="R32" i="1468"/>
  <c r="R31" i="1468"/>
  <c r="R30" i="1468"/>
  <c r="R29" i="1468"/>
  <c r="R28" i="1468"/>
  <c r="D28" i="1468"/>
  <c r="R27" i="1468"/>
  <c r="D27" i="1468"/>
  <c r="R26" i="1468"/>
  <c r="L26" i="1468"/>
  <c r="D26" i="1468"/>
  <c r="R25" i="1468"/>
  <c r="L25" i="1468"/>
  <c r="D25" i="1468"/>
  <c r="R24" i="1468"/>
  <c r="L24" i="1468"/>
  <c r="D24" i="1468" s="1"/>
  <c r="R23" i="1468"/>
  <c r="D23" i="1468"/>
  <c r="R22" i="1468"/>
  <c r="D22" i="1468"/>
  <c r="R21" i="1468"/>
  <c r="D21" i="1468"/>
  <c r="R20" i="1468"/>
  <c r="R19" i="1468"/>
  <c r="D19" i="1468"/>
  <c r="R18" i="1468"/>
  <c r="D18" i="1468"/>
  <c r="R17" i="1468"/>
  <c r="L17" i="1468"/>
  <c r="D17" i="1468" s="1"/>
  <c r="R16" i="1468"/>
  <c r="L16" i="1468"/>
  <c r="D16" i="1468"/>
  <c r="R15" i="1468"/>
  <c r="D15" i="1468"/>
  <c r="R14" i="1468"/>
  <c r="D14" i="1468"/>
  <c r="R13" i="1468"/>
  <c r="D13" i="1468"/>
  <c r="R12" i="1468"/>
  <c r="R11" i="1468"/>
  <c r="L11" i="1468"/>
  <c r="D11" i="1468"/>
  <c r="L10" i="1468"/>
  <c r="D10" i="1468" s="1"/>
  <c r="L9" i="1468"/>
  <c r="D9" i="1468" s="1"/>
  <c r="L8" i="1468"/>
  <c r="D8" i="1468" s="1"/>
  <c r="L7" i="1468"/>
  <c r="D7" i="1468"/>
  <c r="R6" i="1468"/>
  <c r="R5" i="1468"/>
  <c r="R4" i="1468"/>
  <c r="R52" i="1467"/>
  <c r="R51" i="1467"/>
  <c r="D50" i="1467"/>
  <c r="R49" i="1467"/>
  <c r="G49" i="1467"/>
  <c r="D49" i="1467"/>
  <c r="R48" i="1467"/>
  <c r="D48" i="1467"/>
  <c r="D46" i="1467"/>
  <c r="D45" i="1467"/>
  <c r="D44" i="1467"/>
  <c r="R42" i="1467"/>
  <c r="D42" i="1467"/>
  <c r="R41" i="1467"/>
  <c r="L7" i="1467" s="1"/>
  <c r="D7" i="1467" s="1"/>
  <c r="D41" i="1467"/>
  <c r="R40" i="1467"/>
  <c r="L8" i="1467" s="1"/>
  <c r="D8" i="1467" s="1"/>
  <c r="D40" i="1467"/>
  <c r="R39" i="1467"/>
  <c r="D39" i="1467"/>
  <c r="R38" i="1467"/>
  <c r="L9" i="1467" s="1"/>
  <c r="D9" i="1467" s="1"/>
  <c r="D38" i="1467"/>
  <c r="R37" i="1467"/>
  <c r="D37" i="1467"/>
  <c r="R36" i="1467"/>
  <c r="D36" i="1467"/>
  <c r="R35" i="1467"/>
  <c r="D35" i="1467"/>
  <c r="R34" i="1467"/>
  <c r="L12" i="1467" s="1"/>
  <c r="D12" i="1467" s="1"/>
  <c r="D34" i="1467"/>
  <c r="D54" i="1467" s="1"/>
  <c r="H14" i="1467" s="1"/>
  <c r="R33" i="1467"/>
  <c r="L23" i="1467" s="1"/>
  <c r="D23" i="1467" s="1"/>
  <c r="R32" i="1467"/>
  <c r="L11" i="1467" s="1"/>
  <c r="D11" i="1467" s="1"/>
  <c r="R31" i="1467"/>
  <c r="R30" i="1467"/>
  <c r="R29" i="1467"/>
  <c r="R28" i="1467"/>
  <c r="D28" i="1467"/>
  <c r="R27" i="1467"/>
  <c r="D27" i="1467"/>
  <c r="R26" i="1467"/>
  <c r="L26" i="1467"/>
  <c r="D26" i="1467" s="1"/>
  <c r="R25" i="1467"/>
  <c r="L25" i="1467"/>
  <c r="D25" i="1467"/>
  <c r="R24" i="1467"/>
  <c r="D24" i="1467"/>
  <c r="R23" i="1467"/>
  <c r="R22" i="1467"/>
  <c r="L22" i="1467"/>
  <c r="D22" i="1467" s="1"/>
  <c r="R21" i="1467"/>
  <c r="D21" i="1467"/>
  <c r="R20" i="1467"/>
  <c r="L20" i="1467"/>
  <c r="D20" i="1467"/>
  <c r="R19" i="1467"/>
  <c r="L19" i="1467"/>
  <c r="D19" i="1467"/>
  <c r="R18" i="1467"/>
  <c r="D18" i="1467"/>
  <c r="R17" i="1467"/>
  <c r="D17" i="1467"/>
  <c r="R16" i="1467"/>
  <c r="L16" i="1467"/>
  <c r="D16" i="1467" s="1"/>
  <c r="S15" i="1467"/>
  <c r="R15" i="1467"/>
  <c r="D15" i="1467"/>
  <c r="S14" i="1467"/>
  <c r="R14" i="1467"/>
  <c r="D14" i="1467"/>
  <c r="R13" i="1467"/>
  <c r="D13" i="1467"/>
  <c r="R12" i="1467"/>
  <c r="R11" i="1467"/>
  <c r="L10" i="1467"/>
  <c r="D10" i="1467" s="1"/>
  <c r="R6" i="1467"/>
  <c r="L6" i="1467"/>
  <c r="D6" i="1467"/>
  <c r="D29" i="1467" s="1"/>
  <c r="H13" i="1467" s="1"/>
  <c r="H15" i="1467" s="1"/>
  <c r="H29" i="1467" s="1"/>
  <c r="R5" i="1467"/>
  <c r="R4" i="1467"/>
  <c r="R52" i="1466"/>
  <c r="R51" i="1466"/>
  <c r="D50" i="1466"/>
  <c r="R49" i="1466"/>
  <c r="D49" i="1466"/>
  <c r="R48" i="1466"/>
  <c r="D48" i="1466"/>
  <c r="D46" i="1466"/>
  <c r="D45" i="1466"/>
  <c r="D44" i="1466"/>
  <c r="R42" i="1466"/>
  <c r="D42" i="1466"/>
  <c r="R41" i="1466"/>
  <c r="D41" i="1466"/>
  <c r="R40" i="1466"/>
  <c r="L8" i="1466" s="1"/>
  <c r="D8" i="1466" s="1"/>
  <c r="D40" i="1466"/>
  <c r="R39" i="1466"/>
  <c r="H39" i="1466"/>
  <c r="G49" i="1466" s="1"/>
  <c r="D39" i="1466"/>
  <c r="R38" i="1466"/>
  <c r="L9" i="1466" s="1"/>
  <c r="D9" i="1466" s="1"/>
  <c r="H38" i="1466"/>
  <c r="D38" i="1466"/>
  <c r="R37" i="1466"/>
  <c r="H37" i="1466"/>
  <c r="D37" i="1466"/>
  <c r="R36" i="1466"/>
  <c r="H36" i="1466"/>
  <c r="D36" i="1466"/>
  <c r="R35" i="1466"/>
  <c r="H35" i="1466"/>
  <c r="D35" i="1466"/>
  <c r="R34" i="1466"/>
  <c r="L12" i="1466" s="1"/>
  <c r="D12" i="1466" s="1"/>
  <c r="H34" i="1466"/>
  <c r="D34" i="1466"/>
  <c r="D54" i="1466" s="1"/>
  <c r="H14" i="1466" s="1"/>
  <c r="R33" i="1466"/>
  <c r="L23" i="1466" s="1"/>
  <c r="D23" i="1466" s="1"/>
  <c r="R32" i="1466"/>
  <c r="L11" i="1466" s="1"/>
  <c r="D11" i="1466" s="1"/>
  <c r="R31" i="1466"/>
  <c r="R30" i="1466"/>
  <c r="R29" i="1466"/>
  <c r="R28" i="1466"/>
  <c r="D28" i="1466"/>
  <c r="R27" i="1466"/>
  <c r="D27" i="1466"/>
  <c r="R26" i="1466"/>
  <c r="L26" i="1466"/>
  <c r="D26" i="1466"/>
  <c r="R25" i="1466"/>
  <c r="L25" i="1466"/>
  <c r="D25" i="1466" s="1"/>
  <c r="R24" i="1466"/>
  <c r="D24" i="1466"/>
  <c r="R23" i="1466"/>
  <c r="R22" i="1466"/>
  <c r="L22" i="1466"/>
  <c r="D22" i="1466"/>
  <c r="R21" i="1466"/>
  <c r="D21" i="1466"/>
  <c r="R20" i="1466"/>
  <c r="L20" i="1466"/>
  <c r="D20" i="1466"/>
  <c r="R19" i="1466"/>
  <c r="L19" i="1466"/>
  <c r="D19" i="1466" s="1"/>
  <c r="R18" i="1466"/>
  <c r="D18" i="1466"/>
  <c r="R17" i="1466"/>
  <c r="D17" i="1466"/>
  <c r="R16" i="1466"/>
  <c r="L16" i="1466"/>
  <c r="D16" i="1466" s="1"/>
  <c r="R15" i="1466"/>
  <c r="D15" i="1466"/>
  <c r="R14" i="1466"/>
  <c r="D14" i="1466"/>
  <c r="R13" i="1466"/>
  <c r="D13" i="1466"/>
  <c r="R12" i="1466"/>
  <c r="R11" i="1466"/>
  <c r="L10" i="1466"/>
  <c r="D10" i="1466"/>
  <c r="L7" i="1466"/>
  <c r="D7" i="1466"/>
  <c r="R6" i="1466"/>
  <c r="L6" i="1466"/>
  <c r="D6" i="1466"/>
  <c r="R5" i="1466"/>
  <c r="R4" i="1466"/>
  <c r="R52" i="1465"/>
  <c r="R51" i="1465"/>
  <c r="D50" i="1465"/>
  <c r="R49" i="1465"/>
  <c r="D49" i="1465"/>
  <c r="R48" i="1465"/>
  <c r="D48" i="1465"/>
  <c r="D46" i="1465"/>
  <c r="D45" i="1465"/>
  <c r="D44" i="1465"/>
  <c r="R42" i="1465"/>
  <c r="D42" i="1465"/>
  <c r="R41" i="1465"/>
  <c r="D41" i="1465"/>
  <c r="R40" i="1465"/>
  <c r="D40" i="1465"/>
  <c r="R39" i="1465"/>
  <c r="L20" i="1465" s="1"/>
  <c r="D20" i="1465" s="1"/>
  <c r="H39" i="1465"/>
  <c r="D39" i="1465"/>
  <c r="R38" i="1465"/>
  <c r="L9" i="1465" s="1"/>
  <c r="D9" i="1465" s="1"/>
  <c r="H38" i="1465"/>
  <c r="D38" i="1465"/>
  <c r="R37" i="1465"/>
  <c r="H37" i="1465"/>
  <c r="D37" i="1465"/>
  <c r="R36" i="1465"/>
  <c r="H36" i="1465"/>
  <c r="D36" i="1465"/>
  <c r="R35" i="1465"/>
  <c r="H35" i="1465"/>
  <c r="D35" i="1465"/>
  <c r="R34" i="1465"/>
  <c r="L12" i="1465" s="1"/>
  <c r="D12" i="1465" s="1"/>
  <c r="H34" i="1465"/>
  <c r="G49" i="1465" s="1"/>
  <c r="D34" i="1465"/>
  <c r="D54" i="1465" s="1"/>
  <c r="H14" i="1465" s="1"/>
  <c r="R33" i="1465"/>
  <c r="L23" i="1465" s="1"/>
  <c r="D23" i="1465" s="1"/>
  <c r="R32" i="1465"/>
  <c r="L11" i="1465" s="1"/>
  <c r="D11" i="1465" s="1"/>
  <c r="R31" i="1465"/>
  <c r="R30" i="1465"/>
  <c r="R29" i="1465"/>
  <c r="R28" i="1465"/>
  <c r="D28" i="1465"/>
  <c r="R27" i="1465"/>
  <c r="D27" i="1465"/>
  <c r="R26" i="1465"/>
  <c r="L26" i="1465"/>
  <c r="D26" i="1465"/>
  <c r="R25" i="1465"/>
  <c r="L25" i="1465"/>
  <c r="D25" i="1465"/>
  <c r="R24" i="1465"/>
  <c r="L24" i="1465"/>
  <c r="D24" i="1465" s="1"/>
  <c r="R23" i="1465"/>
  <c r="R22" i="1465"/>
  <c r="L22" i="1465"/>
  <c r="D22" i="1465" s="1"/>
  <c r="R21" i="1465"/>
  <c r="D21" i="1465"/>
  <c r="R20" i="1465"/>
  <c r="R19" i="1465"/>
  <c r="L19" i="1465"/>
  <c r="D19" i="1465" s="1"/>
  <c r="R18" i="1465"/>
  <c r="D18" i="1465"/>
  <c r="R17" i="1465"/>
  <c r="L17" i="1465"/>
  <c r="D17" i="1465"/>
  <c r="R16" i="1465"/>
  <c r="L16" i="1465"/>
  <c r="D16" i="1465" s="1"/>
  <c r="R15" i="1465"/>
  <c r="D15" i="1465"/>
  <c r="R14" i="1465"/>
  <c r="D14" i="1465"/>
  <c r="R13" i="1465"/>
  <c r="D13" i="1465"/>
  <c r="R12" i="1465"/>
  <c r="R11" i="1465"/>
  <c r="L10" i="1465"/>
  <c r="D10" i="1465"/>
  <c r="L8" i="1465"/>
  <c r="D8" i="1465"/>
  <c r="L7" i="1465"/>
  <c r="D7" i="1465"/>
  <c r="R6" i="1465"/>
  <c r="L6" i="1465"/>
  <c r="D6" i="1465" s="1"/>
  <c r="D29" i="1465" s="1"/>
  <c r="H13" i="1465" s="1"/>
  <c r="H15" i="1465" s="1"/>
  <c r="H29" i="1465" s="1"/>
  <c r="R5" i="1465"/>
  <c r="R4" i="1465"/>
  <c r="R52" i="1464"/>
  <c r="R51" i="1464"/>
  <c r="D50" i="1464"/>
  <c r="R49" i="1464"/>
  <c r="D49" i="1464"/>
  <c r="R48" i="1464"/>
  <c r="D48" i="1464"/>
  <c r="D46" i="1464"/>
  <c r="D45" i="1464"/>
  <c r="P44" i="1464"/>
  <c r="R44" i="1464" s="1"/>
  <c r="D44" i="1464"/>
  <c r="R42" i="1464"/>
  <c r="D42" i="1464"/>
  <c r="R41" i="1464"/>
  <c r="L7" i="1464" s="1"/>
  <c r="D7" i="1464" s="1"/>
  <c r="D41" i="1464"/>
  <c r="R40" i="1464"/>
  <c r="D40" i="1464"/>
  <c r="R39" i="1464"/>
  <c r="L20" i="1464" s="1"/>
  <c r="D20" i="1464" s="1"/>
  <c r="H39" i="1464"/>
  <c r="D39" i="1464"/>
  <c r="R38" i="1464"/>
  <c r="H38" i="1464"/>
  <c r="D38" i="1464"/>
  <c r="R37" i="1464"/>
  <c r="H37" i="1464"/>
  <c r="D37" i="1464"/>
  <c r="R36" i="1464"/>
  <c r="H36" i="1464"/>
  <c r="D36" i="1464"/>
  <c r="R35" i="1464"/>
  <c r="H35" i="1464"/>
  <c r="D35" i="1464"/>
  <c r="R34" i="1464"/>
  <c r="L12" i="1464" s="1"/>
  <c r="D12" i="1464" s="1"/>
  <c r="H34" i="1464"/>
  <c r="G49" i="1464" s="1"/>
  <c r="D34" i="1464"/>
  <c r="D54" i="1464" s="1"/>
  <c r="H14" i="1464" s="1"/>
  <c r="R33" i="1464"/>
  <c r="R32" i="1464"/>
  <c r="R31" i="1464"/>
  <c r="R30" i="1464"/>
  <c r="R29" i="1464"/>
  <c r="R28" i="1464"/>
  <c r="D28" i="1464"/>
  <c r="R27" i="1464"/>
  <c r="D27" i="1464"/>
  <c r="R26" i="1464"/>
  <c r="L26" i="1464"/>
  <c r="D26" i="1464"/>
  <c r="R25" i="1464"/>
  <c r="L25" i="1464"/>
  <c r="D25" i="1464" s="1"/>
  <c r="R24" i="1464"/>
  <c r="L24" i="1464"/>
  <c r="D24" i="1464"/>
  <c r="R23" i="1464"/>
  <c r="D23" i="1464"/>
  <c r="R22" i="1464"/>
  <c r="D22" i="1464"/>
  <c r="R21" i="1464"/>
  <c r="D21" i="1464"/>
  <c r="R20" i="1464"/>
  <c r="R19" i="1464"/>
  <c r="D19" i="1464"/>
  <c r="R18" i="1464"/>
  <c r="D18" i="1464"/>
  <c r="R17" i="1464"/>
  <c r="L17" i="1464"/>
  <c r="D17" i="1464"/>
  <c r="R16" i="1464"/>
  <c r="L16" i="1464"/>
  <c r="D16" i="1464" s="1"/>
  <c r="R15" i="1464"/>
  <c r="D15" i="1464"/>
  <c r="R14" i="1464"/>
  <c r="D14" i="1464"/>
  <c r="R13" i="1464"/>
  <c r="D13" i="1464"/>
  <c r="R12" i="1464"/>
  <c r="R11" i="1464"/>
  <c r="L11" i="1464"/>
  <c r="D11" i="1464"/>
  <c r="L10" i="1464"/>
  <c r="D10" i="1464" s="1"/>
  <c r="L9" i="1464"/>
  <c r="D9" i="1464" s="1"/>
  <c r="L8" i="1464"/>
  <c r="D8" i="1464" s="1"/>
  <c r="R6" i="1464"/>
  <c r="L6" i="1464"/>
  <c r="D6" i="1464" s="1"/>
  <c r="R5" i="1464"/>
  <c r="R4" i="1464"/>
  <c r="R52" i="1463"/>
  <c r="R51" i="1463"/>
  <c r="D50" i="1463"/>
  <c r="R49" i="1463"/>
  <c r="G49" i="1463"/>
  <c r="D49" i="1463"/>
  <c r="R48" i="1463"/>
  <c r="D48" i="1463"/>
  <c r="D46" i="1463"/>
  <c r="D45" i="1463"/>
  <c r="D44" i="1463"/>
  <c r="R42" i="1463"/>
  <c r="L6" i="1463" s="1"/>
  <c r="D6" i="1463" s="1"/>
  <c r="D42" i="1463"/>
  <c r="R41" i="1463"/>
  <c r="L7" i="1463" s="1"/>
  <c r="D7" i="1463" s="1"/>
  <c r="D41" i="1463"/>
  <c r="R40" i="1463"/>
  <c r="D40" i="1463"/>
  <c r="R39" i="1463"/>
  <c r="D39" i="1463"/>
  <c r="R38" i="1463"/>
  <c r="D38" i="1463"/>
  <c r="R37" i="1463"/>
  <c r="D37" i="1463"/>
  <c r="R36" i="1463"/>
  <c r="L10" i="1463" s="1"/>
  <c r="D10" i="1463" s="1"/>
  <c r="D36" i="1463"/>
  <c r="R35" i="1463"/>
  <c r="D35" i="1463"/>
  <c r="R34" i="1463"/>
  <c r="L12" i="1463" s="1"/>
  <c r="D12" i="1463" s="1"/>
  <c r="D34" i="1463"/>
  <c r="D54" i="1463" s="1"/>
  <c r="H14" i="1463" s="1"/>
  <c r="R33" i="1463"/>
  <c r="L23" i="1463" s="1"/>
  <c r="D23" i="1463" s="1"/>
  <c r="R32" i="1463"/>
  <c r="R31" i="1463"/>
  <c r="R30" i="1463"/>
  <c r="R29" i="1463"/>
  <c r="R28" i="1463"/>
  <c r="D28" i="1463"/>
  <c r="R27" i="1463"/>
  <c r="D27" i="1463"/>
  <c r="R26" i="1463"/>
  <c r="L26" i="1463"/>
  <c r="D26" i="1463" s="1"/>
  <c r="R25" i="1463"/>
  <c r="L25" i="1463"/>
  <c r="D25" i="1463"/>
  <c r="R24" i="1463"/>
  <c r="D24" i="1463"/>
  <c r="R23" i="1463"/>
  <c r="R22" i="1463"/>
  <c r="L22" i="1463"/>
  <c r="D22" i="1463"/>
  <c r="R21" i="1463"/>
  <c r="D21" i="1463"/>
  <c r="R20" i="1463"/>
  <c r="L20" i="1463"/>
  <c r="D20" i="1463" s="1"/>
  <c r="R19" i="1463"/>
  <c r="L19" i="1463"/>
  <c r="D19" i="1463"/>
  <c r="R18" i="1463"/>
  <c r="D18" i="1463"/>
  <c r="R17" i="1463"/>
  <c r="D17" i="1463"/>
  <c r="R16" i="1463"/>
  <c r="L16" i="1463"/>
  <c r="D16" i="1463" s="1"/>
  <c r="S15" i="1463"/>
  <c r="R15" i="1463"/>
  <c r="D15" i="1463"/>
  <c r="S14" i="1463"/>
  <c r="R14" i="1463"/>
  <c r="D14" i="1463"/>
  <c r="R13" i="1463"/>
  <c r="D13" i="1463"/>
  <c r="R12" i="1463"/>
  <c r="R11" i="1463"/>
  <c r="L11" i="1463"/>
  <c r="D11" i="1463"/>
  <c r="L9" i="1463"/>
  <c r="D9" i="1463"/>
  <c r="L8" i="1463"/>
  <c r="D8" i="1463"/>
  <c r="R6" i="1463"/>
  <c r="R5" i="1463"/>
  <c r="R4" i="1463"/>
  <c r="R52" i="1462"/>
  <c r="R51" i="1462"/>
  <c r="D50" i="1462"/>
  <c r="R49" i="1462"/>
  <c r="D49" i="1462"/>
  <c r="R48" i="1462"/>
  <c r="D48" i="1462"/>
  <c r="D46" i="1462"/>
  <c r="D45" i="1462"/>
  <c r="D44" i="1462"/>
  <c r="R42" i="1462"/>
  <c r="D42" i="1462"/>
  <c r="R41" i="1462"/>
  <c r="L7" i="1462" s="1"/>
  <c r="D7" i="1462" s="1"/>
  <c r="D41" i="1462"/>
  <c r="R40" i="1462"/>
  <c r="D40" i="1462"/>
  <c r="R39" i="1462"/>
  <c r="H39" i="1462"/>
  <c r="G49" i="1462" s="1"/>
  <c r="D39" i="1462"/>
  <c r="R38" i="1462"/>
  <c r="L9" i="1462" s="1"/>
  <c r="D9" i="1462" s="1"/>
  <c r="H38" i="1462"/>
  <c r="D38" i="1462"/>
  <c r="R37" i="1462"/>
  <c r="H37" i="1462"/>
  <c r="D37" i="1462"/>
  <c r="R36" i="1462"/>
  <c r="H36" i="1462"/>
  <c r="D36" i="1462"/>
  <c r="R35" i="1462"/>
  <c r="H35" i="1462"/>
  <c r="D35" i="1462"/>
  <c r="R34" i="1462"/>
  <c r="H34" i="1462"/>
  <c r="D34" i="1462"/>
  <c r="D54" i="1462" s="1"/>
  <c r="H14" i="1462" s="1"/>
  <c r="R33" i="1462"/>
  <c r="L23" i="1462" s="1"/>
  <c r="D23" i="1462" s="1"/>
  <c r="R32" i="1462"/>
  <c r="L11" i="1462" s="1"/>
  <c r="D11" i="1462" s="1"/>
  <c r="R31" i="1462"/>
  <c r="R30" i="1462"/>
  <c r="R29" i="1462"/>
  <c r="R28" i="1462"/>
  <c r="L16" i="1462" s="1"/>
  <c r="D16" i="1462" s="1"/>
  <c r="D28" i="1462"/>
  <c r="R27" i="1462"/>
  <c r="D27" i="1462"/>
  <c r="R26" i="1462"/>
  <c r="L26" i="1462"/>
  <c r="D26" i="1462"/>
  <c r="R25" i="1462"/>
  <c r="L25" i="1462"/>
  <c r="D25" i="1462"/>
  <c r="R24" i="1462"/>
  <c r="D24" i="1462"/>
  <c r="R23" i="1462"/>
  <c r="R22" i="1462"/>
  <c r="L22" i="1462"/>
  <c r="D22" i="1462"/>
  <c r="R21" i="1462"/>
  <c r="D21" i="1462"/>
  <c r="R20" i="1462"/>
  <c r="L20" i="1462"/>
  <c r="D20" i="1462"/>
  <c r="R19" i="1462"/>
  <c r="L19" i="1462"/>
  <c r="D19" i="1462"/>
  <c r="R18" i="1462"/>
  <c r="D18" i="1462"/>
  <c r="R17" i="1462"/>
  <c r="D17" i="1462"/>
  <c r="R16" i="1462"/>
  <c r="R15" i="1462"/>
  <c r="D15" i="1462"/>
  <c r="R14" i="1462"/>
  <c r="D14" i="1462"/>
  <c r="R13" i="1462"/>
  <c r="D13" i="1462"/>
  <c r="R12" i="1462"/>
  <c r="L12" i="1462"/>
  <c r="D12" i="1462" s="1"/>
  <c r="R11" i="1462"/>
  <c r="L10" i="1462"/>
  <c r="D10" i="1462"/>
  <c r="L8" i="1462"/>
  <c r="D8" i="1462" s="1"/>
  <c r="R6" i="1462"/>
  <c r="L6" i="1462"/>
  <c r="D6" i="1462" s="1"/>
  <c r="R5" i="1462"/>
  <c r="R4" i="1462"/>
  <c r="R52" i="1461"/>
  <c r="R51" i="1461"/>
  <c r="D50" i="1461"/>
  <c r="R49" i="1461"/>
  <c r="G49" i="1461"/>
  <c r="D49" i="1461"/>
  <c r="R48" i="1461"/>
  <c r="D48" i="1461"/>
  <c r="D46" i="1461"/>
  <c r="D45" i="1461"/>
  <c r="D44" i="1461"/>
  <c r="R42" i="1461"/>
  <c r="L6" i="1461" s="1"/>
  <c r="D6" i="1461" s="1"/>
  <c r="D42" i="1461"/>
  <c r="R41" i="1461"/>
  <c r="L7" i="1461" s="1"/>
  <c r="D7" i="1461" s="1"/>
  <c r="D41" i="1461"/>
  <c r="R40" i="1461"/>
  <c r="D40" i="1461"/>
  <c r="R39" i="1461"/>
  <c r="H39" i="1461"/>
  <c r="D39" i="1461"/>
  <c r="R38" i="1461"/>
  <c r="L9" i="1461" s="1"/>
  <c r="D9" i="1461" s="1"/>
  <c r="H38" i="1461"/>
  <c r="D38" i="1461"/>
  <c r="R37" i="1461"/>
  <c r="H37" i="1461"/>
  <c r="D37" i="1461"/>
  <c r="R36" i="1461"/>
  <c r="L10" i="1461" s="1"/>
  <c r="D10" i="1461" s="1"/>
  <c r="H36" i="1461"/>
  <c r="D36" i="1461"/>
  <c r="R35" i="1461"/>
  <c r="L19" i="1461" s="1"/>
  <c r="D19" i="1461" s="1"/>
  <c r="H35" i="1461"/>
  <c r="D35" i="1461"/>
  <c r="R34" i="1461"/>
  <c r="L12" i="1461" s="1"/>
  <c r="D12" i="1461" s="1"/>
  <c r="H34" i="1461"/>
  <c r="D34" i="1461"/>
  <c r="D54" i="1461" s="1"/>
  <c r="H14" i="1461" s="1"/>
  <c r="R33" i="1461"/>
  <c r="R32" i="1461"/>
  <c r="R31" i="1461"/>
  <c r="R30" i="1461"/>
  <c r="R29" i="1461"/>
  <c r="R28" i="1461"/>
  <c r="L16" i="1461" s="1"/>
  <c r="D16" i="1461" s="1"/>
  <c r="D28" i="1461"/>
  <c r="R27" i="1461"/>
  <c r="D27" i="1461"/>
  <c r="R26" i="1461"/>
  <c r="L26" i="1461"/>
  <c r="D26" i="1461" s="1"/>
  <c r="R25" i="1461"/>
  <c r="L25" i="1461"/>
  <c r="D25" i="1461"/>
  <c r="R24" i="1461"/>
  <c r="L24" i="1461"/>
  <c r="D24" i="1461"/>
  <c r="R23" i="1461"/>
  <c r="L23" i="1461"/>
  <c r="D23" i="1461"/>
  <c r="R22" i="1461"/>
  <c r="L22" i="1461"/>
  <c r="D22" i="1461"/>
  <c r="R21" i="1461"/>
  <c r="L17" i="1461" s="1"/>
  <c r="D17" i="1461" s="1"/>
  <c r="D21" i="1461"/>
  <c r="R20" i="1461"/>
  <c r="L20" i="1461"/>
  <c r="D20" i="1461" s="1"/>
  <c r="R19" i="1461"/>
  <c r="R18" i="1461"/>
  <c r="D18" i="1461"/>
  <c r="R17" i="1461"/>
  <c r="R16" i="1461"/>
  <c r="R15" i="1461"/>
  <c r="D15" i="1461"/>
  <c r="R14" i="1461"/>
  <c r="D14" i="1461"/>
  <c r="R13" i="1461"/>
  <c r="D13" i="1461"/>
  <c r="R12" i="1461"/>
  <c r="R11" i="1461"/>
  <c r="L11" i="1461"/>
  <c r="D11" i="1461" s="1"/>
  <c r="L8" i="1461"/>
  <c r="D8" i="1461" s="1"/>
  <c r="R6" i="1461"/>
  <c r="R5" i="1461"/>
  <c r="R4" i="1461"/>
  <c r="R52" i="1460"/>
  <c r="R51" i="1460"/>
  <c r="D50" i="1460"/>
  <c r="R49" i="1460"/>
  <c r="D49" i="1460"/>
  <c r="R48" i="1460"/>
  <c r="D48" i="1460"/>
  <c r="D46" i="1460"/>
  <c r="D45" i="1460"/>
  <c r="P44" i="1460"/>
  <c r="R44" i="1460" s="1"/>
  <c r="D44" i="1460"/>
  <c r="R42" i="1460"/>
  <c r="D42" i="1460"/>
  <c r="R41" i="1460"/>
  <c r="D41" i="1460"/>
  <c r="R40" i="1460"/>
  <c r="D40" i="1460"/>
  <c r="R39" i="1460"/>
  <c r="H39" i="1460"/>
  <c r="G49" i="1460" s="1"/>
  <c r="D39" i="1460"/>
  <c r="R38" i="1460"/>
  <c r="L9" i="1460" s="1"/>
  <c r="D9" i="1460" s="1"/>
  <c r="H38" i="1460"/>
  <c r="D38" i="1460"/>
  <c r="R37" i="1460"/>
  <c r="H37" i="1460"/>
  <c r="D37" i="1460"/>
  <c r="R36" i="1460"/>
  <c r="H36" i="1460"/>
  <c r="D36" i="1460"/>
  <c r="R35" i="1460"/>
  <c r="H35" i="1460"/>
  <c r="D35" i="1460"/>
  <c r="R34" i="1460"/>
  <c r="L12" i="1460" s="1"/>
  <c r="D12" i="1460" s="1"/>
  <c r="H34" i="1460"/>
  <c r="D34" i="1460"/>
  <c r="D54" i="1460" s="1"/>
  <c r="H14" i="1460" s="1"/>
  <c r="R33" i="1460"/>
  <c r="R32" i="1460"/>
  <c r="R31" i="1460"/>
  <c r="R30" i="1460"/>
  <c r="R29" i="1460"/>
  <c r="R28" i="1460"/>
  <c r="D28" i="1460"/>
  <c r="R27" i="1460"/>
  <c r="D27" i="1460"/>
  <c r="R26" i="1460"/>
  <c r="L26" i="1460"/>
  <c r="D26" i="1460"/>
  <c r="R25" i="1460"/>
  <c r="L25" i="1460"/>
  <c r="D25" i="1460" s="1"/>
  <c r="R24" i="1460"/>
  <c r="L24" i="1460"/>
  <c r="D24" i="1460"/>
  <c r="R23" i="1460"/>
  <c r="D23" i="1460"/>
  <c r="R22" i="1460"/>
  <c r="D22" i="1460"/>
  <c r="R21" i="1460"/>
  <c r="D21" i="1460"/>
  <c r="R20" i="1460"/>
  <c r="L20" i="1460"/>
  <c r="D20" i="1460" s="1"/>
  <c r="R19" i="1460"/>
  <c r="D19" i="1460"/>
  <c r="R18" i="1460"/>
  <c r="D18" i="1460"/>
  <c r="R17" i="1460"/>
  <c r="L17" i="1460"/>
  <c r="D17" i="1460"/>
  <c r="R16" i="1460"/>
  <c r="L16" i="1460"/>
  <c r="D16" i="1460"/>
  <c r="R15" i="1460"/>
  <c r="D15" i="1460"/>
  <c r="R14" i="1460"/>
  <c r="D14" i="1460"/>
  <c r="R13" i="1460"/>
  <c r="D13" i="1460"/>
  <c r="R12" i="1460"/>
  <c r="R11" i="1460"/>
  <c r="L11" i="1460"/>
  <c r="D11" i="1460" s="1"/>
  <c r="L10" i="1460"/>
  <c r="D10" i="1460" s="1"/>
  <c r="L8" i="1460"/>
  <c r="D8" i="1460"/>
  <c r="L7" i="1460"/>
  <c r="D7" i="1460"/>
  <c r="R6" i="1460"/>
  <c r="L6" i="1460"/>
  <c r="D6" i="1460" s="1"/>
  <c r="D29" i="1460" s="1"/>
  <c r="H13" i="1460" s="1"/>
  <c r="H15" i="1460" s="1"/>
  <c r="H29" i="1460" s="1"/>
  <c r="R5" i="1460"/>
  <c r="R4" i="1460"/>
  <c r="R52" i="1459"/>
  <c r="R51" i="1459"/>
  <c r="D50" i="1459"/>
  <c r="R49" i="1459"/>
  <c r="G49" i="1459"/>
  <c r="D49" i="1459"/>
  <c r="R48" i="1459"/>
  <c r="D48" i="1459"/>
  <c r="D46" i="1459"/>
  <c r="D45" i="1459"/>
  <c r="D44" i="1459"/>
  <c r="R42" i="1459"/>
  <c r="L6" i="1459" s="1"/>
  <c r="D6" i="1459" s="1"/>
  <c r="D42" i="1459"/>
  <c r="R41" i="1459"/>
  <c r="L7" i="1459" s="1"/>
  <c r="D7" i="1459" s="1"/>
  <c r="D41" i="1459"/>
  <c r="R40" i="1459"/>
  <c r="D40" i="1459"/>
  <c r="R39" i="1459"/>
  <c r="D39" i="1459"/>
  <c r="R38" i="1459"/>
  <c r="L9" i="1459" s="1"/>
  <c r="D9" i="1459" s="1"/>
  <c r="D38" i="1459"/>
  <c r="R37" i="1459"/>
  <c r="D37" i="1459"/>
  <c r="R36" i="1459"/>
  <c r="L10" i="1459" s="1"/>
  <c r="D10" i="1459" s="1"/>
  <c r="D36" i="1459"/>
  <c r="R35" i="1459"/>
  <c r="D35" i="1459"/>
  <c r="R34" i="1459"/>
  <c r="L12" i="1459" s="1"/>
  <c r="D12" i="1459" s="1"/>
  <c r="D34" i="1459"/>
  <c r="D54" i="1459" s="1"/>
  <c r="H14" i="1459" s="1"/>
  <c r="R33" i="1459"/>
  <c r="L23" i="1459" s="1"/>
  <c r="D23" i="1459" s="1"/>
  <c r="R32" i="1459"/>
  <c r="R31" i="1459"/>
  <c r="R30" i="1459"/>
  <c r="R29" i="1459"/>
  <c r="R28" i="1459"/>
  <c r="L16" i="1459" s="1"/>
  <c r="D16" i="1459" s="1"/>
  <c r="D28" i="1459"/>
  <c r="R27" i="1459"/>
  <c r="D27" i="1459"/>
  <c r="R26" i="1459"/>
  <c r="L26" i="1459"/>
  <c r="D26" i="1459"/>
  <c r="R25" i="1459"/>
  <c r="L25" i="1459"/>
  <c r="D25" i="1459"/>
  <c r="R24" i="1459"/>
  <c r="D24" i="1459"/>
  <c r="R23" i="1459"/>
  <c r="R22" i="1459"/>
  <c r="L22" i="1459"/>
  <c r="D22" i="1459" s="1"/>
  <c r="R21" i="1459"/>
  <c r="D21" i="1459"/>
  <c r="R20" i="1459"/>
  <c r="L20" i="1459"/>
  <c r="D20" i="1459"/>
  <c r="R19" i="1459"/>
  <c r="L19" i="1459"/>
  <c r="D19" i="1459"/>
  <c r="R18" i="1459"/>
  <c r="D18" i="1459"/>
  <c r="R17" i="1459"/>
  <c r="D17" i="1459"/>
  <c r="R16" i="1459"/>
  <c r="S15" i="1459"/>
  <c r="R15" i="1459"/>
  <c r="D15" i="1459"/>
  <c r="S14" i="1459"/>
  <c r="R14" i="1459"/>
  <c r="D14" i="1459"/>
  <c r="R13" i="1459"/>
  <c r="D13" i="1459"/>
  <c r="R12" i="1459"/>
  <c r="R11" i="1459"/>
  <c r="L11" i="1459"/>
  <c r="D11" i="1459" s="1"/>
  <c r="L8" i="1459"/>
  <c r="D8" i="1459"/>
  <c r="R6" i="1459"/>
  <c r="R5" i="1459"/>
  <c r="R4" i="1459"/>
  <c r="R52" i="1458"/>
  <c r="R51" i="1458"/>
  <c r="D50" i="1458"/>
  <c r="R49" i="1458"/>
  <c r="D49" i="1458"/>
  <c r="R48" i="1458"/>
  <c r="D48" i="1458"/>
  <c r="D46" i="1458"/>
  <c r="D45" i="1458"/>
  <c r="D44" i="1458"/>
  <c r="R42" i="1458"/>
  <c r="D42" i="1458"/>
  <c r="R41" i="1458"/>
  <c r="D41" i="1458"/>
  <c r="R40" i="1458"/>
  <c r="D40" i="1458"/>
  <c r="R39" i="1458"/>
  <c r="H39" i="1458"/>
  <c r="D39" i="1458"/>
  <c r="R38" i="1458"/>
  <c r="L9" i="1458" s="1"/>
  <c r="D9" i="1458" s="1"/>
  <c r="H38" i="1458"/>
  <c r="D38" i="1458"/>
  <c r="R37" i="1458"/>
  <c r="H37" i="1458"/>
  <c r="D37" i="1458"/>
  <c r="R36" i="1458"/>
  <c r="H36" i="1458"/>
  <c r="D36" i="1458"/>
  <c r="R35" i="1458"/>
  <c r="H35" i="1458"/>
  <c r="D35" i="1458"/>
  <c r="R34" i="1458"/>
  <c r="L12" i="1458" s="1"/>
  <c r="D12" i="1458" s="1"/>
  <c r="H34" i="1458"/>
  <c r="G49" i="1458" s="1"/>
  <c r="D34" i="1458"/>
  <c r="D54" i="1458" s="1"/>
  <c r="H14" i="1458" s="1"/>
  <c r="R33" i="1458"/>
  <c r="L23" i="1458" s="1"/>
  <c r="D23" i="1458" s="1"/>
  <c r="R32" i="1458"/>
  <c r="L11" i="1458" s="1"/>
  <c r="D11" i="1458" s="1"/>
  <c r="R31" i="1458"/>
  <c r="R30" i="1458"/>
  <c r="R29" i="1458"/>
  <c r="R28" i="1458"/>
  <c r="D28" i="1458"/>
  <c r="R27" i="1458"/>
  <c r="D27" i="1458"/>
  <c r="R26" i="1458"/>
  <c r="L26" i="1458"/>
  <c r="D26" i="1458" s="1"/>
  <c r="R25" i="1458"/>
  <c r="L25" i="1458"/>
  <c r="D25" i="1458"/>
  <c r="R24" i="1458"/>
  <c r="D24" i="1458"/>
  <c r="R23" i="1458"/>
  <c r="R22" i="1458"/>
  <c r="L22" i="1458"/>
  <c r="D22" i="1458"/>
  <c r="R21" i="1458"/>
  <c r="D21" i="1458"/>
  <c r="R20" i="1458"/>
  <c r="L20" i="1458"/>
  <c r="D20" i="1458" s="1"/>
  <c r="R19" i="1458"/>
  <c r="L19" i="1458"/>
  <c r="D19" i="1458"/>
  <c r="R18" i="1458"/>
  <c r="D18" i="1458"/>
  <c r="R17" i="1458"/>
  <c r="D17" i="1458"/>
  <c r="R16" i="1458"/>
  <c r="L16" i="1458"/>
  <c r="D16" i="1458" s="1"/>
  <c r="R15" i="1458"/>
  <c r="D15" i="1458"/>
  <c r="R14" i="1458"/>
  <c r="D14" i="1458"/>
  <c r="R13" i="1458"/>
  <c r="D13" i="1458"/>
  <c r="R12" i="1458"/>
  <c r="R11" i="1458"/>
  <c r="L10" i="1458"/>
  <c r="D10" i="1458"/>
  <c r="L8" i="1458"/>
  <c r="D8" i="1458"/>
  <c r="L7" i="1458"/>
  <c r="D7" i="1458"/>
  <c r="R6" i="1458"/>
  <c r="L6" i="1458"/>
  <c r="D6" i="1458"/>
  <c r="R5" i="1458"/>
  <c r="R4" i="1458"/>
  <c r="R52" i="1457"/>
  <c r="R51" i="1457"/>
  <c r="D50" i="1457"/>
  <c r="R49" i="1457"/>
  <c r="D49" i="1457"/>
  <c r="R48" i="1457"/>
  <c r="D48" i="1457"/>
  <c r="D46" i="1457"/>
  <c r="D45" i="1457"/>
  <c r="D44" i="1457"/>
  <c r="R42" i="1457"/>
  <c r="L6" i="1457" s="1"/>
  <c r="D6" i="1457" s="1"/>
  <c r="D42" i="1457"/>
  <c r="R41" i="1457"/>
  <c r="D41" i="1457"/>
  <c r="R40" i="1457"/>
  <c r="D40" i="1457"/>
  <c r="R39" i="1457"/>
  <c r="L20" i="1457" s="1"/>
  <c r="D20" i="1457" s="1"/>
  <c r="H39" i="1457"/>
  <c r="D39" i="1457"/>
  <c r="R38" i="1457"/>
  <c r="L9" i="1457" s="1"/>
  <c r="D9" i="1457" s="1"/>
  <c r="H38" i="1457"/>
  <c r="D38" i="1457"/>
  <c r="R37" i="1457"/>
  <c r="H37" i="1457"/>
  <c r="D37" i="1457"/>
  <c r="R36" i="1457"/>
  <c r="L10" i="1457" s="1"/>
  <c r="D10" i="1457" s="1"/>
  <c r="H36" i="1457"/>
  <c r="D36" i="1457"/>
  <c r="R35" i="1457"/>
  <c r="H35" i="1457"/>
  <c r="D35" i="1457"/>
  <c r="R34" i="1457"/>
  <c r="L12" i="1457" s="1"/>
  <c r="D12" i="1457" s="1"/>
  <c r="H34" i="1457"/>
  <c r="G49" i="1457" s="1"/>
  <c r="D34" i="1457"/>
  <c r="D54" i="1457" s="1"/>
  <c r="H14" i="1457" s="1"/>
  <c r="R33" i="1457"/>
  <c r="L23" i="1457" s="1"/>
  <c r="D23" i="1457" s="1"/>
  <c r="R32" i="1457"/>
  <c r="L11" i="1457" s="1"/>
  <c r="D11" i="1457" s="1"/>
  <c r="R31" i="1457"/>
  <c r="R30" i="1457"/>
  <c r="R29" i="1457"/>
  <c r="R28" i="1457"/>
  <c r="D28" i="1457"/>
  <c r="R27" i="1457"/>
  <c r="D27" i="1457"/>
  <c r="R26" i="1457"/>
  <c r="L26" i="1457"/>
  <c r="D26" i="1457"/>
  <c r="R25" i="1457"/>
  <c r="L25" i="1457"/>
  <c r="D25" i="1457"/>
  <c r="R24" i="1457"/>
  <c r="L24" i="1457"/>
  <c r="D24" i="1457" s="1"/>
  <c r="R23" i="1457"/>
  <c r="R22" i="1457"/>
  <c r="L22" i="1457"/>
  <c r="D22" i="1457" s="1"/>
  <c r="R21" i="1457"/>
  <c r="D21" i="1457"/>
  <c r="R20" i="1457"/>
  <c r="R19" i="1457"/>
  <c r="L19" i="1457"/>
  <c r="D19" i="1457"/>
  <c r="R18" i="1457"/>
  <c r="D18" i="1457"/>
  <c r="R17" i="1457"/>
  <c r="L17" i="1457"/>
  <c r="D17" i="1457"/>
  <c r="R16" i="1457"/>
  <c r="L16" i="1457"/>
  <c r="D16" i="1457" s="1"/>
  <c r="R15" i="1457"/>
  <c r="D15" i="1457"/>
  <c r="R14" i="1457"/>
  <c r="D14" i="1457"/>
  <c r="R13" i="1457"/>
  <c r="D13" i="1457"/>
  <c r="R12" i="1457"/>
  <c r="R11" i="1457"/>
  <c r="L8" i="1457"/>
  <c r="D8" i="1457"/>
  <c r="L7" i="1457"/>
  <c r="D7" i="1457"/>
  <c r="R6" i="1457"/>
  <c r="R5" i="1457"/>
  <c r="R4" i="1457"/>
  <c r="R52" i="1456"/>
  <c r="R51" i="1456"/>
  <c r="D50" i="1456"/>
  <c r="R49" i="1456"/>
  <c r="D49" i="1456"/>
  <c r="R48" i="1456"/>
  <c r="D48" i="1456"/>
  <c r="D46" i="1456"/>
  <c r="D45" i="1456"/>
  <c r="R44" i="1456"/>
  <c r="P44" i="1456"/>
  <c r="D44" i="1456"/>
  <c r="R42" i="1456"/>
  <c r="D42" i="1456"/>
  <c r="R41" i="1456"/>
  <c r="D41" i="1456"/>
  <c r="R40" i="1456"/>
  <c r="L8" i="1456" s="1"/>
  <c r="D8" i="1456" s="1"/>
  <c r="D40" i="1456"/>
  <c r="R39" i="1456"/>
  <c r="L20" i="1456" s="1"/>
  <c r="D20" i="1456" s="1"/>
  <c r="H39" i="1456"/>
  <c r="D39" i="1456"/>
  <c r="R38" i="1456"/>
  <c r="H38" i="1456"/>
  <c r="D38" i="1456"/>
  <c r="R37" i="1456"/>
  <c r="H37" i="1456"/>
  <c r="D37" i="1456"/>
  <c r="R36" i="1456"/>
  <c r="H36" i="1456"/>
  <c r="D36" i="1456"/>
  <c r="R35" i="1456"/>
  <c r="H35" i="1456"/>
  <c r="D35" i="1456"/>
  <c r="R34" i="1456"/>
  <c r="L12" i="1456" s="1"/>
  <c r="D12" i="1456" s="1"/>
  <c r="H34" i="1456"/>
  <c r="G49" i="1456" s="1"/>
  <c r="D34" i="1456"/>
  <c r="D54" i="1456" s="1"/>
  <c r="H14" i="1456" s="1"/>
  <c r="R33" i="1456"/>
  <c r="R32" i="1456"/>
  <c r="R31" i="1456"/>
  <c r="R30" i="1456"/>
  <c r="R29" i="1456"/>
  <c r="R28" i="1456"/>
  <c r="D28" i="1456"/>
  <c r="R27" i="1456"/>
  <c r="D27" i="1456"/>
  <c r="R26" i="1456"/>
  <c r="L26" i="1456"/>
  <c r="D26" i="1456"/>
  <c r="R25" i="1456"/>
  <c r="L25" i="1456"/>
  <c r="D25" i="1456" s="1"/>
  <c r="R24" i="1456"/>
  <c r="L24" i="1456"/>
  <c r="D24" i="1456"/>
  <c r="R23" i="1456"/>
  <c r="D23" i="1456"/>
  <c r="R22" i="1456"/>
  <c r="D22" i="1456"/>
  <c r="R21" i="1456"/>
  <c r="D21" i="1456"/>
  <c r="R20" i="1456"/>
  <c r="R19" i="1456"/>
  <c r="D19" i="1456"/>
  <c r="R18" i="1456"/>
  <c r="D18" i="1456"/>
  <c r="R17" i="1456"/>
  <c r="L17" i="1456"/>
  <c r="D17" i="1456"/>
  <c r="R16" i="1456"/>
  <c r="L16" i="1456"/>
  <c r="D16" i="1456" s="1"/>
  <c r="R15" i="1456"/>
  <c r="D15" i="1456"/>
  <c r="R14" i="1456"/>
  <c r="D14" i="1456"/>
  <c r="R13" i="1456"/>
  <c r="D13" i="1456"/>
  <c r="R12" i="1456"/>
  <c r="R11" i="1456"/>
  <c r="L11" i="1456"/>
  <c r="D11" i="1456"/>
  <c r="L10" i="1456"/>
  <c r="D10" i="1456" s="1"/>
  <c r="L9" i="1456"/>
  <c r="D9" i="1456" s="1"/>
  <c r="L7" i="1456"/>
  <c r="D7" i="1456"/>
  <c r="R6" i="1456"/>
  <c r="L6" i="1456"/>
  <c r="D6" i="1456" s="1"/>
  <c r="D29" i="1456" s="1"/>
  <c r="H13" i="1456" s="1"/>
  <c r="R5" i="1456"/>
  <c r="R4" i="1456"/>
  <c r="R52" i="1455"/>
  <c r="R51" i="1455"/>
  <c r="D50" i="1455"/>
  <c r="R49" i="1455"/>
  <c r="G49" i="1455"/>
  <c r="D49" i="1455"/>
  <c r="R48" i="1455"/>
  <c r="D48" i="1455"/>
  <c r="D46" i="1455"/>
  <c r="D45" i="1455"/>
  <c r="D44" i="1455"/>
  <c r="R42" i="1455"/>
  <c r="D42" i="1455"/>
  <c r="R41" i="1455"/>
  <c r="L7" i="1455" s="1"/>
  <c r="D7" i="1455" s="1"/>
  <c r="D41" i="1455"/>
  <c r="R40" i="1455"/>
  <c r="D40" i="1455"/>
  <c r="R39" i="1455"/>
  <c r="D39" i="1455"/>
  <c r="R38" i="1455"/>
  <c r="L9" i="1455" s="1"/>
  <c r="D9" i="1455" s="1"/>
  <c r="D38" i="1455"/>
  <c r="R37" i="1455"/>
  <c r="D37" i="1455"/>
  <c r="R36" i="1455"/>
  <c r="L10" i="1455" s="1"/>
  <c r="D10" i="1455" s="1"/>
  <c r="D36" i="1455"/>
  <c r="R35" i="1455"/>
  <c r="L19" i="1455" s="1"/>
  <c r="D19" i="1455" s="1"/>
  <c r="D35" i="1455"/>
  <c r="D54" i="1455" s="1"/>
  <c r="H14" i="1455" s="1"/>
  <c r="R34" i="1455"/>
  <c r="D34" i="1455"/>
  <c r="R33" i="1455"/>
  <c r="R32" i="1455"/>
  <c r="R31" i="1455"/>
  <c r="R30" i="1455"/>
  <c r="R29" i="1455"/>
  <c r="R28" i="1455"/>
  <c r="L16" i="1455" s="1"/>
  <c r="D16" i="1455" s="1"/>
  <c r="D28" i="1455"/>
  <c r="R27" i="1455"/>
  <c r="D27" i="1455"/>
  <c r="R26" i="1455"/>
  <c r="L26" i="1455"/>
  <c r="D26" i="1455"/>
  <c r="R25" i="1455"/>
  <c r="L25" i="1455"/>
  <c r="D25" i="1455"/>
  <c r="R24" i="1455"/>
  <c r="D24" i="1455"/>
  <c r="R23" i="1455"/>
  <c r="L23" i="1455"/>
  <c r="D23" i="1455"/>
  <c r="R22" i="1455"/>
  <c r="L22" i="1455"/>
  <c r="D22" i="1455" s="1"/>
  <c r="R21" i="1455"/>
  <c r="D21" i="1455"/>
  <c r="R20" i="1455"/>
  <c r="L20" i="1455"/>
  <c r="D20" i="1455"/>
  <c r="R19" i="1455"/>
  <c r="R18" i="1455"/>
  <c r="D18" i="1455"/>
  <c r="R17" i="1455"/>
  <c r="D17" i="1455"/>
  <c r="R16" i="1455"/>
  <c r="S15" i="1455"/>
  <c r="R15" i="1455"/>
  <c r="D15" i="1455"/>
  <c r="S14" i="1455"/>
  <c r="R14" i="1455"/>
  <c r="D14" i="1455"/>
  <c r="R13" i="1455"/>
  <c r="D13" i="1455"/>
  <c r="R12" i="1455"/>
  <c r="L12" i="1455"/>
  <c r="D12" i="1455"/>
  <c r="R11" i="1455"/>
  <c r="L11" i="1455"/>
  <c r="D11" i="1455" s="1"/>
  <c r="L8" i="1455"/>
  <c r="D8" i="1455" s="1"/>
  <c r="R6" i="1455"/>
  <c r="L6" i="1455"/>
  <c r="D6" i="1455" s="1"/>
  <c r="D29" i="1455" s="1"/>
  <c r="H13" i="1455" s="1"/>
  <c r="H15" i="1455" s="1"/>
  <c r="H29" i="1455" s="1"/>
  <c r="R5" i="1455"/>
  <c r="R4" i="1455"/>
  <c r="R52" i="1454"/>
  <c r="R51" i="1454"/>
  <c r="D50" i="1454"/>
  <c r="R49" i="1454"/>
  <c r="G49" i="1454"/>
  <c r="D49" i="1454"/>
  <c r="R48" i="1454"/>
  <c r="D48" i="1454"/>
  <c r="D46" i="1454"/>
  <c r="D45" i="1454"/>
  <c r="D44" i="1454"/>
  <c r="R42" i="1454"/>
  <c r="D42" i="1454"/>
  <c r="R41" i="1454"/>
  <c r="L7" i="1454" s="1"/>
  <c r="D7" i="1454" s="1"/>
  <c r="D41" i="1454"/>
  <c r="R40" i="1454"/>
  <c r="L8" i="1454" s="1"/>
  <c r="D8" i="1454" s="1"/>
  <c r="D40" i="1454"/>
  <c r="R39" i="1454"/>
  <c r="H39" i="1454"/>
  <c r="D39" i="1454"/>
  <c r="R38" i="1454"/>
  <c r="L9" i="1454" s="1"/>
  <c r="D9" i="1454" s="1"/>
  <c r="H38" i="1454"/>
  <c r="D38" i="1454"/>
  <c r="R37" i="1454"/>
  <c r="H37" i="1454"/>
  <c r="D37" i="1454"/>
  <c r="R36" i="1454"/>
  <c r="H36" i="1454"/>
  <c r="D36" i="1454"/>
  <c r="R35" i="1454"/>
  <c r="H35" i="1454"/>
  <c r="D35" i="1454"/>
  <c r="R34" i="1454"/>
  <c r="H34" i="1454"/>
  <c r="D34" i="1454"/>
  <c r="D54" i="1454" s="1"/>
  <c r="H14" i="1454" s="1"/>
  <c r="R33" i="1454"/>
  <c r="L23" i="1454" s="1"/>
  <c r="D23" i="1454" s="1"/>
  <c r="R32" i="1454"/>
  <c r="L11" i="1454" s="1"/>
  <c r="D11" i="1454" s="1"/>
  <c r="R31" i="1454"/>
  <c r="R30" i="1454"/>
  <c r="R29" i="1454"/>
  <c r="R28" i="1454"/>
  <c r="L16" i="1454" s="1"/>
  <c r="D16" i="1454" s="1"/>
  <c r="D28" i="1454"/>
  <c r="R27" i="1454"/>
  <c r="D27" i="1454"/>
  <c r="R26" i="1454"/>
  <c r="L26" i="1454"/>
  <c r="D26" i="1454"/>
  <c r="R25" i="1454"/>
  <c r="L25" i="1454"/>
  <c r="D25" i="1454"/>
  <c r="R24" i="1454"/>
  <c r="D24" i="1454"/>
  <c r="R23" i="1454"/>
  <c r="R22" i="1454"/>
  <c r="L22" i="1454"/>
  <c r="D22" i="1454" s="1"/>
  <c r="R21" i="1454"/>
  <c r="D21" i="1454"/>
  <c r="R20" i="1454"/>
  <c r="L20" i="1454"/>
  <c r="D20" i="1454"/>
  <c r="R19" i="1454"/>
  <c r="L19" i="1454"/>
  <c r="D19" i="1454"/>
  <c r="R18" i="1454"/>
  <c r="D18" i="1454"/>
  <c r="R17" i="1454"/>
  <c r="D17" i="1454"/>
  <c r="R16" i="1454"/>
  <c r="R15" i="1454"/>
  <c r="D15" i="1454"/>
  <c r="R14" i="1454"/>
  <c r="D14" i="1454"/>
  <c r="R13" i="1454"/>
  <c r="D13" i="1454"/>
  <c r="R12" i="1454"/>
  <c r="L12" i="1454"/>
  <c r="D12" i="1454" s="1"/>
  <c r="R11" i="1454"/>
  <c r="L10" i="1454"/>
  <c r="D10" i="1454" s="1"/>
  <c r="R6" i="1454"/>
  <c r="L6" i="1454"/>
  <c r="D6" i="1454"/>
  <c r="R5" i="1454"/>
  <c r="R4" i="1454"/>
  <c r="R52" i="1453"/>
  <c r="R51" i="1453"/>
  <c r="D50" i="1453"/>
  <c r="R49" i="1453"/>
  <c r="D49" i="1453"/>
  <c r="R48" i="1453"/>
  <c r="D48" i="1453"/>
  <c r="D46" i="1453"/>
  <c r="D45" i="1453"/>
  <c r="D44" i="1453"/>
  <c r="R42" i="1453"/>
  <c r="L6" i="1453" s="1"/>
  <c r="D6" i="1453" s="1"/>
  <c r="D42" i="1453"/>
  <c r="R41" i="1453"/>
  <c r="L7" i="1453" s="1"/>
  <c r="D7" i="1453" s="1"/>
  <c r="D41" i="1453"/>
  <c r="R40" i="1453"/>
  <c r="D40" i="1453"/>
  <c r="R39" i="1453"/>
  <c r="L20" i="1453" s="1"/>
  <c r="D20" i="1453" s="1"/>
  <c r="H39" i="1453"/>
  <c r="D39" i="1453"/>
  <c r="R38" i="1453"/>
  <c r="H38" i="1453"/>
  <c r="D38" i="1453"/>
  <c r="R37" i="1453"/>
  <c r="H37" i="1453"/>
  <c r="D37" i="1453"/>
  <c r="R36" i="1453"/>
  <c r="H36" i="1453"/>
  <c r="D36" i="1453"/>
  <c r="D54" i="1453" s="1"/>
  <c r="H14" i="1453" s="1"/>
  <c r="R35" i="1453"/>
  <c r="L19" i="1453" s="1"/>
  <c r="D19" i="1453" s="1"/>
  <c r="H35" i="1453"/>
  <c r="D35" i="1453"/>
  <c r="R34" i="1453"/>
  <c r="H34" i="1453"/>
  <c r="G49" i="1453" s="1"/>
  <c r="D34" i="1453"/>
  <c r="R33" i="1453"/>
  <c r="L23" i="1453" s="1"/>
  <c r="D23" i="1453" s="1"/>
  <c r="R32" i="1453"/>
  <c r="R31" i="1453"/>
  <c r="R30" i="1453"/>
  <c r="R29" i="1453"/>
  <c r="R28" i="1453"/>
  <c r="L16" i="1453" s="1"/>
  <c r="D16" i="1453" s="1"/>
  <c r="D28" i="1453"/>
  <c r="R27" i="1453"/>
  <c r="D27" i="1453"/>
  <c r="R26" i="1453"/>
  <c r="L26" i="1453"/>
  <c r="D26" i="1453"/>
  <c r="R25" i="1453"/>
  <c r="L25" i="1453"/>
  <c r="D25" i="1453"/>
  <c r="R24" i="1453"/>
  <c r="L24" i="1453"/>
  <c r="D24" i="1453"/>
  <c r="R23" i="1453"/>
  <c r="R22" i="1453"/>
  <c r="L22" i="1453"/>
  <c r="D22" i="1453"/>
  <c r="R21" i="1453"/>
  <c r="L17" i="1453" s="1"/>
  <c r="D17" i="1453" s="1"/>
  <c r="D21" i="1453"/>
  <c r="R20" i="1453"/>
  <c r="R19" i="1453"/>
  <c r="R18" i="1453"/>
  <c r="D18" i="1453"/>
  <c r="R17" i="1453"/>
  <c r="R16" i="1453"/>
  <c r="R15" i="1453"/>
  <c r="D15" i="1453"/>
  <c r="R14" i="1453"/>
  <c r="D14" i="1453"/>
  <c r="R13" i="1453"/>
  <c r="D13" i="1453"/>
  <c r="R12" i="1453"/>
  <c r="L12" i="1453"/>
  <c r="D12" i="1453" s="1"/>
  <c r="R11" i="1453"/>
  <c r="L11" i="1453"/>
  <c r="D11" i="1453" s="1"/>
  <c r="L10" i="1453"/>
  <c r="D10" i="1453"/>
  <c r="L9" i="1453"/>
  <c r="D9" i="1453" s="1"/>
  <c r="L8" i="1453"/>
  <c r="D8" i="1453"/>
  <c r="R6" i="1453"/>
  <c r="R5" i="1453"/>
  <c r="R4" i="1453"/>
  <c r="R52" i="1452"/>
  <c r="R51" i="1452"/>
  <c r="D50" i="1452"/>
  <c r="R49" i="1452"/>
  <c r="G49" i="1452"/>
  <c r="D49" i="1452"/>
  <c r="R48" i="1452"/>
  <c r="D48" i="1452"/>
  <c r="D46" i="1452"/>
  <c r="D45" i="1452"/>
  <c r="P44" i="1452"/>
  <c r="R44" i="1452" s="1"/>
  <c r="D44" i="1452"/>
  <c r="R42" i="1452"/>
  <c r="D42" i="1452"/>
  <c r="R41" i="1452"/>
  <c r="D41" i="1452"/>
  <c r="R40" i="1452"/>
  <c r="L8" i="1452" s="1"/>
  <c r="D8" i="1452" s="1"/>
  <c r="D40" i="1452"/>
  <c r="R39" i="1452"/>
  <c r="L20" i="1452" s="1"/>
  <c r="D20" i="1452" s="1"/>
  <c r="H39" i="1452"/>
  <c r="D39" i="1452"/>
  <c r="R38" i="1452"/>
  <c r="H38" i="1452"/>
  <c r="D38" i="1452"/>
  <c r="R37" i="1452"/>
  <c r="H37" i="1452"/>
  <c r="D37" i="1452"/>
  <c r="R36" i="1452"/>
  <c r="H36" i="1452"/>
  <c r="D36" i="1452"/>
  <c r="R35" i="1452"/>
  <c r="H35" i="1452"/>
  <c r="D35" i="1452"/>
  <c r="R34" i="1452"/>
  <c r="L12" i="1452" s="1"/>
  <c r="D12" i="1452" s="1"/>
  <c r="H34" i="1452"/>
  <c r="D34" i="1452"/>
  <c r="D54" i="1452" s="1"/>
  <c r="H14" i="1452" s="1"/>
  <c r="R33" i="1452"/>
  <c r="R32" i="1452"/>
  <c r="R31" i="1452"/>
  <c r="R30" i="1452"/>
  <c r="R29" i="1452"/>
  <c r="R28" i="1452"/>
  <c r="D28" i="1452"/>
  <c r="R27" i="1452"/>
  <c r="D27" i="1452"/>
  <c r="R26" i="1452"/>
  <c r="L26" i="1452"/>
  <c r="D26" i="1452"/>
  <c r="R25" i="1452"/>
  <c r="L25" i="1452"/>
  <c r="D25" i="1452" s="1"/>
  <c r="R24" i="1452"/>
  <c r="L24" i="1452"/>
  <c r="D24" i="1452"/>
  <c r="R23" i="1452"/>
  <c r="D23" i="1452"/>
  <c r="R22" i="1452"/>
  <c r="D22" i="1452"/>
  <c r="R21" i="1452"/>
  <c r="D21" i="1452"/>
  <c r="R20" i="1452"/>
  <c r="R19" i="1452"/>
  <c r="D19" i="1452"/>
  <c r="R18" i="1452"/>
  <c r="D18" i="1452"/>
  <c r="R17" i="1452"/>
  <c r="L17" i="1452"/>
  <c r="D17" i="1452"/>
  <c r="R16" i="1452"/>
  <c r="L16" i="1452"/>
  <c r="D16" i="1452"/>
  <c r="R15" i="1452"/>
  <c r="D15" i="1452"/>
  <c r="R14" i="1452"/>
  <c r="D14" i="1452"/>
  <c r="R13" i="1452"/>
  <c r="D13" i="1452"/>
  <c r="R12" i="1452"/>
  <c r="R11" i="1452"/>
  <c r="L11" i="1452"/>
  <c r="D11" i="1452"/>
  <c r="L10" i="1452"/>
  <c r="D10" i="1452" s="1"/>
  <c r="L9" i="1452"/>
  <c r="D9" i="1452"/>
  <c r="L7" i="1452"/>
  <c r="D7" i="1452"/>
  <c r="R6" i="1452"/>
  <c r="L6" i="1452"/>
  <c r="D6" i="1452" s="1"/>
  <c r="R5" i="1452"/>
  <c r="R4" i="1452"/>
  <c r="R52" i="1451"/>
  <c r="R51" i="1451"/>
  <c r="D50" i="1451"/>
  <c r="R49" i="1451"/>
  <c r="G49" i="1451"/>
  <c r="D49" i="1451"/>
  <c r="R48" i="1451"/>
  <c r="D48" i="1451"/>
  <c r="D46" i="1451"/>
  <c r="D45" i="1451"/>
  <c r="D44" i="1451"/>
  <c r="R42" i="1451"/>
  <c r="L6" i="1451" s="1"/>
  <c r="D6" i="1451" s="1"/>
  <c r="D42" i="1451"/>
  <c r="R41" i="1451"/>
  <c r="L7" i="1451" s="1"/>
  <c r="D7" i="1451" s="1"/>
  <c r="D41" i="1451"/>
  <c r="R40" i="1451"/>
  <c r="L8" i="1451" s="1"/>
  <c r="D8" i="1451" s="1"/>
  <c r="D40" i="1451"/>
  <c r="R39" i="1451"/>
  <c r="D39" i="1451"/>
  <c r="R38" i="1451"/>
  <c r="L9" i="1451" s="1"/>
  <c r="D9" i="1451" s="1"/>
  <c r="D38" i="1451"/>
  <c r="R37" i="1451"/>
  <c r="D37" i="1451"/>
  <c r="R36" i="1451"/>
  <c r="L10" i="1451" s="1"/>
  <c r="D10" i="1451" s="1"/>
  <c r="D36" i="1451"/>
  <c r="R35" i="1451"/>
  <c r="D35" i="1451"/>
  <c r="R34" i="1451"/>
  <c r="L12" i="1451" s="1"/>
  <c r="D12" i="1451" s="1"/>
  <c r="D34" i="1451"/>
  <c r="D54" i="1451" s="1"/>
  <c r="H14" i="1451" s="1"/>
  <c r="R33" i="1451"/>
  <c r="L23" i="1451" s="1"/>
  <c r="D23" i="1451" s="1"/>
  <c r="R32" i="1451"/>
  <c r="R31" i="1451"/>
  <c r="R30" i="1451"/>
  <c r="R29" i="1451"/>
  <c r="R28" i="1451"/>
  <c r="L16" i="1451" s="1"/>
  <c r="D16" i="1451" s="1"/>
  <c r="D28" i="1451"/>
  <c r="R27" i="1451"/>
  <c r="D27" i="1451"/>
  <c r="R26" i="1451"/>
  <c r="L26" i="1451"/>
  <c r="D26" i="1451"/>
  <c r="R25" i="1451"/>
  <c r="L25" i="1451"/>
  <c r="D25" i="1451"/>
  <c r="R24" i="1451"/>
  <c r="D24" i="1451"/>
  <c r="R23" i="1451"/>
  <c r="R22" i="1451"/>
  <c r="L22" i="1451"/>
  <c r="D22" i="1451" s="1"/>
  <c r="R21" i="1451"/>
  <c r="D21" i="1451"/>
  <c r="R20" i="1451"/>
  <c r="L20" i="1451"/>
  <c r="D20" i="1451"/>
  <c r="R19" i="1451"/>
  <c r="L19" i="1451"/>
  <c r="D19" i="1451"/>
  <c r="R18" i="1451"/>
  <c r="D18" i="1451"/>
  <c r="R17" i="1451"/>
  <c r="D17" i="1451"/>
  <c r="R16" i="1451"/>
  <c r="S15" i="1451"/>
  <c r="R15" i="1451"/>
  <c r="D15" i="1451"/>
  <c r="S14" i="1451"/>
  <c r="R14" i="1451"/>
  <c r="D14" i="1451"/>
  <c r="R13" i="1451"/>
  <c r="D13" i="1451"/>
  <c r="R12" i="1451"/>
  <c r="R11" i="1451"/>
  <c r="L11" i="1451"/>
  <c r="D11" i="1451" s="1"/>
  <c r="R6" i="1451"/>
  <c r="R5" i="1451"/>
  <c r="R4" i="1451"/>
  <c r="R52" i="1450"/>
  <c r="R51" i="1450"/>
  <c r="D50" i="1450"/>
  <c r="R49" i="1450"/>
  <c r="D49" i="1450"/>
  <c r="R48" i="1450"/>
  <c r="D48" i="1450"/>
  <c r="D46" i="1450"/>
  <c r="D45" i="1450"/>
  <c r="D44" i="1450"/>
  <c r="R42" i="1450"/>
  <c r="D42" i="1450"/>
  <c r="R41" i="1450"/>
  <c r="D41" i="1450"/>
  <c r="R40" i="1450"/>
  <c r="L8" i="1450" s="1"/>
  <c r="D8" i="1450" s="1"/>
  <c r="D40" i="1450"/>
  <c r="R39" i="1450"/>
  <c r="H39" i="1450"/>
  <c r="D39" i="1450"/>
  <c r="R38" i="1450"/>
  <c r="L9" i="1450" s="1"/>
  <c r="D9" i="1450" s="1"/>
  <c r="H38" i="1450"/>
  <c r="D38" i="1450"/>
  <c r="R37" i="1450"/>
  <c r="H37" i="1450"/>
  <c r="D37" i="1450"/>
  <c r="R36" i="1450"/>
  <c r="H36" i="1450"/>
  <c r="D36" i="1450"/>
  <c r="R35" i="1450"/>
  <c r="L19" i="1450" s="1"/>
  <c r="D19" i="1450" s="1"/>
  <c r="H35" i="1450"/>
  <c r="D35" i="1450"/>
  <c r="R34" i="1450"/>
  <c r="L12" i="1450" s="1"/>
  <c r="D12" i="1450" s="1"/>
  <c r="H34" i="1450"/>
  <c r="D34" i="1450"/>
  <c r="R33" i="1450"/>
  <c r="L23" i="1450" s="1"/>
  <c r="D23" i="1450" s="1"/>
  <c r="R32" i="1450"/>
  <c r="L11" i="1450" s="1"/>
  <c r="D11" i="1450" s="1"/>
  <c r="R31" i="1450"/>
  <c r="R30" i="1450"/>
  <c r="R29" i="1450"/>
  <c r="R28" i="1450"/>
  <c r="D28" i="1450"/>
  <c r="R27" i="1450"/>
  <c r="D27" i="1450"/>
  <c r="R26" i="1450"/>
  <c r="L26" i="1450"/>
  <c r="D26" i="1450"/>
  <c r="R25" i="1450"/>
  <c r="L25" i="1450"/>
  <c r="D25" i="1450"/>
  <c r="R24" i="1450"/>
  <c r="D24" i="1450"/>
  <c r="R23" i="1450"/>
  <c r="R22" i="1450"/>
  <c r="L22" i="1450"/>
  <c r="D22" i="1450"/>
  <c r="R21" i="1450"/>
  <c r="D21" i="1450"/>
  <c r="R20" i="1450"/>
  <c r="L20" i="1450"/>
  <c r="D20" i="1450"/>
  <c r="R19" i="1450"/>
  <c r="R18" i="1450"/>
  <c r="D18" i="1450"/>
  <c r="R17" i="1450"/>
  <c r="D17" i="1450"/>
  <c r="R16" i="1450"/>
  <c r="L16" i="1450"/>
  <c r="D16" i="1450" s="1"/>
  <c r="R15" i="1450"/>
  <c r="D15" i="1450"/>
  <c r="R14" i="1450"/>
  <c r="D14" i="1450"/>
  <c r="R13" i="1450"/>
  <c r="D13" i="1450"/>
  <c r="R12" i="1450"/>
  <c r="R11" i="1450"/>
  <c r="L10" i="1450"/>
  <c r="D10" i="1450"/>
  <c r="L7" i="1450"/>
  <c r="D7" i="1450" s="1"/>
  <c r="R6" i="1450"/>
  <c r="L6" i="1450"/>
  <c r="D6" i="1450"/>
  <c r="R5" i="1450"/>
  <c r="R4" i="1450"/>
  <c r="R52" i="1449"/>
  <c r="R51" i="1449"/>
  <c r="D50" i="1449"/>
  <c r="R49" i="1449"/>
  <c r="D49" i="1449"/>
  <c r="R48" i="1449"/>
  <c r="D48" i="1449"/>
  <c r="D46" i="1449"/>
  <c r="D45" i="1449"/>
  <c r="D44" i="1449"/>
  <c r="R42" i="1449"/>
  <c r="L6" i="1449" s="1"/>
  <c r="D6" i="1449" s="1"/>
  <c r="D42" i="1449"/>
  <c r="R41" i="1449"/>
  <c r="L7" i="1449" s="1"/>
  <c r="D7" i="1449" s="1"/>
  <c r="D41" i="1449"/>
  <c r="R40" i="1449"/>
  <c r="D40" i="1449"/>
  <c r="R39" i="1449"/>
  <c r="L20" i="1449" s="1"/>
  <c r="D20" i="1449" s="1"/>
  <c r="H39" i="1449"/>
  <c r="D39" i="1449"/>
  <c r="R38" i="1449"/>
  <c r="L9" i="1449" s="1"/>
  <c r="D9" i="1449" s="1"/>
  <c r="H38" i="1449"/>
  <c r="D38" i="1449"/>
  <c r="R37" i="1449"/>
  <c r="H37" i="1449"/>
  <c r="D37" i="1449"/>
  <c r="R36" i="1449"/>
  <c r="H36" i="1449"/>
  <c r="D36" i="1449"/>
  <c r="R35" i="1449"/>
  <c r="L19" i="1449" s="1"/>
  <c r="D19" i="1449" s="1"/>
  <c r="H35" i="1449"/>
  <c r="D35" i="1449"/>
  <c r="R34" i="1449"/>
  <c r="L12" i="1449" s="1"/>
  <c r="D12" i="1449" s="1"/>
  <c r="H34" i="1449"/>
  <c r="D34" i="1449"/>
  <c r="R33" i="1449"/>
  <c r="L23" i="1449" s="1"/>
  <c r="D23" i="1449" s="1"/>
  <c r="R32" i="1449"/>
  <c r="L11" i="1449" s="1"/>
  <c r="D11" i="1449" s="1"/>
  <c r="R31" i="1449"/>
  <c r="R30" i="1449"/>
  <c r="R29" i="1449"/>
  <c r="R28" i="1449"/>
  <c r="D28" i="1449"/>
  <c r="R27" i="1449"/>
  <c r="D27" i="1449"/>
  <c r="R26" i="1449"/>
  <c r="L26" i="1449"/>
  <c r="D26" i="1449"/>
  <c r="R25" i="1449"/>
  <c r="L25" i="1449"/>
  <c r="D25" i="1449"/>
  <c r="R24" i="1449"/>
  <c r="L24" i="1449"/>
  <c r="D24" i="1449" s="1"/>
  <c r="R23" i="1449"/>
  <c r="R22" i="1449"/>
  <c r="L22" i="1449"/>
  <c r="D22" i="1449" s="1"/>
  <c r="R21" i="1449"/>
  <c r="L17" i="1449" s="1"/>
  <c r="D17" i="1449" s="1"/>
  <c r="D21" i="1449"/>
  <c r="R20" i="1449"/>
  <c r="R19" i="1449"/>
  <c r="R18" i="1449"/>
  <c r="D18" i="1449"/>
  <c r="R17" i="1449"/>
  <c r="R16" i="1449"/>
  <c r="L16" i="1449"/>
  <c r="D16" i="1449" s="1"/>
  <c r="R15" i="1449"/>
  <c r="D15" i="1449"/>
  <c r="R14" i="1449"/>
  <c r="D14" i="1449"/>
  <c r="R13" i="1449"/>
  <c r="D13" i="1449"/>
  <c r="R12" i="1449"/>
  <c r="R11" i="1449"/>
  <c r="L10" i="1449"/>
  <c r="D10" i="1449"/>
  <c r="L8" i="1449"/>
  <c r="D8" i="1449"/>
  <c r="R6" i="1449"/>
  <c r="R5" i="1449"/>
  <c r="R4" i="1449"/>
  <c r="R52" i="1448"/>
  <c r="R51" i="1448"/>
  <c r="D50" i="1448"/>
  <c r="R49" i="1448"/>
  <c r="D49" i="1448"/>
  <c r="R48" i="1448"/>
  <c r="D48" i="1448"/>
  <c r="D46" i="1448"/>
  <c r="D45" i="1448"/>
  <c r="P44" i="1448"/>
  <c r="R44" i="1448" s="1"/>
  <c r="D44" i="1448"/>
  <c r="R42" i="1448"/>
  <c r="L6" i="1448" s="1"/>
  <c r="D6" i="1448" s="1"/>
  <c r="D42" i="1448"/>
  <c r="R41" i="1448"/>
  <c r="D41" i="1448"/>
  <c r="R40" i="1448"/>
  <c r="L8" i="1448" s="1"/>
  <c r="D8" i="1448" s="1"/>
  <c r="D40" i="1448"/>
  <c r="R39" i="1448"/>
  <c r="H39" i="1448"/>
  <c r="D39" i="1448"/>
  <c r="R38" i="1448"/>
  <c r="H38" i="1448"/>
  <c r="D38" i="1448"/>
  <c r="R37" i="1448"/>
  <c r="H37" i="1448"/>
  <c r="D37" i="1448"/>
  <c r="R36" i="1448"/>
  <c r="L10" i="1448" s="1"/>
  <c r="D10" i="1448" s="1"/>
  <c r="H36" i="1448"/>
  <c r="D36" i="1448"/>
  <c r="D54" i="1448" s="1"/>
  <c r="H14" i="1448" s="1"/>
  <c r="R35" i="1448"/>
  <c r="H35" i="1448"/>
  <c r="G49" i="1448" s="1"/>
  <c r="D35" i="1448"/>
  <c r="R34" i="1448"/>
  <c r="H34" i="1448"/>
  <c r="D34" i="1448"/>
  <c r="R33" i="1448"/>
  <c r="R32" i="1448"/>
  <c r="R31" i="1448"/>
  <c r="R30" i="1448"/>
  <c r="R29" i="1448"/>
  <c r="R28" i="1448"/>
  <c r="L16" i="1448" s="1"/>
  <c r="D16" i="1448" s="1"/>
  <c r="D28" i="1448"/>
  <c r="R27" i="1448"/>
  <c r="D27" i="1448"/>
  <c r="R26" i="1448"/>
  <c r="L26" i="1448"/>
  <c r="D26" i="1448" s="1"/>
  <c r="R25" i="1448"/>
  <c r="L25" i="1448"/>
  <c r="D25" i="1448"/>
  <c r="R24" i="1448"/>
  <c r="L24" i="1448"/>
  <c r="D24" i="1448"/>
  <c r="R23" i="1448"/>
  <c r="D23" i="1448"/>
  <c r="R22" i="1448"/>
  <c r="D22" i="1448"/>
  <c r="R21" i="1448"/>
  <c r="D21" i="1448"/>
  <c r="R20" i="1448"/>
  <c r="L20" i="1448"/>
  <c r="D20" i="1448"/>
  <c r="R19" i="1448"/>
  <c r="D19" i="1448"/>
  <c r="R18" i="1448"/>
  <c r="D18" i="1448"/>
  <c r="R17" i="1448"/>
  <c r="L17" i="1448"/>
  <c r="D17" i="1448"/>
  <c r="R16" i="1448"/>
  <c r="R15" i="1448"/>
  <c r="D15" i="1448"/>
  <c r="R14" i="1448"/>
  <c r="D14" i="1448"/>
  <c r="R13" i="1448"/>
  <c r="D13" i="1448"/>
  <c r="R12" i="1448"/>
  <c r="L12" i="1448"/>
  <c r="D12" i="1448"/>
  <c r="R11" i="1448"/>
  <c r="L11" i="1448"/>
  <c r="D11" i="1448" s="1"/>
  <c r="L9" i="1448"/>
  <c r="D9" i="1448"/>
  <c r="L7" i="1448"/>
  <c r="D7" i="1448" s="1"/>
  <c r="R6" i="1448"/>
  <c r="R5" i="1448"/>
  <c r="R4" i="1448"/>
  <c r="R52" i="1447"/>
  <c r="R51" i="1447"/>
  <c r="D50" i="1447"/>
  <c r="R49" i="1447"/>
  <c r="G49" i="1447"/>
  <c r="D49" i="1447"/>
  <c r="R48" i="1447"/>
  <c r="D48" i="1447"/>
  <c r="D46" i="1447"/>
  <c r="D45" i="1447"/>
  <c r="D44" i="1447"/>
  <c r="R42" i="1447"/>
  <c r="L6" i="1447" s="1"/>
  <c r="D6" i="1447" s="1"/>
  <c r="D42" i="1447"/>
  <c r="R41" i="1447"/>
  <c r="L7" i="1447" s="1"/>
  <c r="D7" i="1447" s="1"/>
  <c r="D41" i="1447"/>
  <c r="R40" i="1447"/>
  <c r="D40" i="1447"/>
  <c r="R39" i="1447"/>
  <c r="D39" i="1447"/>
  <c r="R38" i="1447"/>
  <c r="L9" i="1447" s="1"/>
  <c r="D9" i="1447" s="1"/>
  <c r="D38" i="1447"/>
  <c r="R37" i="1447"/>
  <c r="D37" i="1447"/>
  <c r="R36" i="1447"/>
  <c r="L10" i="1447" s="1"/>
  <c r="D10" i="1447" s="1"/>
  <c r="D36" i="1447"/>
  <c r="R35" i="1447"/>
  <c r="D35" i="1447"/>
  <c r="R34" i="1447"/>
  <c r="L12" i="1447" s="1"/>
  <c r="D12" i="1447" s="1"/>
  <c r="D34" i="1447"/>
  <c r="D54" i="1447" s="1"/>
  <c r="H14" i="1447" s="1"/>
  <c r="R33" i="1447"/>
  <c r="L23" i="1447" s="1"/>
  <c r="D23" i="1447" s="1"/>
  <c r="R32" i="1447"/>
  <c r="R31" i="1447"/>
  <c r="R30" i="1447"/>
  <c r="R29" i="1447"/>
  <c r="R28" i="1447"/>
  <c r="L16" i="1447" s="1"/>
  <c r="D16" i="1447" s="1"/>
  <c r="D28" i="1447"/>
  <c r="R27" i="1447"/>
  <c r="D27" i="1447"/>
  <c r="R26" i="1447"/>
  <c r="L26" i="1447"/>
  <c r="D26" i="1447"/>
  <c r="R25" i="1447"/>
  <c r="L25" i="1447"/>
  <c r="D25" i="1447"/>
  <c r="R24" i="1447"/>
  <c r="D24" i="1447"/>
  <c r="R23" i="1447"/>
  <c r="R22" i="1447"/>
  <c r="L22" i="1447"/>
  <c r="D22" i="1447"/>
  <c r="R21" i="1447"/>
  <c r="D21" i="1447"/>
  <c r="R20" i="1447"/>
  <c r="L20" i="1447"/>
  <c r="D20" i="1447"/>
  <c r="R19" i="1447"/>
  <c r="L19" i="1447"/>
  <c r="D19" i="1447"/>
  <c r="R18" i="1447"/>
  <c r="D18" i="1447"/>
  <c r="R17" i="1447"/>
  <c r="D17" i="1447"/>
  <c r="R16" i="1447"/>
  <c r="S15" i="1447"/>
  <c r="R15" i="1447"/>
  <c r="D15" i="1447"/>
  <c r="S14" i="1447"/>
  <c r="R14" i="1447"/>
  <c r="D14" i="1447"/>
  <c r="R13" i="1447"/>
  <c r="D13" i="1447"/>
  <c r="R12" i="1447"/>
  <c r="R11" i="1447"/>
  <c r="L11" i="1447"/>
  <c r="D11" i="1447"/>
  <c r="L8" i="1447"/>
  <c r="D8" i="1447"/>
  <c r="R6" i="1447"/>
  <c r="R5" i="1447"/>
  <c r="R4" i="1447"/>
  <c r="D54" i="1450" l="1"/>
  <c r="H14" i="1450" s="1"/>
  <c r="D54" i="1449"/>
  <c r="H14" i="1449" s="1"/>
  <c r="G49" i="1450"/>
  <c r="G49" i="1449"/>
  <c r="D29" i="1470"/>
  <c r="H13" i="1470" s="1"/>
  <c r="H15" i="1470" s="1"/>
  <c r="H29" i="1470" s="1"/>
  <c r="G51" i="1470" s="1"/>
  <c r="D29" i="1469"/>
  <c r="H13" i="1469" s="1"/>
  <c r="H15" i="1469" s="1"/>
  <c r="H29" i="1469" s="1"/>
  <c r="G51" i="1469" s="1"/>
  <c r="D29" i="1468"/>
  <c r="H13" i="1468" s="1"/>
  <c r="H15" i="1468" s="1"/>
  <c r="H29" i="1468" s="1"/>
  <c r="G51" i="1468"/>
  <c r="G51" i="1467"/>
  <c r="D29" i="1466"/>
  <c r="H13" i="1466" s="1"/>
  <c r="H15" i="1466" s="1"/>
  <c r="H29" i="1466" s="1"/>
  <c r="G51" i="1466" s="1"/>
  <c r="G51" i="1465"/>
  <c r="D29" i="1464"/>
  <c r="H13" i="1464" s="1"/>
  <c r="H15" i="1464" s="1"/>
  <c r="H29" i="1464" s="1"/>
  <c r="G51" i="1464" s="1"/>
  <c r="D29" i="1463"/>
  <c r="H13" i="1463" s="1"/>
  <c r="H15" i="1463" s="1"/>
  <c r="H29" i="1463" s="1"/>
  <c r="G51" i="1463" s="1"/>
  <c r="D29" i="1462"/>
  <c r="H13" i="1462" s="1"/>
  <c r="H15" i="1462" s="1"/>
  <c r="H29" i="1462" s="1"/>
  <c r="G51" i="1462"/>
  <c r="D29" i="1461"/>
  <c r="H13" i="1461" s="1"/>
  <c r="H15" i="1461" s="1"/>
  <c r="H29" i="1461" s="1"/>
  <c r="G51" i="1461"/>
  <c r="G51" i="1460"/>
  <c r="D29" i="1459"/>
  <c r="H13" i="1459" s="1"/>
  <c r="H15" i="1459" s="1"/>
  <c r="H29" i="1459" s="1"/>
  <c r="G51" i="1459" s="1"/>
  <c r="D29" i="1458"/>
  <c r="H13" i="1458" s="1"/>
  <c r="H15" i="1458" s="1"/>
  <c r="H29" i="1458" s="1"/>
  <c r="G51" i="1458" s="1"/>
  <c r="D29" i="1457"/>
  <c r="H13" i="1457" s="1"/>
  <c r="H15" i="1457" s="1"/>
  <c r="H29" i="1457" s="1"/>
  <c r="G51" i="1457"/>
  <c r="H15" i="1456"/>
  <c r="H29" i="1456" s="1"/>
  <c r="G51" i="1456" s="1"/>
  <c r="G51" i="1455"/>
  <c r="D29" i="1454"/>
  <c r="H13" i="1454" s="1"/>
  <c r="H15" i="1454" s="1"/>
  <c r="H29" i="1454" s="1"/>
  <c r="G51" i="1454" s="1"/>
  <c r="D29" i="1453"/>
  <c r="H13" i="1453" s="1"/>
  <c r="H15" i="1453" s="1"/>
  <c r="H29" i="1453" s="1"/>
  <c r="G51" i="1453"/>
  <c r="D29" i="1452"/>
  <c r="H13" i="1452" s="1"/>
  <c r="H15" i="1452" s="1"/>
  <c r="H29" i="1452" s="1"/>
  <c r="G51" i="1452"/>
  <c r="D29" i="1451"/>
  <c r="H13" i="1451" s="1"/>
  <c r="H15" i="1451" s="1"/>
  <c r="H29" i="1451" s="1"/>
  <c r="G51" i="1451" s="1"/>
  <c r="D29" i="1450"/>
  <c r="H13" i="1450" s="1"/>
  <c r="D29" i="1449"/>
  <c r="H13" i="1449" s="1"/>
  <c r="D29" i="1448"/>
  <c r="H13" i="1448" s="1"/>
  <c r="H15" i="1448" s="1"/>
  <c r="H29" i="1448" s="1"/>
  <c r="G51" i="1448" s="1"/>
  <c r="D29" i="1447"/>
  <c r="H13" i="1447" s="1"/>
  <c r="H15" i="1447" s="1"/>
  <c r="H29" i="1447" s="1"/>
  <c r="G51" i="1447"/>
  <c r="L26" i="1427"/>
  <c r="L25" i="1427"/>
  <c r="H15" i="1450" l="1"/>
  <c r="H29" i="1450" s="1"/>
  <c r="G51" i="1450" s="1"/>
  <c r="H15" i="1449"/>
  <c r="H29" i="1449" s="1"/>
  <c r="G51" i="1449" s="1"/>
  <c r="R52" i="1429"/>
  <c r="R51" i="1429"/>
  <c r="D50" i="1429"/>
  <c r="R49" i="1429"/>
  <c r="D49" i="1429"/>
  <c r="R48" i="1429"/>
  <c r="D48" i="1429"/>
  <c r="D46" i="1429"/>
  <c r="D45" i="1429"/>
  <c r="D44" i="1429"/>
  <c r="R42" i="1429"/>
  <c r="L6" i="1429" s="1"/>
  <c r="D6" i="1429" s="1"/>
  <c r="D42" i="1429"/>
  <c r="R41" i="1429"/>
  <c r="D41" i="1429"/>
  <c r="R40" i="1429"/>
  <c r="D40" i="1429"/>
  <c r="R39" i="1429"/>
  <c r="H39" i="1429"/>
  <c r="D39" i="1429"/>
  <c r="R38" i="1429"/>
  <c r="L9" i="1429" s="1"/>
  <c r="D9" i="1429" s="1"/>
  <c r="H38" i="1429"/>
  <c r="D38" i="1429"/>
  <c r="R37" i="1429"/>
  <c r="H37" i="1429"/>
  <c r="D37" i="1429"/>
  <c r="R36" i="1429"/>
  <c r="H36" i="1429"/>
  <c r="D36" i="1429"/>
  <c r="R35" i="1429"/>
  <c r="H35" i="1429"/>
  <c r="D35" i="1429"/>
  <c r="R34" i="1429"/>
  <c r="L12" i="1429" s="1"/>
  <c r="D12" i="1429" s="1"/>
  <c r="H34" i="1429"/>
  <c r="D34" i="1429"/>
  <c r="R33" i="1429"/>
  <c r="R32" i="1429"/>
  <c r="R31" i="1429"/>
  <c r="R30" i="1429"/>
  <c r="R29" i="1429"/>
  <c r="R28" i="1429"/>
  <c r="L16" i="1429" s="1"/>
  <c r="D16" i="1429" s="1"/>
  <c r="D28" i="1429"/>
  <c r="R27" i="1429"/>
  <c r="D27" i="1429"/>
  <c r="R26" i="1429"/>
  <c r="L26" i="1429"/>
  <c r="D26" i="1429"/>
  <c r="R25" i="1429"/>
  <c r="L25" i="1429"/>
  <c r="D25" i="1429" s="1"/>
  <c r="R24" i="1429"/>
  <c r="D24" i="1429"/>
  <c r="R23" i="1429"/>
  <c r="L23" i="1429"/>
  <c r="D23" i="1429"/>
  <c r="R22" i="1429"/>
  <c r="L22" i="1429"/>
  <c r="D22" i="1429" s="1"/>
  <c r="R21" i="1429"/>
  <c r="D21" i="1429"/>
  <c r="R20" i="1429"/>
  <c r="L20" i="1429"/>
  <c r="D20" i="1429"/>
  <c r="R19" i="1429"/>
  <c r="L19" i="1429"/>
  <c r="D19" i="1429" s="1"/>
  <c r="R18" i="1429"/>
  <c r="D18" i="1429"/>
  <c r="R17" i="1429"/>
  <c r="D17" i="1429"/>
  <c r="R16" i="1429"/>
  <c r="R15" i="1429"/>
  <c r="D15" i="1429"/>
  <c r="R14" i="1429"/>
  <c r="D14" i="1429"/>
  <c r="R13" i="1429"/>
  <c r="D13" i="1429"/>
  <c r="R12" i="1429"/>
  <c r="R11" i="1429"/>
  <c r="L11" i="1429"/>
  <c r="D11" i="1429" s="1"/>
  <c r="L10" i="1429"/>
  <c r="D10" i="1429"/>
  <c r="L8" i="1429"/>
  <c r="D8" i="1429" s="1"/>
  <c r="L7" i="1429"/>
  <c r="D7" i="1429" s="1"/>
  <c r="R6" i="1429"/>
  <c r="R5" i="1429"/>
  <c r="R4" i="1429"/>
  <c r="R52" i="1428"/>
  <c r="R51" i="1428"/>
  <c r="D50" i="1428"/>
  <c r="R49" i="1428"/>
  <c r="D49" i="1428"/>
  <c r="R48" i="1428"/>
  <c r="D48" i="1428"/>
  <c r="D46" i="1428"/>
  <c r="D45" i="1428"/>
  <c r="D44" i="1428"/>
  <c r="R42" i="1428"/>
  <c r="D42" i="1428"/>
  <c r="R41" i="1428"/>
  <c r="L7" i="1428" s="1"/>
  <c r="D7" i="1428" s="1"/>
  <c r="D41" i="1428"/>
  <c r="R40" i="1428"/>
  <c r="D40" i="1428"/>
  <c r="R39" i="1428"/>
  <c r="H39" i="1428"/>
  <c r="D39" i="1428"/>
  <c r="R38" i="1428"/>
  <c r="L9" i="1428" s="1"/>
  <c r="D9" i="1428" s="1"/>
  <c r="H38" i="1428"/>
  <c r="D38" i="1428"/>
  <c r="R37" i="1428"/>
  <c r="H37" i="1428"/>
  <c r="D37" i="1428"/>
  <c r="R36" i="1428"/>
  <c r="L10" i="1428" s="1"/>
  <c r="D10" i="1428" s="1"/>
  <c r="H36" i="1428"/>
  <c r="D36" i="1428"/>
  <c r="R35" i="1428"/>
  <c r="L19" i="1428" s="1"/>
  <c r="D19" i="1428" s="1"/>
  <c r="H35" i="1428"/>
  <c r="D35" i="1428"/>
  <c r="R34" i="1428"/>
  <c r="L12" i="1428" s="1"/>
  <c r="D12" i="1428" s="1"/>
  <c r="H34" i="1428"/>
  <c r="D34" i="1428"/>
  <c r="R33" i="1428"/>
  <c r="R32" i="1428"/>
  <c r="L11" i="1428" s="1"/>
  <c r="D11" i="1428" s="1"/>
  <c r="R31" i="1428"/>
  <c r="R30" i="1428"/>
  <c r="R29" i="1428"/>
  <c r="R28" i="1428"/>
  <c r="L16" i="1428" s="1"/>
  <c r="D16" i="1428" s="1"/>
  <c r="D28" i="1428"/>
  <c r="R27" i="1428"/>
  <c r="D27" i="1428"/>
  <c r="R26" i="1428"/>
  <c r="L26" i="1428"/>
  <c r="D26" i="1428"/>
  <c r="R25" i="1428"/>
  <c r="L25" i="1428"/>
  <c r="D25" i="1428" s="1"/>
  <c r="R24" i="1428"/>
  <c r="L24" i="1428"/>
  <c r="D24" i="1428" s="1"/>
  <c r="R23" i="1428"/>
  <c r="L23" i="1428"/>
  <c r="D23" i="1428"/>
  <c r="R22" i="1428"/>
  <c r="L22" i="1428"/>
  <c r="D22" i="1428"/>
  <c r="R21" i="1428"/>
  <c r="L17" i="1428" s="1"/>
  <c r="D17" i="1428" s="1"/>
  <c r="D21" i="1428"/>
  <c r="R20" i="1428"/>
  <c r="L20" i="1428"/>
  <c r="D20" i="1428" s="1"/>
  <c r="R19" i="1428"/>
  <c r="R18" i="1428"/>
  <c r="D18" i="1428"/>
  <c r="R17" i="1428"/>
  <c r="R16" i="1428"/>
  <c r="R15" i="1428"/>
  <c r="D15" i="1428"/>
  <c r="R14" i="1428"/>
  <c r="D14" i="1428"/>
  <c r="R13" i="1428"/>
  <c r="D13" i="1428"/>
  <c r="R12" i="1428"/>
  <c r="R11" i="1428"/>
  <c r="L8" i="1428"/>
  <c r="D8" i="1428" s="1"/>
  <c r="R6" i="1428"/>
  <c r="L6" i="1428"/>
  <c r="D6" i="1428" s="1"/>
  <c r="R5" i="1428"/>
  <c r="R4" i="1428"/>
  <c r="R52" i="1427"/>
  <c r="R51" i="1427"/>
  <c r="D50" i="1427"/>
  <c r="R49" i="1427"/>
  <c r="D49" i="1427"/>
  <c r="R48" i="1427"/>
  <c r="D48" i="1427"/>
  <c r="D46" i="1427"/>
  <c r="D45" i="1427"/>
  <c r="P44" i="1427"/>
  <c r="R44" i="1427" s="1"/>
  <c r="D44" i="1427"/>
  <c r="R42" i="1427"/>
  <c r="L6" i="1427" s="1"/>
  <c r="D6" i="1427" s="1"/>
  <c r="D42" i="1427"/>
  <c r="R41" i="1427"/>
  <c r="D41" i="1427"/>
  <c r="R40" i="1427"/>
  <c r="D40" i="1427"/>
  <c r="R39" i="1427"/>
  <c r="H39" i="1427"/>
  <c r="D39" i="1427"/>
  <c r="R38" i="1427"/>
  <c r="L9" i="1427" s="1"/>
  <c r="D9" i="1427" s="1"/>
  <c r="H38" i="1427"/>
  <c r="D38" i="1427"/>
  <c r="R37" i="1427"/>
  <c r="H37" i="1427"/>
  <c r="D37" i="1427"/>
  <c r="R36" i="1427"/>
  <c r="H36" i="1427"/>
  <c r="D36" i="1427"/>
  <c r="R35" i="1427"/>
  <c r="H35" i="1427"/>
  <c r="D35" i="1427"/>
  <c r="R34" i="1427"/>
  <c r="H34" i="1427"/>
  <c r="D34" i="1427"/>
  <c r="R33" i="1427"/>
  <c r="R32" i="1427"/>
  <c r="L11" i="1427" s="1"/>
  <c r="D11" i="1427" s="1"/>
  <c r="R31" i="1427"/>
  <c r="R30" i="1427"/>
  <c r="R29" i="1427"/>
  <c r="R28" i="1427"/>
  <c r="L16" i="1427" s="1"/>
  <c r="D16" i="1427" s="1"/>
  <c r="D28" i="1427"/>
  <c r="R27" i="1427"/>
  <c r="D27" i="1427"/>
  <c r="R26" i="1427"/>
  <c r="D26" i="1427"/>
  <c r="R25" i="1427"/>
  <c r="D25" i="1427"/>
  <c r="R24" i="1427"/>
  <c r="L24" i="1427"/>
  <c r="D24" i="1427"/>
  <c r="R23" i="1427"/>
  <c r="D23" i="1427"/>
  <c r="R22" i="1427"/>
  <c r="D22" i="1427"/>
  <c r="R21" i="1427"/>
  <c r="D21" i="1427"/>
  <c r="R20" i="1427"/>
  <c r="L20" i="1427"/>
  <c r="D20" i="1427"/>
  <c r="R19" i="1427"/>
  <c r="D19" i="1427"/>
  <c r="R18" i="1427"/>
  <c r="D18" i="1427"/>
  <c r="R17" i="1427"/>
  <c r="L17" i="1427"/>
  <c r="D17" i="1427"/>
  <c r="R16" i="1427"/>
  <c r="R15" i="1427"/>
  <c r="D15" i="1427"/>
  <c r="R14" i="1427"/>
  <c r="D14" i="1427"/>
  <c r="R13" i="1427"/>
  <c r="D13" i="1427"/>
  <c r="R12" i="1427"/>
  <c r="L12" i="1427"/>
  <c r="D12" i="1427"/>
  <c r="R11" i="1427"/>
  <c r="L10" i="1427"/>
  <c r="D10" i="1427"/>
  <c r="L8" i="1427"/>
  <c r="D8" i="1427" s="1"/>
  <c r="L7" i="1427"/>
  <c r="D7" i="1427" s="1"/>
  <c r="R6" i="1427"/>
  <c r="R5" i="1427"/>
  <c r="R4" i="1427"/>
  <c r="R52" i="1426"/>
  <c r="R51" i="1426"/>
  <c r="D50" i="1426"/>
  <c r="R49" i="1426"/>
  <c r="G49" i="1426"/>
  <c r="D49" i="1426"/>
  <c r="R48" i="1426"/>
  <c r="D48" i="1426"/>
  <c r="D46" i="1426"/>
  <c r="D45" i="1426"/>
  <c r="D44" i="1426"/>
  <c r="R42" i="1426"/>
  <c r="L6" i="1426" s="1"/>
  <c r="D6" i="1426" s="1"/>
  <c r="D42" i="1426"/>
  <c r="R41" i="1426"/>
  <c r="L7" i="1426" s="1"/>
  <c r="D7" i="1426" s="1"/>
  <c r="D41" i="1426"/>
  <c r="R40" i="1426"/>
  <c r="D40" i="1426"/>
  <c r="R39" i="1426"/>
  <c r="D39" i="1426"/>
  <c r="R38" i="1426"/>
  <c r="L9" i="1426" s="1"/>
  <c r="D9" i="1426" s="1"/>
  <c r="D38" i="1426"/>
  <c r="R37" i="1426"/>
  <c r="D37" i="1426"/>
  <c r="R36" i="1426"/>
  <c r="L10" i="1426" s="1"/>
  <c r="D10" i="1426" s="1"/>
  <c r="D36" i="1426"/>
  <c r="R35" i="1426"/>
  <c r="L19" i="1426" s="1"/>
  <c r="D19" i="1426" s="1"/>
  <c r="D35" i="1426"/>
  <c r="R34" i="1426"/>
  <c r="D34" i="1426"/>
  <c r="D54" i="1426" s="1"/>
  <c r="H14" i="1426" s="1"/>
  <c r="R33" i="1426"/>
  <c r="R32" i="1426"/>
  <c r="R31" i="1426"/>
  <c r="R30" i="1426"/>
  <c r="R29" i="1426"/>
  <c r="R28" i="1426"/>
  <c r="D28" i="1426"/>
  <c r="R27" i="1426"/>
  <c r="D27" i="1426"/>
  <c r="R26" i="1426"/>
  <c r="L26" i="1426"/>
  <c r="D26" i="1426"/>
  <c r="R25" i="1426"/>
  <c r="L25" i="1426"/>
  <c r="D25" i="1426"/>
  <c r="R24" i="1426"/>
  <c r="D24" i="1426"/>
  <c r="R23" i="1426"/>
  <c r="L23" i="1426"/>
  <c r="D23" i="1426"/>
  <c r="R22" i="1426"/>
  <c r="L22" i="1426"/>
  <c r="D22" i="1426" s="1"/>
  <c r="R21" i="1426"/>
  <c r="D21" i="1426"/>
  <c r="R20" i="1426"/>
  <c r="L20" i="1426"/>
  <c r="D20" i="1426"/>
  <c r="R19" i="1426"/>
  <c r="R18" i="1426"/>
  <c r="D18" i="1426"/>
  <c r="R17" i="1426"/>
  <c r="D17" i="1426"/>
  <c r="R16" i="1426"/>
  <c r="L16" i="1426"/>
  <c r="D16" i="1426" s="1"/>
  <c r="S15" i="1426"/>
  <c r="R15" i="1426"/>
  <c r="D15" i="1426"/>
  <c r="S14" i="1426"/>
  <c r="R14" i="1426"/>
  <c r="D14" i="1426"/>
  <c r="R13" i="1426"/>
  <c r="D13" i="1426"/>
  <c r="R12" i="1426"/>
  <c r="L12" i="1426"/>
  <c r="D12" i="1426"/>
  <c r="R11" i="1426"/>
  <c r="L11" i="1426"/>
  <c r="D11" i="1426" s="1"/>
  <c r="L8" i="1426"/>
  <c r="D8" i="1426"/>
  <c r="R6" i="1426"/>
  <c r="R5" i="1426"/>
  <c r="R4" i="1426"/>
  <c r="G49" i="1427" l="1"/>
  <c r="G49" i="1428"/>
  <c r="G49" i="1429"/>
  <c r="D54" i="1429"/>
  <c r="H14" i="1429" s="1"/>
  <c r="D54" i="1428"/>
  <c r="H14" i="1428" s="1"/>
  <c r="D29" i="1428"/>
  <c r="H13" i="1428" s="1"/>
  <c r="D54" i="1427"/>
  <c r="H14" i="1427" s="1"/>
  <c r="D29" i="1429"/>
  <c r="H13" i="1429" s="1"/>
  <c r="D29" i="1427"/>
  <c r="H13" i="1427" s="1"/>
  <c r="D29" i="1426"/>
  <c r="H13" i="1426" s="1"/>
  <c r="H15" i="1426" s="1"/>
  <c r="H29" i="1426" s="1"/>
  <c r="G51" i="1426" s="1"/>
  <c r="H15" i="1429" l="1"/>
  <c r="H29" i="1429" s="1"/>
  <c r="G51" i="1429" s="1"/>
  <c r="H15" i="1428"/>
  <c r="H29" i="1428" s="1"/>
  <c r="G51" i="1428" s="1"/>
  <c r="H15" i="1427"/>
  <c r="H29" i="1427" s="1"/>
  <c r="G51" i="1427" s="1"/>
</calcChain>
</file>

<file path=xl/sharedStrings.xml><?xml version="1.0" encoding="utf-8"?>
<sst xmlns="http://schemas.openxmlformats.org/spreadsheetml/2006/main" count="3818" uniqueCount="156">
  <si>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</si>
  <si>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</si>
  <si>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</si>
  <si>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</si>
  <si>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</si>
  <si>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</si>
  <si>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</si>
  <si>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</si>
  <si>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</si>
  <si>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</si>
  <si>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</si>
  <si>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</si>
  <si>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</si>
  <si>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</si>
  <si>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</si>
  <si>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</si>
  <si>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</si>
  <si>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</si>
  <si>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</si>
  <si>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</si>
  <si>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</si>
  <si>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</si>
  <si>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</si>
  <si>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</si>
  <si>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</si>
  <si>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</si>
  <si>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</si>
  <si>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</si>
  <si>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</si>
  <si>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</si>
  <si>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</si>
  <si>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</si>
  <si>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</si>
  <si>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</si>
  <si>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</si>
  <si>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</si>
  <si>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</si>
  <si>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</si>
  <si>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</si>
  <si>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</si>
  <si>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</si>
  <si>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</si>
  <si>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</si>
  <si>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</si>
  <si>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</si>
  <si>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</si>
  <si>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</si>
  <si>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</si>
  <si>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</si>
  <si>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</si>
  <si>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</si>
  <si>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</si>
  <si>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</si>
  <si>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</si>
  <si>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</si>
  <si>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</si>
  <si>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</si>
  <si>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</si>
  <si>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</si>
  <si>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</si>
  <si>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</si>
  <si>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</si>
  <si>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</si>
  <si>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</si>
  <si>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</si>
  <si>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</si>
  <si>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</si>
  <si>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</si>
  <si>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</si>
  <si>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</si>
  <si>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</si>
  <si>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</si>
  <si>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</si>
  <si>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</si>
  <si>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</si>
  <si>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</si>
  <si>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</si>
  <si>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</si>
  <si>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</si>
  <si>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</si>
  <si>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</si>
  <si>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</si>
  <si>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</si>
  <si>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</si>
  <si>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</si>
  <si>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</si>
  <si>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</si>
  <si>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</si>
  <si>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</si>
  <si>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</si>
  <si>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</si>
  <si>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</si>
  <si>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</si>
  <si>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</si>
  <si>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</si>
  <si>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</si>
  <si>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</si>
  <si>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</si>
  <si>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</si>
  <si>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</si>
  <si>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</si>
  <si>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</si>
  <si>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</si>
  <si>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</si>
  <si>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</si>
  <si>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</si>
  <si>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</si>
  <si>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</si>
  <si>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</si>
  <si>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</si>
  <si>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</si>
  <si>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</si>
  <si>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</si>
  <si>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</si>
  <si>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</si>
  <si>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</si>
  <si>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</si>
  <si>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</si>
  <si>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</si>
  <si>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</si>
  <si>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</si>
  <si>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</si>
  <si>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</si>
  <si>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</si>
  <si>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</si>
  <si>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</si>
  <si>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</si>
  <si>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</si>
  <si>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</si>
  <si>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</si>
  <si>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</si>
  <si>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</si>
  <si>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</si>
  <si>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</si>
  <si>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MOCOY, JULIET</t>
  </si>
  <si>
    <t xml:space="preserve">                            JULIET MOCOY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</si>
  <si>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</si>
  <si>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</si>
  <si>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</si>
  <si>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</si>
  <si>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</si>
  <si>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</si>
  <si>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</si>
  <si>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</si>
  <si>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BDO</t>
  </si>
  <si>
    <t>142807</t>
  </si>
  <si>
    <t>477765</t>
  </si>
  <si>
    <t>BALWARTE</t>
  </si>
  <si>
    <t>PNB</t>
  </si>
  <si>
    <t>BANK TRANSFER</t>
  </si>
  <si>
    <t>GICA, GRACE B.</t>
  </si>
  <si>
    <t xml:space="preserve">                            GRACE B. GICA</t>
  </si>
  <si>
    <t>3A</t>
  </si>
  <si>
    <t>3B</t>
  </si>
  <si>
    <t>2000007507</t>
  </si>
  <si>
    <t>200002548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</si>
</sst>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1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16" xfId="0" applyFont="1" applyFill="1" applyBorder="1"/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F1F50-33E5-4430-B51C-EF2A62C58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6A92D4F-8A8E-4055-B560-E2F54EF45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219075</xdr:colOff>
      <xdr:row>48</xdr:row>
      <xdr:rowOff>135000</xdr:rowOff>
    </xdr:from>
    <xdr:to>
      <xdr:col>3</xdr:col>
      <xdr:colOff>742950</xdr:colOff>
      <xdr:row>63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6253EC8-0336-45E1-97A9-BF7D35DD96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9575" y="9507600"/>
          <a:ext cx="2143125" cy="285585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C1EAD1-E17B-482F-A174-9ACE46FEB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27EE2F-98C8-44EC-9AA5-357C575DC1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612AB0-7AFF-40E7-AC3D-EB4D18146D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733427</xdr:colOff>
      <xdr:row>54</xdr:row>
      <xdr:rowOff>89123</xdr:rowOff>
    </xdr:from>
    <xdr:to>
      <xdr:col>3</xdr:col>
      <xdr:colOff>219075</xdr:colOff>
      <xdr:row>56</xdr:row>
      <xdr:rowOff>97005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EEDA67F-9349-4815-9458-58401ECD74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23927" y="10642823"/>
          <a:ext cx="1104898" cy="38888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78F270-1896-4832-A529-EA367D0A0A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76665</xdr:rowOff>
    </xdr:from>
    <xdr:to>
      <xdr:col>3</xdr:col>
      <xdr:colOff>1171575</xdr:colOff>
      <xdr:row>64</xdr:row>
      <xdr:rowOff>57150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22AC0AF-BC39-44A3-96E0-91D80E24B2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449265"/>
          <a:ext cx="2619375" cy="30665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C513B-3831-4D05-83F8-9E506B4A15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05F378-CCC4-48F7-99E1-BF20F38706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200025</xdr:colOff>
      <xdr:row>48</xdr:row>
      <xdr:rowOff>142875</xdr:rowOff>
    </xdr:from>
    <xdr:to>
      <xdr:col>3</xdr:col>
      <xdr:colOff>723900</xdr:colOff>
      <xdr:row>63</xdr:row>
      <xdr:rowOff>103125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E7C256D-22EE-4E6C-AECE-0F2C327D2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0525" y="9515475"/>
          <a:ext cx="2143125" cy="285585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58AC76-C629-43A1-8BB7-54E352502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B995ED-4CD6-4552-A655-BCBA597403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9A8C45-EF87-400B-A9A0-95087D45C5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228600</xdr:colOff>
      <xdr:row>48</xdr:row>
      <xdr:rowOff>152400</xdr:rowOff>
    </xdr:from>
    <xdr:to>
      <xdr:col>3</xdr:col>
      <xdr:colOff>752475</xdr:colOff>
      <xdr:row>63</xdr:row>
      <xdr:rowOff>112650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D4CF09A-730A-45EB-BAB0-EAD15EF94F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19100" y="9525000"/>
          <a:ext cx="2143125" cy="285585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C693C4-FAC4-41EE-B18B-979A6F2E5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E7049C-F98E-4B41-89AF-1689C52D66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84E7E9-0C85-4737-8843-8412861B64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48</xdr:row>
      <xdr:rowOff>161925</xdr:rowOff>
    </xdr:from>
    <xdr:to>
      <xdr:col>3</xdr:col>
      <xdr:colOff>695325</xdr:colOff>
      <xdr:row>63</xdr:row>
      <xdr:rowOff>122175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1C5720D-8A62-4EB8-8168-5A59DB54BB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1950" y="9534525"/>
          <a:ext cx="2143125" cy="2855850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51B88-79AF-4982-8334-23B4D9A168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D1D365-1431-4083-9A65-86B87A8EE7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9EF83D-45E8-4515-85F4-061F35013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12979FA-D15F-4B41-BE69-427949040C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08863-3611-4816-8F41-33468C797A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4EDD0B-FEC8-4AB8-A059-51B20C25C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C6F38C-020F-4A1A-B650-75978B25E8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48</xdr:row>
      <xdr:rowOff>180975</xdr:rowOff>
    </xdr:from>
    <xdr:to>
      <xdr:col>3</xdr:col>
      <xdr:colOff>714375</xdr:colOff>
      <xdr:row>63</xdr:row>
      <xdr:rowOff>141225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9C9035D-F6B5-47B4-8B16-89987DB796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553575"/>
          <a:ext cx="2143125" cy="2855850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A63F1-9DEC-4502-ADEE-10A63E3FE5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G10" sqref="G10:J11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A51F-0B45-4A82-8950-DF28858737EF}">
  <dimension ref="A1:S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EC0F4-D446-4AE4-AD42-176FD14022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>
        <v>189</v>
      </c>
      <c r="D6" s="13">
        <f t="shared" ref="D6:D28" si="1">C6*L6</f>
        <v>139293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>
        <v>1</v>
      </c>
      <c r="D8" s="13">
        <f t="shared" si="1"/>
        <v>1033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>
        <v>21</v>
      </c>
      <c r="D9" s="13">
        <f t="shared" si="1"/>
        <v>14847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>
        <f>1+1</f>
        <v>2</v>
      </c>
      <c r="D12" s="48">
        <f t="shared" si="1"/>
        <v>1904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>
        <f>7</f>
        <v>7</v>
      </c>
      <c r="D13" s="48">
        <f t="shared" si="1"/>
        <v>2149</v>
      </c>
      <c r="F13" s="228" t="s">
        <v>36</v>
      </c>
      <c r="G13" s="192"/>
      <c r="H13" s="183">
        <f>D29</f>
        <v>176285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>
        <v>18</v>
      </c>
      <c r="D14" s="31">
        <f t="shared" si="1"/>
        <v>198</v>
      </c>
      <c r="F14" s="186" t="s">
        <v>39</v>
      </c>
      <c r="G14" s="187"/>
      <c r="H14" s="188">
        <f>D54</f>
        <v>26221.5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150063.5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>
        <v>1</v>
      </c>
      <c r="D18" s="48">
        <f t="shared" si="1"/>
        <v>620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>
        <f>2+1</f>
        <v>3</v>
      </c>
      <c r="D19" s="48">
        <f t="shared" si="1"/>
        <v>3306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>
        <v>1</v>
      </c>
      <c r="D20" s="13">
        <f t="shared" si="1"/>
        <v>1175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>
        <f>2+2</f>
        <v>4</v>
      </c>
      <c r="D21" s="48">
        <f t="shared" si="1"/>
        <v>2600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 t="s">
        <v>147</v>
      </c>
      <c r="G26" s="65"/>
      <c r="H26" s="139">
        <v>87612</v>
      </c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8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>
        <v>1</v>
      </c>
      <c r="D28" s="48">
        <f t="shared" si="1"/>
        <v>785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176285</v>
      </c>
      <c r="F29" s="100" t="s">
        <v>55</v>
      </c>
      <c r="G29" s="162"/>
      <c r="H29" s="122">
        <f>H15-H16-H17-H18-H19-H20-H22-H23-H24+H26+H27+H28</f>
        <v>237675.5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144">
        <f t="shared" ref="H34:H39" si="2">F34*G34</f>
        <v>120000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48</v>
      </c>
      <c r="H35" s="144">
        <f t="shared" si="2"/>
        <v>24000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28</v>
      </c>
      <c r="D36" s="12">
        <f>C36*1.5</f>
        <v>42</v>
      </c>
      <c r="F36" s="12">
        <v>200</v>
      </c>
      <c r="G36" s="37">
        <v>1</v>
      </c>
      <c r="H36" s="144">
        <f t="shared" si="2"/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209</v>
      </c>
      <c r="D37" s="12">
        <f>C37*111</f>
        <v>23199</v>
      </c>
      <c r="F37" s="12">
        <v>100</v>
      </c>
      <c r="G37" s="39">
        <v>35</v>
      </c>
      <c r="H37" s="144">
        <f t="shared" si="2"/>
        <v>3500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5</v>
      </c>
      <c r="H38" s="144">
        <f t="shared" si="2"/>
        <v>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6</v>
      </c>
      <c r="D42" s="12">
        <f>C42*2.25</f>
        <v>13.5</v>
      </c>
      <c r="F42" s="39" t="s">
        <v>79</v>
      </c>
      <c r="G42" s="144">
        <v>2143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148</v>
      </c>
      <c r="G44" s="99" t="s">
        <v>149</v>
      </c>
      <c r="H44" s="139">
        <v>87612</v>
      </c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>
        <v>3</v>
      </c>
      <c r="D45" s="12">
        <f>C45*84</f>
        <v>252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237705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22</v>
      </c>
      <c r="D50" s="12">
        <f>C50*1.5</f>
        <v>33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29.5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26221.5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EF8DC-70A4-46A5-8F90-D43D8A29E3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329</v>
      </c>
      <c r="D6" s="13">
        <f t="shared" ref="D6:D28" si="1">C6*L6</f>
        <v>242473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13</v>
      </c>
      <c r="D9" s="13">
        <f t="shared" si="1"/>
        <v>9191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10</v>
      </c>
      <c r="D13" s="48">
        <f t="shared" si="1"/>
        <v>3070</v>
      </c>
      <c r="F13" s="228" t="s">
        <v>36</v>
      </c>
      <c r="G13" s="192"/>
      <c r="H13" s="183">
        <f>D29</f>
        <v>254855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11</v>
      </c>
      <c r="D14" s="31">
        <f t="shared" si="1"/>
        <v>121</v>
      </c>
      <c r="F14" s="186" t="s">
        <v>39</v>
      </c>
      <c r="G14" s="187"/>
      <c r="H14" s="188">
        <f>D54</f>
        <v>38556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216299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1998+1071</f>
        <v>3069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254855</v>
      </c>
      <c r="F29" s="100" t="s">
        <v>55</v>
      </c>
      <c r="G29" s="162"/>
      <c r="H29" s="122">
        <f>H15-H16-H17-H18-H19-H20-H22-H23-H24+H26+H27</f>
        <v>213230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73</v>
      </c>
      <c r="H34" s="144">
        <f>F34*G34</f>
        <v>73000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9</v>
      </c>
      <c r="H35" s="144">
        <f t="shared" ref="H35:H39" si="2">F35*G35</f>
        <v>4500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144">
        <f>F36*G36</f>
        <v>400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341</v>
      </c>
      <c r="D37" s="12">
        <f>C37*111</f>
        <v>37851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105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 t="s">
        <v>144</v>
      </c>
      <c r="G44" s="62" t="s">
        <v>145</v>
      </c>
      <c r="H44" s="139">
        <v>134760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85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10</v>
      </c>
      <c r="D49" s="12">
        <f>C49*42</f>
        <v>420</v>
      </c>
      <c r="F49" s="120" t="s">
        <v>86</v>
      </c>
      <c r="G49" s="122">
        <f>H34+H35+H36+H37+H38+H39+H40+H41+G42+H44+H45+H46</f>
        <v>212765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10</v>
      </c>
      <c r="D50" s="12">
        <f>C50*1.5</f>
        <v>15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-465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38556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C5A33-CB43-46F6-B08E-4260FA9D7C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45964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264</v>
      </c>
      <c r="D6" s="13">
        <f t="shared" ref="D6:D28" si="1">C6*L6</f>
        <v>194568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5</v>
      </c>
      <c r="D7" s="13">
        <f t="shared" si="1"/>
        <v>3625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44</v>
      </c>
      <c r="D9" s="13">
        <f t="shared" si="1"/>
        <v>31108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1</v>
      </c>
      <c r="D10" s="13">
        <f t="shared" si="1"/>
        <v>972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1</v>
      </c>
      <c r="D11" s="13">
        <f t="shared" si="1"/>
        <v>1125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1</f>
        <v>1</v>
      </c>
      <c r="D12" s="48">
        <f t="shared" si="1"/>
        <v>952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5</v>
      </c>
      <c r="D13" s="48">
        <f t="shared" si="1"/>
        <v>1535</v>
      </c>
      <c r="F13" s="228" t="s">
        <v>36</v>
      </c>
      <c r="G13" s="192"/>
      <c r="H13" s="183">
        <f>D29</f>
        <v>237953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13</v>
      </c>
      <c r="D14" s="31">
        <f t="shared" si="1"/>
        <v>143</v>
      </c>
      <c r="F14" s="186" t="s">
        <v>39</v>
      </c>
      <c r="G14" s="187"/>
      <c r="H14" s="188">
        <f>D54</f>
        <v>37326.75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200626.25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840+990</f>
        <v>1830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>
        <v>5</v>
      </c>
      <c r="D28" s="48">
        <f t="shared" si="1"/>
        <v>3925</v>
      </c>
      <c r="F28" s="87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237953</v>
      </c>
      <c r="F29" s="100" t="s">
        <v>55</v>
      </c>
      <c r="G29" s="162"/>
      <c r="H29" s="122">
        <f>H15-H16-H17-H18-H19-H20-H22-H23-H24+H26+H27</f>
        <v>198796.25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4">
        <f>F35*G35</f>
        <v>10000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7</v>
      </c>
      <c r="H37" s="144">
        <f t="shared" si="2"/>
        <v>700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</v>
      </c>
      <c r="H38" s="144">
        <f t="shared" si="2"/>
        <v>150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4">
        <v>521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8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2</v>
      </c>
      <c r="D44" s="12">
        <f>C44*120</f>
        <v>240</v>
      </c>
      <c r="F44" s="37" t="s">
        <v>144</v>
      </c>
      <c r="G44" s="76" t="s">
        <v>146</v>
      </c>
      <c r="H44" s="139">
        <v>84520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1</v>
      </c>
      <c r="D45" s="12">
        <f>C45*84</f>
        <v>84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3</v>
      </c>
      <c r="D46" s="12">
        <f>C46*1.5</f>
        <v>4.5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198891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3</v>
      </c>
      <c r="D50" s="12">
        <f>C50*1.5</f>
        <v>4.5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94.75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37326.75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8245C-2F03-4D7E-9D64-49283D24D41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91848E-CC0D-44E8-9ADE-BC5E64489F5B}">
  <dimension ref="A1:R59"/>
  <sheetViews>
    <sheetView topLeftCell="A25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9D251-BBF9-4740-B033-9F19104E1F9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343</v>
      </c>
      <c r="D6" s="13">
        <f t="shared" ref="D6:D28" si="1">C6*L6</f>
        <v>252791</v>
      </c>
      <c r="F6" s="207" t="s">
        <v>16</v>
      </c>
      <c r="G6" s="209" t="s">
        <v>150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10</v>
      </c>
      <c r="D7" s="13">
        <f t="shared" si="1"/>
        <v>7250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50</v>
      </c>
      <c r="D9" s="13">
        <f t="shared" si="1"/>
        <v>35350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15</v>
      </c>
      <c r="D13" s="48">
        <f t="shared" si="1"/>
        <v>4605</v>
      </c>
      <c r="F13" s="228" t="s">
        <v>36</v>
      </c>
      <c r="G13" s="192"/>
      <c r="H13" s="183">
        <f>D29</f>
        <v>300007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1</v>
      </c>
      <c r="D14" s="31">
        <f t="shared" si="1"/>
        <v>11</v>
      </c>
      <c r="F14" s="186" t="s">
        <v>39</v>
      </c>
      <c r="G14" s="187"/>
      <c r="H14" s="188">
        <f>D54</f>
        <v>49635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250372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399*9</f>
        <v>3591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300007</v>
      </c>
      <c r="F29" s="100" t="s">
        <v>55</v>
      </c>
      <c r="G29" s="162"/>
      <c r="H29" s="122">
        <f>H15-H16-H17-H18-H19-H20-H22-H23-H24+H26+H27</f>
        <v>246781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103</v>
      </c>
      <c r="H34" s="144">
        <f>F34*G34</f>
        <v>103000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115</v>
      </c>
      <c r="H35" s="144">
        <f t="shared" ref="H35:H39" si="2">F35*G35</f>
        <v>57500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4">
        <f>F36*G36</f>
        <v>200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413</v>
      </c>
      <c r="D37" s="12">
        <f>C37*111</f>
        <v>45843</v>
      </c>
      <c r="F37" s="12">
        <v>100</v>
      </c>
      <c r="G37" s="39">
        <v>708</v>
      </c>
      <c r="H37" s="144">
        <f t="shared" si="2"/>
        <v>70800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305</v>
      </c>
      <c r="H38" s="144">
        <f t="shared" si="2"/>
        <v>15250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>
        <v>20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31</v>
      </c>
      <c r="D49" s="12">
        <f>C49*42</f>
        <v>1302</v>
      </c>
      <c r="F49" s="120" t="s">
        <v>86</v>
      </c>
      <c r="G49" s="122">
        <f>H34+H35+H36+H37+H38+H39+H40+H41+G42+H44+H45+H46</f>
        <v>246770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-11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49635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151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2C741-6CC8-4F85-B062-DB0A34186C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152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703</v>
      </c>
      <c r="D6" s="13">
        <f t="shared" ref="D6:D28" si="1">C6*L6</f>
        <v>518111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16</v>
      </c>
      <c r="D7" s="13">
        <f t="shared" si="1"/>
        <v>11600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>
        <v>2</v>
      </c>
      <c r="D8" s="13">
        <f t="shared" si="1"/>
        <v>2066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147</v>
      </c>
      <c r="D9" s="13">
        <f t="shared" si="1"/>
        <v>103929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>
        <v>2</v>
      </c>
      <c r="D10" s="13">
        <f t="shared" si="1"/>
        <v>1944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>
        <v>3</v>
      </c>
      <c r="D11" s="13">
        <f t="shared" si="1"/>
        <v>3375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>
        <f>2+1</f>
        <v>3</v>
      </c>
      <c r="D12" s="48">
        <f t="shared" si="1"/>
        <v>2856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35</v>
      </c>
      <c r="D13" s="48">
        <f t="shared" si="1"/>
        <v>10745</v>
      </c>
      <c r="F13" s="228" t="s">
        <v>36</v>
      </c>
      <c r="G13" s="192"/>
      <c r="H13" s="183">
        <f>D29</f>
        <v>654670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4</v>
      </c>
      <c r="D14" s="31">
        <f t="shared" si="1"/>
        <v>44</v>
      </c>
      <c r="F14" s="186" t="s">
        <v>39</v>
      </c>
      <c r="G14" s="187"/>
      <c r="H14" s="188">
        <f>D54</f>
        <v>112054.5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542615.5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1794+3000+672</f>
        <v>5466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654670</v>
      </c>
      <c r="F29" s="100" t="s">
        <v>55</v>
      </c>
      <c r="G29" s="162"/>
      <c r="H29" s="122">
        <f>H15-H16-H17-H18-H19-H20-H22-H23-H24+H26+H27</f>
        <v>537149.5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29</v>
      </c>
      <c r="H34" s="144">
        <f>F34*G34</f>
        <v>29000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46</v>
      </c>
      <c r="H35" s="144">
        <f>F35*G35</f>
        <v>23000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959</v>
      </c>
      <c r="D37" s="12">
        <f>C37*111</f>
        <v>106449</v>
      </c>
      <c r="F37" s="12">
        <v>100</v>
      </c>
      <c r="G37" s="39">
        <v>2</v>
      </c>
      <c r="H37" s="144">
        <f t="shared" si="2"/>
        <v>200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</v>
      </c>
      <c r="H38" s="144">
        <f t="shared" si="2"/>
        <v>50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19</v>
      </c>
      <c r="D40" s="12">
        <f>C40*111</f>
        <v>2109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8</v>
      </c>
      <c r="D42" s="12">
        <f>C42*2.25</f>
        <v>18</v>
      </c>
      <c r="F42" s="39" t="s">
        <v>79</v>
      </c>
      <c r="G42" s="144">
        <v>40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>
        <v>6</v>
      </c>
      <c r="D44" s="12">
        <f>C44*120</f>
        <v>720</v>
      </c>
      <c r="F44" s="37" t="s">
        <v>148</v>
      </c>
      <c r="G44" s="76" t="s">
        <v>154</v>
      </c>
      <c r="H44" s="139">
        <v>302372</v>
      </c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>
        <v>2</v>
      </c>
      <c r="D45" s="12">
        <f>C45*84</f>
        <v>168</v>
      </c>
      <c r="F45" s="37" t="s">
        <v>148</v>
      </c>
      <c r="G45" s="76" t="s">
        <v>155</v>
      </c>
      <c r="H45" s="139">
        <v>182588</v>
      </c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5</v>
      </c>
      <c r="D46" s="12">
        <f>C46*1.5</f>
        <v>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8</v>
      </c>
      <c r="D49" s="12">
        <f>C49*42</f>
        <v>336</v>
      </c>
      <c r="F49" s="120" t="s">
        <v>86</v>
      </c>
      <c r="G49" s="122">
        <f>H34+H35+H36+H37+H38+H39+H40+H41+G42+H44+H45+H46</f>
        <v>537250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143</v>
      </c>
      <c r="G51" s="130">
        <f>G49-H29</f>
        <v>100.5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112054.5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22540-8CC4-4D2A-93A6-64080A247A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 t="s">
        <v>153</v>
      </c>
      <c r="H4" s="201" t="s">
        <v>9</v>
      </c>
      <c r="I4" s="203">
        <v>45965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>
        <v>213</v>
      </c>
      <c r="D6" s="13">
        <f t="shared" ref="D6:D28" si="1">C6*L6</f>
        <v>156981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>
        <v>4</v>
      </c>
      <c r="D7" s="13">
        <f t="shared" si="1"/>
        <v>2900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>
        <v>10</v>
      </c>
      <c r="D9" s="13">
        <f t="shared" si="1"/>
        <v>7070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>
        <v>7</v>
      </c>
      <c r="D13" s="48">
        <f t="shared" si="1"/>
        <v>2149</v>
      </c>
      <c r="F13" s="228" t="s">
        <v>36</v>
      </c>
      <c r="G13" s="192"/>
      <c r="H13" s="183">
        <f>D29</f>
        <v>169353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>
        <v>23</v>
      </c>
      <c r="D14" s="31">
        <f t="shared" si="1"/>
        <v>253</v>
      </c>
      <c r="F14" s="186" t="s">
        <v>39</v>
      </c>
      <c r="G14" s="187"/>
      <c r="H14" s="188">
        <f>D54</f>
        <v>32837.25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136515.75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>
        <f>936+324</f>
        <v>1260</v>
      </c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6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169353</v>
      </c>
      <c r="F29" s="100" t="s">
        <v>55</v>
      </c>
      <c r="G29" s="162"/>
      <c r="H29" s="122">
        <f>H15-H16-H17-H18-H19-H20-H22-H23-H24+H26+H27</f>
        <v>135255.75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7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98</v>
      </c>
      <c r="H34" s="144">
        <f>F34*G34</f>
        <v>98000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>
        <v>73</v>
      </c>
      <c r="H35" s="144">
        <f>F35*G35</f>
        <v>36500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>
        <v>285</v>
      </c>
      <c r="D37" s="12">
        <f>C37*111</f>
        <v>31635</v>
      </c>
      <c r="F37" s="12">
        <v>100</v>
      </c>
      <c r="G37" s="39">
        <v>5</v>
      </c>
      <c r="H37" s="144">
        <f t="shared" si="2"/>
        <v>500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4">
        <v>22</v>
      </c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8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>
        <v>25</v>
      </c>
      <c r="D46" s="12">
        <f>C46*1.5</f>
        <v>37.5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>
        <v>3</v>
      </c>
      <c r="D49" s="12">
        <f>C49*42</f>
        <v>126</v>
      </c>
      <c r="F49" s="120" t="s">
        <v>86</v>
      </c>
      <c r="G49" s="122">
        <f>H34+H35+H36+H37+H38+H39+H40+H41+G42+H44+H45+H46</f>
        <v>135022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>
        <v>20</v>
      </c>
      <c r="D50" s="12">
        <f>C50*1.5</f>
        <v>30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-233.75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32837.25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EEC33-CA33-4861-B448-E7E133AB29D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EBA64-A50F-4749-810F-086D5C88E3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17E02-6036-4784-84B1-F11D994CFD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993DD-2A8B-4485-85B3-A470A139BC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45966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95E31-EA72-4F7A-A66C-B7A8192189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06BE-C669-4BAC-A79D-CC5FB9AA3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AB0808-6844-449A-B268-2DC20F7624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B7C1-B160-4AD8-A035-E6D4F8411E2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45967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07142-2579-4E15-A001-DB2D886643D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348D3-B306-4076-A033-BE1A4264D0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79BAB-60A8-4800-BA30-F7D5DF4727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BC119-CC4D-4B41-834E-A88411C9E0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45968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886AB-FAAC-40B6-BB35-F9500F94B3E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96E4E-8EDC-48E6-B8A2-82F6C3DA134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B918F-B58D-4864-A538-7044B97DFB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011E6-686B-4381-9576-AD93232154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45969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FA72-AC5A-4B7E-BC00-DE5DCA4B569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7" t="s">
        <v>7</v>
      </c>
      <c r="B4" s="148"/>
      <c r="C4" s="148"/>
      <c r="D4" s="149"/>
      <c r="F4" s="197" t="s">
        <v>8</v>
      </c>
      <c r="G4" s="199"/>
      <c r="H4" s="201" t="s">
        <v>9</v>
      </c>
      <c r="I4" s="203"/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2"/>
      <c r="B6" s="16"/>
      <c r="C6" s="10"/>
      <c r="D6" s="13">
        <f t="shared" ref="D6:D28" si="1">C6*L6</f>
        <v>0</v>
      </c>
      <c r="F6" s="207" t="s">
        <v>16</v>
      </c>
      <c r="G6" s="209"/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2"/>
      <c r="B7" s="16"/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2"/>
      <c r="B8" s="16"/>
      <c r="C8" s="10"/>
      <c r="D8" s="13">
        <f t="shared" si="1"/>
        <v>0</v>
      </c>
      <c r="F8" s="215" t="s">
        <v>21</v>
      </c>
      <c r="G8" s="216"/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2"/>
      <c r="B9" s="16"/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2"/>
      <c r="C10" s="10"/>
      <c r="D10" s="13">
        <f t="shared" si="1"/>
        <v>0</v>
      </c>
      <c r="F10" s="207" t="s">
        <v>26</v>
      </c>
      <c r="G10" s="222"/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9" ht="15.75" x14ac:dyDescent="0.25">
      <c r="A11" s="142"/>
      <c r="B11" s="17"/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2"/>
      <c r="B12" s="17"/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2"/>
      <c r="B13" s="17"/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2"/>
      <c r="B14" s="14"/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2"/>
      <c r="B15" s="14"/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2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/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/>
      <c r="C19" s="10"/>
      <c r="D19" s="48">
        <f t="shared" si="1"/>
        <v>0</v>
      </c>
      <c r="F19" s="56"/>
      <c r="G19" s="68" t="s">
        <v>50</v>
      </c>
      <c r="H19" s="165"/>
      <c r="I19" s="165"/>
      <c r="J19" s="165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/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/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/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/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/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/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/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/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/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/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/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/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/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128</v>
      </c>
      <c r="G51" s="130">
        <f>G49-H29</f>
        <v>0</v>
      </c>
      <c r="H51" s="131"/>
      <c r="I51" s="131"/>
      <c r="J51" s="132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133"/>
      <c r="H52" s="134"/>
      <c r="I52" s="134"/>
      <c r="J52" s="135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4154F3-9C37-4B04-98ED-E037A93874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1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89"/>
      <c r="D6" s="13">
        <f t="shared" ref="D6:D28" si="1">C6*L6</f>
        <v>0</v>
      </c>
      <c r="F6" s="207" t="s">
        <v>16</v>
      </c>
      <c r="G6" s="209" t="s">
        <v>129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89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89"/>
      <c r="D8" s="13">
        <f t="shared" si="1"/>
        <v>0</v>
      </c>
      <c r="F8" s="215" t="s">
        <v>21</v>
      </c>
      <c r="G8" s="216" t="s">
        <v>112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89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89"/>
      <c r="D10" s="13">
        <f t="shared" si="1"/>
        <v>0</v>
      </c>
      <c r="F10" s="207" t="s">
        <v>26</v>
      </c>
      <c r="G10" s="222" t="s">
        <v>130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89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89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89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89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89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89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140</v>
      </c>
      <c r="C17" s="89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89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136</v>
      </c>
      <c r="C19" s="89"/>
      <c r="D19" s="48">
        <f t="shared" si="1"/>
        <v>0</v>
      </c>
      <c r="F19" s="56"/>
      <c r="G19" s="68" t="s">
        <v>50</v>
      </c>
      <c r="H19" s="164"/>
      <c r="I19" s="164"/>
      <c r="J19" s="164"/>
      <c r="L19" s="6">
        <v>1102</v>
      </c>
      <c r="Q19" s="4"/>
      <c r="R19" s="5">
        <f t="shared" si="0"/>
        <v>0</v>
      </c>
    </row>
    <row r="20" spans="1:18" ht="15.75" x14ac:dyDescent="0.25">
      <c r="A20" s="142"/>
      <c r="B20" s="83" t="s">
        <v>125</v>
      </c>
      <c r="C20" s="89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138</v>
      </c>
      <c r="C21" s="89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127</v>
      </c>
      <c r="C22" s="89"/>
      <c r="D22" s="48">
        <f t="shared" si="1"/>
        <v>0</v>
      </c>
      <c r="F22" s="77"/>
      <c r="G22" s="73"/>
      <c r="H22" s="169"/>
      <c r="I22" s="169"/>
      <c r="J22" s="169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101</v>
      </c>
      <c r="C23" s="89"/>
      <c r="D23" s="48">
        <f t="shared" si="1"/>
        <v>0</v>
      </c>
      <c r="F23" s="77"/>
      <c r="G23" s="79"/>
      <c r="H23" s="229"/>
      <c r="I23" s="230"/>
      <c r="J23" s="230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121</v>
      </c>
      <c r="C24" s="89"/>
      <c r="D24" s="48">
        <f t="shared" si="1"/>
        <v>0</v>
      </c>
      <c r="F24" s="77"/>
      <c r="G24" s="79"/>
      <c r="H24" s="229"/>
      <c r="I24" s="230"/>
      <c r="J24" s="230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141</v>
      </c>
      <c r="C25" s="89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139</v>
      </c>
      <c r="C26" s="89"/>
      <c r="D26" s="48">
        <f t="shared" si="1"/>
        <v>0</v>
      </c>
      <c r="F26" s="75"/>
      <c r="G26" s="65"/>
      <c r="H26" s="139"/>
      <c r="I26" s="139"/>
      <c r="J26" s="139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110</v>
      </c>
      <c r="C27" s="89"/>
      <c r="D27" s="44">
        <f t="shared" si="1"/>
        <v>0</v>
      </c>
      <c r="F27" s="71"/>
      <c r="G27" s="94"/>
      <c r="H27" s="231"/>
      <c r="I27" s="232"/>
      <c r="J27" s="232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89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H15-H16-H17-H18-H19-H20-H22-H23-H24+H26+H27+H28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4">
        <f t="shared" ref="H34:H39" si="2"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si="2"/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si="2"/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39"/>
      <c r="I46" s="139"/>
      <c r="J46" s="139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131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8B07-FE9D-4D68-8214-92E1CE75A9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2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134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114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115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93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39"/>
      <c r="I19" s="239"/>
      <c r="J19" s="23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4"/>
      <c r="I20" s="164"/>
      <c r="J20" s="164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2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25"/>
      <c r="G23" s="37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123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10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14"/>
      <c r="G27" s="14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 t="shared" ref="H35:H39" si="2"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62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62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93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132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135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C5632-DA67-4E27-82F5-95F137057F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6" t="s">
        <v>1</v>
      </c>
      <c r="O1" s="196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7" t="s">
        <v>7</v>
      </c>
      <c r="B4" s="148"/>
      <c r="C4" s="148"/>
      <c r="D4" s="149"/>
      <c r="F4" s="197" t="s">
        <v>8</v>
      </c>
      <c r="G4" s="199">
        <v>3</v>
      </c>
      <c r="H4" s="201" t="s">
        <v>9</v>
      </c>
      <c r="I4" s="203">
        <v>45971</v>
      </c>
      <c r="J4" s="20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1" t="s">
        <v>7</v>
      </c>
      <c r="B5" s="15" t="s">
        <v>11</v>
      </c>
      <c r="C5" s="9" t="s">
        <v>12</v>
      </c>
      <c r="D5" s="25" t="s">
        <v>13</v>
      </c>
      <c r="F5" s="198"/>
      <c r="G5" s="200"/>
      <c r="H5" s="202"/>
      <c r="I5" s="205"/>
      <c r="J5" s="20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2"/>
      <c r="B6" s="16" t="s">
        <v>15</v>
      </c>
      <c r="C6" s="10"/>
      <c r="D6" s="13">
        <f t="shared" ref="D6:D28" si="1">C6*L6</f>
        <v>0</v>
      </c>
      <c r="F6" s="207" t="s">
        <v>16</v>
      </c>
      <c r="G6" s="209" t="s">
        <v>111</v>
      </c>
      <c r="H6" s="210"/>
      <c r="I6" s="210"/>
      <c r="J6" s="211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2"/>
      <c r="B7" s="16" t="s">
        <v>18</v>
      </c>
      <c r="C7" s="10"/>
      <c r="D7" s="13">
        <f t="shared" si="1"/>
        <v>0</v>
      </c>
      <c r="F7" s="208"/>
      <c r="G7" s="212"/>
      <c r="H7" s="213"/>
      <c r="I7" s="213"/>
      <c r="J7" s="214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2"/>
      <c r="B8" s="16" t="s">
        <v>20</v>
      </c>
      <c r="C8" s="10"/>
      <c r="D8" s="13">
        <f t="shared" si="1"/>
        <v>0</v>
      </c>
      <c r="F8" s="215" t="s">
        <v>21</v>
      </c>
      <c r="G8" s="216" t="s">
        <v>119</v>
      </c>
      <c r="H8" s="217"/>
      <c r="I8" s="217"/>
      <c r="J8" s="218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2"/>
      <c r="B9" s="16" t="s">
        <v>23</v>
      </c>
      <c r="C9" s="10"/>
      <c r="D9" s="13">
        <f t="shared" si="1"/>
        <v>0</v>
      </c>
      <c r="F9" s="208"/>
      <c r="G9" s="219"/>
      <c r="H9" s="220"/>
      <c r="I9" s="220"/>
      <c r="J9" s="221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2"/>
      <c r="B10" t="s">
        <v>25</v>
      </c>
      <c r="C10" s="10"/>
      <c r="D10" s="13">
        <f t="shared" si="1"/>
        <v>0</v>
      </c>
      <c r="F10" s="207" t="s">
        <v>26</v>
      </c>
      <c r="G10" s="222" t="s">
        <v>137</v>
      </c>
      <c r="H10" s="223"/>
      <c r="I10" s="223"/>
      <c r="J10" s="224"/>
      <c r="K10" s="8"/>
      <c r="L10" s="6">
        <f>R36</f>
        <v>972</v>
      </c>
      <c r="P10" s="4"/>
      <c r="Q10" s="4"/>
      <c r="R10" s="5"/>
    </row>
    <row r="11" spans="1:18" ht="15.75" x14ac:dyDescent="0.25">
      <c r="A11" s="142"/>
      <c r="B11" s="17" t="s">
        <v>28</v>
      </c>
      <c r="C11" s="10"/>
      <c r="D11" s="13">
        <f t="shared" si="1"/>
        <v>0</v>
      </c>
      <c r="F11" s="208"/>
      <c r="G11" s="219"/>
      <c r="H11" s="220"/>
      <c r="I11" s="220"/>
      <c r="J11" s="22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2"/>
      <c r="B12" s="17" t="s">
        <v>30</v>
      </c>
      <c r="C12" s="10"/>
      <c r="D12" s="48">
        <f t="shared" si="1"/>
        <v>0</v>
      </c>
      <c r="F12" s="225" t="s">
        <v>33</v>
      </c>
      <c r="G12" s="226"/>
      <c r="H12" s="226"/>
      <c r="I12" s="226"/>
      <c r="J12" s="22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2"/>
      <c r="B13" s="17" t="s">
        <v>32</v>
      </c>
      <c r="C13" s="10"/>
      <c r="D13" s="48">
        <f t="shared" si="1"/>
        <v>0</v>
      </c>
      <c r="F13" s="228" t="s">
        <v>36</v>
      </c>
      <c r="G13" s="192"/>
      <c r="H13" s="183">
        <f>D29</f>
        <v>0</v>
      </c>
      <c r="I13" s="184"/>
      <c r="J13" s="18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2"/>
      <c r="B14" s="14" t="s">
        <v>35</v>
      </c>
      <c r="C14" s="10"/>
      <c r="D14" s="31">
        <f t="shared" si="1"/>
        <v>0</v>
      </c>
      <c r="F14" s="186" t="s">
        <v>39</v>
      </c>
      <c r="G14" s="187"/>
      <c r="H14" s="188">
        <f>D54</f>
        <v>0</v>
      </c>
      <c r="I14" s="189"/>
      <c r="J14" s="19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2"/>
      <c r="B15" s="14" t="s">
        <v>38</v>
      </c>
      <c r="C15" s="10"/>
      <c r="D15" s="31">
        <f t="shared" si="1"/>
        <v>0</v>
      </c>
      <c r="F15" s="191" t="s">
        <v>40</v>
      </c>
      <c r="G15" s="192"/>
      <c r="H15" s="193">
        <f>H13-H14</f>
        <v>0</v>
      </c>
      <c r="I15" s="194"/>
      <c r="J15" s="195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2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3"/>
      <c r="I16" s="153"/>
      <c r="J16" s="153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2"/>
      <c r="B17" t="s">
        <v>113</v>
      </c>
      <c r="C17" s="10"/>
      <c r="D17" s="48">
        <f t="shared" si="1"/>
        <v>0</v>
      </c>
      <c r="F17" s="56"/>
      <c r="G17" s="66" t="s">
        <v>45</v>
      </c>
      <c r="H17" s="164"/>
      <c r="I17" s="164"/>
      <c r="J17" s="164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2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4"/>
      <c r="I18" s="164"/>
      <c r="J18" s="164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2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0"/>
      <c r="I19" s="240"/>
      <c r="J19" s="240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2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3"/>
      <c r="I20" s="153"/>
      <c r="J20" s="153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2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6" t="s">
        <v>13</v>
      </c>
      <c r="I21" s="167"/>
      <c r="J21" s="168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2"/>
      <c r="B22" s="46" t="s">
        <v>104</v>
      </c>
      <c r="C22" s="10"/>
      <c r="D22" s="48">
        <f t="shared" si="1"/>
        <v>0</v>
      </c>
      <c r="F22" s="77"/>
      <c r="G22" s="73"/>
      <c r="H22" s="169"/>
      <c r="I22" s="169"/>
      <c r="J22" s="169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2"/>
      <c r="B23" s="14" t="s">
        <v>107</v>
      </c>
      <c r="C23" s="10"/>
      <c r="D23" s="48">
        <f t="shared" si="1"/>
        <v>0</v>
      </c>
      <c r="F23" s="78"/>
      <c r="G23" s="79"/>
      <c r="H23" s="170"/>
      <c r="I23" s="139"/>
      <c r="J23" s="139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2"/>
      <c r="B24" s="14" t="s">
        <v>101</v>
      </c>
      <c r="C24" s="10"/>
      <c r="D24" s="48">
        <f t="shared" si="1"/>
        <v>0</v>
      </c>
      <c r="F24" s="38"/>
      <c r="G24" s="37"/>
      <c r="H24" s="170"/>
      <c r="I24" s="139"/>
      <c r="J24" s="139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2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1" t="s">
        <v>13</v>
      </c>
      <c r="I25" s="172"/>
      <c r="J25" s="173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2"/>
      <c r="B26" s="14" t="s">
        <v>105</v>
      </c>
      <c r="C26" s="10"/>
      <c r="D26" s="48">
        <f t="shared" si="1"/>
        <v>0</v>
      </c>
      <c r="F26" s="64"/>
      <c r="G26" s="59"/>
      <c r="H26" s="174"/>
      <c r="I26" s="175"/>
      <c r="J26" s="176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2"/>
      <c r="B27" s="14" t="s">
        <v>109</v>
      </c>
      <c r="C27" s="10"/>
      <c r="D27" s="44">
        <f t="shared" si="1"/>
        <v>0</v>
      </c>
      <c r="F27" s="25"/>
      <c r="G27" s="80"/>
      <c r="H27" s="177"/>
      <c r="I27" s="178"/>
      <c r="J27" s="179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3"/>
      <c r="B28" s="46" t="s">
        <v>97</v>
      </c>
      <c r="C28" s="10"/>
      <c r="D28" s="48">
        <f t="shared" si="1"/>
        <v>0</v>
      </c>
      <c r="F28" s="91"/>
      <c r="G28" s="61"/>
      <c r="H28" s="180"/>
      <c r="I28" s="181"/>
      <c r="J28" s="182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4" t="s">
        <v>36</v>
      </c>
      <c r="B29" s="155"/>
      <c r="C29" s="156"/>
      <c r="D29" s="160">
        <f>SUM(D6:D28)</f>
        <v>0</v>
      </c>
      <c r="F29" s="100" t="s">
        <v>55</v>
      </c>
      <c r="G29" s="162"/>
      <c r="H29" s="122">
        <f>H15-H16-H17-H18-H19-H20-H22-H23-H24+H26+H27</f>
        <v>0</v>
      </c>
      <c r="I29" s="123"/>
      <c r="J29" s="124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7"/>
      <c r="B30" s="158"/>
      <c r="C30" s="159"/>
      <c r="D30" s="161"/>
      <c r="F30" s="103"/>
      <c r="G30" s="163"/>
      <c r="H30" s="125"/>
      <c r="I30" s="126"/>
      <c r="J30" s="12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7" t="s">
        <v>58</v>
      </c>
      <c r="B32" s="148"/>
      <c r="C32" s="148"/>
      <c r="D32" s="149"/>
      <c r="F32" s="150" t="s">
        <v>59</v>
      </c>
      <c r="G32" s="151"/>
      <c r="H32" s="151"/>
      <c r="I32" s="151"/>
      <c r="J32" s="15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2" t="s">
        <v>63</v>
      </c>
      <c r="H33" s="150" t="s">
        <v>13</v>
      </c>
      <c r="I33" s="151"/>
      <c r="J33" s="15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1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4">
        <f>F34*G34</f>
        <v>0</v>
      </c>
      <c r="I34" s="145"/>
      <c r="J34" s="146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2"/>
      <c r="B35" s="27" t="s">
        <v>68</v>
      </c>
      <c r="C35" s="52"/>
      <c r="D35" s="30">
        <f>C35*84</f>
        <v>0</v>
      </c>
      <c r="F35" s="58">
        <v>500</v>
      </c>
      <c r="G35" s="41"/>
      <c r="H35" s="144">
        <f>F35*G35</f>
        <v>0</v>
      </c>
      <c r="I35" s="145"/>
      <c r="J35" s="146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3"/>
      <c r="B36" s="26" t="s">
        <v>70</v>
      </c>
      <c r="C36" s="10"/>
      <c r="D36" s="12">
        <f>C36*1.5</f>
        <v>0</v>
      </c>
      <c r="F36" s="12">
        <v>200</v>
      </c>
      <c r="G36" s="37"/>
      <c r="H36" s="144">
        <f t="shared" ref="H36:H39" si="2">F36*G36</f>
        <v>0</v>
      </c>
      <c r="I36" s="145"/>
      <c r="J36" s="146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1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4">
        <f t="shared" si="2"/>
        <v>0</v>
      </c>
      <c r="I37" s="145"/>
      <c r="J37" s="146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2"/>
      <c r="B38" s="29" t="s">
        <v>68</v>
      </c>
      <c r="C38" s="54"/>
      <c r="D38" s="12">
        <f>C38*84</f>
        <v>0</v>
      </c>
      <c r="F38" s="30">
        <v>50</v>
      </c>
      <c r="G38" s="39"/>
      <c r="H38" s="144">
        <f t="shared" si="2"/>
        <v>0</v>
      </c>
      <c r="I38" s="145"/>
      <c r="J38" s="146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3"/>
      <c r="B39" s="29" t="s">
        <v>70</v>
      </c>
      <c r="C39" s="52"/>
      <c r="D39" s="31">
        <f>C39*4.5</f>
        <v>0</v>
      </c>
      <c r="F39" s="12">
        <v>20</v>
      </c>
      <c r="G39" s="37"/>
      <c r="H39" s="144">
        <f t="shared" si="2"/>
        <v>0</v>
      </c>
      <c r="I39" s="145"/>
      <c r="J39" s="146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1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4"/>
      <c r="I40" s="145"/>
      <c r="J40" s="146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2"/>
      <c r="B41" s="27" t="s">
        <v>68</v>
      </c>
      <c r="C41" s="10"/>
      <c r="D41" s="12">
        <f>C41*84</f>
        <v>0</v>
      </c>
      <c r="F41" s="12">
        <v>5</v>
      </c>
      <c r="G41" s="42"/>
      <c r="H41" s="144"/>
      <c r="I41" s="145"/>
      <c r="J41" s="146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3"/>
      <c r="B42" s="27" t="s">
        <v>70</v>
      </c>
      <c r="C42" s="11"/>
      <c r="D42" s="12">
        <f>C42*2.25</f>
        <v>0</v>
      </c>
      <c r="F42" s="39" t="s">
        <v>79</v>
      </c>
      <c r="G42" s="144"/>
      <c r="H42" s="145"/>
      <c r="I42" s="145"/>
      <c r="J42" s="146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4" t="s">
        <v>81</v>
      </c>
      <c r="C43" s="11"/>
      <c r="D43" s="12"/>
      <c r="F43" s="59" t="s">
        <v>82</v>
      </c>
      <c r="G43" s="94" t="s">
        <v>83</v>
      </c>
      <c r="H43" s="136" t="s">
        <v>13</v>
      </c>
      <c r="I43" s="137"/>
      <c r="J43" s="138"/>
      <c r="K43" s="21"/>
      <c r="P43" s="4"/>
      <c r="Q43" s="4"/>
      <c r="R43" s="5"/>
    </row>
    <row r="44" spans="1:18" ht="15.75" x14ac:dyDescent="0.25">
      <c r="A44" s="115"/>
      <c r="B44" s="27" t="s">
        <v>66</v>
      </c>
      <c r="C44" s="10"/>
      <c r="D44" s="12">
        <f>C44*120</f>
        <v>0</v>
      </c>
      <c r="F44" s="37"/>
      <c r="G44" s="76"/>
      <c r="H44" s="139"/>
      <c r="I44" s="139"/>
      <c r="J44" s="139"/>
      <c r="K44" s="21"/>
      <c r="P44" s="4"/>
      <c r="Q44" s="4"/>
      <c r="R44" s="5"/>
    </row>
    <row r="45" spans="1:18" ht="15.75" x14ac:dyDescent="0.25">
      <c r="A45" s="115"/>
      <c r="B45" s="27" t="s">
        <v>68</v>
      </c>
      <c r="C45" s="33"/>
      <c r="D45" s="12">
        <f>C45*84</f>
        <v>0</v>
      </c>
      <c r="F45" s="37"/>
      <c r="G45" s="76"/>
      <c r="H45" s="139"/>
      <c r="I45" s="139"/>
      <c r="J45" s="139"/>
      <c r="K45" s="21"/>
      <c r="P45" s="4"/>
      <c r="Q45" s="4"/>
      <c r="R45" s="5"/>
    </row>
    <row r="46" spans="1:18" ht="15.75" x14ac:dyDescent="0.25">
      <c r="A46" s="115"/>
      <c r="B46" s="49" t="s">
        <v>70</v>
      </c>
      <c r="C46" s="81"/>
      <c r="D46" s="12">
        <f>C46*1.5</f>
        <v>0</v>
      </c>
      <c r="F46" s="37"/>
      <c r="G46" s="62"/>
      <c r="H46" s="140"/>
      <c r="I46" s="140"/>
      <c r="J46" s="140"/>
      <c r="K46" s="21"/>
      <c r="P46" s="4"/>
      <c r="Q46" s="4"/>
      <c r="R46" s="5"/>
    </row>
    <row r="47" spans="1:18" ht="15.75" x14ac:dyDescent="0.25">
      <c r="A47" s="116"/>
      <c r="B47" s="27"/>
      <c r="C47" s="11"/>
      <c r="D47" s="12"/>
      <c r="F47" s="59"/>
      <c r="G47" s="59"/>
      <c r="H47" s="117"/>
      <c r="I47" s="118"/>
      <c r="J47" s="119"/>
      <c r="K47" s="21"/>
      <c r="P47" s="4"/>
      <c r="Q47" s="4"/>
      <c r="R47" s="5"/>
    </row>
    <row r="48" spans="1:18" ht="15" customHeight="1" x14ac:dyDescent="0.25">
      <c r="A48" s="114" t="s">
        <v>32</v>
      </c>
      <c r="B48" s="27" t="s">
        <v>66</v>
      </c>
      <c r="C48" s="10"/>
      <c r="D48" s="12">
        <f>C48*78</f>
        <v>0</v>
      </c>
      <c r="F48" s="59"/>
      <c r="G48" s="59"/>
      <c r="H48" s="117"/>
      <c r="I48" s="118"/>
      <c r="J48" s="119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5"/>
      <c r="B49" s="29" t="s">
        <v>68</v>
      </c>
      <c r="C49" s="33"/>
      <c r="D49" s="12">
        <f>C49*42</f>
        <v>0</v>
      </c>
      <c r="F49" s="120" t="s">
        <v>86</v>
      </c>
      <c r="G49" s="122">
        <f>H34+H35+H36+H37+H38+H39+H40+H41+G42+H44+H45+H46</f>
        <v>0</v>
      </c>
      <c r="H49" s="123"/>
      <c r="I49" s="123"/>
      <c r="J49" s="124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5"/>
      <c r="B50" s="32" t="s">
        <v>70</v>
      </c>
      <c r="C50" s="11"/>
      <c r="D50" s="12">
        <f>C50*1.5</f>
        <v>0</v>
      </c>
      <c r="F50" s="121"/>
      <c r="G50" s="125"/>
      <c r="H50" s="126"/>
      <c r="I50" s="126"/>
      <c r="J50" s="127"/>
      <c r="P50" s="4"/>
      <c r="Q50" s="4"/>
      <c r="R50" s="5"/>
    </row>
    <row r="51" spans="1:18" ht="15" customHeight="1" x14ac:dyDescent="0.25">
      <c r="A51" s="115"/>
      <c r="B51" s="27"/>
      <c r="C51" s="10"/>
      <c r="D51" s="31"/>
      <c r="F51" s="128" t="s">
        <v>142</v>
      </c>
      <c r="G51" s="233">
        <f>G49-H29</f>
        <v>0</v>
      </c>
      <c r="H51" s="234"/>
      <c r="I51" s="234"/>
      <c r="J51" s="235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5"/>
      <c r="B52" s="29"/>
      <c r="C52" s="33"/>
      <c r="D52" s="45"/>
      <c r="F52" s="129"/>
      <c r="G52" s="236"/>
      <c r="H52" s="237"/>
      <c r="I52" s="237"/>
      <c r="J52" s="238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6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0" t="s">
        <v>90</v>
      </c>
      <c r="B54" s="101"/>
      <c r="C54" s="102"/>
      <c r="D54" s="106">
        <f>SUM(D34:D53)</f>
        <v>0</v>
      </c>
      <c r="F54" s="21"/>
      <c r="J54" s="34"/>
    </row>
    <row r="55" spans="1:18" x14ac:dyDescent="0.25">
      <c r="A55" s="103"/>
      <c r="B55" s="104"/>
      <c r="C55" s="105"/>
      <c r="D55" s="107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08" t="s">
        <v>91</v>
      </c>
      <c r="B58" s="109"/>
      <c r="C58" s="109"/>
      <c r="D58" s="110"/>
      <c r="F58" s="108" t="s">
        <v>92</v>
      </c>
      <c r="G58" s="109"/>
      <c r="H58" s="109"/>
      <c r="I58" s="109"/>
      <c r="J58" s="110"/>
    </row>
    <row r="59" spans="1:18" x14ac:dyDescent="0.25">
      <c r="A59" s="111"/>
      <c r="B59" s="112"/>
      <c r="C59" s="112"/>
      <c r="D59" s="113"/>
      <c r="F59" s="111"/>
      <c r="G59" s="112"/>
      <c r="H59" s="112"/>
      <c r="I59" s="112"/>
      <c r="J59" s="113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30</vt:i4>
      </vt:variant>
      <vt:variant>
        <vt:lpstr>Named Ranges</vt:lpstr>
      </vt:variant>
      <vt:variant>
        <vt:i4>29</vt:i4>
      </vt:variant>
    </vt:vector>
  </HeadingPairs>
  <TitlesOfParts>
    <vt:vector size="59" baseType="lpstr">
      <vt:lpstr>(November 2025)</vt:lpstr>
      <vt:lpstr>(03)</vt:lpstr>
      <vt:lpstr>03,11 R1</vt:lpstr>
      <vt:lpstr>03,11 R2</vt:lpstr>
      <vt:lpstr>03,11 R3</vt:lpstr>
      <vt:lpstr>(4)</vt:lpstr>
      <vt:lpstr>04,11 R1 No Trip</vt:lpstr>
      <vt:lpstr>04,11 R2</vt:lpstr>
      <vt:lpstr>04,11 R3-A</vt:lpstr>
      <vt:lpstr>04,11 R3-B</vt:lpstr>
      <vt:lpstr>(5)</vt:lpstr>
      <vt:lpstr>05,11 R1</vt:lpstr>
      <vt:lpstr>05,11 R2</vt:lpstr>
      <vt:lpstr>05,11 R3</vt:lpstr>
      <vt:lpstr>(6)</vt:lpstr>
      <vt:lpstr>06,11 R1</vt:lpstr>
      <vt:lpstr>06,11 R2</vt:lpstr>
      <vt:lpstr>06,11 R3</vt:lpstr>
      <vt:lpstr>(7)</vt:lpstr>
      <vt:lpstr>07,11 R1</vt:lpstr>
      <vt:lpstr>07,11 R2</vt:lpstr>
      <vt:lpstr>07,11 R3</vt:lpstr>
      <vt:lpstr>(8)</vt:lpstr>
      <vt:lpstr>08,11 R1</vt:lpstr>
      <vt:lpstr>08,11 R2</vt:lpstr>
      <vt:lpstr>08,11 R3</vt:lpstr>
      <vt:lpstr>(10)</vt:lpstr>
      <vt:lpstr>10,11 R1</vt:lpstr>
      <vt:lpstr>10,11 R2</vt:lpstr>
      <vt:lpstr>10,11 R3</vt:lpstr>
      <vt:lpstr>'(03)'!Print_Area</vt:lpstr>
      <vt:lpstr>'(10)'!Print_Area</vt:lpstr>
      <vt:lpstr>'(4)'!Print_Area</vt:lpstr>
      <vt:lpstr>'(5)'!Print_Area</vt:lpstr>
      <vt:lpstr>'(6)'!Print_Area</vt:lpstr>
      <vt:lpstr>'(7)'!Print_Area</vt:lpstr>
      <vt:lpstr>'(8)'!Print_Area</vt:lpstr>
      <vt:lpstr>'03,11 R1'!Print_Area</vt:lpstr>
      <vt:lpstr>'03,11 R2'!Print_Area</vt:lpstr>
      <vt:lpstr>'03,11 R3'!Print_Area</vt:lpstr>
      <vt:lpstr>'04,11 R1 No Trip'!Print_Area</vt:lpstr>
      <vt:lpstr>'04,11 R2'!Print_Area</vt:lpstr>
      <vt:lpstr>'04,11 R3-A'!Print_Area</vt:lpstr>
      <vt:lpstr>'04,11 R3-B'!Print_Area</vt:lpstr>
      <vt:lpstr>'05,11 R1'!Print_Area</vt:lpstr>
      <vt:lpstr>'05,11 R2'!Print_Area</vt:lpstr>
      <vt:lpstr>'05,11 R3'!Print_Area</vt:lpstr>
      <vt:lpstr>'06,11 R1'!Print_Area</vt:lpstr>
      <vt:lpstr>'06,11 R2'!Print_Area</vt:lpstr>
      <vt:lpstr>'06,11 R3'!Print_Area</vt:lpstr>
      <vt:lpstr>'07,11 R1'!Print_Area</vt:lpstr>
      <vt:lpstr>'07,11 R2'!Print_Area</vt:lpstr>
      <vt:lpstr>'07,11 R3'!Print_Area</vt:lpstr>
      <vt:lpstr>'08,11 R1'!Print_Area</vt:lpstr>
      <vt:lpstr>'08,11 R2'!Print_Area</vt:lpstr>
      <vt:lpstr>'08,11 R3'!Print_Area</vt:lpstr>
      <vt:lpstr>'10,11 R1'!Print_Area</vt:lpstr>
      <vt:lpstr>'10,11 R2'!Print_Area</vt:lpstr>
      <vt:lpstr>'10,11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2025-11-05T00:48:53Z</cp:lastPrinted>
  <dcterms:created xsi:type="dcterms:W3CDTF">2024-09-01T23:36:50Z</dcterms:created>
  <dcterms:modified xsi:type="dcterms:W3CDTF">2025-11-05T00:53:07Z</dcterms:modified>
</cp:coreProperties>
</file>