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worksheets/sheet25.xml" ContentType="application/vnd.openxmlformats-officedocument.spreadsheetml.worksheet+xml"/>
  <Override PartName="/xl/worksheets/sheet26.xml" ContentType="application/vnd.openxmlformats-officedocument.spreadsheetml.worksheet+xml"/>
  <Override PartName="/xl/worksheets/sheet27.xml" ContentType="application/vnd.openxmlformats-officedocument.spreadsheetml.worksheet+xml"/>
  <Override PartName="/xl/worksheets/sheet28.xml" ContentType="application/vnd.openxmlformats-officedocument.spreadsheetml.worksheet+xml"/>
  <Override PartName="/xl/worksheets/sheet29.xml" ContentType="application/vnd.openxmlformats-officedocument.spreadsheetml.worksheet+xml"/>
  <Override PartName="/xl/worksheets/sheet30.xml" ContentType="application/vnd.openxmlformats-officedocument.spreadsheetml.worksheet+xml"/>
  <Override PartName="/xl/worksheets/sheet31.xml" ContentType="application/vnd.openxmlformats-officedocument.spreadsheetml.worksheet+xml"/>
  <Override PartName="/xl/worksheets/sheet32.xml" ContentType="application/vnd.openxmlformats-officedocument.spreadsheetml.worksheet+xml"/>
  <Override PartName="/xl/worksheets/sheet33.xml" ContentType="application/vnd.openxmlformats-officedocument.spreadsheetml.worksheet+xml"/>
  <Override PartName="/xl/worksheets/sheet34.xml" ContentType="application/vnd.openxmlformats-officedocument.spreadsheetml.worksheet+xml"/>
  <Override PartName="/xl/worksheets/sheet35.xml" ContentType="application/vnd.openxmlformats-officedocument.spreadsheetml.worksheet+xml"/>
  <Override PartName="/xl/worksheets/sheet36.xml" ContentType="application/vnd.openxmlformats-officedocument.spreadsheetml.worksheet+xml"/>
  <Override PartName="/xl/worksheets/sheet37.xml" ContentType="application/vnd.openxmlformats-officedocument.spreadsheetml.worksheet+xml"/>
  <Override PartName="/xl/worksheets/sheet38.xml" ContentType="application/vnd.openxmlformats-officedocument.spreadsheetml.worksheet+xml"/>
  <Override PartName="/xl/worksheets/sheet39.xml" ContentType="application/vnd.openxmlformats-officedocument.spreadsheetml.worksheet+xml"/>
  <Override PartName="/xl/worksheets/sheet40.xml" ContentType="application/vnd.openxmlformats-officedocument.spreadsheetml.worksheet+xml"/>
  <Override PartName="/xl/worksheets/sheet41.xml" ContentType="application/vnd.openxmlformats-officedocument.spreadsheetml.worksheet+xml"/>
  <Override PartName="/xl/worksheets/sheet42.xml" ContentType="application/vnd.openxmlformats-officedocument.spreadsheetml.worksheet+xml"/>
  <Override PartName="/xl/worksheets/sheet43.xml" ContentType="application/vnd.openxmlformats-officedocument.spreadsheetml.worksheet+xml"/>
  <Override PartName="/xl/worksheets/sheet44.xml" ContentType="application/vnd.openxmlformats-officedocument.spreadsheetml.worksheet+xml"/>
  <Override PartName="/xl/worksheets/sheet45.xml" ContentType="application/vnd.openxmlformats-officedocument.spreadsheetml.worksheet+xml"/>
  <Override PartName="/xl/worksheets/sheet46.xml" ContentType="application/vnd.openxmlformats-officedocument.spreadsheetml.worksheet+xml"/>
  <Override PartName="/xl/worksheets/sheet47.xml" ContentType="application/vnd.openxmlformats-officedocument.spreadsheetml.worksheet+xml"/>
  <Override PartName="/xl/worksheets/sheet48.xml" ContentType="application/vnd.openxmlformats-officedocument.spreadsheetml.worksheet+xml"/>
  <Override PartName="/xl/worksheets/sheet49.xml" ContentType="application/vnd.openxmlformats-officedocument.spreadsheetml.worksheet+xml"/>
  <Override PartName="/xl/worksheets/sheet50.xml" ContentType="application/vnd.openxmlformats-officedocument.spreadsheetml.worksheet+xml"/>
  <Override PartName="/xl/worksheets/sheet51.xml" ContentType="application/vnd.openxmlformats-officedocument.spreadsheetml.worksheet+xml"/>
  <Override PartName="/xl/worksheets/sheet52.xml" ContentType="application/vnd.openxmlformats-officedocument.spreadsheetml.worksheet+xml"/>
  <Override PartName="/xl/worksheets/sheet53.xml" ContentType="application/vnd.openxmlformats-officedocument.spreadsheetml.worksheet+xml"/>
  <Override PartName="/xl/worksheets/sheet54.xml" ContentType="application/vnd.openxmlformats-officedocument.spreadsheetml.worksheet+xml"/>
  <Override PartName="/xl/worksheets/sheet55.xml" ContentType="application/vnd.openxmlformats-officedocument.spreadsheetml.worksheet+xml"/>
  <Override PartName="/xl/worksheets/sheet56.xml" ContentType="application/vnd.openxmlformats-officedocument.spreadsheetml.worksheet+xml"/>
  <Override PartName="/xl/worksheets/sheet57.xml" ContentType="application/vnd.openxmlformats-officedocument.spreadsheetml.worksheet+xml"/>
  <Override PartName="/xl/worksheets/sheet58.xml" ContentType="application/vnd.openxmlformats-officedocument.spreadsheetml.worksheet+xml"/>
  <Override PartName="/xl/worksheets/sheet59.xml" ContentType="application/vnd.openxmlformats-officedocument.spreadsheetml.worksheet+xml"/>
  <Override PartName="/xl/worksheets/sheet60.xml" ContentType="application/vnd.openxmlformats-officedocument.spreadsheetml.worksheet+xml"/>
  <Override PartName="/xl/worksheets/sheet61.xml" ContentType="application/vnd.openxmlformats-officedocument.spreadsheetml.worksheet+xml"/>
  <Override PartName="/xl/worksheets/sheet62.xml" ContentType="application/vnd.openxmlformats-officedocument.spreadsheetml.worksheet+xml"/>
  <Override PartName="/xl/worksheets/sheet63.xml" ContentType="application/vnd.openxmlformats-officedocument.spreadsheetml.worksheet+xml"/>
  <Override PartName="/xl/worksheets/sheet64.xml" ContentType="application/vnd.openxmlformats-officedocument.spreadsheetml.worksheet+xml"/>
  <Override PartName="/xl/worksheets/sheet65.xml" ContentType="application/vnd.openxmlformats-officedocument.spreadsheetml.worksheet+xml"/>
  <Override PartName="/xl/worksheets/sheet66.xml" ContentType="application/vnd.openxmlformats-officedocument.spreadsheetml.worksheet+xml"/>
  <Override PartName="/xl/worksheets/sheet67.xml" ContentType="application/vnd.openxmlformats-officedocument.spreadsheetml.worksheet+xml"/>
  <Override PartName="/xl/worksheets/sheet68.xml" ContentType="application/vnd.openxmlformats-officedocument.spreadsheetml.worksheet+xml"/>
  <Override PartName="/xl/worksheets/sheet69.xml" ContentType="application/vnd.openxmlformats-officedocument.spreadsheetml.worksheet+xml"/>
  <Override PartName="/xl/worksheets/sheet70.xml" ContentType="application/vnd.openxmlformats-officedocument.spreadsheetml.worksheet+xml"/>
  <Override PartName="/xl/worksheets/sheet71.xml" ContentType="application/vnd.openxmlformats-officedocument.spreadsheetml.worksheet+xml"/>
  <Override PartName="/xl/worksheets/sheet72.xml" ContentType="application/vnd.openxmlformats-officedocument.spreadsheetml.worksheet+xml"/>
  <Override PartName="/xl/worksheets/sheet73.xml" ContentType="application/vnd.openxmlformats-officedocument.spreadsheetml.worksheet+xml"/>
  <Override PartName="/xl/worksheets/sheet74.xml" ContentType="application/vnd.openxmlformats-officedocument.spreadsheetml.worksheet+xml"/>
  <Override PartName="/xl/worksheets/sheet75.xml" ContentType="application/vnd.openxmlformats-officedocument.spreadsheetml.worksheet+xml"/>
  <Override PartName="/xl/worksheets/sheet76.xml" ContentType="application/vnd.openxmlformats-officedocument.spreadsheetml.worksheet+xml"/>
  <Override PartName="/xl/worksheets/sheet77.xml" ContentType="application/vnd.openxmlformats-officedocument.spreadsheetml.worksheet+xml"/>
  <Override PartName="/xl/worksheets/sheet78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drawings/drawing2.xml" ContentType="application/vnd.openxmlformats-officedocument.drawing+xml"/>
  <Override PartName="/xl/drawings/drawing3.xml" ContentType="application/vnd.openxmlformats-officedocument.drawing+xml"/>
  <Override PartName="/xl/drawings/drawing4.xml" ContentType="application/vnd.openxmlformats-officedocument.drawing+xml"/>
  <Override PartName="/xl/drawings/drawing5.xml" ContentType="application/vnd.openxmlformats-officedocument.drawing+xml"/>
  <Override PartName="/xl/drawings/drawing6.xml" ContentType="application/vnd.openxmlformats-officedocument.drawing+xml"/>
  <Override PartName="/xl/drawings/drawing7.xml" ContentType="application/vnd.openxmlformats-officedocument.drawing+xml"/>
  <Override PartName="/xl/drawings/drawing8.xml" ContentType="application/vnd.openxmlformats-officedocument.drawing+xml"/>
  <Override PartName="/xl/drawings/drawing9.xml" ContentType="application/vnd.openxmlformats-officedocument.drawing+xml"/>
  <Override PartName="/xl/drawings/drawing10.xml" ContentType="application/vnd.openxmlformats-officedocument.drawing+xml"/>
  <Override PartName="/xl/drawings/drawing11.xml" ContentType="application/vnd.openxmlformats-officedocument.drawing+xml"/>
  <Override PartName="/xl/drawings/drawing12.xml" ContentType="application/vnd.openxmlformats-officedocument.drawing+xml"/>
  <Override PartName="/xl/drawings/drawing13.xml" ContentType="application/vnd.openxmlformats-officedocument.drawing+xml"/>
  <Override PartName="/xl/drawings/drawing14.xml" ContentType="application/vnd.openxmlformats-officedocument.drawing+xml"/>
  <Override PartName="/xl/drawings/drawing15.xml" ContentType="application/vnd.openxmlformats-officedocument.drawing+xml"/>
  <Override PartName="/xl/drawings/drawing16.xml" ContentType="application/vnd.openxmlformats-officedocument.drawing+xml"/>
  <Override PartName="/xl/drawings/drawing17.xml" ContentType="application/vnd.openxmlformats-officedocument.drawing+xml"/>
  <Override PartName="/xl/drawings/drawing18.xml" ContentType="application/vnd.openxmlformats-officedocument.drawing+xml"/>
  <Override PartName="/xl/drawings/drawing19.xml" ContentType="application/vnd.openxmlformats-officedocument.drawing+xml"/>
  <Override PartName="/xl/drawings/drawing20.xml" ContentType="application/vnd.openxmlformats-officedocument.drawing+xml"/>
  <Override PartName="/xl/drawings/drawing21.xml" ContentType="application/vnd.openxmlformats-officedocument.drawing+xml"/>
  <Override PartName="/xl/drawings/drawing22.xml" ContentType="application/vnd.openxmlformats-officedocument.drawing+xml"/>
  <Override PartName="/xl/drawings/drawing23.xml" ContentType="application/vnd.openxmlformats-officedocument.drawing+xml"/>
  <Override PartName="/xl/drawings/drawing24.xml" ContentType="application/vnd.openxmlformats-officedocument.drawing+xml"/>
  <Override PartName="/xl/drawings/drawing25.xml" ContentType="application/vnd.openxmlformats-officedocument.drawing+xml"/>
  <Override PartName="/xl/drawings/drawing26.xml" ContentType="application/vnd.openxmlformats-officedocument.drawing+xml"/>
  <Override PartName="/xl/drawings/drawing27.xml" ContentType="application/vnd.openxmlformats-officedocument.drawing+xml"/>
  <Override PartName="/xl/drawings/drawing28.xml" ContentType="application/vnd.openxmlformats-officedocument.drawing+xml"/>
  <Override PartName="/xl/drawings/drawing29.xml" ContentType="application/vnd.openxmlformats-officedocument.drawing+xml"/>
  <Override PartName="/xl/drawings/drawing30.xml" ContentType="application/vnd.openxmlformats-officedocument.drawing+xml"/>
  <Override PartName="/xl/drawings/drawing31.xml" ContentType="application/vnd.openxmlformats-officedocument.drawing+xml"/>
  <Override PartName="/xl/drawings/drawing32.xml" ContentType="application/vnd.openxmlformats-officedocument.drawing+xml"/>
  <Override PartName="/xl/drawings/drawing33.xml" ContentType="application/vnd.openxmlformats-officedocument.drawing+xml"/>
  <Override PartName="/xl/drawings/drawing34.xml" ContentType="application/vnd.openxmlformats-officedocument.drawing+xml"/>
  <Override PartName="/xl/drawings/drawing35.xml" ContentType="application/vnd.openxmlformats-officedocument.drawing+xml"/>
  <Override PartName="/xl/drawings/drawing36.xml" ContentType="application/vnd.openxmlformats-officedocument.drawing+xml"/>
  <Override PartName="/xl/drawings/drawing37.xml" ContentType="application/vnd.openxmlformats-officedocument.drawing+xml"/>
  <Override PartName="/xl/drawings/drawing38.xml" ContentType="application/vnd.openxmlformats-officedocument.drawing+xml"/>
  <Override PartName="/xl/drawings/drawing39.xml" ContentType="application/vnd.openxmlformats-officedocument.drawing+xml"/>
  <Override PartName="/xl/drawings/drawing40.xml" ContentType="application/vnd.openxmlformats-officedocument.drawing+xml"/>
  <Override PartName="/xl/drawings/drawing41.xml" ContentType="application/vnd.openxmlformats-officedocument.drawing+xml"/>
  <Override PartName="/xl/drawings/drawing42.xml" ContentType="application/vnd.openxmlformats-officedocument.drawing+xml"/>
  <Override PartName="/xl/drawings/drawing43.xml" ContentType="application/vnd.openxmlformats-officedocument.drawing+xml"/>
  <Override PartName="/xl/drawings/drawing44.xml" ContentType="application/vnd.openxmlformats-officedocument.drawing+xml"/>
  <Override PartName="/xl/drawings/drawing45.xml" ContentType="application/vnd.openxmlformats-officedocument.drawing+xml"/>
  <Override PartName="/xl/drawings/drawing46.xml" ContentType="application/vnd.openxmlformats-officedocument.drawing+xml"/>
  <Override PartName="/xl/drawings/drawing47.xml" ContentType="application/vnd.openxmlformats-officedocument.drawing+xml"/>
  <Override PartName="/xl/drawings/drawing48.xml" ContentType="application/vnd.openxmlformats-officedocument.drawing+xml"/>
  <Override PartName="/xl/drawings/drawing49.xml" ContentType="application/vnd.openxmlformats-officedocument.drawing+xml"/>
  <Override PartName="/xl/drawings/drawing50.xml" ContentType="application/vnd.openxmlformats-officedocument.drawing+xml"/>
  <Override PartName="/xl/drawings/drawing51.xml" ContentType="application/vnd.openxmlformats-officedocument.drawing+xml"/>
  <Override PartName="/xl/drawings/drawing52.xml" ContentType="application/vnd.openxmlformats-officedocument.drawing+xml"/>
  <Override PartName="/xl/drawings/drawing53.xml" ContentType="application/vnd.openxmlformats-officedocument.drawing+xml"/>
  <Override PartName="/xl/drawings/drawing54.xml" ContentType="application/vnd.openxmlformats-officedocument.drawing+xml"/>
  <Override PartName="/xl/drawings/drawing55.xml" ContentType="application/vnd.openxmlformats-officedocument.drawing+xml"/>
  <Override PartName="/xl/drawings/drawing56.xml" ContentType="application/vnd.openxmlformats-officedocument.drawing+xml"/>
  <Override PartName="/xl/drawings/drawing57.xml" ContentType="application/vnd.openxmlformats-officedocument.drawing+xml"/>
  <Override PartName="/xl/drawings/drawing58.xml" ContentType="application/vnd.openxmlformats-officedocument.drawing+xml"/>
  <Override PartName="/xl/drawings/drawing59.xml" ContentType="application/vnd.openxmlformats-officedocument.drawing+xml"/>
  <Override PartName="/xl/drawings/drawing60.xml" ContentType="application/vnd.openxmlformats-officedocument.drawing+xml"/>
  <Override PartName="/xl/drawings/drawing61.xml" ContentType="application/vnd.openxmlformats-officedocument.drawing+xml"/>
  <Override PartName="/xl/drawings/drawing62.xml" ContentType="application/vnd.openxmlformats-officedocument.drawing+xml"/>
  <Override PartName="/xl/drawings/drawing63.xml" ContentType="application/vnd.openxmlformats-officedocument.drawing+xml"/>
  <Override PartName="/xl/drawings/drawing64.xml" ContentType="application/vnd.openxmlformats-officedocument.drawing+xml"/>
  <Override PartName="/xl/drawings/drawing65.xml" ContentType="application/vnd.openxmlformats-officedocument.drawing+xml"/>
  <Override PartName="/xl/drawings/drawing66.xml" ContentType="application/vnd.openxmlformats-officedocument.drawing+xml"/>
  <Override PartName="/xl/drawings/drawing67.xml" ContentType="application/vnd.openxmlformats-officedocument.drawing+xml"/>
  <Override PartName="/xl/drawings/drawing68.xml" ContentType="application/vnd.openxmlformats-officedocument.drawing+xml"/>
  <Override PartName="/xl/drawings/drawing69.xml" ContentType="application/vnd.openxmlformats-officedocument.drawing+xml"/>
  <Override PartName="/xl/drawings/drawing70.xml" ContentType="application/vnd.openxmlformats-officedocument.drawing+xml"/>
  <Override PartName="/xl/drawings/drawing71.xml" ContentType="application/vnd.openxmlformats-officedocument.drawing+xml"/>
  <Override PartName="/xl/drawings/drawing72.xml" ContentType="application/vnd.openxmlformats-officedocument.drawing+xml"/>
  <Override PartName="/xl/drawings/drawing73.xml" ContentType="application/vnd.openxmlformats-officedocument.drawing+xml"/>
  <Override PartName="/xl/drawings/drawing74.xml" ContentType="application/vnd.openxmlformats-officedocument.drawing+xml"/>
  <Override PartName="/xl/drawings/drawing75.xml" ContentType="application/vnd.openxmlformats-officedocument.drawing+xml"/>
  <Override PartName="/xl/drawings/drawing76.xml" ContentType="application/vnd.openxmlformats-officedocument.drawing+xml"/>
  <Override PartName="/xl/drawings/drawing77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2527"/>
  <workbookPr defaultThemeVersion="166925"/>
  <mc:AlternateContent xmlns:mc="http://schemas.openxmlformats.org/markup-compatibility/2006">
    <mc:Choice Requires="x15">
      <x15ac:absPath xmlns:x15ac="http://schemas.microsoft.com/office/spreadsheetml/2010/11/ac" url="C:\Users\User\Desktop\GBDS NOVEMBER FILES 2025\"/>
    </mc:Choice>
  </mc:AlternateContent>
  <xr:revisionPtr revIDLastSave="0" documentId="13_ncr:1_{B0C61DF6-D6CE-4DB8-9EF8-098BECAEEA53}" xr6:coauthVersionLast="45" xr6:coauthVersionMax="47" xr10:uidLastSave="{00000000-0000-0000-0000-000000000000}"/>
  <bookViews>
    <workbookView xWindow="-120" yWindow="-120" windowWidth="29040" windowHeight="15840" firstSheet="40" activeTab="51" xr2:uid="{00000000-000D-0000-FFFF-FFFF00000000}"/>
  </bookViews>
  <sheets>
    <sheet name="(November 2025)" sheetId="814" r:id="rId1"/>
    <sheet name="(03)" sheetId="1426" r:id="rId2"/>
    <sheet name="03,11 R1" sheetId="1427" r:id="rId3"/>
    <sheet name="03,11 R2" sheetId="1428" r:id="rId4"/>
    <sheet name="03,11 R3" sheetId="1429" r:id="rId5"/>
    <sheet name="(4)" sheetId="1447" r:id="rId6"/>
    <sheet name="04,11 R1 No Trip" sheetId="1448" r:id="rId7"/>
    <sheet name="04,11 R2" sheetId="1449" r:id="rId8"/>
    <sheet name="04,11 R3-A" sheetId="1450" r:id="rId9"/>
    <sheet name="04,11 R3-B" sheetId="1471" r:id="rId10"/>
    <sheet name="(5)" sheetId="1451" r:id="rId11"/>
    <sheet name="05,11 R1" sheetId="1452" r:id="rId12"/>
    <sheet name="05,11 R2" sheetId="1453" r:id="rId13"/>
    <sheet name="05,11 R3" sheetId="1454" r:id="rId14"/>
    <sheet name="(6)" sheetId="1455" r:id="rId15"/>
    <sheet name="06,11 R1" sheetId="1456" r:id="rId16"/>
    <sheet name="06,11 R2" sheetId="1457" r:id="rId17"/>
    <sheet name="06,11 R3" sheetId="1458" r:id="rId18"/>
    <sheet name="(7)" sheetId="1459" r:id="rId19"/>
    <sheet name="07,11 R1" sheetId="1460" r:id="rId20"/>
    <sheet name="07,11 R2 No Trip" sheetId="1461" r:id="rId21"/>
    <sheet name="07,11 R3" sheetId="1462" r:id="rId22"/>
    <sheet name="(8)" sheetId="1463" r:id="rId23"/>
    <sheet name="08,11 R1" sheetId="1464" r:id="rId24"/>
    <sheet name="08,11 R2" sheetId="1465" r:id="rId25"/>
    <sheet name="08,11 R3" sheetId="1466" r:id="rId26"/>
    <sheet name="(10)" sheetId="1467" r:id="rId27"/>
    <sheet name="10,11 R1" sheetId="1468" r:id="rId28"/>
    <sheet name="10,11 R2" sheetId="1469" r:id="rId29"/>
    <sheet name="10,11 R3" sheetId="1470" r:id="rId30"/>
    <sheet name="(11)" sheetId="1472" r:id="rId31"/>
    <sheet name="11,11 R1" sheetId="1473" r:id="rId32"/>
    <sheet name="11,11 R2" sheetId="1474" r:id="rId33"/>
    <sheet name="11,11 R3" sheetId="1475" r:id="rId34"/>
    <sheet name="(12)" sheetId="1476" r:id="rId35"/>
    <sheet name="12,11 R1" sheetId="1477" r:id="rId36"/>
    <sheet name="12,11 R2" sheetId="1478" r:id="rId37"/>
    <sheet name="12,11 R3" sheetId="1479" r:id="rId38"/>
    <sheet name="(13)" sheetId="1480" r:id="rId39"/>
    <sheet name="13,11 R1 No Trip" sheetId="1481" r:id="rId40"/>
    <sheet name="13,11 R2" sheetId="1482" r:id="rId41"/>
    <sheet name="13,11 R3" sheetId="1483" r:id="rId42"/>
    <sheet name="(14)" sheetId="1484" r:id="rId43"/>
    <sheet name="14,11 R1" sheetId="1485" r:id="rId44"/>
    <sheet name="14,11 R2" sheetId="1486" r:id="rId45"/>
    <sheet name="14,11 R3" sheetId="1487" r:id="rId46"/>
    <sheet name="(15)" sheetId="1488" r:id="rId47"/>
    <sheet name="15,11 R1" sheetId="1490" r:id="rId48"/>
    <sheet name="15,11 R2 No Trip" sheetId="1489" r:id="rId49"/>
    <sheet name="15,11 R3" sheetId="1491" r:id="rId50"/>
    <sheet name="(17)" sheetId="1492" r:id="rId51"/>
    <sheet name="17,11 R1" sheetId="1493" r:id="rId52"/>
    <sheet name="17,11 R2" sheetId="1494" r:id="rId53"/>
    <sheet name="17,11 R3" sheetId="1495" r:id="rId54"/>
    <sheet name="(18)" sheetId="1496" r:id="rId55"/>
    <sheet name="18,11 R1" sheetId="1497" r:id="rId56"/>
    <sheet name="18,11 R2" sheetId="1498" r:id="rId57"/>
    <sheet name="18,11 R3" sheetId="1499" r:id="rId58"/>
    <sheet name="(19)" sheetId="1500" r:id="rId59"/>
    <sheet name="19,11 R1" sheetId="1501" r:id="rId60"/>
    <sheet name="19,11 R2" sheetId="1502" r:id="rId61"/>
    <sheet name="19,11 R3" sheetId="1503" r:id="rId62"/>
    <sheet name="(20)" sheetId="1504" r:id="rId63"/>
    <sheet name="20,11 R1" sheetId="1505" r:id="rId64"/>
    <sheet name="20,11 R2" sheetId="1506" r:id="rId65"/>
    <sheet name="20,11 R3" sheetId="1507" r:id="rId66"/>
    <sheet name="(21)" sheetId="1508" r:id="rId67"/>
    <sheet name="21,11 R1" sheetId="1509" r:id="rId68"/>
    <sheet name="21,11 R2" sheetId="1510" r:id="rId69"/>
    <sheet name="21,11 R3" sheetId="1511" r:id="rId70"/>
    <sheet name="(22)" sheetId="1512" r:id="rId71"/>
    <sheet name="22,11 R1" sheetId="1513" r:id="rId72"/>
    <sheet name="22,11 R2" sheetId="1514" r:id="rId73"/>
    <sheet name="22,11 R3" sheetId="1515" r:id="rId74"/>
    <sheet name="(24)" sheetId="1516" r:id="rId75"/>
    <sheet name="24,11 R1" sheetId="1517" r:id="rId76"/>
    <sheet name="24,11 R2" sheetId="1518" r:id="rId77"/>
    <sheet name="24,11 R3" sheetId="1519" r:id="rId78"/>
  </sheets>
  <definedNames>
    <definedName name="_xlnm.Print_Area" localSheetId="1">'(03)'!$A$1:$J$60</definedName>
    <definedName name="_xlnm.Print_Area" localSheetId="26">'(10)'!$A$1:$J$60</definedName>
    <definedName name="_xlnm.Print_Area" localSheetId="30">'(11)'!$A$1:$J$60</definedName>
    <definedName name="_xlnm.Print_Area" localSheetId="34">'(12)'!$A$1:$J$60</definedName>
    <definedName name="_xlnm.Print_Area" localSheetId="38">'(13)'!$A$1:$J$60</definedName>
    <definedName name="_xlnm.Print_Area" localSheetId="42">'(14)'!$A$1:$J$60</definedName>
    <definedName name="_xlnm.Print_Area" localSheetId="46">'(15)'!$A$1:$J$60</definedName>
    <definedName name="_xlnm.Print_Area" localSheetId="50">'(17)'!$A$1:$J$60</definedName>
    <definedName name="_xlnm.Print_Area" localSheetId="54">'(18)'!$A$1:$J$60</definedName>
    <definedName name="_xlnm.Print_Area" localSheetId="58">'(19)'!$A$1:$J$60</definedName>
    <definedName name="_xlnm.Print_Area" localSheetId="62">'(20)'!$A$1:$J$60</definedName>
    <definedName name="_xlnm.Print_Area" localSheetId="66">'(21)'!$A$1:$J$60</definedName>
    <definedName name="_xlnm.Print_Area" localSheetId="70">'(22)'!$A$1:$J$60</definedName>
    <definedName name="_xlnm.Print_Area" localSheetId="74">'(24)'!$A$1:$J$60</definedName>
    <definedName name="_xlnm.Print_Area" localSheetId="5">'(4)'!$A$1:$J$60</definedName>
    <definedName name="_xlnm.Print_Area" localSheetId="10">'(5)'!$A$1:$J$60</definedName>
    <definedName name="_xlnm.Print_Area" localSheetId="14">'(6)'!$A$1:$J$60</definedName>
    <definedName name="_xlnm.Print_Area" localSheetId="18">'(7)'!$A$1:$J$60</definedName>
    <definedName name="_xlnm.Print_Area" localSheetId="22">'(8)'!$A$1:$J$60</definedName>
    <definedName name="_xlnm.Print_Area" localSheetId="2">'03,11 R1'!$A$1:$J$60</definedName>
    <definedName name="_xlnm.Print_Area" localSheetId="3">'03,11 R2'!$A$1:$J$60</definedName>
    <definedName name="_xlnm.Print_Area" localSheetId="4">'03,11 R3'!$A$1:$J$60</definedName>
    <definedName name="_xlnm.Print_Area" localSheetId="6">'04,11 R1 No Trip'!$A$1:$J$60</definedName>
    <definedName name="_xlnm.Print_Area" localSheetId="7">'04,11 R2'!$A$1:$J$60</definedName>
    <definedName name="_xlnm.Print_Area" localSheetId="8">'04,11 R3-A'!$A$1:$J$60</definedName>
    <definedName name="_xlnm.Print_Area" localSheetId="9">'04,11 R3-B'!$A$1:$J$60</definedName>
    <definedName name="_xlnm.Print_Area" localSheetId="11">'05,11 R1'!$A$1:$J$60</definedName>
    <definedName name="_xlnm.Print_Area" localSheetId="12">'05,11 R2'!$A$1:$J$60</definedName>
    <definedName name="_xlnm.Print_Area" localSheetId="13">'05,11 R3'!$A$1:$J$60</definedName>
    <definedName name="_xlnm.Print_Area" localSheetId="15">'06,11 R1'!$A$1:$J$60</definedName>
    <definedName name="_xlnm.Print_Area" localSheetId="16">'06,11 R2'!$A$1:$J$60</definedName>
    <definedName name="_xlnm.Print_Area" localSheetId="17">'06,11 R3'!$A$1:$J$60</definedName>
    <definedName name="_xlnm.Print_Area" localSheetId="19">'07,11 R1'!$A$1:$J$60</definedName>
    <definedName name="_xlnm.Print_Area" localSheetId="20">'07,11 R2 No Trip'!$A$1:$J$60</definedName>
    <definedName name="_xlnm.Print_Area" localSheetId="21">'07,11 R3'!$A$1:$J$60</definedName>
    <definedName name="_xlnm.Print_Area" localSheetId="23">'08,11 R1'!$A$1:$J$60</definedName>
    <definedName name="_xlnm.Print_Area" localSheetId="24">'08,11 R2'!$A$1:$J$60</definedName>
    <definedName name="_xlnm.Print_Area" localSheetId="25">'08,11 R3'!$A$1:$J$60</definedName>
    <definedName name="_xlnm.Print_Area" localSheetId="27">'10,11 R1'!$A$1:$J$60</definedName>
    <definedName name="_xlnm.Print_Area" localSheetId="28">'10,11 R2'!$A$1:$J$60</definedName>
    <definedName name="_xlnm.Print_Area" localSheetId="29">'10,11 R3'!$A$1:$J$60</definedName>
    <definedName name="_xlnm.Print_Area" localSheetId="31">'11,11 R1'!$A$1:$J$60</definedName>
    <definedName name="_xlnm.Print_Area" localSheetId="32">'11,11 R2'!$A$1:$J$60</definedName>
    <definedName name="_xlnm.Print_Area" localSheetId="33">'11,11 R3'!$A$1:$J$60</definedName>
    <definedName name="_xlnm.Print_Area" localSheetId="35">'12,11 R1'!$A$1:$J$60</definedName>
    <definedName name="_xlnm.Print_Area" localSheetId="36">'12,11 R2'!$A$1:$J$60</definedName>
    <definedName name="_xlnm.Print_Area" localSheetId="37">'12,11 R3'!$A$1:$J$60</definedName>
    <definedName name="_xlnm.Print_Area" localSheetId="39">'13,11 R1 No Trip'!$A$1:$J$60</definedName>
    <definedName name="_xlnm.Print_Area" localSheetId="40">'13,11 R2'!$A$1:$J$60</definedName>
    <definedName name="_xlnm.Print_Area" localSheetId="41">'13,11 R3'!$A$1:$J$60</definedName>
    <definedName name="_xlnm.Print_Area" localSheetId="43">'14,11 R1'!$A$1:$J$60</definedName>
    <definedName name="_xlnm.Print_Area" localSheetId="44">'14,11 R2'!$A$1:$J$60</definedName>
    <definedName name="_xlnm.Print_Area" localSheetId="45">'14,11 R3'!$A$1:$J$60</definedName>
    <definedName name="_xlnm.Print_Area" localSheetId="47">'15,11 R1'!$A$1:$J$60</definedName>
    <definedName name="_xlnm.Print_Area" localSheetId="48">'15,11 R2 No Trip'!$A$1:$J$60</definedName>
    <definedName name="_xlnm.Print_Area" localSheetId="49">'15,11 R3'!$A$1:$J$60</definedName>
    <definedName name="_xlnm.Print_Area" localSheetId="51">'17,11 R1'!$A$1:$J$60</definedName>
    <definedName name="_xlnm.Print_Area" localSheetId="52">'17,11 R2'!$A$1:$J$60</definedName>
    <definedName name="_xlnm.Print_Area" localSheetId="53">'17,11 R3'!$A$1:$J$60</definedName>
    <definedName name="_xlnm.Print_Area" localSheetId="55">'18,11 R1'!$A$1:$J$60</definedName>
    <definedName name="_xlnm.Print_Area" localSheetId="56">'18,11 R2'!$A$1:$J$60</definedName>
    <definedName name="_xlnm.Print_Area" localSheetId="57">'18,11 R3'!$A$1:$J$60</definedName>
    <definedName name="_xlnm.Print_Area" localSheetId="59">'19,11 R1'!$A$1:$J$60</definedName>
    <definedName name="_xlnm.Print_Area" localSheetId="60">'19,11 R2'!$A$1:$J$60</definedName>
    <definedName name="_xlnm.Print_Area" localSheetId="61">'19,11 R3'!$A$1:$J$60</definedName>
    <definedName name="_xlnm.Print_Area" localSheetId="63">'20,11 R1'!$A$1:$J$60</definedName>
    <definedName name="_xlnm.Print_Area" localSheetId="64">'20,11 R2'!$A$1:$J$60</definedName>
    <definedName name="_xlnm.Print_Area" localSheetId="65">'20,11 R3'!$A$1:$J$60</definedName>
    <definedName name="_xlnm.Print_Area" localSheetId="67">'21,11 R1'!$A$1:$J$60</definedName>
    <definedName name="_xlnm.Print_Area" localSheetId="68">'21,11 R2'!$A$1:$J$60</definedName>
    <definedName name="_xlnm.Print_Area" localSheetId="69">'21,11 R3'!$A$1:$J$60</definedName>
    <definedName name="_xlnm.Print_Area" localSheetId="71">'22,11 R1'!$A$1:$J$60</definedName>
    <definedName name="_xlnm.Print_Area" localSheetId="72">'22,11 R2'!$A$1:$J$60</definedName>
    <definedName name="_xlnm.Print_Area" localSheetId="73">'22,11 R3'!$A$1:$J$60</definedName>
    <definedName name="_xlnm.Print_Area" localSheetId="75">'24,11 R1'!$A$1:$J$60</definedName>
    <definedName name="_xlnm.Print_Area" localSheetId="76">'24,11 R2'!$A$1:$J$60</definedName>
    <definedName name="_xlnm.Print_Area" localSheetId="77">'24,11 R3'!$A$1:$J$60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FV"/>
      </xcalcf:calcFeatures>
    </ext>
  </extLst>
</workbook>
</file>

<file path=xl/calcChain.xml><?xml version="1.0" encoding="utf-8"?>
<calcChain xmlns="http://schemas.openxmlformats.org/spreadsheetml/2006/main">
  <c r="H16" i="1491" l="1"/>
  <c r="H16" i="1487" l="1"/>
  <c r="H16" i="1486"/>
  <c r="L26" i="1485" l="1"/>
  <c r="L25" i="1485"/>
  <c r="L25" i="1482" l="1"/>
  <c r="H16" i="1482" l="1"/>
  <c r="H16" i="1483"/>
  <c r="H16" i="1479" l="1"/>
  <c r="H16" i="1478"/>
  <c r="L25" i="1479"/>
  <c r="H19" i="1475" l="1"/>
  <c r="H16" i="1475"/>
  <c r="L26" i="1473"/>
  <c r="C12" i="1473"/>
  <c r="R52" i="1519" l="1"/>
  <c r="R51" i="1519"/>
  <c r="D50" i="1519"/>
  <c r="R49" i="1519"/>
  <c r="D49" i="1519"/>
  <c r="R48" i="1519"/>
  <c r="D48" i="1519"/>
  <c r="D46" i="1519"/>
  <c r="D45" i="1519"/>
  <c r="D44" i="1519"/>
  <c r="R42" i="1519"/>
  <c r="D42" i="1519"/>
  <c r="R41" i="1519"/>
  <c r="L7" i="1519" s="1"/>
  <c r="D7" i="1519" s="1"/>
  <c r="D41" i="1519"/>
  <c r="R40" i="1519"/>
  <c r="L8" i="1519" s="1"/>
  <c r="D8" i="1519" s="1"/>
  <c r="D40" i="1519"/>
  <c r="R39" i="1519"/>
  <c r="H39" i="1519"/>
  <c r="D39" i="1519"/>
  <c r="R38" i="1519"/>
  <c r="L9" i="1519" s="1"/>
  <c r="D9" i="1519" s="1"/>
  <c r="H38" i="1519"/>
  <c r="D38" i="1519"/>
  <c r="R37" i="1519"/>
  <c r="H37" i="1519"/>
  <c r="D37" i="1519"/>
  <c r="R36" i="1519"/>
  <c r="H36" i="1519"/>
  <c r="D36" i="1519"/>
  <c r="R35" i="1519"/>
  <c r="L19" i="1519" s="1"/>
  <c r="D19" i="1519" s="1"/>
  <c r="H35" i="1519"/>
  <c r="D35" i="1519"/>
  <c r="R34" i="1519"/>
  <c r="L12" i="1519" s="1"/>
  <c r="D12" i="1519" s="1"/>
  <c r="H34" i="1519"/>
  <c r="G49" i="1519" s="1"/>
  <c r="D34" i="1519"/>
  <c r="D54" i="1519" s="1"/>
  <c r="H14" i="1519" s="1"/>
  <c r="R33" i="1519"/>
  <c r="R32" i="1519"/>
  <c r="R31" i="1519"/>
  <c r="R30" i="1519"/>
  <c r="R29" i="1519"/>
  <c r="R28" i="1519"/>
  <c r="D28" i="1519"/>
  <c r="R27" i="1519"/>
  <c r="D27" i="1519"/>
  <c r="R26" i="1519"/>
  <c r="L26" i="1519"/>
  <c r="D26" i="1519" s="1"/>
  <c r="R25" i="1519"/>
  <c r="L25" i="1519"/>
  <c r="D25" i="1519"/>
  <c r="R24" i="1519"/>
  <c r="D24" i="1519"/>
  <c r="R23" i="1519"/>
  <c r="L23" i="1519"/>
  <c r="D23" i="1519" s="1"/>
  <c r="R22" i="1519"/>
  <c r="L22" i="1519"/>
  <c r="D22" i="1519"/>
  <c r="R21" i="1519"/>
  <c r="D21" i="1519"/>
  <c r="R20" i="1519"/>
  <c r="L20" i="1519"/>
  <c r="D20" i="1519" s="1"/>
  <c r="R19" i="1519"/>
  <c r="R18" i="1519"/>
  <c r="D18" i="1519"/>
  <c r="R17" i="1519"/>
  <c r="D17" i="1519"/>
  <c r="R16" i="1519"/>
  <c r="L16" i="1519"/>
  <c r="D16" i="1519" s="1"/>
  <c r="R15" i="1519"/>
  <c r="D15" i="1519"/>
  <c r="R14" i="1519"/>
  <c r="D14" i="1519"/>
  <c r="R13" i="1519"/>
  <c r="D13" i="1519"/>
  <c r="R12" i="1519"/>
  <c r="R11" i="1519"/>
  <c r="L11" i="1519"/>
  <c r="D11" i="1519" s="1"/>
  <c r="L10" i="1519"/>
  <c r="D10" i="1519"/>
  <c r="R6" i="1519"/>
  <c r="L6" i="1519"/>
  <c r="D6" i="1519" s="1"/>
  <c r="R5" i="1519"/>
  <c r="R4" i="1519"/>
  <c r="R52" i="1518"/>
  <c r="R51" i="1518"/>
  <c r="D50" i="1518"/>
  <c r="R49" i="1518"/>
  <c r="D49" i="1518"/>
  <c r="R48" i="1518"/>
  <c r="D48" i="1518"/>
  <c r="D46" i="1518"/>
  <c r="D45" i="1518"/>
  <c r="D44" i="1518"/>
  <c r="R42" i="1518"/>
  <c r="D42" i="1518"/>
  <c r="R41" i="1518"/>
  <c r="L7" i="1518" s="1"/>
  <c r="D7" i="1518" s="1"/>
  <c r="D41" i="1518"/>
  <c r="R40" i="1518"/>
  <c r="D40" i="1518"/>
  <c r="R39" i="1518"/>
  <c r="H39" i="1518"/>
  <c r="D39" i="1518"/>
  <c r="R38" i="1518"/>
  <c r="H38" i="1518"/>
  <c r="D38" i="1518"/>
  <c r="R37" i="1518"/>
  <c r="H37" i="1518"/>
  <c r="D37" i="1518"/>
  <c r="R36" i="1518"/>
  <c r="H36" i="1518"/>
  <c r="D36" i="1518"/>
  <c r="R35" i="1518"/>
  <c r="L19" i="1518" s="1"/>
  <c r="D19" i="1518" s="1"/>
  <c r="H35" i="1518"/>
  <c r="D35" i="1518"/>
  <c r="R34" i="1518"/>
  <c r="L12" i="1518" s="1"/>
  <c r="D12" i="1518" s="1"/>
  <c r="H34" i="1518"/>
  <c r="G49" i="1518" s="1"/>
  <c r="D34" i="1518"/>
  <c r="D54" i="1518" s="1"/>
  <c r="H14" i="1518" s="1"/>
  <c r="R33" i="1518"/>
  <c r="L23" i="1518" s="1"/>
  <c r="D23" i="1518" s="1"/>
  <c r="R32" i="1518"/>
  <c r="R31" i="1518"/>
  <c r="R30" i="1518"/>
  <c r="R29" i="1518"/>
  <c r="R28" i="1518"/>
  <c r="D28" i="1518"/>
  <c r="R27" i="1518"/>
  <c r="D27" i="1518"/>
  <c r="R26" i="1518"/>
  <c r="L26" i="1518"/>
  <c r="D26" i="1518"/>
  <c r="R25" i="1518"/>
  <c r="L25" i="1518"/>
  <c r="D25" i="1518"/>
  <c r="R24" i="1518"/>
  <c r="L24" i="1518"/>
  <c r="D24" i="1518" s="1"/>
  <c r="R23" i="1518"/>
  <c r="R22" i="1518"/>
  <c r="L22" i="1518"/>
  <c r="D22" i="1518"/>
  <c r="R21" i="1518"/>
  <c r="L17" i="1518" s="1"/>
  <c r="D17" i="1518" s="1"/>
  <c r="D21" i="1518"/>
  <c r="R20" i="1518"/>
  <c r="L20" i="1518"/>
  <c r="D20" i="1518"/>
  <c r="R19" i="1518"/>
  <c r="R18" i="1518"/>
  <c r="D18" i="1518"/>
  <c r="R17" i="1518"/>
  <c r="R16" i="1518"/>
  <c r="L16" i="1518"/>
  <c r="D16" i="1518"/>
  <c r="R15" i="1518"/>
  <c r="D15" i="1518"/>
  <c r="R14" i="1518"/>
  <c r="D14" i="1518"/>
  <c r="R13" i="1518"/>
  <c r="D13" i="1518"/>
  <c r="R12" i="1518"/>
  <c r="R11" i="1518"/>
  <c r="L11" i="1518"/>
  <c r="D11" i="1518"/>
  <c r="L10" i="1518"/>
  <c r="D10" i="1518"/>
  <c r="L9" i="1518"/>
  <c r="D9" i="1518"/>
  <c r="L8" i="1518"/>
  <c r="D8" i="1518" s="1"/>
  <c r="R6" i="1518"/>
  <c r="L6" i="1518"/>
  <c r="D6" i="1518" s="1"/>
  <c r="R5" i="1518"/>
  <c r="R4" i="1518"/>
  <c r="R52" i="1517"/>
  <c r="R51" i="1517"/>
  <c r="D50" i="1517"/>
  <c r="R49" i="1517"/>
  <c r="D49" i="1517"/>
  <c r="R48" i="1517"/>
  <c r="D48" i="1517"/>
  <c r="D46" i="1517"/>
  <c r="D45" i="1517"/>
  <c r="P44" i="1517"/>
  <c r="R44" i="1517" s="1"/>
  <c r="D44" i="1517"/>
  <c r="R42" i="1517"/>
  <c r="L6" i="1517" s="1"/>
  <c r="D6" i="1517" s="1"/>
  <c r="D42" i="1517"/>
  <c r="R41" i="1517"/>
  <c r="D41" i="1517"/>
  <c r="R40" i="1517"/>
  <c r="L8" i="1517" s="1"/>
  <c r="D8" i="1517" s="1"/>
  <c r="D40" i="1517"/>
  <c r="R39" i="1517"/>
  <c r="L20" i="1517" s="1"/>
  <c r="D20" i="1517" s="1"/>
  <c r="H39" i="1517"/>
  <c r="D39" i="1517"/>
  <c r="R38" i="1517"/>
  <c r="L9" i="1517" s="1"/>
  <c r="D9" i="1517" s="1"/>
  <c r="H38" i="1517"/>
  <c r="D38" i="1517"/>
  <c r="R37" i="1517"/>
  <c r="H37" i="1517"/>
  <c r="D37" i="1517"/>
  <c r="R36" i="1517"/>
  <c r="H36" i="1517"/>
  <c r="G49" i="1517" s="1"/>
  <c r="D36" i="1517"/>
  <c r="D54" i="1517" s="1"/>
  <c r="H14" i="1517" s="1"/>
  <c r="R35" i="1517"/>
  <c r="H35" i="1517"/>
  <c r="D35" i="1517"/>
  <c r="R34" i="1517"/>
  <c r="L12" i="1517" s="1"/>
  <c r="D12" i="1517" s="1"/>
  <c r="H34" i="1517"/>
  <c r="D34" i="1517"/>
  <c r="R33" i="1517"/>
  <c r="R32" i="1517"/>
  <c r="L11" i="1517" s="1"/>
  <c r="D11" i="1517" s="1"/>
  <c r="R31" i="1517"/>
  <c r="R30" i="1517"/>
  <c r="R29" i="1517"/>
  <c r="R28" i="1517"/>
  <c r="D28" i="1517"/>
  <c r="R27" i="1517"/>
  <c r="D27" i="1517"/>
  <c r="R26" i="1517"/>
  <c r="L26" i="1517"/>
  <c r="D26" i="1517"/>
  <c r="R25" i="1517"/>
  <c r="L25" i="1517"/>
  <c r="D25" i="1517" s="1"/>
  <c r="R24" i="1517"/>
  <c r="L24" i="1517"/>
  <c r="D24" i="1517" s="1"/>
  <c r="R23" i="1517"/>
  <c r="D23" i="1517"/>
  <c r="R22" i="1517"/>
  <c r="D22" i="1517"/>
  <c r="R21" i="1517"/>
  <c r="D21" i="1517"/>
  <c r="R20" i="1517"/>
  <c r="R19" i="1517"/>
  <c r="D19" i="1517"/>
  <c r="R18" i="1517"/>
  <c r="D18" i="1517"/>
  <c r="R17" i="1517"/>
  <c r="L17" i="1517"/>
  <c r="D17" i="1517" s="1"/>
  <c r="R16" i="1517"/>
  <c r="L16" i="1517"/>
  <c r="D16" i="1517"/>
  <c r="R15" i="1517"/>
  <c r="D15" i="1517"/>
  <c r="R14" i="1517"/>
  <c r="D14" i="1517"/>
  <c r="R13" i="1517"/>
  <c r="D13" i="1517"/>
  <c r="R12" i="1517"/>
  <c r="R11" i="1517"/>
  <c r="L10" i="1517"/>
  <c r="D10" i="1517" s="1"/>
  <c r="L7" i="1517"/>
  <c r="D7" i="1517"/>
  <c r="R6" i="1517"/>
  <c r="R5" i="1517"/>
  <c r="R4" i="1517"/>
  <c r="R52" i="1516"/>
  <c r="R51" i="1516"/>
  <c r="D50" i="1516"/>
  <c r="R49" i="1516"/>
  <c r="G49" i="1516"/>
  <c r="D49" i="1516"/>
  <c r="R48" i="1516"/>
  <c r="D48" i="1516"/>
  <c r="D46" i="1516"/>
  <c r="D45" i="1516"/>
  <c r="D44" i="1516"/>
  <c r="R42" i="1516"/>
  <c r="L6" i="1516" s="1"/>
  <c r="D6" i="1516" s="1"/>
  <c r="D42" i="1516"/>
  <c r="R41" i="1516"/>
  <c r="L7" i="1516" s="1"/>
  <c r="D7" i="1516" s="1"/>
  <c r="D41" i="1516"/>
  <c r="R40" i="1516"/>
  <c r="L8" i="1516" s="1"/>
  <c r="D8" i="1516" s="1"/>
  <c r="D40" i="1516"/>
  <c r="R39" i="1516"/>
  <c r="D39" i="1516"/>
  <c r="R38" i="1516"/>
  <c r="L9" i="1516" s="1"/>
  <c r="D9" i="1516" s="1"/>
  <c r="D38" i="1516"/>
  <c r="R37" i="1516"/>
  <c r="D37" i="1516"/>
  <c r="R36" i="1516"/>
  <c r="D36" i="1516"/>
  <c r="R35" i="1516"/>
  <c r="D35" i="1516"/>
  <c r="R34" i="1516"/>
  <c r="L12" i="1516" s="1"/>
  <c r="D12" i="1516" s="1"/>
  <c r="D34" i="1516"/>
  <c r="D54" i="1516" s="1"/>
  <c r="H14" i="1516" s="1"/>
  <c r="R33" i="1516"/>
  <c r="L23" i="1516" s="1"/>
  <c r="D23" i="1516" s="1"/>
  <c r="R32" i="1516"/>
  <c r="R31" i="1516"/>
  <c r="R30" i="1516"/>
  <c r="R29" i="1516"/>
  <c r="R28" i="1516"/>
  <c r="D28" i="1516"/>
  <c r="R27" i="1516"/>
  <c r="D27" i="1516"/>
  <c r="R26" i="1516"/>
  <c r="L26" i="1516"/>
  <c r="D26" i="1516"/>
  <c r="R25" i="1516"/>
  <c r="L25" i="1516"/>
  <c r="D25" i="1516"/>
  <c r="R24" i="1516"/>
  <c r="D24" i="1516"/>
  <c r="R23" i="1516"/>
  <c r="R22" i="1516"/>
  <c r="L22" i="1516"/>
  <c r="D22" i="1516" s="1"/>
  <c r="R21" i="1516"/>
  <c r="D21" i="1516"/>
  <c r="R20" i="1516"/>
  <c r="L20" i="1516"/>
  <c r="D20" i="1516"/>
  <c r="R19" i="1516"/>
  <c r="L19" i="1516"/>
  <c r="D19" i="1516"/>
  <c r="R18" i="1516"/>
  <c r="D18" i="1516"/>
  <c r="R17" i="1516"/>
  <c r="D17" i="1516"/>
  <c r="R16" i="1516"/>
  <c r="L16" i="1516"/>
  <c r="D16" i="1516" s="1"/>
  <c r="S15" i="1516"/>
  <c r="R15" i="1516"/>
  <c r="D15" i="1516"/>
  <c r="S14" i="1516"/>
  <c r="R14" i="1516"/>
  <c r="D14" i="1516"/>
  <c r="R13" i="1516"/>
  <c r="D13" i="1516"/>
  <c r="R12" i="1516"/>
  <c r="R11" i="1516"/>
  <c r="L11" i="1516"/>
  <c r="D11" i="1516" s="1"/>
  <c r="L10" i="1516"/>
  <c r="D10" i="1516" s="1"/>
  <c r="R6" i="1516"/>
  <c r="R5" i="1516"/>
  <c r="R4" i="1516"/>
  <c r="R52" i="1515"/>
  <c r="R51" i="1515"/>
  <c r="D50" i="1515"/>
  <c r="R49" i="1515"/>
  <c r="D49" i="1515"/>
  <c r="R48" i="1515"/>
  <c r="D48" i="1515"/>
  <c r="D46" i="1515"/>
  <c r="D45" i="1515"/>
  <c r="D44" i="1515"/>
  <c r="R42" i="1515"/>
  <c r="D42" i="1515"/>
  <c r="R41" i="1515"/>
  <c r="L7" i="1515" s="1"/>
  <c r="D7" i="1515" s="1"/>
  <c r="D41" i="1515"/>
  <c r="R40" i="1515"/>
  <c r="D40" i="1515"/>
  <c r="R39" i="1515"/>
  <c r="H39" i="1515"/>
  <c r="D39" i="1515"/>
  <c r="R38" i="1515"/>
  <c r="L9" i="1515" s="1"/>
  <c r="D9" i="1515" s="1"/>
  <c r="H38" i="1515"/>
  <c r="D38" i="1515"/>
  <c r="R37" i="1515"/>
  <c r="H37" i="1515"/>
  <c r="D37" i="1515"/>
  <c r="R36" i="1515"/>
  <c r="H36" i="1515"/>
  <c r="D36" i="1515"/>
  <c r="R35" i="1515"/>
  <c r="L19" i="1515" s="1"/>
  <c r="D19" i="1515" s="1"/>
  <c r="H35" i="1515"/>
  <c r="D35" i="1515"/>
  <c r="R34" i="1515"/>
  <c r="H34" i="1515"/>
  <c r="G49" i="1515" s="1"/>
  <c r="D34" i="1515"/>
  <c r="D54" i="1515" s="1"/>
  <c r="H14" i="1515" s="1"/>
  <c r="R33" i="1515"/>
  <c r="R32" i="1515"/>
  <c r="L11" i="1515" s="1"/>
  <c r="D11" i="1515" s="1"/>
  <c r="R31" i="1515"/>
  <c r="R30" i="1515"/>
  <c r="R29" i="1515"/>
  <c r="R28" i="1515"/>
  <c r="D28" i="1515"/>
  <c r="R27" i="1515"/>
  <c r="D27" i="1515"/>
  <c r="R26" i="1515"/>
  <c r="L26" i="1515"/>
  <c r="D26" i="1515" s="1"/>
  <c r="R25" i="1515"/>
  <c r="L25" i="1515"/>
  <c r="D25" i="1515"/>
  <c r="R24" i="1515"/>
  <c r="D24" i="1515"/>
  <c r="R23" i="1515"/>
  <c r="L23" i="1515"/>
  <c r="D23" i="1515" s="1"/>
  <c r="R22" i="1515"/>
  <c r="L22" i="1515"/>
  <c r="D22" i="1515"/>
  <c r="R21" i="1515"/>
  <c r="D21" i="1515"/>
  <c r="R20" i="1515"/>
  <c r="L20" i="1515"/>
  <c r="D20" i="1515" s="1"/>
  <c r="R19" i="1515"/>
  <c r="R18" i="1515"/>
  <c r="D18" i="1515"/>
  <c r="R17" i="1515"/>
  <c r="D17" i="1515"/>
  <c r="R16" i="1515"/>
  <c r="L16" i="1515"/>
  <c r="D16" i="1515" s="1"/>
  <c r="R15" i="1515"/>
  <c r="D15" i="1515"/>
  <c r="R14" i="1515"/>
  <c r="D14" i="1515"/>
  <c r="R13" i="1515"/>
  <c r="D13" i="1515"/>
  <c r="R12" i="1515"/>
  <c r="L12" i="1515"/>
  <c r="D12" i="1515" s="1"/>
  <c r="R11" i="1515"/>
  <c r="L10" i="1515"/>
  <c r="D10" i="1515"/>
  <c r="L8" i="1515"/>
  <c r="D8" i="1515" s="1"/>
  <c r="R6" i="1515"/>
  <c r="L6" i="1515"/>
  <c r="D6" i="1515" s="1"/>
  <c r="R5" i="1515"/>
  <c r="R4" i="1515"/>
  <c r="R52" i="1514"/>
  <c r="R51" i="1514"/>
  <c r="D50" i="1514"/>
  <c r="R49" i="1514"/>
  <c r="D49" i="1514"/>
  <c r="R48" i="1514"/>
  <c r="D48" i="1514"/>
  <c r="D46" i="1514"/>
  <c r="D45" i="1514"/>
  <c r="D44" i="1514"/>
  <c r="R42" i="1514"/>
  <c r="L6" i="1514" s="1"/>
  <c r="D6" i="1514" s="1"/>
  <c r="D29" i="1514" s="1"/>
  <c r="H13" i="1514" s="1"/>
  <c r="H15" i="1514" s="1"/>
  <c r="H29" i="1514" s="1"/>
  <c r="D42" i="1514"/>
  <c r="R41" i="1514"/>
  <c r="D41" i="1514"/>
  <c r="D54" i="1514" s="1"/>
  <c r="H14" i="1514" s="1"/>
  <c r="R40" i="1514"/>
  <c r="D40" i="1514"/>
  <c r="R39" i="1514"/>
  <c r="H39" i="1514"/>
  <c r="D39" i="1514"/>
  <c r="R38" i="1514"/>
  <c r="H38" i="1514"/>
  <c r="D38" i="1514"/>
  <c r="R37" i="1514"/>
  <c r="H37" i="1514"/>
  <c r="D37" i="1514"/>
  <c r="R36" i="1514"/>
  <c r="H36" i="1514"/>
  <c r="D36" i="1514"/>
  <c r="R35" i="1514"/>
  <c r="H35" i="1514"/>
  <c r="G49" i="1514" s="1"/>
  <c r="D35" i="1514"/>
  <c r="R34" i="1514"/>
  <c r="H34" i="1514"/>
  <c r="D34" i="1514"/>
  <c r="R33" i="1514"/>
  <c r="L23" i="1514" s="1"/>
  <c r="D23" i="1514" s="1"/>
  <c r="R32" i="1514"/>
  <c r="L11" i="1514" s="1"/>
  <c r="D11" i="1514" s="1"/>
  <c r="R31" i="1514"/>
  <c r="R30" i="1514"/>
  <c r="R29" i="1514"/>
  <c r="R28" i="1514"/>
  <c r="D28" i="1514"/>
  <c r="R27" i="1514"/>
  <c r="D27" i="1514"/>
  <c r="R26" i="1514"/>
  <c r="L26" i="1514"/>
  <c r="D26" i="1514" s="1"/>
  <c r="R25" i="1514"/>
  <c r="L25" i="1514"/>
  <c r="D25" i="1514"/>
  <c r="R24" i="1514"/>
  <c r="L24" i="1514"/>
  <c r="D24" i="1514"/>
  <c r="R23" i="1514"/>
  <c r="R22" i="1514"/>
  <c r="L22" i="1514"/>
  <c r="D22" i="1514" s="1"/>
  <c r="R21" i="1514"/>
  <c r="D21" i="1514"/>
  <c r="R20" i="1514"/>
  <c r="L20" i="1514"/>
  <c r="D20" i="1514" s="1"/>
  <c r="R19" i="1514"/>
  <c r="L19" i="1514"/>
  <c r="D19" i="1514" s="1"/>
  <c r="R18" i="1514"/>
  <c r="D18" i="1514"/>
  <c r="R17" i="1514"/>
  <c r="L17" i="1514"/>
  <c r="D17" i="1514" s="1"/>
  <c r="R16" i="1514"/>
  <c r="L16" i="1514"/>
  <c r="D16" i="1514" s="1"/>
  <c r="R15" i="1514"/>
  <c r="D15" i="1514"/>
  <c r="R14" i="1514"/>
  <c r="D14" i="1514"/>
  <c r="R13" i="1514"/>
  <c r="D13" i="1514"/>
  <c r="R12" i="1514"/>
  <c r="L12" i="1514"/>
  <c r="D12" i="1514"/>
  <c r="R11" i="1514"/>
  <c r="L10" i="1514"/>
  <c r="D10" i="1514"/>
  <c r="L9" i="1514"/>
  <c r="D9" i="1514" s="1"/>
  <c r="L8" i="1514"/>
  <c r="D8" i="1514" s="1"/>
  <c r="L7" i="1514"/>
  <c r="D7" i="1514"/>
  <c r="R6" i="1514"/>
  <c r="R5" i="1514"/>
  <c r="R4" i="1514"/>
  <c r="R52" i="1513"/>
  <c r="R51" i="1513"/>
  <c r="D50" i="1513"/>
  <c r="R49" i="1513"/>
  <c r="D49" i="1513"/>
  <c r="R48" i="1513"/>
  <c r="D48" i="1513"/>
  <c r="D46" i="1513"/>
  <c r="D45" i="1513"/>
  <c r="P44" i="1513"/>
  <c r="R44" i="1513" s="1"/>
  <c r="D44" i="1513"/>
  <c r="R42" i="1513"/>
  <c r="L6" i="1513" s="1"/>
  <c r="D6" i="1513" s="1"/>
  <c r="D42" i="1513"/>
  <c r="R41" i="1513"/>
  <c r="D41" i="1513"/>
  <c r="R40" i="1513"/>
  <c r="L8" i="1513" s="1"/>
  <c r="D8" i="1513" s="1"/>
  <c r="D40" i="1513"/>
  <c r="R39" i="1513"/>
  <c r="L20" i="1513" s="1"/>
  <c r="D20" i="1513" s="1"/>
  <c r="H39" i="1513"/>
  <c r="D39" i="1513"/>
  <c r="R38" i="1513"/>
  <c r="H38" i="1513"/>
  <c r="D38" i="1513"/>
  <c r="R37" i="1513"/>
  <c r="H37" i="1513"/>
  <c r="D37" i="1513"/>
  <c r="R36" i="1513"/>
  <c r="H36" i="1513"/>
  <c r="D36" i="1513"/>
  <c r="R35" i="1513"/>
  <c r="H35" i="1513"/>
  <c r="D35" i="1513"/>
  <c r="R34" i="1513"/>
  <c r="H34" i="1513"/>
  <c r="G49" i="1513" s="1"/>
  <c r="D34" i="1513"/>
  <c r="D54" i="1513" s="1"/>
  <c r="H14" i="1513" s="1"/>
  <c r="R33" i="1513"/>
  <c r="R32" i="1513"/>
  <c r="R31" i="1513"/>
  <c r="R30" i="1513"/>
  <c r="R29" i="1513"/>
  <c r="R28" i="1513"/>
  <c r="D28" i="1513"/>
  <c r="R27" i="1513"/>
  <c r="D27" i="1513"/>
  <c r="R26" i="1513"/>
  <c r="L26" i="1513"/>
  <c r="D26" i="1513" s="1"/>
  <c r="R25" i="1513"/>
  <c r="L25" i="1513"/>
  <c r="D25" i="1513"/>
  <c r="R24" i="1513"/>
  <c r="L24" i="1513"/>
  <c r="D24" i="1513" s="1"/>
  <c r="R23" i="1513"/>
  <c r="D23" i="1513"/>
  <c r="R22" i="1513"/>
  <c r="D22" i="1513"/>
  <c r="R21" i="1513"/>
  <c r="D21" i="1513"/>
  <c r="R20" i="1513"/>
  <c r="R19" i="1513"/>
  <c r="D19" i="1513"/>
  <c r="R18" i="1513"/>
  <c r="D18" i="1513"/>
  <c r="R17" i="1513"/>
  <c r="L17" i="1513"/>
  <c r="D17" i="1513"/>
  <c r="R16" i="1513"/>
  <c r="L16" i="1513"/>
  <c r="D16" i="1513"/>
  <c r="R15" i="1513"/>
  <c r="D15" i="1513"/>
  <c r="R14" i="1513"/>
  <c r="D14" i="1513"/>
  <c r="R13" i="1513"/>
  <c r="D13" i="1513"/>
  <c r="R12" i="1513"/>
  <c r="L12" i="1513"/>
  <c r="D12" i="1513"/>
  <c r="R11" i="1513"/>
  <c r="L11" i="1513"/>
  <c r="D11" i="1513" s="1"/>
  <c r="L10" i="1513"/>
  <c r="D10" i="1513" s="1"/>
  <c r="L9" i="1513"/>
  <c r="D9" i="1513" s="1"/>
  <c r="L7" i="1513"/>
  <c r="D7" i="1513" s="1"/>
  <c r="R6" i="1513"/>
  <c r="R5" i="1513"/>
  <c r="R4" i="1513"/>
  <c r="R52" i="1512"/>
  <c r="R51" i="1512"/>
  <c r="D50" i="1512"/>
  <c r="R49" i="1512"/>
  <c r="G49" i="1512"/>
  <c r="D49" i="1512"/>
  <c r="R48" i="1512"/>
  <c r="D48" i="1512"/>
  <c r="D46" i="1512"/>
  <c r="D45" i="1512"/>
  <c r="D44" i="1512"/>
  <c r="R42" i="1512"/>
  <c r="D42" i="1512"/>
  <c r="R41" i="1512"/>
  <c r="L7" i="1512" s="1"/>
  <c r="D7" i="1512" s="1"/>
  <c r="D41" i="1512"/>
  <c r="R40" i="1512"/>
  <c r="L8" i="1512" s="1"/>
  <c r="D8" i="1512" s="1"/>
  <c r="D40" i="1512"/>
  <c r="D54" i="1512" s="1"/>
  <c r="H14" i="1512" s="1"/>
  <c r="R39" i="1512"/>
  <c r="D39" i="1512"/>
  <c r="R38" i="1512"/>
  <c r="D38" i="1512"/>
  <c r="R37" i="1512"/>
  <c r="D37" i="1512"/>
  <c r="R36" i="1512"/>
  <c r="D36" i="1512"/>
  <c r="R35" i="1512"/>
  <c r="L19" i="1512" s="1"/>
  <c r="D19" i="1512" s="1"/>
  <c r="D35" i="1512"/>
  <c r="R34" i="1512"/>
  <c r="L12" i="1512" s="1"/>
  <c r="D12" i="1512" s="1"/>
  <c r="D34" i="1512"/>
  <c r="R33" i="1512"/>
  <c r="L23" i="1512" s="1"/>
  <c r="D23" i="1512" s="1"/>
  <c r="R32" i="1512"/>
  <c r="L11" i="1512" s="1"/>
  <c r="D11" i="1512" s="1"/>
  <c r="R31" i="1512"/>
  <c r="R30" i="1512"/>
  <c r="R29" i="1512"/>
  <c r="R28" i="1512"/>
  <c r="L16" i="1512" s="1"/>
  <c r="D16" i="1512" s="1"/>
  <c r="D28" i="1512"/>
  <c r="R27" i="1512"/>
  <c r="D27" i="1512"/>
  <c r="R26" i="1512"/>
  <c r="L26" i="1512"/>
  <c r="D26" i="1512" s="1"/>
  <c r="R25" i="1512"/>
  <c r="L25" i="1512"/>
  <c r="D25" i="1512"/>
  <c r="R24" i="1512"/>
  <c r="D24" i="1512"/>
  <c r="R23" i="1512"/>
  <c r="R22" i="1512"/>
  <c r="L22" i="1512"/>
  <c r="D22" i="1512" s="1"/>
  <c r="R21" i="1512"/>
  <c r="D21" i="1512"/>
  <c r="R20" i="1512"/>
  <c r="L20" i="1512"/>
  <c r="D20" i="1512" s="1"/>
  <c r="R19" i="1512"/>
  <c r="R18" i="1512"/>
  <c r="D18" i="1512"/>
  <c r="R17" i="1512"/>
  <c r="D17" i="1512"/>
  <c r="R16" i="1512"/>
  <c r="S15" i="1512"/>
  <c r="R15" i="1512"/>
  <c r="D15" i="1512"/>
  <c r="S14" i="1512"/>
  <c r="R14" i="1512"/>
  <c r="D14" i="1512"/>
  <c r="R13" i="1512"/>
  <c r="D13" i="1512"/>
  <c r="R12" i="1512"/>
  <c r="R11" i="1512"/>
  <c r="L10" i="1512"/>
  <c r="D10" i="1512" s="1"/>
  <c r="L9" i="1512"/>
  <c r="D9" i="1512"/>
  <c r="R6" i="1512"/>
  <c r="L6" i="1512"/>
  <c r="D6" i="1512"/>
  <c r="R5" i="1512"/>
  <c r="R4" i="1512"/>
  <c r="R52" i="1511"/>
  <c r="R51" i="1511"/>
  <c r="D50" i="1511"/>
  <c r="R49" i="1511"/>
  <c r="D49" i="1511"/>
  <c r="R48" i="1511"/>
  <c r="D48" i="1511"/>
  <c r="D46" i="1511"/>
  <c r="D45" i="1511"/>
  <c r="D44" i="1511"/>
  <c r="R42" i="1511"/>
  <c r="D42" i="1511"/>
  <c r="R41" i="1511"/>
  <c r="D41" i="1511"/>
  <c r="R40" i="1511"/>
  <c r="L8" i="1511" s="1"/>
  <c r="D8" i="1511" s="1"/>
  <c r="D40" i="1511"/>
  <c r="R39" i="1511"/>
  <c r="H39" i="1511"/>
  <c r="D39" i="1511"/>
  <c r="R38" i="1511"/>
  <c r="L9" i="1511" s="1"/>
  <c r="D9" i="1511" s="1"/>
  <c r="H38" i="1511"/>
  <c r="D38" i="1511"/>
  <c r="R37" i="1511"/>
  <c r="H37" i="1511"/>
  <c r="D37" i="1511"/>
  <c r="R36" i="1511"/>
  <c r="H36" i="1511"/>
  <c r="D36" i="1511"/>
  <c r="R35" i="1511"/>
  <c r="L19" i="1511" s="1"/>
  <c r="D19" i="1511" s="1"/>
  <c r="H35" i="1511"/>
  <c r="D35" i="1511"/>
  <c r="D54" i="1511" s="1"/>
  <c r="H14" i="1511" s="1"/>
  <c r="R34" i="1511"/>
  <c r="L12" i="1511" s="1"/>
  <c r="D12" i="1511" s="1"/>
  <c r="H34" i="1511"/>
  <c r="G49" i="1511" s="1"/>
  <c r="D34" i="1511"/>
  <c r="R33" i="1511"/>
  <c r="R32" i="1511"/>
  <c r="R31" i="1511"/>
  <c r="R30" i="1511"/>
  <c r="R29" i="1511"/>
  <c r="R28" i="1511"/>
  <c r="D28" i="1511"/>
  <c r="R27" i="1511"/>
  <c r="D27" i="1511"/>
  <c r="R26" i="1511"/>
  <c r="L26" i="1511"/>
  <c r="D26" i="1511"/>
  <c r="R25" i="1511"/>
  <c r="L25" i="1511"/>
  <c r="D25" i="1511"/>
  <c r="R24" i="1511"/>
  <c r="D24" i="1511"/>
  <c r="R23" i="1511"/>
  <c r="L23" i="1511"/>
  <c r="D23" i="1511"/>
  <c r="R22" i="1511"/>
  <c r="L22" i="1511"/>
  <c r="D22" i="1511"/>
  <c r="R21" i="1511"/>
  <c r="D21" i="1511"/>
  <c r="R20" i="1511"/>
  <c r="L20" i="1511"/>
  <c r="D20" i="1511"/>
  <c r="R19" i="1511"/>
  <c r="R18" i="1511"/>
  <c r="D18" i="1511"/>
  <c r="R17" i="1511"/>
  <c r="D17" i="1511"/>
  <c r="R16" i="1511"/>
  <c r="L16" i="1511"/>
  <c r="D16" i="1511" s="1"/>
  <c r="R15" i="1511"/>
  <c r="D15" i="1511"/>
  <c r="R14" i="1511"/>
  <c r="D14" i="1511"/>
  <c r="R13" i="1511"/>
  <c r="D13" i="1511"/>
  <c r="R12" i="1511"/>
  <c r="R11" i="1511"/>
  <c r="L11" i="1511"/>
  <c r="D11" i="1511"/>
  <c r="L10" i="1511"/>
  <c r="D10" i="1511"/>
  <c r="L7" i="1511"/>
  <c r="D7" i="1511"/>
  <c r="R6" i="1511"/>
  <c r="L6" i="1511"/>
  <c r="D6" i="1511"/>
  <c r="R5" i="1511"/>
  <c r="R4" i="1511"/>
  <c r="R52" i="1510"/>
  <c r="R51" i="1510"/>
  <c r="D50" i="1510"/>
  <c r="R49" i="1510"/>
  <c r="G49" i="1510"/>
  <c r="D49" i="1510"/>
  <c r="R48" i="1510"/>
  <c r="D48" i="1510"/>
  <c r="D46" i="1510"/>
  <c r="D45" i="1510"/>
  <c r="D44" i="1510"/>
  <c r="R42" i="1510"/>
  <c r="L6" i="1510" s="1"/>
  <c r="D6" i="1510" s="1"/>
  <c r="D42" i="1510"/>
  <c r="R41" i="1510"/>
  <c r="D41" i="1510"/>
  <c r="R40" i="1510"/>
  <c r="D40" i="1510"/>
  <c r="R39" i="1510"/>
  <c r="H39" i="1510"/>
  <c r="D39" i="1510"/>
  <c r="R38" i="1510"/>
  <c r="L9" i="1510" s="1"/>
  <c r="D9" i="1510" s="1"/>
  <c r="H38" i="1510"/>
  <c r="D38" i="1510"/>
  <c r="R37" i="1510"/>
  <c r="H37" i="1510"/>
  <c r="D37" i="1510"/>
  <c r="R36" i="1510"/>
  <c r="L10" i="1510" s="1"/>
  <c r="D10" i="1510" s="1"/>
  <c r="H36" i="1510"/>
  <c r="D36" i="1510"/>
  <c r="R35" i="1510"/>
  <c r="H35" i="1510"/>
  <c r="D35" i="1510"/>
  <c r="R34" i="1510"/>
  <c r="L12" i="1510" s="1"/>
  <c r="D12" i="1510" s="1"/>
  <c r="H34" i="1510"/>
  <c r="D34" i="1510"/>
  <c r="D54" i="1510" s="1"/>
  <c r="H14" i="1510" s="1"/>
  <c r="R33" i="1510"/>
  <c r="L23" i="1510" s="1"/>
  <c r="D23" i="1510" s="1"/>
  <c r="R32" i="1510"/>
  <c r="L11" i="1510" s="1"/>
  <c r="D11" i="1510" s="1"/>
  <c r="R31" i="1510"/>
  <c r="R30" i="1510"/>
  <c r="R29" i="1510"/>
  <c r="R28" i="1510"/>
  <c r="D28" i="1510"/>
  <c r="R27" i="1510"/>
  <c r="D27" i="1510"/>
  <c r="R26" i="1510"/>
  <c r="L26" i="1510"/>
  <c r="D26" i="1510"/>
  <c r="R25" i="1510"/>
  <c r="L25" i="1510"/>
  <c r="D25" i="1510"/>
  <c r="R24" i="1510"/>
  <c r="L24" i="1510"/>
  <c r="D24" i="1510"/>
  <c r="R23" i="1510"/>
  <c r="R22" i="1510"/>
  <c r="L22" i="1510"/>
  <c r="D22" i="1510" s="1"/>
  <c r="R21" i="1510"/>
  <c r="D21" i="1510"/>
  <c r="R20" i="1510"/>
  <c r="L20" i="1510"/>
  <c r="D20" i="1510" s="1"/>
  <c r="R19" i="1510"/>
  <c r="L19" i="1510"/>
  <c r="D19" i="1510"/>
  <c r="R18" i="1510"/>
  <c r="D18" i="1510"/>
  <c r="R17" i="1510"/>
  <c r="L17" i="1510"/>
  <c r="D17" i="1510" s="1"/>
  <c r="R16" i="1510"/>
  <c r="L16" i="1510"/>
  <c r="D16" i="1510" s="1"/>
  <c r="R15" i="1510"/>
  <c r="D15" i="1510"/>
  <c r="R14" i="1510"/>
  <c r="D14" i="1510"/>
  <c r="R13" i="1510"/>
  <c r="D13" i="1510"/>
  <c r="R12" i="1510"/>
  <c r="R11" i="1510"/>
  <c r="L8" i="1510"/>
  <c r="D8" i="1510" s="1"/>
  <c r="L7" i="1510"/>
  <c r="D7" i="1510"/>
  <c r="R6" i="1510"/>
  <c r="R5" i="1510"/>
  <c r="R4" i="1510"/>
  <c r="R52" i="1509"/>
  <c r="R51" i="1509"/>
  <c r="D50" i="1509"/>
  <c r="R49" i="1509"/>
  <c r="D49" i="1509"/>
  <c r="R48" i="1509"/>
  <c r="D48" i="1509"/>
  <c r="D46" i="1509"/>
  <c r="D45" i="1509"/>
  <c r="P44" i="1509"/>
  <c r="R44" i="1509" s="1"/>
  <c r="D44" i="1509"/>
  <c r="R42" i="1509"/>
  <c r="L6" i="1509" s="1"/>
  <c r="D6" i="1509" s="1"/>
  <c r="D42" i="1509"/>
  <c r="R41" i="1509"/>
  <c r="D41" i="1509"/>
  <c r="R40" i="1509"/>
  <c r="L8" i="1509" s="1"/>
  <c r="D8" i="1509" s="1"/>
  <c r="D40" i="1509"/>
  <c r="R39" i="1509"/>
  <c r="H39" i="1509"/>
  <c r="D39" i="1509"/>
  <c r="R38" i="1509"/>
  <c r="H38" i="1509"/>
  <c r="D38" i="1509"/>
  <c r="R37" i="1509"/>
  <c r="H37" i="1509"/>
  <c r="D37" i="1509"/>
  <c r="R36" i="1509"/>
  <c r="L10" i="1509" s="1"/>
  <c r="D10" i="1509" s="1"/>
  <c r="H36" i="1509"/>
  <c r="D36" i="1509"/>
  <c r="R35" i="1509"/>
  <c r="H35" i="1509"/>
  <c r="D35" i="1509"/>
  <c r="R34" i="1509"/>
  <c r="H34" i="1509"/>
  <c r="G49" i="1509" s="1"/>
  <c r="D34" i="1509"/>
  <c r="D54" i="1509" s="1"/>
  <c r="H14" i="1509" s="1"/>
  <c r="R33" i="1509"/>
  <c r="R32" i="1509"/>
  <c r="R31" i="1509"/>
  <c r="R30" i="1509"/>
  <c r="R29" i="1509"/>
  <c r="R28" i="1509"/>
  <c r="L16" i="1509" s="1"/>
  <c r="D16" i="1509" s="1"/>
  <c r="D28" i="1509"/>
  <c r="R27" i="1509"/>
  <c r="D27" i="1509"/>
  <c r="R26" i="1509"/>
  <c r="L26" i="1509"/>
  <c r="D26" i="1509" s="1"/>
  <c r="R25" i="1509"/>
  <c r="L25" i="1509"/>
  <c r="D25" i="1509" s="1"/>
  <c r="R24" i="1509"/>
  <c r="L24" i="1509"/>
  <c r="D24" i="1509"/>
  <c r="R23" i="1509"/>
  <c r="D23" i="1509"/>
  <c r="R22" i="1509"/>
  <c r="D22" i="1509"/>
  <c r="R21" i="1509"/>
  <c r="D21" i="1509"/>
  <c r="R20" i="1509"/>
  <c r="L20" i="1509"/>
  <c r="D20" i="1509"/>
  <c r="R19" i="1509"/>
  <c r="D19" i="1509"/>
  <c r="R18" i="1509"/>
  <c r="D18" i="1509"/>
  <c r="R17" i="1509"/>
  <c r="L17" i="1509"/>
  <c r="D17" i="1509"/>
  <c r="R16" i="1509"/>
  <c r="R15" i="1509"/>
  <c r="D15" i="1509"/>
  <c r="R14" i="1509"/>
  <c r="D14" i="1509"/>
  <c r="R13" i="1509"/>
  <c r="D13" i="1509"/>
  <c r="R12" i="1509"/>
  <c r="L12" i="1509"/>
  <c r="D12" i="1509"/>
  <c r="R11" i="1509"/>
  <c r="L11" i="1509"/>
  <c r="D11" i="1509" s="1"/>
  <c r="L9" i="1509"/>
  <c r="D9" i="1509" s="1"/>
  <c r="L7" i="1509"/>
  <c r="D7" i="1509" s="1"/>
  <c r="R6" i="1509"/>
  <c r="R5" i="1509"/>
  <c r="R4" i="1509"/>
  <c r="R52" i="1508"/>
  <c r="R51" i="1508"/>
  <c r="D50" i="1508"/>
  <c r="R49" i="1508"/>
  <c r="G49" i="1508"/>
  <c r="D49" i="1508"/>
  <c r="R48" i="1508"/>
  <c r="D48" i="1508"/>
  <c r="D46" i="1508"/>
  <c r="D45" i="1508"/>
  <c r="D44" i="1508"/>
  <c r="R42" i="1508"/>
  <c r="L6" i="1508" s="1"/>
  <c r="D6" i="1508" s="1"/>
  <c r="D42" i="1508"/>
  <c r="R41" i="1508"/>
  <c r="L7" i="1508" s="1"/>
  <c r="D7" i="1508" s="1"/>
  <c r="D41" i="1508"/>
  <c r="R40" i="1508"/>
  <c r="D40" i="1508"/>
  <c r="R39" i="1508"/>
  <c r="D39" i="1508"/>
  <c r="R38" i="1508"/>
  <c r="L9" i="1508" s="1"/>
  <c r="D9" i="1508" s="1"/>
  <c r="D38" i="1508"/>
  <c r="R37" i="1508"/>
  <c r="D37" i="1508"/>
  <c r="R36" i="1508"/>
  <c r="L10" i="1508" s="1"/>
  <c r="D10" i="1508" s="1"/>
  <c r="D36" i="1508"/>
  <c r="R35" i="1508"/>
  <c r="D35" i="1508"/>
  <c r="R34" i="1508"/>
  <c r="L12" i="1508" s="1"/>
  <c r="D12" i="1508" s="1"/>
  <c r="D34" i="1508"/>
  <c r="D54" i="1508" s="1"/>
  <c r="H14" i="1508" s="1"/>
  <c r="R33" i="1508"/>
  <c r="L23" i="1508" s="1"/>
  <c r="D23" i="1508" s="1"/>
  <c r="R32" i="1508"/>
  <c r="R31" i="1508"/>
  <c r="R30" i="1508"/>
  <c r="R29" i="1508"/>
  <c r="R28" i="1508"/>
  <c r="D28" i="1508"/>
  <c r="R27" i="1508"/>
  <c r="D27" i="1508"/>
  <c r="R26" i="1508"/>
  <c r="L26" i="1508"/>
  <c r="D26" i="1508" s="1"/>
  <c r="R25" i="1508"/>
  <c r="L25" i="1508"/>
  <c r="D25" i="1508"/>
  <c r="R24" i="1508"/>
  <c r="D24" i="1508"/>
  <c r="R23" i="1508"/>
  <c r="R22" i="1508"/>
  <c r="L22" i="1508"/>
  <c r="D22" i="1508"/>
  <c r="R21" i="1508"/>
  <c r="D21" i="1508"/>
  <c r="R20" i="1508"/>
  <c r="L20" i="1508"/>
  <c r="D20" i="1508" s="1"/>
  <c r="R19" i="1508"/>
  <c r="L19" i="1508"/>
  <c r="D19" i="1508"/>
  <c r="R18" i="1508"/>
  <c r="D18" i="1508"/>
  <c r="R17" i="1508"/>
  <c r="D17" i="1508"/>
  <c r="R16" i="1508"/>
  <c r="L16" i="1508"/>
  <c r="D16" i="1508" s="1"/>
  <c r="S15" i="1508"/>
  <c r="R15" i="1508"/>
  <c r="D15" i="1508"/>
  <c r="S14" i="1508"/>
  <c r="R14" i="1508"/>
  <c r="D14" i="1508"/>
  <c r="R13" i="1508"/>
  <c r="D13" i="1508"/>
  <c r="R12" i="1508"/>
  <c r="R11" i="1508"/>
  <c r="L11" i="1508"/>
  <c r="D11" i="1508" s="1"/>
  <c r="L8" i="1508"/>
  <c r="D8" i="1508"/>
  <c r="R6" i="1508"/>
  <c r="R5" i="1508"/>
  <c r="R4" i="1508"/>
  <c r="R52" i="1507"/>
  <c r="R51" i="1507"/>
  <c r="D50" i="1507"/>
  <c r="R49" i="1507"/>
  <c r="D49" i="1507"/>
  <c r="R48" i="1507"/>
  <c r="D48" i="1507"/>
  <c r="D46" i="1507"/>
  <c r="D45" i="1507"/>
  <c r="D44" i="1507"/>
  <c r="R42" i="1507"/>
  <c r="L6" i="1507" s="1"/>
  <c r="D6" i="1507" s="1"/>
  <c r="D42" i="1507"/>
  <c r="R41" i="1507"/>
  <c r="L7" i="1507" s="1"/>
  <c r="D7" i="1507" s="1"/>
  <c r="D41" i="1507"/>
  <c r="R40" i="1507"/>
  <c r="D40" i="1507"/>
  <c r="R39" i="1507"/>
  <c r="H39" i="1507"/>
  <c r="D39" i="1507"/>
  <c r="R38" i="1507"/>
  <c r="H38" i="1507"/>
  <c r="D38" i="1507"/>
  <c r="R37" i="1507"/>
  <c r="H37" i="1507"/>
  <c r="D37" i="1507"/>
  <c r="R36" i="1507"/>
  <c r="H36" i="1507"/>
  <c r="G49" i="1507" s="1"/>
  <c r="D36" i="1507"/>
  <c r="R35" i="1507"/>
  <c r="L19" i="1507" s="1"/>
  <c r="D19" i="1507" s="1"/>
  <c r="H35" i="1507"/>
  <c r="D35" i="1507"/>
  <c r="R34" i="1507"/>
  <c r="H34" i="1507"/>
  <c r="D34" i="1507"/>
  <c r="D54" i="1507" s="1"/>
  <c r="H14" i="1507" s="1"/>
  <c r="R33" i="1507"/>
  <c r="R32" i="1507"/>
  <c r="R31" i="1507"/>
  <c r="R30" i="1507"/>
  <c r="R29" i="1507"/>
  <c r="R28" i="1507"/>
  <c r="D28" i="1507"/>
  <c r="R27" i="1507"/>
  <c r="D27" i="1507"/>
  <c r="R26" i="1507"/>
  <c r="L26" i="1507"/>
  <c r="D26" i="1507"/>
  <c r="R25" i="1507"/>
  <c r="L25" i="1507"/>
  <c r="D25" i="1507"/>
  <c r="R24" i="1507"/>
  <c r="D24" i="1507"/>
  <c r="R23" i="1507"/>
  <c r="L23" i="1507"/>
  <c r="D23" i="1507"/>
  <c r="R22" i="1507"/>
  <c r="L22" i="1507"/>
  <c r="D22" i="1507"/>
  <c r="R21" i="1507"/>
  <c r="D21" i="1507"/>
  <c r="R20" i="1507"/>
  <c r="L20" i="1507"/>
  <c r="D20" i="1507"/>
  <c r="R19" i="1507"/>
  <c r="R18" i="1507"/>
  <c r="D18" i="1507"/>
  <c r="R17" i="1507"/>
  <c r="D17" i="1507"/>
  <c r="R16" i="1507"/>
  <c r="L16" i="1507"/>
  <c r="D16" i="1507" s="1"/>
  <c r="R15" i="1507"/>
  <c r="D15" i="1507"/>
  <c r="R14" i="1507"/>
  <c r="D14" i="1507"/>
  <c r="R13" i="1507"/>
  <c r="D13" i="1507"/>
  <c r="R12" i="1507"/>
  <c r="L12" i="1507"/>
  <c r="D12" i="1507"/>
  <c r="R11" i="1507"/>
  <c r="L11" i="1507"/>
  <c r="D11" i="1507"/>
  <c r="L10" i="1507"/>
  <c r="D10" i="1507"/>
  <c r="L9" i="1507"/>
  <c r="D9" i="1507"/>
  <c r="L8" i="1507"/>
  <c r="D8" i="1507" s="1"/>
  <c r="R6" i="1507"/>
  <c r="R5" i="1507"/>
  <c r="R4" i="1507"/>
  <c r="R52" i="1506"/>
  <c r="R51" i="1506"/>
  <c r="D50" i="1506"/>
  <c r="R49" i="1506"/>
  <c r="D49" i="1506"/>
  <c r="R48" i="1506"/>
  <c r="D48" i="1506"/>
  <c r="D46" i="1506"/>
  <c r="D45" i="1506"/>
  <c r="D44" i="1506"/>
  <c r="R42" i="1506"/>
  <c r="D42" i="1506"/>
  <c r="R41" i="1506"/>
  <c r="D41" i="1506"/>
  <c r="R40" i="1506"/>
  <c r="D40" i="1506"/>
  <c r="R39" i="1506"/>
  <c r="L20" i="1506" s="1"/>
  <c r="D20" i="1506" s="1"/>
  <c r="H39" i="1506"/>
  <c r="D39" i="1506"/>
  <c r="R38" i="1506"/>
  <c r="L9" i="1506" s="1"/>
  <c r="D9" i="1506" s="1"/>
  <c r="H38" i="1506"/>
  <c r="D38" i="1506"/>
  <c r="R37" i="1506"/>
  <c r="H37" i="1506"/>
  <c r="D37" i="1506"/>
  <c r="R36" i="1506"/>
  <c r="H36" i="1506"/>
  <c r="D36" i="1506"/>
  <c r="R35" i="1506"/>
  <c r="H35" i="1506"/>
  <c r="D35" i="1506"/>
  <c r="R34" i="1506"/>
  <c r="L12" i="1506" s="1"/>
  <c r="D12" i="1506" s="1"/>
  <c r="H34" i="1506"/>
  <c r="G49" i="1506" s="1"/>
  <c r="D34" i="1506"/>
  <c r="D54" i="1506" s="1"/>
  <c r="H14" i="1506" s="1"/>
  <c r="R33" i="1506"/>
  <c r="L23" i="1506" s="1"/>
  <c r="D23" i="1506" s="1"/>
  <c r="R32" i="1506"/>
  <c r="L11" i="1506" s="1"/>
  <c r="D11" i="1506" s="1"/>
  <c r="R31" i="1506"/>
  <c r="R30" i="1506"/>
  <c r="R29" i="1506"/>
  <c r="R28" i="1506"/>
  <c r="D28" i="1506"/>
  <c r="R27" i="1506"/>
  <c r="D27" i="1506"/>
  <c r="R26" i="1506"/>
  <c r="L26" i="1506"/>
  <c r="D26" i="1506"/>
  <c r="R25" i="1506"/>
  <c r="L25" i="1506"/>
  <c r="D25" i="1506" s="1"/>
  <c r="R24" i="1506"/>
  <c r="L24" i="1506"/>
  <c r="D24" i="1506" s="1"/>
  <c r="R23" i="1506"/>
  <c r="R22" i="1506"/>
  <c r="L22" i="1506"/>
  <c r="D22" i="1506"/>
  <c r="R21" i="1506"/>
  <c r="L17" i="1506" s="1"/>
  <c r="D17" i="1506" s="1"/>
  <c r="D21" i="1506"/>
  <c r="R20" i="1506"/>
  <c r="R19" i="1506"/>
  <c r="L19" i="1506"/>
  <c r="D19" i="1506" s="1"/>
  <c r="R18" i="1506"/>
  <c r="D18" i="1506"/>
  <c r="R17" i="1506"/>
  <c r="R16" i="1506"/>
  <c r="L16" i="1506"/>
  <c r="D16" i="1506"/>
  <c r="R15" i="1506"/>
  <c r="D15" i="1506"/>
  <c r="R14" i="1506"/>
  <c r="D14" i="1506"/>
  <c r="R13" i="1506"/>
  <c r="D13" i="1506"/>
  <c r="R12" i="1506"/>
  <c r="R11" i="1506"/>
  <c r="L10" i="1506"/>
  <c r="D10" i="1506"/>
  <c r="L8" i="1506"/>
  <c r="D8" i="1506"/>
  <c r="L7" i="1506"/>
  <c r="D7" i="1506"/>
  <c r="R6" i="1506"/>
  <c r="L6" i="1506"/>
  <c r="D6" i="1506" s="1"/>
  <c r="R5" i="1506"/>
  <c r="R4" i="1506"/>
  <c r="R52" i="1505"/>
  <c r="R51" i="1505"/>
  <c r="D50" i="1505"/>
  <c r="R49" i="1505"/>
  <c r="G49" i="1505"/>
  <c r="D49" i="1505"/>
  <c r="R48" i="1505"/>
  <c r="D48" i="1505"/>
  <c r="D46" i="1505"/>
  <c r="D45" i="1505"/>
  <c r="P44" i="1505"/>
  <c r="R44" i="1505" s="1"/>
  <c r="D44" i="1505"/>
  <c r="R42" i="1505"/>
  <c r="D42" i="1505"/>
  <c r="R41" i="1505"/>
  <c r="D41" i="1505"/>
  <c r="R40" i="1505"/>
  <c r="L8" i="1505" s="1"/>
  <c r="D8" i="1505" s="1"/>
  <c r="D40" i="1505"/>
  <c r="R39" i="1505"/>
  <c r="L20" i="1505" s="1"/>
  <c r="D20" i="1505" s="1"/>
  <c r="H39" i="1505"/>
  <c r="D39" i="1505"/>
  <c r="R38" i="1505"/>
  <c r="H38" i="1505"/>
  <c r="D38" i="1505"/>
  <c r="R37" i="1505"/>
  <c r="H37" i="1505"/>
  <c r="D37" i="1505"/>
  <c r="R36" i="1505"/>
  <c r="H36" i="1505"/>
  <c r="D36" i="1505"/>
  <c r="R35" i="1505"/>
  <c r="H35" i="1505"/>
  <c r="D35" i="1505"/>
  <c r="R34" i="1505"/>
  <c r="L12" i="1505" s="1"/>
  <c r="D12" i="1505" s="1"/>
  <c r="H34" i="1505"/>
  <c r="D34" i="1505"/>
  <c r="D54" i="1505" s="1"/>
  <c r="H14" i="1505" s="1"/>
  <c r="R33" i="1505"/>
  <c r="R32" i="1505"/>
  <c r="R31" i="1505"/>
  <c r="R30" i="1505"/>
  <c r="R29" i="1505"/>
  <c r="R28" i="1505"/>
  <c r="D28" i="1505"/>
  <c r="R27" i="1505"/>
  <c r="D27" i="1505"/>
  <c r="R26" i="1505"/>
  <c r="L26" i="1505"/>
  <c r="D26" i="1505"/>
  <c r="R25" i="1505"/>
  <c r="L25" i="1505"/>
  <c r="D25" i="1505" s="1"/>
  <c r="R24" i="1505"/>
  <c r="L24" i="1505"/>
  <c r="D24" i="1505"/>
  <c r="R23" i="1505"/>
  <c r="D23" i="1505"/>
  <c r="R22" i="1505"/>
  <c r="D22" i="1505"/>
  <c r="R21" i="1505"/>
  <c r="D21" i="1505"/>
  <c r="R20" i="1505"/>
  <c r="R19" i="1505"/>
  <c r="D19" i="1505"/>
  <c r="R18" i="1505"/>
  <c r="D18" i="1505"/>
  <c r="R17" i="1505"/>
  <c r="L17" i="1505"/>
  <c r="D17" i="1505" s="1"/>
  <c r="R16" i="1505"/>
  <c r="L16" i="1505"/>
  <c r="D16" i="1505"/>
  <c r="R15" i="1505"/>
  <c r="D15" i="1505"/>
  <c r="R14" i="1505"/>
  <c r="D14" i="1505"/>
  <c r="R13" i="1505"/>
  <c r="D13" i="1505"/>
  <c r="R12" i="1505"/>
  <c r="R11" i="1505"/>
  <c r="L11" i="1505"/>
  <c r="D11" i="1505"/>
  <c r="L10" i="1505"/>
  <c r="D10" i="1505" s="1"/>
  <c r="L9" i="1505"/>
  <c r="D9" i="1505" s="1"/>
  <c r="L7" i="1505"/>
  <c r="D7" i="1505"/>
  <c r="R6" i="1505"/>
  <c r="L6" i="1505"/>
  <c r="D6" i="1505" s="1"/>
  <c r="R5" i="1505"/>
  <c r="R4" i="1505"/>
  <c r="D54" i="1504"/>
  <c r="H14" i="1504" s="1"/>
  <c r="R52" i="1504"/>
  <c r="R51" i="1504"/>
  <c r="D50" i="1504"/>
  <c r="R49" i="1504"/>
  <c r="G49" i="1504"/>
  <c r="D49" i="1504"/>
  <c r="R48" i="1504"/>
  <c r="D48" i="1504"/>
  <c r="D46" i="1504"/>
  <c r="D45" i="1504"/>
  <c r="D44" i="1504"/>
  <c r="R42" i="1504"/>
  <c r="D42" i="1504"/>
  <c r="R41" i="1504"/>
  <c r="D41" i="1504"/>
  <c r="R40" i="1504"/>
  <c r="D40" i="1504"/>
  <c r="R39" i="1504"/>
  <c r="D39" i="1504"/>
  <c r="R38" i="1504"/>
  <c r="D38" i="1504"/>
  <c r="R37" i="1504"/>
  <c r="D37" i="1504"/>
  <c r="R36" i="1504"/>
  <c r="D36" i="1504"/>
  <c r="R35" i="1504"/>
  <c r="D35" i="1504"/>
  <c r="R34" i="1504"/>
  <c r="D34" i="1504"/>
  <c r="R33" i="1504"/>
  <c r="R32" i="1504"/>
  <c r="R31" i="1504"/>
  <c r="R30" i="1504"/>
  <c r="R29" i="1504"/>
  <c r="R28" i="1504"/>
  <c r="D28" i="1504"/>
  <c r="R27" i="1504"/>
  <c r="D27" i="1504"/>
  <c r="R26" i="1504"/>
  <c r="L26" i="1504"/>
  <c r="D26" i="1504"/>
  <c r="R25" i="1504"/>
  <c r="L25" i="1504"/>
  <c r="D25" i="1504"/>
  <c r="R24" i="1504"/>
  <c r="D24" i="1504"/>
  <c r="R23" i="1504"/>
  <c r="L23" i="1504"/>
  <c r="D23" i="1504"/>
  <c r="R22" i="1504"/>
  <c r="L22" i="1504"/>
  <c r="D22" i="1504"/>
  <c r="R21" i="1504"/>
  <c r="D21" i="1504"/>
  <c r="R20" i="1504"/>
  <c r="L20" i="1504"/>
  <c r="D20" i="1504"/>
  <c r="R19" i="1504"/>
  <c r="L19" i="1504"/>
  <c r="D19" i="1504"/>
  <c r="R18" i="1504"/>
  <c r="D18" i="1504"/>
  <c r="R17" i="1504"/>
  <c r="D17" i="1504"/>
  <c r="R16" i="1504"/>
  <c r="L16" i="1504"/>
  <c r="D16" i="1504"/>
  <c r="S15" i="1504"/>
  <c r="R15" i="1504"/>
  <c r="D15" i="1504"/>
  <c r="S14" i="1504"/>
  <c r="R14" i="1504"/>
  <c r="D14" i="1504"/>
  <c r="R13" i="1504"/>
  <c r="D13" i="1504"/>
  <c r="R12" i="1504"/>
  <c r="L12" i="1504"/>
  <c r="D12" i="1504"/>
  <c r="R11" i="1504"/>
  <c r="L11" i="1504"/>
  <c r="D11" i="1504"/>
  <c r="L10" i="1504"/>
  <c r="D10" i="1504"/>
  <c r="D29" i="1504" s="1"/>
  <c r="H13" i="1504" s="1"/>
  <c r="H15" i="1504" s="1"/>
  <c r="H29" i="1504" s="1"/>
  <c r="G51" i="1504" s="1"/>
  <c r="L9" i="1504"/>
  <c r="D9" i="1504"/>
  <c r="L8" i="1504"/>
  <c r="D8" i="1504"/>
  <c r="L7" i="1504"/>
  <c r="D7" i="1504"/>
  <c r="R6" i="1504"/>
  <c r="L6" i="1504"/>
  <c r="D6" i="1504"/>
  <c r="R5" i="1504"/>
  <c r="R4" i="1504"/>
  <c r="R52" i="1503"/>
  <c r="R51" i="1503"/>
  <c r="D50" i="1503"/>
  <c r="R49" i="1503"/>
  <c r="D49" i="1503"/>
  <c r="R48" i="1503"/>
  <c r="D48" i="1503"/>
  <c r="D46" i="1503"/>
  <c r="D45" i="1503"/>
  <c r="D44" i="1503"/>
  <c r="R42" i="1503"/>
  <c r="L6" i="1503" s="1"/>
  <c r="D6" i="1503" s="1"/>
  <c r="D42" i="1503"/>
  <c r="R41" i="1503"/>
  <c r="L7" i="1503" s="1"/>
  <c r="D7" i="1503" s="1"/>
  <c r="D41" i="1503"/>
  <c r="R40" i="1503"/>
  <c r="D40" i="1503"/>
  <c r="R39" i="1503"/>
  <c r="H39" i="1503"/>
  <c r="D39" i="1503"/>
  <c r="R38" i="1503"/>
  <c r="H38" i="1503"/>
  <c r="D38" i="1503"/>
  <c r="R37" i="1503"/>
  <c r="H37" i="1503"/>
  <c r="D37" i="1503"/>
  <c r="R36" i="1503"/>
  <c r="L10" i="1503" s="1"/>
  <c r="D10" i="1503" s="1"/>
  <c r="H36" i="1503"/>
  <c r="D36" i="1503"/>
  <c r="R35" i="1503"/>
  <c r="L19" i="1503" s="1"/>
  <c r="D19" i="1503" s="1"/>
  <c r="H35" i="1503"/>
  <c r="D35" i="1503"/>
  <c r="R34" i="1503"/>
  <c r="H34" i="1503"/>
  <c r="G49" i="1503" s="1"/>
  <c r="D34" i="1503"/>
  <c r="D54" i="1503" s="1"/>
  <c r="H14" i="1503" s="1"/>
  <c r="R33" i="1503"/>
  <c r="R32" i="1503"/>
  <c r="R31" i="1503"/>
  <c r="R30" i="1503"/>
  <c r="R29" i="1503"/>
  <c r="R28" i="1503"/>
  <c r="L16" i="1503" s="1"/>
  <c r="D16" i="1503" s="1"/>
  <c r="D28" i="1503"/>
  <c r="R27" i="1503"/>
  <c r="D27" i="1503"/>
  <c r="R26" i="1503"/>
  <c r="L26" i="1503"/>
  <c r="D26" i="1503"/>
  <c r="R25" i="1503"/>
  <c r="L25" i="1503"/>
  <c r="D25" i="1503" s="1"/>
  <c r="R24" i="1503"/>
  <c r="D24" i="1503"/>
  <c r="R23" i="1503"/>
  <c r="L23" i="1503"/>
  <c r="D23" i="1503"/>
  <c r="R22" i="1503"/>
  <c r="L22" i="1503"/>
  <c r="D22" i="1503" s="1"/>
  <c r="R21" i="1503"/>
  <c r="D21" i="1503"/>
  <c r="R20" i="1503"/>
  <c r="L20" i="1503"/>
  <c r="D20" i="1503"/>
  <c r="R19" i="1503"/>
  <c r="R18" i="1503"/>
  <c r="D18" i="1503"/>
  <c r="R17" i="1503"/>
  <c r="D17" i="1503"/>
  <c r="R16" i="1503"/>
  <c r="R15" i="1503"/>
  <c r="D15" i="1503"/>
  <c r="R14" i="1503"/>
  <c r="D14" i="1503"/>
  <c r="R13" i="1503"/>
  <c r="D13" i="1503"/>
  <c r="R12" i="1503"/>
  <c r="L12" i="1503"/>
  <c r="D12" i="1503"/>
  <c r="R11" i="1503"/>
  <c r="L11" i="1503"/>
  <c r="D11" i="1503"/>
  <c r="L9" i="1503"/>
  <c r="D9" i="1503"/>
  <c r="L8" i="1503"/>
  <c r="D8" i="1503" s="1"/>
  <c r="R6" i="1503"/>
  <c r="R5" i="1503"/>
  <c r="R4" i="1503"/>
  <c r="R52" i="1502"/>
  <c r="R51" i="1502"/>
  <c r="D50" i="1502"/>
  <c r="R49" i="1502"/>
  <c r="D49" i="1502"/>
  <c r="R48" i="1502"/>
  <c r="D48" i="1502"/>
  <c r="D46" i="1502"/>
  <c r="D45" i="1502"/>
  <c r="D44" i="1502"/>
  <c r="R42" i="1502"/>
  <c r="L6" i="1502" s="1"/>
  <c r="D6" i="1502" s="1"/>
  <c r="D42" i="1502"/>
  <c r="R41" i="1502"/>
  <c r="L7" i="1502" s="1"/>
  <c r="D7" i="1502" s="1"/>
  <c r="D41" i="1502"/>
  <c r="R40" i="1502"/>
  <c r="L8" i="1502" s="1"/>
  <c r="D8" i="1502" s="1"/>
  <c r="D40" i="1502"/>
  <c r="R39" i="1502"/>
  <c r="L20" i="1502" s="1"/>
  <c r="D20" i="1502" s="1"/>
  <c r="H39" i="1502"/>
  <c r="D39" i="1502"/>
  <c r="R38" i="1502"/>
  <c r="L9" i="1502" s="1"/>
  <c r="D9" i="1502" s="1"/>
  <c r="H38" i="1502"/>
  <c r="D38" i="1502"/>
  <c r="R37" i="1502"/>
  <c r="H37" i="1502"/>
  <c r="D37" i="1502"/>
  <c r="R36" i="1502"/>
  <c r="H36" i="1502"/>
  <c r="D36" i="1502"/>
  <c r="R35" i="1502"/>
  <c r="L19" i="1502" s="1"/>
  <c r="D19" i="1502" s="1"/>
  <c r="H35" i="1502"/>
  <c r="D35" i="1502"/>
  <c r="R34" i="1502"/>
  <c r="H34" i="1502"/>
  <c r="G49" i="1502" s="1"/>
  <c r="D34" i="1502"/>
  <c r="D54" i="1502" s="1"/>
  <c r="H14" i="1502" s="1"/>
  <c r="R33" i="1502"/>
  <c r="R32" i="1502"/>
  <c r="R31" i="1502"/>
  <c r="R30" i="1502"/>
  <c r="R29" i="1502"/>
  <c r="R28" i="1502"/>
  <c r="D28" i="1502"/>
  <c r="R27" i="1502"/>
  <c r="D27" i="1502"/>
  <c r="R26" i="1502"/>
  <c r="L26" i="1502"/>
  <c r="D26" i="1502" s="1"/>
  <c r="R25" i="1502"/>
  <c r="L25" i="1502"/>
  <c r="D25" i="1502" s="1"/>
  <c r="R24" i="1502"/>
  <c r="L24" i="1502"/>
  <c r="D24" i="1502"/>
  <c r="R23" i="1502"/>
  <c r="L23" i="1502"/>
  <c r="D23" i="1502"/>
  <c r="R22" i="1502"/>
  <c r="L22" i="1502"/>
  <c r="D22" i="1502"/>
  <c r="R21" i="1502"/>
  <c r="L17" i="1502" s="1"/>
  <c r="D17" i="1502" s="1"/>
  <c r="D21" i="1502"/>
  <c r="R20" i="1502"/>
  <c r="R19" i="1502"/>
  <c r="R18" i="1502"/>
  <c r="D18" i="1502"/>
  <c r="R17" i="1502"/>
  <c r="R16" i="1502"/>
  <c r="L16" i="1502"/>
  <c r="D16" i="1502"/>
  <c r="R15" i="1502"/>
  <c r="D15" i="1502"/>
  <c r="R14" i="1502"/>
  <c r="D14" i="1502"/>
  <c r="R13" i="1502"/>
  <c r="D13" i="1502"/>
  <c r="R12" i="1502"/>
  <c r="L12" i="1502"/>
  <c r="D12" i="1502"/>
  <c r="R11" i="1502"/>
  <c r="L11" i="1502"/>
  <c r="D11" i="1502"/>
  <c r="L10" i="1502"/>
  <c r="D10" i="1502"/>
  <c r="R6" i="1502"/>
  <c r="R5" i="1502"/>
  <c r="R4" i="1502"/>
  <c r="D54" i="1501"/>
  <c r="H14" i="1501" s="1"/>
  <c r="R52" i="1501"/>
  <c r="R51" i="1501"/>
  <c r="D50" i="1501"/>
  <c r="R49" i="1501"/>
  <c r="D49" i="1501"/>
  <c r="R48" i="1501"/>
  <c r="D48" i="1501"/>
  <c r="D46" i="1501"/>
  <c r="D45" i="1501"/>
  <c r="P44" i="1501"/>
  <c r="R44" i="1501" s="1"/>
  <c r="D44" i="1501"/>
  <c r="R42" i="1501"/>
  <c r="L6" i="1501" s="1"/>
  <c r="D6" i="1501" s="1"/>
  <c r="D42" i="1501"/>
  <c r="R41" i="1501"/>
  <c r="L7" i="1501" s="1"/>
  <c r="D7" i="1501" s="1"/>
  <c r="D41" i="1501"/>
  <c r="R40" i="1501"/>
  <c r="D40" i="1501"/>
  <c r="R39" i="1501"/>
  <c r="L20" i="1501" s="1"/>
  <c r="D20" i="1501" s="1"/>
  <c r="H39" i="1501"/>
  <c r="D39" i="1501"/>
  <c r="R38" i="1501"/>
  <c r="H38" i="1501"/>
  <c r="D38" i="1501"/>
  <c r="R37" i="1501"/>
  <c r="H37" i="1501"/>
  <c r="D37" i="1501"/>
  <c r="R36" i="1501"/>
  <c r="L10" i="1501" s="1"/>
  <c r="D10" i="1501" s="1"/>
  <c r="H36" i="1501"/>
  <c r="G49" i="1501" s="1"/>
  <c r="D36" i="1501"/>
  <c r="R35" i="1501"/>
  <c r="H35" i="1501"/>
  <c r="D35" i="1501"/>
  <c r="R34" i="1501"/>
  <c r="H34" i="1501"/>
  <c r="D34" i="1501"/>
  <c r="R33" i="1501"/>
  <c r="R32" i="1501"/>
  <c r="R31" i="1501"/>
  <c r="R30" i="1501"/>
  <c r="R29" i="1501"/>
  <c r="R28" i="1501"/>
  <c r="L16" i="1501" s="1"/>
  <c r="D16" i="1501" s="1"/>
  <c r="D28" i="1501"/>
  <c r="R27" i="1501"/>
  <c r="D27" i="1501"/>
  <c r="R26" i="1501"/>
  <c r="L26" i="1501"/>
  <c r="D26" i="1501" s="1"/>
  <c r="R25" i="1501"/>
  <c r="L25" i="1501"/>
  <c r="D25" i="1501"/>
  <c r="R24" i="1501"/>
  <c r="L24" i="1501"/>
  <c r="D24" i="1501"/>
  <c r="R23" i="1501"/>
  <c r="D23" i="1501"/>
  <c r="R22" i="1501"/>
  <c r="D22" i="1501"/>
  <c r="R21" i="1501"/>
  <c r="D21" i="1501"/>
  <c r="R20" i="1501"/>
  <c r="R19" i="1501"/>
  <c r="D19" i="1501"/>
  <c r="R18" i="1501"/>
  <c r="D18" i="1501"/>
  <c r="R17" i="1501"/>
  <c r="L17" i="1501"/>
  <c r="D17" i="1501"/>
  <c r="R16" i="1501"/>
  <c r="R15" i="1501"/>
  <c r="D15" i="1501"/>
  <c r="R14" i="1501"/>
  <c r="D14" i="1501"/>
  <c r="R13" i="1501"/>
  <c r="D13" i="1501"/>
  <c r="R12" i="1501"/>
  <c r="L12" i="1501"/>
  <c r="D12" i="1501" s="1"/>
  <c r="R11" i="1501"/>
  <c r="L11" i="1501"/>
  <c r="D11" i="1501"/>
  <c r="L9" i="1501"/>
  <c r="D9" i="1501"/>
  <c r="L8" i="1501"/>
  <c r="D8" i="1501" s="1"/>
  <c r="R6" i="1501"/>
  <c r="R5" i="1501"/>
  <c r="R4" i="1501"/>
  <c r="R52" i="1500"/>
  <c r="R51" i="1500"/>
  <c r="D50" i="1500"/>
  <c r="R49" i="1500"/>
  <c r="G49" i="1500"/>
  <c r="D49" i="1500"/>
  <c r="R48" i="1500"/>
  <c r="D48" i="1500"/>
  <c r="D46" i="1500"/>
  <c r="D45" i="1500"/>
  <c r="D44" i="1500"/>
  <c r="R42" i="1500"/>
  <c r="L6" i="1500" s="1"/>
  <c r="D6" i="1500" s="1"/>
  <c r="D42" i="1500"/>
  <c r="R41" i="1500"/>
  <c r="L7" i="1500" s="1"/>
  <c r="D7" i="1500" s="1"/>
  <c r="D41" i="1500"/>
  <c r="R40" i="1500"/>
  <c r="D40" i="1500"/>
  <c r="R39" i="1500"/>
  <c r="D39" i="1500"/>
  <c r="R38" i="1500"/>
  <c r="D38" i="1500"/>
  <c r="R37" i="1500"/>
  <c r="D37" i="1500"/>
  <c r="R36" i="1500"/>
  <c r="D36" i="1500"/>
  <c r="R35" i="1500"/>
  <c r="D35" i="1500"/>
  <c r="R34" i="1500"/>
  <c r="L12" i="1500" s="1"/>
  <c r="D12" i="1500" s="1"/>
  <c r="D34" i="1500"/>
  <c r="D54" i="1500" s="1"/>
  <c r="H14" i="1500" s="1"/>
  <c r="R33" i="1500"/>
  <c r="L23" i="1500" s="1"/>
  <c r="D23" i="1500" s="1"/>
  <c r="R32" i="1500"/>
  <c r="R31" i="1500"/>
  <c r="R30" i="1500"/>
  <c r="R29" i="1500"/>
  <c r="R28" i="1500"/>
  <c r="L16" i="1500" s="1"/>
  <c r="D16" i="1500" s="1"/>
  <c r="D28" i="1500"/>
  <c r="R27" i="1500"/>
  <c r="D27" i="1500"/>
  <c r="R26" i="1500"/>
  <c r="L26" i="1500"/>
  <c r="D26" i="1500"/>
  <c r="R25" i="1500"/>
  <c r="L25" i="1500"/>
  <c r="D25" i="1500"/>
  <c r="R24" i="1500"/>
  <c r="D24" i="1500"/>
  <c r="R23" i="1500"/>
  <c r="R22" i="1500"/>
  <c r="L22" i="1500"/>
  <c r="D22" i="1500"/>
  <c r="R21" i="1500"/>
  <c r="D21" i="1500"/>
  <c r="R20" i="1500"/>
  <c r="L20" i="1500"/>
  <c r="D20" i="1500"/>
  <c r="R19" i="1500"/>
  <c r="L19" i="1500"/>
  <c r="D19" i="1500"/>
  <c r="R18" i="1500"/>
  <c r="D18" i="1500"/>
  <c r="R17" i="1500"/>
  <c r="D17" i="1500"/>
  <c r="R16" i="1500"/>
  <c r="S15" i="1500"/>
  <c r="R15" i="1500"/>
  <c r="D15" i="1500"/>
  <c r="S14" i="1500"/>
  <c r="R14" i="1500"/>
  <c r="D14" i="1500"/>
  <c r="R13" i="1500"/>
  <c r="D13" i="1500"/>
  <c r="R12" i="1500"/>
  <c r="R11" i="1500"/>
  <c r="L11" i="1500"/>
  <c r="D11" i="1500" s="1"/>
  <c r="L10" i="1500"/>
  <c r="D10" i="1500"/>
  <c r="L9" i="1500"/>
  <c r="D9" i="1500"/>
  <c r="L8" i="1500"/>
  <c r="D8" i="1500"/>
  <c r="R6" i="1500"/>
  <c r="R5" i="1500"/>
  <c r="R4" i="1500"/>
  <c r="R52" i="1499"/>
  <c r="R51" i="1499"/>
  <c r="D50" i="1499"/>
  <c r="R49" i="1499"/>
  <c r="D49" i="1499"/>
  <c r="R48" i="1499"/>
  <c r="D48" i="1499"/>
  <c r="D46" i="1499"/>
  <c r="D45" i="1499"/>
  <c r="D44" i="1499"/>
  <c r="R42" i="1499"/>
  <c r="D42" i="1499"/>
  <c r="R41" i="1499"/>
  <c r="D41" i="1499"/>
  <c r="R40" i="1499"/>
  <c r="L8" i="1499" s="1"/>
  <c r="D8" i="1499" s="1"/>
  <c r="D40" i="1499"/>
  <c r="R39" i="1499"/>
  <c r="H39" i="1499"/>
  <c r="D39" i="1499"/>
  <c r="R38" i="1499"/>
  <c r="L9" i="1499" s="1"/>
  <c r="D9" i="1499" s="1"/>
  <c r="H38" i="1499"/>
  <c r="G49" i="1499" s="1"/>
  <c r="D38" i="1499"/>
  <c r="R37" i="1499"/>
  <c r="H37" i="1499"/>
  <c r="D37" i="1499"/>
  <c r="R36" i="1499"/>
  <c r="H36" i="1499"/>
  <c r="D36" i="1499"/>
  <c r="R35" i="1499"/>
  <c r="H35" i="1499"/>
  <c r="D35" i="1499"/>
  <c r="R34" i="1499"/>
  <c r="H34" i="1499"/>
  <c r="D34" i="1499"/>
  <c r="D54" i="1499" s="1"/>
  <c r="H14" i="1499" s="1"/>
  <c r="R33" i="1499"/>
  <c r="R32" i="1499"/>
  <c r="L11" i="1499" s="1"/>
  <c r="D11" i="1499" s="1"/>
  <c r="R31" i="1499"/>
  <c r="R30" i="1499"/>
  <c r="R29" i="1499"/>
  <c r="R28" i="1499"/>
  <c r="L16" i="1499" s="1"/>
  <c r="D16" i="1499" s="1"/>
  <c r="D28" i="1499"/>
  <c r="R27" i="1499"/>
  <c r="D27" i="1499"/>
  <c r="R26" i="1499"/>
  <c r="L26" i="1499"/>
  <c r="D26" i="1499" s="1"/>
  <c r="R25" i="1499"/>
  <c r="L25" i="1499"/>
  <c r="D25" i="1499"/>
  <c r="R24" i="1499"/>
  <c r="D24" i="1499"/>
  <c r="R23" i="1499"/>
  <c r="L23" i="1499"/>
  <c r="D23" i="1499" s="1"/>
  <c r="R22" i="1499"/>
  <c r="L22" i="1499"/>
  <c r="D22" i="1499" s="1"/>
  <c r="R21" i="1499"/>
  <c r="D21" i="1499"/>
  <c r="R20" i="1499"/>
  <c r="L20" i="1499"/>
  <c r="D20" i="1499"/>
  <c r="R19" i="1499"/>
  <c r="L19" i="1499"/>
  <c r="D19" i="1499"/>
  <c r="R18" i="1499"/>
  <c r="D18" i="1499"/>
  <c r="R17" i="1499"/>
  <c r="D17" i="1499"/>
  <c r="R16" i="1499"/>
  <c r="R15" i="1499"/>
  <c r="D15" i="1499"/>
  <c r="R14" i="1499"/>
  <c r="D14" i="1499"/>
  <c r="R13" i="1499"/>
  <c r="D13" i="1499"/>
  <c r="R12" i="1499"/>
  <c r="L12" i="1499"/>
  <c r="D12" i="1499"/>
  <c r="R11" i="1499"/>
  <c r="L10" i="1499"/>
  <c r="D10" i="1499" s="1"/>
  <c r="L7" i="1499"/>
  <c r="D7" i="1499"/>
  <c r="R6" i="1499"/>
  <c r="L6" i="1499"/>
  <c r="D6" i="1499"/>
  <c r="R5" i="1499"/>
  <c r="R4" i="1499"/>
  <c r="R52" i="1498"/>
  <c r="R51" i="1498"/>
  <c r="D50" i="1498"/>
  <c r="R49" i="1498"/>
  <c r="D49" i="1498"/>
  <c r="R48" i="1498"/>
  <c r="D48" i="1498"/>
  <c r="D46" i="1498"/>
  <c r="D45" i="1498"/>
  <c r="D44" i="1498"/>
  <c r="R42" i="1498"/>
  <c r="D42" i="1498"/>
  <c r="R41" i="1498"/>
  <c r="D41" i="1498"/>
  <c r="R40" i="1498"/>
  <c r="D40" i="1498"/>
  <c r="R39" i="1498"/>
  <c r="L20" i="1498" s="1"/>
  <c r="D20" i="1498" s="1"/>
  <c r="H39" i="1498"/>
  <c r="D39" i="1498"/>
  <c r="R38" i="1498"/>
  <c r="L9" i="1498" s="1"/>
  <c r="D9" i="1498" s="1"/>
  <c r="H38" i="1498"/>
  <c r="G49" i="1498" s="1"/>
  <c r="D38" i="1498"/>
  <c r="R37" i="1498"/>
  <c r="H37" i="1498"/>
  <c r="D37" i="1498"/>
  <c r="R36" i="1498"/>
  <c r="H36" i="1498"/>
  <c r="D36" i="1498"/>
  <c r="R35" i="1498"/>
  <c r="H35" i="1498"/>
  <c r="D35" i="1498"/>
  <c r="R34" i="1498"/>
  <c r="H34" i="1498"/>
  <c r="D34" i="1498"/>
  <c r="D54" i="1498" s="1"/>
  <c r="H14" i="1498" s="1"/>
  <c r="R33" i="1498"/>
  <c r="L23" i="1498" s="1"/>
  <c r="D23" i="1498" s="1"/>
  <c r="R32" i="1498"/>
  <c r="L11" i="1498" s="1"/>
  <c r="D11" i="1498" s="1"/>
  <c r="R31" i="1498"/>
  <c r="R30" i="1498"/>
  <c r="R29" i="1498"/>
  <c r="R28" i="1498"/>
  <c r="D28" i="1498"/>
  <c r="R27" i="1498"/>
  <c r="D27" i="1498"/>
  <c r="R26" i="1498"/>
  <c r="L26" i="1498"/>
  <c r="D26" i="1498"/>
  <c r="R25" i="1498"/>
  <c r="L25" i="1498"/>
  <c r="D25" i="1498"/>
  <c r="R24" i="1498"/>
  <c r="L24" i="1498"/>
  <c r="D24" i="1498"/>
  <c r="R23" i="1498"/>
  <c r="R22" i="1498"/>
  <c r="L22" i="1498"/>
  <c r="D22" i="1498"/>
  <c r="R21" i="1498"/>
  <c r="D21" i="1498"/>
  <c r="R20" i="1498"/>
  <c r="R19" i="1498"/>
  <c r="L19" i="1498"/>
  <c r="D19" i="1498"/>
  <c r="R18" i="1498"/>
  <c r="D18" i="1498"/>
  <c r="R17" i="1498"/>
  <c r="L17" i="1498"/>
  <c r="D17" i="1498" s="1"/>
  <c r="R16" i="1498"/>
  <c r="L16" i="1498"/>
  <c r="D16" i="1498"/>
  <c r="R15" i="1498"/>
  <c r="D15" i="1498"/>
  <c r="R14" i="1498"/>
  <c r="D14" i="1498"/>
  <c r="R13" i="1498"/>
  <c r="D13" i="1498"/>
  <c r="R12" i="1498"/>
  <c r="L12" i="1498"/>
  <c r="D12" i="1498" s="1"/>
  <c r="R11" i="1498"/>
  <c r="L10" i="1498"/>
  <c r="D10" i="1498"/>
  <c r="L8" i="1498"/>
  <c r="D8" i="1498"/>
  <c r="L7" i="1498"/>
  <c r="D7" i="1498"/>
  <c r="R6" i="1498"/>
  <c r="L6" i="1498"/>
  <c r="D6" i="1498"/>
  <c r="R5" i="1498"/>
  <c r="R4" i="1498"/>
  <c r="R52" i="1497"/>
  <c r="R51" i="1497"/>
  <c r="D50" i="1497"/>
  <c r="R49" i="1497"/>
  <c r="D49" i="1497"/>
  <c r="R48" i="1497"/>
  <c r="D48" i="1497"/>
  <c r="D46" i="1497"/>
  <c r="D45" i="1497"/>
  <c r="P44" i="1497"/>
  <c r="R44" i="1497" s="1"/>
  <c r="D44" i="1497"/>
  <c r="R42" i="1497"/>
  <c r="L6" i="1497" s="1"/>
  <c r="D6" i="1497" s="1"/>
  <c r="D42" i="1497"/>
  <c r="R41" i="1497"/>
  <c r="D41" i="1497"/>
  <c r="R40" i="1497"/>
  <c r="L8" i="1497" s="1"/>
  <c r="D8" i="1497" s="1"/>
  <c r="D40" i="1497"/>
  <c r="R39" i="1497"/>
  <c r="H39" i="1497"/>
  <c r="D39" i="1497"/>
  <c r="R38" i="1497"/>
  <c r="L9" i="1497" s="1"/>
  <c r="D9" i="1497" s="1"/>
  <c r="H38" i="1497"/>
  <c r="D38" i="1497"/>
  <c r="R37" i="1497"/>
  <c r="H37" i="1497"/>
  <c r="D37" i="1497"/>
  <c r="R36" i="1497"/>
  <c r="L10" i="1497" s="1"/>
  <c r="D10" i="1497" s="1"/>
  <c r="H36" i="1497"/>
  <c r="D36" i="1497"/>
  <c r="R35" i="1497"/>
  <c r="H35" i="1497"/>
  <c r="G49" i="1497" s="1"/>
  <c r="D35" i="1497"/>
  <c r="D54" i="1497" s="1"/>
  <c r="H14" i="1497" s="1"/>
  <c r="R34" i="1497"/>
  <c r="L12" i="1497" s="1"/>
  <c r="D12" i="1497" s="1"/>
  <c r="H34" i="1497"/>
  <c r="D34" i="1497"/>
  <c r="R33" i="1497"/>
  <c r="R32" i="1497"/>
  <c r="R31" i="1497"/>
  <c r="R30" i="1497"/>
  <c r="R29" i="1497"/>
  <c r="R28" i="1497"/>
  <c r="L16" i="1497" s="1"/>
  <c r="D16" i="1497" s="1"/>
  <c r="D28" i="1497"/>
  <c r="R27" i="1497"/>
  <c r="D27" i="1497"/>
  <c r="R26" i="1497"/>
  <c r="L26" i="1497"/>
  <c r="D26" i="1497"/>
  <c r="R25" i="1497"/>
  <c r="L25" i="1497"/>
  <c r="D25" i="1497"/>
  <c r="R24" i="1497"/>
  <c r="L24" i="1497"/>
  <c r="D24" i="1497"/>
  <c r="R23" i="1497"/>
  <c r="D23" i="1497"/>
  <c r="R22" i="1497"/>
  <c r="D22" i="1497"/>
  <c r="R21" i="1497"/>
  <c r="D21" i="1497"/>
  <c r="R20" i="1497"/>
  <c r="L20" i="1497"/>
  <c r="D20" i="1497"/>
  <c r="R19" i="1497"/>
  <c r="D19" i="1497"/>
  <c r="R18" i="1497"/>
  <c r="D18" i="1497"/>
  <c r="R17" i="1497"/>
  <c r="L17" i="1497"/>
  <c r="D17" i="1497"/>
  <c r="R16" i="1497"/>
  <c r="R15" i="1497"/>
  <c r="D15" i="1497"/>
  <c r="R14" i="1497"/>
  <c r="D14" i="1497"/>
  <c r="R13" i="1497"/>
  <c r="D13" i="1497"/>
  <c r="R12" i="1497"/>
  <c r="R11" i="1497"/>
  <c r="L11" i="1497"/>
  <c r="D11" i="1497" s="1"/>
  <c r="L7" i="1497"/>
  <c r="D7" i="1497"/>
  <c r="R6" i="1497"/>
  <c r="R5" i="1497"/>
  <c r="R4" i="1497"/>
  <c r="D29" i="1519" l="1"/>
  <c r="H13" i="1519" s="1"/>
  <c r="H15" i="1519" s="1"/>
  <c r="H29" i="1519" s="1"/>
  <c r="G51" i="1519"/>
  <c r="D29" i="1518"/>
  <c r="H13" i="1518" s="1"/>
  <c r="H15" i="1518" s="1"/>
  <c r="H29" i="1518" s="1"/>
  <c r="G51" i="1518"/>
  <c r="D29" i="1517"/>
  <c r="H13" i="1517" s="1"/>
  <c r="H15" i="1517" s="1"/>
  <c r="H29" i="1517" s="1"/>
  <c r="G51" i="1517"/>
  <c r="D29" i="1516"/>
  <c r="H13" i="1516" s="1"/>
  <c r="H15" i="1516" s="1"/>
  <c r="H29" i="1516" s="1"/>
  <c r="G51" i="1516" s="1"/>
  <c r="D29" i="1515"/>
  <c r="H13" i="1515" s="1"/>
  <c r="H15" i="1515" s="1"/>
  <c r="H29" i="1515" s="1"/>
  <c r="G51" i="1515" s="1"/>
  <c r="G51" i="1514"/>
  <c r="D29" i="1513"/>
  <c r="H13" i="1513" s="1"/>
  <c r="H15" i="1513" s="1"/>
  <c r="H29" i="1513" s="1"/>
  <c r="G51" i="1513" s="1"/>
  <c r="D29" i="1512"/>
  <c r="H13" i="1512" s="1"/>
  <c r="H15" i="1512" s="1"/>
  <c r="H29" i="1512" s="1"/>
  <c r="G51" i="1512" s="1"/>
  <c r="D29" i="1511"/>
  <c r="H13" i="1511" s="1"/>
  <c r="H15" i="1511" s="1"/>
  <c r="H29" i="1511" s="1"/>
  <c r="G51" i="1511" s="1"/>
  <c r="D29" i="1510"/>
  <c r="H13" i="1510" s="1"/>
  <c r="H15" i="1510" s="1"/>
  <c r="H29" i="1510" s="1"/>
  <c r="G51" i="1510"/>
  <c r="D29" i="1509"/>
  <c r="H13" i="1509" s="1"/>
  <c r="H15" i="1509" s="1"/>
  <c r="H29" i="1509" s="1"/>
  <c r="G51" i="1509" s="1"/>
  <c r="D29" i="1508"/>
  <c r="H13" i="1508" s="1"/>
  <c r="H15" i="1508" s="1"/>
  <c r="H29" i="1508" s="1"/>
  <c r="G51" i="1508" s="1"/>
  <c r="D29" i="1507"/>
  <c r="H13" i="1507" s="1"/>
  <c r="H15" i="1507" s="1"/>
  <c r="H29" i="1507" s="1"/>
  <c r="G51" i="1507" s="1"/>
  <c r="D29" i="1506"/>
  <c r="H13" i="1506" s="1"/>
  <c r="H15" i="1506" s="1"/>
  <c r="H29" i="1506" s="1"/>
  <c r="G51" i="1506"/>
  <c r="D29" i="1505"/>
  <c r="H13" i="1505" s="1"/>
  <c r="H15" i="1505" s="1"/>
  <c r="H29" i="1505" s="1"/>
  <c r="G51" i="1505" s="1"/>
  <c r="D29" i="1503"/>
  <c r="H13" i="1503" s="1"/>
  <c r="H15" i="1503" s="1"/>
  <c r="H29" i="1503" s="1"/>
  <c r="G51" i="1503" s="1"/>
  <c r="D29" i="1502"/>
  <c r="H13" i="1502" s="1"/>
  <c r="H15" i="1502" s="1"/>
  <c r="H29" i="1502" s="1"/>
  <c r="G51" i="1502"/>
  <c r="D29" i="1501"/>
  <c r="H13" i="1501" s="1"/>
  <c r="H15" i="1501" s="1"/>
  <c r="H29" i="1501" s="1"/>
  <c r="G51" i="1501" s="1"/>
  <c r="D29" i="1500"/>
  <c r="H13" i="1500" s="1"/>
  <c r="H15" i="1500" s="1"/>
  <c r="H29" i="1500" s="1"/>
  <c r="G51" i="1500" s="1"/>
  <c r="D29" i="1499"/>
  <c r="H13" i="1499" s="1"/>
  <c r="H15" i="1499" s="1"/>
  <c r="H29" i="1499" s="1"/>
  <c r="G51" i="1499" s="1"/>
  <c r="D29" i="1498"/>
  <c r="H13" i="1498" s="1"/>
  <c r="H15" i="1498" s="1"/>
  <c r="H29" i="1498" s="1"/>
  <c r="G51" i="1498" s="1"/>
  <c r="D29" i="1497"/>
  <c r="H13" i="1497" s="1"/>
  <c r="H15" i="1497" s="1"/>
  <c r="H29" i="1497" s="1"/>
  <c r="G51" i="1497" s="1"/>
  <c r="C12" i="1469"/>
  <c r="H16" i="1470" l="1"/>
  <c r="C12" i="1470" l="1"/>
  <c r="H16" i="1466" l="1"/>
  <c r="H16" i="1464" l="1"/>
  <c r="C21" i="1466"/>
  <c r="C21" i="1460" l="1"/>
  <c r="R52" i="1496" l="1"/>
  <c r="R51" i="1496"/>
  <c r="D50" i="1496"/>
  <c r="R49" i="1496"/>
  <c r="G49" i="1496"/>
  <c r="D49" i="1496"/>
  <c r="R48" i="1496"/>
  <c r="D48" i="1496"/>
  <c r="D46" i="1496"/>
  <c r="D45" i="1496"/>
  <c r="D44" i="1496"/>
  <c r="R42" i="1496"/>
  <c r="D42" i="1496"/>
  <c r="R41" i="1496"/>
  <c r="L7" i="1496" s="1"/>
  <c r="D7" i="1496" s="1"/>
  <c r="D41" i="1496"/>
  <c r="R40" i="1496"/>
  <c r="L8" i="1496" s="1"/>
  <c r="D8" i="1496" s="1"/>
  <c r="D40" i="1496"/>
  <c r="R39" i="1496"/>
  <c r="D39" i="1496"/>
  <c r="R38" i="1496"/>
  <c r="D38" i="1496"/>
  <c r="R37" i="1496"/>
  <c r="D37" i="1496"/>
  <c r="R36" i="1496"/>
  <c r="D36" i="1496"/>
  <c r="R35" i="1496"/>
  <c r="D35" i="1496"/>
  <c r="R34" i="1496"/>
  <c r="L12" i="1496" s="1"/>
  <c r="D12" i="1496" s="1"/>
  <c r="D34" i="1496"/>
  <c r="D54" i="1496" s="1"/>
  <c r="H14" i="1496" s="1"/>
  <c r="R33" i="1496"/>
  <c r="L23" i="1496" s="1"/>
  <c r="D23" i="1496" s="1"/>
  <c r="R32" i="1496"/>
  <c r="L11" i="1496" s="1"/>
  <c r="D11" i="1496" s="1"/>
  <c r="R31" i="1496"/>
  <c r="R30" i="1496"/>
  <c r="R29" i="1496"/>
  <c r="R28" i="1496"/>
  <c r="D28" i="1496"/>
  <c r="R27" i="1496"/>
  <c r="D27" i="1496"/>
  <c r="R26" i="1496"/>
  <c r="L26" i="1496"/>
  <c r="D26" i="1496" s="1"/>
  <c r="R25" i="1496"/>
  <c r="L25" i="1496"/>
  <c r="D25" i="1496"/>
  <c r="R24" i="1496"/>
  <c r="D24" i="1496"/>
  <c r="R23" i="1496"/>
  <c r="R22" i="1496"/>
  <c r="L22" i="1496"/>
  <c r="D22" i="1496"/>
  <c r="R21" i="1496"/>
  <c r="D21" i="1496"/>
  <c r="R20" i="1496"/>
  <c r="L20" i="1496"/>
  <c r="D20" i="1496" s="1"/>
  <c r="R19" i="1496"/>
  <c r="L19" i="1496"/>
  <c r="D19" i="1496"/>
  <c r="R18" i="1496"/>
  <c r="D18" i="1496"/>
  <c r="R17" i="1496"/>
  <c r="D17" i="1496"/>
  <c r="R16" i="1496"/>
  <c r="L16" i="1496"/>
  <c r="D16" i="1496" s="1"/>
  <c r="S15" i="1496"/>
  <c r="R15" i="1496"/>
  <c r="D15" i="1496"/>
  <c r="S14" i="1496"/>
  <c r="R14" i="1496"/>
  <c r="D14" i="1496"/>
  <c r="R13" i="1496"/>
  <c r="D13" i="1496"/>
  <c r="R12" i="1496"/>
  <c r="R11" i="1496"/>
  <c r="L10" i="1496"/>
  <c r="D10" i="1496" s="1"/>
  <c r="L9" i="1496"/>
  <c r="D9" i="1496"/>
  <c r="R6" i="1496"/>
  <c r="L6" i="1496"/>
  <c r="D6" i="1496" s="1"/>
  <c r="R5" i="1496"/>
  <c r="R4" i="1496"/>
  <c r="R52" i="1495"/>
  <c r="R51" i="1495"/>
  <c r="D50" i="1495"/>
  <c r="R49" i="1495"/>
  <c r="D49" i="1495"/>
  <c r="R48" i="1495"/>
  <c r="D48" i="1495"/>
  <c r="D46" i="1495"/>
  <c r="D45" i="1495"/>
  <c r="D44" i="1495"/>
  <c r="R42" i="1495"/>
  <c r="D42" i="1495"/>
  <c r="R41" i="1495"/>
  <c r="L7" i="1495" s="1"/>
  <c r="D7" i="1495" s="1"/>
  <c r="D41" i="1495"/>
  <c r="R40" i="1495"/>
  <c r="D40" i="1495"/>
  <c r="R39" i="1495"/>
  <c r="H39" i="1495"/>
  <c r="D39" i="1495"/>
  <c r="R38" i="1495"/>
  <c r="H38" i="1495"/>
  <c r="D38" i="1495"/>
  <c r="R37" i="1495"/>
  <c r="H37" i="1495"/>
  <c r="D37" i="1495"/>
  <c r="R36" i="1495"/>
  <c r="H36" i="1495"/>
  <c r="D36" i="1495"/>
  <c r="R35" i="1495"/>
  <c r="L19" i="1495" s="1"/>
  <c r="D19" i="1495" s="1"/>
  <c r="H35" i="1495"/>
  <c r="G49" i="1495" s="1"/>
  <c r="D35" i="1495"/>
  <c r="R34" i="1495"/>
  <c r="L12" i="1495" s="1"/>
  <c r="D12" i="1495" s="1"/>
  <c r="H34" i="1495"/>
  <c r="D34" i="1495"/>
  <c r="D54" i="1495" s="1"/>
  <c r="H14" i="1495" s="1"/>
  <c r="R33" i="1495"/>
  <c r="L23" i="1495" s="1"/>
  <c r="D23" i="1495" s="1"/>
  <c r="R32" i="1495"/>
  <c r="R31" i="1495"/>
  <c r="R30" i="1495"/>
  <c r="R29" i="1495"/>
  <c r="R28" i="1495"/>
  <c r="D28" i="1495"/>
  <c r="R27" i="1495"/>
  <c r="D27" i="1495"/>
  <c r="R26" i="1495"/>
  <c r="L26" i="1495"/>
  <c r="D26" i="1495"/>
  <c r="R25" i="1495"/>
  <c r="L25" i="1495"/>
  <c r="D25" i="1495"/>
  <c r="R24" i="1495"/>
  <c r="D24" i="1495"/>
  <c r="R23" i="1495"/>
  <c r="R22" i="1495"/>
  <c r="L22" i="1495"/>
  <c r="D22" i="1495" s="1"/>
  <c r="R21" i="1495"/>
  <c r="D21" i="1495"/>
  <c r="R20" i="1495"/>
  <c r="L20" i="1495"/>
  <c r="D20" i="1495"/>
  <c r="R19" i="1495"/>
  <c r="R18" i="1495"/>
  <c r="D18" i="1495"/>
  <c r="R17" i="1495"/>
  <c r="D17" i="1495"/>
  <c r="R16" i="1495"/>
  <c r="L16" i="1495"/>
  <c r="D16" i="1495" s="1"/>
  <c r="R15" i="1495"/>
  <c r="D15" i="1495"/>
  <c r="R14" i="1495"/>
  <c r="D14" i="1495"/>
  <c r="R13" i="1495"/>
  <c r="D13" i="1495"/>
  <c r="R12" i="1495"/>
  <c r="R11" i="1495"/>
  <c r="L11" i="1495"/>
  <c r="D11" i="1495"/>
  <c r="L10" i="1495"/>
  <c r="D10" i="1495" s="1"/>
  <c r="L9" i="1495"/>
  <c r="D9" i="1495"/>
  <c r="L8" i="1495"/>
  <c r="D8" i="1495" s="1"/>
  <c r="R6" i="1495"/>
  <c r="L6" i="1495"/>
  <c r="D6" i="1495" s="1"/>
  <c r="R5" i="1495"/>
  <c r="R4" i="1495"/>
  <c r="R52" i="1494"/>
  <c r="R51" i="1494"/>
  <c r="D50" i="1494"/>
  <c r="R49" i="1494"/>
  <c r="D49" i="1494"/>
  <c r="R48" i="1494"/>
  <c r="D48" i="1494"/>
  <c r="D46" i="1494"/>
  <c r="D45" i="1494"/>
  <c r="D44" i="1494"/>
  <c r="R42" i="1494"/>
  <c r="L6" i="1494" s="1"/>
  <c r="D6" i="1494" s="1"/>
  <c r="D42" i="1494"/>
  <c r="R41" i="1494"/>
  <c r="L7" i="1494" s="1"/>
  <c r="D7" i="1494" s="1"/>
  <c r="D41" i="1494"/>
  <c r="R40" i="1494"/>
  <c r="D40" i="1494"/>
  <c r="R39" i="1494"/>
  <c r="L20" i="1494" s="1"/>
  <c r="D20" i="1494" s="1"/>
  <c r="H39" i="1494"/>
  <c r="D39" i="1494"/>
  <c r="R38" i="1494"/>
  <c r="L9" i="1494" s="1"/>
  <c r="D9" i="1494" s="1"/>
  <c r="H38" i="1494"/>
  <c r="D38" i="1494"/>
  <c r="R37" i="1494"/>
  <c r="H37" i="1494"/>
  <c r="D37" i="1494"/>
  <c r="R36" i="1494"/>
  <c r="H36" i="1494"/>
  <c r="G49" i="1494" s="1"/>
  <c r="D36" i="1494"/>
  <c r="R35" i="1494"/>
  <c r="L19" i="1494" s="1"/>
  <c r="D19" i="1494" s="1"/>
  <c r="H35" i="1494"/>
  <c r="D35" i="1494"/>
  <c r="R34" i="1494"/>
  <c r="H34" i="1494"/>
  <c r="D34" i="1494"/>
  <c r="D54" i="1494" s="1"/>
  <c r="H14" i="1494" s="1"/>
  <c r="R33" i="1494"/>
  <c r="R32" i="1494"/>
  <c r="R31" i="1494"/>
  <c r="R30" i="1494"/>
  <c r="R29" i="1494"/>
  <c r="R28" i="1494"/>
  <c r="D28" i="1494"/>
  <c r="R27" i="1494"/>
  <c r="D27" i="1494"/>
  <c r="R26" i="1494"/>
  <c r="L26" i="1494"/>
  <c r="D26" i="1494"/>
  <c r="R25" i="1494"/>
  <c r="L25" i="1494"/>
  <c r="D25" i="1494"/>
  <c r="R24" i="1494"/>
  <c r="L24" i="1494"/>
  <c r="D24" i="1494"/>
  <c r="R23" i="1494"/>
  <c r="L23" i="1494"/>
  <c r="D23" i="1494"/>
  <c r="R22" i="1494"/>
  <c r="L22" i="1494"/>
  <c r="D22" i="1494"/>
  <c r="R21" i="1494"/>
  <c r="L17" i="1494" s="1"/>
  <c r="D17" i="1494" s="1"/>
  <c r="D21" i="1494"/>
  <c r="R20" i="1494"/>
  <c r="R19" i="1494"/>
  <c r="R18" i="1494"/>
  <c r="D18" i="1494"/>
  <c r="R17" i="1494"/>
  <c r="R16" i="1494"/>
  <c r="L16" i="1494"/>
  <c r="D16" i="1494"/>
  <c r="R15" i="1494"/>
  <c r="D15" i="1494"/>
  <c r="R14" i="1494"/>
  <c r="D14" i="1494"/>
  <c r="R13" i="1494"/>
  <c r="D13" i="1494"/>
  <c r="R12" i="1494"/>
  <c r="L12" i="1494"/>
  <c r="D12" i="1494"/>
  <c r="R11" i="1494"/>
  <c r="L11" i="1494"/>
  <c r="D11" i="1494"/>
  <c r="L10" i="1494"/>
  <c r="D10" i="1494"/>
  <c r="L8" i="1494"/>
  <c r="D8" i="1494"/>
  <c r="R6" i="1494"/>
  <c r="R5" i="1494"/>
  <c r="R4" i="1494"/>
  <c r="R52" i="1493"/>
  <c r="R51" i="1493"/>
  <c r="D50" i="1493"/>
  <c r="R49" i="1493"/>
  <c r="D49" i="1493"/>
  <c r="R48" i="1493"/>
  <c r="D48" i="1493"/>
  <c r="D46" i="1493"/>
  <c r="D45" i="1493"/>
  <c r="P44" i="1493"/>
  <c r="R44" i="1493" s="1"/>
  <c r="D44" i="1493"/>
  <c r="R42" i="1493"/>
  <c r="L6" i="1493" s="1"/>
  <c r="D6" i="1493" s="1"/>
  <c r="D42" i="1493"/>
  <c r="R41" i="1493"/>
  <c r="D41" i="1493"/>
  <c r="R40" i="1493"/>
  <c r="D40" i="1493"/>
  <c r="R39" i="1493"/>
  <c r="L20" i="1493" s="1"/>
  <c r="D20" i="1493" s="1"/>
  <c r="H39" i="1493"/>
  <c r="D39" i="1493"/>
  <c r="R38" i="1493"/>
  <c r="H38" i="1493"/>
  <c r="D38" i="1493"/>
  <c r="R37" i="1493"/>
  <c r="H37" i="1493"/>
  <c r="D37" i="1493"/>
  <c r="R36" i="1493"/>
  <c r="L10" i="1493" s="1"/>
  <c r="D10" i="1493" s="1"/>
  <c r="H36" i="1493"/>
  <c r="D36" i="1493"/>
  <c r="D54" i="1493" s="1"/>
  <c r="H14" i="1493" s="1"/>
  <c r="R35" i="1493"/>
  <c r="H35" i="1493"/>
  <c r="D35" i="1493"/>
  <c r="R34" i="1493"/>
  <c r="L12" i="1493" s="1"/>
  <c r="D12" i="1493" s="1"/>
  <c r="H34" i="1493"/>
  <c r="G49" i="1493" s="1"/>
  <c r="D34" i="1493"/>
  <c r="R33" i="1493"/>
  <c r="R32" i="1493"/>
  <c r="R31" i="1493"/>
  <c r="R30" i="1493"/>
  <c r="R29" i="1493"/>
  <c r="R28" i="1493"/>
  <c r="L16" i="1493" s="1"/>
  <c r="D16" i="1493" s="1"/>
  <c r="D28" i="1493"/>
  <c r="R27" i="1493"/>
  <c r="D27" i="1493"/>
  <c r="R26" i="1493"/>
  <c r="L26" i="1493"/>
  <c r="D26" i="1493"/>
  <c r="R25" i="1493"/>
  <c r="L25" i="1493"/>
  <c r="D25" i="1493"/>
  <c r="R24" i="1493"/>
  <c r="L24" i="1493"/>
  <c r="D24" i="1493"/>
  <c r="R23" i="1493"/>
  <c r="D23" i="1493"/>
  <c r="R22" i="1493"/>
  <c r="D22" i="1493"/>
  <c r="R21" i="1493"/>
  <c r="D21" i="1493"/>
  <c r="R20" i="1493"/>
  <c r="R19" i="1493"/>
  <c r="D19" i="1493"/>
  <c r="R18" i="1493"/>
  <c r="D18" i="1493"/>
  <c r="R17" i="1493"/>
  <c r="L17" i="1493"/>
  <c r="D17" i="1493"/>
  <c r="R16" i="1493"/>
  <c r="R15" i="1493"/>
  <c r="D15" i="1493"/>
  <c r="R14" i="1493"/>
  <c r="D14" i="1493"/>
  <c r="R13" i="1493"/>
  <c r="D13" i="1493"/>
  <c r="R12" i="1493"/>
  <c r="R11" i="1493"/>
  <c r="L11" i="1493"/>
  <c r="D11" i="1493" s="1"/>
  <c r="L9" i="1493"/>
  <c r="D9" i="1493"/>
  <c r="L8" i="1493"/>
  <c r="D8" i="1493"/>
  <c r="L7" i="1493"/>
  <c r="D7" i="1493"/>
  <c r="R6" i="1493"/>
  <c r="R5" i="1493"/>
  <c r="R4" i="1493"/>
  <c r="R52" i="1492"/>
  <c r="R51" i="1492"/>
  <c r="D50" i="1492"/>
  <c r="R49" i="1492"/>
  <c r="G49" i="1492"/>
  <c r="D49" i="1492"/>
  <c r="R48" i="1492"/>
  <c r="D48" i="1492"/>
  <c r="D46" i="1492"/>
  <c r="D45" i="1492"/>
  <c r="D44" i="1492"/>
  <c r="R42" i="1492"/>
  <c r="L6" i="1492" s="1"/>
  <c r="D6" i="1492" s="1"/>
  <c r="D42" i="1492"/>
  <c r="R41" i="1492"/>
  <c r="L7" i="1492" s="1"/>
  <c r="D7" i="1492" s="1"/>
  <c r="D41" i="1492"/>
  <c r="R40" i="1492"/>
  <c r="L8" i="1492" s="1"/>
  <c r="D8" i="1492" s="1"/>
  <c r="D40" i="1492"/>
  <c r="R39" i="1492"/>
  <c r="D39" i="1492"/>
  <c r="R38" i="1492"/>
  <c r="L9" i="1492" s="1"/>
  <c r="D9" i="1492" s="1"/>
  <c r="D38" i="1492"/>
  <c r="R37" i="1492"/>
  <c r="D37" i="1492"/>
  <c r="R36" i="1492"/>
  <c r="L10" i="1492" s="1"/>
  <c r="D10" i="1492" s="1"/>
  <c r="D36" i="1492"/>
  <c r="R35" i="1492"/>
  <c r="D35" i="1492"/>
  <c r="D54" i="1492" s="1"/>
  <c r="H14" i="1492" s="1"/>
  <c r="R34" i="1492"/>
  <c r="L12" i="1492" s="1"/>
  <c r="D12" i="1492" s="1"/>
  <c r="D34" i="1492"/>
  <c r="R33" i="1492"/>
  <c r="L23" i="1492" s="1"/>
  <c r="D23" i="1492" s="1"/>
  <c r="R32" i="1492"/>
  <c r="L11" i="1492" s="1"/>
  <c r="D11" i="1492" s="1"/>
  <c r="R31" i="1492"/>
  <c r="R30" i="1492"/>
  <c r="R29" i="1492"/>
  <c r="R28" i="1492"/>
  <c r="D28" i="1492"/>
  <c r="R27" i="1492"/>
  <c r="D27" i="1492"/>
  <c r="R26" i="1492"/>
  <c r="L26" i="1492"/>
  <c r="D26" i="1492"/>
  <c r="R25" i="1492"/>
  <c r="L25" i="1492"/>
  <c r="D25" i="1492"/>
  <c r="R24" i="1492"/>
  <c r="D24" i="1492"/>
  <c r="R23" i="1492"/>
  <c r="R22" i="1492"/>
  <c r="L22" i="1492"/>
  <c r="D22" i="1492"/>
  <c r="R21" i="1492"/>
  <c r="D21" i="1492"/>
  <c r="R20" i="1492"/>
  <c r="L20" i="1492"/>
  <c r="D20" i="1492"/>
  <c r="R19" i="1492"/>
  <c r="L19" i="1492"/>
  <c r="D19" i="1492"/>
  <c r="R18" i="1492"/>
  <c r="D18" i="1492"/>
  <c r="R17" i="1492"/>
  <c r="D17" i="1492"/>
  <c r="R16" i="1492"/>
  <c r="L16" i="1492"/>
  <c r="D16" i="1492" s="1"/>
  <c r="S15" i="1492"/>
  <c r="R15" i="1492"/>
  <c r="D15" i="1492"/>
  <c r="S14" i="1492"/>
  <c r="R14" i="1492"/>
  <c r="D14" i="1492"/>
  <c r="R13" i="1492"/>
  <c r="D13" i="1492"/>
  <c r="R12" i="1492"/>
  <c r="R11" i="1492"/>
  <c r="R6" i="1492"/>
  <c r="R5" i="1492"/>
  <c r="R4" i="1492"/>
  <c r="R52" i="1491"/>
  <c r="R51" i="1491"/>
  <c r="D50" i="1491"/>
  <c r="R49" i="1491"/>
  <c r="D49" i="1491"/>
  <c r="R48" i="1491"/>
  <c r="D48" i="1491"/>
  <c r="D46" i="1491"/>
  <c r="D45" i="1491"/>
  <c r="D44" i="1491"/>
  <c r="R42" i="1491"/>
  <c r="D42" i="1491"/>
  <c r="R41" i="1491"/>
  <c r="L7" i="1491" s="1"/>
  <c r="D7" i="1491" s="1"/>
  <c r="D41" i="1491"/>
  <c r="R40" i="1491"/>
  <c r="L8" i="1491" s="1"/>
  <c r="D8" i="1491" s="1"/>
  <c r="D40" i="1491"/>
  <c r="R39" i="1491"/>
  <c r="H39" i="1491"/>
  <c r="D39" i="1491"/>
  <c r="R38" i="1491"/>
  <c r="H38" i="1491"/>
  <c r="D38" i="1491"/>
  <c r="R37" i="1491"/>
  <c r="H37" i="1491"/>
  <c r="D37" i="1491"/>
  <c r="R36" i="1491"/>
  <c r="H36" i="1491"/>
  <c r="D36" i="1491"/>
  <c r="R35" i="1491"/>
  <c r="L19" i="1491" s="1"/>
  <c r="D19" i="1491" s="1"/>
  <c r="H35" i="1491"/>
  <c r="D35" i="1491"/>
  <c r="R34" i="1491"/>
  <c r="H34" i="1491"/>
  <c r="D34" i="1491"/>
  <c r="R33" i="1491"/>
  <c r="L23" i="1491" s="1"/>
  <c r="D23" i="1491" s="1"/>
  <c r="R32" i="1491"/>
  <c r="R31" i="1491"/>
  <c r="R30" i="1491"/>
  <c r="R29" i="1491"/>
  <c r="R28" i="1491"/>
  <c r="L16" i="1491" s="1"/>
  <c r="D16" i="1491" s="1"/>
  <c r="D28" i="1491"/>
  <c r="R27" i="1491"/>
  <c r="D27" i="1491"/>
  <c r="R26" i="1491"/>
  <c r="L26" i="1491"/>
  <c r="D26" i="1491" s="1"/>
  <c r="R25" i="1491"/>
  <c r="L25" i="1491"/>
  <c r="D25" i="1491"/>
  <c r="R24" i="1491"/>
  <c r="D24" i="1491"/>
  <c r="R23" i="1491"/>
  <c r="R22" i="1491"/>
  <c r="L22" i="1491"/>
  <c r="D22" i="1491" s="1"/>
  <c r="R21" i="1491"/>
  <c r="D21" i="1491"/>
  <c r="R20" i="1491"/>
  <c r="L20" i="1491"/>
  <c r="D20" i="1491" s="1"/>
  <c r="R19" i="1491"/>
  <c r="R18" i="1491"/>
  <c r="D18" i="1491"/>
  <c r="R17" i="1491"/>
  <c r="D17" i="1491"/>
  <c r="R16" i="1491"/>
  <c r="R15" i="1491"/>
  <c r="D15" i="1491"/>
  <c r="R14" i="1491"/>
  <c r="D14" i="1491"/>
  <c r="R13" i="1491"/>
  <c r="D13" i="1491"/>
  <c r="R12" i="1491"/>
  <c r="L12" i="1491"/>
  <c r="D12" i="1491" s="1"/>
  <c r="R11" i="1491"/>
  <c r="L11" i="1491"/>
  <c r="D11" i="1491"/>
  <c r="L10" i="1491"/>
  <c r="D10" i="1491" s="1"/>
  <c r="L9" i="1491"/>
  <c r="D9" i="1491"/>
  <c r="R6" i="1491"/>
  <c r="L6" i="1491"/>
  <c r="D6" i="1491" s="1"/>
  <c r="R5" i="1491"/>
  <c r="R4" i="1491"/>
  <c r="R52" i="1490"/>
  <c r="R51" i="1490"/>
  <c r="D50" i="1490"/>
  <c r="R49" i="1490"/>
  <c r="D49" i="1490"/>
  <c r="R48" i="1490"/>
  <c r="D48" i="1490"/>
  <c r="D46" i="1490"/>
  <c r="D45" i="1490"/>
  <c r="D44" i="1490"/>
  <c r="R42" i="1490"/>
  <c r="L6" i="1490" s="1"/>
  <c r="D6" i="1490" s="1"/>
  <c r="D42" i="1490"/>
  <c r="R41" i="1490"/>
  <c r="D41" i="1490"/>
  <c r="R40" i="1490"/>
  <c r="D40" i="1490"/>
  <c r="R39" i="1490"/>
  <c r="L20" i="1490" s="1"/>
  <c r="D20" i="1490" s="1"/>
  <c r="H39" i="1490"/>
  <c r="D39" i="1490"/>
  <c r="R38" i="1490"/>
  <c r="L9" i="1490" s="1"/>
  <c r="D9" i="1490" s="1"/>
  <c r="H38" i="1490"/>
  <c r="D38" i="1490"/>
  <c r="R37" i="1490"/>
  <c r="H37" i="1490"/>
  <c r="D37" i="1490"/>
  <c r="R36" i="1490"/>
  <c r="L10" i="1490" s="1"/>
  <c r="D10" i="1490" s="1"/>
  <c r="H36" i="1490"/>
  <c r="D36" i="1490"/>
  <c r="R35" i="1490"/>
  <c r="H35" i="1490"/>
  <c r="D35" i="1490"/>
  <c r="R34" i="1490"/>
  <c r="L12" i="1490" s="1"/>
  <c r="D12" i="1490" s="1"/>
  <c r="H34" i="1490"/>
  <c r="D34" i="1490"/>
  <c r="R33" i="1490"/>
  <c r="L23" i="1490" s="1"/>
  <c r="D23" i="1490" s="1"/>
  <c r="R32" i="1490"/>
  <c r="L11" i="1490" s="1"/>
  <c r="D11" i="1490" s="1"/>
  <c r="R31" i="1490"/>
  <c r="R30" i="1490"/>
  <c r="R29" i="1490"/>
  <c r="R28" i="1490"/>
  <c r="D28" i="1490"/>
  <c r="R27" i="1490"/>
  <c r="D27" i="1490"/>
  <c r="R26" i="1490"/>
  <c r="L26" i="1490"/>
  <c r="D26" i="1490"/>
  <c r="R25" i="1490"/>
  <c r="L25" i="1490"/>
  <c r="D25" i="1490"/>
  <c r="R24" i="1490"/>
  <c r="L24" i="1490"/>
  <c r="D24" i="1490"/>
  <c r="R23" i="1490"/>
  <c r="R22" i="1490"/>
  <c r="L22" i="1490"/>
  <c r="D22" i="1490" s="1"/>
  <c r="R21" i="1490"/>
  <c r="L17" i="1490" s="1"/>
  <c r="D17" i="1490" s="1"/>
  <c r="D21" i="1490"/>
  <c r="R20" i="1490"/>
  <c r="R19" i="1490"/>
  <c r="L19" i="1490"/>
  <c r="D19" i="1490"/>
  <c r="R18" i="1490"/>
  <c r="D18" i="1490"/>
  <c r="R17" i="1490"/>
  <c r="R16" i="1490"/>
  <c r="L16" i="1490"/>
  <c r="D16" i="1490" s="1"/>
  <c r="R15" i="1490"/>
  <c r="D15" i="1490"/>
  <c r="R14" i="1490"/>
  <c r="D14" i="1490"/>
  <c r="R13" i="1490"/>
  <c r="D13" i="1490"/>
  <c r="R12" i="1490"/>
  <c r="R11" i="1490"/>
  <c r="L8" i="1490"/>
  <c r="D8" i="1490"/>
  <c r="L7" i="1490"/>
  <c r="D7" i="1490"/>
  <c r="R6" i="1490"/>
  <c r="R5" i="1490"/>
  <c r="R4" i="1490"/>
  <c r="R52" i="1489"/>
  <c r="R51" i="1489"/>
  <c r="D50" i="1489"/>
  <c r="R49" i="1489"/>
  <c r="D49" i="1489"/>
  <c r="R48" i="1489"/>
  <c r="D48" i="1489"/>
  <c r="D46" i="1489"/>
  <c r="D45" i="1489"/>
  <c r="P44" i="1489"/>
  <c r="R44" i="1489" s="1"/>
  <c r="D44" i="1489"/>
  <c r="R42" i="1489"/>
  <c r="L6" i="1489" s="1"/>
  <c r="D6" i="1489" s="1"/>
  <c r="D42" i="1489"/>
  <c r="R41" i="1489"/>
  <c r="D41" i="1489"/>
  <c r="R40" i="1489"/>
  <c r="L8" i="1489" s="1"/>
  <c r="D8" i="1489" s="1"/>
  <c r="D40" i="1489"/>
  <c r="R39" i="1489"/>
  <c r="L20" i="1489" s="1"/>
  <c r="D20" i="1489" s="1"/>
  <c r="H39" i="1489"/>
  <c r="D39" i="1489"/>
  <c r="R38" i="1489"/>
  <c r="H38" i="1489"/>
  <c r="D38" i="1489"/>
  <c r="R37" i="1489"/>
  <c r="H37" i="1489"/>
  <c r="D37" i="1489"/>
  <c r="R36" i="1489"/>
  <c r="H36" i="1489"/>
  <c r="G49" i="1489" s="1"/>
  <c r="D36" i="1489"/>
  <c r="R35" i="1489"/>
  <c r="H35" i="1489"/>
  <c r="D35" i="1489"/>
  <c r="R34" i="1489"/>
  <c r="H34" i="1489"/>
  <c r="D34" i="1489"/>
  <c r="R33" i="1489"/>
  <c r="R32" i="1489"/>
  <c r="R31" i="1489"/>
  <c r="R30" i="1489"/>
  <c r="R29" i="1489"/>
  <c r="R28" i="1489"/>
  <c r="D28" i="1489"/>
  <c r="R27" i="1489"/>
  <c r="D27" i="1489"/>
  <c r="R26" i="1489"/>
  <c r="L26" i="1489"/>
  <c r="D26" i="1489"/>
  <c r="R25" i="1489"/>
  <c r="L25" i="1489"/>
  <c r="D25" i="1489"/>
  <c r="R24" i="1489"/>
  <c r="L24" i="1489"/>
  <c r="D24" i="1489"/>
  <c r="R23" i="1489"/>
  <c r="D23" i="1489"/>
  <c r="R22" i="1489"/>
  <c r="D22" i="1489"/>
  <c r="R21" i="1489"/>
  <c r="D21" i="1489"/>
  <c r="R20" i="1489"/>
  <c r="R19" i="1489"/>
  <c r="D19" i="1489"/>
  <c r="R18" i="1489"/>
  <c r="D18" i="1489"/>
  <c r="R17" i="1489"/>
  <c r="L17" i="1489"/>
  <c r="D17" i="1489"/>
  <c r="R16" i="1489"/>
  <c r="L16" i="1489"/>
  <c r="D16" i="1489"/>
  <c r="R15" i="1489"/>
  <c r="D15" i="1489"/>
  <c r="R14" i="1489"/>
  <c r="D14" i="1489"/>
  <c r="R13" i="1489"/>
  <c r="D13" i="1489"/>
  <c r="R12" i="1489"/>
  <c r="L12" i="1489"/>
  <c r="D12" i="1489"/>
  <c r="R11" i="1489"/>
  <c r="L11" i="1489"/>
  <c r="D11" i="1489" s="1"/>
  <c r="L10" i="1489"/>
  <c r="D10" i="1489" s="1"/>
  <c r="L9" i="1489"/>
  <c r="D9" i="1489" s="1"/>
  <c r="L7" i="1489"/>
  <c r="D7" i="1489"/>
  <c r="R6" i="1489"/>
  <c r="R5" i="1489"/>
  <c r="R4" i="1489"/>
  <c r="R52" i="1488"/>
  <c r="R51" i="1488"/>
  <c r="D50" i="1488"/>
  <c r="R49" i="1488"/>
  <c r="G49" i="1488"/>
  <c r="D49" i="1488"/>
  <c r="R48" i="1488"/>
  <c r="D48" i="1488"/>
  <c r="D46" i="1488"/>
  <c r="D45" i="1488"/>
  <c r="D44" i="1488"/>
  <c r="R42" i="1488"/>
  <c r="L6" i="1488" s="1"/>
  <c r="D6" i="1488" s="1"/>
  <c r="D42" i="1488"/>
  <c r="R41" i="1488"/>
  <c r="L7" i="1488" s="1"/>
  <c r="D7" i="1488" s="1"/>
  <c r="D41" i="1488"/>
  <c r="R40" i="1488"/>
  <c r="D40" i="1488"/>
  <c r="R39" i="1488"/>
  <c r="D39" i="1488"/>
  <c r="R38" i="1488"/>
  <c r="L9" i="1488" s="1"/>
  <c r="D9" i="1488" s="1"/>
  <c r="D38" i="1488"/>
  <c r="R37" i="1488"/>
  <c r="D37" i="1488"/>
  <c r="R36" i="1488"/>
  <c r="L10" i="1488" s="1"/>
  <c r="D10" i="1488" s="1"/>
  <c r="D36" i="1488"/>
  <c r="R35" i="1488"/>
  <c r="D35" i="1488"/>
  <c r="R34" i="1488"/>
  <c r="L12" i="1488" s="1"/>
  <c r="D12" i="1488" s="1"/>
  <c r="D34" i="1488"/>
  <c r="D54" i="1488" s="1"/>
  <c r="H14" i="1488" s="1"/>
  <c r="R33" i="1488"/>
  <c r="L23" i="1488" s="1"/>
  <c r="D23" i="1488" s="1"/>
  <c r="R32" i="1488"/>
  <c r="R31" i="1488"/>
  <c r="R30" i="1488"/>
  <c r="R29" i="1488"/>
  <c r="R28" i="1488"/>
  <c r="D28" i="1488"/>
  <c r="R27" i="1488"/>
  <c r="D27" i="1488"/>
  <c r="R26" i="1488"/>
  <c r="L26" i="1488"/>
  <c r="D26" i="1488"/>
  <c r="R25" i="1488"/>
  <c r="L25" i="1488"/>
  <c r="D25" i="1488"/>
  <c r="R24" i="1488"/>
  <c r="D24" i="1488"/>
  <c r="R23" i="1488"/>
  <c r="R22" i="1488"/>
  <c r="L22" i="1488"/>
  <c r="D22" i="1488"/>
  <c r="R21" i="1488"/>
  <c r="D21" i="1488"/>
  <c r="R20" i="1488"/>
  <c r="L20" i="1488"/>
  <c r="D20" i="1488"/>
  <c r="R19" i="1488"/>
  <c r="L19" i="1488"/>
  <c r="D19" i="1488"/>
  <c r="R18" i="1488"/>
  <c r="D18" i="1488"/>
  <c r="R17" i="1488"/>
  <c r="D17" i="1488"/>
  <c r="R16" i="1488"/>
  <c r="L16" i="1488"/>
  <c r="D16" i="1488" s="1"/>
  <c r="S15" i="1488"/>
  <c r="R15" i="1488"/>
  <c r="D15" i="1488"/>
  <c r="S14" i="1488"/>
  <c r="R14" i="1488"/>
  <c r="D14" i="1488"/>
  <c r="R13" i="1488"/>
  <c r="D13" i="1488"/>
  <c r="R12" i="1488"/>
  <c r="R11" i="1488"/>
  <c r="L11" i="1488"/>
  <c r="D11" i="1488"/>
  <c r="L8" i="1488"/>
  <c r="D8" i="1488"/>
  <c r="R6" i="1488"/>
  <c r="R5" i="1488"/>
  <c r="R4" i="1488"/>
  <c r="R52" i="1487"/>
  <c r="R51" i="1487"/>
  <c r="D50" i="1487"/>
  <c r="R49" i="1487"/>
  <c r="D49" i="1487"/>
  <c r="R48" i="1487"/>
  <c r="D48" i="1487"/>
  <c r="D46" i="1487"/>
  <c r="D45" i="1487"/>
  <c r="D44" i="1487"/>
  <c r="R42" i="1487"/>
  <c r="D42" i="1487"/>
  <c r="R41" i="1487"/>
  <c r="L7" i="1487" s="1"/>
  <c r="D7" i="1487" s="1"/>
  <c r="D41" i="1487"/>
  <c r="R40" i="1487"/>
  <c r="D40" i="1487"/>
  <c r="R39" i="1487"/>
  <c r="H39" i="1487"/>
  <c r="D39" i="1487"/>
  <c r="R38" i="1487"/>
  <c r="H38" i="1487"/>
  <c r="D38" i="1487"/>
  <c r="R37" i="1487"/>
  <c r="H37" i="1487"/>
  <c r="D37" i="1487"/>
  <c r="R36" i="1487"/>
  <c r="H36" i="1487"/>
  <c r="D36" i="1487"/>
  <c r="R35" i="1487"/>
  <c r="L19" i="1487" s="1"/>
  <c r="D19" i="1487" s="1"/>
  <c r="H35" i="1487"/>
  <c r="D35" i="1487"/>
  <c r="R34" i="1487"/>
  <c r="H34" i="1487"/>
  <c r="D34" i="1487"/>
  <c r="R33" i="1487"/>
  <c r="L23" i="1487" s="1"/>
  <c r="D23" i="1487" s="1"/>
  <c r="R32" i="1487"/>
  <c r="R31" i="1487"/>
  <c r="R30" i="1487"/>
  <c r="R29" i="1487"/>
  <c r="R28" i="1487"/>
  <c r="D28" i="1487"/>
  <c r="R27" i="1487"/>
  <c r="D27" i="1487"/>
  <c r="R26" i="1487"/>
  <c r="L26" i="1487"/>
  <c r="D26" i="1487"/>
  <c r="R25" i="1487"/>
  <c r="L25" i="1487"/>
  <c r="D25" i="1487"/>
  <c r="R24" i="1487"/>
  <c r="D24" i="1487"/>
  <c r="R23" i="1487"/>
  <c r="R22" i="1487"/>
  <c r="L22" i="1487"/>
  <c r="D22" i="1487"/>
  <c r="R21" i="1487"/>
  <c r="D21" i="1487"/>
  <c r="R20" i="1487"/>
  <c r="L20" i="1487"/>
  <c r="D20" i="1487"/>
  <c r="R19" i="1487"/>
  <c r="R18" i="1487"/>
  <c r="D18" i="1487"/>
  <c r="R17" i="1487"/>
  <c r="D17" i="1487"/>
  <c r="R16" i="1487"/>
  <c r="L16" i="1487"/>
  <c r="D16" i="1487" s="1"/>
  <c r="R15" i="1487"/>
  <c r="D15" i="1487"/>
  <c r="R14" i="1487"/>
  <c r="D14" i="1487"/>
  <c r="R13" i="1487"/>
  <c r="D13" i="1487"/>
  <c r="R12" i="1487"/>
  <c r="L12" i="1487"/>
  <c r="D12" i="1487"/>
  <c r="R11" i="1487"/>
  <c r="L11" i="1487"/>
  <c r="D11" i="1487"/>
  <c r="L10" i="1487"/>
  <c r="D10" i="1487"/>
  <c r="L9" i="1487"/>
  <c r="D9" i="1487"/>
  <c r="L8" i="1487"/>
  <c r="D8" i="1487" s="1"/>
  <c r="R6" i="1487"/>
  <c r="L6" i="1487"/>
  <c r="D6" i="1487" s="1"/>
  <c r="R5" i="1487"/>
  <c r="R4" i="1487"/>
  <c r="R52" i="1486"/>
  <c r="R51" i="1486"/>
  <c r="D50" i="1486"/>
  <c r="R49" i="1486"/>
  <c r="D49" i="1486"/>
  <c r="R48" i="1486"/>
  <c r="D48" i="1486"/>
  <c r="D46" i="1486"/>
  <c r="D45" i="1486"/>
  <c r="D44" i="1486"/>
  <c r="R42" i="1486"/>
  <c r="D42" i="1486"/>
  <c r="R41" i="1486"/>
  <c r="L7" i="1486" s="1"/>
  <c r="D7" i="1486" s="1"/>
  <c r="D41" i="1486"/>
  <c r="R40" i="1486"/>
  <c r="D40" i="1486"/>
  <c r="R39" i="1486"/>
  <c r="H39" i="1486"/>
  <c r="D39" i="1486"/>
  <c r="R38" i="1486"/>
  <c r="H38" i="1486"/>
  <c r="D38" i="1486"/>
  <c r="R37" i="1486"/>
  <c r="H37" i="1486"/>
  <c r="D37" i="1486"/>
  <c r="R36" i="1486"/>
  <c r="H36" i="1486"/>
  <c r="D36" i="1486"/>
  <c r="R35" i="1486"/>
  <c r="L19" i="1486" s="1"/>
  <c r="D19" i="1486" s="1"/>
  <c r="H35" i="1486"/>
  <c r="D35" i="1486"/>
  <c r="R34" i="1486"/>
  <c r="H34" i="1486"/>
  <c r="D34" i="1486"/>
  <c r="R33" i="1486"/>
  <c r="R32" i="1486"/>
  <c r="R31" i="1486"/>
  <c r="R30" i="1486"/>
  <c r="R29" i="1486"/>
  <c r="R28" i="1486"/>
  <c r="L16" i="1486" s="1"/>
  <c r="D16" i="1486" s="1"/>
  <c r="D28" i="1486"/>
  <c r="R27" i="1486"/>
  <c r="D27" i="1486"/>
  <c r="R26" i="1486"/>
  <c r="L26" i="1486"/>
  <c r="D26" i="1486" s="1"/>
  <c r="R25" i="1486"/>
  <c r="L25" i="1486"/>
  <c r="D25" i="1486" s="1"/>
  <c r="R24" i="1486"/>
  <c r="L24" i="1486"/>
  <c r="D24" i="1486"/>
  <c r="R23" i="1486"/>
  <c r="L23" i="1486"/>
  <c r="D23" i="1486" s="1"/>
  <c r="R22" i="1486"/>
  <c r="L22" i="1486"/>
  <c r="D22" i="1486"/>
  <c r="R21" i="1486"/>
  <c r="L17" i="1486" s="1"/>
  <c r="D17" i="1486" s="1"/>
  <c r="D21" i="1486"/>
  <c r="R20" i="1486"/>
  <c r="L20" i="1486"/>
  <c r="D20" i="1486" s="1"/>
  <c r="R19" i="1486"/>
  <c r="R18" i="1486"/>
  <c r="D18" i="1486"/>
  <c r="R17" i="1486"/>
  <c r="R16" i="1486"/>
  <c r="R15" i="1486"/>
  <c r="D15" i="1486"/>
  <c r="R14" i="1486"/>
  <c r="D14" i="1486"/>
  <c r="R13" i="1486"/>
  <c r="D13" i="1486"/>
  <c r="R12" i="1486"/>
  <c r="L12" i="1486"/>
  <c r="D12" i="1486"/>
  <c r="R11" i="1486"/>
  <c r="L11" i="1486"/>
  <c r="D11" i="1486" s="1"/>
  <c r="L10" i="1486"/>
  <c r="D10" i="1486"/>
  <c r="L9" i="1486"/>
  <c r="D9" i="1486"/>
  <c r="L8" i="1486"/>
  <c r="D8" i="1486" s="1"/>
  <c r="R6" i="1486"/>
  <c r="L6" i="1486"/>
  <c r="D6" i="1486"/>
  <c r="R5" i="1486"/>
  <c r="R4" i="1486"/>
  <c r="R52" i="1485"/>
  <c r="R51" i="1485"/>
  <c r="D50" i="1485"/>
  <c r="R49" i="1485"/>
  <c r="D49" i="1485"/>
  <c r="R48" i="1485"/>
  <c r="D48" i="1485"/>
  <c r="D46" i="1485"/>
  <c r="D45" i="1485"/>
  <c r="P44" i="1485"/>
  <c r="R44" i="1485" s="1"/>
  <c r="D44" i="1485"/>
  <c r="R42" i="1485"/>
  <c r="L6" i="1485" s="1"/>
  <c r="D6" i="1485" s="1"/>
  <c r="D42" i="1485"/>
  <c r="R41" i="1485"/>
  <c r="D41" i="1485"/>
  <c r="R40" i="1485"/>
  <c r="L8" i="1485" s="1"/>
  <c r="D8" i="1485" s="1"/>
  <c r="D40" i="1485"/>
  <c r="R39" i="1485"/>
  <c r="H39" i="1485"/>
  <c r="D39" i="1485"/>
  <c r="R38" i="1485"/>
  <c r="H38" i="1485"/>
  <c r="D38" i="1485"/>
  <c r="R37" i="1485"/>
  <c r="H37" i="1485"/>
  <c r="D37" i="1485"/>
  <c r="R36" i="1485"/>
  <c r="H36" i="1485"/>
  <c r="D36" i="1485"/>
  <c r="R35" i="1485"/>
  <c r="H35" i="1485"/>
  <c r="D35" i="1485"/>
  <c r="R34" i="1485"/>
  <c r="H34" i="1485"/>
  <c r="D34" i="1485"/>
  <c r="R33" i="1485"/>
  <c r="R32" i="1485"/>
  <c r="R31" i="1485"/>
  <c r="R30" i="1485"/>
  <c r="R29" i="1485"/>
  <c r="R28" i="1485"/>
  <c r="D28" i="1485"/>
  <c r="R27" i="1485"/>
  <c r="D27" i="1485"/>
  <c r="R26" i="1485"/>
  <c r="D26" i="1485"/>
  <c r="R25" i="1485"/>
  <c r="D25" i="1485"/>
  <c r="R24" i="1485"/>
  <c r="L24" i="1485"/>
  <c r="D24" i="1485" s="1"/>
  <c r="R23" i="1485"/>
  <c r="D23" i="1485"/>
  <c r="R22" i="1485"/>
  <c r="D22" i="1485"/>
  <c r="R21" i="1485"/>
  <c r="D21" i="1485"/>
  <c r="R20" i="1485"/>
  <c r="L20" i="1485"/>
  <c r="D20" i="1485"/>
  <c r="R19" i="1485"/>
  <c r="D19" i="1485"/>
  <c r="R18" i="1485"/>
  <c r="D18" i="1485"/>
  <c r="R17" i="1485"/>
  <c r="L17" i="1485"/>
  <c r="D17" i="1485" s="1"/>
  <c r="R16" i="1485"/>
  <c r="L16" i="1485"/>
  <c r="D16" i="1485" s="1"/>
  <c r="R15" i="1485"/>
  <c r="D15" i="1485"/>
  <c r="R14" i="1485"/>
  <c r="D14" i="1485"/>
  <c r="R13" i="1485"/>
  <c r="D13" i="1485"/>
  <c r="R12" i="1485"/>
  <c r="L12" i="1485"/>
  <c r="D12" i="1485" s="1"/>
  <c r="R11" i="1485"/>
  <c r="L11" i="1485"/>
  <c r="D11" i="1485"/>
  <c r="L10" i="1485"/>
  <c r="D10" i="1485" s="1"/>
  <c r="L9" i="1485"/>
  <c r="D9" i="1485" s="1"/>
  <c r="L7" i="1485"/>
  <c r="D7" i="1485" s="1"/>
  <c r="R6" i="1485"/>
  <c r="R5" i="1485"/>
  <c r="R4" i="1485"/>
  <c r="R52" i="1484"/>
  <c r="R51" i="1484"/>
  <c r="D50" i="1484"/>
  <c r="R49" i="1484"/>
  <c r="G49" i="1484"/>
  <c r="D49" i="1484"/>
  <c r="R48" i="1484"/>
  <c r="D48" i="1484"/>
  <c r="D46" i="1484"/>
  <c r="D45" i="1484"/>
  <c r="D44" i="1484"/>
  <c r="R42" i="1484"/>
  <c r="D42" i="1484"/>
  <c r="R41" i="1484"/>
  <c r="L7" i="1484" s="1"/>
  <c r="D7" i="1484" s="1"/>
  <c r="D41" i="1484"/>
  <c r="R40" i="1484"/>
  <c r="D40" i="1484"/>
  <c r="R39" i="1484"/>
  <c r="D39" i="1484"/>
  <c r="R38" i="1484"/>
  <c r="D38" i="1484"/>
  <c r="R37" i="1484"/>
  <c r="D37" i="1484"/>
  <c r="R36" i="1484"/>
  <c r="L10" i="1484" s="1"/>
  <c r="D10" i="1484" s="1"/>
  <c r="D36" i="1484"/>
  <c r="R35" i="1484"/>
  <c r="D35" i="1484"/>
  <c r="R34" i="1484"/>
  <c r="D34" i="1484"/>
  <c r="D54" i="1484" s="1"/>
  <c r="H14" i="1484" s="1"/>
  <c r="R33" i="1484"/>
  <c r="L23" i="1484" s="1"/>
  <c r="D23" i="1484" s="1"/>
  <c r="R32" i="1484"/>
  <c r="R31" i="1484"/>
  <c r="R30" i="1484"/>
  <c r="R29" i="1484"/>
  <c r="R28" i="1484"/>
  <c r="L16" i="1484" s="1"/>
  <c r="D16" i="1484" s="1"/>
  <c r="D28" i="1484"/>
  <c r="R27" i="1484"/>
  <c r="D27" i="1484"/>
  <c r="R26" i="1484"/>
  <c r="L26" i="1484"/>
  <c r="D26" i="1484"/>
  <c r="R25" i="1484"/>
  <c r="L25" i="1484"/>
  <c r="D25" i="1484"/>
  <c r="R24" i="1484"/>
  <c r="D24" i="1484"/>
  <c r="R23" i="1484"/>
  <c r="R22" i="1484"/>
  <c r="L22" i="1484"/>
  <c r="D22" i="1484" s="1"/>
  <c r="R21" i="1484"/>
  <c r="D21" i="1484"/>
  <c r="R20" i="1484"/>
  <c r="L20" i="1484"/>
  <c r="D20" i="1484"/>
  <c r="R19" i="1484"/>
  <c r="L19" i="1484"/>
  <c r="D19" i="1484"/>
  <c r="R18" i="1484"/>
  <c r="D18" i="1484"/>
  <c r="R17" i="1484"/>
  <c r="D17" i="1484"/>
  <c r="R16" i="1484"/>
  <c r="S15" i="1484"/>
  <c r="R15" i="1484"/>
  <c r="D15" i="1484"/>
  <c r="S14" i="1484"/>
  <c r="R14" i="1484"/>
  <c r="D14" i="1484"/>
  <c r="R13" i="1484"/>
  <c r="D13" i="1484"/>
  <c r="R12" i="1484"/>
  <c r="L12" i="1484"/>
  <c r="D12" i="1484"/>
  <c r="R11" i="1484"/>
  <c r="L11" i="1484"/>
  <c r="D11" i="1484" s="1"/>
  <c r="L9" i="1484"/>
  <c r="D9" i="1484" s="1"/>
  <c r="L8" i="1484"/>
  <c r="D8" i="1484" s="1"/>
  <c r="R6" i="1484"/>
  <c r="L6" i="1484"/>
  <c r="D6" i="1484" s="1"/>
  <c r="R5" i="1484"/>
  <c r="R4" i="1484"/>
  <c r="R52" i="1483"/>
  <c r="R51" i="1483"/>
  <c r="D50" i="1483"/>
  <c r="R49" i="1483"/>
  <c r="D49" i="1483"/>
  <c r="R48" i="1483"/>
  <c r="D48" i="1483"/>
  <c r="D46" i="1483"/>
  <c r="D45" i="1483"/>
  <c r="D44" i="1483"/>
  <c r="R42" i="1483"/>
  <c r="D42" i="1483"/>
  <c r="R41" i="1483"/>
  <c r="L7" i="1483" s="1"/>
  <c r="D7" i="1483" s="1"/>
  <c r="D41" i="1483"/>
  <c r="R40" i="1483"/>
  <c r="D40" i="1483"/>
  <c r="R39" i="1483"/>
  <c r="H39" i="1483"/>
  <c r="D39" i="1483"/>
  <c r="R38" i="1483"/>
  <c r="L9" i="1483" s="1"/>
  <c r="D9" i="1483" s="1"/>
  <c r="H38" i="1483"/>
  <c r="D38" i="1483"/>
  <c r="R37" i="1483"/>
  <c r="H37" i="1483"/>
  <c r="D37" i="1483"/>
  <c r="R36" i="1483"/>
  <c r="H36" i="1483"/>
  <c r="D36" i="1483"/>
  <c r="R35" i="1483"/>
  <c r="L19" i="1483" s="1"/>
  <c r="D19" i="1483" s="1"/>
  <c r="H35" i="1483"/>
  <c r="D35" i="1483"/>
  <c r="R34" i="1483"/>
  <c r="H34" i="1483"/>
  <c r="D34" i="1483"/>
  <c r="R33" i="1483"/>
  <c r="R32" i="1483"/>
  <c r="L11" i="1483" s="1"/>
  <c r="D11" i="1483" s="1"/>
  <c r="R31" i="1483"/>
  <c r="R30" i="1483"/>
  <c r="R29" i="1483"/>
  <c r="R28" i="1483"/>
  <c r="D28" i="1483"/>
  <c r="R27" i="1483"/>
  <c r="D27" i="1483"/>
  <c r="R26" i="1483"/>
  <c r="L26" i="1483"/>
  <c r="D26" i="1483"/>
  <c r="R25" i="1483"/>
  <c r="L25" i="1483"/>
  <c r="D25" i="1483"/>
  <c r="R24" i="1483"/>
  <c r="D24" i="1483"/>
  <c r="R23" i="1483"/>
  <c r="L23" i="1483"/>
  <c r="D23" i="1483" s="1"/>
  <c r="R22" i="1483"/>
  <c r="L22" i="1483"/>
  <c r="D22" i="1483"/>
  <c r="R21" i="1483"/>
  <c r="D21" i="1483"/>
  <c r="R20" i="1483"/>
  <c r="L20" i="1483"/>
  <c r="D20" i="1483"/>
  <c r="R19" i="1483"/>
  <c r="R18" i="1483"/>
  <c r="D18" i="1483"/>
  <c r="R17" i="1483"/>
  <c r="D17" i="1483"/>
  <c r="R16" i="1483"/>
  <c r="L16" i="1483"/>
  <c r="D16" i="1483" s="1"/>
  <c r="R15" i="1483"/>
  <c r="D15" i="1483"/>
  <c r="R14" i="1483"/>
  <c r="D14" i="1483"/>
  <c r="R13" i="1483"/>
  <c r="D13" i="1483"/>
  <c r="R12" i="1483"/>
  <c r="L12" i="1483"/>
  <c r="D12" i="1483" s="1"/>
  <c r="R11" i="1483"/>
  <c r="L10" i="1483"/>
  <c r="D10" i="1483"/>
  <c r="L8" i="1483"/>
  <c r="D8" i="1483" s="1"/>
  <c r="R6" i="1483"/>
  <c r="L6" i="1483"/>
  <c r="D6" i="1483"/>
  <c r="R5" i="1483"/>
  <c r="R4" i="1483"/>
  <c r="R52" i="1482"/>
  <c r="R51" i="1482"/>
  <c r="D50" i="1482"/>
  <c r="R49" i="1482"/>
  <c r="D49" i="1482"/>
  <c r="R48" i="1482"/>
  <c r="D48" i="1482"/>
  <c r="D46" i="1482"/>
  <c r="D45" i="1482"/>
  <c r="D44" i="1482"/>
  <c r="R42" i="1482"/>
  <c r="L6" i="1482" s="1"/>
  <c r="D6" i="1482" s="1"/>
  <c r="D42" i="1482"/>
  <c r="R41" i="1482"/>
  <c r="L7" i="1482" s="1"/>
  <c r="D7" i="1482" s="1"/>
  <c r="D41" i="1482"/>
  <c r="R40" i="1482"/>
  <c r="D40" i="1482"/>
  <c r="R39" i="1482"/>
  <c r="H39" i="1482"/>
  <c r="D39" i="1482"/>
  <c r="R38" i="1482"/>
  <c r="L9" i="1482" s="1"/>
  <c r="D9" i="1482" s="1"/>
  <c r="H38" i="1482"/>
  <c r="D38" i="1482"/>
  <c r="R37" i="1482"/>
  <c r="H37" i="1482"/>
  <c r="D37" i="1482"/>
  <c r="R36" i="1482"/>
  <c r="H36" i="1482"/>
  <c r="D36" i="1482"/>
  <c r="R35" i="1482"/>
  <c r="L19" i="1482" s="1"/>
  <c r="D19" i="1482" s="1"/>
  <c r="H35" i="1482"/>
  <c r="D35" i="1482"/>
  <c r="R34" i="1482"/>
  <c r="H34" i="1482"/>
  <c r="D34" i="1482"/>
  <c r="R33" i="1482"/>
  <c r="R32" i="1482"/>
  <c r="R31" i="1482"/>
  <c r="R30" i="1482"/>
  <c r="R29" i="1482"/>
  <c r="R28" i="1482"/>
  <c r="D28" i="1482"/>
  <c r="R27" i="1482"/>
  <c r="D27" i="1482"/>
  <c r="R26" i="1482"/>
  <c r="L26" i="1482"/>
  <c r="D26" i="1482"/>
  <c r="R25" i="1482"/>
  <c r="D25" i="1482"/>
  <c r="R24" i="1482"/>
  <c r="L24" i="1482"/>
  <c r="D24" i="1482"/>
  <c r="R23" i="1482"/>
  <c r="L23" i="1482"/>
  <c r="D23" i="1482"/>
  <c r="R22" i="1482"/>
  <c r="L22" i="1482"/>
  <c r="D22" i="1482" s="1"/>
  <c r="R21" i="1482"/>
  <c r="L17" i="1482" s="1"/>
  <c r="D17" i="1482" s="1"/>
  <c r="D21" i="1482"/>
  <c r="R20" i="1482"/>
  <c r="L20" i="1482"/>
  <c r="D20" i="1482"/>
  <c r="R19" i="1482"/>
  <c r="R18" i="1482"/>
  <c r="D18" i="1482"/>
  <c r="R17" i="1482"/>
  <c r="R16" i="1482"/>
  <c r="L16" i="1482"/>
  <c r="D16" i="1482" s="1"/>
  <c r="R15" i="1482"/>
  <c r="D15" i="1482"/>
  <c r="R14" i="1482"/>
  <c r="D14" i="1482"/>
  <c r="R13" i="1482"/>
  <c r="D13" i="1482"/>
  <c r="R12" i="1482"/>
  <c r="L12" i="1482"/>
  <c r="D12" i="1482"/>
  <c r="R11" i="1482"/>
  <c r="L11" i="1482"/>
  <c r="D11" i="1482"/>
  <c r="L10" i="1482"/>
  <c r="D10" i="1482"/>
  <c r="L8" i="1482"/>
  <c r="D8" i="1482"/>
  <c r="R6" i="1482"/>
  <c r="R5" i="1482"/>
  <c r="R4" i="1482"/>
  <c r="R52" i="1481"/>
  <c r="R51" i="1481"/>
  <c r="D50" i="1481"/>
  <c r="R49" i="1481"/>
  <c r="D49" i="1481"/>
  <c r="R48" i="1481"/>
  <c r="D48" i="1481"/>
  <c r="D46" i="1481"/>
  <c r="D45" i="1481"/>
  <c r="P44" i="1481"/>
  <c r="R44" i="1481" s="1"/>
  <c r="D44" i="1481"/>
  <c r="R42" i="1481"/>
  <c r="L6" i="1481" s="1"/>
  <c r="D6" i="1481" s="1"/>
  <c r="D42" i="1481"/>
  <c r="R41" i="1481"/>
  <c r="D41" i="1481"/>
  <c r="R40" i="1481"/>
  <c r="D40" i="1481"/>
  <c r="R39" i="1481"/>
  <c r="H39" i="1481"/>
  <c r="D39" i="1481"/>
  <c r="R38" i="1481"/>
  <c r="H38" i="1481"/>
  <c r="D38" i="1481"/>
  <c r="R37" i="1481"/>
  <c r="H37" i="1481"/>
  <c r="D37" i="1481"/>
  <c r="R36" i="1481"/>
  <c r="H36" i="1481"/>
  <c r="D36" i="1481"/>
  <c r="D54" i="1481" s="1"/>
  <c r="H14" i="1481" s="1"/>
  <c r="R35" i="1481"/>
  <c r="H35" i="1481"/>
  <c r="D35" i="1481"/>
  <c r="R34" i="1481"/>
  <c r="H34" i="1481"/>
  <c r="G49" i="1481" s="1"/>
  <c r="D34" i="1481"/>
  <c r="R33" i="1481"/>
  <c r="R32" i="1481"/>
  <c r="L11" i="1481" s="1"/>
  <c r="D11" i="1481" s="1"/>
  <c r="R31" i="1481"/>
  <c r="R30" i="1481"/>
  <c r="R29" i="1481"/>
  <c r="R28" i="1481"/>
  <c r="D28" i="1481"/>
  <c r="R27" i="1481"/>
  <c r="D27" i="1481"/>
  <c r="R26" i="1481"/>
  <c r="L26" i="1481"/>
  <c r="D26" i="1481"/>
  <c r="R25" i="1481"/>
  <c r="L25" i="1481"/>
  <c r="D25" i="1481"/>
  <c r="R24" i="1481"/>
  <c r="L24" i="1481"/>
  <c r="D24" i="1481"/>
  <c r="R23" i="1481"/>
  <c r="D23" i="1481"/>
  <c r="R22" i="1481"/>
  <c r="D22" i="1481"/>
  <c r="R21" i="1481"/>
  <c r="D21" i="1481"/>
  <c r="R20" i="1481"/>
  <c r="L20" i="1481"/>
  <c r="D20" i="1481" s="1"/>
  <c r="R19" i="1481"/>
  <c r="D19" i="1481"/>
  <c r="R18" i="1481"/>
  <c r="D18" i="1481"/>
  <c r="R17" i="1481"/>
  <c r="L17" i="1481"/>
  <c r="D17" i="1481"/>
  <c r="R16" i="1481"/>
  <c r="L16" i="1481"/>
  <c r="D16" i="1481"/>
  <c r="R15" i="1481"/>
  <c r="D15" i="1481"/>
  <c r="R14" i="1481"/>
  <c r="D14" i="1481"/>
  <c r="R13" i="1481"/>
  <c r="D13" i="1481"/>
  <c r="R12" i="1481"/>
  <c r="L12" i="1481"/>
  <c r="D12" i="1481" s="1"/>
  <c r="R11" i="1481"/>
  <c r="L10" i="1481"/>
  <c r="D10" i="1481" s="1"/>
  <c r="L9" i="1481"/>
  <c r="D9" i="1481"/>
  <c r="L8" i="1481"/>
  <c r="D8" i="1481"/>
  <c r="L7" i="1481"/>
  <c r="D7" i="1481"/>
  <c r="R6" i="1481"/>
  <c r="R5" i="1481"/>
  <c r="R4" i="1481"/>
  <c r="R52" i="1480"/>
  <c r="R51" i="1480"/>
  <c r="D50" i="1480"/>
  <c r="R49" i="1480"/>
  <c r="G49" i="1480"/>
  <c r="D49" i="1480"/>
  <c r="R48" i="1480"/>
  <c r="D48" i="1480"/>
  <c r="D46" i="1480"/>
  <c r="D45" i="1480"/>
  <c r="D44" i="1480"/>
  <c r="R42" i="1480"/>
  <c r="D42" i="1480"/>
  <c r="R41" i="1480"/>
  <c r="L7" i="1480" s="1"/>
  <c r="D7" i="1480" s="1"/>
  <c r="D41" i="1480"/>
  <c r="R40" i="1480"/>
  <c r="L8" i="1480" s="1"/>
  <c r="D8" i="1480" s="1"/>
  <c r="D40" i="1480"/>
  <c r="R39" i="1480"/>
  <c r="D39" i="1480"/>
  <c r="R38" i="1480"/>
  <c r="D38" i="1480"/>
  <c r="R37" i="1480"/>
  <c r="D37" i="1480"/>
  <c r="R36" i="1480"/>
  <c r="L10" i="1480" s="1"/>
  <c r="D10" i="1480" s="1"/>
  <c r="D36" i="1480"/>
  <c r="D54" i="1480" s="1"/>
  <c r="H14" i="1480" s="1"/>
  <c r="R35" i="1480"/>
  <c r="D35" i="1480"/>
  <c r="R34" i="1480"/>
  <c r="D34" i="1480"/>
  <c r="R33" i="1480"/>
  <c r="R32" i="1480"/>
  <c r="L11" i="1480" s="1"/>
  <c r="D11" i="1480" s="1"/>
  <c r="R31" i="1480"/>
  <c r="R30" i="1480"/>
  <c r="R29" i="1480"/>
  <c r="R28" i="1480"/>
  <c r="D28" i="1480"/>
  <c r="R27" i="1480"/>
  <c r="D27" i="1480"/>
  <c r="R26" i="1480"/>
  <c r="L26" i="1480"/>
  <c r="D26" i="1480"/>
  <c r="R25" i="1480"/>
  <c r="L25" i="1480"/>
  <c r="D25" i="1480"/>
  <c r="R24" i="1480"/>
  <c r="D24" i="1480"/>
  <c r="R23" i="1480"/>
  <c r="L23" i="1480"/>
  <c r="D23" i="1480" s="1"/>
  <c r="R22" i="1480"/>
  <c r="L22" i="1480"/>
  <c r="D22" i="1480"/>
  <c r="R21" i="1480"/>
  <c r="D21" i="1480"/>
  <c r="R20" i="1480"/>
  <c r="L20" i="1480"/>
  <c r="D20" i="1480"/>
  <c r="R19" i="1480"/>
  <c r="L19" i="1480"/>
  <c r="D19" i="1480"/>
  <c r="R18" i="1480"/>
  <c r="D18" i="1480"/>
  <c r="R17" i="1480"/>
  <c r="D17" i="1480"/>
  <c r="R16" i="1480"/>
  <c r="L16" i="1480"/>
  <c r="D16" i="1480" s="1"/>
  <c r="S15" i="1480"/>
  <c r="R15" i="1480"/>
  <c r="D15" i="1480"/>
  <c r="S14" i="1480"/>
  <c r="R14" i="1480"/>
  <c r="D14" i="1480"/>
  <c r="R13" i="1480"/>
  <c r="D13" i="1480"/>
  <c r="R12" i="1480"/>
  <c r="L12" i="1480"/>
  <c r="D12" i="1480"/>
  <c r="R11" i="1480"/>
  <c r="L9" i="1480"/>
  <c r="D9" i="1480" s="1"/>
  <c r="R6" i="1480"/>
  <c r="L6" i="1480"/>
  <c r="D6" i="1480"/>
  <c r="D29" i="1480" s="1"/>
  <c r="H13" i="1480" s="1"/>
  <c r="H15" i="1480" s="1"/>
  <c r="H29" i="1480" s="1"/>
  <c r="G51" i="1480" s="1"/>
  <c r="R5" i="1480"/>
  <c r="R4" i="1480"/>
  <c r="R52" i="1479"/>
  <c r="R51" i="1479"/>
  <c r="D50" i="1479"/>
  <c r="R49" i="1479"/>
  <c r="D49" i="1479"/>
  <c r="R48" i="1479"/>
  <c r="D48" i="1479"/>
  <c r="D46" i="1479"/>
  <c r="D45" i="1479"/>
  <c r="D44" i="1479"/>
  <c r="R42" i="1479"/>
  <c r="L6" i="1479" s="1"/>
  <c r="D6" i="1479" s="1"/>
  <c r="D42" i="1479"/>
  <c r="R41" i="1479"/>
  <c r="L7" i="1479" s="1"/>
  <c r="D7" i="1479" s="1"/>
  <c r="D41" i="1479"/>
  <c r="R40" i="1479"/>
  <c r="D40" i="1479"/>
  <c r="R39" i="1479"/>
  <c r="H39" i="1479"/>
  <c r="D39" i="1479"/>
  <c r="R38" i="1479"/>
  <c r="L9" i="1479" s="1"/>
  <c r="D9" i="1479" s="1"/>
  <c r="H38" i="1479"/>
  <c r="D38" i="1479"/>
  <c r="R37" i="1479"/>
  <c r="H37" i="1479"/>
  <c r="D37" i="1479"/>
  <c r="R36" i="1479"/>
  <c r="H36" i="1479"/>
  <c r="D36" i="1479"/>
  <c r="R35" i="1479"/>
  <c r="L19" i="1479" s="1"/>
  <c r="D19" i="1479" s="1"/>
  <c r="H35" i="1479"/>
  <c r="D35" i="1479"/>
  <c r="R34" i="1479"/>
  <c r="L12" i="1479" s="1"/>
  <c r="D12" i="1479" s="1"/>
  <c r="H34" i="1479"/>
  <c r="D34" i="1479"/>
  <c r="R33" i="1479"/>
  <c r="R32" i="1479"/>
  <c r="R31" i="1479"/>
  <c r="R30" i="1479"/>
  <c r="R29" i="1479"/>
  <c r="R28" i="1479"/>
  <c r="L16" i="1479" s="1"/>
  <c r="D16" i="1479" s="1"/>
  <c r="D28" i="1479"/>
  <c r="R27" i="1479"/>
  <c r="D27" i="1479"/>
  <c r="R26" i="1479"/>
  <c r="L26" i="1479"/>
  <c r="D26" i="1479" s="1"/>
  <c r="R25" i="1479"/>
  <c r="D25" i="1479"/>
  <c r="R24" i="1479"/>
  <c r="D24" i="1479"/>
  <c r="R23" i="1479"/>
  <c r="L23" i="1479"/>
  <c r="D23" i="1479" s="1"/>
  <c r="R22" i="1479"/>
  <c r="L22" i="1479"/>
  <c r="D22" i="1479"/>
  <c r="R21" i="1479"/>
  <c r="D21" i="1479"/>
  <c r="R20" i="1479"/>
  <c r="L20" i="1479"/>
  <c r="D20" i="1479"/>
  <c r="R19" i="1479"/>
  <c r="R18" i="1479"/>
  <c r="D18" i="1479"/>
  <c r="R17" i="1479"/>
  <c r="D17" i="1479"/>
  <c r="R16" i="1479"/>
  <c r="R15" i="1479"/>
  <c r="D15" i="1479"/>
  <c r="R14" i="1479"/>
  <c r="D14" i="1479"/>
  <c r="R13" i="1479"/>
  <c r="D13" i="1479"/>
  <c r="R12" i="1479"/>
  <c r="R11" i="1479"/>
  <c r="L11" i="1479"/>
  <c r="D11" i="1479"/>
  <c r="L10" i="1479"/>
  <c r="D10" i="1479"/>
  <c r="L8" i="1479"/>
  <c r="D8" i="1479" s="1"/>
  <c r="R6" i="1479"/>
  <c r="R5" i="1479"/>
  <c r="R4" i="1479"/>
  <c r="R52" i="1478"/>
  <c r="R51" i="1478"/>
  <c r="D50" i="1478"/>
  <c r="R49" i="1478"/>
  <c r="D49" i="1478"/>
  <c r="R48" i="1478"/>
  <c r="D48" i="1478"/>
  <c r="D46" i="1478"/>
  <c r="D45" i="1478"/>
  <c r="D44" i="1478"/>
  <c r="R42" i="1478"/>
  <c r="L6" i="1478" s="1"/>
  <c r="D6" i="1478" s="1"/>
  <c r="D42" i="1478"/>
  <c r="R41" i="1478"/>
  <c r="L7" i="1478" s="1"/>
  <c r="D7" i="1478" s="1"/>
  <c r="D41" i="1478"/>
  <c r="R40" i="1478"/>
  <c r="D40" i="1478"/>
  <c r="R39" i="1478"/>
  <c r="L20" i="1478" s="1"/>
  <c r="D20" i="1478" s="1"/>
  <c r="H39" i="1478"/>
  <c r="D39" i="1478"/>
  <c r="R38" i="1478"/>
  <c r="H38" i="1478"/>
  <c r="D38" i="1478"/>
  <c r="R37" i="1478"/>
  <c r="H37" i="1478"/>
  <c r="D37" i="1478"/>
  <c r="R36" i="1478"/>
  <c r="H36" i="1478"/>
  <c r="D36" i="1478"/>
  <c r="R35" i="1478"/>
  <c r="L19" i="1478" s="1"/>
  <c r="D19" i="1478" s="1"/>
  <c r="H35" i="1478"/>
  <c r="D35" i="1478"/>
  <c r="R34" i="1478"/>
  <c r="L12" i="1478" s="1"/>
  <c r="D12" i="1478" s="1"/>
  <c r="H34" i="1478"/>
  <c r="D34" i="1478"/>
  <c r="R33" i="1478"/>
  <c r="L23" i="1478" s="1"/>
  <c r="D23" i="1478" s="1"/>
  <c r="R32" i="1478"/>
  <c r="R31" i="1478"/>
  <c r="R30" i="1478"/>
  <c r="R29" i="1478"/>
  <c r="R28" i="1478"/>
  <c r="D28" i="1478"/>
  <c r="R27" i="1478"/>
  <c r="D27" i="1478"/>
  <c r="R26" i="1478"/>
  <c r="L26" i="1478"/>
  <c r="D26" i="1478"/>
  <c r="R25" i="1478"/>
  <c r="L25" i="1478"/>
  <c r="D25" i="1478"/>
  <c r="R24" i="1478"/>
  <c r="L24" i="1478"/>
  <c r="D24" i="1478"/>
  <c r="R23" i="1478"/>
  <c r="R22" i="1478"/>
  <c r="L22" i="1478"/>
  <c r="D22" i="1478"/>
  <c r="R21" i="1478"/>
  <c r="L17" i="1478" s="1"/>
  <c r="D17" i="1478" s="1"/>
  <c r="D21" i="1478"/>
  <c r="R20" i="1478"/>
  <c r="R19" i="1478"/>
  <c r="R18" i="1478"/>
  <c r="D18" i="1478"/>
  <c r="R17" i="1478"/>
  <c r="R16" i="1478"/>
  <c r="L16" i="1478"/>
  <c r="D16" i="1478"/>
  <c r="R15" i="1478"/>
  <c r="D15" i="1478"/>
  <c r="R14" i="1478"/>
  <c r="D14" i="1478"/>
  <c r="R13" i="1478"/>
  <c r="D13" i="1478"/>
  <c r="R12" i="1478"/>
  <c r="R11" i="1478"/>
  <c r="L11" i="1478"/>
  <c r="D11" i="1478"/>
  <c r="L10" i="1478"/>
  <c r="D10" i="1478"/>
  <c r="L9" i="1478"/>
  <c r="D9" i="1478"/>
  <c r="L8" i="1478"/>
  <c r="D8" i="1478"/>
  <c r="R6" i="1478"/>
  <c r="R5" i="1478"/>
  <c r="R4" i="1478"/>
  <c r="R52" i="1477"/>
  <c r="R51" i="1477"/>
  <c r="D50" i="1477"/>
  <c r="R49" i="1477"/>
  <c r="D49" i="1477"/>
  <c r="R48" i="1477"/>
  <c r="D48" i="1477"/>
  <c r="D46" i="1477"/>
  <c r="D45" i="1477"/>
  <c r="R44" i="1477"/>
  <c r="P44" i="1477"/>
  <c r="D44" i="1477"/>
  <c r="R42" i="1477"/>
  <c r="D42" i="1477"/>
  <c r="R41" i="1477"/>
  <c r="D41" i="1477"/>
  <c r="R40" i="1477"/>
  <c r="L8" i="1477" s="1"/>
  <c r="D8" i="1477" s="1"/>
  <c r="D40" i="1477"/>
  <c r="R39" i="1477"/>
  <c r="L20" i="1477" s="1"/>
  <c r="D20" i="1477" s="1"/>
  <c r="H39" i="1477"/>
  <c r="D39" i="1477"/>
  <c r="R38" i="1477"/>
  <c r="L9" i="1477" s="1"/>
  <c r="D9" i="1477" s="1"/>
  <c r="H38" i="1477"/>
  <c r="D38" i="1477"/>
  <c r="R37" i="1477"/>
  <c r="H37" i="1477"/>
  <c r="D37" i="1477"/>
  <c r="R36" i="1477"/>
  <c r="H36" i="1477"/>
  <c r="D36" i="1477"/>
  <c r="R35" i="1477"/>
  <c r="H35" i="1477"/>
  <c r="D35" i="1477"/>
  <c r="R34" i="1477"/>
  <c r="H34" i="1477"/>
  <c r="G49" i="1477" s="1"/>
  <c r="D34" i="1477"/>
  <c r="R33" i="1477"/>
  <c r="R32" i="1477"/>
  <c r="L11" i="1477" s="1"/>
  <c r="D11" i="1477" s="1"/>
  <c r="R31" i="1477"/>
  <c r="R30" i="1477"/>
  <c r="R29" i="1477"/>
  <c r="R28" i="1477"/>
  <c r="D28" i="1477"/>
  <c r="R27" i="1477"/>
  <c r="D27" i="1477"/>
  <c r="R26" i="1477"/>
  <c r="L26" i="1477"/>
  <c r="D26" i="1477"/>
  <c r="R25" i="1477"/>
  <c r="L25" i="1477"/>
  <c r="D25" i="1477" s="1"/>
  <c r="R24" i="1477"/>
  <c r="L24" i="1477"/>
  <c r="D24" i="1477"/>
  <c r="R23" i="1477"/>
  <c r="D23" i="1477"/>
  <c r="R22" i="1477"/>
  <c r="D22" i="1477"/>
  <c r="R21" i="1477"/>
  <c r="D21" i="1477"/>
  <c r="R20" i="1477"/>
  <c r="R19" i="1477"/>
  <c r="D19" i="1477"/>
  <c r="R18" i="1477"/>
  <c r="D18" i="1477"/>
  <c r="R17" i="1477"/>
  <c r="L17" i="1477"/>
  <c r="D17" i="1477"/>
  <c r="R16" i="1477"/>
  <c r="L16" i="1477"/>
  <c r="D16" i="1477" s="1"/>
  <c r="R15" i="1477"/>
  <c r="D15" i="1477"/>
  <c r="R14" i="1477"/>
  <c r="D14" i="1477"/>
  <c r="R13" i="1477"/>
  <c r="D13" i="1477"/>
  <c r="R12" i="1477"/>
  <c r="L12" i="1477"/>
  <c r="D12" i="1477" s="1"/>
  <c r="R11" i="1477"/>
  <c r="L10" i="1477"/>
  <c r="D10" i="1477" s="1"/>
  <c r="L7" i="1477"/>
  <c r="D7" i="1477"/>
  <c r="R6" i="1477"/>
  <c r="L6" i="1477"/>
  <c r="D6" i="1477"/>
  <c r="R5" i="1477"/>
  <c r="R4" i="1477"/>
  <c r="R52" i="1476"/>
  <c r="R51" i="1476"/>
  <c r="D50" i="1476"/>
  <c r="R49" i="1476"/>
  <c r="G49" i="1476"/>
  <c r="D49" i="1476"/>
  <c r="R48" i="1476"/>
  <c r="D48" i="1476"/>
  <c r="D46" i="1476"/>
  <c r="D45" i="1476"/>
  <c r="D44" i="1476"/>
  <c r="R42" i="1476"/>
  <c r="D42" i="1476"/>
  <c r="R41" i="1476"/>
  <c r="L7" i="1476" s="1"/>
  <c r="D7" i="1476" s="1"/>
  <c r="D41" i="1476"/>
  <c r="R40" i="1476"/>
  <c r="L8" i="1476" s="1"/>
  <c r="D8" i="1476" s="1"/>
  <c r="D40" i="1476"/>
  <c r="D54" i="1476" s="1"/>
  <c r="H14" i="1476" s="1"/>
  <c r="R39" i="1476"/>
  <c r="D39" i="1476"/>
  <c r="R38" i="1476"/>
  <c r="D38" i="1476"/>
  <c r="R37" i="1476"/>
  <c r="D37" i="1476"/>
  <c r="R36" i="1476"/>
  <c r="L10" i="1476" s="1"/>
  <c r="D10" i="1476" s="1"/>
  <c r="D36" i="1476"/>
  <c r="R35" i="1476"/>
  <c r="D35" i="1476"/>
  <c r="R34" i="1476"/>
  <c r="D34" i="1476"/>
  <c r="R33" i="1476"/>
  <c r="R32" i="1476"/>
  <c r="L11" i="1476" s="1"/>
  <c r="D11" i="1476" s="1"/>
  <c r="R31" i="1476"/>
  <c r="R30" i="1476"/>
  <c r="R29" i="1476"/>
  <c r="R28" i="1476"/>
  <c r="D28" i="1476"/>
  <c r="R27" i="1476"/>
  <c r="D27" i="1476"/>
  <c r="R26" i="1476"/>
  <c r="L26" i="1476"/>
  <c r="D26" i="1476" s="1"/>
  <c r="R25" i="1476"/>
  <c r="L25" i="1476"/>
  <c r="D25" i="1476"/>
  <c r="R24" i="1476"/>
  <c r="D24" i="1476"/>
  <c r="R23" i="1476"/>
  <c r="L23" i="1476"/>
  <c r="D23" i="1476" s="1"/>
  <c r="R22" i="1476"/>
  <c r="L22" i="1476"/>
  <c r="D22" i="1476" s="1"/>
  <c r="R21" i="1476"/>
  <c r="D21" i="1476"/>
  <c r="R20" i="1476"/>
  <c r="L20" i="1476"/>
  <c r="D20" i="1476" s="1"/>
  <c r="R19" i="1476"/>
  <c r="L19" i="1476"/>
  <c r="D19" i="1476"/>
  <c r="R18" i="1476"/>
  <c r="D18" i="1476"/>
  <c r="R17" i="1476"/>
  <c r="D17" i="1476"/>
  <c r="R16" i="1476"/>
  <c r="L16" i="1476"/>
  <c r="D16" i="1476" s="1"/>
  <c r="S15" i="1476"/>
  <c r="R15" i="1476"/>
  <c r="D15" i="1476"/>
  <c r="S14" i="1476"/>
  <c r="R14" i="1476"/>
  <c r="D14" i="1476"/>
  <c r="R13" i="1476"/>
  <c r="D13" i="1476"/>
  <c r="R12" i="1476"/>
  <c r="L12" i="1476"/>
  <c r="D12" i="1476" s="1"/>
  <c r="R11" i="1476"/>
  <c r="L9" i="1476"/>
  <c r="D9" i="1476" s="1"/>
  <c r="R6" i="1476"/>
  <c r="L6" i="1476"/>
  <c r="D6" i="1476"/>
  <c r="R5" i="1476"/>
  <c r="R4" i="1476"/>
  <c r="R52" i="1475"/>
  <c r="R51" i="1475"/>
  <c r="D50" i="1475"/>
  <c r="R49" i="1475"/>
  <c r="D49" i="1475"/>
  <c r="R48" i="1475"/>
  <c r="D48" i="1475"/>
  <c r="D46" i="1475"/>
  <c r="D45" i="1475"/>
  <c r="D44" i="1475"/>
  <c r="R42" i="1475"/>
  <c r="L6" i="1475" s="1"/>
  <c r="D6" i="1475" s="1"/>
  <c r="D42" i="1475"/>
  <c r="R41" i="1475"/>
  <c r="D41" i="1475"/>
  <c r="R40" i="1475"/>
  <c r="L8" i="1475" s="1"/>
  <c r="D8" i="1475" s="1"/>
  <c r="D40" i="1475"/>
  <c r="R39" i="1475"/>
  <c r="H39" i="1475"/>
  <c r="D39" i="1475"/>
  <c r="R38" i="1475"/>
  <c r="H38" i="1475"/>
  <c r="D38" i="1475"/>
  <c r="R37" i="1475"/>
  <c r="H37" i="1475"/>
  <c r="D37" i="1475"/>
  <c r="R36" i="1475"/>
  <c r="H36" i="1475"/>
  <c r="D36" i="1475"/>
  <c r="R35" i="1475"/>
  <c r="L19" i="1475" s="1"/>
  <c r="D19" i="1475" s="1"/>
  <c r="H35" i="1475"/>
  <c r="D35" i="1475"/>
  <c r="R34" i="1475"/>
  <c r="L12" i="1475" s="1"/>
  <c r="D12" i="1475" s="1"/>
  <c r="H34" i="1475"/>
  <c r="D34" i="1475"/>
  <c r="R33" i="1475"/>
  <c r="R32" i="1475"/>
  <c r="R31" i="1475"/>
  <c r="R30" i="1475"/>
  <c r="R29" i="1475"/>
  <c r="R28" i="1475"/>
  <c r="L16" i="1475" s="1"/>
  <c r="D16" i="1475" s="1"/>
  <c r="D28" i="1475"/>
  <c r="R27" i="1475"/>
  <c r="D27" i="1475"/>
  <c r="R26" i="1475"/>
  <c r="L26" i="1475"/>
  <c r="D26" i="1475"/>
  <c r="R25" i="1475"/>
  <c r="L25" i="1475"/>
  <c r="D25" i="1475"/>
  <c r="R24" i="1475"/>
  <c r="D24" i="1475"/>
  <c r="R23" i="1475"/>
  <c r="L23" i="1475"/>
  <c r="D23" i="1475"/>
  <c r="R22" i="1475"/>
  <c r="L22" i="1475"/>
  <c r="D22" i="1475" s="1"/>
  <c r="R21" i="1475"/>
  <c r="D21" i="1475"/>
  <c r="R20" i="1475"/>
  <c r="L20" i="1475"/>
  <c r="D20" i="1475"/>
  <c r="R19" i="1475"/>
  <c r="R18" i="1475"/>
  <c r="D18" i="1475"/>
  <c r="R17" i="1475"/>
  <c r="D17" i="1475"/>
  <c r="R16" i="1475"/>
  <c r="R15" i="1475"/>
  <c r="D15" i="1475"/>
  <c r="R14" i="1475"/>
  <c r="D14" i="1475"/>
  <c r="R13" i="1475"/>
  <c r="D13" i="1475"/>
  <c r="R12" i="1475"/>
  <c r="R11" i="1475"/>
  <c r="L11" i="1475"/>
  <c r="D11" i="1475"/>
  <c r="L10" i="1475"/>
  <c r="D10" i="1475" s="1"/>
  <c r="L9" i="1475"/>
  <c r="D9" i="1475"/>
  <c r="L7" i="1475"/>
  <c r="D7" i="1475"/>
  <c r="R6" i="1475"/>
  <c r="R5" i="1475"/>
  <c r="R4" i="1475"/>
  <c r="R52" i="1474"/>
  <c r="R51" i="1474"/>
  <c r="D50" i="1474"/>
  <c r="R49" i="1474"/>
  <c r="D49" i="1474"/>
  <c r="R48" i="1474"/>
  <c r="D48" i="1474"/>
  <c r="D46" i="1474"/>
  <c r="D45" i="1474"/>
  <c r="D44" i="1474"/>
  <c r="R42" i="1474"/>
  <c r="L6" i="1474" s="1"/>
  <c r="D6" i="1474" s="1"/>
  <c r="D42" i="1474"/>
  <c r="R41" i="1474"/>
  <c r="L7" i="1474" s="1"/>
  <c r="D7" i="1474" s="1"/>
  <c r="D41" i="1474"/>
  <c r="R40" i="1474"/>
  <c r="D40" i="1474"/>
  <c r="R39" i="1474"/>
  <c r="L20" i="1474" s="1"/>
  <c r="D20" i="1474" s="1"/>
  <c r="H39" i="1474"/>
  <c r="D39" i="1474"/>
  <c r="R38" i="1474"/>
  <c r="L9" i="1474" s="1"/>
  <c r="D9" i="1474" s="1"/>
  <c r="H38" i="1474"/>
  <c r="D38" i="1474"/>
  <c r="R37" i="1474"/>
  <c r="H37" i="1474"/>
  <c r="D37" i="1474"/>
  <c r="R36" i="1474"/>
  <c r="H36" i="1474"/>
  <c r="D36" i="1474"/>
  <c r="R35" i="1474"/>
  <c r="L19" i="1474" s="1"/>
  <c r="D19" i="1474" s="1"/>
  <c r="H35" i="1474"/>
  <c r="D35" i="1474"/>
  <c r="R34" i="1474"/>
  <c r="H34" i="1474"/>
  <c r="D34" i="1474"/>
  <c r="R33" i="1474"/>
  <c r="R32" i="1474"/>
  <c r="R31" i="1474"/>
  <c r="R30" i="1474"/>
  <c r="R29" i="1474"/>
  <c r="R28" i="1474"/>
  <c r="D28" i="1474"/>
  <c r="R27" i="1474"/>
  <c r="D27" i="1474"/>
  <c r="R26" i="1474"/>
  <c r="L26" i="1474"/>
  <c r="D26" i="1474"/>
  <c r="R25" i="1474"/>
  <c r="L25" i="1474"/>
  <c r="D25" i="1474"/>
  <c r="R24" i="1474"/>
  <c r="L24" i="1474"/>
  <c r="D24" i="1474"/>
  <c r="R23" i="1474"/>
  <c r="L23" i="1474"/>
  <c r="D23" i="1474"/>
  <c r="R22" i="1474"/>
  <c r="L22" i="1474"/>
  <c r="D22" i="1474"/>
  <c r="R21" i="1474"/>
  <c r="L17" i="1474" s="1"/>
  <c r="D17" i="1474" s="1"/>
  <c r="D21" i="1474"/>
  <c r="R20" i="1474"/>
  <c r="R19" i="1474"/>
  <c r="R18" i="1474"/>
  <c r="D18" i="1474"/>
  <c r="R17" i="1474"/>
  <c r="R16" i="1474"/>
  <c r="L16" i="1474"/>
  <c r="D16" i="1474"/>
  <c r="R15" i="1474"/>
  <c r="D15" i="1474"/>
  <c r="R14" i="1474"/>
  <c r="D14" i="1474"/>
  <c r="R13" i="1474"/>
  <c r="D13" i="1474"/>
  <c r="R12" i="1474"/>
  <c r="L12" i="1474"/>
  <c r="D12" i="1474"/>
  <c r="R11" i="1474"/>
  <c r="L11" i="1474"/>
  <c r="D11" i="1474"/>
  <c r="L10" i="1474"/>
  <c r="D10" i="1474"/>
  <c r="L8" i="1474"/>
  <c r="D8" i="1474"/>
  <c r="R6" i="1474"/>
  <c r="R5" i="1474"/>
  <c r="R4" i="1474"/>
  <c r="R52" i="1473"/>
  <c r="R51" i="1473"/>
  <c r="D50" i="1473"/>
  <c r="R49" i="1473"/>
  <c r="D49" i="1473"/>
  <c r="R48" i="1473"/>
  <c r="D48" i="1473"/>
  <c r="D46" i="1473"/>
  <c r="D45" i="1473"/>
  <c r="P44" i="1473"/>
  <c r="R44" i="1473" s="1"/>
  <c r="D44" i="1473"/>
  <c r="R42" i="1473"/>
  <c r="L6" i="1473" s="1"/>
  <c r="D6" i="1473" s="1"/>
  <c r="D42" i="1473"/>
  <c r="R41" i="1473"/>
  <c r="L7" i="1473" s="1"/>
  <c r="D7" i="1473" s="1"/>
  <c r="D41" i="1473"/>
  <c r="R40" i="1473"/>
  <c r="D40" i="1473"/>
  <c r="R39" i="1473"/>
  <c r="H39" i="1473"/>
  <c r="D39" i="1473"/>
  <c r="R38" i="1473"/>
  <c r="H38" i="1473"/>
  <c r="D38" i="1473"/>
  <c r="R37" i="1473"/>
  <c r="H37" i="1473"/>
  <c r="D37" i="1473"/>
  <c r="R36" i="1473"/>
  <c r="L10" i="1473" s="1"/>
  <c r="D10" i="1473" s="1"/>
  <c r="H36" i="1473"/>
  <c r="D36" i="1473"/>
  <c r="R35" i="1473"/>
  <c r="H35" i="1473"/>
  <c r="D35" i="1473"/>
  <c r="R34" i="1473"/>
  <c r="H34" i="1473"/>
  <c r="D34" i="1473"/>
  <c r="R33" i="1473"/>
  <c r="R32" i="1473"/>
  <c r="R31" i="1473"/>
  <c r="R30" i="1473"/>
  <c r="R29" i="1473"/>
  <c r="R28" i="1473"/>
  <c r="L16" i="1473" s="1"/>
  <c r="D16" i="1473" s="1"/>
  <c r="D28" i="1473"/>
  <c r="R27" i="1473"/>
  <c r="D27" i="1473"/>
  <c r="R26" i="1473"/>
  <c r="D26" i="1473"/>
  <c r="R25" i="1473"/>
  <c r="L25" i="1473"/>
  <c r="D25" i="1473"/>
  <c r="R24" i="1473"/>
  <c r="L24" i="1473"/>
  <c r="D24" i="1473"/>
  <c r="R23" i="1473"/>
  <c r="D23" i="1473"/>
  <c r="R22" i="1473"/>
  <c r="D22" i="1473"/>
  <c r="R21" i="1473"/>
  <c r="D21" i="1473"/>
  <c r="R20" i="1473"/>
  <c r="L20" i="1473"/>
  <c r="D20" i="1473" s="1"/>
  <c r="R19" i="1473"/>
  <c r="D19" i="1473"/>
  <c r="R18" i="1473"/>
  <c r="D18" i="1473"/>
  <c r="R17" i="1473"/>
  <c r="L17" i="1473"/>
  <c r="D17" i="1473"/>
  <c r="R16" i="1473"/>
  <c r="R15" i="1473"/>
  <c r="D15" i="1473"/>
  <c r="R14" i="1473"/>
  <c r="D14" i="1473"/>
  <c r="R13" i="1473"/>
  <c r="D13" i="1473"/>
  <c r="R12" i="1473"/>
  <c r="L12" i="1473"/>
  <c r="D12" i="1473"/>
  <c r="R11" i="1473"/>
  <c r="L11" i="1473"/>
  <c r="D11" i="1473"/>
  <c r="L9" i="1473"/>
  <c r="D9" i="1473" s="1"/>
  <c r="L8" i="1473"/>
  <c r="D8" i="1473"/>
  <c r="R6" i="1473"/>
  <c r="R5" i="1473"/>
  <c r="R4" i="1473"/>
  <c r="R52" i="1472"/>
  <c r="R51" i="1472"/>
  <c r="D50" i="1472"/>
  <c r="R49" i="1472"/>
  <c r="G49" i="1472"/>
  <c r="D49" i="1472"/>
  <c r="R48" i="1472"/>
  <c r="D48" i="1472"/>
  <c r="D46" i="1472"/>
  <c r="D45" i="1472"/>
  <c r="D44" i="1472"/>
  <c r="R42" i="1472"/>
  <c r="D42" i="1472"/>
  <c r="R41" i="1472"/>
  <c r="L7" i="1472" s="1"/>
  <c r="D7" i="1472" s="1"/>
  <c r="D41" i="1472"/>
  <c r="R40" i="1472"/>
  <c r="L8" i="1472" s="1"/>
  <c r="D8" i="1472" s="1"/>
  <c r="D40" i="1472"/>
  <c r="R39" i="1472"/>
  <c r="D39" i="1472"/>
  <c r="R38" i="1472"/>
  <c r="L9" i="1472" s="1"/>
  <c r="D9" i="1472" s="1"/>
  <c r="D38" i="1472"/>
  <c r="R37" i="1472"/>
  <c r="D37" i="1472"/>
  <c r="D54" i="1472" s="1"/>
  <c r="H14" i="1472" s="1"/>
  <c r="R36" i="1472"/>
  <c r="L10" i="1472" s="1"/>
  <c r="D10" i="1472" s="1"/>
  <c r="D36" i="1472"/>
  <c r="R35" i="1472"/>
  <c r="D35" i="1472"/>
  <c r="R34" i="1472"/>
  <c r="L12" i="1472" s="1"/>
  <c r="D12" i="1472" s="1"/>
  <c r="D34" i="1472"/>
  <c r="R33" i="1472"/>
  <c r="L23" i="1472" s="1"/>
  <c r="D23" i="1472" s="1"/>
  <c r="R32" i="1472"/>
  <c r="R31" i="1472"/>
  <c r="R30" i="1472"/>
  <c r="R29" i="1472"/>
  <c r="R28" i="1472"/>
  <c r="L16" i="1472" s="1"/>
  <c r="D16" i="1472" s="1"/>
  <c r="D28" i="1472"/>
  <c r="R27" i="1472"/>
  <c r="D27" i="1472"/>
  <c r="R26" i="1472"/>
  <c r="L26" i="1472"/>
  <c r="D26" i="1472"/>
  <c r="R25" i="1472"/>
  <c r="L25" i="1472"/>
  <c r="D25" i="1472"/>
  <c r="R24" i="1472"/>
  <c r="D24" i="1472"/>
  <c r="R23" i="1472"/>
  <c r="R22" i="1472"/>
  <c r="L22" i="1472"/>
  <c r="D22" i="1472"/>
  <c r="R21" i="1472"/>
  <c r="D21" i="1472"/>
  <c r="R20" i="1472"/>
  <c r="L20" i="1472"/>
  <c r="D20" i="1472"/>
  <c r="R19" i="1472"/>
  <c r="L19" i="1472"/>
  <c r="D19" i="1472"/>
  <c r="R18" i="1472"/>
  <c r="D18" i="1472"/>
  <c r="R17" i="1472"/>
  <c r="D17" i="1472"/>
  <c r="R16" i="1472"/>
  <c r="S15" i="1472"/>
  <c r="R15" i="1472"/>
  <c r="D15" i="1472"/>
  <c r="S14" i="1472"/>
  <c r="R14" i="1472"/>
  <c r="D14" i="1472"/>
  <c r="R13" i="1472"/>
  <c r="D13" i="1472"/>
  <c r="R12" i="1472"/>
  <c r="R11" i="1472"/>
  <c r="L11" i="1472"/>
  <c r="D11" i="1472"/>
  <c r="R6" i="1472"/>
  <c r="L6" i="1472"/>
  <c r="D6" i="1472" s="1"/>
  <c r="R5" i="1472"/>
  <c r="R4" i="1472"/>
  <c r="G49" i="1491" l="1"/>
  <c r="G49" i="1490"/>
  <c r="D54" i="1491"/>
  <c r="H14" i="1491" s="1"/>
  <c r="D54" i="1490"/>
  <c r="H14" i="1490" s="1"/>
  <c r="D54" i="1489"/>
  <c r="H14" i="1489" s="1"/>
  <c r="D29" i="1489"/>
  <c r="H13" i="1489" s="1"/>
  <c r="G49" i="1487"/>
  <c r="G49" i="1486"/>
  <c r="G49" i="1485"/>
  <c r="D54" i="1487"/>
  <c r="H14" i="1487" s="1"/>
  <c r="D29" i="1487"/>
  <c r="H13" i="1487" s="1"/>
  <c r="H15" i="1487" s="1"/>
  <c r="H29" i="1487" s="1"/>
  <c r="D54" i="1486"/>
  <c r="H14" i="1486" s="1"/>
  <c r="D54" i="1485"/>
  <c r="H14" i="1485" s="1"/>
  <c r="D54" i="1483"/>
  <c r="H14" i="1483" s="1"/>
  <c r="D54" i="1482"/>
  <c r="H14" i="1482" s="1"/>
  <c r="G49" i="1483"/>
  <c r="G49" i="1482"/>
  <c r="G49" i="1479"/>
  <c r="G49" i="1478"/>
  <c r="D54" i="1479"/>
  <c r="H14" i="1479" s="1"/>
  <c r="D54" i="1478"/>
  <c r="H14" i="1478" s="1"/>
  <c r="D54" i="1477"/>
  <c r="H14" i="1477" s="1"/>
  <c r="G49" i="1475"/>
  <c r="G49" i="1474"/>
  <c r="G49" i="1473"/>
  <c r="D54" i="1475"/>
  <c r="H14" i="1475" s="1"/>
  <c r="D54" i="1474"/>
  <c r="H14" i="1474" s="1"/>
  <c r="D54" i="1473"/>
  <c r="H14" i="1473" s="1"/>
  <c r="D29" i="1496"/>
  <c r="H13" i="1496" s="1"/>
  <c r="H15" i="1496" s="1"/>
  <c r="H29" i="1496" s="1"/>
  <c r="G51" i="1496" s="1"/>
  <c r="D29" i="1495"/>
  <c r="H13" i="1495" s="1"/>
  <c r="H15" i="1495" s="1"/>
  <c r="H29" i="1495" s="1"/>
  <c r="G51" i="1495" s="1"/>
  <c r="G51" i="1494"/>
  <c r="D29" i="1494"/>
  <c r="H13" i="1494" s="1"/>
  <c r="H15" i="1494" s="1"/>
  <c r="H29" i="1494" s="1"/>
  <c r="D29" i="1493"/>
  <c r="H13" i="1493" s="1"/>
  <c r="H15" i="1493" s="1"/>
  <c r="H29" i="1493" s="1"/>
  <c r="G51" i="1493" s="1"/>
  <c r="D29" i="1492"/>
  <c r="H13" i="1492" s="1"/>
  <c r="H15" i="1492" s="1"/>
  <c r="H29" i="1492" s="1"/>
  <c r="G51" i="1492"/>
  <c r="D29" i="1491"/>
  <c r="H13" i="1491" s="1"/>
  <c r="D29" i="1490"/>
  <c r="H13" i="1490" s="1"/>
  <c r="D29" i="1488"/>
  <c r="H13" i="1488" s="1"/>
  <c r="H15" i="1488" s="1"/>
  <c r="H29" i="1488" s="1"/>
  <c r="G51" i="1488"/>
  <c r="D29" i="1486"/>
  <c r="H13" i="1486" s="1"/>
  <c r="D29" i="1485"/>
  <c r="H13" i="1485" s="1"/>
  <c r="D29" i="1484"/>
  <c r="H13" i="1484" s="1"/>
  <c r="H15" i="1484" s="1"/>
  <c r="H29" i="1484" s="1"/>
  <c r="G51" i="1484" s="1"/>
  <c r="D29" i="1483"/>
  <c r="H13" i="1483" s="1"/>
  <c r="D29" i="1482"/>
  <c r="H13" i="1482" s="1"/>
  <c r="D29" i="1481"/>
  <c r="H13" i="1481" s="1"/>
  <c r="H15" i="1481" s="1"/>
  <c r="H29" i="1481" s="1"/>
  <c r="G51" i="1481"/>
  <c r="D29" i="1479"/>
  <c r="H13" i="1479" s="1"/>
  <c r="D29" i="1478"/>
  <c r="H13" i="1478" s="1"/>
  <c r="D29" i="1477"/>
  <c r="H13" i="1477" s="1"/>
  <c r="D29" i="1476"/>
  <c r="H13" i="1476" s="1"/>
  <c r="H15" i="1476" s="1"/>
  <c r="H29" i="1476" s="1"/>
  <c r="G51" i="1476" s="1"/>
  <c r="D29" i="1475"/>
  <c r="H13" i="1475" s="1"/>
  <c r="D29" i="1474"/>
  <c r="H13" i="1474" s="1"/>
  <c r="D29" i="1473"/>
  <c r="H13" i="1473" s="1"/>
  <c r="D29" i="1472"/>
  <c r="H13" i="1472" s="1"/>
  <c r="H15" i="1472" s="1"/>
  <c r="H29" i="1472" s="1"/>
  <c r="G51" i="1472"/>
  <c r="L25" i="1454"/>
  <c r="H15" i="1491" l="1"/>
  <c r="H29" i="1491" s="1"/>
  <c r="G51" i="1491" s="1"/>
  <c r="H15" i="1490"/>
  <c r="H29" i="1490" s="1"/>
  <c r="G51" i="1490" s="1"/>
  <c r="H15" i="1489"/>
  <c r="H29" i="1489" s="1"/>
  <c r="G51" i="1489" s="1"/>
  <c r="G51" i="1487"/>
  <c r="H15" i="1486"/>
  <c r="H29" i="1486" s="1"/>
  <c r="G51" i="1486" s="1"/>
  <c r="H15" i="1485"/>
  <c r="H29" i="1485" s="1"/>
  <c r="G51" i="1485" s="1"/>
  <c r="H15" i="1483"/>
  <c r="H29" i="1483" s="1"/>
  <c r="G51" i="1483" s="1"/>
  <c r="H15" i="1482"/>
  <c r="H29" i="1482" s="1"/>
  <c r="G51" i="1482" s="1"/>
  <c r="H15" i="1479"/>
  <c r="H29" i="1479" s="1"/>
  <c r="G51" i="1479" s="1"/>
  <c r="H15" i="1478"/>
  <c r="H29" i="1478" s="1"/>
  <c r="G51" i="1478" s="1"/>
  <c r="H15" i="1477"/>
  <c r="H29" i="1477" s="1"/>
  <c r="G51" i="1477" s="1"/>
  <c r="H15" i="1475"/>
  <c r="H29" i="1475" s="1"/>
  <c r="G51" i="1475" s="1"/>
  <c r="H15" i="1474"/>
  <c r="H29" i="1474" s="1"/>
  <c r="G51" i="1474" s="1"/>
  <c r="H15" i="1473"/>
  <c r="H29" i="1473" s="1"/>
  <c r="G51" i="1473" s="1"/>
  <c r="H16" i="1458"/>
  <c r="C21" i="1453" l="1"/>
  <c r="C12" i="1450" l="1"/>
  <c r="H16" i="1471"/>
  <c r="H16" i="1450"/>
  <c r="R52" i="1471"/>
  <c r="R51" i="1471"/>
  <c r="D50" i="1471"/>
  <c r="R49" i="1471"/>
  <c r="D49" i="1471"/>
  <c r="R48" i="1471"/>
  <c r="D48" i="1471"/>
  <c r="D46" i="1471"/>
  <c r="D45" i="1471"/>
  <c r="D44" i="1471"/>
  <c r="R42" i="1471"/>
  <c r="L6" i="1471" s="1"/>
  <c r="D6" i="1471" s="1"/>
  <c r="D42" i="1471"/>
  <c r="R41" i="1471"/>
  <c r="L7" i="1471" s="1"/>
  <c r="D7" i="1471" s="1"/>
  <c r="D41" i="1471"/>
  <c r="R40" i="1471"/>
  <c r="D40" i="1471"/>
  <c r="R39" i="1471"/>
  <c r="H39" i="1471"/>
  <c r="D39" i="1471"/>
  <c r="R38" i="1471"/>
  <c r="H38" i="1471"/>
  <c r="D38" i="1471"/>
  <c r="R37" i="1471"/>
  <c r="H37" i="1471"/>
  <c r="D37" i="1471"/>
  <c r="R36" i="1471"/>
  <c r="H36" i="1471"/>
  <c r="D36" i="1471"/>
  <c r="R35" i="1471"/>
  <c r="L19" i="1471" s="1"/>
  <c r="D19" i="1471" s="1"/>
  <c r="H35" i="1471"/>
  <c r="D35" i="1471"/>
  <c r="R34" i="1471"/>
  <c r="H34" i="1471"/>
  <c r="D34" i="1471"/>
  <c r="R33" i="1471"/>
  <c r="L23" i="1471" s="1"/>
  <c r="D23" i="1471" s="1"/>
  <c r="R32" i="1471"/>
  <c r="L11" i="1471" s="1"/>
  <c r="D11" i="1471" s="1"/>
  <c r="R31" i="1471"/>
  <c r="R30" i="1471"/>
  <c r="R29" i="1471"/>
  <c r="R28" i="1471"/>
  <c r="L16" i="1471" s="1"/>
  <c r="D16" i="1471" s="1"/>
  <c r="D28" i="1471"/>
  <c r="R27" i="1471"/>
  <c r="D27" i="1471"/>
  <c r="R26" i="1471"/>
  <c r="L26" i="1471"/>
  <c r="D26" i="1471"/>
  <c r="R25" i="1471"/>
  <c r="L25" i="1471"/>
  <c r="D25" i="1471"/>
  <c r="R24" i="1471"/>
  <c r="D24" i="1471"/>
  <c r="R23" i="1471"/>
  <c r="R22" i="1471"/>
  <c r="L22" i="1471"/>
  <c r="D22" i="1471"/>
  <c r="R21" i="1471"/>
  <c r="D21" i="1471"/>
  <c r="R20" i="1471"/>
  <c r="L20" i="1471"/>
  <c r="D20" i="1471"/>
  <c r="R19" i="1471"/>
  <c r="R18" i="1471"/>
  <c r="D18" i="1471"/>
  <c r="R17" i="1471"/>
  <c r="D17" i="1471"/>
  <c r="R16" i="1471"/>
  <c r="R15" i="1471"/>
  <c r="D15" i="1471"/>
  <c r="R14" i="1471"/>
  <c r="D14" i="1471"/>
  <c r="R13" i="1471"/>
  <c r="D13" i="1471"/>
  <c r="R12" i="1471"/>
  <c r="L12" i="1471"/>
  <c r="D12" i="1471" s="1"/>
  <c r="R11" i="1471"/>
  <c r="L10" i="1471"/>
  <c r="D10" i="1471" s="1"/>
  <c r="L9" i="1471"/>
  <c r="D9" i="1471"/>
  <c r="L8" i="1471"/>
  <c r="D8" i="1471"/>
  <c r="R6" i="1471"/>
  <c r="R5" i="1471"/>
  <c r="R4" i="1471"/>
  <c r="H16" i="1449"/>
  <c r="D54" i="1471" l="1"/>
  <c r="H14" i="1471" s="1"/>
  <c r="D29" i="1471"/>
  <c r="H13" i="1471" s="1"/>
  <c r="G49" i="1471"/>
  <c r="H16" i="1429"/>
  <c r="H16" i="1428"/>
  <c r="H15" i="1471" l="1"/>
  <c r="H29" i="1471" s="1"/>
  <c r="G51" i="1471" s="1"/>
  <c r="C12" i="1429"/>
  <c r="C19" i="1427"/>
  <c r="C12" i="1427"/>
  <c r="C13" i="1427"/>
  <c r="C21" i="1427"/>
  <c r="R52" i="1470" l="1"/>
  <c r="R51" i="1470"/>
  <c r="D50" i="1470"/>
  <c r="R49" i="1470"/>
  <c r="D49" i="1470"/>
  <c r="R48" i="1470"/>
  <c r="D48" i="1470"/>
  <c r="D46" i="1470"/>
  <c r="D45" i="1470"/>
  <c r="D44" i="1470"/>
  <c r="R42" i="1470"/>
  <c r="D42" i="1470"/>
  <c r="R41" i="1470"/>
  <c r="D41" i="1470"/>
  <c r="R40" i="1470"/>
  <c r="L8" i="1470" s="1"/>
  <c r="D8" i="1470" s="1"/>
  <c r="D40" i="1470"/>
  <c r="R39" i="1470"/>
  <c r="H39" i="1470"/>
  <c r="D39" i="1470"/>
  <c r="R38" i="1470"/>
  <c r="L9" i="1470" s="1"/>
  <c r="D9" i="1470" s="1"/>
  <c r="H38" i="1470"/>
  <c r="D38" i="1470"/>
  <c r="R37" i="1470"/>
  <c r="H37" i="1470"/>
  <c r="D37" i="1470"/>
  <c r="R36" i="1470"/>
  <c r="H36" i="1470"/>
  <c r="D36" i="1470"/>
  <c r="R35" i="1470"/>
  <c r="H35" i="1470"/>
  <c r="D35" i="1470"/>
  <c r="R34" i="1470"/>
  <c r="H34" i="1470"/>
  <c r="D34" i="1470"/>
  <c r="R33" i="1470"/>
  <c r="L23" i="1470" s="1"/>
  <c r="D23" i="1470" s="1"/>
  <c r="R32" i="1470"/>
  <c r="L11" i="1470" s="1"/>
  <c r="D11" i="1470" s="1"/>
  <c r="R31" i="1470"/>
  <c r="R30" i="1470"/>
  <c r="R29" i="1470"/>
  <c r="R28" i="1470"/>
  <c r="L16" i="1470" s="1"/>
  <c r="D16" i="1470" s="1"/>
  <c r="D28" i="1470"/>
  <c r="R27" i="1470"/>
  <c r="D27" i="1470"/>
  <c r="R26" i="1470"/>
  <c r="L26" i="1470"/>
  <c r="D26" i="1470"/>
  <c r="R25" i="1470"/>
  <c r="L25" i="1470"/>
  <c r="D25" i="1470"/>
  <c r="R24" i="1470"/>
  <c r="D24" i="1470"/>
  <c r="R23" i="1470"/>
  <c r="R22" i="1470"/>
  <c r="L22" i="1470"/>
  <c r="D22" i="1470" s="1"/>
  <c r="R21" i="1470"/>
  <c r="D21" i="1470"/>
  <c r="R20" i="1470"/>
  <c r="L20" i="1470"/>
  <c r="D20" i="1470"/>
  <c r="R19" i="1470"/>
  <c r="L19" i="1470"/>
  <c r="D19" i="1470"/>
  <c r="R18" i="1470"/>
  <c r="D18" i="1470"/>
  <c r="R17" i="1470"/>
  <c r="D17" i="1470"/>
  <c r="R16" i="1470"/>
  <c r="R15" i="1470"/>
  <c r="D15" i="1470"/>
  <c r="R14" i="1470"/>
  <c r="D14" i="1470"/>
  <c r="R13" i="1470"/>
  <c r="D13" i="1470"/>
  <c r="R12" i="1470"/>
  <c r="L12" i="1470"/>
  <c r="D12" i="1470" s="1"/>
  <c r="R11" i="1470"/>
  <c r="L10" i="1470"/>
  <c r="D10" i="1470" s="1"/>
  <c r="L7" i="1470"/>
  <c r="D7" i="1470"/>
  <c r="R6" i="1470"/>
  <c r="L6" i="1470"/>
  <c r="D6" i="1470" s="1"/>
  <c r="R5" i="1470"/>
  <c r="R4" i="1470"/>
  <c r="R52" i="1469"/>
  <c r="R51" i="1469"/>
  <c r="D50" i="1469"/>
  <c r="R49" i="1469"/>
  <c r="D49" i="1469"/>
  <c r="R48" i="1469"/>
  <c r="D48" i="1469"/>
  <c r="D46" i="1469"/>
  <c r="D45" i="1469"/>
  <c r="D44" i="1469"/>
  <c r="R42" i="1469"/>
  <c r="L6" i="1469" s="1"/>
  <c r="D6" i="1469" s="1"/>
  <c r="D42" i="1469"/>
  <c r="R41" i="1469"/>
  <c r="L7" i="1469" s="1"/>
  <c r="D7" i="1469" s="1"/>
  <c r="D41" i="1469"/>
  <c r="R40" i="1469"/>
  <c r="L8" i="1469" s="1"/>
  <c r="D8" i="1469" s="1"/>
  <c r="D40" i="1469"/>
  <c r="R39" i="1469"/>
  <c r="H39" i="1469"/>
  <c r="D39" i="1469"/>
  <c r="R38" i="1469"/>
  <c r="L9" i="1469" s="1"/>
  <c r="D9" i="1469" s="1"/>
  <c r="H38" i="1469"/>
  <c r="D38" i="1469"/>
  <c r="R37" i="1469"/>
  <c r="H37" i="1469"/>
  <c r="D37" i="1469"/>
  <c r="R36" i="1469"/>
  <c r="H36" i="1469"/>
  <c r="D36" i="1469"/>
  <c r="R35" i="1469"/>
  <c r="L19" i="1469" s="1"/>
  <c r="D19" i="1469" s="1"/>
  <c r="H35" i="1469"/>
  <c r="D35" i="1469"/>
  <c r="R34" i="1469"/>
  <c r="H34" i="1469"/>
  <c r="D34" i="1469"/>
  <c r="R33" i="1469"/>
  <c r="L23" i="1469" s="1"/>
  <c r="D23" i="1469" s="1"/>
  <c r="R32" i="1469"/>
  <c r="R31" i="1469"/>
  <c r="R30" i="1469"/>
  <c r="R29" i="1469"/>
  <c r="R28" i="1469"/>
  <c r="D28" i="1469"/>
  <c r="R27" i="1469"/>
  <c r="D27" i="1469"/>
  <c r="R26" i="1469"/>
  <c r="L26" i="1469"/>
  <c r="D26" i="1469" s="1"/>
  <c r="R25" i="1469"/>
  <c r="L25" i="1469"/>
  <c r="D25" i="1469" s="1"/>
  <c r="R24" i="1469"/>
  <c r="L24" i="1469"/>
  <c r="D24" i="1469" s="1"/>
  <c r="R23" i="1469"/>
  <c r="R22" i="1469"/>
  <c r="L22" i="1469"/>
  <c r="D22" i="1469"/>
  <c r="R21" i="1469"/>
  <c r="L17" i="1469" s="1"/>
  <c r="D17" i="1469" s="1"/>
  <c r="D21" i="1469"/>
  <c r="R20" i="1469"/>
  <c r="L20" i="1469"/>
  <c r="D20" i="1469" s="1"/>
  <c r="R19" i="1469"/>
  <c r="R18" i="1469"/>
  <c r="D18" i="1469"/>
  <c r="R17" i="1469"/>
  <c r="R16" i="1469"/>
  <c r="L16" i="1469"/>
  <c r="D16" i="1469"/>
  <c r="R15" i="1469"/>
  <c r="D15" i="1469"/>
  <c r="R14" i="1469"/>
  <c r="D14" i="1469"/>
  <c r="R13" i="1469"/>
  <c r="D13" i="1469"/>
  <c r="R12" i="1469"/>
  <c r="L12" i="1469"/>
  <c r="D12" i="1469" s="1"/>
  <c r="R11" i="1469"/>
  <c r="L11" i="1469"/>
  <c r="D11" i="1469"/>
  <c r="L10" i="1469"/>
  <c r="D10" i="1469"/>
  <c r="R6" i="1469"/>
  <c r="R5" i="1469"/>
  <c r="R4" i="1469"/>
  <c r="R52" i="1468"/>
  <c r="R51" i="1468"/>
  <c r="D50" i="1468"/>
  <c r="R49" i="1468"/>
  <c r="D49" i="1468"/>
  <c r="R48" i="1468"/>
  <c r="D48" i="1468"/>
  <c r="D46" i="1468"/>
  <c r="D45" i="1468"/>
  <c r="P44" i="1468"/>
  <c r="R44" i="1468" s="1"/>
  <c r="D44" i="1468"/>
  <c r="R42" i="1468"/>
  <c r="L6" i="1468" s="1"/>
  <c r="D6" i="1468" s="1"/>
  <c r="D42" i="1468"/>
  <c r="R41" i="1468"/>
  <c r="D41" i="1468"/>
  <c r="R40" i="1468"/>
  <c r="D40" i="1468"/>
  <c r="R39" i="1468"/>
  <c r="L20" i="1468" s="1"/>
  <c r="D20" i="1468" s="1"/>
  <c r="H39" i="1468"/>
  <c r="D39" i="1468"/>
  <c r="R38" i="1468"/>
  <c r="H38" i="1468"/>
  <c r="D38" i="1468"/>
  <c r="R37" i="1468"/>
  <c r="H37" i="1468"/>
  <c r="D37" i="1468"/>
  <c r="R36" i="1468"/>
  <c r="H36" i="1468"/>
  <c r="D36" i="1468"/>
  <c r="R35" i="1468"/>
  <c r="H35" i="1468"/>
  <c r="D35" i="1468"/>
  <c r="R34" i="1468"/>
  <c r="L12" i="1468" s="1"/>
  <c r="D12" i="1468" s="1"/>
  <c r="H34" i="1468"/>
  <c r="D34" i="1468"/>
  <c r="R33" i="1468"/>
  <c r="R32" i="1468"/>
  <c r="R31" i="1468"/>
  <c r="R30" i="1468"/>
  <c r="R29" i="1468"/>
  <c r="R28" i="1468"/>
  <c r="D28" i="1468"/>
  <c r="R27" i="1468"/>
  <c r="D27" i="1468"/>
  <c r="R26" i="1468"/>
  <c r="L26" i="1468"/>
  <c r="D26" i="1468"/>
  <c r="R25" i="1468"/>
  <c r="L25" i="1468"/>
  <c r="D25" i="1468"/>
  <c r="R24" i="1468"/>
  <c r="L24" i="1468"/>
  <c r="D24" i="1468" s="1"/>
  <c r="R23" i="1468"/>
  <c r="D23" i="1468"/>
  <c r="R22" i="1468"/>
  <c r="D22" i="1468"/>
  <c r="R21" i="1468"/>
  <c r="D21" i="1468"/>
  <c r="R20" i="1468"/>
  <c r="R19" i="1468"/>
  <c r="D19" i="1468"/>
  <c r="R18" i="1468"/>
  <c r="D18" i="1468"/>
  <c r="R17" i="1468"/>
  <c r="L17" i="1468"/>
  <c r="D17" i="1468" s="1"/>
  <c r="R16" i="1468"/>
  <c r="L16" i="1468"/>
  <c r="D16" i="1468"/>
  <c r="R15" i="1468"/>
  <c r="D15" i="1468"/>
  <c r="R14" i="1468"/>
  <c r="D14" i="1468"/>
  <c r="R13" i="1468"/>
  <c r="D13" i="1468"/>
  <c r="R12" i="1468"/>
  <c r="R11" i="1468"/>
  <c r="L11" i="1468"/>
  <c r="D11" i="1468"/>
  <c r="L10" i="1468"/>
  <c r="D10" i="1468" s="1"/>
  <c r="L9" i="1468"/>
  <c r="D9" i="1468" s="1"/>
  <c r="L8" i="1468"/>
  <c r="D8" i="1468" s="1"/>
  <c r="L7" i="1468"/>
  <c r="D7" i="1468"/>
  <c r="R6" i="1468"/>
  <c r="R5" i="1468"/>
  <c r="R4" i="1468"/>
  <c r="R52" i="1467"/>
  <c r="R51" i="1467"/>
  <c r="D50" i="1467"/>
  <c r="R49" i="1467"/>
  <c r="G49" i="1467"/>
  <c r="D49" i="1467"/>
  <c r="R48" i="1467"/>
  <c r="D48" i="1467"/>
  <c r="D46" i="1467"/>
  <c r="D45" i="1467"/>
  <c r="D44" i="1467"/>
  <c r="R42" i="1467"/>
  <c r="D42" i="1467"/>
  <c r="R41" i="1467"/>
  <c r="L7" i="1467" s="1"/>
  <c r="D7" i="1467" s="1"/>
  <c r="D41" i="1467"/>
  <c r="R40" i="1467"/>
  <c r="L8" i="1467" s="1"/>
  <c r="D8" i="1467" s="1"/>
  <c r="D40" i="1467"/>
  <c r="R39" i="1467"/>
  <c r="D39" i="1467"/>
  <c r="R38" i="1467"/>
  <c r="L9" i="1467" s="1"/>
  <c r="D9" i="1467" s="1"/>
  <c r="D38" i="1467"/>
  <c r="R37" i="1467"/>
  <c r="D37" i="1467"/>
  <c r="R36" i="1467"/>
  <c r="D36" i="1467"/>
  <c r="R35" i="1467"/>
  <c r="D35" i="1467"/>
  <c r="R34" i="1467"/>
  <c r="L12" i="1467" s="1"/>
  <c r="D12" i="1467" s="1"/>
  <c r="D34" i="1467"/>
  <c r="D54" i="1467" s="1"/>
  <c r="H14" i="1467" s="1"/>
  <c r="R33" i="1467"/>
  <c r="L23" i="1467" s="1"/>
  <c r="D23" i="1467" s="1"/>
  <c r="R32" i="1467"/>
  <c r="L11" i="1467" s="1"/>
  <c r="D11" i="1467" s="1"/>
  <c r="R31" i="1467"/>
  <c r="R30" i="1467"/>
  <c r="R29" i="1467"/>
  <c r="R28" i="1467"/>
  <c r="D28" i="1467"/>
  <c r="R27" i="1467"/>
  <c r="D27" i="1467"/>
  <c r="R26" i="1467"/>
  <c r="L26" i="1467"/>
  <c r="D26" i="1467" s="1"/>
  <c r="R25" i="1467"/>
  <c r="L25" i="1467"/>
  <c r="D25" i="1467"/>
  <c r="R24" i="1467"/>
  <c r="D24" i="1467"/>
  <c r="R23" i="1467"/>
  <c r="R22" i="1467"/>
  <c r="L22" i="1467"/>
  <c r="D22" i="1467" s="1"/>
  <c r="R21" i="1467"/>
  <c r="D21" i="1467"/>
  <c r="R20" i="1467"/>
  <c r="L20" i="1467"/>
  <c r="D20" i="1467"/>
  <c r="R19" i="1467"/>
  <c r="L19" i="1467"/>
  <c r="D19" i="1467"/>
  <c r="R18" i="1467"/>
  <c r="D18" i="1467"/>
  <c r="R17" i="1467"/>
  <c r="D17" i="1467"/>
  <c r="R16" i="1467"/>
  <c r="L16" i="1467"/>
  <c r="D16" i="1467" s="1"/>
  <c r="S15" i="1467"/>
  <c r="R15" i="1467"/>
  <c r="D15" i="1467"/>
  <c r="S14" i="1467"/>
  <c r="R14" i="1467"/>
  <c r="D14" i="1467"/>
  <c r="R13" i="1467"/>
  <c r="D13" i="1467"/>
  <c r="R12" i="1467"/>
  <c r="R11" i="1467"/>
  <c r="L10" i="1467"/>
  <c r="D10" i="1467" s="1"/>
  <c r="R6" i="1467"/>
  <c r="L6" i="1467"/>
  <c r="D6" i="1467"/>
  <c r="D29" i="1467" s="1"/>
  <c r="H13" i="1467" s="1"/>
  <c r="H15" i="1467" s="1"/>
  <c r="H29" i="1467" s="1"/>
  <c r="R5" i="1467"/>
  <c r="R4" i="1467"/>
  <c r="R52" i="1466"/>
  <c r="R51" i="1466"/>
  <c r="D50" i="1466"/>
  <c r="R49" i="1466"/>
  <c r="D49" i="1466"/>
  <c r="R48" i="1466"/>
  <c r="D48" i="1466"/>
  <c r="D46" i="1466"/>
  <c r="D45" i="1466"/>
  <c r="D44" i="1466"/>
  <c r="R42" i="1466"/>
  <c r="D42" i="1466"/>
  <c r="R41" i="1466"/>
  <c r="D41" i="1466"/>
  <c r="R40" i="1466"/>
  <c r="L8" i="1466" s="1"/>
  <c r="D8" i="1466" s="1"/>
  <c r="D40" i="1466"/>
  <c r="R39" i="1466"/>
  <c r="H39" i="1466"/>
  <c r="D39" i="1466"/>
  <c r="R38" i="1466"/>
  <c r="L9" i="1466" s="1"/>
  <c r="D9" i="1466" s="1"/>
  <c r="H38" i="1466"/>
  <c r="D38" i="1466"/>
  <c r="R37" i="1466"/>
  <c r="H37" i="1466"/>
  <c r="D37" i="1466"/>
  <c r="R36" i="1466"/>
  <c r="H36" i="1466"/>
  <c r="D36" i="1466"/>
  <c r="R35" i="1466"/>
  <c r="H35" i="1466"/>
  <c r="D35" i="1466"/>
  <c r="R34" i="1466"/>
  <c r="L12" i="1466" s="1"/>
  <c r="D12" i="1466" s="1"/>
  <c r="H34" i="1466"/>
  <c r="D34" i="1466"/>
  <c r="R33" i="1466"/>
  <c r="L23" i="1466" s="1"/>
  <c r="D23" i="1466" s="1"/>
  <c r="R32" i="1466"/>
  <c r="L11" i="1466" s="1"/>
  <c r="D11" i="1466" s="1"/>
  <c r="R31" i="1466"/>
  <c r="R30" i="1466"/>
  <c r="R29" i="1466"/>
  <c r="R28" i="1466"/>
  <c r="D28" i="1466"/>
  <c r="R27" i="1466"/>
  <c r="D27" i="1466"/>
  <c r="R26" i="1466"/>
  <c r="L26" i="1466"/>
  <c r="D26" i="1466"/>
  <c r="R25" i="1466"/>
  <c r="L25" i="1466"/>
  <c r="D25" i="1466" s="1"/>
  <c r="R24" i="1466"/>
  <c r="D24" i="1466"/>
  <c r="R23" i="1466"/>
  <c r="R22" i="1466"/>
  <c r="L22" i="1466"/>
  <c r="D22" i="1466"/>
  <c r="R21" i="1466"/>
  <c r="D21" i="1466"/>
  <c r="R20" i="1466"/>
  <c r="L20" i="1466"/>
  <c r="D20" i="1466"/>
  <c r="R19" i="1466"/>
  <c r="L19" i="1466"/>
  <c r="D19" i="1466" s="1"/>
  <c r="R18" i="1466"/>
  <c r="D18" i="1466"/>
  <c r="R17" i="1466"/>
  <c r="D17" i="1466"/>
  <c r="R16" i="1466"/>
  <c r="L16" i="1466"/>
  <c r="D16" i="1466" s="1"/>
  <c r="R15" i="1466"/>
  <c r="D15" i="1466"/>
  <c r="R14" i="1466"/>
  <c r="D14" i="1466"/>
  <c r="R13" i="1466"/>
  <c r="D13" i="1466"/>
  <c r="R12" i="1466"/>
  <c r="R11" i="1466"/>
  <c r="L10" i="1466"/>
  <c r="D10" i="1466"/>
  <c r="L7" i="1466"/>
  <c r="D7" i="1466"/>
  <c r="R6" i="1466"/>
  <c r="L6" i="1466"/>
  <c r="D6" i="1466"/>
  <c r="R5" i="1466"/>
  <c r="R4" i="1466"/>
  <c r="R52" i="1465"/>
  <c r="R51" i="1465"/>
  <c r="D50" i="1465"/>
  <c r="R49" i="1465"/>
  <c r="D49" i="1465"/>
  <c r="R48" i="1465"/>
  <c r="D48" i="1465"/>
  <c r="D46" i="1465"/>
  <c r="D45" i="1465"/>
  <c r="D44" i="1465"/>
  <c r="R42" i="1465"/>
  <c r="D42" i="1465"/>
  <c r="R41" i="1465"/>
  <c r="D41" i="1465"/>
  <c r="R40" i="1465"/>
  <c r="D40" i="1465"/>
  <c r="R39" i="1465"/>
  <c r="L20" i="1465" s="1"/>
  <c r="D20" i="1465" s="1"/>
  <c r="H39" i="1465"/>
  <c r="D39" i="1465"/>
  <c r="R38" i="1465"/>
  <c r="L9" i="1465" s="1"/>
  <c r="D9" i="1465" s="1"/>
  <c r="H38" i="1465"/>
  <c r="D38" i="1465"/>
  <c r="R37" i="1465"/>
  <c r="H37" i="1465"/>
  <c r="D37" i="1465"/>
  <c r="R36" i="1465"/>
  <c r="H36" i="1465"/>
  <c r="D36" i="1465"/>
  <c r="R35" i="1465"/>
  <c r="H35" i="1465"/>
  <c r="D35" i="1465"/>
  <c r="R34" i="1465"/>
  <c r="L12" i="1465" s="1"/>
  <c r="D12" i="1465" s="1"/>
  <c r="H34" i="1465"/>
  <c r="D34" i="1465"/>
  <c r="R33" i="1465"/>
  <c r="L23" i="1465" s="1"/>
  <c r="D23" i="1465" s="1"/>
  <c r="R32" i="1465"/>
  <c r="L11" i="1465" s="1"/>
  <c r="D11" i="1465" s="1"/>
  <c r="R31" i="1465"/>
  <c r="R30" i="1465"/>
  <c r="R29" i="1465"/>
  <c r="R28" i="1465"/>
  <c r="D28" i="1465"/>
  <c r="R27" i="1465"/>
  <c r="D27" i="1465"/>
  <c r="R26" i="1465"/>
  <c r="L26" i="1465"/>
  <c r="D26" i="1465"/>
  <c r="R25" i="1465"/>
  <c r="L25" i="1465"/>
  <c r="D25" i="1465"/>
  <c r="R24" i="1465"/>
  <c r="L24" i="1465"/>
  <c r="D24" i="1465" s="1"/>
  <c r="R23" i="1465"/>
  <c r="R22" i="1465"/>
  <c r="L22" i="1465"/>
  <c r="D22" i="1465" s="1"/>
  <c r="R21" i="1465"/>
  <c r="D21" i="1465"/>
  <c r="R20" i="1465"/>
  <c r="R19" i="1465"/>
  <c r="L19" i="1465"/>
  <c r="D19" i="1465" s="1"/>
  <c r="R18" i="1465"/>
  <c r="D18" i="1465"/>
  <c r="R17" i="1465"/>
  <c r="L17" i="1465"/>
  <c r="D17" i="1465"/>
  <c r="R16" i="1465"/>
  <c r="L16" i="1465"/>
  <c r="D16" i="1465" s="1"/>
  <c r="R15" i="1465"/>
  <c r="D15" i="1465"/>
  <c r="R14" i="1465"/>
  <c r="D14" i="1465"/>
  <c r="R13" i="1465"/>
  <c r="D13" i="1465"/>
  <c r="R12" i="1465"/>
  <c r="R11" i="1465"/>
  <c r="L10" i="1465"/>
  <c r="D10" i="1465"/>
  <c r="L8" i="1465"/>
  <c r="D8" i="1465"/>
  <c r="L7" i="1465"/>
  <c r="D7" i="1465"/>
  <c r="R6" i="1465"/>
  <c r="L6" i="1465"/>
  <c r="D6" i="1465" s="1"/>
  <c r="R5" i="1465"/>
  <c r="R4" i="1465"/>
  <c r="R52" i="1464"/>
  <c r="R51" i="1464"/>
  <c r="D50" i="1464"/>
  <c r="R49" i="1464"/>
  <c r="D49" i="1464"/>
  <c r="R48" i="1464"/>
  <c r="D48" i="1464"/>
  <c r="D46" i="1464"/>
  <c r="D45" i="1464"/>
  <c r="P44" i="1464"/>
  <c r="R44" i="1464" s="1"/>
  <c r="D44" i="1464"/>
  <c r="R42" i="1464"/>
  <c r="D42" i="1464"/>
  <c r="R41" i="1464"/>
  <c r="L7" i="1464" s="1"/>
  <c r="D7" i="1464" s="1"/>
  <c r="D41" i="1464"/>
  <c r="R40" i="1464"/>
  <c r="D40" i="1464"/>
  <c r="R39" i="1464"/>
  <c r="L20" i="1464" s="1"/>
  <c r="D20" i="1464" s="1"/>
  <c r="H39" i="1464"/>
  <c r="D39" i="1464"/>
  <c r="R38" i="1464"/>
  <c r="H38" i="1464"/>
  <c r="D38" i="1464"/>
  <c r="R37" i="1464"/>
  <c r="H37" i="1464"/>
  <c r="D37" i="1464"/>
  <c r="R36" i="1464"/>
  <c r="H36" i="1464"/>
  <c r="D36" i="1464"/>
  <c r="R35" i="1464"/>
  <c r="H35" i="1464"/>
  <c r="D35" i="1464"/>
  <c r="R34" i="1464"/>
  <c r="L12" i="1464" s="1"/>
  <c r="D12" i="1464" s="1"/>
  <c r="H34" i="1464"/>
  <c r="D34" i="1464"/>
  <c r="R33" i="1464"/>
  <c r="R32" i="1464"/>
  <c r="R31" i="1464"/>
  <c r="R30" i="1464"/>
  <c r="R29" i="1464"/>
  <c r="R28" i="1464"/>
  <c r="D28" i="1464"/>
  <c r="R27" i="1464"/>
  <c r="D27" i="1464"/>
  <c r="R26" i="1464"/>
  <c r="L26" i="1464"/>
  <c r="D26" i="1464"/>
  <c r="R25" i="1464"/>
  <c r="L25" i="1464"/>
  <c r="D25" i="1464" s="1"/>
  <c r="R24" i="1464"/>
  <c r="L24" i="1464"/>
  <c r="D24" i="1464"/>
  <c r="R23" i="1464"/>
  <c r="D23" i="1464"/>
  <c r="R22" i="1464"/>
  <c r="D22" i="1464"/>
  <c r="R21" i="1464"/>
  <c r="D21" i="1464"/>
  <c r="R20" i="1464"/>
  <c r="R19" i="1464"/>
  <c r="D19" i="1464"/>
  <c r="R18" i="1464"/>
  <c r="D18" i="1464"/>
  <c r="R17" i="1464"/>
  <c r="L17" i="1464"/>
  <c r="D17" i="1464"/>
  <c r="R16" i="1464"/>
  <c r="L16" i="1464"/>
  <c r="D16" i="1464" s="1"/>
  <c r="R15" i="1464"/>
  <c r="D15" i="1464"/>
  <c r="R14" i="1464"/>
  <c r="D14" i="1464"/>
  <c r="R13" i="1464"/>
  <c r="D13" i="1464"/>
  <c r="R12" i="1464"/>
  <c r="R11" i="1464"/>
  <c r="L11" i="1464"/>
  <c r="D11" i="1464"/>
  <c r="L10" i="1464"/>
  <c r="D10" i="1464" s="1"/>
  <c r="L9" i="1464"/>
  <c r="D9" i="1464" s="1"/>
  <c r="L8" i="1464"/>
  <c r="D8" i="1464" s="1"/>
  <c r="R6" i="1464"/>
  <c r="L6" i="1464"/>
  <c r="D6" i="1464" s="1"/>
  <c r="R5" i="1464"/>
  <c r="R4" i="1464"/>
  <c r="R52" i="1463"/>
  <c r="R51" i="1463"/>
  <c r="D50" i="1463"/>
  <c r="R49" i="1463"/>
  <c r="G49" i="1463"/>
  <c r="D49" i="1463"/>
  <c r="R48" i="1463"/>
  <c r="D48" i="1463"/>
  <c r="D46" i="1463"/>
  <c r="D45" i="1463"/>
  <c r="D44" i="1463"/>
  <c r="R42" i="1463"/>
  <c r="L6" i="1463" s="1"/>
  <c r="D6" i="1463" s="1"/>
  <c r="D42" i="1463"/>
  <c r="R41" i="1463"/>
  <c r="L7" i="1463" s="1"/>
  <c r="D7" i="1463" s="1"/>
  <c r="D41" i="1463"/>
  <c r="R40" i="1463"/>
  <c r="D40" i="1463"/>
  <c r="R39" i="1463"/>
  <c r="D39" i="1463"/>
  <c r="R38" i="1463"/>
  <c r="D38" i="1463"/>
  <c r="R37" i="1463"/>
  <c r="D37" i="1463"/>
  <c r="R36" i="1463"/>
  <c r="L10" i="1463" s="1"/>
  <c r="D10" i="1463" s="1"/>
  <c r="D36" i="1463"/>
  <c r="R35" i="1463"/>
  <c r="D35" i="1463"/>
  <c r="R34" i="1463"/>
  <c r="L12" i="1463" s="1"/>
  <c r="D12" i="1463" s="1"/>
  <c r="D34" i="1463"/>
  <c r="D54" i="1463" s="1"/>
  <c r="H14" i="1463" s="1"/>
  <c r="R33" i="1463"/>
  <c r="L23" i="1463" s="1"/>
  <c r="D23" i="1463" s="1"/>
  <c r="R32" i="1463"/>
  <c r="R31" i="1463"/>
  <c r="R30" i="1463"/>
  <c r="R29" i="1463"/>
  <c r="R28" i="1463"/>
  <c r="D28" i="1463"/>
  <c r="R27" i="1463"/>
  <c r="D27" i="1463"/>
  <c r="R26" i="1463"/>
  <c r="L26" i="1463"/>
  <c r="D26" i="1463" s="1"/>
  <c r="R25" i="1463"/>
  <c r="L25" i="1463"/>
  <c r="D25" i="1463"/>
  <c r="R24" i="1463"/>
  <c r="D24" i="1463"/>
  <c r="R23" i="1463"/>
  <c r="R22" i="1463"/>
  <c r="L22" i="1463"/>
  <c r="D22" i="1463"/>
  <c r="R21" i="1463"/>
  <c r="D21" i="1463"/>
  <c r="R20" i="1463"/>
  <c r="L20" i="1463"/>
  <c r="D20" i="1463" s="1"/>
  <c r="R19" i="1463"/>
  <c r="L19" i="1463"/>
  <c r="D19" i="1463"/>
  <c r="R18" i="1463"/>
  <c r="D18" i="1463"/>
  <c r="R17" i="1463"/>
  <c r="D17" i="1463"/>
  <c r="R16" i="1463"/>
  <c r="L16" i="1463"/>
  <c r="D16" i="1463" s="1"/>
  <c r="S15" i="1463"/>
  <c r="R15" i="1463"/>
  <c r="D15" i="1463"/>
  <c r="S14" i="1463"/>
  <c r="R14" i="1463"/>
  <c r="D14" i="1463"/>
  <c r="R13" i="1463"/>
  <c r="D13" i="1463"/>
  <c r="R12" i="1463"/>
  <c r="R11" i="1463"/>
  <c r="L11" i="1463"/>
  <c r="D11" i="1463"/>
  <c r="L9" i="1463"/>
  <c r="D9" i="1463"/>
  <c r="L8" i="1463"/>
  <c r="D8" i="1463"/>
  <c r="R6" i="1463"/>
  <c r="R5" i="1463"/>
  <c r="R4" i="1463"/>
  <c r="R52" i="1462"/>
  <c r="R51" i="1462"/>
  <c r="D50" i="1462"/>
  <c r="R49" i="1462"/>
  <c r="D49" i="1462"/>
  <c r="R48" i="1462"/>
  <c r="D48" i="1462"/>
  <c r="D46" i="1462"/>
  <c r="D45" i="1462"/>
  <c r="D44" i="1462"/>
  <c r="R42" i="1462"/>
  <c r="D42" i="1462"/>
  <c r="R41" i="1462"/>
  <c r="L7" i="1462" s="1"/>
  <c r="D7" i="1462" s="1"/>
  <c r="D41" i="1462"/>
  <c r="R40" i="1462"/>
  <c r="D40" i="1462"/>
  <c r="R39" i="1462"/>
  <c r="H39" i="1462"/>
  <c r="D39" i="1462"/>
  <c r="R38" i="1462"/>
  <c r="L9" i="1462" s="1"/>
  <c r="D9" i="1462" s="1"/>
  <c r="H38" i="1462"/>
  <c r="D38" i="1462"/>
  <c r="R37" i="1462"/>
  <c r="H37" i="1462"/>
  <c r="D37" i="1462"/>
  <c r="R36" i="1462"/>
  <c r="H36" i="1462"/>
  <c r="D36" i="1462"/>
  <c r="R35" i="1462"/>
  <c r="H35" i="1462"/>
  <c r="D35" i="1462"/>
  <c r="R34" i="1462"/>
  <c r="H34" i="1462"/>
  <c r="D34" i="1462"/>
  <c r="R33" i="1462"/>
  <c r="L23" i="1462" s="1"/>
  <c r="D23" i="1462" s="1"/>
  <c r="R32" i="1462"/>
  <c r="L11" i="1462" s="1"/>
  <c r="D11" i="1462" s="1"/>
  <c r="R31" i="1462"/>
  <c r="R30" i="1462"/>
  <c r="R29" i="1462"/>
  <c r="R28" i="1462"/>
  <c r="L16" i="1462" s="1"/>
  <c r="D16" i="1462" s="1"/>
  <c r="D28" i="1462"/>
  <c r="R27" i="1462"/>
  <c r="D27" i="1462"/>
  <c r="R26" i="1462"/>
  <c r="L26" i="1462"/>
  <c r="D26" i="1462"/>
  <c r="R25" i="1462"/>
  <c r="L25" i="1462"/>
  <c r="D25" i="1462"/>
  <c r="R24" i="1462"/>
  <c r="D24" i="1462"/>
  <c r="R23" i="1462"/>
  <c r="R22" i="1462"/>
  <c r="L22" i="1462"/>
  <c r="D22" i="1462"/>
  <c r="R21" i="1462"/>
  <c r="D21" i="1462"/>
  <c r="R20" i="1462"/>
  <c r="L20" i="1462"/>
  <c r="D20" i="1462"/>
  <c r="R19" i="1462"/>
  <c r="L19" i="1462"/>
  <c r="D19" i="1462"/>
  <c r="R18" i="1462"/>
  <c r="D18" i="1462"/>
  <c r="R17" i="1462"/>
  <c r="D17" i="1462"/>
  <c r="R16" i="1462"/>
  <c r="R15" i="1462"/>
  <c r="D15" i="1462"/>
  <c r="R14" i="1462"/>
  <c r="D14" i="1462"/>
  <c r="R13" i="1462"/>
  <c r="D13" i="1462"/>
  <c r="R12" i="1462"/>
  <c r="L12" i="1462"/>
  <c r="D12" i="1462" s="1"/>
  <c r="R11" i="1462"/>
  <c r="L10" i="1462"/>
  <c r="D10" i="1462"/>
  <c r="L8" i="1462"/>
  <c r="D8" i="1462" s="1"/>
  <c r="R6" i="1462"/>
  <c r="L6" i="1462"/>
  <c r="D6" i="1462" s="1"/>
  <c r="R5" i="1462"/>
  <c r="R4" i="1462"/>
  <c r="R52" i="1461"/>
  <c r="R51" i="1461"/>
  <c r="D50" i="1461"/>
  <c r="R49" i="1461"/>
  <c r="G49" i="1461"/>
  <c r="D49" i="1461"/>
  <c r="R48" i="1461"/>
  <c r="D48" i="1461"/>
  <c r="D46" i="1461"/>
  <c r="D45" i="1461"/>
  <c r="D44" i="1461"/>
  <c r="R42" i="1461"/>
  <c r="L6" i="1461" s="1"/>
  <c r="D6" i="1461" s="1"/>
  <c r="D42" i="1461"/>
  <c r="R41" i="1461"/>
  <c r="L7" i="1461" s="1"/>
  <c r="D7" i="1461" s="1"/>
  <c r="D41" i="1461"/>
  <c r="R40" i="1461"/>
  <c r="D40" i="1461"/>
  <c r="R39" i="1461"/>
  <c r="H39" i="1461"/>
  <c r="D39" i="1461"/>
  <c r="R38" i="1461"/>
  <c r="L9" i="1461" s="1"/>
  <c r="D9" i="1461" s="1"/>
  <c r="H38" i="1461"/>
  <c r="D38" i="1461"/>
  <c r="R37" i="1461"/>
  <c r="H37" i="1461"/>
  <c r="D37" i="1461"/>
  <c r="R36" i="1461"/>
  <c r="L10" i="1461" s="1"/>
  <c r="D10" i="1461" s="1"/>
  <c r="H36" i="1461"/>
  <c r="D36" i="1461"/>
  <c r="R35" i="1461"/>
  <c r="L19" i="1461" s="1"/>
  <c r="D19" i="1461" s="1"/>
  <c r="H35" i="1461"/>
  <c r="D35" i="1461"/>
  <c r="R34" i="1461"/>
  <c r="L12" i="1461" s="1"/>
  <c r="D12" i="1461" s="1"/>
  <c r="H34" i="1461"/>
  <c r="D34" i="1461"/>
  <c r="D54" i="1461" s="1"/>
  <c r="H14" i="1461" s="1"/>
  <c r="R33" i="1461"/>
  <c r="R32" i="1461"/>
  <c r="R31" i="1461"/>
  <c r="R30" i="1461"/>
  <c r="R29" i="1461"/>
  <c r="R28" i="1461"/>
  <c r="L16" i="1461" s="1"/>
  <c r="D16" i="1461" s="1"/>
  <c r="D28" i="1461"/>
  <c r="R27" i="1461"/>
  <c r="D27" i="1461"/>
  <c r="R26" i="1461"/>
  <c r="L26" i="1461"/>
  <c r="D26" i="1461" s="1"/>
  <c r="R25" i="1461"/>
  <c r="L25" i="1461"/>
  <c r="D25" i="1461"/>
  <c r="R24" i="1461"/>
  <c r="L24" i="1461"/>
  <c r="D24" i="1461"/>
  <c r="R23" i="1461"/>
  <c r="L23" i="1461"/>
  <c r="D23" i="1461"/>
  <c r="R22" i="1461"/>
  <c r="L22" i="1461"/>
  <c r="D22" i="1461"/>
  <c r="R21" i="1461"/>
  <c r="L17" i="1461" s="1"/>
  <c r="D17" i="1461" s="1"/>
  <c r="D21" i="1461"/>
  <c r="R20" i="1461"/>
  <c r="L20" i="1461"/>
  <c r="D20" i="1461" s="1"/>
  <c r="R19" i="1461"/>
  <c r="R18" i="1461"/>
  <c r="D18" i="1461"/>
  <c r="R17" i="1461"/>
  <c r="R16" i="1461"/>
  <c r="R15" i="1461"/>
  <c r="D15" i="1461"/>
  <c r="R14" i="1461"/>
  <c r="D14" i="1461"/>
  <c r="R13" i="1461"/>
  <c r="D13" i="1461"/>
  <c r="R12" i="1461"/>
  <c r="R11" i="1461"/>
  <c r="L11" i="1461"/>
  <c r="D11" i="1461" s="1"/>
  <c r="L8" i="1461"/>
  <c r="D8" i="1461" s="1"/>
  <c r="R6" i="1461"/>
  <c r="R5" i="1461"/>
  <c r="R4" i="1461"/>
  <c r="R52" i="1460"/>
  <c r="R51" i="1460"/>
  <c r="D50" i="1460"/>
  <c r="R49" i="1460"/>
  <c r="D49" i="1460"/>
  <c r="R48" i="1460"/>
  <c r="D48" i="1460"/>
  <c r="D46" i="1460"/>
  <c r="D45" i="1460"/>
  <c r="P44" i="1460"/>
  <c r="R44" i="1460" s="1"/>
  <c r="D44" i="1460"/>
  <c r="R42" i="1460"/>
  <c r="D42" i="1460"/>
  <c r="R41" i="1460"/>
  <c r="D41" i="1460"/>
  <c r="R40" i="1460"/>
  <c r="D40" i="1460"/>
  <c r="R39" i="1460"/>
  <c r="H39" i="1460"/>
  <c r="D39" i="1460"/>
  <c r="R38" i="1460"/>
  <c r="L9" i="1460" s="1"/>
  <c r="D9" i="1460" s="1"/>
  <c r="H38" i="1460"/>
  <c r="D38" i="1460"/>
  <c r="R37" i="1460"/>
  <c r="H37" i="1460"/>
  <c r="D37" i="1460"/>
  <c r="R36" i="1460"/>
  <c r="H36" i="1460"/>
  <c r="D36" i="1460"/>
  <c r="R35" i="1460"/>
  <c r="H35" i="1460"/>
  <c r="D35" i="1460"/>
  <c r="R34" i="1460"/>
  <c r="L12" i="1460" s="1"/>
  <c r="D12" i="1460" s="1"/>
  <c r="H34" i="1460"/>
  <c r="D34" i="1460"/>
  <c r="R33" i="1460"/>
  <c r="R32" i="1460"/>
  <c r="R31" i="1460"/>
  <c r="R30" i="1460"/>
  <c r="R29" i="1460"/>
  <c r="R28" i="1460"/>
  <c r="D28" i="1460"/>
  <c r="R27" i="1460"/>
  <c r="D27" i="1460"/>
  <c r="R26" i="1460"/>
  <c r="L26" i="1460"/>
  <c r="D26" i="1460"/>
  <c r="R25" i="1460"/>
  <c r="L25" i="1460"/>
  <c r="D25" i="1460" s="1"/>
  <c r="R24" i="1460"/>
  <c r="L24" i="1460"/>
  <c r="D24" i="1460"/>
  <c r="R23" i="1460"/>
  <c r="D23" i="1460"/>
  <c r="R22" i="1460"/>
  <c r="D22" i="1460"/>
  <c r="R21" i="1460"/>
  <c r="D21" i="1460"/>
  <c r="R20" i="1460"/>
  <c r="L20" i="1460"/>
  <c r="D20" i="1460" s="1"/>
  <c r="R19" i="1460"/>
  <c r="D19" i="1460"/>
  <c r="R18" i="1460"/>
  <c r="D18" i="1460"/>
  <c r="R17" i="1460"/>
  <c r="L17" i="1460"/>
  <c r="D17" i="1460"/>
  <c r="R16" i="1460"/>
  <c r="L16" i="1460"/>
  <c r="D16" i="1460"/>
  <c r="R15" i="1460"/>
  <c r="D15" i="1460"/>
  <c r="R14" i="1460"/>
  <c r="D14" i="1460"/>
  <c r="R13" i="1460"/>
  <c r="D13" i="1460"/>
  <c r="R12" i="1460"/>
  <c r="R11" i="1460"/>
  <c r="L11" i="1460"/>
  <c r="D11" i="1460" s="1"/>
  <c r="L10" i="1460"/>
  <c r="D10" i="1460" s="1"/>
  <c r="L8" i="1460"/>
  <c r="D8" i="1460"/>
  <c r="L7" i="1460"/>
  <c r="D7" i="1460"/>
  <c r="R6" i="1460"/>
  <c r="L6" i="1460"/>
  <c r="D6" i="1460" s="1"/>
  <c r="R5" i="1460"/>
  <c r="R4" i="1460"/>
  <c r="R52" i="1459"/>
  <c r="R51" i="1459"/>
  <c r="D50" i="1459"/>
  <c r="R49" i="1459"/>
  <c r="G49" i="1459"/>
  <c r="D49" i="1459"/>
  <c r="R48" i="1459"/>
  <c r="D48" i="1459"/>
  <c r="D46" i="1459"/>
  <c r="D45" i="1459"/>
  <c r="D44" i="1459"/>
  <c r="R42" i="1459"/>
  <c r="L6" i="1459" s="1"/>
  <c r="D6" i="1459" s="1"/>
  <c r="D42" i="1459"/>
  <c r="R41" i="1459"/>
  <c r="L7" i="1459" s="1"/>
  <c r="D7" i="1459" s="1"/>
  <c r="D41" i="1459"/>
  <c r="R40" i="1459"/>
  <c r="D40" i="1459"/>
  <c r="R39" i="1459"/>
  <c r="D39" i="1459"/>
  <c r="R38" i="1459"/>
  <c r="L9" i="1459" s="1"/>
  <c r="D9" i="1459" s="1"/>
  <c r="D38" i="1459"/>
  <c r="R37" i="1459"/>
  <c r="D37" i="1459"/>
  <c r="R36" i="1459"/>
  <c r="L10" i="1459" s="1"/>
  <c r="D10" i="1459" s="1"/>
  <c r="D36" i="1459"/>
  <c r="R35" i="1459"/>
  <c r="D35" i="1459"/>
  <c r="R34" i="1459"/>
  <c r="L12" i="1459" s="1"/>
  <c r="D12" i="1459" s="1"/>
  <c r="D34" i="1459"/>
  <c r="D54" i="1459" s="1"/>
  <c r="H14" i="1459" s="1"/>
  <c r="R33" i="1459"/>
  <c r="L23" i="1459" s="1"/>
  <c r="D23" i="1459" s="1"/>
  <c r="R32" i="1459"/>
  <c r="R31" i="1459"/>
  <c r="R30" i="1459"/>
  <c r="R29" i="1459"/>
  <c r="R28" i="1459"/>
  <c r="L16" i="1459" s="1"/>
  <c r="D16" i="1459" s="1"/>
  <c r="D28" i="1459"/>
  <c r="R27" i="1459"/>
  <c r="D27" i="1459"/>
  <c r="R26" i="1459"/>
  <c r="L26" i="1459"/>
  <c r="D26" i="1459"/>
  <c r="R25" i="1459"/>
  <c r="L25" i="1459"/>
  <c r="D25" i="1459"/>
  <c r="R24" i="1459"/>
  <c r="D24" i="1459"/>
  <c r="R23" i="1459"/>
  <c r="R22" i="1459"/>
  <c r="L22" i="1459"/>
  <c r="D22" i="1459" s="1"/>
  <c r="R21" i="1459"/>
  <c r="D21" i="1459"/>
  <c r="R20" i="1459"/>
  <c r="L20" i="1459"/>
  <c r="D20" i="1459"/>
  <c r="R19" i="1459"/>
  <c r="L19" i="1459"/>
  <c r="D19" i="1459"/>
  <c r="R18" i="1459"/>
  <c r="D18" i="1459"/>
  <c r="R17" i="1459"/>
  <c r="D17" i="1459"/>
  <c r="R16" i="1459"/>
  <c r="S15" i="1459"/>
  <c r="R15" i="1459"/>
  <c r="D15" i="1459"/>
  <c r="S14" i="1459"/>
  <c r="R14" i="1459"/>
  <c r="D14" i="1459"/>
  <c r="R13" i="1459"/>
  <c r="D13" i="1459"/>
  <c r="R12" i="1459"/>
  <c r="R11" i="1459"/>
  <c r="L11" i="1459"/>
  <c r="D11" i="1459" s="1"/>
  <c r="L8" i="1459"/>
  <c r="D8" i="1459"/>
  <c r="R6" i="1459"/>
  <c r="R5" i="1459"/>
  <c r="R4" i="1459"/>
  <c r="R52" i="1458"/>
  <c r="R51" i="1458"/>
  <c r="D50" i="1458"/>
  <c r="R49" i="1458"/>
  <c r="D49" i="1458"/>
  <c r="R48" i="1458"/>
  <c r="D48" i="1458"/>
  <c r="D46" i="1458"/>
  <c r="D45" i="1458"/>
  <c r="D44" i="1458"/>
  <c r="R42" i="1458"/>
  <c r="D42" i="1458"/>
  <c r="R41" i="1458"/>
  <c r="D41" i="1458"/>
  <c r="R40" i="1458"/>
  <c r="D40" i="1458"/>
  <c r="R39" i="1458"/>
  <c r="H39" i="1458"/>
  <c r="D39" i="1458"/>
  <c r="R38" i="1458"/>
  <c r="L9" i="1458" s="1"/>
  <c r="D9" i="1458" s="1"/>
  <c r="H38" i="1458"/>
  <c r="D38" i="1458"/>
  <c r="R37" i="1458"/>
  <c r="H37" i="1458"/>
  <c r="D37" i="1458"/>
  <c r="R36" i="1458"/>
  <c r="H36" i="1458"/>
  <c r="D36" i="1458"/>
  <c r="R35" i="1458"/>
  <c r="H35" i="1458"/>
  <c r="D35" i="1458"/>
  <c r="R34" i="1458"/>
  <c r="L12" i="1458" s="1"/>
  <c r="D12" i="1458" s="1"/>
  <c r="H34" i="1458"/>
  <c r="G49" i="1458" s="1"/>
  <c r="D34" i="1458"/>
  <c r="R33" i="1458"/>
  <c r="L23" i="1458" s="1"/>
  <c r="D23" i="1458" s="1"/>
  <c r="R32" i="1458"/>
  <c r="L11" i="1458" s="1"/>
  <c r="D11" i="1458" s="1"/>
  <c r="R31" i="1458"/>
  <c r="R30" i="1458"/>
  <c r="R29" i="1458"/>
  <c r="R28" i="1458"/>
  <c r="D28" i="1458"/>
  <c r="R27" i="1458"/>
  <c r="D27" i="1458"/>
  <c r="R26" i="1458"/>
  <c r="L26" i="1458"/>
  <c r="D26" i="1458" s="1"/>
  <c r="R25" i="1458"/>
  <c r="L25" i="1458"/>
  <c r="D25" i="1458"/>
  <c r="R24" i="1458"/>
  <c r="D24" i="1458"/>
  <c r="R23" i="1458"/>
  <c r="R22" i="1458"/>
  <c r="L22" i="1458"/>
  <c r="D22" i="1458"/>
  <c r="R21" i="1458"/>
  <c r="D21" i="1458"/>
  <c r="R20" i="1458"/>
  <c r="L20" i="1458"/>
  <c r="D20" i="1458" s="1"/>
  <c r="R19" i="1458"/>
  <c r="L19" i="1458"/>
  <c r="D19" i="1458"/>
  <c r="R18" i="1458"/>
  <c r="D18" i="1458"/>
  <c r="R17" i="1458"/>
  <c r="D17" i="1458"/>
  <c r="R16" i="1458"/>
  <c r="L16" i="1458"/>
  <c r="D16" i="1458" s="1"/>
  <c r="R15" i="1458"/>
  <c r="D15" i="1458"/>
  <c r="R14" i="1458"/>
  <c r="D14" i="1458"/>
  <c r="R13" i="1458"/>
  <c r="D13" i="1458"/>
  <c r="R12" i="1458"/>
  <c r="R11" i="1458"/>
  <c r="L10" i="1458"/>
  <c r="D10" i="1458"/>
  <c r="L8" i="1458"/>
  <c r="D8" i="1458"/>
  <c r="L7" i="1458"/>
  <c r="D7" i="1458"/>
  <c r="R6" i="1458"/>
  <c r="L6" i="1458"/>
  <c r="D6" i="1458"/>
  <c r="R5" i="1458"/>
  <c r="R4" i="1458"/>
  <c r="R52" i="1457"/>
  <c r="R51" i="1457"/>
  <c r="D50" i="1457"/>
  <c r="R49" i="1457"/>
  <c r="D49" i="1457"/>
  <c r="R48" i="1457"/>
  <c r="D48" i="1457"/>
  <c r="D46" i="1457"/>
  <c r="D45" i="1457"/>
  <c r="D44" i="1457"/>
  <c r="R42" i="1457"/>
  <c r="L6" i="1457" s="1"/>
  <c r="D6" i="1457" s="1"/>
  <c r="D42" i="1457"/>
  <c r="R41" i="1457"/>
  <c r="D41" i="1457"/>
  <c r="R40" i="1457"/>
  <c r="D40" i="1457"/>
  <c r="R39" i="1457"/>
  <c r="L20" i="1457" s="1"/>
  <c r="D20" i="1457" s="1"/>
  <c r="H39" i="1457"/>
  <c r="D39" i="1457"/>
  <c r="R38" i="1457"/>
  <c r="L9" i="1457" s="1"/>
  <c r="D9" i="1457" s="1"/>
  <c r="H38" i="1457"/>
  <c r="D38" i="1457"/>
  <c r="R37" i="1457"/>
  <c r="H37" i="1457"/>
  <c r="D37" i="1457"/>
  <c r="R36" i="1457"/>
  <c r="L10" i="1457" s="1"/>
  <c r="D10" i="1457" s="1"/>
  <c r="H36" i="1457"/>
  <c r="D36" i="1457"/>
  <c r="R35" i="1457"/>
  <c r="H35" i="1457"/>
  <c r="D35" i="1457"/>
  <c r="R34" i="1457"/>
  <c r="L12" i="1457" s="1"/>
  <c r="D12" i="1457" s="1"/>
  <c r="H34" i="1457"/>
  <c r="D34" i="1457"/>
  <c r="R33" i="1457"/>
  <c r="L23" i="1457" s="1"/>
  <c r="D23" i="1457" s="1"/>
  <c r="R32" i="1457"/>
  <c r="L11" i="1457" s="1"/>
  <c r="D11" i="1457" s="1"/>
  <c r="R31" i="1457"/>
  <c r="R30" i="1457"/>
  <c r="R29" i="1457"/>
  <c r="R28" i="1457"/>
  <c r="D28" i="1457"/>
  <c r="R27" i="1457"/>
  <c r="D27" i="1457"/>
  <c r="R26" i="1457"/>
  <c r="L26" i="1457"/>
  <c r="D26" i="1457"/>
  <c r="R25" i="1457"/>
  <c r="L25" i="1457"/>
  <c r="D25" i="1457"/>
  <c r="R24" i="1457"/>
  <c r="L24" i="1457"/>
  <c r="D24" i="1457" s="1"/>
  <c r="R23" i="1457"/>
  <c r="R22" i="1457"/>
  <c r="L22" i="1457"/>
  <c r="D22" i="1457" s="1"/>
  <c r="R21" i="1457"/>
  <c r="D21" i="1457"/>
  <c r="R20" i="1457"/>
  <c r="R19" i="1457"/>
  <c r="L19" i="1457"/>
  <c r="D19" i="1457"/>
  <c r="R18" i="1457"/>
  <c r="D18" i="1457"/>
  <c r="R17" i="1457"/>
  <c r="L17" i="1457"/>
  <c r="D17" i="1457"/>
  <c r="R16" i="1457"/>
  <c r="L16" i="1457"/>
  <c r="D16" i="1457" s="1"/>
  <c r="R15" i="1457"/>
  <c r="D15" i="1457"/>
  <c r="R14" i="1457"/>
  <c r="D14" i="1457"/>
  <c r="R13" i="1457"/>
  <c r="D13" i="1457"/>
  <c r="R12" i="1457"/>
  <c r="R11" i="1457"/>
  <c r="L8" i="1457"/>
  <c r="D8" i="1457"/>
  <c r="L7" i="1457"/>
  <c r="D7" i="1457"/>
  <c r="R6" i="1457"/>
  <c r="R5" i="1457"/>
  <c r="R4" i="1457"/>
  <c r="R52" i="1456"/>
  <c r="R51" i="1456"/>
  <c r="D50" i="1456"/>
  <c r="R49" i="1456"/>
  <c r="D49" i="1456"/>
  <c r="R48" i="1456"/>
  <c r="D48" i="1456"/>
  <c r="D46" i="1456"/>
  <c r="D45" i="1456"/>
  <c r="R44" i="1456"/>
  <c r="P44" i="1456"/>
  <c r="D44" i="1456"/>
  <c r="R42" i="1456"/>
  <c r="D42" i="1456"/>
  <c r="R41" i="1456"/>
  <c r="D41" i="1456"/>
  <c r="R40" i="1456"/>
  <c r="L8" i="1456" s="1"/>
  <c r="D8" i="1456" s="1"/>
  <c r="D40" i="1456"/>
  <c r="R39" i="1456"/>
  <c r="L20" i="1456" s="1"/>
  <c r="D20" i="1456" s="1"/>
  <c r="H39" i="1456"/>
  <c r="D39" i="1456"/>
  <c r="R38" i="1456"/>
  <c r="H38" i="1456"/>
  <c r="D38" i="1456"/>
  <c r="R37" i="1456"/>
  <c r="H37" i="1456"/>
  <c r="D37" i="1456"/>
  <c r="R36" i="1456"/>
  <c r="H36" i="1456"/>
  <c r="D36" i="1456"/>
  <c r="R35" i="1456"/>
  <c r="H35" i="1456"/>
  <c r="D35" i="1456"/>
  <c r="R34" i="1456"/>
  <c r="L12" i="1456" s="1"/>
  <c r="D12" i="1456" s="1"/>
  <c r="H34" i="1456"/>
  <c r="D34" i="1456"/>
  <c r="R33" i="1456"/>
  <c r="R32" i="1456"/>
  <c r="R31" i="1456"/>
  <c r="R30" i="1456"/>
  <c r="R29" i="1456"/>
  <c r="R28" i="1456"/>
  <c r="D28" i="1456"/>
  <c r="R27" i="1456"/>
  <c r="D27" i="1456"/>
  <c r="R26" i="1456"/>
  <c r="L26" i="1456"/>
  <c r="D26" i="1456"/>
  <c r="R25" i="1456"/>
  <c r="L25" i="1456"/>
  <c r="D25" i="1456" s="1"/>
  <c r="R24" i="1456"/>
  <c r="L24" i="1456"/>
  <c r="D24" i="1456"/>
  <c r="R23" i="1456"/>
  <c r="D23" i="1456"/>
  <c r="R22" i="1456"/>
  <c r="D22" i="1456"/>
  <c r="R21" i="1456"/>
  <c r="D21" i="1456"/>
  <c r="R20" i="1456"/>
  <c r="R19" i="1456"/>
  <c r="D19" i="1456"/>
  <c r="R18" i="1456"/>
  <c r="D18" i="1456"/>
  <c r="R17" i="1456"/>
  <c r="L17" i="1456"/>
  <c r="D17" i="1456"/>
  <c r="R16" i="1456"/>
  <c r="L16" i="1456"/>
  <c r="D16" i="1456" s="1"/>
  <c r="R15" i="1456"/>
  <c r="D15" i="1456"/>
  <c r="R14" i="1456"/>
  <c r="D14" i="1456"/>
  <c r="R13" i="1456"/>
  <c r="D13" i="1456"/>
  <c r="R12" i="1456"/>
  <c r="R11" i="1456"/>
  <c r="L11" i="1456"/>
  <c r="D11" i="1456"/>
  <c r="L10" i="1456"/>
  <c r="D10" i="1456" s="1"/>
  <c r="L9" i="1456"/>
  <c r="D9" i="1456" s="1"/>
  <c r="L7" i="1456"/>
  <c r="D7" i="1456"/>
  <c r="R6" i="1456"/>
  <c r="L6" i="1456"/>
  <c r="D6" i="1456" s="1"/>
  <c r="R5" i="1456"/>
  <c r="R4" i="1456"/>
  <c r="R52" i="1455"/>
  <c r="R51" i="1455"/>
  <c r="D50" i="1455"/>
  <c r="R49" i="1455"/>
  <c r="G49" i="1455"/>
  <c r="D49" i="1455"/>
  <c r="R48" i="1455"/>
  <c r="D48" i="1455"/>
  <c r="D46" i="1455"/>
  <c r="D45" i="1455"/>
  <c r="D44" i="1455"/>
  <c r="R42" i="1455"/>
  <c r="D42" i="1455"/>
  <c r="R41" i="1455"/>
  <c r="L7" i="1455" s="1"/>
  <c r="D7" i="1455" s="1"/>
  <c r="D41" i="1455"/>
  <c r="R40" i="1455"/>
  <c r="D40" i="1455"/>
  <c r="R39" i="1455"/>
  <c r="D39" i="1455"/>
  <c r="R38" i="1455"/>
  <c r="L9" i="1455" s="1"/>
  <c r="D9" i="1455" s="1"/>
  <c r="D38" i="1455"/>
  <c r="R37" i="1455"/>
  <c r="D37" i="1455"/>
  <c r="R36" i="1455"/>
  <c r="L10" i="1455" s="1"/>
  <c r="D10" i="1455" s="1"/>
  <c r="D36" i="1455"/>
  <c r="R35" i="1455"/>
  <c r="L19" i="1455" s="1"/>
  <c r="D19" i="1455" s="1"/>
  <c r="D35" i="1455"/>
  <c r="D54" i="1455" s="1"/>
  <c r="H14" i="1455" s="1"/>
  <c r="R34" i="1455"/>
  <c r="D34" i="1455"/>
  <c r="R33" i="1455"/>
  <c r="R32" i="1455"/>
  <c r="R31" i="1455"/>
  <c r="R30" i="1455"/>
  <c r="R29" i="1455"/>
  <c r="R28" i="1455"/>
  <c r="L16" i="1455" s="1"/>
  <c r="D16" i="1455" s="1"/>
  <c r="D28" i="1455"/>
  <c r="R27" i="1455"/>
  <c r="D27" i="1455"/>
  <c r="R26" i="1455"/>
  <c r="L26" i="1455"/>
  <c r="D26" i="1455"/>
  <c r="R25" i="1455"/>
  <c r="L25" i="1455"/>
  <c r="D25" i="1455"/>
  <c r="R24" i="1455"/>
  <c r="D24" i="1455"/>
  <c r="R23" i="1455"/>
  <c r="L23" i="1455"/>
  <c r="D23" i="1455"/>
  <c r="R22" i="1455"/>
  <c r="L22" i="1455"/>
  <c r="D22" i="1455" s="1"/>
  <c r="R21" i="1455"/>
  <c r="D21" i="1455"/>
  <c r="R20" i="1455"/>
  <c r="L20" i="1455"/>
  <c r="D20" i="1455"/>
  <c r="R19" i="1455"/>
  <c r="R18" i="1455"/>
  <c r="D18" i="1455"/>
  <c r="R17" i="1455"/>
  <c r="D17" i="1455"/>
  <c r="R16" i="1455"/>
  <c r="S15" i="1455"/>
  <c r="R15" i="1455"/>
  <c r="D15" i="1455"/>
  <c r="S14" i="1455"/>
  <c r="R14" i="1455"/>
  <c r="D14" i="1455"/>
  <c r="R13" i="1455"/>
  <c r="D13" i="1455"/>
  <c r="R12" i="1455"/>
  <c r="L12" i="1455"/>
  <c r="D12" i="1455"/>
  <c r="R11" i="1455"/>
  <c r="L11" i="1455"/>
  <c r="D11" i="1455" s="1"/>
  <c r="L8" i="1455"/>
  <c r="D8" i="1455" s="1"/>
  <c r="R6" i="1455"/>
  <c r="L6" i="1455"/>
  <c r="D6" i="1455" s="1"/>
  <c r="D29" i="1455" s="1"/>
  <c r="H13" i="1455" s="1"/>
  <c r="H15" i="1455" s="1"/>
  <c r="H29" i="1455" s="1"/>
  <c r="R5" i="1455"/>
  <c r="R4" i="1455"/>
  <c r="R52" i="1454"/>
  <c r="R51" i="1454"/>
  <c r="D50" i="1454"/>
  <c r="R49" i="1454"/>
  <c r="D49" i="1454"/>
  <c r="R48" i="1454"/>
  <c r="D48" i="1454"/>
  <c r="D46" i="1454"/>
  <c r="D45" i="1454"/>
  <c r="D44" i="1454"/>
  <c r="R42" i="1454"/>
  <c r="D42" i="1454"/>
  <c r="R41" i="1454"/>
  <c r="L7" i="1454" s="1"/>
  <c r="D7" i="1454" s="1"/>
  <c r="D41" i="1454"/>
  <c r="R40" i="1454"/>
  <c r="L8" i="1454" s="1"/>
  <c r="D8" i="1454" s="1"/>
  <c r="D40" i="1454"/>
  <c r="R39" i="1454"/>
  <c r="H39" i="1454"/>
  <c r="D39" i="1454"/>
  <c r="R38" i="1454"/>
  <c r="L9" i="1454" s="1"/>
  <c r="D9" i="1454" s="1"/>
  <c r="H38" i="1454"/>
  <c r="D38" i="1454"/>
  <c r="R37" i="1454"/>
  <c r="H37" i="1454"/>
  <c r="D37" i="1454"/>
  <c r="R36" i="1454"/>
  <c r="H36" i="1454"/>
  <c r="D36" i="1454"/>
  <c r="R35" i="1454"/>
  <c r="H35" i="1454"/>
  <c r="D35" i="1454"/>
  <c r="R34" i="1454"/>
  <c r="H34" i="1454"/>
  <c r="D34" i="1454"/>
  <c r="R33" i="1454"/>
  <c r="L23" i="1454" s="1"/>
  <c r="D23" i="1454" s="1"/>
  <c r="R32" i="1454"/>
  <c r="L11" i="1454" s="1"/>
  <c r="D11" i="1454" s="1"/>
  <c r="R31" i="1454"/>
  <c r="R30" i="1454"/>
  <c r="R29" i="1454"/>
  <c r="R28" i="1454"/>
  <c r="L16" i="1454" s="1"/>
  <c r="D16" i="1454" s="1"/>
  <c r="D28" i="1454"/>
  <c r="R27" i="1454"/>
  <c r="D27" i="1454"/>
  <c r="R26" i="1454"/>
  <c r="L26" i="1454"/>
  <c r="D26" i="1454"/>
  <c r="R25" i="1454"/>
  <c r="D25" i="1454"/>
  <c r="R24" i="1454"/>
  <c r="D24" i="1454"/>
  <c r="R23" i="1454"/>
  <c r="R22" i="1454"/>
  <c r="L22" i="1454"/>
  <c r="D22" i="1454" s="1"/>
  <c r="R21" i="1454"/>
  <c r="D21" i="1454"/>
  <c r="R20" i="1454"/>
  <c r="L20" i="1454"/>
  <c r="D20" i="1454"/>
  <c r="R19" i="1454"/>
  <c r="L19" i="1454"/>
  <c r="D19" i="1454"/>
  <c r="R18" i="1454"/>
  <c r="D18" i="1454"/>
  <c r="R17" i="1454"/>
  <c r="D17" i="1454"/>
  <c r="R16" i="1454"/>
  <c r="R15" i="1454"/>
  <c r="D15" i="1454"/>
  <c r="R14" i="1454"/>
  <c r="D14" i="1454"/>
  <c r="R13" i="1454"/>
  <c r="D13" i="1454"/>
  <c r="R12" i="1454"/>
  <c r="L12" i="1454"/>
  <c r="D12" i="1454" s="1"/>
  <c r="R11" i="1454"/>
  <c r="L10" i="1454"/>
  <c r="D10" i="1454" s="1"/>
  <c r="R6" i="1454"/>
  <c r="L6" i="1454"/>
  <c r="D6" i="1454"/>
  <c r="R5" i="1454"/>
  <c r="R4" i="1454"/>
  <c r="R52" i="1453"/>
  <c r="R51" i="1453"/>
  <c r="D50" i="1453"/>
  <c r="R49" i="1453"/>
  <c r="D49" i="1453"/>
  <c r="R48" i="1453"/>
  <c r="D48" i="1453"/>
  <c r="D46" i="1453"/>
  <c r="D45" i="1453"/>
  <c r="D44" i="1453"/>
  <c r="R42" i="1453"/>
  <c r="L6" i="1453" s="1"/>
  <c r="D6" i="1453" s="1"/>
  <c r="D42" i="1453"/>
  <c r="R41" i="1453"/>
  <c r="L7" i="1453" s="1"/>
  <c r="D7" i="1453" s="1"/>
  <c r="D41" i="1453"/>
  <c r="R40" i="1453"/>
  <c r="D40" i="1453"/>
  <c r="R39" i="1453"/>
  <c r="L20" i="1453" s="1"/>
  <c r="D20" i="1453" s="1"/>
  <c r="H39" i="1453"/>
  <c r="D39" i="1453"/>
  <c r="R38" i="1453"/>
  <c r="H38" i="1453"/>
  <c r="D38" i="1453"/>
  <c r="R37" i="1453"/>
  <c r="H37" i="1453"/>
  <c r="D37" i="1453"/>
  <c r="R36" i="1453"/>
  <c r="H36" i="1453"/>
  <c r="D36" i="1453"/>
  <c r="R35" i="1453"/>
  <c r="L19" i="1453" s="1"/>
  <c r="D19" i="1453" s="1"/>
  <c r="H35" i="1453"/>
  <c r="D35" i="1453"/>
  <c r="R34" i="1453"/>
  <c r="H34" i="1453"/>
  <c r="D34" i="1453"/>
  <c r="R33" i="1453"/>
  <c r="L23" i="1453" s="1"/>
  <c r="D23" i="1453" s="1"/>
  <c r="R32" i="1453"/>
  <c r="R31" i="1453"/>
  <c r="R30" i="1453"/>
  <c r="R29" i="1453"/>
  <c r="R28" i="1453"/>
  <c r="L16" i="1453" s="1"/>
  <c r="D16" i="1453" s="1"/>
  <c r="D28" i="1453"/>
  <c r="R27" i="1453"/>
  <c r="D27" i="1453"/>
  <c r="R26" i="1453"/>
  <c r="L26" i="1453"/>
  <c r="D26" i="1453"/>
  <c r="R25" i="1453"/>
  <c r="L25" i="1453"/>
  <c r="D25" i="1453"/>
  <c r="R24" i="1453"/>
  <c r="L24" i="1453"/>
  <c r="D24" i="1453"/>
  <c r="R23" i="1453"/>
  <c r="R22" i="1453"/>
  <c r="L22" i="1453"/>
  <c r="D22" i="1453"/>
  <c r="R21" i="1453"/>
  <c r="L17" i="1453" s="1"/>
  <c r="D17" i="1453" s="1"/>
  <c r="D21" i="1453"/>
  <c r="R20" i="1453"/>
  <c r="R19" i="1453"/>
  <c r="R18" i="1453"/>
  <c r="D18" i="1453"/>
  <c r="R17" i="1453"/>
  <c r="R16" i="1453"/>
  <c r="R15" i="1453"/>
  <c r="D15" i="1453"/>
  <c r="R14" i="1453"/>
  <c r="D14" i="1453"/>
  <c r="R13" i="1453"/>
  <c r="D13" i="1453"/>
  <c r="R12" i="1453"/>
  <c r="L12" i="1453"/>
  <c r="D12" i="1453" s="1"/>
  <c r="R11" i="1453"/>
  <c r="L11" i="1453"/>
  <c r="D11" i="1453" s="1"/>
  <c r="L10" i="1453"/>
  <c r="D10" i="1453"/>
  <c r="L9" i="1453"/>
  <c r="D9" i="1453" s="1"/>
  <c r="L8" i="1453"/>
  <c r="D8" i="1453"/>
  <c r="R6" i="1453"/>
  <c r="R5" i="1453"/>
  <c r="R4" i="1453"/>
  <c r="R52" i="1452"/>
  <c r="R51" i="1452"/>
  <c r="D50" i="1452"/>
  <c r="R49" i="1452"/>
  <c r="D49" i="1452"/>
  <c r="R48" i="1452"/>
  <c r="D48" i="1452"/>
  <c r="D46" i="1452"/>
  <c r="D45" i="1452"/>
  <c r="P44" i="1452"/>
  <c r="R44" i="1452" s="1"/>
  <c r="D44" i="1452"/>
  <c r="R42" i="1452"/>
  <c r="D42" i="1452"/>
  <c r="R41" i="1452"/>
  <c r="D41" i="1452"/>
  <c r="R40" i="1452"/>
  <c r="L8" i="1452" s="1"/>
  <c r="D8" i="1452" s="1"/>
  <c r="D40" i="1452"/>
  <c r="R39" i="1452"/>
  <c r="L20" i="1452" s="1"/>
  <c r="D20" i="1452" s="1"/>
  <c r="H39" i="1452"/>
  <c r="D39" i="1452"/>
  <c r="R38" i="1452"/>
  <c r="H38" i="1452"/>
  <c r="D38" i="1452"/>
  <c r="R37" i="1452"/>
  <c r="H37" i="1452"/>
  <c r="D37" i="1452"/>
  <c r="R36" i="1452"/>
  <c r="H36" i="1452"/>
  <c r="D36" i="1452"/>
  <c r="R35" i="1452"/>
  <c r="H35" i="1452"/>
  <c r="D35" i="1452"/>
  <c r="R34" i="1452"/>
  <c r="L12" i="1452" s="1"/>
  <c r="D12" i="1452" s="1"/>
  <c r="H34" i="1452"/>
  <c r="D34" i="1452"/>
  <c r="R33" i="1452"/>
  <c r="R32" i="1452"/>
  <c r="R31" i="1452"/>
  <c r="R30" i="1452"/>
  <c r="R29" i="1452"/>
  <c r="R28" i="1452"/>
  <c r="D28" i="1452"/>
  <c r="R27" i="1452"/>
  <c r="D27" i="1452"/>
  <c r="R26" i="1452"/>
  <c r="L26" i="1452"/>
  <c r="D26" i="1452"/>
  <c r="R25" i="1452"/>
  <c r="L25" i="1452"/>
  <c r="D25" i="1452" s="1"/>
  <c r="R24" i="1452"/>
  <c r="L24" i="1452"/>
  <c r="D24" i="1452"/>
  <c r="R23" i="1452"/>
  <c r="D23" i="1452"/>
  <c r="R22" i="1452"/>
  <c r="D22" i="1452"/>
  <c r="R21" i="1452"/>
  <c r="D21" i="1452"/>
  <c r="R20" i="1452"/>
  <c r="R19" i="1452"/>
  <c r="D19" i="1452"/>
  <c r="R18" i="1452"/>
  <c r="D18" i="1452"/>
  <c r="R17" i="1452"/>
  <c r="L17" i="1452"/>
  <c r="D17" i="1452"/>
  <c r="R16" i="1452"/>
  <c r="L16" i="1452"/>
  <c r="D16" i="1452"/>
  <c r="R15" i="1452"/>
  <c r="D15" i="1452"/>
  <c r="R14" i="1452"/>
  <c r="D14" i="1452"/>
  <c r="R13" i="1452"/>
  <c r="D13" i="1452"/>
  <c r="R12" i="1452"/>
  <c r="R11" i="1452"/>
  <c r="L11" i="1452"/>
  <c r="D11" i="1452"/>
  <c r="L10" i="1452"/>
  <c r="D10" i="1452" s="1"/>
  <c r="L9" i="1452"/>
  <c r="D9" i="1452"/>
  <c r="L7" i="1452"/>
  <c r="D7" i="1452"/>
  <c r="R6" i="1452"/>
  <c r="L6" i="1452"/>
  <c r="D6" i="1452" s="1"/>
  <c r="R5" i="1452"/>
  <c r="R4" i="1452"/>
  <c r="R52" i="1451"/>
  <c r="R51" i="1451"/>
  <c r="D50" i="1451"/>
  <c r="R49" i="1451"/>
  <c r="G49" i="1451"/>
  <c r="D49" i="1451"/>
  <c r="R48" i="1451"/>
  <c r="D48" i="1451"/>
  <c r="D46" i="1451"/>
  <c r="D45" i="1451"/>
  <c r="D44" i="1451"/>
  <c r="R42" i="1451"/>
  <c r="L6" i="1451" s="1"/>
  <c r="D6" i="1451" s="1"/>
  <c r="D42" i="1451"/>
  <c r="R41" i="1451"/>
  <c r="L7" i="1451" s="1"/>
  <c r="D7" i="1451" s="1"/>
  <c r="D41" i="1451"/>
  <c r="R40" i="1451"/>
  <c r="L8" i="1451" s="1"/>
  <c r="D8" i="1451" s="1"/>
  <c r="D40" i="1451"/>
  <c r="R39" i="1451"/>
  <c r="D39" i="1451"/>
  <c r="R38" i="1451"/>
  <c r="L9" i="1451" s="1"/>
  <c r="D9" i="1451" s="1"/>
  <c r="D38" i="1451"/>
  <c r="R37" i="1451"/>
  <c r="D37" i="1451"/>
  <c r="R36" i="1451"/>
  <c r="L10" i="1451" s="1"/>
  <c r="D10" i="1451" s="1"/>
  <c r="D36" i="1451"/>
  <c r="R35" i="1451"/>
  <c r="D35" i="1451"/>
  <c r="R34" i="1451"/>
  <c r="L12" i="1451" s="1"/>
  <c r="D12" i="1451" s="1"/>
  <c r="D34" i="1451"/>
  <c r="D54" i="1451" s="1"/>
  <c r="H14" i="1451" s="1"/>
  <c r="R33" i="1451"/>
  <c r="L23" i="1451" s="1"/>
  <c r="D23" i="1451" s="1"/>
  <c r="R32" i="1451"/>
  <c r="R31" i="1451"/>
  <c r="R30" i="1451"/>
  <c r="R29" i="1451"/>
  <c r="R28" i="1451"/>
  <c r="L16" i="1451" s="1"/>
  <c r="D16" i="1451" s="1"/>
  <c r="D28" i="1451"/>
  <c r="R27" i="1451"/>
  <c r="D27" i="1451"/>
  <c r="R26" i="1451"/>
  <c r="L26" i="1451"/>
  <c r="D26" i="1451"/>
  <c r="R25" i="1451"/>
  <c r="L25" i="1451"/>
  <c r="D25" i="1451"/>
  <c r="R24" i="1451"/>
  <c r="D24" i="1451"/>
  <c r="R23" i="1451"/>
  <c r="R22" i="1451"/>
  <c r="L22" i="1451"/>
  <c r="D22" i="1451" s="1"/>
  <c r="R21" i="1451"/>
  <c r="D21" i="1451"/>
  <c r="R20" i="1451"/>
  <c r="L20" i="1451"/>
  <c r="D20" i="1451"/>
  <c r="R19" i="1451"/>
  <c r="L19" i="1451"/>
  <c r="D19" i="1451"/>
  <c r="R18" i="1451"/>
  <c r="D18" i="1451"/>
  <c r="R17" i="1451"/>
  <c r="D17" i="1451"/>
  <c r="R16" i="1451"/>
  <c r="S15" i="1451"/>
  <c r="R15" i="1451"/>
  <c r="D15" i="1451"/>
  <c r="S14" i="1451"/>
  <c r="R14" i="1451"/>
  <c r="D14" i="1451"/>
  <c r="R13" i="1451"/>
  <c r="D13" i="1451"/>
  <c r="R12" i="1451"/>
  <c r="R11" i="1451"/>
  <c r="L11" i="1451"/>
  <c r="D11" i="1451" s="1"/>
  <c r="R6" i="1451"/>
  <c r="R5" i="1451"/>
  <c r="R4" i="1451"/>
  <c r="R52" i="1450"/>
  <c r="R51" i="1450"/>
  <c r="D50" i="1450"/>
  <c r="R49" i="1450"/>
  <c r="D49" i="1450"/>
  <c r="R48" i="1450"/>
  <c r="D48" i="1450"/>
  <c r="D46" i="1450"/>
  <c r="D45" i="1450"/>
  <c r="D44" i="1450"/>
  <c r="R42" i="1450"/>
  <c r="D42" i="1450"/>
  <c r="R41" i="1450"/>
  <c r="D41" i="1450"/>
  <c r="R40" i="1450"/>
  <c r="L8" i="1450" s="1"/>
  <c r="D8" i="1450" s="1"/>
  <c r="D40" i="1450"/>
  <c r="R39" i="1450"/>
  <c r="H39" i="1450"/>
  <c r="D39" i="1450"/>
  <c r="R38" i="1450"/>
  <c r="L9" i="1450" s="1"/>
  <c r="D9" i="1450" s="1"/>
  <c r="H38" i="1450"/>
  <c r="D38" i="1450"/>
  <c r="R37" i="1450"/>
  <c r="H37" i="1450"/>
  <c r="D37" i="1450"/>
  <c r="R36" i="1450"/>
  <c r="H36" i="1450"/>
  <c r="D36" i="1450"/>
  <c r="R35" i="1450"/>
  <c r="L19" i="1450" s="1"/>
  <c r="D19" i="1450" s="1"/>
  <c r="H35" i="1450"/>
  <c r="D35" i="1450"/>
  <c r="R34" i="1450"/>
  <c r="L12" i="1450" s="1"/>
  <c r="D12" i="1450" s="1"/>
  <c r="H34" i="1450"/>
  <c r="D34" i="1450"/>
  <c r="R33" i="1450"/>
  <c r="L23" i="1450" s="1"/>
  <c r="D23" i="1450" s="1"/>
  <c r="R32" i="1450"/>
  <c r="L11" i="1450" s="1"/>
  <c r="D11" i="1450" s="1"/>
  <c r="R31" i="1450"/>
  <c r="R30" i="1450"/>
  <c r="R29" i="1450"/>
  <c r="R28" i="1450"/>
  <c r="D28" i="1450"/>
  <c r="R27" i="1450"/>
  <c r="D27" i="1450"/>
  <c r="R26" i="1450"/>
  <c r="L26" i="1450"/>
  <c r="D26" i="1450"/>
  <c r="R25" i="1450"/>
  <c r="L25" i="1450"/>
  <c r="D25" i="1450"/>
  <c r="R24" i="1450"/>
  <c r="D24" i="1450"/>
  <c r="R23" i="1450"/>
  <c r="R22" i="1450"/>
  <c r="L22" i="1450"/>
  <c r="D22" i="1450"/>
  <c r="R21" i="1450"/>
  <c r="D21" i="1450"/>
  <c r="R20" i="1450"/>
  <c r="L20" i="1450"/>
  <c r="D20" i="1450"/>
  <c r="R19" i="1450"/>
  <c r="R18" i="1450"/>
  <c r="D18" i="1450"/>
  <c r="R17" i="1450"/>
  <c r="D17" i="1450"/>
  <c r="R16" i="1450"/>
  <c r="L16" i="1450"/>
  <c r="D16" i="1450" s="1"/>
  <c r="R15" i="1450"/>
  <c r="D15" i="1450"/>
  <c r="R14" i="1450"/>
  <c r="D14" i="1450"/>
  <c r="R13" i="1450"/>
  <c r="D13" i="1450"/>
  <c r="R12" i="1450"/>
  <c r="R11" i="1450"/>
  <c r="L10" i="1450"/>
  <c r="D10" i="1450"/>
  <c r="L7" i="1450"/>
  <c r="D7" i="1450" s="1"/>
  <c r="R6" i="1450"/>
  <c r="L6" i="1450"/>
  <c r="D6" i="1450"/>
  <c r="R5" i="1450"/>
  <c r="R4" i="1450"/>
  <c r="R52" i="1449"/>
  <c r="R51" i="1449"/>
  <c r="D50" i="1449"/>
  <c r="R49" i="1449"/>
  <c r="D49" i="1449"/>
  <c r="R48" i="1449"/>
  <c r="D48" i="1449"/>
  <c r="D46" i="1449"/>
  <c r="D45" i="1449"/>
  <c r="D44" i="1449"/>
  <c r="R42" i="1449"/>
  <c r="L6" i="1449" s="1"/>
  <c r="D6" i="1449" s="1"/>
  <c r="D42" i="1449"/>
  <c r="R41" i="1449"/>
  <c r="L7" i="1449" s="1"/>
  <c r="D7" i="1449" s="1"/>
  <c r="D41" i="1449"/>
  <c r="R40" i="1449"/>
  <c r="D40" i="1449"/>
  <c r="R39" i="1449"/>
  <c r="L20" i="1449" s="1"/>
  <c r="D20" i="1449" s="1"/>
  <c r="H39" i="1449"/>
  <c r="D39" i="1449"/>
  <c r="R38" i="1449"/>
  <c r="L9" i="1449" s="1"/>
  <c r="D9" i="1449" s="1"/>
  <c r="H38" i="1449"/>
  <c r="D38" i="1449"/>
  <c r="R37" i="1449"/>
  <c r="H37" i="1449"/>
  <c r="D37" i="1449"/>
  <c r="R36" i="1449"/>
  <c r="H36" i="1449"/>
  <c r="D36" i="1449"/>
  <c r="R35" i="1449"/>
  <c r="L19" i="1449" s="1"/>
  <c r="D19" i="1449" s="1"/>
  <c r="H35" i="1449"/>
  <c r="D35" i="1449"/>
  <c r="R34" i="1449"/>
  <c r="L12" i="1449" s="1"/>
  <c r="D12" i="1449" s="1"/>
  <c r="H34" i="1449"/>
  <c r="D34" i="1449"/>
  <c r="R33" i="1449"/>
  <c r="L23" i="1449" s="1"/>
  <c r="D23" i="1449" s="1"/>
  <c r="R32" i="1449"/>
  <c r="L11" i="1449" s="1"/>
  <c r="D11" i="1449" s="1"/>
  <c r="R31" i="1449"/>
  <c r="R30" i="1449"/>
  <c r="R29" i="1449"/>
  <c r="R28" i="1449"/>
  <c r="D28" i="1449"/>
  <c r="R27" i="1449"/>
  <c r="D27" i="1449"/>
  <c r="R26" i="1449"/>
  <c r="L26" i="1449"/>
  <c r="D26" i="1449"/>
  <c r="R25" i="1449"/>
  <c r="L25" i="1449"/>
  <c r="D25" i="1449"/>
  <c r="R24" i="1449"/>
  <c r="L24" i="1449"/>
  <c r="D24" i="1449" s="1"/>
  <c r="R23" i="1449"/>
  <c r="R22" i="1449"/>
  <c r="L22" i="1449"/>
  <c r="D22" i="1449" s="1"/>
  <c r="R21" i="1449"/>
  <c r="L17" i="1449" s="1"/>
  <c r="D17" i="1449" s="1"/>
  <c r="D21" i="1449"/>
  <c r="R20" i="1449"/>
  <c r="R19" i="1449"/>
  <c r="R18" i="1449"/>
  <c r="D18" i="1449"/>
  <c r="R17" i="1449"/>
  <c r="R16" i="1449"/>
  <c r="L16" i="1449"/>
  <c r="D16" i="1449" s="1"/>
  <c r="R15" i="1449"/>
  <c r="D15" i="1449"/>
  <c r="R14" i="1449"/>
  <c r="D14" i="1449"/>
  <c r="R13" i="1449"/>
  <c r="D13" i="1449"/>
  <c r="R12" i="1449"/>
  <c r="R11" i="1449"/>
  <c r="L10" i="1449"/>
  <c r="D10" i="1449"/>
  <c r="L8" i="1449"/>
  <c r="D8" i="1449"/>
  <c r="R6" i="1449"/>
  <c r="R5" i="1449"/>
  <c r="R4" i="1449"/>
  <c r="R52" i="1448"/>
  <c r="R51" i="1448"/>
  <c r="D50" i="1448"/>
  <c r="R49" i="1448"/>
  <c r="D49" i="1448"/>
  <c r="R48" i="1448"/>
  <c r="D48" i="1448"/>
  <c r="D46" i="1448"/>
  <c r="D45" i="1448"/>
  <c r="P44" i="1448"/>
  <c r="R44" i="1448" s="1"/>
  <c r="D44" i="1448"/>
  <c r="R42" i="1448"/>
  <c r="L6" i="1448" s="1"/>
  <c r="D6" i="1448" s="1"/>
  <c r="D42" i="1448"/>
  <c r="R41" i="1448"/>
  <c r="D41" i="1448"/>
  <c r="R40" i="1448"/>
  <c r="L8" i="1448" s="1"/>
  <c r="D8" i="1448" s="1"/>
  <c r="D40" i="1448"/>
  <c r="R39" i="1448"/>
  <c r="H39" i="1448"/>
  <c r="D39" i="1448"/>
  <c r="R38" i="1448"/>
  <c r="H38" i="1448"/>
  <c r="D38" i="1448"/>
  <c r="R37" i="1448"/>
  <c r="H37" i="1448"/>
  <c r="D37" i="1448"/>
  <c r="R36" i="1448"/>
  <c r="L10" i="1448" s="1"/>
  <c r="D10" i="1448" s="1"/>
  <c r="H36" i="1448"/>
  <c r="D36" i="1448"/>
  <c r="D54" i="1448" s="1"/>
  <c r="H14" i="1448" s="1"/>
  <c r="R35" i="1448"/>
  <c r="H35" i="1448"/>
  <c r="G49" i="1448" s="1"/>
  <c r="D35" i="1448"/>
  <c r="R34" i="1448"/>
  <c r="H34" i="1448"/>
  <c r="D34" i="1448"/>
  <c r="R33" i="1448"/>
  <c r="R32" i="1448"/>
  <c r="R31" i="1448"/>
  <c r="R30" i="1448"/>
  <c r="R29" i="1448"/>
  <c r="R28" i="1448"/>
  <c r="L16" i="1448" s="1"/>
  <c r="D16" i="1448" s="1"/>
  <c r="D28" i="1448"/>
  <c r="R27" i="1448"/>
  <c r="D27" i="1448"/>
  <c r="R26" i="1448"/>
  <c r="L26" i="1448"/>
  <c r="D26" i="1448" s="1"/>
  <c r="R25" i="1448"/>
  <c r="L25" i="1448"/>
  <c r="D25" i="1448"/>
  <c r="R24" i="1448"/>
  <c r="L24" i="1448"/>
  <c r="D24" i="1448"/>
  <c r="R23" i="1448"/>
  <c r="D23" i="1448"/>
  <c r="R22" i="1448"/>
  <c r="D22" i="1448"/>
  <c r="R21" i="1448"/>
  <c r="D21" i="1448"/>
  <c r="R20" i="1448"/>
  <c r="L20" i="1448"/>
  <c r="D20" i="1448"/>
  <c r="R19" i="1448"/>
  <c r="D19" i="1448"/>
  <c r="R18" i="1448"/>
  <c r="D18" i="1448"/>
  <c r="R17" i="1448"/>
  <c r="L17" i="1448"/>
  <c r="D17" i="1448"/>
  <c r="R16" i="1448"/>
  <c r="R15" i="1448"/>
  <c r="D15" i="1448"/>
  <c r="R14" i="1448"/>
  <c r="D14" i="1448"/>
  <c r="R13" i="1448"/>
  <c r="D13" i="1448"/>
  <c r="R12" i="1448"/>
  <c r="L12" i="1448"/>
  <c r="D12" i="1448"/>
  <c r="R11" i="1448"/>
  <c r="L11" i="1448"/>
  <c r="D11" i="1448" s="1"/>
  <c r="L9" i="1448"/>
  <c r="D9" i="1448"/>
  <c r="L7" i="1448"/>
  <c r="D7" i="1448" s="1"/>
  <c r="R6" i="1448"/>
  <c r="R5" i="1448"/>
  <c r="R4" i="1448"/>
  <c r="R52" i="1447"/>
  <c r="R51" i="1447"/>
  <c r="D50" i="1447"/>
  <c r="R49" i="1447"/>
  <c r="G49" i="1447"/>
  <c r="D49" i="1447"/>
  <c r="R48" i="1447"/>
  <c r="D48" i="1447"/>
  <c r="D46" i="1447"/>
  <c r="D45" i="1447"/>
  <c r="D44" i="1447"/>
  <c r="R42" i="1447"/>
  <c r="L6" i="1447" s="1"/>
  <c r="D6" i="1447" s="1"/>
  <c r="D42" i="1447"/>
  <c r="R41" i="1447"/>
  <c r="L7" i="1447" s="1"/>
  <c r="D7" i="1447" s="1"/>
  <c r="D41" i="1447"/>
  <c r="R40" i="1447"/>
  <c r="D40" i="1447"/>
  <c r="R39" i="1447"/>
  <c r="D39" i="1447"/>
  <c r="R38" i="1447"/>
  <c r="L9" i="1447" s="1"/>
  <c r="D9" i="1447" s="1"/>
  <c r="D38" i="1447"/>
  <c r="R37" i="1447"/>
  <c r="D37" i="1447"/>
  <c r="R36" i="1447"/>
  <c r="L10" i="1447" s="1"/>
  <c r="D10" i="1447" s="1"/>
  <c r="D36" i="1447"/>
  <c r="R35" i="1447"/>
  <c r="D35" i="1447"/>
  <c r="R34" i="1447"/>
  <c r="L12" i="1447" s="1"/>
  <c r="D12" i="1447" s="1"/>
  <c r="D34" i="1447"/>
  <c r="D54" i="1447" s="1"/>
  <c r="H14" i="1447" s="1"/>
  <c r="R33" i="1447"/>
  <c r="L23" i="1447" s="1"/>
  <c r="D23" i="1447" s="1"/>
  <c r="R32" i="1447"/>
  <c r="R31" i="1447"/>
  <c r="R30" i="1447"/>
  <c r="R29" i="1447"/>
  <c r="R28" i="1447"/>
  <c r="L16" i="1447" s="1"/>
  <c r="D16" i="1447" s="1"/>
  <c r="D28" i="1447"/>
  <c r="R27" i="1447"/>
  <c r="D27" i="1447"/>
  <c r="R26" i="1447"/>
  <c r="L26" i="1447"/>
  <c r="D26" i="1447"/>
  <c r="R25" i="1447"/>
  <c r="L25" i="1447"/>
  <c r="D25" i="1447"/>
  <c r="R24" i="1447"/>
  <c r="D24" i="1447"/>
  <c r="R23" i="1447"/>
  <c r="R22" i="1447"/>
  <c r="L22" i="1447"/>
  <c r="D22" i="1447"/>
  <c r="R21" i="1447"/>
  <c r="D21" i="1447"/>
  <c r="R20" i="1447"/>
  <c r="L20" i="1447"/>
  <c r="D20" i="1447"/>
  <c r="R19" i="1447"/>
  <c r="L19" i="1447"/>
  <c r="D19" i="1447"/>
  <c r="R18" i="1447"/>
  <c r="D18" i="1447"/>
  <c r="R17" i="1447"/>
  <c r="D17" i="1447"/>
  <c r="R16" i="1447"/>
  <c r="S15" i="1447"/>
  <c r="R15" i="1447"/>
  <c r="D15" i="1447"/>
  <c r="S14" i="1447"/>
  <c r="R14" i="1447"/>
  <c r="D14" i="1447"/>
  <c r="R13" i="1447"/>
  <c r="D13" i="1447"/>
  <c r="R12" i="1447"/>
  <c r="R11" i="1447"/>
  <c r="L11" i="1447"/>
  <c r="D11" i="1447"/>
  <c r="L8" i="1447"/>
  <c r="D8" i="1447"/>
  <c r="R6" i="1447"/>
  <c r="R5" i="1447"/>
  <c r="R4" i="1447"/>
  <c r="G49" i="1470" l="1"/>
  <c r="G49" i="1469"/>
  <c r="D54" i="1470"/>
  <c r="H14" i="1470" s="1"/>
  <c r="D54" i="1469"/>
  <c r="H14" i="1469" s="1"/>
  <c r="D54" i="1468"/>
  <c r="H14" i="1468" s="1"/>
  <c r="G49" i="1468"/>
  <c r="G49" i="1464"/>
  <c r="G49" i="1466"/>
  <c r="G49" i="1465"/>
  <c r="D54" i="1466"/>
  <c r="H14" i="1466" s="1"/>
  <c r="D54" i="1465"/>
  <c r="H14" i="1465" s="1"/>
  <c r="D29" i="1465"/>
  <c r="H13" i="1465" s="1"/>
  <c r="D54" i="1464"/>
  <c r="H14" i="1464" s="1"/>
  <c r="D54" i="1462"/>
  <c r="H14" i="1462" s="1"/>
  <c r="D54" i="1460"/>
  <c r="H14" i="1460" s="1"/>
  <c r="D29" i="1460"/>
  <c r="H13" i="1460" s="1"/>
  <c r="G49" i="1462"/>
  <c r="G49" i="1460"/>
  <c r="G49" i="1457"/>
  <c r="G49" i="1456"/>
  <c r="D54" i="1458"/>
  <c r="H14" i="1458" s="1"/>
  <c r="D54" i="1457"/>
  <c r="H14" i="1457" s="1"/>
  <c r="D54" i="1456"/>
  <c r="H14" i="1456" s="1"/>
  <c r="D29" i="1456"/>
  <c r="H13" i="1456" s="1"/>
  <c r="G49" i="1454"/>
  <c r="G49" i="1453"/>
  <c r="G49" i="1452"/>
  <c r="D54" i="1454"/>
  <c r="H14" i="1454" s="1"/>
  <c r="D54" i="1453"/>
  <c r="H14" i="1453" s="1"/>
  <c r="D54" i="1452"/>
  <c r="H14" i="1452" s="1"/>
  <c r="D54" i="1450"/>
  <c r="H14" i="1450" s="1"/>
  <c r="D54" i="1449"/>
  <c r="H14" i="1449" s="1"/>
  <c r="G49" i="1450"/>
  <c r="G49" i="1449"/>
  <c r="D29" i="1470"/>
  <c r="H13" i="1470" s="1"/>
  <c r="D29" i="1469"/>
  <c r="H13" i="1469" s="1"/>
  <c r="D29" i="1468"/>
  <c r="H13" i="1468" s="1"/>
  <c r="G51" i="1467"/>
  <c r="D29" i="1466"/>
  <c r="H13" i="1466" s="1"/>
  <c r="D29" i="1464"/>
  <c r="H13" i="1464" s="1"/>
  <c r="D29" i="1463"/>
  <c r="H13" i="1463" s="1"/>
  <c r="H15" i="1463" s="1"/>
  <c r="H29" i="1463" s="1"/>
  <c r="G51" i="1463" s="1"/>
  <c r="D29" i="1462"/>
  <c r="H13" i="1462" s="1"/>
  <c r="D29" i="1461"/>
  <c r="H13" i="1461" s="1"/>
  <c r="H15" i="1461" s="1"/>
  <c r="H29" i="1461" s="1"/>
  <c r="G51" i="1461"/>
  <c r="D29" i="1459"/>
  <c r="H13" i="1459" s="1"/>
  <c r="H15" i="1459" s="1"/>
  <c r="H29" i="1459" s="1"/>
  <c r="G51" i="1459" s="1"/>
  <c r="D29" i="1458"/>
  <c r="H13" i="1458" s="1"/>
  <c r="D29" i="1457"/>
  <c r="H13" i="1457" s="1"/>
  <c r="G51" i="1455"/>
  <c r="D29" i="1454"/>
  <c r="H13" i="1454" s="1"/>
  <c r="D29" i="1453"/>
  <c r="H13" i="1453" s="1"/>
  <c r="H15" i="1453" s="1"/>
  <c r="H29" i="1453" s="1"/>
  <c r="D29" i="1452"/>
  <c r="H13" i="1452" s="1"/>
  <c r="D29" i="1451"/>
  <c r="H13" i="1451" s="1"/>
  <c r="H15" i="1451" s="1"/>
  <c r="H29" i="1451" s="1"/>
  <c r="G51" i="1451" s="1"/>
  <c r="D29" i="1450"/>
  <c r="H13" i="1450" s="1"/>
  <c r="D29" i="1449"/>
  <c r="H13" i="1449" s="1"/>
  <c r="D29" i="1448"/>
  <c r="H13" i="1448" s="1"/>
  <c r="H15" i="1448" s="1"/>
  <c r="H29" i="1448" s="1"/>
  <c r="G51" i="1448" s="1"/>
  <c r="D29" i="1447"/>
  <c r="H13" i="1447" s="1"/>
  <c r="H15" i="1447" s="1"/>
  <c r="H29" i="1447" s="1"/>
  <c r="G51" i="1447"/>
  <c r="L26" i="1427"/>
  <c r="L25" i="1427"/>
  <c r="H15" i="1470" l="1"/>
  <c r="H29" i="1470" s="1"/>
  <c r="G51" i="1470" s="1"/>
  <c r="H15" i="1469"/>
  <c r="H29" i="1469" s="1"/>
  <c r="G51" i="1469" s="1"/>
  <c r="H15" i="1468"/>
  <c r="H29" i="1468" s="1"/>
  <c r="G51" i="1468" s="1"/>
  <c r="H15" i="1466"/>
  <c r="H29" i="1466" s="1"/>
  <c r="G51" i="1466" s="1"/>
  <c r="H15" i="1465"/>
  <c r="H29" i="1465" s="1"/>
  <c r="G51" i="1465" s="1"/>
  <c r="H15" i="1464"/>
  <c r="H29" i="1464" s="1"/>
  <c r="G51" i="1464" s="1"/>
  <c r="H15" i="1462"/>
  <c r="H29" i="1462" s="1"/>
  <c r="G51" i="1462" s="1"/>
  <c r="H15" i="1460"/>
  <c r="H29" i="1460" s="1"/>
  <c r="G51" i="1460" s="1"/>
  <c r="H15" i="1458"/>
  <c r="H29" i="1458" s="1"/>
  <c r="G51" i="1458" s="1"/>
  <c r="H15" i="1457"/>
  <c r="H29" i="1457" s="1"/>
  <c r="G51" i="1457" s="1"/>
  <c r="H15" i="1456"/>
  <c r="H29" i="1456" s="1"/>
  <c r="G51" i="1456" s="1"/>
  <c r="G51" i="1453"/>
  <c r="H15" i="1454"/>
  <c r="H29" i="1454" s="1"/>
  <c r="G51" i="1454" s="1"/>
  <c r="H15" i="1452"/>
  <c r="H29" i="1452" s="1"/>
  <c r="G51" i="1452" s="1"/>
  <c r="H15" i="1450"/>
  <c r="H29" i="1450" s="1"/>
  <c r="G51" i="1450" s="1"/>
  <c r="H15" i="1449"/>
  <c r="H29" i="1449" s="1"/>
  <c r="G51" i="1449" s="1"/>
  <c r="R52" i="1429"/>
  <c r="R51" i="1429"/>
  <c r="D50" i="1429"/>
  <c r="R49" i="1429"/>
  <c r="D49" i="1429"/>
  <c r="R48" i="1429"/>
  <c r="D48" i="1429"/>
  <c r="D46" i="1429"/>
  <c r="D45" i="1429"/>
  <c r="D44" i="1429"/>
  <c r="R42" i="1429"/>
  <c r="L6" i="1429" s="1"/>
  <c r="D6" i="1429" s="1"/>
  <c r="D42" i="1429"/>
  <c r="R41" i="1429"/>
  <c r="D41" i="1429"/>
  <c r="R40" i="1429"/>
  <c r="D40" i="1429"/>
  <c r="R39" i="1429"/>
  <c r="H39" i="1429"/>
  <c r="D39" i="1429"/>
  <c r="R38" i="1429"/>
  <c r="L9" i="1429" s="1"/>
  <c r="D9" i="1429" s="1"/>
  <c r="H38" i="1429"/>
  <c r="D38" i="1429"/>
  <c r="R37" i="1429"/>
  <c r="H37" i="1429"/>
  <c r="D37" i="1429"/>
  <c r="R36" i="1429"/>
  <c r="H36" i="1429"/>
  <c r="D36" i="1429"/>
  <c r="R35" i="1429"/>
  <c r="H35" i="1429"/>
  <c r="D35" i="1429"/>
  <c r="R34" i="1429"/>
  <c r="L12" i="1429" s="1"/>
  <c r="D12" i="1429" s="1"/>
  <c r="H34" i="1429"/>
  <c r="D34" i="1429"/>
  <c r="R33" i="1429"/>
  <c r="R32" i="1429"/>
  <c r="R31" i="1429"/>
  <c r="R30" i="1429"/>
  <c r="R29" i="1429"/>
  <c r="R28" i="1429"/>
  <c r="L16" i="1429" s="1"/>
  <c r="D16" i="1429" s="1"/>
  <c r="D28" i="1429"/>
  <c r="R27" i="1429"/>
  <c r="D27" i="1429"/>
  <c r="R26" i="1429"/>
  <c r="L26" i="1429"/>
  <c r="D26" i="1429"/>
  <c r="R25" i="1429"/>
  <c r="L25" i="1429"/>
  <c r="D25" i="1429" s="1"/>
  <c r="R24" i="1429"/>
  <c r="D24" i="1429"/>
  <c r="R23" i="1429"/>
  <c r="L23" i="1429"/>
  <c r="D23" i="1429"/>
  <c r="R22" i="1429"/>
  <c r="L22" i="1429"/>
  <c r="D22" i="1429" s="1"/>
  <c r="R21" i="1429"/>
  <c r="D21" i="1429"/>
  <c r="R20" i="1429"/>
  <c r="L20" i="1429"/>
  <c r="D20" i="1429"/>
  <c r="R19" i="1429"/>
  <c r="L19" i="1429"/>
  <c r="D19" i="1429" s="1"/>
  <c r="R18" i="1429"/>
  <c r="D18" i="1429"/>
  <c r="R17" i="1429"/>
  <c r="D17" i="1429"/>
  <c r="R16" i="1429"/>
  <c r="R15" i="1429"/>
  <c r="D15" i="1429"/>
  <c r="R14" i="1429"/>
  <c r="D14" i="1429"/>
  <c r="R13" i="1429"/>
  <c r="D13" i="1429"/>
  <c r="R12" i="1429"/>
  <c r="R11" i="1429"/>
  <c r="L11" i="1429"/>
  <c r="D11" i="1429" s="1"/>
  <c r="L10" i="1429"/>
  <c r="D10" i="1429"/>
  <c r="L8" i="1429"/>
  <c r="D8" i="1429" s="1"/>
  <c r="L7" i="1429"/>
  <c r="D7" i="1429" s="1"/>
  <c r="R6" i="1429"/>
  <c r="R5" i="1429"/>
  <c r="R4" i="1429"/>
  <c r="R52" i="1428"/>
  <c r="R51" i="1428"/>
  <c r="D50" i="1428"/>
  <c r="R49" i="1428"/>
  <c r="D49" i="1428"/>
  <c r="R48" i="1428"/>
  <c r="D48" i="1428"/>
  <c r="D46" i="1428"/>
  <c r="D45" i="1428"/>
  <c r="D44" i="1428"/>
  <c r="R42" i="1428"/>
  <c r="D42" i="1428"/>
  <c r="R41" i="1428"/>
  <c r="L7" i="1428" s="1"/>
  <c r="D7" i="1428" s="1"/>
  <c r="D41" i="1428"/>
  <c r="R40" i="1428"/>
  <c r="D40" i="1428"/>
  <c r="R39" i="1428"/>
  <c r="H39" i="1428"/>
  <c r="D39" i="1428"/>
  <c r="R38" i="1428"/>
  <c r="L9" i="1428" s="1"/>
  <c r="D9" i="1428" s="1"/>
  <c r="H38" i="1428"/>
  <c r="D38" i="1428"/>
  <c r="R37" i="1428"/>
  <c r="H37" i="1428"/>
  <c r="D37" i="1428"/>
  <c r="R36" i="1428"/>
  <c r="L10" i="1428" s="1"/>
  <c r="D10" i="1428" s="1"/>
  <c r="H36" i="1428"/>
  <c r="D36" i="1428"/>
  <c r="R35" i="1428"/>
  <c r="L19" i="1428" s="1"/>
  <c r="D19" i="1428" s="1"/>
  <c r="H35" i="1428"/>
  <c r="D35" i="1428"/>
  <c r="R34" i="1428"/>
  <c r="L12" i="1428" s="1"/>
  <c r="D12" i="1428" s="1"/>
  <c r="H34" i="1428"/>
  <c r="D34" i="1428"/>
  <c r="R33" i="1428"/>
  <c r="R32" i="1428"/>
  <c r="L11" i="1428" s="1"/>
  <c r="D11" i="1428" s="1"/>
  <c r="R31" i="1428"/>
  <c r="R30" i="1428"/>
  <c r="R29" i="1428"/>
  <c r="R28" i="1428"/>
  <c r="L16" i="1428" s="1"/>
  <c r="D16" i="1428" s="1"/>
  <c r="D28" i="1428"/>
  <c r="R27" i="1428"/>
  <c r="D27" i="1428"/>
  <c r="R26" i="1428"/>
  <c r="L26" i="1428"/>
  <c r="D26" i="1428"/>
  <c r="R25" i="1428"/>
  <c r="L25" i="1428"/>
  <c r="D25" i="1428" s="1"/>
  <c r="R24" i="1428"/>
  <c r="L24" i="1428"/>
  <c r="D24" i="1428" s="1"/>
  <c r="R23" i="1428"/>
  <c r="L23" i="1428"/>
  <c r="D23" i="1428"/>
  <c r="R22" i="1428"/>
  <c r="L22" i="1428"/>
  <c r="D22" i="1428"/>
  <c r="R21" i="1428"/>
  <c r="L17" i="1428" s="1"/>
  <c r="D17" i="1428" s="1"/>
  <c r="D21" i="1428"/>
  <c r="R20" i="1428"/>
  <c r="L20" i="1428"/>
  <c r="D20" i="1428" s="1"/>
  <c r="R19" i="1428"/>
  <c r="R18" i="1428"/>
  <c r="D18" i="1428"/>
  <c r="R17" i="1428"/>
  <c r="R16" i="1428"/>
  <c r="R15" i="1428"/>
  <c r="D15" i="1428"/>
  <c r="R14" i="1428"/>
  <c r="D14" i="1428"/>
  <c r="R13" i="1428"/>
  <c r="D13" i="1428"/>
  <c r="R12" i="1428"/>
  <c r="R11" i="1428"/>
  <c r="L8" i="1428"/>
  <c r="D8" i="1428" s="1"/>
  <c r="R6" i="1428"/>
  <c r="L6" i="1428"/>
  <c r="D6" i="1428" s="1"/>
  <c r="R5" i="1428"/>
  <c r="R4" i="1428"/>
  <c r="R52" i="1427"/>
  <c r="R51" i="1427"/>
  <c r="D50" i="1427"/>
  <c r="R49" i="1427"/>
  <c r="D49" i="1427"/>
  <c r="R48" i="1427"/>
  <c r="D48" i="1427"/>
  <c r="D46" i="1427"/>
  <c r="D45" i="1427"/>
  <c r="P44" i="1427"/>
  <c r="R44" i="1427" s="1"/>
  <c r="D44" i="1427"/>
  <c r="R42" i="1427"/>
  <c r="L6" i="1427" s="1"/>
  <c r="D6" i="1427" s="1"/>
  <c r="D42" i="1427"/>
  <c r="R41" i="1427"/>
  <c r="D41" i="1427"/>
  <c r="R40" i="1427"/>
  <c r="D40" i="1427"/>
  <c r="R39" i="1427"/>
  <c r="H39" i="1427"/>
  <c r="D39" i="1427"/>
  <c r="R38" i="1427"/>
  <c r="L9" i="1427" s="1"/>
  <c r="D9" i="1427" s="1"/>
  <c r="H38" i="1427"/>
  <c r="D38" i="1427"/>
  <c r="R37" i="1427"/>
  <c r="H37" i="1427"/>
  <c r="D37" i="1427"/>
  <c r="R36" i="1427"/>
  <c r="H36" i="1427"/>
  <c r="D36" i="1427"/>
  <c r="R35" i="1427"/>
  <c r="H35" i="1427"/>
  <c r="D35" i="1427"/>
  <c r="R34" i="1427"/>
  <c r="H34" i="1427"/>
  <c r="D34" i="1427"/>
  <c r="R33" i="1427"/>
  <c r="R32" i="1427"/>
  <c r="L11" i="1427" s="1"/>
  <c r="D11" i="1427" s="1"/>
  <c r="R31" i="1427"/>
  <c r="R30" i="1427"/>
  <c r="R29" i="1427"/>
  <c r="R28" i="1427"/>
  <c r="L16" i="1427" s="1"/>
  <c r="D16" i="1427" s="1"/>
  <c r="D28" i="1427"/>
  <c r="R27" i="1427"/>
  <c r="D27" i="1427"/>
  <c r="R26" i="1427"/>
  <c r="D26" i="1427"/>
  <c r="R25" i="1427"/>
  <c r="D25" i="1427"/>
  <c r="R24" i="1427"/>
  <c r="L24" i="1427"/>
  <c r="D24" i="1427"/>
  <c r="R23" i="1427"/>
  <c r="D23" i="1427"/>
  <c r="R22" i="1427"/>
  <c r="D22" i="1427"/>
  <c r="R21" i="1427"/>
  <c r="D21" i="1427"/>
  <c r="R20" i="1427"/>
  <c r="L20" i="1427"/>
  <c r="D20" i="1427"/>
  <c r="R19" i="1427"/>
  <c r="D19" i="1427"/>
  <c r="R18" i="1427"/>
  <c r="D18" i="1427"/>
  <c r="R17" i="1427"/>
  <c r="L17" i="1427"/>
  <c r="D17" i="1427"/>
  <c r="R16" i="1427"/>
  <c r="R15" i="1427"/>
  <c r="D15" i="1427"/>
  <c r="R14" i="1427"/>
  <c r="D14" i="1427"/>
  <c r="R13" i="1427"/>
  <c r="D13" i="1427"/>
  <c r="R12" i="1427"/>
  <c r="L12" i="1427"/>
  <c r="D12" i="1427"/>
  <c r="R11" i="1427"/>
  <c r="L10" i="1427"/>
  <c r="D10" i="1427"/>
  <c r="L8" i="1427"/>
  <c r="D8" i="1427" s="1"/>
  <c r="L7" i="1427"/>
  <c r="D7" i="1427" s="1"/>
  <c r="R6" i="1427"/>
  <c r="R5" i="1427"/>
  <c r="R4" i="1427"/>
  <c r="R52" i="1426"/>
  <c r="R51" i="1426"/>
  <c r="D50" i="1426"/>
  <c r="R49" i="1426"/>
  <c r="G49" i="1426"/>
  <c r="D49" i="1426"/>
  <c r="R48" i="1426"/>
  <c r="D48" i="1426"/>
  <c r="D46" i="1426"/>
  <c r="D45" i="1426"/>
  <c r="D44" i="1426"/>
  <c r="R42" i="1426"/>
  <c r="L6" i="1426" s="1"/>
  <c r="D6" i="1426" s="1"/>
  <c r="D42" i="1426"/>
  <c r="R41" i="1426"/>
  <c r="L7" i="1426" s="1"/>
  <c r="D7" i="1426" s="1"/>
  <c r="D41" i="1426"/>
  <c r="R40" i="1426"/>
  <c r="D40" i="1426"/>
  <c r="R39" i="1426"/>
  <c r="D39" i="1426"/>
  <c r="R38" i="1426"/>
  <c r="L9" i="1426" s="1"/>
  <c r="D9" i="1426" s="1"/>
  <c r="D38" i="1426"/>
  <c r="R37" i="1426"/>
  <c r="D37" i="1426"/>
  <c r="R36" i="1426"/>
  <c r="L10" i="1426" s="1"/>
  <c r="D10" i="1426" s="1"/>
  <c r="D36" i="1426"/>
  <c r="R35" i="1426"/>
  <c r="L19" i="1426" s="1"/>
  <c r="D19" i="1426" s="1"/>
  <c r="D35" i="1426"/>
  <c r="R34" i="1426"/>
  <c r="D34" i="1426"/>
  <c r="D54" i="1426" s="1"/>
  <c r="H14" i="1426" s="1"/>
  <c r="R33" i="1426"/>
  <c r="R32" i="1426"/>
  <c r="R31" i="1426"/>
  <c r="R30" i="1426"/>
  <c r="R29" i="1426"/>
  <c r="R28" i="1426"/>
  <c r="D28" i="1426"/>
  <c r="R27" i="1426"/>
  <c r="D27" i="1426"/>
  <c r="R26" i="1426"/>
  <c r="L26" i="1426"/>
  <c r="D26" i="1426"/>
  <c r="R25" i="1426"/>
  <c r="L25" i="1426"/>
  <c r="D25" i="1426"/>
  <c r="R24" i="1426"/>
  <c r="D24" i="1426"/>
  <c r="R23" i="1426"/>
  <c r="L23" i="1426"/>
  <c r="D23" i="1426"/>
  <c r="R22" i="1426"/>
  <c r="L22" i="1426"/>
  <c r="D22" i="1426" s="1"/>
  <c r="R21" i="1426"/>
  <c r="D21" i="1426"/>
  <c r="R20" i="1426"/>
  <c r="L20" i="1426"/>
  <c r="D20" i="1426"/>
  <c r="R19" i="1426"/>
  <c r="R18" i="1426"/>
  <c r="D18" i="1426"/>
  <c r="R17" i="1426"/>
  <c r="D17" i="1426"/>
  <c r="R16" i="1426"/>
  <c r="L16" i="1426"/>
  <c r="D16" i="1426" s="1"/>
  <c r="S15" i="1426"/>
  <c r="R15" i="1426"/>
  <c r="D15" i="1426"/>
  <c r="S14" i="1426"/>
  <c r="R14" i="1426"/>
  <c r="D14" i="1426"/>
  <c r="R13" i="1426"/>
  <c r="D13" i="1426"/>
  <c r="R12" i="1426"/>
  <c r="L12" i="1426"/>
  <c r="D12" i="1426"/>
  <c r="R11" i="1426"/>
  <c r="L11" i="1426"/>
  <c r="D11" i="1426" s="1"/>
  <c r="L8" i="1426"/>
  <c r="D8" i="1426"/>
  <c r="R6" i="1426"/>
  <c r="R5" i="1426"/>
  <c r="R4" i="1426"/>
  <c r="G49" i="1427" l="1"/>
  <c r="G49" i="1428"/>
  <c r="G49" i="1429"/>
  <c r="D54" i="1429"/>
  <c r="H14" i="1429" s="1"/>
  <c r="D54" i="1428"/>
  <c r="H14" i="1428" s="1"/>
  <c r="D29" i="1428"/>
  <c r="H13" i="1428" s="1"/>
  <c r="D54" i="1427"/>
  <c r="H14" i="1427" s="1"/>
  <c r="D29" i="1429"/>
  <c r="H13" i="1429" s="1"/>
  <c r="D29" i="1427"/>
  <c r="H13" i="1427" s="1"/>
  <c r="D29" i="1426"/>
  <c r="H13" i="1426" s="1"/>
  <c r="H15" i="1426" s="1"/>
  <c r="H29" i="1426" s="1"/>
  <c r="G51" i="1426" s="1"/>
  <c r="H15" i="1429" l="1"/>
  <c r="H29" i="1429" s="1"/>
  <c r="G51" i="1429" s="1"/>
  <c r="H15" i="1428"/>
  <c r="H29" i="1428" s="1"/>
  <c r="G51" i="1428" s="1"/>
  <c r="H15" i="1427"/>
  <c r="H29" i="1427" s="1"/>
  <c r="G51" i="1427" s="1"/>
</calcChain>
</file>

<file path=xl/sharedStrings.xml><?xml version="1.0" encoding="utf-8"?>
<sst xmlns="http://schemas.openxmlformats.org/spreadsheetml/2006/main" count="10154" uniqueCount="181">
  <si>
    <t>GUILLERMO BEVERAGE DISTRIBUTION SERVICES</t>
  </si>
  <si>
    <t>PRODUCTS</t>
  </si>
  <si>
    <t>SELLING PRICE</t>
  </si>
  <si>
    <t>EMPTIES</t>
  </si>
  <si>
    <t>TOTAL</t>
  </si>
  <si>
    <t>SALES AND CASH REMITTANCE REPORT</t>
  </si>
  <si>
    <t>NON-ALCOHOLIC BEVERAGES</t>
  </si>
  <si>
    <t>SALES</t>
  </si>
  <si>
    <t xml:space="preserve">ROUTE # </t>
  </si>
  <si>
    <t>DATE:</t>
  </si>
  <si>
    <t>CALI PINEAPPLE 330ml</t>
  </si>
  <si>
    <t>PRODUCT</t>
  </si>
  <si>
    <t># OF CASES</t>
  </si>
  <si>
    <t>AMOUNT</t>
  </si>
  <si>
    <t>CALI ICE APPLE 330ml</t>
  </si>
  <si>
    <t>RH1000</t>
  </si>
  <si>
    <t>DSP</t>
  </si>
  <si>
    <t>CALI PINEAPPLE CAN 330ml</t>
  </si>
  <si>
    <t>RH500</t>
  </si>
  <si>
    <t>CALI ICE APPLE CAN 330ml</t>
  </si>
  <si>
    <t>RH330</t>
  </si>
  <si>
    <t>DRIVER</t>
  </si>
  <si>
    <t>CALI 10 DIET CAN 330ml</t>
  </si>
  <si>
    <t>PP1000</t>
  </si>
  <si>
    <t>MAGNOLIA</t>
  </si>
  <si>
    <t>PP320</t>
  </si>
  <si>
    <t>TRUCKMAN</t>
  </si>
  <si>
    <t>FRUIT DRINK GRAPE 250ml</t>
  </si>
  <si>
    <t>SML330</t>
  </si>
  <si>
    <t>FRUIT DRINK ORANGE 250ml</t>
  </si>
  <si>
    <t>FB330</t>
  </si>
  <si>
    <t>HEALTHTEA APPLE 250ml</t>
  </si>
  <si>
    <t>MHT</t>
  </si>
  <si>
    <t>CASH REMITTANCE COMPUTATION</t>
  </si>
  <si>
    <t>HEALTHTEA LEMON 250ml</t>
  </si>
  <si>
    <t>MHT BOTTLE</t>
  </si>
  <si>
    <t>TOTAL SALES</t>
  </si>
  <si>
    <t>HEALTHTEA STRAWBERRY 250ml</t>
  </si>
  <si>
    <t>CALI</t>
  </si>
  <si>
    <t>LESS: CONTAINERS RETURNED</t>
  </si>
  <si>
    <t>GROSS SALES</t>
  </si>
  <si>
    <t>ALCO BEVERAGES</t>
  </si>
  <si>
    <t>LESS:</t>
  </si>
  <si>
    <t>DISCOUNT</t>
  </si>
  <si>
    <t>PREMIUM ALL MALT 330ml</t>
  </si>
  <si>
    <t>TCS</t>
  </si>
  <si>
    <t>PREMIUM ALL MALT CAN 330ml</t>
  </si>
  <si>
    <t>COL</t>
  </si>
  <si>
    <t>KIRIN 330ml</t>
  </si>
  <si>
    <t>KIRIN CAN 330ml</t>
  </si>
  <si>
    <t>TOLL, FEES</t>
  </si>
  <si>
    <t>CERVEZA BLANCA CAN 330ml</t>
  </si>
  <si>
    <t>SUPERDRY 330ml</t>
  </si>
  <si>
    <t>SUPERDRY CAN 330ml</t>
  </si>
  <si>
    <t>CERVEZA NEGRA 330ml</t>
  </si>
  <si>
    <t>NET SALES
AMOUNT TO BE REMITTED:</t>
  </si>
  <si>
    <t>SAN MIGUEL CHOCOLATE LAGER CAN 330ml</t>
  </si>
  <si>
    <t>SAN MIG ZERO 330ml</t>
  </si>
  <si>
    <t>CONTAINERS RETURNED</t>
  </si>
  <si>
    <t>CASH BREAKDOWN</t>
  </si>
  <si>
    <t>SAN MIG LIGHT 330ml</t>
  </si>
  <si>
    <t>QTY</t>
  </si>
  <si>
    <t>PESOS</t>
  </si>
  <si>
    <t>NO. OF PCS.</t>
  </si>
  <si>
    <t>SAN MIG LIGHT CAN 330ml</t>
  </si>
  <si>
    <t>PP</t>
  </si>
  <si>
    <t>COMPLETE</t>
  </si>
  <si>
    <t>FLAVORED BEER APL/LEM/LYC 330ml</t>
  </si>
  <si>
    <t>SHELL</t>
  </si>
  <si>
    <t>FLAVORED BEER CAN APL/LEM/LY 330ml</t>
  </si>
  <si>
    <t>BOTTLES</t>
  </si>
  <si>
    <t>PALE PILSEN 320ml</t>
  </si>
  <si>
    <t>RHL/PL/GEK</t>
  </si>
  <si>
    <t>PALE PILSEN 330ml</t>
  </si>
  <si>
    <t>PALE PILSEN 1000ml</t>
  </si>
  <si>
    <t>PALE PILSEN Can 330ml</t>
  </si>
  <si>
    <t>RHP</t>
  </si>
  <si>
    <t>RED HORSE 330ml</t>
  </si>
  <si>
    <t>RED HORSE 500ml</t>
  </si>
  <si>
    <t>COINS</t>
  </si>
  <si>
    <t>RED HORSE 1000ml</t>
  </si>
  <si>
    <t>FBA/SML/RHS</t>
  </si>
  <si>
    <t>BANK</t>
  </si>
  <si>
    <t>CHECK NO.</t>
  </si>
  <si>
    <t>RED HORSE CAN 330ml</t>
  </si>
  <si>
    <t>SAN MIG FREE</t>
  </si>
  <si>
    <t>TOTAL REMITTANCE</t>
  </si>
  <si>
    <t>GOLD EAGLE 320ml</t>
  </si>
  <si>
    <t>GOLD EAGLE 1000ml</t>
  </si>
  <si>
    <t>SAN MIG HARD SELTZER 330ml</t>
  </si>
  <si>
    <t>TOTAL CONTAINERS RETURNED</t>
  </si>
  <si>
    <t>DEALER SALES PERSONEL
NAME AND SIGNATURE</t>
  </si>
  <si>
    <t>CHECKED BY: WIC/CLERK
NAME AND SIGNATURE</t>
  </si>
  <si>
    <t>PAMB</t>
  </si>
  <si>
    <t>CNB</t>
  </si>
  <si>
    <t>CIB</t>
  </si>
  <si>
    <t>FBLYC</t>
  </si>
  <si>
    <t>RHSL</t>
  </si>
  <si>
    <t>S.I. NO.</t>
  </si>
  <si>
    <t>LESS: CREDIT</t>
  </si>
  <si>
    <t>ADD: COLLECTION</t>
  </si>
  <si>
    <t>RH500C</t>
  </si>
  <si>
    <t>CHOCO LAGER CAN</t>
  </si>
  <si>
    <t>RED HORSE 500 CAN</t>
  </si>
  <si>
    <t>GE1000</t>
  </si>
  <si>
    <t>FBA BOTT.</t>
  </si>
  <si>
    <t>RED HORSE SUPER 1000</t>
  </si>
  <si>
    <t>SMLC/RHC</t>
  </si>
  <si>
    <t>SMFC</t>
  </si>
  <si>
    <t>CHOCO LAG</t>
  </si>
  <si>
    <t>HSC</t>
  </si>
  <si>
    <t>DANDAYO, RONNEL</t>
  </si>
  <si>
    <t>SALIG, JULIVEN</t>
  </si>
  <si>
    <t>PAMC</t>
  </si>
  <si>
    <t>ENCLONAR, JEROME</t>
  </si>
  <si>
    <t>SALIG, JOVANI</t>
  </si>
  <si>
    <t>SDC</t>
  </si>
  <si>
    <t>FBAC</t>
  </si>
  <si>
    <t xml:space="preserve">                            RONNEL DANDAYO</t>
  </si>
  <si>
    <t>ARANCES, MARIO</t>
  </si>
  <si>
    <t>OTHERS/PROMO</t>
  </si>
  <si>
    <t>RHS BOTT.</t>
  </si>
  <si>
    <t>PPC/RHC</t>
  </si>
  <si>
    <t>PL BOTT.</t>
  </si>
  <si>
    <t>RHSL BOTT.</t>
  </si>
  <si>
    <t>SMLC/PPC/RHC</t>
  </si>
  <si>
    <t>CC/CIC</t>
  </si>
  <si>
    <t>PAMC/CBC</t>
  </si>
  <si>
    <t>SHORT / OVER</t>
  </si>
  <si>
    <t>PORMENTO, ESTEMARK</t>
  </si>
  <si>
    <t>BAOC, PRECILLANO</t>
  </si>
  <si>
    <r>
      <rPr>
        <u/>
        <sz val="11"/>
        <color rgb="FFFF0000"/>
        <rFont val="Calibri"/>
        <family val="2"/>
        <scheme val="minor"/>
      </rPr>
      <t>(SHORT</t>
    </r>
    <r>
      <rPr>
        <sz val="11"/>
        <color rgb="FFFF0000"/>
        <rFont val="Calibri"/>
        <family val="2"/>
        <scheme val="minor"/>
      </rPr>
      <t xml:space="preserve">) </t>
    </r>
    <r>
      <rPr>
        <sz val="11"/>
        <rFont val="Calibri"/>
        <family val="2"/>
        <scheme val="minor"/>
      </rPr>
      <t>/ OVER</t>
    </r>
  </si>
  <si>
    <r>
      <rPr>
        <u/>
        <sz val="11"/>
        <color rgb="FFFF0000"/>
        <rFont val="Calibri"/>
        <family val="2"/>
        <scheme val="minor"/>
      </rPr>
      <t>(SHORT</t>
    </r>
    <r>
      <rPr>
        <sz val="11"/>
        <color rgb="FFFF0000"/>
        <rFont val="Calibri"/>
        <family val="2"/>
        <scheme val="minor"/>
      </rPr>
      <t xml:space="preserve">) </t>
    </r>
    <r>
      <rPr>
        <sz val="11"/>
        <rFont val="Calibri"/>
        <family val="2"/>
        <scheme val="minor"/>
      </rPr>
      <t xml:space="preserve">/ OVER </t>
    </r>
  </si>
  <si>
    <t xml:space="preserve">                           ESTEMARK PORMENTO</t>
  </si>
  <si>
    <t>MOCOY, JULIET</t>
  </si>
  <si>
    <t xml:space="preserve">                            JULIET MOCOY</t>
  </si>
  <si>
    <t>FBAC/FBLC</t>
  </si>
  <si>
    <t>GOMORA, JURLAN</t>
  </si>
  <si>
    <t>CC/CIC/C10C</t>
  </si>
  <si>
    <t>CBB</t>
  </si>
  <si>
    <t>CLC/SDC</t>
  </si>
  <si>
    <t>SMZB</t>
  </si>
  <si>
    <r>
      <rPr>
        <u/>
        <sz val="11"/>
        <color rgb="FFFF0000"/>
        <rFont val="Calibri"/>
        <family val="2"/>
        <scheme val="minor"/>
      </rPr>
      <t>(SHORT</t>
    </r>
    <r>
      <rPr>
        <sz val="11"/>
        <color rgb="FFFF0000"/>
        <rFont val="Calibri"/>
        <family val="2"/>
        <scheme val="minor"/>
      </rPr>
      <t>)</t>
    </r>
    <r>
      <rPr>
        <sz val="11"/>
        <rFont val="Calibri"/>
        <family val="2"/>
        <scheme val="minor"/>
      </rPr>
      <t xml:space="preserve"> / OVER</t>
    </r>
  </si>
  <si>
    <r>
      <t xml:space="preserve">SHORT / </t>
    </r>
    <r>
      <rPr>
        <u/>
        <sz val="11"/>
        <rFont val="Calibri"/>
        <family val="2"/>
        <scheme val="minor"/>
      </rPr>
      <t>OVER</t>
    </r>
  </si>
  <si>
    <t>BDO</t>
  </si>
  <si>
    <t>142807</t>
  </si>
  <si>
    <t>477765</t>
  </si>
  <si>
    <t>BALWARTE</t>
  </si>
  <si>
    <t>PNB</t>
  </si>
  <si>
    <t>BANK TRANSFER</t>
  </si>
  <si>
    <t>GICA, GRACE B.</t>
  </si>
  <si>
    <t xml:space="preserve">                            GRACE B. GICA</t>
  </si>
  <si>
    <t>3A</t>
  </si>
  <si>
    <t>3B</t>
  </si>
  <si>
    <t>2000007507</t>
  </si>
  <si>
    <t>200002548</t>
  </si>
  <si>
    <r>
      <t xml:space="preserve">SHORT / </t>
    </r>
    <r>
      <rPr>
        <u/>
        <sz val="11"/>
        <rFont val="Calibri"/>
        <family val="2"/>
        <scheme val="minor"/>
      </rPr>
      <t xml:space="preserve">OVER </t>
    </r>
  </si>
  <si>
    <t>G-CASH</t>
  </si>
  <si>
    <t>140763</t>
  </si>
  <si>
    <t>2000002557</t>
  </si>
  <si>
    <t>1VB</t>
  </si>
  <si>
    <t>4820773</t>
  </si>
  <si>
    <t>42882</t>
  </si>
  <si>
    <t>PSBC</t>
  </si>
  <si>
    <t>2120012665</t>
  </si>
  <si>
    <t>BAID STORE</t>
  </si>
  <si>
    <t>47782</t>
  </si>
  <si>
    <t>METRO BANK</t>
  </si>
  <si>
    <t>3593234</t>
  </si>
  <si>
    <t>PP BOTT.</t>
  </si>
  <si>
    <t>14078</t>
  </si>
  <si>
    <t>142829</t>
  </si>
  <si>
    <t>2000005554</t>
  </si>
  <si>
    <t xml:space="preserve">                               GRACE B. GICA</t>
  </si>
  <si>
    <t>CB BOTT.</t>
  </si>
  <si>
    <t xml:space="preserve">G-CASH </t>
  </si>
  <si>
    <t>42887</t>
  </si>
  <si>
    <t>ELIZABETH HEN.</t>
  </si>
  <si>
    <t xml:space="preserve">                             GRACE B. GICA</t>
  </si>
  <si>
    <t>2120012682</t>
  </si>
  <si>
    <t>200007541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</si>
</sst>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44" formatCode="_-&quot;₱&quot;* #,##0.00_-;\-&quot;₱&quot;* #,##0.00_-;_-&quot;₱&quot;* &quot;-&quot;??_-;_-@_-"/>
    <numFmt numFmtId="43" formatCode="_-* #,##0.00_-;\-* #,##0.00_-;_-* &quot;-&quot;??_-;_-@_-"/>
    <numFmt numFmtId="164" formatCode="[$-3409]mmmm\ dd\,\ yyyy;@"/>
    <numFmt numFmtId="165" formatCode="_-&quot;₱&quot;* #,##0.00_-;\-&quot;₱&quot;* \(#,##0.00\)_-;_-&quot;₱&quot;* &quot;-&quot;??_-;_-@_-"/>
  </numFmts>
  <fonts count="24" x14ac:knownFonts="1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11"/>
      <name val="Calibri"/>
      <family val="2"/>
      <scheme val="minor"/>
    </font>
    <font>
      <sz val="12"/>
      <color theme="1"/>
      <name val="Calibri"/>
      <family val="2"/>
      <scheme val="minor"/>
    </font>
    <font>
      <sz val="9"/>
      <name val="Calibri"/>
      <family val="2"/>
      <scheme val="minor"/>
    </font>
    <font>
      <b/>
      <sz val="12"/>
      <color theme="1"/>
      <name val="Calibri"/>
      <family val="2"/>
      <scheme val="minor"/>
    </font>
    <font>
      <sz val="14"/>
      <color theme="1"/>
      <name val="Calibri"/>
      <family val="2"/>
      <scheme val="minor"/>
    </font>
    <font>
      <b/>
      <sz val="14"/>
      <color theme="1"/>
      <name val="Calibri"/>
      <family val="2"/>
      <scheme val="minor"/>
    </font>
    <font>
      <sz val="10"/>
      <color theme="1"/>
      <name val="Calibri"/>
      <family val="2"/>
      <scheme val="minor"/>
    </font>
    <font>
      <b/>
      <sz val="8"/>
      <color theme="1"/>
      <name val="Calibri"/>
      <family val="2"/>
      <scheme val="minor"/>
    </font>
    <font>
      <sz val="11"/>
      <color rgb="FFFF0000"/>
      <name val="Calibri"/>
      <family val="2"/>
      <scheme val="minor"/>
    </font>
    <font>
      <sz val="12"/>
      <color rgb="FFFF0000"/>
      <name val="Calibri"/>
      <family val="2"/>
      <scheme val="minor"/>
    </font>
    <font>
      <sz val="14"/>
      <color rgb="FFFF0000"/>
      <name val="Calibri"/>
      <family val="2"/>
      <scheme val="minor"/>
    </font>
    <font>
      <sz val="8"/>
      <color rgb="FFFF0000"/>
      <name val="Calibri"/>
      <family val="2"/>
      <scheme val="minor"/>
    </font>
    <font>
      <sz val="12"/>
      <name val="Calibri"/>
      <family val="2"/>
      <scheme val="minor"/>
    </font>
    <font>
      <sz val="8"/>
      <name val="Calibri"/>
      <family val="2"/>
      <scheme val="minor"/>
    </font>
    <font>
      <sz val="10"/>
      <name val="Calibri"/>
      <family val="2"/>
      <scheme val="minor"/>
    </font>
    <font>
      <sz val="10"/>
      <color rgb="FFFF0000"/>
      <name val="Calibri"/>
      <family val="2"/>
      <scheme val="minor"/>
    </font>
    <font>
      <b/>
      <sz val="14"/>
      <name val="Calibri"/>
      <family val="2"/>
      <scheme val="minor"/>
    </font>
    <font>
      <u/>
      <sz val="11"/>
      <color rgb="FFFF0000"/>
      <name val="Calibri"/>
      <family val="2"/>
      <scheme val="minor"/>
    </font>
    <font>
      <b/>
      <sz val="14"/>
      <color rgb="FFFF0000"/>
      <name val="Calibri"/>
      <family val="2"/>
      <scheme val="minor"/>
    </font>
    <font>
      <u/>
      <sz val="11"/>
      <name val="Calibri"/>
      <family val="2"/>
      <scheme val="minor"/>
    </font>
    <font>
      <sz val="8"/>
      <color theme="1"/>
      <name val="Calibri"/>
      <family val="2"/>
      <scheme val="minor"/>
    </font>
  </fonts>
  <fills count="5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2"/>
        <bgColor indexed="64"/>
      </patternFill>
    </fill>
  </fills>
  <borders count="53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 style="hair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hair">
        <color indexed="64"/>
      </top>
      <bottom/>
      <diagonal/>
    </border>
    <border>
      <left style="hair">
        <color indexed="64"/>
      </left>
      <right style="thin">
        <color indexed="64"/>
      </right>
      <top style="hair">
        <color indexed="64"/>
      </top>
      <bottom style="thin">
        <color indexed="64"/>
      </bottom>
      <diagonal/>
    </border>
    <border>
      <left style="thin">
        <color indexed="64"/>
      </left>
      <right style="hair">
        <color indexed="64"/>
      </right>
      <top style="hair">
        <color indexed="64"/>
      </top>
      <bottom style="thin">
        <color indexed="64"/>
      </bottom>
      <diagonal/>
    </border>
    <border>
      <left style="hair">
        <color indexed="64"/>
      </left>
      <right style="hair">
        <color indexed="64"/>
      </right>
      <top style="hair">
        <color indexed="64"/>
      </top>
      <bottom style="thin">
        <color indexed="64"/>
      </bottom>
      <diagonal/>
    </border>
    <border>
      <left style="thin">
        <color indexed="64"/>
      </left>
      <right/>
      <top style="hair">
        <color indexed="64"/>
      </top>
      <bottom style="thin">
        <color indexed="64"/>
      </bottom>
      <diagonal/>
    </border>
    <border>
      <left style="hair">
        <color indexed="64"/>
      </left>
      <right style="hair">
        <color indexed="64"/>
      </right>
      <top style="hair">
        <color indexed="64"/>
      </top>
      <bottom/>
      <diagonal/>
    </border>
    <border>
      <left style="hair">
        <color indexed="64"/>
      </left>
      <right style="thin">
        <color indexed="64"/>
      </right>
      <top style="hair">
        <color indexed="64"/>
      </top>
      <bottom style="hair">
        <color indexed="64"/>
      </bottom>
      <diagonal/>
    </border>
    <border>
      <left style="hair">
        <color indexed="64"/>
      </left>
      <right/>
      <top style="hair">
        <color indexed="64"/>
      </top>
      <bottom style="hair">
        <color indexed="64"/>
      </bottom>
      <diagonal/>
    </border>
    <border>
      <left style="hair">
        <color indexed="64"/>
      </left>
      <right style="hair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hair">
        <color indexed="64"/>
      </top>
      <bottom style="hair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hair">
        <color indexed="64"/>
      </left>
      <right style="hair">
        <color indexed="64"/>
      </right>
      <top style="hair">
        <color indexed="64"/>
      </top>
      <bottom style="hair">
        <color indexed="64"/>
      </bottom>
      <diagonal/>
    </border>
    <border>
      <left style="hair">
        <color indexed="64"/>
      </left>
      <right style="hair">
        <color indexed="64"/>
      </right>
      <top style="thin">
        <color indexed="64"/>
      </top>
      <bottom style="hair">
        <color indexed="64"/>
      </bottom>
      <diagonal/>
    </border>
    <border>
      <left style="hair">
        <color indexed="64"/>
      </left>
      <right style="hair">
        <color indexed="64"/>
      </right>
      <top/>
      <bottom style="hair">
        <color indexed="64"/>
      </bottom>
      <diagonal/>
    </border>
    <border>
      <left style="thin">
        <color indexed="64"/>
      </left>
      <right style="hair">
        <color indexed="64"/>
      </right>
      <top style="hair">
        <color indexed="64"/>
      </top>
      <bottom style="hair">
        <color indexed="64"/>
      </bottom>
      <diagonal/>
    </border>
    <border>
      <left style="thin">
        <color indexed="64"/>
      </left>
      <right style="hair">
        <color indexed="64"/>
      </right>
      <top style="hair">
        <color indexed="64"/>
      </top>
      <bottom/>
      <diagonal/>
    </border>
    <border>
      <left style="hair">
        <color indexed="64"/>
      </left>
      <right style="hair">
        <color indexed="64"/>
      </right>
      <top/>
      <bottom/>
      <diagonal/>
    </border>
    <border>
      <left/>
      <right style="hair">
        <color indexed="64"/>
      </right>
      <top style="hair">
        <color indexed="64"/>
      </top>
      <bottom/>
      <diagonal/>
    </border>
    <border>
      <left/>
      <right style="hair">
        <color indexed="64"/>
      </right>
      <top style="hair">
        <color indexed="64"/>
      </top>
      <bottom style="hair">
        <color indexed="64"/>
      </bottom>
      <diagonal/>
    </border>
    <border>
      <left style="hair">
        <color indexed="64"/>
      </left>
      <right style="thin">
        <color indexed="64"/>
      </right>
      <top style="hair">
        <color indexed="64"/>
      </top>
      <bottom/>
      <diagonal/>
    </border>
    <border>
      <left style="hair">
        <color indexed="64"/>
      </left>
      <right style="thin">
        <color indexed="64"/>
      </right>
      <top style="thin">
        <color indexed="64"/>
      </top>
      <bottom style="hair">
        <color indexed="64"/>
      </bottom>
      <diagonal/>
    </border>
    <border>
      <left style="thin">
        <color indexed="64"/>
      </left>
      <right style="hair">
        <color indexed="64"/>
      </right>
      <top style="thin">
        <color indexed="64"/>
      </top>
      <bottom style="hair">
        <color indexed="64"/>
      </bottom>
      <diagonal/>
    </border>
    <border>
      <left style="hair">
        <color indexed="64"/>
      </left>
      <right/>
      <top style="hair">
        <color indexed="64"/>
      </top>
      <bottom/>
      <diagonal/>
    </border>
    <border>
      <left/>
      <right/>
      <top style="hair">
        <color indexed="64"/>
      </top>
      <bottom style="hair">
        <color indexed="64"/>
      </bottom>
      <diagonal/>
    </border>
    <border>
      <left style="hair">
        <color indexed="64"/>
      </left>
      <right/>
      <top/>
      <bottom style="hair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hair">
        <color indexed="64"/>
      </bottom>
      <diagonal/>
    </border>
    <border>
      <left style="hair">
        <color indexed="64"/>
      </left>
      <right/>
      <top style="hair">
        <color indexed="64"/>
      </top>
      <bottom style="thin">
        <color indexed="64"/>
      </bottom>
      <diagonal/>
    </border>
    <border>
      <left style="hair">
        <color indexed="64"/>
      </left>
      <right style="thin">
        <color indexed="64"/>
      </right>
      <top/>
      <bottom/>
      <diagonal/>
    </border>
    <border>
      <left style="hair">
        <color indexed="64"/>
      </left>
      <right style="thin">
        <color indexed="64"/>
      </right>
      <top/>
      <bottom style="thin">
        <color indexed="64"/>
      </bottom>
      <diagonal/>
    </border>
    <border>
      <left style="hair">
        <color indexed="64"/>
      </left>
      <right/>
      <top style="thin">
        <color indexed="64"/>
      </top>
      <bottom style="hair">
        <color indexed="64"/>
      </bottom>
      <diagonal/>
    </border>
    <border>
      <left style="thin">
        <color indexed="64"/>
      </left>
      <right/>
      <top style="thin">
        <color indexed="64"/>
      </top>
      <bottom style="hair">
        <color indexed="64"/>
      </bottom>
      <diagonal/>
    </border>
    <border>
      <left style="hair">
        <color indexed="64"/>
      </left>
      <right/>
      <top/>
      <bottom/>
      <diagonal/>
    </border>
    <border>
      <left/>
      <right style="thin">
        <color indexed="64"/>
      </right>
      <top/>
      <bottom style="hair">
        <color indexed="64"/>
      </bottom>
      <diagonal/>
    </border>
    <border>
      <left style="thin">
        <color indexed="64"/>
      </left>
      <right style="hair">
        <color indexed="64"/>
      </right>
      <top/>
      <bottom style="thin">
        <color indexed="64"/>
      </bottom>
      <diagonal/>
    </border>
    <border>
      <left style="thin">
        <color indexed="64"/>
      </left>
      <right style="hair">
        <color indexed="64"/>
      </right>
      <top/>
      <bottom/>
      <diagonal/>
    </border>
    <border>
      <left/>
      <right style="hair">
        <color indexed="64"/>
      </right>
      <top/>
      <bottom/>
      <diagonal/>
    </border>
    <border>
      <left/>
      <right/>
      <top style="hair">
        <color indexed="64"/>
      </top>
      <bottom/>
      <diagonal/>
    </border>
    <border>
      <left/>
      <right style="hair">
        <color indexed="64"/>
      </right>
      <top/>
      <bottom style="hair">
        <color indexed="64"/>
      </bottom>
      <diagonal/>
    </border>
    <border>
      <left/>
      <right/>
      <top/>
      <bottom style="hair">
        <color indexed="64"/>
      </bottom>
      <diagonal/>
    </border>
    <border>
      <left/>
      <right style="hair">
        <color indexed="64"/>
      </right>
      <top style="thin">
        <color indexed="64"/>
      </top>
      <bottom style="hair">
        <color indexed="64"/>
      </bottom>
      <diagonal/>
    </border>
    <border>
      <left/>
      <right style="hair">
        <color indexed="64"/>
      </right>
      <top/>
      <bottom style="thin">
        <color indexed="64"/>
      </bottom>
      <diagonal/>
    </border>
    <border>
      <left style="hair">
        <color indexed="64"/>
      </left>
      <right/>
      <top/>
      <bottom style="thin">
        <color indexed="64"/>
      </bottom>
      <diagonal/>
    </border>
    <border>
      <left style="hair">
        <color indexed="64"/>
      </left>
      <right style="thin">
        <color indexed="64"/>
      </right>
      <top/>
      <bottom style="hair">
        <color indexed="64"/>
      </bottom>
      <diagonal/>
    </border>
    <border>
      <left style="thin">
        <color indexed="64"/>
      </left>
      <right style="thin">
        <color indexed="64"/>
      </right>
      <top/>
      <bottom style="hair">
        <color indexed="64"/>
      </bottom>
      <diagonal/>
    </border>
    <border>
      <left style="thin">
        <color indexed="64"/>
      </left>
      <right style="hair">
        <color indexed="64"/>
      </right>
      <top/>
      <bottom style="hair">
        <color indexed="64"/>
      </bottom>
      <diagonal/>
    </border>
    <border>
      <left style="hair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hair">
        <color indexed="64"/>
      </right>
      <top style="thin">
        <color indexed="64"/>
      </top>
      <bottom/>
      <diagonal/>
    </border>
  </borders>
  <cellStyleXfs count="2">
    <xf numFmtId="0" fontId="0" fillId="0" borderId="0"/>
    <xf numFmtId="43" fontId="1" fillId="0" borderId="0" applyFont="0" applyFill="0" applyBorder="0" applyAlignment="0" applyProtection="0"/>
  </cellStyleXfs>
  <cellXfs count="254">
    <xf numFmtId="0" fontId="0" fillId="0" borderId="0" xfId="0"/>
    <xf numFmtId="0" fontId="2" fillId="0" borderId="0" xfId="0" applyFont="1"/>
    <xf numFmtId="0" fontId="2" fillId="2" borderId="0" xfId="0" applyFont="1" applyFill="1" applyAlignment="1">
      <alignment horizontal="center" vertical="center"/>
    </xf>
    <xf numFmtId="0" fontId="0" fillId="2" borderId="0" xfId="0" applyFill="1"/>
    <xf numFmtId="43" fontId="0" fillId="0" borderId="0" xfId="1" applyFont="1"/>
    <xf numFmtId="43" fontId="0" fillId="2" borderId="0" xfId="0" applyNumberFormat="1" applyFill="1"/>
    <xf numFmtId="43" fontId="0" fillId="4" borderId="1" xfId="0" applyNumberFormat="1" applyFill="1" applyBorder="1"/>
    <xf numFmtId="0" fontId="0" fillId="2" borderId="1" xfId="0" applyFill="1" applyBorder="1"/>
    <xf numFmtId="0" fontId="0" fillId="0" borderId="3" xfId="0" applyBorder="1"/>
    <xf numFmtId="0" fontId="0" fillId="0" borderId="10" xfId="0" applyBorder="1" applyAlignment="1">
      <alignment horizontal="center"/>
    </xf>
    <xf numFmtId="0" fontId="4" fillId="0" borderId="16" xfId="0" applyFont="1" applyBorder="1"/>
    <xf numFmtId="0" fontId="4" fillId="0" borderId="12" xfId="0" applyFont="1" applyBorder="1"/>
    <xf numFmtId="43" fontId="4" fillId="0" borderId="16" xfId="1" applyFont="1" applyBorder="1"/>
    <xf numFmtId="43" fontId="4" fillId="0" borderId="22" xfId="1" applyFont="1" applyBorder="1"/>
    <xf numFmtId="0" fontId="0" fillId="0" borderId="16" xfId="0" applyBorder="1"/>
    <xf numFmtId="0" fontId="0" fillId="0" borderId="22" xfId="0" applyBorder="1" applyAlignment="1">
      <alignment horizontal="center"/>
    </xf>
    <xf numFmtId="0" fontId="0" fillId="0" borderId="23" xfId="0" applyBorder="1"/>
    <xf numFmtId="0" fontId="0" fillId="0" borderId="22" xfId="0" applyBorder="1"/>
    <xf numFmtId="0" fontId="0" fillId="0" borderId="18" xfId="0" applyBorder="1"/>
    <xf numFmtId="0" fontId="0" fillId="0" borderId="10" xfId="0" applyBorder="1"/>
    <xf numFmtId="0" fontId="0" fillId="0" borderId="32" xfId="0" applyBorder="1"/>
    <xf numFmtId="0" fontId="0" fillId="0" borderId="36" xfId="0" applyBorder="1"/>
    <xf numFmtId="0" fontId="0" fillId="0" borderId="37" xfId="0" applyBorder="1"/>
    <xf numFmtId="0" fontId="0" fillId="0" borderId="24" xfId="0" applyBorder="1"/>
    <xf numFmtId="0" fontId="0" fillId="0" borderId="41" xfId="0" applyBorder="1"/>
    <xf numFmtId="0" fontId="0" fillId="0" borderId="16" xfId="0" applyBorder="1" applyAlignment="1">
      <alignment horizontal="center"/>
    </xf>
    <xf numFmtId="0" fontId="3" fillId="3" borderId="40" xfId="0" applyFont="1" applyFill="1" applyBorder="1"/>
    <xf numFmtId="0" fontId="3" fillId="3" borderId="16" xfId="0" applyFont="1" applyFill="1" applyBorder="1"/>
    <xf numFmtId="0" fontId="3" fillId="3" borderId="23" xfId="0" applyFont="1" applyFill="1" applyBorder="1"/>
    <xf numFmtId="0" fontId="3" fillId="3" borderId="41" xfId="0" applyFont="1" applyFill="1" applyBorder="1"/>
    <xf numFmtId="43" fontId="4" fillId="0" borderId="18" xfId="1" applyFont="1" applyBorder="1"/>
    <xf numFmtId="43" fontId="4" fillId="0" borderId="42" xfId="1" applyFont="1" applyBorder="1"/>
    <xf numFmtId="0" fontId="3" fillId="3" borderId="12" xfId="0" applyFont="1" applyFill="1" applyBorder="1"/>
    <xf numFmtId="0" fontId="4" fillId="0" borderId="29" xfId="0" applyFont="1" applyBorder="1"/>
    <xf numFmtId="0" fontId="0" fillId="0" borderId="40" xfId="0" applyBorder="1"/>
    <xf numFmtId="0" fontId="0" fillId="0" borderId="27" xfId="0" applyBorder="1"/>
    <xf numFmtId="0" fontId="0" fillId="0" borderId="29" xfId="0" applyBorder="1"/>
    <xf numFmtId="0" fontId="4" fillId="0" borderId="16" xfId="0" applyFont="1" applyBorder="1" applyAlignment="1">
      <alignment horizontal="right"/>
    </xf>
    <xf numFmtId="0" fontId="0" fillId="0" borderId="16" xfId="0" applyBorder="1" applyAlignment="1">
      <alignment horizontal="right"/>
    </xf>
    <xf numFmtId="0" fontId="4" fillId="0" borderId="18" xfId="0" applyFont="1" applyBorder="1" applyAlignment="1">
      <alignment horizontal="right"/>
    </xf>
    <xf numFmtId="0" fontId="4" fillId="0" borderId="43" xfId="0" applyFont="1" applyBorder="1" applyAlignment="1">
      <alignment horizontal="right"/>
    </xf>
    <xf numFmtId="0" fontId="4" fillId="0" borderId="12" xfId="0" applyFont="1" applyBorder="1" applyAlignment="1">
      <alignment horizontal="right"/>
    </xf>
    <xf numFmtId="0" fontId="4" fillId="0" borderId="28" xfId="0" applyFont="1" applyBorder="1" applyAlignment="1">
      <alignment horizontal="right"/>
    </xf>
    <xf numFmtId="0" fontId="0" fillId="0" borderId="42" xfId="0" applyBorder="1"/>
    <xf numFmtId="43" fontId="4" fillId="0" borderId="40" xfId="1" applyFont="1" applyBorder="1"/>
    <xf numFmtId="43" fontId="4" fillId="0" borderId="21" xfId="1" applyFont="1" applyBorder="1"/>
    <xf numFmtId="0" fontId="0" fillId="0" borderId="21" xfId="0" applyBorder="1"/>
    <xf numFmtId="43" fontId="0" fillId="2" borderId="1" xfId="0" applyNumberFormat="1" applyFill="1" applyBorder="1"/>
    <xf numFmtId="43" fontId="4" fillId="0" borderId="23" xfId="1" applyFont="1" applyBorder="1"/>
    <xf numFmtId="0" fontId="3" fillId="3" borderId="10" xfId="0" applyFont="1" applyFill="1" applyBorder="1"/>
    <xf numFmtId="0" fontId="0" fillId="0" borderId="43" xfId="0" applyBorder="1"/>
    <xf numFmtId="0" fontId="4" fillId="0" borderId="21" xfId="0" applyFont="1" applyBorder="1"/>
    <xf numFmtId="0" fontId="4" fillId="0" borderId="10" xfId="0" applyFont="1" applyBorder="1"/>
    <xf numFmtId="0" fontId="4" fillId="0" borderId="18" xfId="0" applyFont="1" applyBorder="1"/>
    <xf numFmtId="0" fontId="4" fillId="0" borderId="27" xfId="0" applyFont="1" applyBorder="1"/>
    <xf numFmtId="0" fontId="0" fillId="0" borderId="0" xfId="0" applyAlignment="1">
      <alignment horizontal="center"/>
    </xf>
    <xf numFmtId="0" fontId="0" fillId="3" borderId="21" xfId="0" applyFill="1" applyBorder="1"/>
    <xf numFmtId="0" fontId="0" fillId="3" borderId="18" xfId="0" applyFill="1" applyBorder="1"/>
    <xf numFmtId="43" fontId="4" fillId="0" borderId="12" xfId="1" applyFont="1" applyBorder="1"/>
    <xf numFmtId="0" fontId="4" fillId="0" borderId="16" xfId="0" applyFont="1" applyBorder="1" applyAlignment="1">
      <alignment horizontal="center"/>
    </xf>
    <xf numFmtId="0" fontId="9" fillId="0" borderId="10" xfId="0" applyFont="1" applyBorder="1" applyAlignment="1">
      <alignment horizontal="left" vertical="center"/>
    </xf>
    <xf numFmtId="0" fontId="10" fillId="0" borderId="40" xfId="0" applyFont="1" applyBorder="1" applyAlignment="1">
      <alignment horizontal="left"/>
    </xf>
    <xf numFmtId="49" fontId="4" fillId="0" borderId="16" xfId="0" applyNumberFormat="1" applyFont="1" applyBorder="1" applyAlignment="1">
      <alignment horizontal="right"/>
    </xf>
    <xf numFmtId="0" fontId="4" fillId="0" borderId="23" xfId="0" applyFont="1" applyBorder="1"/>
    <xf numFmtId="0" fontId="9" fillId="0" borderId="10" xfId="0" applyFont="1" applyBorder="1" applyAlignment="1">
      <alignment horizontal="center"/>
    </xf>
    <xf numFmtId="0" fontId="4" fillId="0" borderId="41" xfId="0" applyFont="1" applyBorder="1" applyAlignment="1">
      <alignment horizontal="center"/>
    </xf>
    <xf numFmtId="0" fontId="11" fillId="0" borderId="28" xfId="0" applyFont="1" applyBorder="1" applyAlignment="1">
      <alignment horizontal="left"/>
    </xf>
    <xf numFmtId="0" fontId="11" fillId="3" borderId="10" xfId="0" applyFont="1" applyFill="1" applyBorder="1"/>
    <xf numFmtId="0" fontId="11" fillId="0" borderId="43" xfId="0" applyFont="1" applyBorder="1" applyAlignment="1">
      <alignment horizontal="left"/>
    </xf>
    <xf numFmtId="0" fontId="11" fillId="0" borderId="18" xfId="0" applyFont="1" applyBorder="1" applyAlignment="1">
      <alignment horizontal="left"/>
    </xf>
    <xf numFmtId="0" fontId="14" fillId="0" borderId="41" xfId="0" applyFont="1" applyBorder="1" applyAlignment="1">
      <alignment horizontal="left"/>
    </xf>
    <xf numFmtId="0" fontId="16" fillId="0" borderId="16" xfId="0" applyFont="1" applyBorder="1" applyAlignment="1">
      <alignment horizontal="center"/>
    </xf>
    <xf numFmtId="0" fontId="11" fillId="0" borderId="10" xfId="0" applyFont="1" applyBorder="1" applyAlignment="1">
      <alignment horizontal="center"/>
    </xf>
    <xf numFmtId="0" fontId="12" fillId="0" borderId="41" xfId="0" applyFont="1" applyBorder="1" applyAlignment="1">
      <alignment horizontal="center"/>
    </xf>
    <xf numFmtId="0" fontId="15" fillId="0" borderId="43" xfId="0" applyFont="1" applyBorder="1" applyAlignment="1">
      <alignment horizontal="right"/>
    </xf>
    <xf numFmtId="0" fontId="17" fillId="0" borderId="10" xfId="0" applyFont="1" applyBorder="1" applyAlignment="1">
      <alignment horizontal="center"/>
    </xf>
    <xf numFmtId="49" fontId="0" fillId="0" borderId="16" xfId="0" applyNumberFormat="1" applyBorder="1" applyAlignment="1">
      <alignment horizontal="right"/>
    </xf>
    <xf numFmtId="0" fontId="18" fillId="0" borderId="10" xfId="0" applyFont="1" applyBorder="1" applyAlignment="1">
      <alignment horizontal="center"/>
    </xf>
    <xf numFmtId="0" fontId="18" fillId="0" borderId="16" xfId="0" applyFont="1" applyBorder="1" applyAlignment="1">
      <alignment horizontal="center"/>
    </xf>
    <xf numFmtId="0" fontId="12" fillId="0" borderId="16" xfId="0" applyFont="1" applyBorder="1" applyAlignment="1">
      <alignment horizontal="center"/>
    </xf>
    <xf numFmtId="0" fontId="11" fillId="0" borderId="16" xfId="0" applyFont="1" applyBorder="1" applyAlignment="1">
      <alignment horizontal="center"/>
    </xf>
    <xf numFmtId="0" fontId="4" fillId="0" borderId="36" xfId="0" applyFont="1" applyBorder="1"/>
    <xf numFmtId="4" fontId="12" fillId="0" borderId="28" xfId="0" applyNumberFormat="1" applyFont="1" applyBorder="1" applyAlignment="1">
      <alignment horizontal="center"/>
    </xf>
    <xf numFmtId="0" fontId="9" fillId="0" borderId="21" xfId="0" applyFont="1" applyBorder="1"/>
    <xf numFmtId="0" fontId="4" fillId="0" borderId="23" xfId="0" applyFont="1" applyBorder="1" applyAlignment="1">
      <alignment horizontal="center"/>
    </xf>
    <xf numFmtId="4" fontId="4" fillId="0" borderId="16" xfId="0" applyNumberFormat="1" applyFont="1" applyBorder="1" applyAlignment="1">
      <alignment horizontal="right"/>
    </xf>
    <xf numFmtId="0" fontId="2" fillId="0" borderId="0" xfId="0" applyFont="1" applyAlignment="1">
      <alignment horizontal="center" vertical="center"/>
    </xf>
    <xf numFmtId="0" fontId="0" fillId="0" borderId="18" xfId="0" applyBorder="1" applyAlignment="1">
      <alignment horizontal="left" vertical="center"/>
    </xf>
    <xf numFmtId="0" fontId="0" fillId="0" borderId="28" xfId="0" applyBorder="1" applyAlignment="1">
      <alignment horizontal="center"/>
    </xf>
    <xf numFmtId="0" fontId="4" fillId="0" borderId="16" xfId="0" applyFont="1" applyFill="1" applyBorder="1"/>
    <xf numFmtId="0" fontId="2" fillId="0" borderId="0" xfId="0" applyFont="1" applyAlignment="1">
      <alignment horizontal="center" vertical="center"/>
    </xf>
    <xf numFmtId="0" fontId="0" fillId="0" borderId="18" xfId="0" applyBorder="1" applyAlignment="1">
      <alignment horizontal="left" vertical="center"/>
    </xf>
    <xf numFmtId="0" fontId="0" fillId="0" borderId="28" xfId="0" applyBorder="1" applyAlignment="1">
      <alignment horizontal="center"/>
    </xf>
    <xf numFmtId="4" fontId="4" fillId="0" borderId="16" xfId="0" applyNumberFormat="1" applyFont="1" applyBorder="1" applyAlignment="1">
      <alignment horizontal="right"/>
    </xf>
    <xf numFmtId="0" fontId="4" fillId="0" borderId="23" xfId="0" applyFont="1" applyBorder="1" applyAlignment="1">
      <alignment horizontal="center"/>
    </xf>
    <xf numFmtId="0" fontId="2" fillId="0" borderId="0" xfId="0" applyFont="1" applyAlignment="1">
      <alignment horizontal="center" vertical="center"/>
    </xf>
    <xf numFmtId="0" fontId="0" fillId="0" borderId="18" xfId="0" applyBorder="1" applyAlignment="1">
      <alignment horizontal="left" vertical="center"/>
    </xf>
    <xf numFmtId="0" fontId="0" fillId="0" borderId="28" xfId="0" applyBorder="1" applyAlignment="1">
      <alignment horizontal="center"/>
    </xf>
    <xf numFmtId="0" fontId="4" fillId="0" borderId="23" xfId="0" applyFont="1" applyBorder="1" applyAlignment="1">
      <alignment horizontal="center"/>
    </xf>
    <xf numFmtId="49" fontId="23" fillId="0" borderId="16" xfId="0" applyNumberFormat="1" applyFont="1" applyBorder="1" applyAlignment="1">
      <alignment horizontal="right"/>
    </xf>
    <xf numFmtId="0" fontId="2" fillId="0" borderId="0" xfId="0" applyFont="1" applyAlignment="1">
      <alignment horizontal="center" vertical="center"/>
    </xf>
    <xf numFmtId="0" fontId="0" fillId="0" borderId="18" xfId="0" applyBorder="1" applyAlignment="1">
      <alignment horizontal="left" vertical="center"/>
    </xf>
    <xf numFmtId="0" fontId="0" fillId="0" borderId="28" xfId="0" applyBorder="1" applyAlignment="1">
      <alignment horizontal="center"/>
    </xf>
    <xf numFmtId="4" fontId="4" fillId="0" borderId="16" xfId="0" applyNumberFormat="1" applyFont="1" applyBorder="1" applyAlignment="1">
      <alignment horizontal="right"/>
    </xf>
    <xf numFmtId="0" fontId="4" fillId="0" borderId="23" xfId="0" applyFont="1" applyBorder="1" applyAlignment="1">
      <alignment horizontal="center"/>
    </xf>
    <xf numFmtId="0" fontId="2" fillId="0" borderId="0" xfId="0" applyFont="1" applyAlignment="1">
      <alignment horizontal="center" vertical="center"/>
    </xf>
    <xf numFmtId="0" fontId="0" fillId="0" borderId="18" xfId="0" applyBorder="1" applyAlignment="1">
      <alignment horizontal="left" vertical="center"/>
    </xf>
    <xf numFmtId="0" fontId="0" fillId="0" borderId="28" xfId="0" applyBorder="1" applyAlignment="1">
      <alignment horizontal="center"/>
    </xf>
    <xf numFmtId="4" fontId="4" fillId="0" borderId="16" xfId="0" applyNumberFormat="1" applyFont="1" applyBorder="1" applyAlignment="1">
      <alignment horizontal="right"/>
    </xf>
    <xf numFmtId="0" fontId="4" fillId="0" borderId="23" xfId="0" applyFont="1" applyBorder="1" applyAlignment="1">
      <alignment horizontal="center"/>
    </xf>
    <xf numFmtId="49" fontId="0" fillId="0" borderId="16" xfId="0" applyNumberFormat="1" applyFont="1" applyBorder="1" applyAlignment="1">
      <alignment horizontal="right"/>
    </xf>
    <xf numFmtId="0" fontId="3" fillId="0" borderId="10" xfId="0" applyFont="1" applyBorder="1" applyAlignment="1">
      <alignment horizontal="center"/>
    </xf>
    <xf numFmtId="0" fontId="3" fillId="0" borderId="16" xfId="0" applyFont="1" applyBorder="1" applyAlignment="1">
      <alignment horizontal="center"/>
    </xf>
    <xf numFmtId="0" fontId="2" fillId="0" borderId="0" xfId="0" applyFont="1" applyAlignment="1">
      <alignment horizontal="center" vertical="center"/>
    </xf>
    <xf numFmtId="0" fontId="0" fillId="0" borderId="11" xfId="0" applyBorder="1" applyAlignment="1">
      <alignment horizontal="center"/>
    </xf>
    <xf numFmtId="0" fontId="0" fillId="0" borderId="14" xfId="0" applyBorder="1" applyAlignment="1">
      <alignment horizontal="center"/>
    </xf>
    <xf numFmtId="0" fontId="0" fillId="0" borderId="19" xfId="0" applyBorder="1" applyAlignment="1">
      <alignment horizontal="center"/>
    </xf>
    <xf numFmtId="0" fontId="0" fillId="0" borderId="31" xfId="0" applyBorder="1" applyAlignment="1">
      <alignment horizontal="left" vertical="center"/>
    </xf>
    <xf numFmtId="0" fontId="0" fillId="0" borderId="34" xfId="0" applyBorder="1" applyAlignment="1">
      <alignment horizontal="left" vertical="center"/>
    </xf>
    <xf numFmtId="0" fontId="8" fillId="0" borderId="8" xfId="0" applyFont="1" applyBorder="1" applyAlignment="1">
      <alignment horizontal="center" vertical="center"/>
    </xf>
    <xf numFmtId="0" fontId="8" fillId="0" borderId="17" xfId="0" applyFont="1" applyBorder="1" applyAlignment="1">
      <alignment horizontal="center" vertical="center"/>
    </xf>
    <xf numFmtId="0" fontId="0" fillId="0" borderId="8" xfId="0" applyBorder="1" applyAlignment="1">
      <alignment horizontal="left" vertical="center"/>
    </xf>
    <xf numFmtId="0" fontId="0" fillId="0" borderId="17" xfId="0" applyBorder="1" applyAlignment="1">
      <alignment horizontal="left" vertical="center"/>
    </xf>
    <xf numFmtId="164" fontId="0" fillId="0" borderId="6" xfId="0" applyNumberFormat="1" applyBorder="1" applyAlignment="1">
      <alignment horizontal="center" vertical="center"/>
    </xf>
    <xf numFmtId="164" fontId="0" fillId="0" borderId="7" xfId="0" applyNumberFormat="1" applyBorder="1" applyAlignment="1">
      <alignment horizontal="center" vertical="center"/>
    </xf>
    <xf numFmtId="164" fontId="0" fillId="0" borderId="25" xfId="0" applyNumberFormat="1" applyBorder="1" applyAlignment="1">
      <alignment horizontal="center" vertical="center"/>
    </xf>
    <xf numFmtId="164" fontId="0" fillId="0" borderId="26" xfId="0" applyNumberFormat="1" applyBorder="1" applyAlignment="1">
      <alignment horizontal="center" vertical="center"/>
    </xf>
    <xf numFmtId="0" fontId="5" fillId="3" borderId="8" xfId="0" applyFont="1" applyFill="1" applyBorder="1" applyAlignment="1">
      <alignment horizontal="center" vertical="center" textRotation="90"/>
    </xf>
    <xf numFmtId="0" fontId="5" fillId="3" borderId="13" xfId="0" applyFont="1" applyFill="1" applyBorder="1" applyAlignment="1">
      <alignment horizontal="center" vertical="center" textRotation="90"/>
    </xf>
    <xf numFmtId="0" fontId="5" fillId="3" borderId="17" xfId="0" applyFont="1" applyFill="1" applyBorder="1" applyAlignment="1">
      <alignment horizontal="center" vertical="center" textRotation="90"/>
    </xf>
    <xf numFmtId="0" fontId="0" fillId="0" borderId="10" xfId="0" applyBorder="1" applyAlignment="1">
      <alignment horizontal="left" vertical="center"/>
    </xf>
    <xf numFmtId="0" fontId="0" fillId="0" borderId="18" xfId="0" applyBorder="1" applyAlignment="1">
      <alignment horizontal="left" vertical="center"/>
    </xf>
    <xf numFmtId="0" fontId="7" fillId="0" borderId="27" xfId="0" applyFont="1" applyBorder="1" applyAlignment="1">
      <alignment horizontal="center" vertical="center"/>
    </xf>
    <xf numFmtId="0" fontId="7" fillId="0" borderId="41" xfId="0" applyFont="1" applyBorder="1" applyAlignment="1">
      <alignment horizontal="center" vertical="center"/>
    </xf>
    <xf numFmtId="0" fontId="7" fillId="0" borderId="22" xfId="0" applyFont="1" applyBorder="1" applyAlignment="1">
      <alignment horizontal="center" vertical="center"/>
    </xf>
    <xf numFmtId="0" fontId="7" fillId="0" borderId="29" xfId="0" applyFont="1" applyBorder="1" applyAlignment="1">
      <alignment horizontal="center" vertical="center"/>
    </xf>
    <xf numFmtId="0" fontId="7" fillId="0" borderId="43" xfId="0" applyFont="1" applyBorder="1" applyAlignment="1">
      <alignment horizontal="center" vertical="center"/>
    </xf>
    <xf numFmtId="0" fontId="7" fillId="0" borderId="42" xfId="0" applyFont="1" applyBorder="1" applyAlignment="1">
      <alignment horizontal="center" vertical="center"/>
    </xf>
    <xf numFmtId="0" fontId="0" fillId="0" borderId="21" xfId="0" applyBorder="1" applyAlignment="1">
      <alignment horizontal="left" vertical="center"/>
    </xf>
    <xf numFmtId="0" fontId="0" fillId="3" borderId="16" xfId="0" applyFill="1" applyBorder="1" applyAlignment="1">
      <alignment horizontal="center"/>
    </xf>
    <xf numFmtId="0" fontId="0" fillId="0" borderId="36" xfId="0" applyBorder="1" applyAlignment="1">
      <alignment horizontal="center" vertical="center"/>
    </xf>
    <xf numFmtId="0" fontId="0" fillId="0" borderId="0" xfId="0" applyAlignment="1">
      <alignment horizontal="center" vertical="center"/>
    </xf>
    <xf numFmtId="0" fontId="0" fillId="0" borderId="40" xfId="0" applyBorder="1" applyAlignment="1">
      <alignment horizontal="center" vertical="center"/>
    </xf>
    <xf numFmtId="0" fontId="0" fillId="0" borderId="29" xfId="0" applyBorder="1" applyAlignment="1">
      <alignment horizontal="center" vertical="center"/>
    </xf>
    <xf numFmtId="0" fontId="0" fillId="0" borderId="43" xfId="0" applyBorder="1" applyAlignment="1">
      <alignment horizontal="center" vertical="center"/>
    </xf>
    <xf numFmtId="0" fontId="0" fillId="0" borderId="42" xfId="0" applyBorder="1" applyAlignment="1">
      <alignment horizontal="center" vertical="center"/>
    </xf>
    <xf numFmtId="0" fontId="0" fillId="0" borderId="27" xfId="0" applyBorder="1" applyAlignment="1">
      <alignment horizontal="center" vertical="center"/>
    </xf>
    <xf numFmtId="0" fontId="0" fillId="0" borderId="41" xfId="0" applyBorder="1" applyAlignment="1">
      <alignment horizontal="center" vertical="center"/>
    </xf>
    <xf numFmtId="0" fontId="0" fillId="0" borderId="22" xfId="0" applyBorder="1" applyAlignment="1">
      <alignment horizontal="center" vertical="center"/>
    </xf>
    <xf numFmtId="0" fontId="0" fillId="0" borderId="12" xfId="0" applyBorder="1" applyAlignment="1">
      <alignment horizontal="center"/>
    </xf>
    <xf numFmtId="0" fontId="0" fillId="0" borderId="28" xfId="0" applyBorder="1" applyAlignment="1">
      <alignment horizontal="center"/>
    </xf>
    <xf numFmtId="0" fontId="0" fillId="0" borderId="23" xfId="0" applyBorder="1" applyAlignment="1">
      <alignment horizontal="center"/>
    </xf>
    <xf numFmtId="0" fontId="0" fillId="0" borderId="12" xfId="0" applyBorder="1" applyAlignment="1">
      <alignment horizontal="left"/>
    </xf>
    <xf numFmtId="0" fontId="0" fillId="0" borderId="23" xfId="0" applyBorder="1" applyAlignment="1">
      <alignment horizontal="left"/>
    </xf>
    <xf numFmtId="43" fontId="4" fillId="0" borderId="12" xfId="1" applyFont="1" applyBorder="1" applyAlignment="1">
      <alignment horizontal="left"/>
    </xf>
    <xf numFmtId="43" fontId="4" fillId="0" borderId="28" xfId="1" applyFont="1" applyBorder="1" applyAlignment="1">
      <alignment horizontal="left"/>
    </xf>
    <xf numFmtId="43" fontId="4" fillId="0" borderId="23" xfId="1" applyFont="1" applyBorder="1" applyAlignment="1">
      <alignment horizontal="left"/>
    </xf>
    <xf numFmtId="0" fontId="11" fillId="0" borderId="12" xfId="0" applyFont="1" applyBorder="1" applyAlignment="1">
      <alignment horizontal="left"/>
    </xf>
    <xf numFmtId="0" fontId="11" fillId="0" borderId="23" xfId="0" applyFont="1" applyBorder="1" applyAlignment="1">
      <alignment horizontal="left"/>
    </xf>
    <xf numFmtId="43" fontId="12" fillId="0" borderId="12" xfId="1" applyFont="1" applyBorder="1" applyAlignment="1">
      <alignment horizontal="left"/>
    </xf>
    <xf numFmtId="43" fontId="12" fillId="0" borderId="28" xfId="1" applyFont="1" applyBorder="1" applyAlignment="1">
      <alignment horizontal="left"/>
    </xf>
    <xf numFmtId="43" fontId="12" fillId="0" borderId="23" xfId="1" applyFont="1" applyBorder="1" applyAlignment="1">
      <alignment horizontal="left"/>
    </xf>
    <xf numFmtId="0" fontId="0" fillId="0" borderId="27" xfId="0" applyBorder="1" applyAlignment="1">
      <alignment horizontal="left"/>
    </xf>
    <xf numFmtId="43" fontId="6" fillId="0" borderId="27" xfId="1" applyFont="1" applyBorder="1" applyAlignment="1">
      <alignment horizontal="right"/>
    </xf>
    <xf numFmtId="43" fontId="6" fillId="0" borderId="41" xfId="1" applyFont="1" applyBorder="1" applyAlignment="1">
      <alignment horizontal="right"/>
    </xf>
    <xf numFmtId="43" fontId="6" fillId="0" borderId="22" xfId="1" applyFont="1" applyBorder="1" applyAlignment="1">
      <alignment horizontal="right"/>
    </xf>
    <xf numFmtId="44" fontId="12" fillId="3" borderId="16" xfId="0" applyNumberFormat="1" applyFont="1" applyFill="1" applyBorder="1" applyAlignment="1">
      <alignment horizontal="center"/>
    </xf>
    <xf numFmtId="0" fontId="0" fillId="0" borderId="6" xfId="0" applyBorder="1" applyAlignment="1">
      <alignment horizontal="right" vertical="center"/>
    </xf>
    <xf numFmtId="0" fontId="0" fillId="0" borderId="4" xfId="0" applyBorder="1" applyAlignment="1">
      <alignment horizontal="right" vertical="center"/>
    </xf>
    <xf numFmtId="0" fontId="0" fillId="0" borderId="7" xfId="0" applyBorder="1" applyAlignment="1">
      <alignment horizontal="right" vertical="center"/>
    </xf>
    <xf numFmtId="0" fontId="0" fillId="0" borderId="25" xfId="0" applyBorder="1" applyAlignment="1">
      <alignment horizontal="right" vertical="center"/>
    </xf>
    <xf numFmtId="0" fontId="0" fillId="0" borderId="30" xfId="0" applyBorder="1" applyAlignment="1">
      <alignment horizontal="right" vertical="center"/>
    </xf>
    <xf numFmtId="0" fontId="0" fillId="0" borderId="26" xfId="0" applyBorder="1" applyAlignment="1">
      <alignment horizontal="right" vertical="center"/>
    </xf>
    <xf numFmtId="43" fontId="4" fillId="0" borderId="45" xfId="1" applyFont="1" applyBorder="1" applyAlignment="1">
      <alignment horizontal="left" vertical="center"/>
    </xf>
    <xf numFmtId="43" fontId="4" fillId="0" borderId="44" xfId="1" applyFont="1" applyBorder="1" applyAlignment="1">
      <alignment horizontal="left" vertical="center"/>
    </xf>
    <xf numFmtId="0" fontId="0" fillId="0" borderId="6" xfId="0" applyBorder="1" applyAlignment="1">
      <alignment horizontal="right" vertical="center" wrapText="1"/>
    </xf>
    <xf numFmtId="0" fontId="0" fillId="0" borderId="9" xfId="0" applyBorder="1" applyAlignment="1">
      <alignment horizontal="right" vertical="center" wrapText="1"/>
    </xf>
    <xf numFmtId="0" fontId="0" fillId="0" borderId="25" xfId="0" applyBorder="1" applyAlignment="1">
      <alignment horizontal="right" vertical="center" wrapText="1"/>
    </xf>
    <xf numFmtId="0" fontId="0" fillId="0" borderId="35" xfId="0" applyBorder="1" applyAlignment="1">
      <alignment horizontal="right" vertical="center" wrapText="1"/>
    </xf>
    <xf numFmtId="44" fontId="8" fillId="0" borderId="33" xfId="0" applyNumberFormat="1" applyFont="1" applyBorder="1" applyAlignment="1">
      <alignment horizontal="left" vertical="center"/>
    </xf>
    <xf numFmtId="44" fontId="8" fillId="0" borderId="2" xfId="0" applyNumberFormat="1" applyFont="1" applyBorder="1" applyAlignment="1">
      <alignment horizontal="left" vertical="center"/>
    </xf>
    <xf numFmtId="44" fontId="8" fillId="0" borderId="38" xfId="0" applyNumberFormat="1" applyFont="1" applyBorder="1" applyAlignment="1">
      <alignment horizontal="left" vertical="center"/>
    </xf>
    <xf numFmtId="44" fontId="8" fillId="0" borderId="25" xfId="0" applyNumberFormat="1" applyFont="1" applyBorder="1" applyAlignment="1">
      <alignment horizontal="left" vertical="center"/>
    </xf>
    <xf numFmtId="44" fontId="8" fillId="0" borderId="30" xfId="0" applyNumberFormat="1" applyFont="1" applyBorder="1" applyAlignment="1">
      <alignment horizontal="left" vertical="center"/>
    </xf>
    <xf numFmtId="44" fontId="8" fillId="0" borderId="26" xfId="0" applyNumberFormat="1" applyFont="1" applyBorder="1" applyAlignment="1">
      <alignment horizontal="left" vertical="center"/>
    </xf>
    <xf numFmtId="44" fontId="11" fillId="3" borderId="16" xfId="0" applyNumberFormat="1" applyFont="1" applyFill="1" applyBorder="1" applyAlignment="1">
      <alignment horizontal="right"/>
    </xf>
    <xf numFmtId="0" fontId="11" fillId="0" borderId="32" xfId="0" applyFont="1" applyBorder="1" applyAlignment="1">
      <alignment horizontal="center"/>
    </xf>
    <xf numFmtId="0" fontId="11" fillId="0" borderId="15" xfId="0" applyFont="1" applyBorder="1" applyAlignment="1">
      <alignment horizontal="center"/>
    </xf>
    <xf numFmtId="0" fontId="11" fillId="0" borderId="39" xfId="0" applyFont="1" applyBorder="1" applyAlignment="1">
      <alignment horizontal="center"/>
    </xf>
    <xf numFmtId="4" fontId="12" fillId="0" borderId="16" xfId="0" applyNumberFormat="1" applyFont="1" applyBorder="1" applyAlignment="1">
      <alignment horizontal="right"/>
    </xf>
    <xf numFmtId="4" fontId="4" fillId="0" borderId="23" xfId="0" applyNumberFormat="1" applyFont="1" applyBorder="1" applyAlignment="1">
      <alignment horizontal="right"/>
    </xf>
    <xf numFmtId="4" fontId="4" fillId="0" borderId="16" xfId="0" applyNumberFormat="1" applyFont="1" applyBorder="1" applyAlignment="1">
      <alignment horizontal="right"/>
    </xf>
    <xf numFmtId="44" fontId="4" fillId="0" borderId="27" xfId="0" applyNumberFormat="1" applyFont="1" applyBorder="1" applyAlignment="1">
      <alignment horizontal="center"/>
    </xf>
    <xf numFmtId="44" fontId="4" fillId="0" borderId="41" xfId="0" applyNumberFormat="1" applyFont="1" applyBorder="1" applyAlignment="1">
      <alignment horizontal="center"/>
    </xf>
    <xf numFmtId="44" fontId="4" fillId="0" borderId="22" xfId="0" applyNumberFormat="1" applyFont="1" applyBorder="1" applyAlignment="1">
      <alignment horizontal="center"/>
    </xf>
    <xf numFmtId="44" fontId="4" fillId="0" borderId="12" xfId="0" applyNumberFormat="1" applyFont="1" applyBorder="1" applyAlignment="1">
      <alignment horizontal="right"/>
    </xf>
    <xf numFmtId="44" fontId="4" fillId="0" borderId="28" xfId="0" applyNumberFormat="1" applyFont="1" applyBorder="1" applyAlignment="1">
      <alignment horizontal="right"/>
    </xf>
    <xf numFmtId="44" fontId="4" fillId="0" borderId="23" xfId="0" applyNumberFormat="1" applyFont="1" applyBorder="1" applyAlignment="1">
      <alignment horizontal="right"/>
    </xf>
    <xf numFmtId="44" fontId="4" fillId="0" borderId="11" xfId="0" applyNumberFormat="1" applyFont="1" applyBorder="1" applyAlignment="1">
      <alignment horizontal="right"/>
    </xf>
    <xf numFmtId="44" fontId="4" fillId="0" borderId="14" xfId="0" applyNumberFormat="1" applyFont="1" applyBorder="1" applyAlignment="1">
      <alignment horizontal="right"/>
    </xf>
    <xf numFmtId="44" fontId="4" fillId="0" borderId="19" xfId="0" applyNumberFormat="1" applyFont="1" applyBorder="1" applyAlignment="1">
      <alignment horizontal="right"/>
    </xf>
    <xf numFmtId="44" fontId="4" fillId="0" borderId="47" xfId="0" applyNumberFormat="1" applyFont="1" applyBorder="1" applyAlignment="1">
      <alignment horizontal="right"/>
    </xf>
    <xf numFmtId="44" fontId="4" fillId="0" borderId="48" xfId="0" applyNumberFormat="1" applyFont="1" applyBorder="1" applyAlignment="1">
      <alignment horizontal="right"/>
    </xf>
    <xf numFmtId="44" fontId="4" fillId="0" borderId="49" xfId="0" applyNumberFormat="1" applyFont="1" applyBorder="1" applyAlignment="1">
      <alignment horizontal="right"/>
    </xf>
    <xf numFmtId="0" fontId="0" fillId="0" borderId="24" xfId="0" applyBorder="1" applyAlignment="1">
      <alignment horizontal="center"/>
    </xf>
    <xf numFmtId="0" fontId="0" fillId="0" borderId="5" xfId="0" applyBorder="1" applyAlignment="1">
      <alignment horizontal="center"/>
    </xf>
    <xf numFmtId="0" fontId="0" fillId="0" borderId="20" xfId="0" applyBorder="1" applyAlignment="1">
      <alignment horizontal="center"/>
    </xf>
    <xf numFmtId="4" fontId="4" fillId="0" borderId="11" xfId="0" applyNumberFormat="1" applyFont="1" applyBorder="1" applyAlignment="1">
      <alignment horizontal="right"/>
    </xf>
    <xf numFmtId="4" fontId="4" fillId="0" borderId="14" xfId="0" applyNumberFormat="1" applyFont="1" applyBorder="1" applyAlignment="1">
      <alignment horizontal="right"/>
    </xf>
    <xf numFmtId="4" fontId="4" fillId="0" borderId="19" xfId="0" applyNumberFormat="1" applyFont="1" applyBorder="1" applyAlignment="1">
      <alignment horizontal="right"/>
    </xf>
    <xf numFmtId="0" fontId="5" fillId="3" borderId="10" xfId="0" applyFont="1" applyFill="1" applyBorder="1" applyAlignment="1">
      <alignment horizontal="center" vertical="center" textRotation="90"/>
    </xf>
    <xf numFmtId="0" fontId="5" fillId="3" borderId="21" xfId="0" applyFont="1" applyFill="1" applyBorder="1" applyAlignment="1">
      <alignment horizontal="center" vertical="center" textRotation="90"/>
    </xf>
    <xf numFmtId="0" fontId="5" fillId="3" borderId="18" xfId="0" applyFont="1" applyFill="1" applyBorder="1" applyAlignment="1">
      <alignment horizontal="center" vertical="center" textRotation="90"/>
    </xf>
    <xf numFmtId="0" fontId="4" fillId="0" borderId="24" xfId="0" applyFont="1" applyBorder="1" applyAlignment="1">
      <alignment horizontal="center"/>
    </xf>
    <xf numFmtId="0" fontId="4" fillId="0" borderId="5" xfId="0" applyFont="1" applyBorder="1" applyAlignment="1">
      <alignment horizontal="center"/>
    </xf>
    <xf numFmtId="0" fontId="4" fillId="0" borderId="20" xfId="0" applyFont="1" applyBorder="1" applyAlignment="1">
      <alignment horizontal="center"/>
    </xf>
    <xf numFmtId="4" fontId="4" fillId="0" borderId="16" xfId="0" applyNumberFormat="1" applyFont="1" applyBorder="1" applyAlignment="1">
      <alignment horizontal="center"/>
    </xf>
    <xf numFmtId="0" fontId="4" fillId="0" borderId="12" xfId="0" applyFont="1" applyBorder="1" applyAlignment="1">
      <alignment horizontal="center"/>
    </xf>
    <xf numFmtId="0" fontId="4" fillId="0" borderId="28" xfId="0" applyFont="1" applyBorder="1" applyAlignment="1">
      <alignment horizontal="center"/>
    </xf>
    <xf numFmtId="0" fontId="4" fillId="0" borderId="23" xfId="0" applyFont="1" applyBorder="1" applyAlignment="1">
      <alignment horizontal="center"/>
    </xf>
    <xf numFmtId="0" fontId="0" fillId="0" borderId="4" xfId="0" applyBorder="1" applyAlignment="1">
      <alignment horizontal="right" vertical="center" wrapText="1"/>
    </xf>
    <xf numFmtId="0" fontId="0" fillId="0" borderId="7" xfId="0" applyBorder="1" applyAlignment="1">
      <alignment horizontal="right" vertical="center" wrapText="1"/>
    </xf>
    <xf numFmtId="0" fontId="0" fillId="0" borderId="30" xfId="0" applyBorder="1" applyAlignment="1">
      <alignment horizontal="right" vertical="center" wrapText="1"/>
    </xf>
    <xf numFmtId="0" fontId="0" fillId="0" borderId="26" xfId="0" applyBorder="1" applyAlignment="1">
      <alignment horizontal="right" vertical="center" wrapText="1"/>
    </xf>
    <xf numFmtId="43" fontId="13" fillId="0" borderId="8" xfId="1" applyFont="1" applyBorder="1" applyAlignment="1">
      <alignment horizontal="left" vertical="center"/>
    </xf>
    <xf numFmtId="43" fontId="13" fillId="0" borderId="17" xfId="1" applyFont="1" applyBorder="1" applyAlignment="1">
      <alignment horizontal="left" vertical="center"/>
    </xf>
    <xf numFmtId="0" fontId="0" fillId="0" borderId="6" xfId="0" applyBorder="1" applyAlignment="1">
      <alignment horizontal="center" vertical="center" wrapText="1"/>
    </xf>
    <xf numFmtId="0" fontId="0" fillId="0" borderId="4" xfId="0" applyBorder="1" applyAlignment="1">
      <alignment horizontal="center" vertical="center"/>
    </xf>
    <xf numFmtId="0" fontId="0" fillId="0" borderId="7" xfId="0" applyBorder="1" applyAlignment="1">
      <alignment horizontal="center" vertical="center"/>
    </xf>
    <xf numFmtId="0" fontId="0" fillId="0" borderId="25" xfId="0" applyBorder="1" applyAlignment="1">
      <alignment horizontal="center" vertical="center"/>
    </xf>
    <xf numFmtId="0" fontId="0" fillId="0" borderId="30" xfId="0" applyBorder="1" applyAlignment="1">
      <alignment horizontal="center" vertical="center"/>
    </xf>
    <xf numFmtId="0" fontId="0" fillId="0" borderId="26" xfId="0" applyBorder="1" applyAlignment="1">
      <alignment horizontal="center" vertical="center"/>
    </xf>
    <xf numFmtId="0" fontId="0" fillId="0" borderId="46" xfId="0" applyBorder="1" applyAlignment="1">
      <alignment horizontal="right" wrapText="1"/>
    </xf>
    <xf numFmtId="0" fontId="0" fillId="0" borderId="34" xfId="0" applyBorder="1" applyAlignment="1">
      <alignment horizontal="right" wrapText="1"/>
    </xf>
    <xf numFmtId="0" fontId="3" fillId="0" borderId="10" xfId="0" applyFont="1" applyBorder="1" applyAlignment="1">
      <alignment horizontal="right" vertical="center" wrapText="1"/>
    </xf>
    <xf numFmtId="0" fontId="3" fillId="0" borderId="21" xfId="0" applyFont="1" applyBorder="1" applyAlignment="1">
      <alignment horizontal="right" vertical="center" wrapText="1"/>
    </xf>
    <xf numFmtId="165" fontId="19" fillId="0" borderId="6" xfId="0" applyNumberFormat="1" applyFont="1" applyBorder="1" applyAlignment="1">
      <alignment horizontal="left" vertical="center"/>
    </xf>
    <xf numFmtId="165" fontId="19" fillId="0" borderId="4" xfId="0" applyNumberFormat="1" applyFont="1" applyBorder="1" applyAlignment="1">
      <alignment horizontal="left" vertical="center"/>
    </xf>
    <xf numFmtId="165" fontId="19" fillId="0" borderId="7" xfId="0" applyNumberFormat="1" applyFont="1" applyBorder="1" applyAlignment="1">
      <alignment horizontal="left" vertical="center"/>
    </xf>
    <xf numFmtId="165" fontId="19" fillId="0" borderId="50" xfId="0" applyNumberFormat="1" applyFont="1" applyBorder="1" applyAlignment="1">
      <alignment horizontal="left" vertical="center"/>
    </xf>
    <xf numFmtId="165" fontId="19" fillId="0" borderId="51" xfId="0" applyNumberFormat="1" applyFont="1" applyBorder="1" applyAlignment="1">
      <alignment horizontal="left" vertical="center"/>
    </xf>
    <xf numFmtId="165" fontId="19" fillId="0" borderId="52" xfId="0" applyNumberFormat="1" applyFont="1" applyBorder="1" applyAlignment="1">
      <alignment horizontal="left" vertical="center"/>
    </xf>
    <xf numFmtId="4" fontId="12" fillId="0" borderId="23" xfId="0" applyNumberFormat="1" applyFont="1" applyBorder="1"/>
    <xf numFmtId="4" fontId="12" fillId="0" borderId="16" xfId="0" applyNumberFormat="1" applyFont="1" applyBorder="1"/>
    <xf numFmtId="4" fontId="4" fillId="0" borderId="23" xfId="0" applyNumberFormat="1" applyFont="1" applyBorder="1"/>
    <xf numFmtId="4" fontId="4" fillId="0" borderId="16" xfId="0" applyNumberFormat="1" applyFont="1" applyBorder="1"/>
    <xf numFmtId="44" fontId="0" fillId="3" borderId="16" xfId="0" applyNumberFormat="1" applyFill="1" applyBorder="1" applyAlignment="1">
      <alignment horizontal="right"/>
    </xf>
    <xf numFmtId="165" fontId="21" fillId="0" borderId="6" xfId="0" applyNumberFormat="1" applyFont="1" applyBorder="1" applyAlignment="1">
      <alignment horizontal="left" vertical="center"/>
    </xf>
    <xf numFmtId="165" fontId="21" fillId="0" borderId="4" xfId="0" applyNumberFormat="1" applyFont="1" applyBorder="1" applyAlignment="1">
      <alignment horizontal="left" vertical="center"/>
    </xf>
    <xf numFmtId="165" fontId="21" fillId="0" borderId="7" xfId="0" applyNumberFormat="1" applyFont="1" applyBorder="1" applyAlignment="1">
      <alignment horizontal="left" vertical="center"/>
    </xf>
    <xf numFmtId="165" fontId="21" fillId="0" borderId="50" xfId="0" applyNumberFormat="1" applyFont="1" applyBorder="1" applyAlignment="1">
      <alignment horizontal="left" vertical="center"/>
    </xf>
    <xf numFmtId="165" fontId="21" fillId="0" borderId="51" xfId="0" applyNumberFormat="1" applyFont="1" applyBorder="1" applyAlignment="1">
      <alignment horizontal="left" vertical="center"/>
    </xf>
    <xf numFmtId="165" fontId="21" fillId="0" borderId="52" xfId="0" applyNumberFormat="1" applyFont="1" applyBorder="1" applyAlignment="1">
      <alignment horizontal="left" vertical="center"/>
    </xf>
    <xf numFmtId="44" fontId="12" fillId="3" borderId="16" xfId="0" applyNumberFormat="1" applyFont="1" applyFill="1" applyBorder="1" applyAlignment="1">
      <alignment horizontal="right"/>
    </xf>
  </cellXfs>
  <cellStyles count="2">
    <cellStyle name="Comma" xfId="1" builtinId="3"/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26" Type="http://schemas.openxmlformats.org/officeDocument/2006/relationships/worksheet" Target="worksheets/sheet26.xml"/><Relationship Id="rId21" Type="http://schemas.openxmlformats.org/officeDocument/2006/relationships/worksheet" Target="worksheets/sheet21.xml"/><Relationship Id="rId42" Type="http://schemas.openxmlformats.org/officeDocument/2006/relationships/worksheet" Target="worksheets/sheet42.xml"/><Relationship Id="rId47" Type="http://schemas.openxmlformats.org/officeDocument/2006/relationships/worksheet" Target="worksheets/sheet47.xml"/><Relationship Id="rId63" Type="http://schemas.openxmlformats.org/officeDocument/2006/relationships/worksheet" Target="worksheets/sheet63.xml"/><Relationship Id="rId68" Type="http://schemas.openxmlformats.org/officeDocument/2006/relationships/worksheet" Target="worksheets/sheet68.xml"/><Relationship Id="rId16" Type="http://schemas.openxmlformats.org/officeDocument/2006/relationships/worksheet" Target="worksheets/sheet16.xml"/><Relationship Id="rId11" Type="http://schemas.openxmlformats.org/officeDocument/2006/relationships/worksheet" Target="worksheets/sheet11.xml"/><Relationship Id="rId32" Type="http://schemas.openxmlformats.org/officeDocument/2006/relationships/worksheet" Target="worksheets/sheet32.xml"/><Relationship Id="rId37" Type="http://schemas.openxmlformats.org/officeDocument/2006/relationships/worksheet" Target="worksheets/sheet37.xml"/><Relationship Id="rId53" Type="http://schemas.openxmlformats.org/officeDocument/2006/relationships/worksheet" Target="worksheets/sheet53.xml"/><Relationship Id="rId58" Type="http://schemas.openxmlformats.org/officeDocument/2006/relationships/worksheet" Target="worksheets/sheet58.xml"/><Relationship Id="rId74" Type="http://schemas.openxmlformats.org/officeDocument/2006/relationships/worksheet" Target="worksheets/sheet74.xml"/><Relationship Id="rId79" Type="http://schemas.openxmlformats.org/officeDocument/2006/relationships/theme" Target="theme/theme1.xml"/><Relationship Id="rId5" Type="http://schemas.openxmlformats.org/officeDocument/2006/relationships/worksheet" Target="worksheets/sheet5.xml"/><Relationship Id="rId61" Type="http://schemas.openxmlformats.org/officeDocument/2006/relationships/worksheet" Target="worksheets/sheet61.xml"/><Relationship Id="rId82" Type="http://schemas.openxmlformats.org/officeDocument/2006/relationships/calcChain" Target="calcChain.xml"/><Relationship Id="rId19" Type="http://schemas.openxmlformats.org/officeDocument/2006/relationships/worksheet" Target="worksheets/sheet19.xml"/><Relationship Id="rId14" Type="http://schemas.openxmlformats.org/officeDocument/2006/relationships/worksheet" Target="worksheets/sheet14.xml"/><Relationship Id="rId22" Type="http://schemas.openxmlformats.org/officeDocument/2006/relationships/worksheet" Target="worksheets/sheet22.xml"/><Relationship Id="rId27" Type="http://schemas.openxmlformats.org/officeDocument/2006/relationships/worksheet" Target="worksheets/sheet27.xml"/><Relationship Id="rId30" Type="http://schemas.openxmlformats.org/officeDocument/2006/relationships/worksheet" Target="worksheets/sheet30.xml"/><Relationship Id="rId35" Type="http://schemas.openxmlformats.org/officeDocument/2006/relationships/worksheet" Target="worksheets/sheet35.xml"/><Relationship Id="rId43" Type="http://schemas.openxmlformats.org/officeDocument/2006/relationships/worksheet" Target="worksheets/sheet43.xml"/><Relationship Id="rId48" Type="http://schemas.openxmlformats.org/officeDocument/2006/relationships/worksheet" Target="worksheets/sheet48.xml"/><Relationship Id="rId56" Type="http://schemas.openxmlformats.org/officeDocument/2006/relationships/worksheet" Target="worksheets/sheet56.xml"/><Relationship Id="rId64" Type="http://schemas.openxmlformats.org/officeDocument/2006/relationships/worksheet" Target="worksheets/sheet64.xml"/><Relationship Id="rId69" Type="http://schemas.openxmlformats.org/officeDocument/2006/relationships/worksheet" Target="worksheets/sheet69.xml"/><Relationship Id="rId77" Type="http://schemas.openxmlformats.org/officeDocument/2006/relationships/worksheet" Target="worksheets/sheet77.xml"/><Relationship Id="rId8" Type="http://schemas.openxmlformats.org/officeDocument/2006/relationships/worksheet" Target="worksheets/sheet8.xml"/><Relationship Id="rId51" Type="http://schemas.openxmlformats.org/officeDocument/2006/relationships/worksheet" Target="worksheets/sheet51.xml"/><Relationship Id="rId72" Type="http://schemas.openxmlformats.org/officeDocument/2006/relationships/worksheet" Target="worksheets/sheet72.xml"/><Relationship Id="rId80" Type="http://schemas.openxmlformats.org/officeDocument/2006/relationships/styles" Target="styles.xml"/><Relationship Id="rId3" Type="http://schemas.openxmlformats.org/officeDocument/2006/relationships/worksheet" Target="worksheets/sheet3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5" Type="http://schemas.openxmlformats.org/officeDocument/2006/relationships/worksheet" Target="worksheets/sheet25.xml"/><Relationship Id="rId33" Type="http://schemas.openxmlformats.org/officeDocument/2006/relationships/worksheet" Target="worksheets/sheet33.xml"/><Relationship Id="rId38" Type="http://schemas.openxmlformats.org/officeDocument/2006/relationships/worksheet" Target="worksheets/sheet38.xml"/><Relationship Id="rId46" Type="http://schemas.openxmlformats.org/officeDocument/2006/relationships/worksheet" Target="worksheets/sheet46.xml"/><Relationship Id="rId59" Type="http://schemas.openxmlformats.org/officeDocument/2006/relationships/worksheet" Target="worksheets/sheet59.xml"/><Relationship Id="rId67" Type="http://schemas.openxmlformats.org/officeDocument/2006/relationships/worksheet" Target="worksheets/sheet67.xml"/><Relationship Id="rId20" Type="http://schemas.openxmlformats.org/officeDocument/2006/relationships/worksheet" Target="worksheets/sheet20.xml"/><Relationship Id="rId41" Type="http://schemas.openxmlformats.org/officeDocument/2006/relationships/worksheet" Target="worksheets/sheet41.xml"/><Relationship Id="rId54" Type="http://schemas.openxmlformats.org/officeDocument/2006/relationships/worksheet" Target="worksheets/sheet54.xml"/><Relationship Id="rId62" Type="http://schemas.openxmlformats.org/officeDocument/2006/relationships/worksheet" Target="worksheets/sheet62.xml"/><Relationship Id="rId70" Type="http://schemas.openxmlformats.org/officeDocument/2006/relationships/worksheet" Target="worksheets/sheet70.xml"/><Relationship Id="rId75" Type="http://schemas.openxmlformats.org/officeDocument/2006/relationships/worksheet" Target="worksheets/sheet75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5" Type="http://schemas.openxmlformats.org/officeDocument/2006/relationships/worksheet" Target="worksheets/sheet15.xml"/><Relationship Id="rId23" Type="http://schemas.openxmlformats.org/officeDocument/2006/relationships/worksheet" Target="worksheets/sheet23.xml"/><Relationship Id="rId28" Type="http://schemas.openxmlformats.org/officeDocument/2006/relationships/worksheet" Target="worksheets/sheet28.xml"/><Relationship Id="rId36" Type="http://schemas.openxmlformats.org/officeDocument/2006/relationships/worksheet" Target="worksheets/sheet36.xml"/><Relationship Id="rId49" Type="http://schemas.openxmlformats.org/officeDocument/2006/relationships/worksheet" Target="worksheets/sheet49.xml"/><Relationship Id="rId57" Type="http://schemas.openxmlformats.org/officeDocument/2006/relationships/worksheet" Target="worksheets/sheet57.xml"/><Relationship Id="rId10" Type="http://schemas.openxmlformats.org/officeDocument/2006/relationships/worksheet" Target="worksheets/sheet10.xml"/><Relationship Id="rId31" Type="http://schemas.openxmlformats.org/officeDocument/2006/relationships/worksheet" Target="worksheets/sheet31.xml"/><Relationship Id="rId44" Type="http://schemas.openxmlformats.org/officeDocument/2006/relationships/worksheet" Target="worksheets/sheet44.xml"/><Relationship Id="rId52" Type="http://schemas.openxmlformats.org/officeDocument/2006/relationships/worksheet" Target="worksheets/sheet52.xml"/><Relationship Id="rId60" Type="http://schemas.openxmlformats.org/officeDocument/2006/relationships/worksheet" Target="worksheets/sheet60.xml"/><Relationship Id="rId65" Type="http://schemas.openxmlformats.org/officeDocument/2006/relationships/worksheet" Target="worksheets/sheet65.xml"/><Relationship Id="rId73" Type="http://schemas.openxmlformats.org/officeDocument/2006/relationships/worksheet" Target="worksheets/sheet73.xml"/><Relationship Id="rId78" Type="http://schemas.openxmlformats.org/officeDocument/2006/relationships/worksheet" Target="worksheets/sheet78.xml"/><Relationship Id="rId81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3" Type="http://schemas.openxmlformats.org/officeDocument/2006/relationships/worksheet" Target="worksheets/sheet13.xml"/><Relationship Id="rId18" Type="http://schemas.openxmlformats.org/officeDocument/2006/relationships/worksheet" Target="worksheets/sheet18.xml"/><Relationship Id="rId39" Type="http://schemas.openxmlformats.org/officeDocument/2006/relationships/worksheet" Target="worksheets/sheet39.xml"/><Relationship Id="rId34" Type="http://schemas.openxmlformats.org/officeDocument/2006/relationships/worksheet" Target="worksheets/sheet34.xml"/><Relationship Id="rId50" Type="http://schemas.openxmlformats.org/officeDocument/2006/relationships/worksheet" Target="worksheets/sheet50.xml"/><Relationship Id="rId55" Type="http://schemas.openxmlformats.org/officeDocument/2006/relationships/worksheet" Target="worksheets/sheet55.xml"/><Relationship Id="rId76" Type="http://schemas.openxmlformats.org/officeDocument/2006/relationships/worksheet" Target="worksheets/sheet76.xml"/><Relationship Id="rId7" Type="http://schemas.openxmlformats.org/officeDocument/2006/relationships/worksheet" Target="worksheets/sheet7.xml"/><Relationship Id="rId71" Type="http://schemas.openxmlformats.org/officeDocument/2006/relationships/worksheet" Target="worksheets/sheet71.xml"/><Relationship Id="rId2" Type="http://schemas.openxmlformats.org/officeDocument/2006/relationships/worksheet" Target="worksheets/sheet2.xml"/><Relationship Id="rId29" Type="http://schemas.openxmlformats.org/officeDocument/2006/relationships/worksheet" Target="worksheets/sheet29.xml"/><Relationship Id="rId24" Type="http://schemas.openxmlformats.org/officeDocument/2006/relationships/worksheet" Target="worksheets/sheet24.xml"/><Relationship Id="rId40" Type="http://schemas.openxmlformats.org/officeDocument/2006/relationships/worksheet" Target="worksheets/sheet40.xml"/><Relationship Id="rId45" Type="http://schemas.openxmlformats.org/officeDocument/2006/relationships/worksheet" Target="worksheets/sheet45.xml"/><Relationship Id="rId66" Type="http://schemas.openxmlformats.org/officeDocument/2006/relationships/worksheet" Target="worksheets/sheet66.xml"/></Relationships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2.xml.rels><?xml version="1.0" encoding="UTF-8" standalone="yes"?>
<Relationships xmlns="http://schemas.openxmlformats.org/package/2006/relationships"><Relationship Id="rId1" Type="http://schemas.openxmlformats.org/officeDocument/2006/relationships/image" Target="../media/image2.png"/></Relationships>
</file>

<file path=xl/drawings/_rels/drawing3.xml.rels><?xml version="1.0" encoding="UTF-8" standalone="yes"?>
<Relationships xmlns="http://schemas.openxmlformats.org/package/2006/relationships"><Relationship Id="rId1" Type="http://schemas.openxmlformats.org/officeDocument/2006/relationships/image" Target="../media/image3.png"/></Relationships>
</file>

<file path=xl/drawings/_rels/drawing4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5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6.xml.rels><?xml version="1.0" encoding="UTF-8" standalone="yes"?>
<Relationships xmlns="http://schemas.openxmlformats.org/package/2006/relationships"><Relationship Id="rId1" Type="http://schemas.openxmlformats.org/officeDocument/2006/relationships/image" Target="../media/image2.png"/></Relationships>
</file>

<file path=xl/drawings/_rels/drawing7.xml.rels><?xml version="1.0" encoding="UTF-8" standalone="yes"?>
<Relationships xmlns="http://schemas.openxmlformats.org/package/2006/relationships"><Relationship Id="rId1" Type="http://schemas.openxmlformats.org/officeDocument/2006/relationships/image" Target="../media/image4.png"/></Relationships>
</file>

<file path=xl/drawings/_rels/drawing8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9.xml.rels><?xml version="1.0" encoding="UTF-8" standalone="yes"?>
<Relationships xmlns="http://schemas.openxmlformats.org/package/2006/relationships"><Relationship Id="rId1" Type="http://schemas.openxmlformats.org/officeDocument/2006/relationships/image" Target="../media/image2.png"/></Relationships>
</file>

<file path=xl/drawings/_rels/drawing10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11.xml.rels><?xml version="1.0" encoding="UTF-8" standalone="yes"?>
<Relationships xmlns="http://schemas.openxmlformats.org/package/2006/relationships"><Relationship Id="rId1" Type="http://schemas.openxmlformats.org/officeDocument/2006/relationships/image" Target="../media/image2.png"/></Relationships>
</file>

<file path=xl/drawings/_rels/drawing12.xml.rels><?xml version="1.0" encoding="UTF-8" standalone="yes"?>
<Relationships xmlns="http://schemas.openxmlformats.org/package/2006/relationships"><Relationship Id="rId1" Type="http://schemas.openxmlformats.org/officeDocument/2006/relationships/image" Target="../media/image5.png"/></Relationships>
</file>

<file path=xl/drawings/_rels/drawing13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14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15.xml.rels><?xml version="1.0" encoding="UTF-8" standalone="yes"?>
<Relationships xmlns="http://schemas.openxmlformats.org/package/2006/relationships"><Relationship Id="rId1" Type="http://schemas.openxmlformats.org/officeDocument/2006/relationships/image" Target="../media/image2.png"/></Relationships>
</file>

<file path=xl/drawings/_rels/drawing16.xml.rels><?xml version="1.0" encoding="UTF-8" standalone="yes"?>
<Relationships xmlns="http://schemas.openxmlformats.org/package/2006/relationships"><Relationship Id="rId1" Type="http://schemas.openxmlformats.org/officeDocument/2006/relationships/image" Target="../media/image6.png"/></Relationships>
</file>

<file path=xl/drawings/_rels/drawing17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18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19.xml.rels><?xml version="1.0" encoding="UTF-8" standalone="yes"?>
<Relationships xmlns="http://schemas.openxmlformats.org/package/2006/relationships"><Relationship Id="rId1" Type="http://schemas.openxmlformats.org/officeDocument/2006/relationships/image" Target="../media/image2.png"/></Relationships>
</file>

<file path=xl/drawings/_rels/drawing20.xml.rels><?xml version="1.0" encoding="UTF-8" standalone="yes"?>
<Relationships xmlns="http://schemas.openxmlformats.org/package/2006/relationships"><Relationship Id="rId1" Type="http://schemas.openxmlformats.org/officeDocument/2006/relationships/image" Target="../media/image3.png"/></Relationships>
</file>

<file path=xl/drawings/_rels/drawing2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22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23.xml.rels><?xml version="1.0" encoding="UTF-8" standalone="yes"?>
<Relationships xmlns="http://schemas.openxmlformats.org/package/2006/relationships"><Relationship Id="rId1" Type="http://schemas.openxmlformats.org/officeDocument/2006/relationships/image" Target="../media/image2.png"/></Relationships>
</file>

<file path=xl/drawings/_rels/drawing24.xml.rels><?xml version="1.0" encoding="UTF-8" standalone="yes"?>
<Relationships xmlns="http://schemas.openxmlformats.org/package/2006/relationships"><Relationship Id="rId1" Type="http://schemas.openxmlformats.org/officeDocument/2006/relationships/image" Target="../media/image7.png"/></Relationships>
</file>

<file path=xl/drawings/_rels/drawing25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26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27.xml.rels><?xml version="1.0" encoding="UTF-8" standalone="yes"?>
<Relationships xmlns="http://schemas.openxmlformats.org/package/2006/relationships"><Relationship Id="rId1" Type="http://schemas.openxmlformats.org/officeDocument/2006/relationships/image" Target="../media/image2.png"/></Relationships>
</file>

<file path=xl/drawings/_rels/drawing28.xml.rels><?xml version="1.0" encoding="UTF-8" standalone="yes"?>
<Relationships xmlns="http://schemas.openxmlformats.org/package/2006/relationships"><Relationship Id="rId1" Type="http://schemas.openxmlformats.org/officeDocument/2006/relationships/image" Target="../media/image8.png"/></Relationships>
</file>

<file path=xl/drawings/_rels/drawing29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30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31.xml.rels><?xml version="1.0" encoding="UTF-8" standalone="yes"?>
<Relationships xmlns="http://schemas.openxmlformats.org/package/2006/relationships"><Relationship Id="rId1" Type="http://schemas.openxmlformats.org/officeDocument/2006/relationships/image" Target="../media/image2.png"/></Relationships>
</file>

<file path=xl/drawings/_rels/drawing32.xml.rels><?xml version="1.0" encoding="UTF-8" standalone="yes"?>
<Relationships xmlns="http://schemas.openxmlformats.org/package/2006/relationships"><Relationship Id="rId1" Type="http://schemas.openxmlformats.org/officeDocument/2006/relationships/image" Target="../media/image9.png"/></Relationships>
</file>

<file path=xl/drawings/_rels/drawing33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34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35.xml.rels><?xml version="1.0" encoding="UTF-8" standalone="yes"?>
<Relationships xmlns="http://schemas.openxmlformats.org/package/2006/relationships"><Relationship Id="rId1" Type="http://schemas.openxmlformats.org/officeDocument/2006/relationships/image" Target="../media/image2.png"/></Relationships>
</file>

<file path=xl/drawings/_rels/drawing36.xml.rels><?xml version="1.0" encoding="UTF-8" standalone="yes"?>
<Relationships xmlns="http://schemas.openxmlformats.org/package/2006/relationships"><Relationship Id="rId1" Type="http://schemas.openxmlformats.org/officeDocument/2006/relationships/image" Target="../media/image10.png"/></Relationships>
</file>

<file path=xl/drawings/_rels/drawing37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38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39.xml.rels><?xml version="1.0" encoding="UTF-8" standalone="yes"?>
<Relationships xmlns="http://schemas.openxmlformats.org/package/2006/relationships"><Relationship Id="rId1" Type="http://schemas.openxmlformats.org/officeDocument/2006/relationships/image" Target="../media/image2.png"/></Relationships>
</file>

<file path=xl/drawings/_rels/drawing40.xml.rels><?xml version="1.0" encoding="UTF-8" standalone="yes"?>
<Relationships xmlns="http://schemas.openxmlformats.org/package/2006/relationships"><Relationship Id="rId1" Type="http://schemas.openxmlformats.org/officeDocument/2006/relationships/image" Target="../media/image11.png"/></Relationships>
</file>

<file path=xl/drawings/_rels/drawing4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42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43.xml.rels><?xml version="1.0" encoding="UTF-8" standalone="yes"?>
<Relationships xmlns="http://schemas.openxmlformats.org/package/2006/relationships"><Relationship Id="rId1" Type="http://schemas.openxmlformats.org/officeDocument/2006/relationships/image" Target="../media/image2.png"/></Relationships>
</file>

<file path=xl/drawings/_rels/drawing44.xml.rels><?xml version="1.0" encoding="UTF-8" standalone="yes"?>
<Relationships xmlns="http://schemas.openxmlformats.org/package/2006/relationships"><Relationship Id="rId1" Type="http://schemas.openxmlformats.org/officeDocument/2006/relationships/image" Target="../media/image12.png"/></Relationships>
</file>

<file path=xl/drawings/_rels/drawing45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46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47.xml.rels><?xml version="1.0" encoding="UTF-8" standalone="yes"?>
<Relationships xmlns="http://schemas.openxmlformats.org/package/2006/relationships"><Relationship Id="rId1" Type="http://schemas.openxmlformats.org/officeDocument/2006/relationships/image" Target="../media/image13.png"/></Relationships>
</file>

<file path=xl/drawings/_rels/drawing48.xml.rels><?xml version="1.0" encoding="UTF-8" standalone="yes"?>
<Relationships xmlns="http://schemas.openxmlformats.org/package/2006/relationships"><Relationship Id="rId1" Type="http://schemas.openxmlformats.org/officeDocument/2006/relationships/image" Target="../media/image2.png"/></Relationships>
</file>

<file path=xl/drawings/_rels/drawing49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50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51.xml.rels><?xml version="1.0" encoding="UTF-8" standalone="yes"?>
<Relationships xmlns="http://schemas.openxmlformats.org/package/2006/relationships"><Relationship Id="rId1" Type="http://schemas.openxmlformats.org/officeDocument/2006/relationships/image" Target="../media/image2.png"/></Relationships>
</file>

<file path=xl/drawings/_rels/drawing52.xml.rels><?xml version="1.0" encoding="UTF-8" standalone="yes"?>
<Relationships xmlns="http://schemas.openxmlformats.org/package/2006/relationships"><Relationship Id="rId1" Type="http://schemas.openxmlformats.org/officeDocument/2006/relationships/image" Target="../media/image3.png"/></Relationships>
</file>

<file path=xl/drawings/_rels/drawing53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54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55.xml.rels><?xml version="1.0" encoding="UTF-8" standalone="yes"?>
<Relationships xmlns="http://schemas.openxmlformats.org/package/2006/relationships"><Relationship Id="rId1" Type="http://schemas.openxmlformats.org/officeDocument/2006/relationships/image" Target="../media/image2.png"/></Relationships>
</file>

<file path=xl/drawings/_rels/drawing56.xml.rels><?xml version="1.0" encoding="UTF-8" standalone="yes"?>
<Relationships xmlns="http://schemas.openxmlformats.org/package/2006/relationships"><Relationship Id="rId1" Type="http://schemas.openxmlformats.org/officeDocument/2006/relationships/image" Target="../media/image3.png"/></Relationships>
</file>

<file path=xl/drawings/_rels/drawing57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58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59.xml.rels><?xml version="1.0" encoding="UTF-8" standalone="yes"?>
<Relationships xmlns="http://schemas.openxmlformats.org/package/2006/relationships"><Relationship Id="rId1" Type="http://schemas.openxmlformats.org/officeDocument/2006/relationships/image" Target="../media/image2.png"/></Relationships>
</file>

<file path=xl/drawings/_rels/drawing60.xml.rels><?xml version="1.0" encoding="UTF-8" standalone="yes"?>
<Relationships xmlns="http://schemas.openxmlformats.org/package/2006/relationships"><Relationship Id="rId1" Type="http://schemas.openxmlformats.org/officeDocument/2006/relationships/image" Target="../media/image3.png"/></Relationships>
</file>

<file path=xl/drawings/_rels/drawing6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62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63.xml.rels><?xml version="1.0" encoding="UTF-8" standalone="yes"?>
<Relationships xmlns="http://schemas.openxmlformats.org/package/2006/relationships"><Relationship Id="rId1" Type="http://schemas.openxmlformats.org/officeDocument/2006/relationships/image" Target="../media/image2.png"/></Relationships>
</file>

<file path=xl/drawings/_rels/drawing64.xml.rels><?xml version="1.0" encoding="UTF-8" standalone="yes"?>
<Relationships xmlns="http://schemas.openxmlformats.org/package/2006/relationships"><Relationship Id="rId1" Type="http://schemas.openxmlformats.org/officeDocument/2006/relationships/image" Target="../media/image3.png"/></Relationships>
</file>

<file path=xl/drawings/_rels/drawing65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66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67.xml.rels><?xml version="1.0" encoding="UTF-8" standalone="yes"?>
<Relationships xmlns="http://schemas.openxmlformats.org/package/2006/relationships"><Relationship Id="rId1" Type="http://schemas.openxmlformats.org/officeDocument/2006/relationships/image" Target="../media/image2.png"/></Relationships>
</file>

<file path=xl/drawings/_rels/drawing68.xml.rels><?xml version="1.0" encoding="UTF-8" standalone="yes"?>
<Relationships xmlns="http://schemas.openxmlformats.org/package/2006/relationships"><Relationship Id="rId1" Type="http://schemas.openxmlformats.org/officeDocument/2006/relationships/image" Target="../media/image3.png"/></Relationships>
</file>

<file path=xl/drawings/_rels/drawing69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70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71.xml.rels><?xml version="1.0" encoding="UTF-8" standalone="yes"?>
<Relationships xmlns="http://schemas.openxmlformats.org/package/2006/relationships"><Relationship Id="rId1" Type="http://schemas.openxmlformats.org/officeDocument/2006/relationships/image" Target="../media/image2.png"/></Relationships>
</file>

<file path=xl/drawings/_rels/drawing72.xml.rels><?xml version="1.0" encoding="UTF-8" standalone="yes"?>
<Relationships xmlns="http://schemas.openxmlformats.org/package/2006/relationships"><Relationship Id="rId1" Type="http://schemas.openxmlformats.org/officeDocument/2006/relationships/image" Target="../media/image3.png"/></Relationships>
</file>

<file path=xl/drawings/_rels/drawing73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74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75.xml.rels><?xml version="1.0" encoding="UTF-8" standalone="yes"?>
<Relationships xmlns="http://schemas.openxmlformats.org/package/2006/relationships"><Relationship Id="rId1" Type="http://schemas.openxmlformats.org/officeDocument/2006/relationships/image" Target="../media/image2.png"/></Relationships>
</file>

<file path=xl/drawings/_rels/drawing76.xml.rels><?xml version="1.0" encoding="UTF-8" standalone="yes"?>
<Relationships xmlns="http://schemas.openxmlformats.org/package/2006/relationships"><Relationship Id="rId1" Type="http://schemas.openxmlformats.org/officeDocument/2006/relationships/image" Target="../media/image3.png"/></Relationships>
</file>

<file path=xl/drawings/_rels/drawing77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447675</xdr:colOff>
      <xdr:row>54</xdr:row>
      <xdr:rowOff>138241</xdr:rowOff>
    </xdr:from>
    <xdr:to>
      <xdr:col>3</xdr:col>
      <xdr:colOff>371475</xdr:colOff>
      <xdr:row>57</xdr:row>
      <xdr:rowOff>171450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348F1F50-33E5-4430-B51C-EF2A62C58E44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8175" y="10691941"/>
          <a:ext cx="1543050" cy="604709"/>
        </a:xfrm>
        <a:prstGeom prst="rect">
          <a:avLst/>
        </a:prstGeom>
      </xdr:spPr>
    </xdr:pic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523875</xdr:colOff>
      <xdr:row>50</xdr:row>
      <xdr:rowOff>47625</xdr:rowOff>
    </xdr:from>
    <xdr:to>
      <xdr:col>3</xdr:col>
      <xdr:colOff>857250</xdr:colOff>
      <xdr:row>62</xdr:row>
      <xdr:rowOff>28575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D6A92D4F-8A8E-4055-B560-E2F54EF45AB2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714375" y="9820275"/>
          <a:ext cx="1952625" cy="2286000"/>
        </a:xfrm>
        <a:prstGeom prst="rect">
          <a:avLst/>
        </a:prstGeom>
      </xdr:spPr>
    </xdr:pic>
    <xdr:clientData/>
  </xdr:twoCellAnchor>
</xdr:wsDr>
</file>

<file path=xl/drawings/drawing3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219075</xdr:colOff>
      <xdr:row>48</xdr:row>
      <xdr:rowOff>135000</xdr:rowOff>
    </xdr:from>
    <xdr:to>
      <xdr:col>3</xdr:col>
      <xdr:colOff>742950</xdr:colOff>
      <xdr:row>63</xdr:row>
      <xdr:rowOff>95250</xdr:rowOff>
    </xdr:to>
    <xdr:pic>
      <xdr:nvPicPr>
        <xdr:cNvPr id="4" name="Picture 3">
          <a:extLst>
            <a:ext uri="{FF2B5EF4-FFF2-40B4-BE49-F238E27FC236}">
              <a16:creationId xmlns:a16="http://schemas.microsoft.com/office/drawing/2014/main" id="{66253EC8-0336-45E1-97A9-BF7D35DD96FA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409575" y="9507600"/>
          <a:ext cx="2143125" cy="2855850"/>
        </a:xfrm>
        <a:prstGeom prst="rect">
          <a:avLst/>
        </a:prstGeom>
      </xdr:spPr>
    </xdr:pic>
    <xdr:clientData/>
  </xdr:twoCellAnchor>
</xdr:wsDr>
</file>

<file path=xl/drawings/drawing4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447675</xdr:colOff>
      <xdr:row>54</xdr:row>
      <xdr:rowOff>138241</xdr:rowOff>
    </xdr:from>
    <xdr:to>
      <xdr:col>3</xdr:col>
      <xdr:colOff>371475</xdr:colOff>
      <xdr:row>57</xdr:row>
      <xdr:rowOff>171450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1FC1EAD1-E17B-482F-A174-9ACE46FEB1F3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8175" y="10691941"/>
          <a:ext cx="1543050" cy="604709"/>
        </a:xfrm>
        <a:prstGeom prst="rect">
          <a:avLst/>
        </a:prstGeom>
      </xdr:spPr>
    </xdr:pic>
    <xdr:clientData/>
  </xdr:twoCellAnchor>
</xdr:wsDr>
</file>

<file path=xl/drawings/drawing5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447675</xdr:colOff>
      <xdr:row>54</xdr:row>
      <xdr:rowOff>138241</xdr:rowOff>
    </xdr:from>
    <xdr:to>
      <xdr:col>3</xdr:col>
      <xdr:colOff>371475</xdr:colOff>
      <xdr:row>57</xdr:row>
      <xdr:rowOff>171450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9F27EE2F-98C8-44EC-9AA5-357C575DC138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8175" y="10691941"/>
          <a:ext cx="1543050" cy="604709"/>
        </a:xfrm>
        <a:prstGeom prst="rect">
          <a:avLst/>
        </a:prstGeom>
      </xdr:spPr>
    </xdr:pic>
    <xdr:clientData/>
  </xdr:twoCellAnchor>
</xdr:wsDr>
</file>

<file path=xl/drawings/drawing6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523875</xdr:colOff>
      <xdr:row>50</xdr:row>
      <xdr:rowOff>47625</xdr:rowOff>
    </xdr:from>
    <xdr:to>
      <xdr:col>3</xdr:col>
      <xdr:colOff>857250</xdr:colOff>
      <xdr:row>62</xdr:row>
      <xdr:rowOff>28575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7F612AB0-7AFF-40E7-AC3D-EB4D18146D1E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714375" y="9820275"/>
          <a:ext cx="1952625" cy="2286000"/>
        </a:xfrm>
        <a:prstGeom prst="rect">
          <a:avLst/>
        </a:prstGeom>
      </xdr:spPr>
    </xdr:pic>
    <xdr:clientData/>
  </xdr:twoCellAnchor>
</xdr:wsDr>
</file>

<file path=xl/drawings/drawing7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733427</xdr:colOff>
      <xdr:row>54</xdr:row>
      <xdr:rowOff>89123</xdr:rowOff>
    </xdr:from>
    <xdr:to>
      <xdr:col>3</xdr:col>
      <xdr:colOff>219075</xdr:colOff>
      <xdr:row>56</xdr:row>
      <xdr:rowOff>97005</xdr:rowOff>
    </xdr:to>
    <xdr:pic>
      <xdr:nvPicPr>
        <xdr:cNvPr id="4" name="Picture 3">
          <a:extLst>
            <a:ext uri="{FF2B5EF4-FFF2-40B4-BE49-F238E27FC236}">
              <a16:creationId xmlns:a16="http://schemas.microsoft.com/office/drawing/2014/main" id="{7EEDA67F-9349-4815-9458-58401ECD74C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923927" y="10642823"/>
          <a:ext cx="1104898" cy="388882"/>
        </a:xfrm>
        <a:prstGeom prst="rect">
          <a:avLst/>
        </a:prstGeom>
      </xdr:spPr>
    </xdr:pic>
    <xdr:clientData/>
  </xdr:twoCellAnchor>
</xdr:wsDr>
</file>

<file path=xl/drawings/drawing8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447675</xdr:colOff>
      <xdr:row>54</xdr:row>
      <xdr:rowOff>138241</xdr:rowOff>
    </xdr:from>
    <xdr:to>
      <xdr:col>3</xdr:col>
      <xdr:colOff>371475</xdr:colOff>
      <xdr:row>57</xdr:row>
      <xdr:rowOff>171450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7D78F270-1896-4832-A529-EA367D0A0A91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8175" y="10691941"/>
          <a:ext cx="1543050" cy="604709"/>
        </a:xfrm>
        <a:prstGeom prst="rect">
          <a:avLst/>
        </a:prstGeom>
      </xdr:spPr>
    </xdr:pic>
    <xdr:clientData/>
  </xdr:twoCellAnchor>
</xdr:wsDr>
</file>

<file path=xl/drawings/drawing9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171450</xdr:colOff>
      <xdr:row>48</xdr:row>
      <xdr:rowOff>76665</xdr:rowOff>
    </xdr:from>
    <xdr:to>
      <xdr:col>3</xdr:col>
      <xdr:colOff>1171575</xdr:colOff>
      <xdr:row>64</xdr:row>
      <xdr:rowOff>57150</xdr:rowOff>
    </xdr:to>
    <xdr:pic>
      <xdr:nvPicPr>
        <xdr:cNvPr id="3" name="Picture 2">
          <a:extLst>
            <a:ext uri="{FF2B5EF4-FFF2-40B4-BE49-F238E27FC236}">
              <a16:creationId xmlns:a16="http://schemas.microsoft.com/office/drawing/2014/main" id="{522AC0AF-BC39-44A3-96E0-91D80E24B2B1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361950" y="9449265"/>
          <a:ext cx="2619375" cy="3066585"/>
        </a:xfrm>
        <a:prstGeom prst="rect">
          <a:avLst/>
        </a:prstGeom>
      </xdr:spPr>
    </xdr:pic>
    <xdr:clientData/>
  </xdr:twoCellAnchor>
</xdr:wsDr>
</file>

<file path=xl/drawings/drawing10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447675</xdr:colOff>
      <xdr:row>54</xdr:row>
      <xdr:rowOff>138241</xdr:rowOff>
    </xdr:from>
    <xdr:to>
      <xdr:col>3</xdr:col>
      <xdr:colOff>371475</xdr:colOff>
      <xdr:row>57</xdr:row>
      <xdr:rowOff>171450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CB9C513B-3831-4D05-83F8-9E506B4A1562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8175" y="10691941"/>
          <a:ext cx="1543050" cy="604709"/>
        </a:xfrm>
        <a:prstGeom prst="rect">
          <a:avLst/>
        </a:prstGeom>
      </xdr:spPr>
    </xdr:pic>
    <xdr:clientData/>
  </xdr:twoCellAnchor>
</xdr:wsDr>
</file>

<file path=xl/drawings/drawing11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523875</xdr:colOff>
      <xdr:row>50</xdr:row>
      <xdr:rowOff>47625</xdr:rowOff>
    </xdr:from>
    <xdr:to>
      <xdr:col>3</xdr:col>
      <xdr:colOff>857250</xdr:colOff>
      <xdr:row>62</xdr:row>
      <xdr:rowOff>28575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9D05F378-CCC4-48F7-99E1-BF20F3870642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714375" y="9820275"/>
          <a:ext cx="1952625" cy="2286000"/>
        </a:xfrm>
        <a:prstGeom prst="rect">
          <a:avLst/>
        </a:prstGeom>
      </xdr:spPr>
    </xdr:pic>
    <xdr:clientData/>
  </xdr:twoCellAnchor>
</xdr:wsDr>
</file>

<file path=xl/drawings/drawing12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723900</xdr:colOff>
      <xdr:row>54</xdr:row>
      <xdr:rowOff>78374</xdr:rowOff>
    </xdr:from>
    <xdr:to>
      <xdr:col>3</xdr:col>
      <xdr:colOff>180975</xdr:colOff>
      <xdr:row>56</xdr:row>
      <xdr:rowOff>76199</xdr:rowOff>
    </xdr:to>
    <xdr:pic>
      <xdr:nvPicPr>
        <xdr:cNvPr id="4" name="Picture 3">
          <a:extLst>
            <a:ext uri="{FF2B5EF4-FFF2-40B4-BE49-F238E27FC236}">
              <a16:creationId xmlns:a16="http://schemas.microsoft.com/office/drawing/2014/main" id="{04FE72D8-3BDC-4841-B695-C8CFEAA8788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914400" y="10632074"/>
          <a:ext cx="1076325" cy="378825"/>
        </a:xfrm>
        <a:prstGeom prst="rect">
          <a:avLst/>
        </a:prstGeom>
      </xdr:spPr>
    </xdr:pic>
    <xdr:clientData/>
  </xdr:twoCellAnchor>
</xdr:wsDr>
</file>

<file path=xl/drawings/drawing13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447675</xdr:colOff>
      <xdr:row>54</xdr:row>
      <xdr:rowOff>138241</xdr:rowOff>
    </xdr:from>
    <xdr:to>
      <xdr:col>3</xdr:col>
      <xdr:colOff>371475</xdr:colOff>
      <xdr:row>57</xdr:row>
      <xdr:rowOff>171450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D458AC76-C629-43A1-8BB7-54E352502145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8175" y="10691941"/>
          <a:ext cx="1543050" cy="604709"/>
        </a:xfrm>
        <a:prstGeom prst="rect">
          <a:avLst/>
        </a:prstGeom>
      </xdr:spPr>
    </xdr:pic>
    <xdr:clientData/>
  </xdr:twoCellAnchor>
</xdr:wsDr>
</file>

<file path=xl/drawings/drawing14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447675</xdr:colOff>
      <xdr:row>54</xdr:row>
      <xdr:rowOff>138241</xdr:rowOff>
    </xdr:from>
    <xdr:to>
      <xdr:col>3</xdr:col>
      <xdr:colOff>371475</xdr:colOff>
      <xdr:row>57</xdr:row>
      <xdr:rowOff>171450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25B995ED-4CD6-4552-A655-BCBA597403F1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8175" y="10691941"/>
          <a:ext cx="1543050" cy="604709"/>
        </a:xfrm>
        <a:prstGeom prst="rect">
          <a:avLst/>
        </a:prstGeom>
      </xdr:spPr>
    </xdr:pic>
    <xdr:clientData/>
  </xdr:twoCellAnchor>
</xdr:wsDr>
</file>

<file path=xl/drawings/drawing15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523875</xdr:colOff>
      <xdr:row>50</xdr:row>
      <xdr:rowOff>47625</xdr:rowOff>
    </xdr:from>
    <xdr:to>
      <xdr:col>3</xdr:col>
      <xdr:colOff>857250</xdr:colOff>
      <xdr:row>62</xdr:row>
      <xdr:rowOff>28575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9A9A8C45-EF87-400B-A9A0-95087D45C5F5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714375" y="9820275"/>
          <a:ext cx="1952625" cy="2286000"/>
        </a:xfrm>
        <a:prstGeom prst="rect">
          <a:avLst/>
        </a:prstGeom>
      </xdr:spPr>
    </xdr:pic>
    <xdr:clientData/>
  </xdr:twoCellAnchor>
</xdr:wsDr>
</file>

<file path=xl/drawings/drawing16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704850</xdr:colOff>
      <xdr:row>54</xdr:row>
      <xdr:rowOff>66675</xdr:rowOff>
    </xdr:from>
    <xdr:to>
      <xdr:col>3</xdr:col>
      <xdr:colOff>249290</xdr:colOff>
      <xdr:row>56</xdr:row>
      <xdr:rowOff>95250</xdr:rowOff>
    </xdr:to>
    <xdr:pic>
      <xdr:nvPicPr>
        <xdr:cNvPr id="4" name="Picture 3">
          <a:extLst>
            <a:ext uri="{FF2B5EF4-FFF2-40B4-BE49-F238E27FC236}">
              <a16:creationId xmlns:a16="http://schemas.microsoft.com/office/drawing/2014/main" id="{51D3A7FF-AF7C-4D76-8D6E-E406B1C3BB29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95350" y="10620375"/>
          <a:ext cx="1163690" cy="409575"/>
        </a:xfrm>
        <a:prstGeom prst="rect">
          <a:avLst/>
        </a:prstGeom>
      </xdr:spPr>
    </xdr:pic>
    <xdr:clientData/>
  </xdr:twoCellAnchor>
</xdr:wsDr>
</file>

<file path=xl/drawings/drawing17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447675</xdr:colOff>
      <xdr:row>54</xdr:row>
      <xdr:rowOff>138241</xdr:rowOff>
    </xdr:from>
    <xdr:to>
      <xdr:col>3</xdr:col>
      <xdr:colOff>371475</xdr:colOff>
      <xdr:row>57</xdr:row>
      <xdr:rowOff>171450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59C693C4-FAC4-41EE-B18B-979A6F2E5753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8175" y="10691941"/>
          <a:ext cx="1543050" cy="604709"/>
        </a:xfrm>
        <a:prstGeom prst="rect">
          <a:avLst/>
        </a:prstGeom>
      </xdr:spPr>
    </xdr:pic>
    <xdr:clientData/>
  </xdr:twoCellAnchor>
</xdr:wsDr>
</file>

<file path=xl/drawings/drawing18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447675</xdr:colOff>
      <xdr:row>54</xdr:row>
      <xdr:rowOff>138241</xdr:rowOff>
    </xdr:from>
    <xdr:to>
      <xdr:col>3</xdr:col>
      <xdr:colOff>371475</xdr:colOff>
      <xdr:row>57</xdr:row>
      <xdr:rowOff>171450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8DE7049C-F98E-4B41-89AF-1689C52D6688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8175" y="10691941"/>
          <a:ext cx="1543050" cy="604709"/>
        </a:xfrm>
        <a:prstGeom prst="rect">
          <a:avLst/>
        </a:prstGeom>
      </xdr:spPr>
    </xdr:pic>
    <xdr:clientData/>
  </xdr:twoCellAnchor>
</xdr:wsDr>
</file>

<file path=xl/drawings/drawing19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523875</xdr:colOff>
      <xdr:row>50</xdr:row>
      <xdr:rowOff>47625</xdr:rowOff>
    </xdr:from>
    <xdr:to>
      <xdr:col>3</xdr:col>
      <xdr:colOff>857250</xdr:colOff>
      <xdr:row>62</xdr:row>
      <xdr:rowOff>28575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5584E7E9-0C85-4737-8843-8412861B6497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714375" y="9820275"/>
          <a:ext cx="1952625" cy="2286000"/>
        </a:xfrm>
        <a:prstGeom prst="rect">
          <a:avLst/>
        </a:prstGeom>
      </xdr:spPr>
    </xdr:pic>
    <xdr:clientData/>
  </xdr:twoCellAnchor>
</xdr:wsDr>
</file>

<file path=xl/drawings/drawing20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171450</xdr:colOff>
      <xdr:row>48</xdr:row>
      <xdr:rowOff>161925</xdr:rowOff>
    </xdr:from>
    <xdr:to>
      <xdr:col>3</xdr:col>
      <xdr:colOff>695325</xdr:colOff>
      <xdr:row>63</xdr:row>
      <xdr:rowOff>122175</xdr:rowOff>
    </xdr:to>
    <xdr:pic>
      <xdr:nvPicPr>
        <xdr:cNvPr id="3" name="Picture 2">
          <a:extLst>
            <a:ext uri="{FF2B5EF4-FFF2-40B4-BE49-F238E27FC236}">
              <a16:creationId xmlns:a16="http://schemas.microsoft.com/office/drawing/2014/main" id="{F1C5720D-8A62-4EB8-8168-5A59DB54BB2E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361950" y="9534525"/>
          <a:ext cx="2143125" cy="2855850"/>
        </a:xfrm>
        <a:prstGeom prst="rect">
          <a:avLst/>
        </a:prstGeom>
      </xdr:spPr>
    </xdr:pic>
    <xdr:clientData/>
  </xdr:twoCellAnchor>
</xdr:wsDr>
</file>

<file path=xl/drawings/drawing21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447675</xdr:colOff>
      <xdr:row>54</xdr:row>
      <xdr:rowOff>138241</xdr:rowOff>
    </xdr:from>
    <xdr:to>
      <xdr:col>3</xdr:col>
      <xdr:colOff>371475</xdr:colOff>
      <xdr:row>57</xdr:row>
      <xdr:rowOff>171450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81051B88-79AF-4982-8334-23B4D9A168EE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8175" y="10691941"/>
          <a:ext cx="1543050" cy="604709"/>
        </a:xfrm>
        <a:prstGeom prst="rect">
          <a:avLst/>
        </a:prstGeom>
      </xdr:spPr>
    </xdr:pic>
    <xdr:clientData/>
  </xdr:twoCellAnchor>
</xdr:wsDr>
</file>

<file path=xl/drawings/drawing22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447675</xdr:colOff>
      <xdr:row>54</xdr:row>
      <xdr:rowOff>138241</xdr:rowOff>
    </xdr:from>
    <xdr:to>
      <xdr:col>3</xdr:col>
      <xdr:colOff>371475</xdr:colOff>
      <xdr:row>57</xdr:row>
      <xdr:rowOff>171450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90D1D365-1431-4083-9A65-86B87A8EE726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8175" y="10691941"/>
          <a:ext cx="1543050" cy="604709"/>
        </a:xfrm>
        <a:prstGeom prst="rect">
          <a:avLst/>
        </a:prstGeom>
      </xdr:spPr>
    </xdr:pic>
    <xdr:clientData/>
  </xdr:twoCellAnchor>
</xdr:wsDr>
</file>

<file path=xl/drawings/drawing23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523875</xdr:colOff>
      <xdr:row>50</xdr:row>
      <xdr:rowOff>47625</xdr:rowOff>
    </xdr:from>
    <xdr:to>
      <xdr:col>3</xdr:col>
      <xdr:colOff>857250</xdr:colOff>
      <xdr:row>62</xdr:row>
      <xdr:rowOff>28575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479EF83D-45E8-4515-85F4-061F35013788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714375" y="9820275"/>
          <a:ext cx="1952625" cy="2286000"/>
        </a:xfrm>
        <a:prstGeom prst="rect">
          <a:avLst/>
        </a:prstGeom>
      </xdr:spPr>
    </xdr:pic>
    <xdr:clientData/>
  </xdr:twoCellAnchor>
</xdr:wsDr>
</file>

<file path=xl/drawings/drawing24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657225</xdr:colOff>
      <xdr:row>54</xdr:row>
      <xdr:rowOff>57194</xdr:rowOff>
    </xdr:from>
    <xdr:to>
      <xdr:col>3</xdr:col>
      <xdr:colOff>228600</xdr:colOff>
      <xdr:row>56</xdr:row>
      <xdr:rowOff>95249</xdr:rowOff>
    </xdr:to>
    <xdr:pic>
      <xdr:nvPicPr>
        <xdr:cNvPr id="4" name="Picture 3">
          <a:extLst>
            <a:ext uri="{FF2B5EF4-FFF2-40B4-BE49-F238E27FC236}">
              <a16:creationId xmlns:a16="http://schemas.microsoft.com/office/drawing/2014/main" id="{EFFB1FCB-244B-4A26-AD3E-C54C14D9D7B6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47725" y="10610894"/>
          <a:ext cx="1190625" cy="419055"/>
        </a:xfrm>
        <a:prstGeom prst="rect">
          <a:avLst/>
        </a:prstGeom>
      </xdr:spPr>
    </xdr:pic>
    <xdr:clientData/>
  </xdr:twoCellAnchor>
</xdr:wsDr>
</file>

<file path=xl/drawings/drawing25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447675</xdr:colOff>
      <xdr:row>54</xdr:row>
      <xdr:rowOff>138241</xdr:rowOff>
    </xdr:from>
    <xdr:to>
      <xdr:col>3</xdr:col>
      <xdr:colOff>371475</xdr:colOff>
      <xdr:row>57</xdr:row>
      <xdr:rowOff>171450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0A408863-3611-4816-8F41-33468C797AC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8175" y="10691941"/>
          <a:ext cx="1543050" cy="604709"/>
        </a:xfrm>
        <a:prstGeom prst="rect">
          <a:avLst/>
        </a:prstGeom>
      </xdr:spPr>
    </xdr:pic>
    <xdr:clientData/>
  </xdr:twoCellAnchor>
</xdr:wsDr>
</file>

<file path=xl/drawings/drawing26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447675</xdr:colOff>
      <xdr:row>54</xdr:row>
      <xdr:rowOff>138241</xdr:rowOff>
    </xdr:from>
    <xdr:to>
      <xdr:col>3</xdr:col>
      <xdr:colOff>371475</xdr:colOff>
      <xdr:row>57</xdr:row>
      <xdr:rowOff>171450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034EDD0B-FEC8-4AB8-A059-51B20C25C1D5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8175" y="10691941"/>
          <a:ext cx="1543050" cy="604709"/>
        </a:xfrm>
        <a:prstGeom prst="rect">
          <a:avLst/>
        </a:prstGeom>
      </xdr:spPr>
    </xdr:pic>
    <xdr:clientData/>
  </xdr:twoCellAnchor>
</xdr:wsDr>
</file>

<file path=xl/drawings/drawing27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523875</xdr:colOff>
      <xdr:row>50</xdr:row>
      <xdr:rowOff>47625</xdr:rowOff>
    </xdr:from>
    <xdr:to>
      <xdr:col>3</xdr:col>
      <xdr:colOff>857250</xdr:colOff>
      <xdr:row>62</xdr:row>
      <xdr:rowOff>28575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A1C6F38C-020F-4A1A-B650-75978B25E832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714375" y="9820275"/>
          <a:ext cx="1952625" cy="2286000"/>
        </a:xfrm>
        <a:prstGeom prst="rect">
          <a:avLst/>
        </a:prstGeom>
      </xdr:spPr>
    </xdr:pic>
    <xdr:clientData/>
  </xdr:twoCellAnchor>
</xdr:wsDr>
</file>

<file path=xl/drawings/drawing28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733426</xdr:colOff>
      <xdr:row>54</xdr:row>
      <xdr:rowOff>85725</xdr:rowOff>
    </xdr:from>
    <xdr:to>
      <xdr:col>3</xdr:col>
      <xdr:colOff>142554</xdr:colOff>
      <xdr:row>56</xdr:row>
      <xdr:rowOff>66675</xdr:rowOff>
    </xdr:to>
    <xdr:pic>
      <xdr:nvPicPr>
        <xdr:cNvPr id="4" name="Picture 3">
          <a:extLst>
            <a:ext uri="{FF2B5EF4-FFF2-40B4-BE49-F238E27FC236}">
              <a16:creationId xmlns:a16="http://schemas.microsoft.com/office/drawing/2014/main" id="{DDBD1BAE-34E5-46F8-9573-3EBD7E95F664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923926" y="10639425"/>
          <a:ext cx="1028378" cy="361950"/>
        </a:xfrm>
        <a:prstGeom prst="rect">
          <a:avLst/>
        </a:prstGeom>
      </xdr:spPr>
    </xdr:pic>
    <xdr:clientData/>
  </xdr:twoCellAnchor>
</xdr:wsDr>
</file>

<file path=xl/drawings/drawing29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447675</xdr:colOff>
      <xdr:row>54</xdr:row>
      <xdr:rowOff>138241</xdr:rowOff>
    </xdr:from>
    <xdr:to>
      <xdr:col>3</xdr:col>
      <xdr:colOff>371475</xdr:colOff>
      <xdr:row>57</xdr:row>
      <xdr:rowOff>171450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A3AA63F1-9DEC-4502-ADEE-10A63E3FE56B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8175" y="10691941"/>
          <a:ext cx="1543050" cy="604709"/>
        </a:xfrm>
        <a:prstGeom prst="rect">
          <a:avLst/>
        </a:prstGeom>
      </xdr:spPr>
    </xdr:pic>
    <xdr:clientData/>
  </xdr:twoCellAnchor>
</xdr:wsDr>
</file>

<file path=xl/drawings/drawing30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447675</xdr:colOff>
      <xdr:row>54</xdr:row>
      <xdr:rowOff>138241</xdr:rowOff>
    </xdr:from>
    <xdr:to>
      <xdr:col>3</xdr:col>
      <xdr:colOff>371475</xdr:colOff>
      <xdr:row>57</xdr:row>
      <xdr:rowOff>171450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07B4F60E-69FC-4315-8D37-B2A76BAB31A4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8175" y="10691941"/>
          <a:ext cx="1543050" cy="604709"/>
        </a:xfrm>
        <a:prstGeom prst="rect">
          <a:avLst/>
        </a:prstGeom>
      </xdr:spPr>
    </xdr:pic>
    <xdr:clientData/>
  </xdr:twoCellAnchor>
</xdr:wsDr>
</file>

<file path=xl/drawings/drawing31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523875</xdr:colOff>
      <xdr:row>50</xdr:row>
      <xdr:rowOff>47625</xdr:rowOff>
    </xdr:from>
    <xdr:to>
      <xdr:col>3</xdr:col>
      <xdr:colOff>857250</xdr:colOff>
      <xdr:row>62</xdr:row>
      <xdr:rowOff>28575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21A2E33B-B68A-48DE-B1E3-2648167613B1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714375" y="9820275"/>
          <a:ext cx="1952625" cy="2286000"/>
        </a:xfrm>
        <a:prstGeom prst="rect">
          <a:avLst/>
        </a:prstGeom>
      </xdr:spPr>
    </xdr:pic>
    <xdr:clientData/>
  </xdr:twoCellAnchor>
</xdr:wsDr>
</file>

<file path=xl/drawings/drawing32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657226</xdr:colOff>
      <xdr:row>54</xdr:row>
      <xdr:rowOff>11857</xdr:rowOff>
    </xdr:from>
    <xdr:to>
      <xdr:col>3</xdr:col>
      <xdr:colOff>276226</xdr:colOff>
      <xdr:row>56</xdr:row>
      <xdr:rowOff>66674</xdr:rowOff>
    </xdr:to>
    <xdr:pic>
      <xdr:nvPicPr>
        <xdr:cNvPr id="4" name="Picture 3">
          <a:extLst>
            <a:ext uri="{FF2B5EF4-FFF2-40B4-BE49-F238E27FC236}">
              <a16:creationId xmlns:a16="http://schemas.microsoft.com/office/drawing/2014/main" id="{D9F3D77A-FC41-4725-88F8-C3CED6E7A0DF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47726" y="10565557"/>
          <a:ext cx="1238250" cy="435817"/>
        </a:xfrm>
        <a:prstGeom prst="rect">
          <a:avLst/>
        </a:prstGeom>
      </xdr:spPr>
    </xdr:pic>
    <xdr:clientData/>
  </xdr:twoCellAnchor>
</xdr:wsDr>
</file>

<file path=xl/drawings/drawing33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447675</xdr:colOff>
      <xdr:row>54</xdr:row>
      <xdr:rowOff>138241</xdr:rowOff>
    </xdr:from>
    <xdr:to>
      <xdr:col>3</xdr:col>
      <xdr:colOff>371475</xdr:colOff>
      <xdr:row>57</xdr:row>
      <xdr:rowOff>171450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F3F42240-E0BD-412B-89FD-BC0F2CD281AD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8175" y="10691941"/>
          <a:ext cx="1543050" cy="604709"/>
        </a:xfrm>
        <a:prstGeom prst="rect">
          <a:avLst/>
        </a:prstGeom>
      </xdr:spPr>
    </xdr:pic>
    <xdr:clientData/>
  </xdr:twoCellAnchor>
</xdr:wsDr>
</file>

<file path=xl/drawings/drawing34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447675</xdr:colOff>
      <xdr:row>54</xdr:row>
      <xdr:rowOff>138241</xdr:rowOff>
    </xdr:from>
    <xdr:to>
      <xdr:col>3</xdr:col>
      <xdr:colOff>371475</xdr:colOff>
      <xdr:row>57</xdr:row>
      <xdr:rowOff>171450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910C3937-2806-4482-AEFF-27D23C540E27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8175" y="10691941"/>
          <a:ext cx="1543050" cy="604709"/>
        </a:xfrm>
        <a:prstGeom prst="rect">
          <a:avLst/>
        </a:prstGeom>
      </xdr:spPr>
    </xdr:pic>
    <xdr:clientData/>
  </xdr:twoCellAnchor>
</xdr:wsDr>
</file>

<file path=xl/drawings/drawing35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523875</xdr:colOff>
      <xdr:row>50</xdr:row>
      <xdr:rowOff>47625</xdr:rowOff>
    </xdr:from>
    <xdr:to>
      <xdr:col>3</xdr:col>
      <xdr:colOff>857250</xdr:colOff>
      <xdr:row>62</xdr:row>
      <xdr:rowOff>28575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B551A2B6-4068-4EA6-B55F-C2E5E1FEDE34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714375" y="9820275"/>
          <a:ext cx="1952625" cy="2286000"/>
        </a:xfrm>
        <a:prstGeom prst="rect">
          <a:avLst/>
        </a:prstGeom>
      </xdr:spPr>
    </xdr:pic>
    <xdr:clientData/>
  </xdr:twoCellAnchor>
</xdr:wsDr>
</file>

<file path=xl/drawings/drawing36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695325</xdr:colOff>
      <xdr:row>54</xdr:row>
      <xdr:rowOff>42029</xdr:rowOff>
    </xdr:from>
    <xdr:to>
      <xdr:col>3</xdr:col>
      <xdr:colOff>228600</xdr:colOff>
      <xdr:row>56</xdr:row>
      <xdr:rowOff>66674</xdr:rowOff>
    </xdr:to>
    <xdr:pic>
      <xdr:nvPicPr>
        <xdr:cNvPr id="4" name="Picture 3">
          <a:extLst>
            <a:ext uri="{FF2B5EF4-FFF2-40B4-BE49-F238E27FC236}">
              <a16:creationId xmlns:a16="http://schemas.microsoft.com/office/drawing/2014/main" id="{E09C20FA-8E0B-4ECC-A880-F1E307327CD6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85825" y="10595729"/>
          <a:ext cx="1152525" cy="405645"/>
        </a:xfrm>
        <a:prstGeom prst="rect">
          <a:avLst/>
        </a:prstGeom>
      </xdr:spPr>
    </xdr:pic>
    <xdr:clientData/>
  </xdr:twoCellAnchor>
</xdr:wsDr>
</file>

<file path=xl/drawings/drawing37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447675</xdr:colOff>
      <xdr:row>54</xdr:row>
      <xdr:rowOff>138241</xdr:rowOff>
    </xdr:from>
    <xdr:to>
      <xdr:col>3</xdr:col>
      <xdr:colOff>371475</xdr:colOff>
      <xdr:row>57</xdr:row>
      <xdr:rowOff>171450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224F34A6-7ACE-4179-815C-44D3FF2356C2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8175" y="10691941"/>
          <a:ext cx="1543050" cy="604709"/>
        </a:xfrm>
        <a:prstGeom prst="rect">
          <a:avLst/>
        </a:prstGeom>
      </xdr:spPr>
    </xdr:pic>
    <xdr:clientData/>
  </xdr:twoCellAnchor>
</xdr:wsDr>
</file>

<file path=xl/drawings/drawing38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447675</xdr:colOff>
      <xdr:row>54</xdr:row>
      <xdr:rowOff>138241</xdr:rowOff>
    </xdr:from>
    <xdr:to>
      <xdr:col>3</xdr:col>
      <xdr:colOff>371475</xdr:colOff>
      <xdr:row>57</xdr:row>
      <xdr:rowOff>171450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9CA7BF58-0120-4DCB-B1F1-029A0D5BAA42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8175" y="10691941"/>
          <a:ext cx="1543050" cy="604709"/>
        </a:xfrm>
        <a:prstGeom prst="rect">
          <a:avLst/>
        </a:prstGeom>
      </xdr:spPr>
    </xdr:pic>
    <xdr:clientData/>
  </xdr:twoCellAnchor>
</xdr:wsDr>
</file>

<file path=xl/drawings/drawing39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523875</xdr:colOff>
      <xdr:row>50</xdr:row>
      <xdr:rowOff>47625</xdr:rowOff>
    </xdr:from>
    <xdr:to>
      <xdr:col>3</xdr:col>
      <xdr:colOff>857250</xdr:colOff>
      <xdr:row>62</xdr:row>
      <xdr:rowOff>28575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3A278142-DC23-4A58-A77D-477E5A5325E3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714375" y="9820275"/>
          <a:ext cx="1952625" cy="2286000"/>
        </a:xfrm>
        <a:prstGeom prst="rect">
          <a:avLst/>
        </a:prstGeom>
      </xdr:spPr>
    </xdr:pic>
    <xdr:clientData/>
  </xdr:twoCellAnchor>
</xdr:wsDr>
</file>

<file path=xl/drawings/drawing40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685800</xdr:colOff>
      <xdr:row>54</xdr:row>
      <xdr:rowOff>10260</xdr:rowOff>
    </xdr:from>
    <xdr:to>
      <xdr:col>3</xdr:col>
      <xdr:colOff>390525</xdr:colOff>
      <xdr:row>56</xdr:row>
      <xdr:rowOff>95249</xdr:rowOff>
    </xdr:to>
    <xdr:pic>
      <xdr:nvPicPr>
        <xdr:cNvPr id="4" name="Picture 3">
          <a:extLst>
            <a:ext uri="{FF2B5EF4-FFF2-40B4-BE49-F238E27FC236}">
              <a16:creationId xmlns:a16="http://schemas.microsoft.com/office/drawing/2014/main" id="{DBFA3549-530D-4B8D-BF9D-CC6DAE443FCF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76300" y="10563960"/>
          <a:ext cx="1323975" cy="465989"/>
        </a:xfrm>
        <a:prstGeom prst="rect">
          <a:avLst/>
        </a:prstGeom>
      </xdr:spPr>
    </xdr:pic>
    <xdr:clientData/>
  </xdr:twoCellAnchor>
</xdr:wsDr>
</file>

<file path=xl/drawings/drawing41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447675</xdr:colOff>
      <xdr:row>54</xdr:row>
      <xdr:rowOff>138241</xdr:rowOff>
    </xdr:from>
    <xdr:to>
      <xdr:col>3</xdr:col>
      <xdr:colOff>371475</xdr:colOff>
      <xdr:row>57</xdr:row>
      <xdr:rowOff>171450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494FC4B0-C39F-457F-B51B-F788E020AFC8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8175" y="10691941"/>
          <a:ext cx="1543050" cy="604709"/>
        </a:xfrm>
        <a:prstGeom prst="rect">
          <a:avLst/>
        </a:prstGeom>
      </xdr:spPr>
    </xdr:pic>
    <xdr:clientData/>
  </xdr:twoCellAnchor>
</xdr:wsDr>
</file>

<file path=xl/drawings/drawing42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447675</xdr:colOff>
      <xdr:row>54</xdr:row>
      <xdr:rowOff>138241</xdr:rowOff>
    </xdr:from>
    <xdr:to>
      <xdr:col>3</xdr:col>
      <xdr:colOff>371475</xdr:colOff>
      <xdr:row>57</xdr:row>
      <xdr:rowOff>171450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FE4640BE-2F17-48BB-87AF-10551FF50B34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8175" y="10691941"/>
          <a:ext cx="1543050" cy="604709"/>
        </a:xfrm>
        <a:prstGeom prst="rect">
          <a:avLst/>
        </a:prstGeom>
      </xdr:spPr>
    </xdr:pic>
    <xdr:clientData/>
  </xdr:twoCellAnchor>
</xdr:wsDr>
</file>

<file path=xl/drawings/drawing43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523875</xdr:colOff>
      <xdr:row>50</xdr:row>
      <xdr:rowOff>47625</xdr:rowOff>
    </xdr:from>
    <xdr:to>
      <xdr:col>3</xdr:col>
      <xdr:colOff>857250</xdr:colOff>
      <xdr:row>62</xdr:row>
      <xdr:rowOff>28575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4E93AC4E-9290-4D1C-A5F7-8BF187CB744D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714375" y="9820275"/>
          <a:ext cx="1952625" cy="2286000"/>
        </a:xfrm>
        <a:prstGeom prst="rect">
          <a:avLst/>
        </a:prstGeom>
      </xdr:spPr>
    </xdr:pic>
    <xdr:clientData/>
  </xdr:twoCellAnchor>
</xdr:wsDr>
</file>

<file path=xl/drawings/drawing44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704851</xdr:colOff>
      <xdr:row>54</xdr:row>
      <xdr:rowOff>76777</xdr:rowOff>
    </xdr:from>
    <xdr:to>
      <xdr:col>3</xdr:col>
      <xdr:colOff>247651</xdr:colOff>
      <xdr:row>56</xdr:row>
      <xdr:rowOff>104774</xdr:rowOff>
    </xdr:to>
    <xdr:pic>
      <xdr:nvPicPr>
        <xdr:cNvPr id="4" name="Picture 3">
          <a:extLst>
            <a:ext uri="{FF2B5EF4-FFF2-40B4-BE49-F238E27FC236}">
              <a16:creationId xmlns:a16="http://schemas.microsoft.com/office/drawing/2014/main" id="{6E7F83A5-7C45-4332-A9DB-5D15D2558372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95351" y="10630477"/>
          <a:ext cx="1162050" cy="408997"/>
        </a:xfrm>
        <a:prstGeom prst="rect">
          <a:avLst/>
        </a:prstGeom>
      </xdr:spPr>
    </xdr:pic>
    <xdr:clientData/>
  </xdr:twoCellAnchor>
</xdr:wsDr>
</file>

<file path=xl/drawings/drawing45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447675</xdr:colOff>
      <xdr:row>54</xdr:row>
      <xdr:rowOff>138241</xdr:rowOff>
    </xdr:from>
    <xdr:to>
      <xdr:col>3</xdr:col>
      <xdr:colOff>371475</xdr:colOff>
      <xdr:row>57</xdr:row>
      <xdr:rowOff>171450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D6AEF20F-9DB2-4314-B15F-1D603DFBB226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8175" y="10691941"/>
          <a:ext cx="1543050" cy="604709"/>
        </a:xfrm>
        <a:prstGeom prst="rect">
          <a:avLst/>
        </a:prstGeom>
      </xdr:spPr>
    </xdr:pic>
    <xdr:clientData/>
  </xdr:twoCellAnchor>
</xdr:wsDr>
</file>

<file path=xl/drawings/drawing46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447675</xdr:colOff>
      <xdr:row>54</xdr:row>
      <xdr:rowOff>138241</xdr:rowOff>
    </xdr:from>
    <xdr:to>
      <xdr:col>3</xdr:col>
      <xdr:colOff>371475</xdr:colOff>
      <xdr:row>57</xdr:row>
      <xdr:rowOff>171450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DE62C75D-78F9-4836-8E25-11041522AB13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8175" y="10691941"/>
          <a:ext cx="1543050" cy="604709"/>
        </a:xfrm>
        <a:prstGeom prst="rect">
          <a:avLst/>
        </a:prstGeom>
      </xdr:spPr>
    </xdr:pic>
    <xdr:clientData/>
  </xdr:twoCellAnchor>
</xdr:wsDr>
</file>

<file path=xl/drawings/drawing47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742951</xdr:colOff>
      <xdr:row>54</xdr:row>
      <xdr:rowOff>61612</xdr:rowOff>
    </xdr:from>
    <xdr:to>
      <xdr:col>3</xdr:col>
      <xdr:colOff>247651</xdr:colOff>
      <xdr:row>56</xdr:row>
      <xdr:rowOff>76200</xdr:rowOff>
    </xdr:to>
    <xdr:pic>
      <xdr:nvPicPr>
        <xdr:cNvPr id="4" name="Picture 3">
          <a:extLst>
            <a:ext uri="{FF2B5EF4-FFF2-40B4-BE49-F238E27FC236}">
              <a16:creationId xmlns:a16="http://schemas.microsoft.com/office/drawing/2014/main" id="{E31C5DA2-40B7-446B-9574-A8063F21AC2A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933451" y="10615312"/>
          <a:ext cx="1123950" cy="395588"/>
        </a:xfrm>
        <a:prstGeom prst="rect">
          <a:avLst/>
        </a:prstGeom>
      </xdr:spPr>
    </xdr:pic>
    <xdr:clientData/>
  </xdr:twoCellAnchor>
</xdr:wsDr>
</file>

<file path=xl/drawings/drawing48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523875</xdr:colOff>
      <xdr:row>50</xdr:row>
      <xdr:rowOff>47625</xdr:rowOff>
    </xdr:from>
    <xdr:to>
      <xdr:col>3</xdr:col>
      <xdr:colOff>857250</xdr:colOff>
      <xdr:row>62</xdr:row>
      <xdr:rowOff>28575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C49BD3CB-3714-4A3F-8282-FD6C0EA7AED9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714375" y="9820275"/>
          <a:ext cx="1952625" cy="2286000"/>
        </a:xfrm>
        <a:prstGeom prst="rect">
          <a:avLst/>
        </a:prstGeom>
      </xdr:spPr>
    </xdr:pic>
    <xdr:clientData/>
  </xdr:twoCellAnchor>
</xdr:wsDr>
</file>

<file path=xl/drawings/drawing49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447675</xdr:colOff>
      <xdr:row>54</xdr:row>
      <xdr:rowOff>138241</xdr:rowOff>
    </xdr:from>
    <xdr:to>
      <xdr:col>3</xdr:col>
      <xdr:colOff>371475</xdr:colOff>
      <xdr:row>57</xdr:row>
      <xdr:rowOff>171450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5D2CF7D0-BCB7-4C1F-A414-FD1898034856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8175" y="10691941"/>
          <a:ext cx="1543050" cy="604709"/>
        </a:xfrm>
        <a:prstGeom prst="rect">
          <a:avLst/>
        </a:prstGeom>
      </xdr:spPr>
    </xdr:pic>
    <xdr:clientData/>
  </xdr:twoCellAnchor>
</xdr:wsDr>
</file>

<file path=xl/drawings/drawing50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447675</xdr:colOff>
      <xdr:row>54</xdr:row>
      <xdr:rowOff>138241</xdr:rowOff>
    </xdr:from>
    <xdr:to>
      <xdr:col>3</xdr:col>
      <xdr:colOff>371475</xdr:colOff>
      <xdr:row>57</xdr:row>
      <xdr:rowOff>171450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3DE00534-80DC-4E69-8515-D94FC0B050D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8175" y="10691941"/>
          <a:ext cx="1543050" cy="604709"/>
        </a:xfrm>
        <a:prstGeom prst="rect">
          <a:avLst/>
        </a:prstGeom>
      </xdr:spPr>
    </xdr:pic>
    <xdr:clientData/>
  </xdr:twoCellAnchor>
</xdr:wsDr>
</file>

<file path=xl/drawings/drawing51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523875</xdr:colOff>
      <xdr:row>50</xdr:row>
      <xdr:rowOff>47625</xdr:rowOff>
    </xdr:from>
    <xdr:to>
      <xdr:col>3</xdr:col>
      <xdr:colOff>857250</xdr:colOff>
      <xdr:row>62</xdr:row>
      <xdr:rowOff>28575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8F89CC3E-6DB7-4268-9811-433F1C430A2B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714375" y="9820275"/>
          <a:ext cx="1952625" cy="2286000"/>
        </a:xfrm>
        <a:prstGeom prst="rect">
          <a:avLst/>
        </a:prstGeom>
      </xdr:spPr>
    </xdr:pic>
    <xdr:clientData/>
  </xdr:twoCellAnchor>
</xdr:wsDr>
</file>

<file path=xl/drawings/drawing52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190500</xdr:colOff>
      <xdr:row>48</xdr:row>
      <xdr:rowOff>180975</xdr:rowOff>
    </xdr:from>
    <xdr:to>
      <xdr:col>3</xdr:col>
      <xdr:colOff>714375</xdr:colOff>
      <xdr:row>63</xdr:row>
      <xdr:rowOff>141225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7B282124-5738-4E4A-9D35-58DC489477D6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381000" y="9553575"/>
          <a:ext cx="2143125" cy="2855850"/>
        </a:xfrm>
        <a:prstGeom prst="rect">
          <a:avLst/>
        </a:prstGeom>
      </xdr:spPr>
    </xdr:pic>
    <xdr:clientData/>
  </xdr:twoCellAnchor>
</xdr:wsDr>
</file>

<file path=xl/drawings/drawing53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447675</xdr:colOff>
      <xdr:row>54</xdr:row>
      <xdr:rowOff>138241</xdr:rowOff>
    </xdr:from>
    <xdr:to>
      <xdr:col>3</xdr:col>
      <xdr:colOff>371475</xdr:colOff>
      <xdr:row>57</xdr:row>
      <xdr:rowOff>171450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D20F6879-4A8B-4516-ADCB-229DD53B5E21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8175" y="10691941"/>
          <a:ext cx="1543050" cy="604709"/>
        </a:xfrm>
        <a:prstGeom prst="rect">
          <a:avLst/>
        </a:prstGeom>
      </xdr:spPr>
    </xdr:pic>
    <xdr:clientData/>
  </xdr:twoCellAnchor>
</xdr:wsDr>
</file>

<file path=xl/drawings/drawing54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447675</xdr:colOff>
      <xdr:row>54</xdr:row>
      <xdr:rowOff>138241</xdr:rowOff>
    </xdr:from>
    <xdr:to>
      <xdr:col>3</xdr:col>
      <xdr:colOff>371475</xdr:colOff>
      <xdr:row>57</xdr:row>
      <xdr:rowOff>171450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157429C3-3FCE-4466-8011-FF45B555BC89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8175" y="10691941"/>
          <a:ext cx="1543050" cy="604709"/>
        </a:xfrm>
        <a:prstGeom prst="rect">
          <a:avLst/>
        </a:prstGeom>
      </xdr:spPr>
    </xdr:pic>
    <xdr:clientData/>
  </xdr:twoCellAnchor>
</xdr:wsDr>
</file>

<file path=xl/drawings/drawing55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523875</xdr:colOff>
      <xdr:row>50</xdr:row>
      <xdr:rowOff>47625</xdr:rowOff>
    </xdr:from>
    <xdr:to>
      <xdr:col>3</xdr:col>
      <xdr:colOff>857250</xdr:colOff>
      <xdr:row>62</xdr:row>
      <xdr:rowOff>28575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6BEB515F-7F4D-4A37-93B5-363FBCB20418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714375" y="9820275"/>
          <a:ext cx="1952625" cy="2286000"/>
        </a:xfrm>
        <a:prstGeom prst="rect">
          <a:avLst/>
        </a:prstGeom>
      </xdr:spPr>
    </xdr:pic>
    <xdr:clientData/>
  </xdr:twoCellAnchor>
</xdr:wsDr>
</file>

<file path=xl/drawings/drawing56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190500</xdr:colOff>
      <xdr:row>48</xdr:row>
      <xdr:rowOff>180975</xdr:rowOff>
    </xdr:from>
    <xdr:to>
      <xdr:col>3</xdr:col>
      <xdr:colOff>714375</xdr:colOff>
      <xdr:row>63</xdr:row>
      <xdr:rowOff>141225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D66251E4-A9F0-4DFA-92A4-1298CAF41A26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381000" y="9553575"/>
          <a:ext cx="2143125" cy="2855850"/>
        </a:xfrm>
        <a:prstGeom prst="rect">
          <a:avLst/>
        </a:prstGeom>
      </xdr:spPr>
    </xdr:pic>
    <xdr:clientData/>
  </xdr:twoCellAnchor>
</xdr:wsDr>
</file>

<file path=xl/drawings/drawing57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447675</xdr:colOff>
      <xdr:row>54</xdr:row>
      <xdr:rowOff>138241</xdr:rowOff>
    </xdr:from>
    <xdr:to>
      <xdr:col>3</xdr:col>
      <xdr:colOff>371475</xdr:colOff>
      <xdr:row>57</xdr:row>
      <xdr:rowOff>171450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55436F60-1879-4B6F-932E-F43B3911C398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8175" y="10691941"/>
          <a:ext cx="1543050" cy="604709"/>
        </a:xfrm>
        <a:prstGeom prst="rect">
          <a:avLst/>
        </a:prstGeom>
      </xdr:spPr>
    </xdr:pic>
    <xdr:clientData/>
  </xdr:twoCellAnchor>
</xdr:wsDr>
</file>

<file path=xl/drawings/drawing58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447675</xdr:colOff>
      <xdr:row>54</xdr:row>
      <xdr:rowOff>138241</xdr:rowOff>
    </xdr:from>
    <xdr:to>
      <xdr:col>3</xdr:col>
      <xdr:colOff>371475</xdr:colOff>
      <xdr:row>57</xdr:row>
      <xdr:rowOff>171450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1C857C38-72A4-48C1-B1F4-1C774B460CAC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8175" y="10691941"/>
          <a:ext cx="1543050" cy="604709"/>
        </a:xfrm>
        <a:prstGeom prst="rect">
          <a:avLst/>
        </a:prstGeom>
      </xdr:spPr>
    </xdr:pic>
    <xdr:clientData/>
  </xdr:twoCellAnchor>
</xdr:wsDr>
</file>

<file path=xl/drawings/drawing59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523875</xdr:colOff>
      <xdr:row>50</xdr:row>
      <xdr:rowOff>47625</xdr:rowOff>
    </xdr:from>
    <xdr:to>
      <xdr:col>3</xdr:col>
      <xdr:colOff>857250</xdr:colOff>
      <xdr:row>62</xdr:row>
      <xdr:rowOff>28575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55108557-9DAB-4412-9692-2083719BB7D1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714375" y="9820275"/>
          <a:ext cx="1952625" cy="2286000"/>
        </a:xfrm>
        <a:prstGeom prst="rect">
          <a:avLst/>
        </a:prstGeom>
      </xdr:spPr>
    </xdr:pic>
    <xdr:clientData/>
  </xdr:twoCellAnchor>
</xdr:wsDr>
</file>

<file path=xl/drawings/drawing60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190500</xdr:colOff>
      <xdr:row>48</xdr:row>
      <xdr:rowOff>180975</xdr:rowOff>
    </xdr:from>
    <xdr:to>
      <xdr:col>3</xdr:col>
      <xdr:colOff>714375</xdr:colOff>
      <xdr:row>63</xdr:row>
      <xdr:rowOff>141225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3AAD9C55-C613-4CF8-9729-113D667DF1A4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381000" y="9553575"/>
          <a:ext cx="2143125" cy="2855850"/>
        </a:xfrm>
        <a:prstGeom prst="rect">
          <a:avLst/>
        </a:prstGeom>
      </xdr:spPr>
    </xdr:pic>
    <xdr:clientData/>
  </xdr:twoCellAnchor>
</xdr:wsDr>
</file>

<file path=xl/drawings/drawing61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447675</xdr:colOff>
      <xdr:row>54</xdr:row>
      <xdr:rowOff>138241</xdr:rowOff>
    </xdr:from>
    <xdr:to>
      <xdr:col>3</xdr:col>
      <xdr:colOff>371475</xdr:colOff>
      <xdr:row>57</xdr:row>
      <xdr:rowOff>171450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8317EAD4-86BA-47BC-B84B-BE2AF91E24CA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8175" y="10691941"/>
          <a:ext cx="1543050" cy="604709"/>
        </a:xfrm>
        <a:prstGeom prst="rect">
          <a:avLst/>
        </a:prstGeom>
      </xdr:spPr>
    </xdr:pic>
    <xdr:clientData/>
  </xdr:twoCellAnchor>
</xdr:wsDr>
</file>

<file path=xl/drawings/drawing62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447675</xdr:colOff>
      <xdr:row>54</xdr:row>
      <xdr:rowOff>138241</xdr:rowOff>
    </xdr:from>
    <xdr:to>
      <xdr:col>3</xdr:col>
      <xdr:colOff>371475</xdr:colOff>
      <xdr:row>57</xdr:row>
      <xdr:rowOff>171450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5AA9D9A0-C979-456F-836B-822B280DD0F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8175" y="10691941"/>
          <a:ext cx="1543050" cy="604709"/>
        </a:xfrm>
        <a:prstGeom prst="rect">
          <a:avLst/>
        </a:prstGeom>
      </xdr:spPr>
    </xdr:pic>
    <xdr:clientData/>
  </xdr:twoCellAnchor>
</xdr:wsDr>
</file>

<file path=xl/drawings/drawing63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523875</xdr:colOff>
      <xdr:row>50</xdr:row>
      <xdr:rowOff>47625</xdr:rowOff>
    </xdr:from>
    <xdr:to>
      <xdr:col>3</xdr:col>
      <xdr:colOff>857250</xdr:colOff>
      <xdr:row>62</xdr:row>
      <xdr:rowOff>28575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824F27C8-E323-4E58-A05F-792F898FA9D2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714375" y="9820275"/>
          <a:ext cx="1952625" cy="2286000"/>
        </a:xfrm>
        <a:prstGeom prst="rect">
          <a:avLst/>
        </a:prstGeom>
      </xdr:spPr>
    </xdr:pic>
    <xdr:clientData/>
  </xdr:twoCellAnchor>
</xdr:wsDr>
</file>

<file path=xl/drawings/drawing64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190500</xdr:colOff>
      <xdr:row>48</xdr:row>
      <xdr:rowOff>180975</xdr:rowOff>
    </xdr:from>
    <xdr:to>
      <xdr:col>3</xdr:col>
      <xdr:colOff>714375</xdr:colOff>
      <xdr:row>63</xdr:row>
      <xdr:rowOff>141225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FEF3E05A-9FA7-41CF-BDDE-DF47A528A3C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381000" y="9553575"/>
          <a:ext cx="2143125" cy="2855850"/>
        </a:xfrm>
        <a:prstGeom prst="rect">
          <a:avLst/>
        </a:prstGeom>
      </xdr:spPr>
    </xdr:pic>
    <xdr:clientData/>
  </xdr:twoCellAnchor>
</xdr:wsDr>
</file>

<file path=xl/drawings/drawing65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447675</xdr:colOff>
      <xdr:row>54</xdr:row>
      <xdr:rowOff>138241</xdr:rowOff>
    </xdr:from>
    <xdr:to>
      <xdr:col>3</xdr:col>
      <xdr:colOff>371475</xdr:colOff>
      <xdr:row>57</xdr:row>
      <xdr:rowOff>171450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6518F800-CFBF-4EAF-9E5B-0A0CF2A39641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8175" y="10691941"/>
          <a:ext cx="1543050" cy="604709"/>
        </a:xfrm>
        <a:prstGeom prst="rect">
          <a:avLst/>
        </a:prstGeom>
      </xdr:spPr>
    </xdr:pic>
    <xdr:clientData/>
  </xdr:twoCellAnchor>
</xdr:wsDr>
</file>

<file path=xl/drawings/drawing66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447675</xdr:colOff>
      <xdr:row>54</xdr:row>
      <xdr:rowOff>138241</xdr:rowOff>
    </xdr:from>
    <xdr:to>
      <xdr:col>3</xdr:col>
      <xdr:colOff>371475</xdr:colOff>
      <xdr:row>57</xdr:row>
      <xdr:rowOff>171450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25110242-D2ED-44A4-8F8C-1ACF00B5A16D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8175" y="10691941"/>
          <a:ext cx="1543050" cy="604709"/>
        </a:xfrm>
        <a:prstGeom prst="rect">
          <a:avLst/>
        </a:prstGeom>
      </xdr:spPr>
    </xdr:pic>
    <xdr:clientData/>
  </xdr:twoCellAnchor>
</xdr:wsDr>
</file>

<file path=xl/drawings/drawing67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523875</xdr:colOff>
      <xdr:row>50</xdr:row>
      <xdr:rowOff>47625</xdr:rowOff>
    </xdr:from>
    <xdr:to>
      <xdr:col>3</xdr:col>
      <xdr:colOff>857250</xdr:colOff>
      <xdr:row>62</xdr:row>
      <xdr:rowOff>28575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9EF9C5A9-1E99-4353-8BB2-17FA23E88F3C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714375" y="9820275"/>
          <a:ext cx="1952625" cy="2286000"/>
        </a:xfrm>
        <a:prstGeom prst="rect">
          <a:avLst/>
        </a:prstGeom>
      </xdr:spPr>
    </xdr:pic>
    <xdr:clientData/>
  </xdr:twoCellAnchor>
</xdr:wsDr>
</file>

<file path=xl/drawings/drawing68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190500</xdr:colOff>
      <xdr:row>48</xdr:row>
      <xdr:rowOff>180975</xdr:rowOff>
    </xdr:from>
    <xdr:to>
      <xdr:col>3</xdr:col>
      <xdr:colOff>714375</xdr:colOff>
      <xdr:row>63</xdr:row>
      <xdr:rowOff>141225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511A0F1B-2F25-45A9-A8E7-B4E47299E4C5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381000" y="9553575"/>
          <a:ext cx="2143125" cy="2855850"/>
        </a:xfrm>
        <a:prstGeom prst="rect">
          <a:avLst/>
        </a:prstGeom>
      </xdr:spPr>
    </xdr:pic>
    <xdr:clientData/>
  </xdr:twoCellAnchor>
</xdr:wsDr>
</file>

<file path=xl/drawings/drawing69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447675</xdr:colOff>
      <xdr:row>54</xdr:row>
      <xdr:rowOff>138241</xdr:rowOff>
    </xdr:from>
    <xdr:to>
      <xdr:col>3</xdr:col>
      <xdr:colOff>371475</xdr:colOff>
      <xdr:row>57</xdr:row>
      <xdr:rowOff>171450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8532791C-D9B1-4CBE-83D7-DBF87CF59F94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8175" y="10691941"/>
          <a:ext cx="1543050" cy="604709"/>
        </a:xfrm>
        <a:prstGeom prst="rect">
          <a:avLst/>
        </a:prstGeom>
      </xdr:spPr>
    </xdr:pic>
    <xdr:clientData/>
  </xdr:twoCellAnchor>
</xdr:wsDr>
</file>

<file path=xl/drawings/drawing70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447675</xdr:colOff>
      <xdr:row>54</xdr:row>
      <xdr:rowOff>138241</xdr:rowOff>
    </xdr:from>
    <xdr:to>
      <xdr:col>3</xdr:col>
      <xdr:colOff>371475</xdr:colOff>
      <xdr:row>57</xdr:row>
      <xdr:rowOff>171450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6BE390D1-A479-44B3-B0E2-FC8008E2215D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8175" y="10691941"/>
          <a:ext cx="1543050" cy="604709"/>
        </a:xfrm>
        <a:prstGeom prst="rect">
          <a:avLst/>
        </a:prstGeom>
      </xdr:spPr>
    </xdr:pic>
    <xdr:clientData/>
  </xdr:twoCellAnchor>
</xdr:wsDr>
</file>

<file path=xl/drawings/drawing71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523875</xdr:colOff>
      <xdr:row>50</xdr:row>
      <xdr:rowOff>47625</xdr:rowOff>
    </xdr:from>
    <xdr:to>
      <xdr:col>3</xdr:col>
      <xdr:colOff>857250</xdr:colOff>
      <xdr:row>62</xdr:row>
      <xdr:rowOff>28575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32841A0B-5E0B-4B6A-84E1-2C1B960E06E8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714375" y="9820275"/>
          <a:ext cx="1952625" cy="2286000"/>
        </a:xfrm>
        <a:prstGeom prst="rect">
          <a:avLst/>
        </a:prstGeom>
      </xdr:spPr>
    </xdr:pic>
    <xdr:clientData/>
  </xdr:twoCellAnchor>
</xdr:wsDr>
</file>

<file path=xl/drawings/drawing72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190500</xdr:colOff>
      <xdr:row>48</xdr:row>
      <xdr:rowOff>180975</xdr:rowOff>
    </xdr:from>
    <xdr:to>
      <xdr:col>3</xdr:col>
      <xdr:colOff>714375</xdr:colOff>
      <xdr:row>63</xdr:row>
      <xdr:rowOff>141225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67C7DCC6-009B-436C-A736-6646AC42507A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381000" y="9553575"/>
          <a:ext cx="2143125" cy="2855850"/>
        </a:xfrm>
        <a:prstGeom prst="rect">
          <a:avLst/>
        </a:prstGeom>
      </xdr:spPr>
    </xdr:pic>
    <xdr:clientData/>
  </xdr:twoCellAnchor>
</xdr:wsDr>
</file>

<file path=xl/drawings/drawing73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447675</xdr:colOff>
      <xdr:row>54</xdr:row>
      <xdr:rowOff>138241</xdr:rowOff>
    </xdr:from>
    <xdr:to>
      <xdr:col>3</xdr:col>
      <xdr:colOff>371475</xdr:colOff>
      <xdr:row>57</xdr:row>
      <xdr:rowOff>171450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1F13549F-F7C4-4E44-B3A4-3CFC5F655748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8175" y="10691941"/>
          <a:ext cx="1543050" cy="604709"/>
        </a:xfrm>
        <a:prstGeom prst="rect">
          <a:avLst/>
        </a:prstGeom>
      </xdr:spPr>
    </xdr:pic>
    <xdr:clientData/>
  </xdr:twoCellAnchor>
</xdr:wsDr>
</file>

<file path=xl/drawings/drawing74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447675</xdr:colOff>
      <xdr:row>54</xdr:row>
      <xdr:rowOff>138241</xdr:rowOff>
    </xdr:from>
    <xdr:to>
      <xdr:col>3</xdr:col>
      <xdr:colOff>371475</xdr:colOff>
      <xdr:row>57</xdr:row>
      <xdr:rowOff>171450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64E412AA-A467-4A29-844A-FCD870D2F822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8175" y="10691941"/>
          <a:ext cx="1543050" cy="604709"/>
        </a:xfrm>
        <a:prstGeom prst="rect">
          <a:avLst/>
        </a:prstGeom>
      </xdr:spPr>
    </xdr:pic>
    <xdr:clientData/>
  </xdr:twoCellAnchor>
</xdr:wsDr>
</file>

<file path=xl/drawings/drawing75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523875</xdr:colOff>
      <xdr:row>50</xdr:row>
      <xdr:rowOff>47625</xdr:rowOff>
    </xdr:from>
    <xdr:to>
      <xdr:col>3</xdr:col>
      <xdr:colOff>857250</xdr:colOff>
      <xdr:row>62</xdr:row>
      <xdr:rowOff>28575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1D4818A0-154F-46CD-9601-2BC3134C12CA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714375" y="9820275"/>
          <a:ext cx="1952625" cy="2286000"/>
        </a:xfrm>
        <a:prstGeom prst="rect">
          <a:avLst/>
        </a:prstGeom>
      </xdr:spPr>
    </xdr:pic>
    <xdr:clientData/>
  </xdr:twoCellAnchor>
</xdr:wsDr>
</file>

<file path=xl/drawings/drawing76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190500</xdr:colOff>
      <xdr:row>48</xdr:row>
      <xdr:rowOff>180975</xdr:rowOff>
    </xdr:from>
    <xdr:to>
      <xdr:col>3</xdr:col>
      <xdr:colOff>714375</xdr:colOff>
      <xdr:row>63</xdr:row>
      <xdr:rowOff>141225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6B2560FE-978D-48BF-8811-E478CF1F5BF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381000" y="9553575"/>
          <a:ext cx="2143125" cy="2855850"/>
        </a:xfrm>
        <a:prstGeom prst="rect">
          <a:avLst/>
        </a:prstGeom>
      </xdr:spPr>
    </xdr:pic>
    <xdr:clientData/>
  </xdr:twoCellAnchor>
</xdr:wsDr>
</file>

<file path=xl/drawings/drawing77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447675</xdr:colOff>
      <xdr:row>54</xdr:row>
      <xdr:rowOff>138241</xdr:rowOff>
    </xdr:from>
    <xdr:to>
      <xdr:col>3</xdr:col>
      <xdr:colOff>371475</xdr:colOff>
      <xdr:row>57</xdr:row>
      <xdr:rowOff>171450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B876144F-0747-4952-A518-BF7304975A91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8175" y="10691941"/>
          <a:ext cx="1543050" cy="604709"/>
        </a:xfrm>
        <a:prstGeom prst="rect">
          <a:avLst/>
        </a:prstGeom>
      </xdr:spPr>
    </xdr:pic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2.xml"/><Relationship Id="rId1" Type="http://schemas.openxmlformats.org/officeDocument/2006/relationships/printerSettings" Target="../printerSettings/printerSettings2.bin"/></Relationships>
</file>

<file path=xl/worksheets/_rels/sheet4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3.xml"/><Relationship Id="rId1" Type="http://schemas.openxmlformats.org/officeDocument/2006/relationships/printerSettings" Target="../printerSettings/printerSettings3.bin"/></Relationships>
</file>

<file path=xl/worksheets/_rels/sheet5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4.xml"/><Relationship Id="rId1" Type="http://schemas.openxmlformats.org/officeDocument/2006/relationships/printerSettings" Target="../printerSettings/printerSettings4.bin"/></Relationships>
</file>

<file path=xl/worksheets/_rels/sheet6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5.xml"/><Relationship Id="rId1" Type="http://schemas.openxmlformats.org/officeDocument/2006/relationships/printerSettings" Target="../printerSettings/printerSettings5.bin"/></Relationships>
</file>

<file path=xl/worksheets/_rels/sheet7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6.xml"/><Relationship Id="rId1" Type="http://schemas.openxmlformats.org/officeDocument/2006/relationships/printerSettings" Target="../printerSettings/printerSettings6.bin"/></Relationships>
</file>

<file path=xl/worksheets/_rels/sheet8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7.xml"/><Relationship Id="rId1" Type="http://schemas.openxmlformats.org/officeDocument/2006/relationships/printerSettings" Target="../printerSettings/printerSettings7.bin"/></Relationships>
</file>

<file path=xl/worksheets/_rels/sheet9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8.xml"/><Relationship Id="rId1" Type="http://schemas.openxmlformats.org/officeDocument/2006/relationships/printerSettings" Target="../printerSettings/printerSettings8.bin"/></Relationships>
</file>

<file path=xl/worksheets/_rels/sheet10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9.xml"/><Relationship Id="rId1" Type="http://schemas.openxmlformats.org/officeDocument/2006/relationships/printerSettings" Target="../printerSettings/printerSettings9.bin"/></Relationships>
</file>

<file path=xl/worksheets/_rels/sheet1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0.xml"/><Relationship Id="rId1" Type="http://schemas.openxmlformats.org/officeDocument/2006/relationships/printerSettings" Target="../printerSettings/printerSettings10.bin"/></Relationships>
</file>

<file path=xl/worksheets/_rels/sheet12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1.xml"/><Relationship Id="rId1" Type="http://schemas.openxmlformats.org/officeDocument/2006/relationships/printerSettings" Target="../printerSettings/printerSettings11.bin"/></Relationships>
</file>

<file path=xl/worksheets/_rels/sheet13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2.xml"/><Relationship Id="rId1" Type="http://schemas.openxmlformats.org/officeDocument/2006/relationships/printerSettings" Target="../printerSettings/printerSettings12.bin"/></Relationships>
</file>

<file path=xl/worksheets/_rels/sheet14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3.xml"/><Relationship Id="rId1" Type="http://schemas.openxmlformats.org/officeDocument/2006/relationships/printerSettings" Target="../printerSettings/printerSettings13.bin"/></Relationships>
</file>

<file path=xl/worksheets/_rels/sheet15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4.xml"/><Relationship Id="rId1" Type="http://schemas.openxmlformats.org/officeDocument/2006/relationships/printerSettings" Target="../printerSettings/printerSettings14.bin"/></Relationships>
</file>

<file path=xl/worksheets/_rels/sheet16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5.xml"/><Relationship Id="rId1" Type="http://schemas.openxmlformats.org/officeDocument/2006/relationships/printerSettings" Target="../printerSettings/printerSettings15.bin"/></Relationships>
</file>

<file path=xl/worksheets/_rels/sheet17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6.xml"/><Relationship Id="rId1" Type="http://schemas.openxmlformats.org/officeDocument/2006/relationships/printerSettings" Target="../printerSettings/printerSettings16.bin"/></Relationships>
</file>

<file path=xl/worksheets/_rels/sheet18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7.xml"/><Relationship Id="rId1" Type="http://schemas.openxmlformats.org/officeDocument/2006/relationships/printerSettings" Target="../printerSettings/printerSettings17.bin"/></Relationships>
</file>

<file path=xl/worksheets/_rels/sheet19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8.xml"/><Relationship Id="rId1" Type="http://schemas.openxmlformats.org/officeDocument/2006/relationships/printerSettings" Target="../printerSettings/printerSettings18.bin"/></Relationships>
</file>

<file path=xl/worksheets/_rels/sheet20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9.xml"/><Relationship Id="rId1" Type="http://schemas.openxmlformats.org/officeDocument/2006/relationships/printerSettings" Target="../printerSettings/printerSettings19.bin"/></Relationships>
</file>

<file path=xl/worksheets/_rels/sheet2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20.xml"/><Relationship Id="rId1" Type="http://schemas.openxmlformats.org/officeDocument/2006/relationships/printerSettings" Target="../printerSettings/printerSettings20.bin"/></Relationships>
</file>

<file path=xl/worksheets/_rels/sheet22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21.xml"/><Relationship Id="rId1" Type="http://schemas.openxmlformats.org/officeDocument/2006/relationships/printerSettings" Target="../printerSettings/printerSettings21.bin"/></Relationships>
</file>

<file path=xl/worksheets/_rels/sheet23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22.xml"/><Relationship Id="rId1" Type="http://schemas.openxmlformats.org/officeDocument/2006/relationships/printerSettings" Target="../printerSettings/printerSettings22.bin"/></Relationships>
</file>

<file path=xl/worksheets/_rels/sheet24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23.xml"/><Relationship Id="rId1" Type="http://schemas.openxmlformats.org/officeDocument/2006/relationships/printerSettings" Target="../printerSettings/printerSettings23.bin"/></Relationships>
</file>

<file path=xl/worksheets/_rels/sheet25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24.xml"/><Relationship Id="rId1" Type="http://schemas.openxmlformats.org/officeDocument/2006/relationships/printerSettings" Target="../printerSettings/printerSettings24.bin"/></Relationships>
</file>

<file path=xl/worksheets/_rels/sheet26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25.xml"/><Relationship Id="rId1" Type="http://schemas.openxmlformats.org/officeDocument/2006/relationships/printerSettings" Target="../printerSettings/printerSettings25.bin"/></Relationships>
</file>

<file path=xl/worksheets/_rels/sheet27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26.xml"/><Relationship Id="rId1" Type="http://schemas.openxmlformats.org/officeDocument/2006/relationships/printerSettings" Target="../printerSettings/printerSettings26.bin"/></Relationships>
</file>

<file path=xl/worksheets/_rels/sheet28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27.xml"/><Relationship Id="rId1" Type="http://schemas.openxmlformats.org/officeDocument/2006/relationships/printerSettings" Target="../printerSettings/printerSettings27.bin"/></Relationships>
</file>

<file path=xl/worksheets/_rels/sheet29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28.xml"/><Relationship Id="rId1" Type="http://schemas.openxmlformats.org/officeDocument/2006/relationships/printerSettings" Target="../printerSettings/printerSettings28.bin"/></Relationships>
</file>

<file path=xl/worksheets/_rels/sheet30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29.xml"/><Relationship Id="rId1" Type="http://schemas.openxmlformats.org/officeDocument/2006/relationships/printerSettings" Target="../printerSettings/printerSettings29.bin"/></Relationships>
</file>

<file path=xl/worksheets/_rels/sheet3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30.xml"/><Relationship Id="rId1" Type="http://schemas.openxmlformats.org/officeDocument/2006/relationships/printerSettings" Target="../printerSettings/printerSettings30.bin"/></Relationships>
</file>

<file path=xl/worksheets/_rels/sheet32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31.xml"/><Relationship Id="rId1" Type="http://schemas.openxmlformats.org/officeDocument/2006/relationships/printerSettings" Target="../printerSettings/printerSettings31.bin"/></Relationships>
</file>

<file path=xl/worksheets/_rels/sheet33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32.xml"/><Relationship Id="rId1" Type="http://schemas.openxmlformats.org/officeDocument/2006/relationships/printerSettings" Target="../printerSettings/printerSettings32.bin"/></Relationships>
</file>

<file path=xl/worksheets/_rels/sheet34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33.xml"/><Relationship Id="rId1" Type="http://schemas.openxmlformats.org/officeDocument/2006/relationships/printerSettings" Target="../printerSettings/printerSettings33.bin"/></Relationships>
</file>

<file path=xl/worksheets/_rels/sheet35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34.xml"/><Relationship Id="rId1" Type="http://schemas.openxmlformats.org/officeDocument/2006/relationships/printerSettings" Target="../printerSettings/printerSettings34.bin"/></Relationships>
</file>

<file path=xl/worksheets/_rels/sheet36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35.xml"/><Relationship Id="rId1" Type="http://schemas.openxmlformats.org/officeDocument/2006/relationships/printerSettings" Target="../printerSettings/printerSettings35.bin"/></Relationships>
</file>

<file path=xl/worksheets/_rels/sheet37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36.xml"/><Relationship Id="rId1" Type="http://schemas.openxmlformats.org/officeDocument/2006/relationships/printerSettings" Target="../printerSettings/printerSettings36.bin"/></Relationships>
</file>

<file path=xl/worksheets/_rels/sheet38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37.xml"/><Relationship Id="rId1" Type="http://schemas.openxmlformats.org/officeDocument/2006/relationships/printerSettings" Target="../printerSettings/printerSettings37.bin"/></Relationships>
</file>

<file path=xl/worksheets/_rels/sheet39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38.xml"/><Relationship Id="rId1" Type="http://schemas.openxmlformats.org/officeDocument/2006/relationships/printerSettings" Target="../printerSettings/printerSettings38.bin"/></Relationships>
</file>

<file path=xl/worksheets/_rels/sheet40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39.xml"/><Relationship Id="rId1" Type="http://schemas.openxmlformats.org/officeDocument/2006/relationships/printerSettings" Target="../printerSettings/printerSettings39.bin"/></Relationships>
</file>

<file path=xl/worksheets/_rels/sheet4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40.xml"/><Relationship Id="rId1" Type="http://schemas.openxmlformats.org/officeDocument/2006/relationships/printerSettings" Target="../printerSettings/printerSettings40.bin"/></Relationships>
</file>

<file path=xl/worksheets/_rels/sheet42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41.xml"/><Relationship Id="rId1" Type="http://schemas.openxmlformats.org/officeDocument/2006/relationships/printerSettings" Target="../printerSettings/printerSettings41.bin"/></Relationships>
</file>

<file path=xl/worksheets/_rels/sheet43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42.xml"/><Relationship Id="rId1" Type="http://schemas.openxmlformats.org/officeDocument/2006/relationships/printerSettings" Target="../printerSettings/printerSettings42.bin"/></Relationships>
</file>

<file path=xl/worksheets/_rels/sheet44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43.xml"/><Relationship Id="rId1" Type="http://schemas.openxmlformats.org/officeDocument/2006/relationships/printerSettings" Target="../printerSettings/printerSettings43.bin"/></Relationships>
</file>

<file path=xl/worksheets/_rels/sheet45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44.xml"/><Relationship Id="rId1" Type="http://schemas.openxmlformats.org/officeDocument/2006/relationships/printerSettings" Target="../printerSettings/printerSettings44.bin"/></Relationships>
</file>

<file path=xl/worksheets/_rels/sheet46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45.xml"/><Relationship Id="rId1" Type="http://schemas.openxmlformats.org/officeDocument/2006/relationships/printerSettings" Target="../printerSettings/printerSettings45.bin"/></Relationships>
</file>

<file path=xl/worksheets/_rels/sheet47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46.xml"/><Relationship Id="rId1" Type="http://schemas.openxmlformats.org/officeDocument/2006/relationships/printerSettings" Target="../printerSettings/printerSettings46.bin"/></Relationships>
</file>

<file path=xl/worksheets/_rels/sheet48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47.xml"/><Relationship Id="rId1" Type="http://schemas.openxmlformats.org/officeDocument/2006/relationships/printerSettings" Target="../printerSettings/printerSettings47.bin"/></Relationships>
</file>

<file path=xl/worksheets/_rels/sheet49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48.xml"/><Relationship Id="rId1" Type="http://schemas.openxmlformats.org/officeDocument/2006/relationships/printerSettings" Target="../printerSettings/printerSettings48.bin"/></Relationships>
</file>

<file path=xl/worksheets/_rels/sheet50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49.xml"/><Relationship Id="rId1" Type="http://schemas.openxmlformats.org/officeDocument/2006/relationships/printerSettings" Target="../printerSettings/printerSettings49.bin"/></Relationships>
</file>

<file path=xl/worksheets/_rels/sheet5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50.xml"/><Relationship Id="rId1" Type="http://schemas.openxmlformats.org/officeDocument/2006/relationships/printerSettings" Target="../printerSettings/printerSettings50.bin"/></Relationships>
</file>

<file path=xl/worksheets/_rels/sheet52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51.xml"/><Relationship Id="rId1" Type="http://schemas.openxmlformats.org/officeDocument/2006/relationships/printerSettings" Target="../printerSettings/printerSettings51.bin"/></Relationships>
</file>

<file path=xl/worksheets/_rels/sheet53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52.xml"/><Relationship Id="rId1" Type="http://schemas.openxmlformats.org/officeDocument/2006/relationships/printerSettings" Target="../printerSettings/printerSettings52.bin"/></Relationships>
</file>

<file path=xl/worksheets/_rels/sheet54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53.xml"/><Relationship Id="rId1" Type="http://schemas.openxmlformats.org/officeDocument/2006/relationships/printerSettings" Target="../printerSettings/printerSettings53.bin"/></Relationships>
</file>

<file path=xl/worksheets/_rels/sheet55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54.xml"/><Relationship Id="rId1" Type="http://schemas.openxmlformats.org/officeDocument/2006/relationships/printerSettings" Target="../printerSettings/printerSettings54.bin"/></Relationships>
</file>

<file path=xl/worksheets/_rels/sheet56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55.xml"/><Relationship Id="rId1" Type="http://schemas.openxmlformats.org/officeDocument/2006/relationships/printerSettings" Target="../printerSettings/printerSettings55.bin"/></Relationships>
</file>

<file path=xl/worksheets/_rels/sheet57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56.xml"/><Relationship Id="rId1" Type="http://schemas.openxmlformats.org/officeDocument/2006/relationships/printerSettings" Target="../printerSettings/printerSettings56.bin"/></Relationships>
</file>

<file path=xl/worksheets/_rels/sheet58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57.xml"/><Relationship Id="rId1" Type="http://schemas.openxmlformats.org/officeDocument/2006/relationships/printerSettings" Target="../printerSettings/printerSettings57.bin"/></Relationships>
</file>

<file path=xl/worksheets/_rels/sheet59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58.xml"/><Relationship Id="rId1" Type="http://schemas.openxmlformats.org/officeDocument/2006/relationships/printerSettings" Target="../printerSettings/printerSettings58.bin"/></Relationships>
</file>

<file path=xl/worksheets/_rels/sheet60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59.xml"/><Relationship Id="rId1" Type="http://schemas.openxmlformats.org/officeDocument/2006/relationships/printerSettings" Target="../printerSettings/printerSettings59.bin"/></Relationships>
</file>

<file path=xl/worksheets/_rels/sheet6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60.xml"/><Relationship Id="rId1" Type="http://schemas.openxmlformats.org/officeDocument/2006/relationships/printerSettings" Target="../printerSettings/printerSettings60.bin"/></Relationships>
</file>

<file path=xl/worksheets/_rels/sheet62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61.xml"/><Relationship Id="rId1" Type="http://schemas.openxmlformats.org/officeDocument/2006/relationships/printerSettings" Target="../printerSettings/printerSettings61.bin"/></Relationships>
</file>

<file path=xl/worksheets/_rels/sheet63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62.xml"/><Relationship Id="rId1" Type="http://schemas.openxmlformats.org/officeDocument/2006/relationships/printerSettings" Target="../printerSettings/printerSettings62.bin"/></Relationships>
</file>

<file path=xl/worksheets/_rels/sheet64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63.xml"/><Relationship Id="rId1" Type="http://schemas.openxmlformats.org/officeDocument/2006/relationships/printerSettings" Target="../printerSettings/printerSettings63.bin"/></Relationships>
</file>

<file path=xl/worksheets/_rels/sheet65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64.xml"/><Relationship Id="rId1" Type="http://schemas.openxmlformats.org/officeDocument/2006/relationships/printerSettings" Target="../printerSettings/printerSettings64.bin"/></Relationships>
</file>

<file path=xl/worksheets/_rels/sheet66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65.xml"/><Relationship Id="rId1" Type="http://schemas.openxmlformats.org/officeDocument/2006/relationships/printerSettings" Target="../printerSettings/printerSettings65.bin"/></Relationships>
</file>

<file path=xl/worksheets/_rels/sheet67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66.xml"/><Relationship Id="rId1" Type="http://schemas.openxmlformats.org/officeDocument/2006/relationships/printerSettings" Target="../printerSettings/printerSettings66.bin"/></Relationships>
</file>

<file path=xl/worksheets/_rels/sheet68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67.xml"/><Relationship Id="rId1" Type="http://schemas.openxmlformats.org/officeDocument/2006/relationships/printerSettings" Target="../printerSettings/printerSettings67.bin"/></Relationships>
</file>

<file path=xl/worksheets/_rels/sheet69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68.xml"/><Relationship Id="rId1" Type="http://schemas.openxmlformats.org/officeDocument/2006/relationships/printerSettings" Target="../printerSettings/printerSettings68.bin"/></Relationships>
</file>

<file path=xl/worksheets/_rels/sheet70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69.xml"/><Relationship Id="rId1" Type="http://schemas.openxmlformats.org/officeDocument/2006/relationships/printerSettings" Target="../printerSettings/printerSettings69.bin"/></Relationships>
</file>

<file path=xl/worksheets/_rels/sheet7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70.xml"/><Relationship Id="rId1" Type="http://schemas.openxmlformats.org/officeDocument/2006/relationships/printerSettings" Target="../printerSettings/printerSettings70.bin"/></Relationships>
</file>

<file path=xl/worksheets/_rels/sheet72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71.xml"/><Relationship Id="rId1" Type="http://schemas.openxmlformats.org/officeDocument/2006/relationships/printerSettings" Target="../printerSettings/printerSettings71.bin"/></Relationships>
</file>

<file path=xl/worksheets/_rels/sheet73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72.xml"/><Relationship Id="rId1" Type="http://schemas.openxmlformats.org/officeDocument/2006/relationships/printerSettings" Target="../printerSettings/printerSettings72.bin"/></Relationships>
</file>

<file path=xl/worksheets/_rels/sheet74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73.xml"/><Relationship Id="rId1" Type="http://schemas.openxmlformats.org/officeDocument/2006/relationships/printerSettings" Target="../printerSettings/printerSettings73.bin"/></Relationships>
</file>

<file path=xl/worksheets/_rels/sheet75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74.xml"/><Relationship Id="rId1" Type="http://schemas.openxmlformats.org/officeDocument/2006/relationships/printerSettings" Target="../printerSettings/printerSettings74.bin"/></Relationships>
</file>

<file path=xl/worksheets/_rels/sheet76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75.xml"/><Relationship Id="rId1" Type="http://schemas.openxmlformats.org/officeDocument/2006/relationships/printerSettings" Target="../printerSettings/printerSettings75.bin"/></Relationships>
</file>

<file path=xl/worksheets/_rels/sheet77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76.xml"/><Relationship Id="rId1" Type="http://schemas.openxmlformats.org/officeDocument/2006/relationships/printerSettings" Target="../printerSettings/printerSettings76.bin"/></Relationships>
</file>

<file path=xl/worksheets/_rels/sheet78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77.xml"/><Relationship Id="rId1" Type="http://schemas.openxmlformats.org/officeDocument/2006/relationships/printerSettings" Target="../printerSettings/printerSettings77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14E2826-7E98-4473-9814-1B8909A373CC}">
  <dimension ref="A1"/>
  <sheetViews>
    <sheetView workbookViewId="0">
      <selection activeCell="G10" sqref="G10:J11"/>
    </sheetView>
  </sheetViews>
  <sheetFormatPr defaultRowHeight="15" x14ac:dyDescent="0.25"/>
  <sheetData/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7C2A51F-0B45-4A82-8950-DF28858737EF}">
  <dimension ref="A1:S59"/>
  <sheetViews>
    <sheetView zoomScaleNormal="100" zoomScaleSheetLayoutView="85" workbookViewId="0">
      <selection activeCell="G10" sqref="G10:J11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9" x14ac:dyDescent="0.25">
      <c r="A1" t="s">
        <v>0</v>
      </c>
      <c r="N1" s="113" t="s">
        <v>1</v>
      </c>
      <c r="O1" s="113"/>
      <c r="P1" s="86" t="s">
        <v>2</v>
      </c>
      <c r="Q1" s="86" t="s">
        <v>3</v>
      </c>
      <c r="R1" s="2" t="s">
        <v>4</v>
      </c>
    </row>
    <row r="2" spans="1:19" x14ac:dyDescent="0.25">
      <c r="A2" t="s">
        <v>5</v>
      </c>
      <c r="N2" s="1"/>
    </row>
    <row r="3" spans="1:19" x14ac:dyDescent="0.25">
      <c r="N3" s="1" t="s">
        <v>6</v>
      </c>
      <c r="O3" s="4"/>
    </row>
    <row r="4" spans="1:19" x14ac:dyDescent="0.25">
      <c r="A4" s="114" t="s">
        <v>7</v>
      </c>
      <c r="B4" s="115"/>
      <c r="C4" s="115"/>
      <c r="D4" s="116"/>
      <c r="F4" s="117" t="s">
        <v>8</v>
      </c>
      <c r="G4" s="119"/>
      <c r="H4" s="121" t="s">
        <v>9</v>
      </c>
      <c r="I4" s="123"/>
      <c r="J4" s="124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9" x14ac:dyDescent="0.25">
      <c r="A5" s="127" t="s">
        <v>7</v>
      </c>
      <c r="B5" s="15" t="s">
        <v>11</v>
      </c>
      <c r="C5" s="9" t="s">
        <v>12</v>
      </c>
      <c r="D5" s="25" t="s">
        <v>13</v>
      </c>
      <c r="F5" s="118"/>
      <c r="G5" s="120"/>
      <c r="H5" s="122"/>
      <c r="I5" s="125"/>
      <c r="J5" s="126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9" ht="14.45" customHeight="1" x14ac:dyDescent="0.25">
      <c r="A6" s="128"/>
      <c r="B6" s="16"/>
      <c r="C6" s="10"/>
      <c r="D6" s="13">
        <f t="shared" ref="D6:D28" si="1">C6*L6</f>
        <v>0</v>
      </c>
      <c r="F6" s="130" t="s">
        <v>16</v>
      </c>
      <c r="G6" s="132"/>
      <c r="H6" s="133"/>
      <c r="I6" s="133"/>
      <c r="J6" s="134"/>
      <c r="K6" s="8"/>
      <c r="L6" s="6">
        <f>R42</f>
        <v>737</v>
      </c>
      <c r="O6" t="s">
        <v>17</v>
      </c>
      <c r="P6" s="4">
        <v>650</v>
      </c>
      <c r="Q6" s="4"/>
      <c r="R6" s="5">
        <f t="shared" si="0"/>
        <v>650</v>
      </c>
    </row>
    <row r="7" spans="1:19" ht="14.45" customHeight="1" x14ac:dyDescent="0.25">
      <c r="A7" s="128"/>
      <c r="B7" s="16"/>
      <c r="C7" s="10"/>
      <c r="D7" s="13">
        <f t="shared" si="1"/>
        <v>0</v>
      </c>
      <c r="F7" s="131"/>
      <c r="G7" s="135"/>
      <c r="H7" s="136"/>
      <c r="I7" s="136"/>
      <c r="J7" s="137"/>
      <c r="K7" s="8"/>
      <c r="L7" s="6">
        <f>R41</f>
        <v>725</v>
      </c>
      <c r="P7" s="4"/>
      <c r="Q7" s="4"/>
      <c r="R7" s="5"/>
    </row>
    <row r="8" spans="1:19" ht="14.45" customHeight="1" x14ac:dyDescent="0.25">
      <c r="A8" s="128"/>
      <c r="B8" s="16"/>
      <c r="C8" s="10"/>
      <c r="D8" s="13">
        <f t="shared" si="1"/>
        <v>0</v>
      </c>
      <c r="F8" s="138" t="s">
        <v>21</v>
      </c>
      <c r="G8" s="140"/>
      <c r="H8" s="141"/>
      <c r="I8" s="141"/>
      <c r="J8" s="142"/>
      <c r="K8" s="8"/>
      <c r="L8" s="6">
        <f>R40</f>
        <v>1033</v>
      </c>
      <c r="P8" s="4"/>
      <c r="Q8" s="4"/>
      <c r="R8" s="5"/>
    </row>
    <row r="9" spans="1:19" ht="14.45" customHeight="1" x14ac:dyDescent="0.25">
      <c r="A9" s="128"/>
      <c r="B9" s="16"/>
      <c r="C9" s="10"/>
      <c r="D9" s="13">
        <f t="shared" si="1"/>
        <v>0</v>
      </c>
      <c r="F9" s="131"/>
      <c r="G9" s="143"/>
      <c r="H9" s="144"/>
      <c r="I9" s="144"/>
      <c r="J9" s="145"/>
      <c r="K9" s="8"/>
      <c r="L9" s="6">
        <f>R38</f>
        <v>707</v>
      </c>
      <c r="P9" s="4"/>
      <c r="Q9" s="4"/>
      <c r="R9" s="5"/>
    </row>
    <row r="10" spans="1:19" ht="14.45" customHeight="1" x14ac:dyDescent="0.25">
      <c r="A10" s="128"/>
      <c r="C10" s="10"/>
      <c r="D10" s="13">
        <f t="shared" si="1"/>
        <v>0</v>
      </c>
      <c r="F10" s="130" t="s">
        <v>26</v>
      </c>
      <c r="G10" s="146"/>
      <c r="H10" s="147"/>
      <c r="I10" s="147"/>
      <c r="J10" s="148"/>
      <c r="K10" s="8"/>
      <c r="L10" s="6">
        <f>R36</f>
        <v>972</v>
      </c>
      <c r="P10" s="4"/>
      <c r="Q10" s="4"/>
      <c r="R10" s="5"/>
    </row>
    <row r="11" spans="1:19" ht="15.75" x14ac:dyDescent="0.25">
      <c r="A11" s="128"/>
      <c r="B11" s="17"/>
      <c r="C11" s="10"/>
      <c r="D11" s="13">
        <f t="shared" si="1"/>
        <v>0</v>
      </c>
      <c r="F11" s="131"/>
      <c r="G11" s="143"/>
      <c r="H11" s="144"/>
      <c r="I11" s="144"/>
      <c r="J11" s="145"/>
      <c r="K11" s="22"/>
      <c r="L11" s="6">
        <f>R32</f>
        <v>1125</v>
      </c>
      <c r="O11" t="s">
        <v>19</v>
      </c>
      <c r="P11" s="4">
        <v>650</v>
      </c>
      <c r="Q11" s="4"/>
      <c r="R11" s="5">
        <f t="shared" si="0"/>
        <v>650</v>
      </c>
    </row>
    <row r="12" spans="1:19" ht="15.75" x14ac:dyDescent="0.25">
      <c r="A12" s="128"/>
      <c r="B12" s="17"/>
      <c r="C12" s="10"/>
      <c r="D12" s="48">
        <f t="shared" si="1"/>
        <v>0</v>
      </c>
      <c r="F12" s="149" t="s">
        <v>33</v>
      </c>
      <c r="G12" s="150"/>
      <c r="H12" s="150"/>
      <c r="I12" s="150"/>
      <c r="J12" s="151"/>
      <c r="K12" s="23"/>
      <c r="L12" s="6">
        <f>R34</f>
        <v>952</v>
      </c>
      <c r="O12" t="s">
        <v>22</v>
      </c>
      <c r="P12" s="4">
        <v>650</v>
      </c>
      <c r="Q12" s="4"/>
      <c r="R12" s="5">
        <f t="shared" si="0"/>
        <v>650</v>
      </c>
    </row>
    <row r="13" spans="1:19" ht="15.75" x14ac:dyDescent="0.25">
      <c r="A13" s="128"/>
      <c r="B13" s="17"/>
      <c r="C13" s="10"/>
      <c r="D13" s="48">
        <f t="shared" si="1"/>
        <v>0</v>
      </c>
      <c r="F13" s="152" t="s">
        <v>36</v>
      </c>
      <c r="G13" s="153"/>
      <c r="H13" s="154">
        <f>D29</f>
        <v>0</v>
      </c>
      <c r="I13" s="155"/>
      <c r="J13" s="156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9" ht="15.75" x14ac:dyDescent="0.25">
      <c r="A14" s="128"/>
      <c r="B14" s="14"/>
      <c r="C14" s="10"/>
      <c r="D14" s="31">
        <f t="shared" si="1"/>
        <v>0</v>
      </c>
      <c r="F14" s="157" t="s">
        <v>39</v>
      </c>
      <c r="G14" s="158"/>
      <c r="H14" s="159">
        <f>D54</f>
        <v>0</v>
      </c>
      <c r="I14" s="160"/>
      <c r="J14" s="161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  <c r="S14">
        <f>205+78</f>
        <v>283</v>
      </c>
    </row>
    <row r="15" spans="1:19" ht="15.75" x14ac:dyDescent="0.25">
      <c r="A15" s="128"/>
      <c r="B15" s="14"/>
      <c r="C15" s="10"/>
      <c r="D15" s="31">
        <f t="shared" si="1"/>
        <v>0</v>
      </c>
      <c r="F15" s="162" t="s">
        <v>40</v>
      </c>
      <c r="G15" s="153"/>
      <c r="H15" s="163">
        <f>H13-H14</f>
        <v>0</v>
      </c>
      <c r="I15" s="164"/>
      <c r="J15" s="165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  <c r="S15">
        <f>229+78</f>
        <v>307</v>
      </c>
    </row>
    <row r="16" spans="1:19" ht="15.75" x14ac:dyDescent="0.25">
      <c r="A16" s="128"/>
      <c r="B16" s="18"/>
      <c r="C16" s="10"/>
      <c r="D16" s="48">
        <f t="shared" si="1"/>
        <v>0</v>
      </c>
      <c r="F16" s="67" t="s">
        <v>42</v>
      </c>
      <c r="G16" s="66" t="s">
        <v>43</v>
      </c>
      <c r="H16" s="166"/>
      <c r="I16" s="166"/>
      <c r="J16" s="166"/>
      <c r="L16" s="6">
        <f>R28</f>
        <v>1567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28"/>
      <c r="C17" s="10"/>
      <c r="D17" s="48">
        <f t="shared" si="1"/>
        <v>0</v>
      </c>
      <c r="F17" s="56"/>
      <c r="G17" s="66" t="s">
        <v>45</v>
      </c>
      <c r="H17" s="139"/>
      <c r="I17" s="139"/>
      <c r="J17" s="139"/>
      <c r="L17" s="6">
        <v>1582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28"/>
      <c r="B18" s="19"/>
      <c r="C18" s="10"/>
      <c r="D18" s="48">
        <f t="shared" si="1"/>
        <v>0</v>
      </c>
      <c r="F18" s="56"/>
      <c r="G18" s="66" t="s">
        <v>47</v>
      </c>
      <c r="H18" s="139"/>
      <c r="I18" s="139"/>
      <c r="J18" s="139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28"/>
      <c r="B19" s="14"/>
      <c r="C19" s="10"/>
      <c r="D19" s="48">
        <f t="shared" si="1"/>
        <v>0</v>
      </c>
      <c r="F19" s="56"/>
      <c r="G19" s="68" t="s">
        <v>50</v>
      </c>
      <c r="H19" s="185"/>
      <c r="I19" s="185"/>
      <c r="J19" s="185"/>
      <c r="L19" s="6">
        <f>R35</f>
        <v>1102</v>
      </c>
      <c r="Q19" s="4"/>
      <c r="R19" s="5">
        <f t="shared" si="0"/>
        <v>0</v>
      </c>
    </row>
    <row r="20" spans="1:18" ht="15.75" x14ac:dyDescent="0.25">
      <c r="A20" s="128"/>
      <c r="B20" s="46"/>
      <c r="C20" s="10"/>
      <c r="D20" s="13">
        <f t="shared" si="1"/>
        <v>0</v>
      </c>
      <c r="F20" s="57"/>
      <c r="G20" s="70" t="s">
        <v>120</v>
      </c>
      <c r="H20" s="166"/>
      <c r="I20" s="166"/>
      <c r="J20" s="166"/>
      <c r="L20" s="6">
        <f>1102</f>
        <v>1102</v>
      </c>
      <c r="N20" s="1" t="s">
        <v>41</v>
      </c>
      <c r="Q20" s="4"/>
      <c r="R20" s="5">
        <f t="shared" si="0"/>
        <v>0</v>
      </c>
    </row>
    <row r="21" spans="1:18" ht="15.75" x14ac:dyDescent="0.25">
      <c r="A21" s="128"/>
      <c r="B21" s="14"/>
      <c r="C21" s="10"/>
      <c r="D21" s="48">
        <f t="shared" si="1"/>
        <v>0</v>
      </c>
      <c r="F21" s="69" t="s">
        <v>99</v>
      </c>
      <c r="G21" s="82" t="s">
        <v>98</v>
      </c>
      <c r="H21" s="186" t="s">
        <v>13</v>
      </c>
      <c r="I21" s="187"/>
      <c r="J21" s="188"/>
      <c r="L21" s="7">
        <v>650</v>
      </c>
      <c r="O21" t="s">
        <v>44</v>
      </c>
      <c r="P21" s="4">
        <v>1447</v>
      </c>
      <c r="Q21" s="4">
        <v>120</v>
      </c>
      <c r="R21" s="5">
        <f t="shared" si="0"/>
        <v>1567</v>
      </c>
    </row>
    <row r="22" spans="1:18" ht="15.75" x14ac:dyDescent="0.25">
      <c r="A22" s="128"/>
      <c r="B22" s="46"/>
      <c r="C22" s="10"/>
      <c r="D22" s="48">
        <f t="shared" si="1"/>
        <v>0</v>
      </c>
      <c r="F22" s="77"/>
      <c r="G22" s="73"/>
      <c r="H22" s="189"/>
      <c r="I22" s="189"/>
      <c r="J22" s="189"/>
      <c r="L22" s="7">
        <f>559+111</f>
        <v>670</v>
      </c>
      <c r="O22" t="s">
        <v>46</v>
      </c>
      <c r="P22" s="4">
        <v>1582</v>
      </c>
      <c r="Q22" s="4"/>
      <c r="R22" s="5">
        <f t="shared" si="0"/>
        <v>1582</v>
      </c>
    </row>
    <row r="23" spans="1:18" ht="15.75" x14ac:dyDescent="0.25">
      <c r="A23" s="128"/>
      <c r="B23" s="14"/>
      <c r="C23" s="10"/>
      <c r="D23" s="48">
        <f t="shared" si="1"/>
        <v>0</v>
      </c>
      <c r="F23" s="78"/>
      <c r="G23" s="79"/>
      <c r="H23" s="190"/>
      <c r="I23" s="191"/>
      <c r="J23" s="191"/>
      <c r="L23" s="47">
        <f>R33</f>
        <v>1175</v>
      </c>
      <c r="N23" s="1"/>
      <c r="O23" t="s">
        <v>48</v>
      </c>
      <c r="P23" s="4">
        <v>1728</v>
      </c>
      <c r="Q23" s="4"/>
      <c r="R23" s="5">
        <f t="shared" si="0"/>
        <v>1728</v>
      </c>
    </row>
    <row r="24" spans="1:18" ht="15.75" x14ac:dyDescent="0.25">
      <c r="A24" s="128"/>
      <c r="B24" s="14"/>
      <c r="C24" s="10"/>
      <c r="D24" s="48">
        <f t="shared" si="1"/>
        <v>0</v>
      </c>
      <c r="F24" s="38"/>
      <c r="G24" s="37"/>
      <c r="H24" s="190"/>
      <c r="I24" s="191"/>
      <c r="J24" s="191"/>
      <c r="L24" s="47">
        <v>1667</v>
      </c>
      <c r="N24" s="1"/>
      <c r="O24" t="s">
        <v>49</v>
      </c>
      <c r="P24" s="4">
        <v>1728</v>
      </c>
      <c r="Q24" s="4"/>
      <c r="R24" s="5">
        <f t="shared" si="0"/>
        <v>1728</v>
      </c>
    </row>
    <row r="25" spans="1:18" ht="15.75" x14ac:dyDescent="0.25">
      <c r="A25" s="128"/>
      <c r="B25" s="14"/>
      <c r="C25" s="10"/>
      <c r="D25" s="48">
        <f t="shared" si="1"/>
        <v>0</v>
      </c>
      <c r="F25" s="60" t="s">
        <v>100</v>
      </c>
      <c r="G25" s="55" t="s">
        <v>98</v>
      </c>
      <c r="H25" s="192" t="s">
        <v>13</v>
      </c>
      <c r="I25" s="193"/>
      <c r="J25" s="194"/>
      <c r="L25" s="47">
        <f>1582</f>
        <v>1582</v>
      </c>
      <c r="O25" t="s">
        <v>51</v>
      </c>
      <c r="P25" s="4">
        <v>1582</v>
      </c>
      <c r="Q25" s="4"/>
      <c r="R25" s="5">
        <f t="shared" si="0"/>
        <v>1582</v>
      </c>
    </row>
    <row r="26" spans="1:18" ht="15.75" x14ac:dyDescent="0.25">
      <c r="A26" s="128"/>
      <c r="B26" s="14"/>
      <c r="C26" s="10"/>
      <c r="D26" s="48">
        <f t="shared" si="1"/>
        <v>0</v>
      </c>
      <c r="F26" s="64"/>
      <c r="G26" s="59"/>
      <c r="H26" s="195"/>
      <c r="I26" s="196"/>
      <c r="J26" s="197"/>
      <c r="L26" s="7">
        <f>832/24+1.5</f>
        <v>36.166666666666664</v>
      </c>
      <c r="O26" t="s">
        <v>52</v>
      </c>
      <c r="P26" s="4">
        <v>1447</v>
      </c>
      <c r="Q26" s="4">
        <v>120</v>
      </c>
      <c r="R26" s="5">
        <f t="shared" si="0"/>
        <v>1567</v>
      </c>
    </row>
    <row r="27" spans="1:18" ht="14.45" customHeight="1" x14ac:dyDescent="0.25">
      <c r="A27" s="128"/>
      <c r="B27" s="14"/>
      <c r="C27" s="10"/>
      <c r="D27" s="44">
        <f t="shared" si="1"/>
        <v>0</v>
      </c>
      <c r="F27" s="25"/>
      <c r="G27" s="80"/>
      <c r="H27" s="198"/>
      <c r="I27" s="199"/>
      <c r="J27" s="200"/>
      <c r="L27" s="7">
        <v>1582</v>
      </c>
      <c r="O27" t="s">
        <v>53</v>
      </c>
      <c r="P27" s="4">
        <v>1582</v>
      </c>
      <c r="Q27" s="4"/>
      <c r="R27" s="5">
        <f t="shared" si="0"/>
        <v>1582</v>
      </c>
    </row>
    <row r="28" spans="1:18" ht="15.75" x14ac:dyDescent="0.25">
      <c r="A28" s="129"/>
      <c r="B28" s="46"/>
      <c r="C28" s="10"/>
      <c r="D28" s="48">
        <f t="shared" si="1"/>
        <v>0</v>
      </c>
      <c r="F28" s="87"/>
      <c r="G28" s="61"/>
      <c r="H28" s="201"/>
      <c r="I28" s="202"/>
      <c r="J28" s="203"/>
      <c r="L28" s="7">
        <v>785</v>
      </c>
      <c r="O28" t="s">
        <v>54</v>
      </c>
      <c r="P28" s="4">
        <v>1447</v>
      </c>
      <c r="Q28" s="4">
        <v>120</v>
      </c>
      <c r="R28" s="5">
        <f t="shared" si="0"/>
        <v>1567</v>
      </c>
    </row>
    <row r="29" spans="1:18" x14ac:dyDescent="0.25">
      <c r="A29" s="167" t="s">
        <v>36</v>
      </c>
      <c r="B29" s="168"/>
      <c r="C29" s="169"/>
      <c r="D29" s="173">
        <f>SUM(D6:D28)</f>
        <v>0</v>
      </c>
      <c r="F29" s="175" t="s">
        <v>55</v>
      </c>
      <c r="G29" s="176"/>
      <c r="H29" s="179">
        <f>H15-H16-H17-H18-H19-H20-H22-H23-H24+H26+H27</f>
        <v>0</v>
      </c>
      <c r="I29" s="180"/>
      <c r="J29" s="181"/>
      <c r="O29" t="s">
        <v>56</v>
      </c>
      <c r="P29" s="4">
        <v>1582</v>
      </c>
      <c r="Q29" s="4"/>
      <c r="R29" s="5">
        <f t="shared" si="0"/>
        <v>1582</v>
      </c>
    </row>
    <row r="30" spans="1:18" x14ac:dyDescent="0.25">
      <c r="A30" s="170"/>
      <c r="B30" s="171"/>
      <c r="C30" s="172"/>
      <c r="D30" s="174"/>
      <c r="F30" s="177"/>
      <c r="G30" s="178"/>
      <c r="H30" s="182"/>
      <c r="I30" s="183"/>
      <c r="J30" s="184"/>
      <c r="N30" s="1"/>
      <c r="Q30" s="4"/>
      <c r="R30" s="5">
        <f t="shared" si="0"/>
        <v>0</v>
      </c>
    </row>
    <row r="31" spans="1:18" x14ac:dyDescent="0.25">
      <c r="A31" s="24"/>
      <c r="B31" s="24"/>
      <c r="C31" s="24"/>
      <c r="D31" s="24"/>
      <c r="F31" s="24"/>
      <c r="G31" s="24"/>
      <c r="O31" t="s">
        <v>57</v>
      </c>
      <c r="P31" s="4">
        <v>1052</v>
      </c>
      <c r="Q31" s="4">
        <v>120</v>
      </c>
      <c r="R31" s="5">
        <f t="shared" si="0"/>
        <v>1172</v>
      </c>
    </row>
    <row r="32" spans="1:18" x14ac:dyDescent="0.25">
      <c r="A32" s="114" t="s">
        <v>58</v>
      </c>
      <c r="B32" s="115"/>
      <c r="C32" s="115"/>
      <c r="D32" s="116"/>
      <c r="F32" s="204" t="s">
        <v>59</v>
      </c>
      <c r="G32" s="205"/>
      <c r="H32" s="205"/>
      <c r="I32" s="205"/>
      <c r="J32" s="206"/>
      <c r="O32" t="s">
        <v>60</v>
      </c>
      <c r="P32" s="4">
        <v>1005</v>
      </c>
      <c r="Q32" s="4">
        <v>120</v>
      </c>
      <c r="R32" s="5">
        <f t="shared" si="0"/>
        <v>1125</v>
      </c>
    </row>
    <row r="33" spans="1:18" x14ac:dyDescent="0.25">
      <c r="A33" s="25"/>
      <c r="B33" s="25" t="s">
        <v>11</v>
      </c>
      <c r="C33" s="25" t="s">
        <v>61</v>
      </c>
      <c r="D33" s="25" t="s">
        <v>13</v>
      </c>
      <c r="F33" s="25" t="s">
        <v>62</v>
      </c>
      <c r="G33" s="88" t="s">
        <v>63</v>
      </c>
      <c r="H33" s="204" t="s">
        <v>13</v>
      </c>
      <c r="I33" s="205"/>
      <c r="J33" s="206"/>
      <c r="O33" t="s">
        <v>64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27" t="s">
        <v>65</v>
      </c>
      <c r="B34" s="26" t="s">
        <v>66</v>
      </c>
      <c r="C34" s="51"/>
      <c r="D34" s="30">
        <f>C34*120</f>
        <v>0</v>
      </c>
      <c r="F34" s="12">
        <v>1000</v>
      </c>
      <c r="G34" s="74"/>
      <c r="H34" s="207"/>
      <c r="I34" s="208"/>
      <c r="J34" s="209"/>
      <c r="O34" t="s">
        <v>67</v>
      </c>
      <c r="P34" s="4">
        <v>832</v>
      </c>
      <c r="Q34" s="4">
        <v>120</v>
      </c>
      <c r="R34" s="5">
        <f t="shared" si="0"/>
        <v>952</v>
      </c>
    </row>
    <row r="35" spans="1:18" ht="15.75" x14ac:dyDescent="0.25">
      <c r="A35" s="128"/>
      <c r="B35" s="27" t="s">
        <v>68</v>
      </c>
      <c r="C35" s="52"/>
      <c r="D35" s="30">
        <f>C35*84</f>
        <v>0</v>
      </c>
      <c r="F35" s="58">
        <v>500</v>
      </c>
      <c r="G35" s="41"/>
      <c r="H35" s="207"/>
      <c r="I35" s="208"/>
      <c r="J35" s="209"/>
      <c r="O35" t="s">
        <v>69</v>
      </c>
      <c r="P35" s="4">
        <v>1102</v>
      </c>
      <c r="Q35" s="4"/>
      <c r="R35" s="5">
        <f t="shared" si="0"/>
        <v>1102</v>
      </c>
    </row>
    <row r="36" spans="1:18" ht="15.75" x14ac:dyDescent="0.25">
      <c r="A36" s="129"/>
      <c r="B36" s="26" t="s">
        <v>70</v>
      </c>
      <c r="C36" s="10"/>
      <c r="D36" s="12">
        <f>C36*1.5</f>
        <v>0</v>
      </c>
      <c r="F36" s="12">
        <v>200</v>
      </c>
      <c r="G36" s="37"/>
      <c r="H36" s="207"/>
      <c r="I36" s="208"/>
      <c r="J36" s="209"/>
      <c r="O36" t="s">
        <v>71</v>
      </c>
      <c r="P36" s="4">
        <v>852</v>
      </c>
      <c r="Q36" s="4">
        <v>120</v>
      </c>
      <c r="R36" s="5">
        <f t="shared" si="0"/>
        <v>972</v>
      </c>
    </row>
    <row r="37" spans="1:18" ht="15.75" x14ac:dyDescent="0.25">
      <c r="A37" s="127" t="s">
        <v>72</v>
      </c>
      <c r="B37" s="28" t="s">
        <v>66</v>
      </c>
      <c r="C37" s="53"/>
      <c r="D37" s="12">
        <f>C37*111</f>
        <v>0</v>
      </c>
      <c r="F37" s="12">
        <v>100</v>
      </c>
      <c r="G37" s="39"/>
      <c r="H37" s="207"/>
      <c r="I37" s="208"/>
      <c r="J37" s="209"/>
      <c r="O37" t="s">
        <v>73</v>
      </c>
      <c r="P37" s="4">
        <v>1020</v>
      </c>
      <c r="Q37" s="4">
        <v>120</v>
      </c>
      <c r="R37" s="5">
        <f t="shared" si="0"/>
        <v>1140</v>
      </c>
    </row>
    <row r="38" spans="1:18" ht="15.75" x14ac:dyDescent="0.25">
      <c r="A38" s="128"/>
      <c r="B38" s="29" t="s">
        <v>68</v>
      </c>
      <c r="C38" s="54"/>
      <c r="D38" s="12">
        <f>C38*84</f>
        <v>0</v>
      </c>
      <c r="F38" s="30">
        <v>50</v>
      </c>
      <c r="G38" s="39"/>
      <c r="H38" s="207"/>
      <c r="I38" s="208"/>
      <c r="J38" s="209"/>
      <c r="O38" t="s">
        <v>74</v>
      </c>
      <c r="P38" s="4">
        <v>596</v>
      </c>
      <c r="Q38" s="4">
        <v>111</v>
      </c>
      <c r="R38" s="5">
        <f t="shared" si="0"/>
        <v>707</v>
      </c>
    </row>
    <row r="39" spans="1:18" ht="15.75" x14ac:dyDescent="0.25">
      <c r="A39" s="129"/>
      <c r="B39" s="29" t="s">
        <v>70</v>
      </c>
      <c r="C39" s="52"/>
      <c r="D39" s="31">
        <f>C39*4.5</f>
        <v>0</v>
      </c>
      <c r="F39" s="12">
        <v>20</v>
      </c>
      <c r="G39" s="37"/>
      <c r="H39" s="207"/>
      <c r="I39" s="208"/>
      <c r="J39" s="209"/>
      <c r="O39" t="s">
        <v>75</v>
      </c>
      <c r="P39" s="4">
        <v>1175</v>
      </c>
      <c r="Q39" s="4"/>
      <c r="R39" s="5">
        <f t="shared" si="0"/>
        <v>1175</v>
      </c>
    </row>
    <row r="40" spans="1:18" ht="15.75" x14ac:dyDescent="0.25">
      <c r="A40" s="127" t="s">
        <v>76</v>
      </c>
      <c r="B40" s="27" t="s">
        <v>66</v>
      </c>
      <c r="C40" s="63"/>
      <c r="D40" s="12">
        <f>C40*111</f>
        <v>0</v>
      </c>
      <c r="F40" s="12">
        <v>10</v>
      </c>
      <c r="G40" s="42"/>
      <c r="H40" s="207"/>
      <c r="I40" s="208"/>
      <c r="J40" s="209"/>
      <c r="O40" t="s">
        <v>77</v>
      </c>
      <c r="P40" s="4">
        <v>913</v>
      </c>
      <c r="Q40" s="4">
        <v>120</v>
      </c>
      <c r="R40" s="5">
        <f t="shared" si="0"/>
        <v>1033</v>
      </c>
    </row>
    <row r="41" spans="1:18" ht="15.75" x14ac:dyDescent="0.25">
      <c r="A41" s="128"/>
      <c r="B41" s="27" t="s">
        <v>68</v>
      </c>
      <c r="C41" s="10"/>
      <c r="D41" s="12">
        <f>C41*84</f>
        <v>0</v>
      </c>
      <c r="F41" s="12">
        <v>5</v>
      </c>
      <c r="G41" s="42"/>
      <c r="H41" s="207"/>
      <c r="I41" s="208"/>
      <c r="J41" s="209"/>
      <c r="K41" s="21"/>
      <c r="O41" t="s">
        <v>78</v>
      </c>
      <c r="P41" s="4">
        <v>614</v>
      </c>
      <c r="Q41" s="4">
        <v>111</v>
      </c>
      <c r="R41" s="5">
        <f t="shared" si="0"/>
        <v>725</v>
      </c>
    </row>
    <row r="42" spans="1:18" ht="15.75" x14ac:dyDescent="0.25">
      <c r="A42" s="129"/>
      <c r="B42" s="27" t="s">
        <v>70</v>
      </c>
      <c r="C42" s="11"/>
      <c r="D42" s="12">
        <f>C42*2.25</f>
        <v>0</v>
      </c>
      <c r="F42" s="39" t="s">
        <v>79</v>
      </c>
      <c r="G42" s="207"/>
      <c r="H42" s="208"/>
      <c r="I42" s="208"/>
      <c r="J42" s="209"/>
      <c r="K42" s="36"/>
      <c r="O42" t="s">
        <v>80</v>
      </c>
      <c r="P42" s="4">
        <v>626</v>
      </c>
      <c r="Q42" s="4">
        <v>111</v>
      </c>
      <c r="R42" s="5">
        <f t="shared" si="0"/>
        <v>737</v>
      </c>
    </row>
    <row r="43" spans="1:18" ht="15.75" x14ac:dyDescent="0.25">
      <c r="A43" s="210" t="s">
        <v>81</v>
      </c>
      <c r="C43" s="11"/>
      <c r="D43" s="12"/>
      <c r="F43" s="59" t="s">
        <v>82</v>
      </c>
      <c r="G43" s="84" t="s">
        <v>83</v>
      </c>
      <c r="H43" s="213" t="s">
        <v>13</v>
      </c>
      <c r="I43" s="214"/>
      <c r="J43" s="215"/>
      <c r="K43" s="21"/>
      <c r="P43" s="4"/>
      <c r="Q43" s="4"/>
      <c r="R43" s="5"/>
    </row>
    <row r="44" spans="1:18" ht="15.75" x14ac:dyDescent="0.25">
      <c r="A44" s="211"/>
      <c r="B44" s="27" t="s">
        <v>66</v>
      </c>
      <c r="C44" s="10"/>
      <c r="D44" s="12">
        <f>C44*120</f>
        <v>0</v>
      </c>
      <c r="F44" s="37"/>
      <c r="G44" s="76"/>
      <c r="H44" s="191"/>
      <c r="I44" s="191"/>
      <c r="J44" s="191"/>
      <c r="K44" s="21"/>
      <c r="P44" s="4"/>
      <c r="Q44" s="4"/>
      <c r="R44" s="5"/>
    </row>
    <row r="45" spans="1:18" ht="15.75" x14ac:dyDescent="0.25">
      <c r="A45" s="211"/>
      <c r="B45" s="27" t="s">
        <v>68</v>
      </c>
      <c r="C45" s="33"/>
      <c r="D45" s="12">
        <f>C45*84</f>
        <v>0</v>
      </c>
      <c r="F45" s="37"/>
      <c r="G45" s="76"/>
      <c r="H45" s="191"/>
      <c r="I45" s="191"/>
      <c r="J45" s="191"/>
      <c r="K45" s="21"/>
      <c r="P45" s="4"/>
      <c r="Q45" s="4"/>
      <c r="R45" s="5"/>
    </row>
    <row r="46" spans="1:18" ht="15.75" x14ac:dyDescent="0.25">
      <c r="A46" s="211"/>
      <c r="B46" s="49" t="s">
        <v>70</v>
      </c>
      <c r="C46" s="81"/>
      <c r="D46" s="12">
        <f>C46*1.5</f>
        <v>0</v>
      </c>
      <c r="F46" s="37"/>
      <c r="G46" s="62"/>
      <c r="H46" s="216"/>
      <c r="I46" s="216"/>
      <c r="J46" s="216"/>
      <c r="K46" s="21"/>
      <c r="P46" s="4"/>
      <c r="Q46" s="4"/>
      <c r="R46" s="5"/>
    </row>
    <row r="47" spans="1:18" ht="15.75" x14ac:dyDescent="0.25">
      <c r="A47" s="212"/>
      <c r="B47" s="27"/>
      <c r="C47" s="11"/>
      <c r="D47" s="12"/>
      <c r="F47" s="59"/>
      <c r="G47" s="59"/>
      <c r="H47" s="217"/>
      <c r="I47" s="218"/>
      <c r="J47" s="219"/>
      <c r="K47" s="21"/>
      <c r="P47" s="4"/>
      <c r="Q47" s="4"/>
      <c r="R47" s="5"/>
    </row>
    <row r="48" spans="1:18" ht="15" customHeight="1" x14ac:dyDescent="0.25">
      <c r="A48" s="210" t="s">
        <v>32</v>
      </c>
      <c r="B48" s="27" t="s">
        <v>66</v>
      </c>
      <c r="C48" s="10"/>
      <c r="D48" s="12">
        <f>C48*78</f>
        <v>0</v>
      </c>
      <c r="F48" s="59"/>
      <c r="G48" s="59"/>
      <c r="H48" s="217"/>
      <c r="I48" s="218"/>
      <c r="J48" s="219"/>
      <c r="K48" s="35"/>
      <c r="O48" t="s">
        <v>84</v>
      </c>
      <c r="P48" s="4">
        <v>1175</v>
      </c>
      <c r="Q48" s="4"/>
      <c r="R48" s="5">
        <f t="shared" si="0"/>
        <v>1175</v>
      </c>
    </row>
    <row r="49" spans="1:18" ht="15.75" x14ac:dyDescent="0.25">
      <c r="A49" s="211"/>
      <c r="B49" s="29" t="s">
        <v>68</v>
      </c>
      <c r="C49" s="33"/>
      <c r="D49" s="12">
        <f>C49*42</f>
        <v>0</v>
      </c>
      <c r="F49" s="232" t="s">
        <v>86</v>
      </c>
      <c r="G49" s="179">
        <f>H34+H35+H36+H37+H38+H39+H40+H41+G42+H44+H45+H46</f>
        <v>0</v>
      </c>
      <c r="H49" s="180"/>
      <c r="I49" s="180"/>
      <c r="J49" s="181"/>
      <c r="O49" t="s">
        <v>85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211"/>
      <c r="B50" s="32" t="s">
        <v>70</v>
      </c>
      <c r="C50" s="11"/>
      <c r="D50" s="12">
        <f>C50*1.5</f>
        <v>0</v>
      </c>
      <c r="F50" s="233"/>
      <c r="G50" s="182"/>
      <c r="H50" s="183"/>
      <c r="I50" s="183"/>
      <c r="J50" s="184"/>
      <c r="P50" s="4"/>
      <c r="Q50" s="4"/>
      <c r="R50" s="5"/>
    </row>
    <row r="51" spans="1:18" ht="15" customHeight="1" x14ac:dyDescent="0.25">
      <c r="A51" s="211"/>
      <c r="B51" s="27"/>
      <c r="C51" s="10"/>
      <c r="D51" s="31"/>
      <c r="F51" s="234" t="s">
        <v>128</v>
      </c>
      <c r="G51" s="236">
        <f>G49-H29</f>
        <v>0</v>
      </c>
      <c r="H51" s="237"/>
      <c r="I51" s="237"/>
      <c r="J51" s="238"/>
      <c r="K51" s="21"/>
      <c r="O51" t="s">
        <v>87</v>
      </c>
      <c r="P51" s="4">
        <v>703</v>
      </c>
      <c r="Q51" s="4">
        <v>120</v>
      </c>
      <c r="R51" s="5">
        <f t="shared" si="0"/>
        <v>823</v>
      </c>
    </row>
    <row r="52" spans="1:18" ht="15.75" x14ac:dyDescent="0.25">
      <c r="A52" s="211"/>
      <c r="B52" s="29"/>
      <c r="C52" s="33"/>
      <c r="D52" s="45"/>
      <c r="F52" s="235"/>
      <c r="G52" s="239"/>
      <c r="H52" s="240"/>
      <c r="I52" s="240"/>
      <c r="J52" s="241"/>
      <c r="K52" s="21"/>
      <c r="O52" t="s">
        <v>88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212"/>
      <c r="B53" s="32"/>
      <c r="C53" s="11"/>
      <c r="D53" s="12"/>
      <c r="F53" s="35"/>
      <c r="G53" s="24"/>
      <c r="H53" s="24"/>
      <c r="I53" s="24"/>
      <c r="J53" s="17"/>
      <c r="N53" s="1"/>
      <c r="O53" t="s">
        <v>89</v>
      </c>
      <c r="P53" s="4">
        <v>1142</v>
      </c>
    </row>
    <row r="54" spans="1:18" x14ac:dyDescent="0.25">
      <c r="A54" s="175" t="s">
        <v>90</v>
      </c>
      <c r="B54" s="220"/>
      <c r="C54" s="221"/>
      <c r="D54" s="224">
        <f>SUM(D34:D53)</f>
        <v>0</v>
      </c>
      <c r="F54" s="21"/>
      <c r="J54" s="34"/>
    </row>
    <row r="55" spans="1:18" x14ac:dyDescent="0.25">
      <c r="A55" s="177"/>
      <c r="B55" s="222"/>
      <c r="C55" s="223"/>
      <c r="D55" s="225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D57" s="34"/>
      <c r="F57" s="36"/>
      <c r="G57" s="50"/>
      <c r="H57" s="50"/>
      <c r="I57" s="50"/>
      <c r="J57" s="43"/>
    </row>
    <row r="58" spans="1:18" x14ac:dyDescent="0.25">
      <c r="A58" s="226" t="s">
        <v>91</v>
      </c>
      <c r="B58" s="227"/>
      <c r="C58" s="227"/>
      <c r="D58" s="228"/>
      <c r="F58" s="226" t="s">
        <v>92</v>
      </c>
      <c r="G58" s="227"/>
      <c r="H58" s="227"/>
      <c r="I58" s="227"/>
      <c r="J58" s="228"/>
    </row>
    <row r="59" spans="1:18" x14ac:dyDescent="0.25">
      <c r="A59" s="229"/>
      <c r="B59" s="230"/>
      <c r="C59" s="230"/>
      <c r="D59" s="231"/>
      <c r="F59" s="229"/>
      <c r="G59" s="230"/>
      <c r="H59" s="230"/>
      <c r="I59" s="230"/>
      <c r="J59" s="231"/>
    </row>
  </sheetData>
  <mergeCells count="68"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  <mergeCell ref="A43:A47"/>
    <mergeCell ref="H43:J43"/>
    <mergeCell ref="H44:J44"/>
    <mergeCell ref="H45:J45"/>
    <mergeCell ref="H46:J46"/>
    <mergeCell ref="H47:J47"/>
    <mergeCell ref="A37:A39"/>
    <mergeCell ref="H37:J37"/>
    <mergeCell ref="H38:J38"/>
    <mergeCell ref="H39:J39"/>
    <mergeCell ref="A40:A42"/>
    <mergeCell ref="H40:J40"/>
    <mergeCell ref="H41:J41"/>
    <mergeCell ref="G42:J42"/>
    <mergeCell ref="A32:D32"/>
    <mergeCell ref="F32:J32"/>
    <mergeCell ref="H33:J33"/>
    <mergeCell ref="A34:A36"/>
    <mergeCell ref="H34:J34"/>
    <mergeCell ref="H35:J35"/>
    <mergeCell ref="H36:J36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H13:J13"/>
    <mergeCell ref="F14:G14"/>
    <mergeCell ref="H14:J14"/>
    <mergeCell ref="F15:G15"/>
    <mergeCell ref="H15:J15"/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15EC0F4-D446-4AE4-AD42-176FD14022C4}">
  <dimension ref="A1:R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bestFit="1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113" t="s">
        <v>1</v>
      </c>
      <c r="O1" s="113"/>
      <c r="P1" s="86" t="s">
        <v>2</v>
      </c>
      <c r="Q1" s="86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14" t="s">
        <v>7</v>
      </c>
      <c r="B4" s="115"/>
      <c r="C4" s="115"/>
      <c r="D4" s="116"/>
      <c r="F4" s="117" t="s">
        <v>8</v>
      </c>
      <c r="G4" s="119">
        <v>1</v>
      </c>
      <c r="H4" s="121" t="s">
        <v>9</v>
      </c>
      <c r="I4" s="123">
        <v>45964</v>
      </c>
      <c r="J4" s="124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27" t="s">
        <v>7</v>
      </c>
      <c r="B5" s="15" t="s">
        <v>11</v>
      </c>
      <c r="C5" s="9" t="s">
        <v>12</v>
      </c>
      <c r="D5" s="25" t="s">
        <v>13</v>
      </c>
      <c r="F5" s="118"/>
      <c r="G5" s="120"/>
      <c r="H5" s="122"/>
      <c r="I5" s="125"/>
      <c r="J5" s="126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28"/>
      <c r="B6" s="16" t="s">
        <v>15</v>
      </c>
      <c r="C6" s="89">
        <v>189</v>
      </c>
      <c r="D6" s="13">
        <f t="shared" ref="D6:D28" si="1">C6*L6</f>
        <v>139293</v>
      </c>
      <c r="F6" s="130" t="s">
        <v>16</v>
      </c>
      <c r="G6" s="132" t="s">
        <v>129</v>
      </c>
      <c r="H6" s="133"/>
      <c r="I6" s="133"/>
      <c r="J6" s="134"/>
      <c r="K6" s="8"/>
      <c r="L6" s="6">
        <f>R42</f>
        <v>737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28"/>
      <c r="B7" s="16" t="s">
        <v>18</v>
      </c>
      <c r="C7" s="89">
        <v>10</v>
      </c>
      <c r="D7" s="13">
        <f t="shared" si="1"/>
        <v>7250</v>
      </c>
      <c r="F7" s="131"/>
      <c r="G7" s="135"/>
      <c r="H7" s="136"/>
      <c r="I7" s="136"/>
      <c r="J7" s="137"/>
      <c r="K7" s="8"/>
      <c r="L7" s="6">
        <f>R41</f>
        <v>725</v>
      </c>
      <c r="P7" s="4"/>
      <c r="Q7" s="4"/>
      <c r="R7" s="5"/>
    </row>
    <row r="8" spans="1:18" ht="14.45" customHeight="1" x14ac:dyDescent="0.25">
      <c r="A8" s="128"/>
      <c r="B8" s="16" t="s">
        <v>20</v>
      </c>
      <c r="C8" s="89">
        <v>1</v>
      </c>
      <c r="D8" s="13">
        <f t="shared" si="1"/>
        <v>1033</v>
      </c>
      <c r="F8" s="138" t="s">
        <v>21</v>
      </c>
      <c r="G8" s="140" t="s">
        <v>112</v>
      </c>
      <c r="H8" s="141"/>
      <c r="I8" s="141"/>
      <c r="J8" s="142"/>
      <c r="K8" s="8"/>
      <c r="L8" s="6">
        <f>R40</f>
        <v>1033</v>
      </c>
      <c r="P8" s="4"/>
      <c r="Q8" s="4"/>
      <c r="R8" s="5"/>
    </row>
    <row r="9" spans="1:18" ht="14.45" customHeight="1" x14ac:dyDescent="0.25">
      <c r="A9" s="128"/>
      <c r="B9" s="16" t="s">
        <v>23</v>
      </c>
      <c r="C9" s="89">
        <v>21</v>
      </c>
      <c r="D9" s="13">
        <f t="shared" si="1"/>
        <v>14847</v>
      </c>
      <c r="F9" s="131"/>
      <c r="G9" s="143"/>
      <c r="H9" s="144"/>
      <c r="I9" s="144"/>
      <c r="J9" s="145"/>
      <c r="K9" s="8"/>
      <c r="L9" s="6">
        <f>R38</f>
        <v>707</v>
      </c>
      <c r="P9" s="4"/>
      <c r="Q9" s="4"/>
      <c r="R9" s="5"/>
    </row>
    <row r="10" spans="1:18" ht="14.45" customHeight="1" x14ac:dyDescent="0.25">
      <c r="A10" s="128"/>
      <c r="B10" t="s">
        <v>25</v>
      </c>
      <c r="C10" s="89"/>
      <c r="D10" s="13">
        <f t="shared" si="1"/>
        <v>0</v>
      </c>
      <c r="F10" s="130" t="s">
        <v>26</v>
      </c>
      <c r="G10" s="146" t="s">
        <v>130</v>
      </c>
      <c r="H10" s="147"/>
      <c r="I10" s="147"/>
      <c r="J10" s="148"/>
      <c r="K10" s="8"/>
      <c r="L10" s="6">
        <f>R36</f>
        <v>972</v>
      </c>
      <c r="P10" s="4"/>
      <c r="Q10" s="4"/>
      <c r="R10" s="5"/>
    </row>
    <row r="11" spans="1:18" ht="15.75" x14ac:dyDescent="0.25">
      <c r="A11" s="128"/>
      <c r="B11" s="17" t="s">
        <v>28</v>
      </c>
      <c r="C11" s="89">
        <v>1</v>
      </c>
      <c r="D11" s="13">
        <f t="shared" si="1"/>
        <v>1125</v>
      </c>
      <c r="F11" s="131"/>
      <c r="G11" s="143"/>
      <c r="H11" s="144"/>
      <c r="I11" s="144"/>
      <c r="J11" s="145"/>
      <c r="K11" s="22"/>
      <c r="L11" s="6">
        <f>R32</f>
        <v>1125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28"/>
      <c r="B12" s="17" t="s">
        <v>30</v>
      </c>
      <c r="C12" s="89">
        <f>1+1</f>
        <v>2</v>
      </c>
      <c r="D12" s="48">
        <f t="shared" si="1"/>
        <v>1904</v>
      </c>
      <c r="F12" s="149" t="s">
        <v>33</v>
      </c>
      <c r="G12" s="150"/>
      <c r="H12" s="150"/>
      <c r="I12" s="150"/>
      <c r="J12" s="151"/>
      <c r="K12" s="23"/>
      <c r="L12" s="6">
        <f>R34</f>
        <v>952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28"/>
      <c r="B13" s="17" t="s">
        <v>32</v>
      </c>
      <c r="C13" s="89">
        <f>7</f>
        <v>7</v>
      </c>
      <c r="D13" s="48">
        <f t="shared" si="1"/>
        <v>2149</v>
      </c>
      <c r="F13" s="152" t="s">
        <v>36</v>
      </c>
      <c r="G13" s="153"/>
      <c r="H13" s="154">
        <f>D29</f>
        <v>176285</v>
      </c>
      <c r="I13" s="155"/>
      <c r="J13" s="156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28"/>
      <c r="B14" s="14" t="s">
        <v>35</v>
      </c>
      <c r="C14" s="89">
        <v>18</v>
      </c>
      <c r="D14" s="31">
        <f t="shared" si="1"/>
        <v>198</v>
      </c>
      <c r="F14" s="157" t="s">
        <v>39</v>
      </c>
      <c r="G14" s="158"/>
      <c r="H14" s="159">
        <f>D54</f>
        <v>26221.5</v>
      </c>
      <c r="I14" s="160"/>
      <c r="J14" s="161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28"/>
      <c r="B15" s="14" t="s">
        <v>38</v>
      </c>
      <c r="C15" s="89"/>
      <c r="D15" s="31">
        <f t="shared" si="1"/>
        <v>0</v>
      </c>
      <c r="F15" s="162" t="s">
        <v>40</v>
      </c>
      <c r="G15" s="153"/>
      <c r="H15" s="163">
        <f>H13-H14</f>
        <v>150063.5</v>
      </c>
      <c r="I15" s="164"/>
      <c r="J15" s="165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28"/>
      <c r="B16" s="18" t="s">
        <v>94</v>
      </c>
      <c r="C16" s="89"/>
      <c r="D16" s="48">
        <f t="shared" si="1"/>
        <v>0</v>
      </c>
      <c r="F16" s="67" t="s">
        <v>42</v>
      </c>
      <c r="G16" s="66" t="s">
        <v>43</v>
      </c>
      <c r="H16" s="166"/>
      <c r="I16" s="166"/>
      <c r="J16" s="166"/>
      <c r="L16" s="6">
        <f>R28</f>
        <v>1567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28"/>
      <c r="B17" t="s">
        <v>140</v>
      </c>
      <c r="C17" s="89"/>
      <c r="D17" s="48">
        <f t="shared" si="1"/>
        <v>0</v>
      </c>
      <c r="F17" s="56"/>
      <c r="G17" s="66" t="s">
        <v>45</v>
      </c>
      <c r="H17" s="139"/>
      <c r="I17" s="139"/>
      <c r="J17" s="139"/>
      <c r="L17" s="6">
        <f>1582</f>
        <v>1582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28"/>
      <c r="B18" s="19" t="s">
        <v>95</v>
      </c>
      <c r="C18" s="89">
        <v>1</v>
      </c>
      <c r="D18" s="48">
        <f t="shared" si="1"/>
        <v>620</v>
      </c>
      <c r="F18" s="56"/>
      <c r="G18" s="66" t="s">
        <v>47</v>
      </c>
      <c r="H18" s="139"/>
      <c r="I18" s="139"/>
      <c r="J18" s="139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28"/>
      <c r="B19" s="14" t="s">
        <v>136</v>
      </c>
      <c r="C19" s="89">
        <f>2+1</f>
        <v>3</v>
      </c>
      <c r="D19" s="48">
        <f t="shared" si="1"/>
        <v>3306</v>
      </c>
      <c r="F19" s="56"/>
      <c r="G19" s="68" t="s">
        <v>50</v>
      </c>
      <c r="H19" s="139"/>
      <c r="I19" s="139"/>
      <c r="J19" s="139"/>
      <c r="L19" s="6">
        <v>1102</v>
      </c>
      <c r="Q19" s="4"/>
      <c r="R19" s="5">
        <f t="shared" si="0"/>
        <v>0</v>
      </c>
    </row>
    <row r="20" spans="1:18" ht="15.75" x14ac:dyDescent="0.25">
      <c r="A20" s="128"/>
      <c r="B20" s="83" t="s">
        <v>125</v>
      </c>
      <c r="C20" s="89">
        <v>1</v>
      </c>
      <c r="D20" s="13">
        <f t="shared" si="1"/>
        <v>1175</v>
      </c>
      <c r="F20" s="57"/>
      <c r="G20" s="70" t="s">
        <v>120</v>
      </c>
      <c r="H20" s="166"/>
      <c r="I20" s="166"/>
      <c r="J20" s="166"/>
      <c r="L20" s="6">
        <f>R39</f>
        <v>1175</v>
      </c>
      <c r="N20" s="1" t="s">
        <v>41</v>
      </c>
      <c r="Q20" s="4"/>
      <c r="R20" s="5">
        <f t="shared" si="0"/>
        <v>0</v>
      </c>
    </row>
    <row r="21" spans="1:18" ht="15.75" x14ac:dyDescent="0.25">
      <c r="A21" s="128"/>
      <c r="B21" s="14" t="s">
        <v>138</v>
      </c>
      <c r="C21" s="89">
        <f>2+2</f>
        <v>4</v>
      </c>
      <c r="D21" s="48">
        <f t="shared" si="1"/>
        <v>2600</v>
      </c>
      <c r="F21" s="69" t="s">
        <v>99</v>
      </c>
      <c r="G21" s="82" t="s">
        <v>98</v>
      </c>
      <c r="H21" s="186" t="s">
        <v>13</v>
      </c>
      <c r="I21" s="187"/>
      <c r="J21" s="188"/>
      <c r="L21" s="7">
        <v>650</v>
      </c>
      <c r="O21" t="s">
        <v>44</v>
      </c>
      <c r="P21" s="4">
        <v>1447</v>
      </c>
      <c r="Q21" s="4">
        <v>120</v>
      </c>
      <c r="R21" s="5">
        <f t="shared" si="0"/>
        <v>1567</v>
      </c>
    </row>
    <row r="22" spans="1:18" ht="15.75" x14ac:dyDescent="0.25">
      <c r="A22" s="128"/>
      <c r="B22" s="46" t="s">
        <v>127</v>
      </c>
      <c r="C22" s="89"/>
      <c r="D22" s="48">
        <f t="shared" si="1"/>
        <v>0</v>
      </c>
      <c r="F22" s="77"/>
      <c r="G22" s="73"/>
      <c r="H22" s="189"/>
      <c r="I22" s="189"/>
      <c r="J22" s="189"/>
      <c r="L22" s="7">
        <v>1582</v>
      </c>
      <c r="O22" t="s">
        <v>46</v>
      </c>
      <c r="P22" s="4">
        <v>1582</v>
      </c>
      <c r="Q22" s="4"/>
      <c r="R22" s="5">
        <f t="shared" si="0"/>
        <v>1582</v>
      </c>
    </row>
    <row r="23" spans="1:18" ht="15.75" x14ac:dyDescent="0.25">
      <c r="A23" s="128"/>
      <c r="B23" s="14" t="s">
        <v>101</v>
      </c>
      <c r="C23" s="89"/>
      <c r="D23" s="48">
        <f t="shared" si="1"/>
        <v>0</v>
      </c>
      <c r="F23" s="77"/>
      <c r="G23" s="79"/>
      <c r="H23" s="242"/>
      <c r="I23" s="243"/>
      <c r="J23" s="243"/>
      <c r="L23" s="47">
        <v>1667</v>
      </c>
      <c r="N23" s="1"/>
      <c r="O23" t="s">
        <v>48</v>
      </c>
      <c r="P23" s="4">
        <v>1728</v>
      </c>
      <c r="Q23" s="4"/>
      <c r="R23" s="5">
        <f t="shared" si="0"/>
        <v>1728</v>
      </c>
    </row>
    <row r="24" spans="1:18" ht="15.75" x14ac:dyDescent="0.25">
      <c r="A24" s="128"/>
      <c r="B24" s="14" t="s">
        <v>121</v>
      </c>
      <c r="C24" s="89"/>
      <c r="D24" s="48">
        <f t="shared" si="1"/>
        <v>0</v>
      </c>
      <c r="F24" s="77"/>
      <c r="G24" s="79"/>
      <c r="H24" s="242"/>
      <c r="I24" s="243"/>
      <c r="J24" s="243"/>
      <c r="L24" s="47">
        <f>913/24+1.5</f>
        <v>39.541666666666664</v>
      </c>
      <c r="N24" s="1"/>
      <c r="O24" t="s">
        <v>49</v>
      </c>
      <c r="P24" s="4">
        <v>1728</v>
      </c>
      <c r="Q24" s="4"/>
      <c r="R24" s="5">
        <f t="shared" si="0"/>
        <v>1728</v>
      </c>
    </row>
    <row r="25" spans="1:18" ht="15.75" x14ac:dyDescent="0.25">
      <c r="A25" s="128"/>
      <c r="B25" s="14" t="s">
        <v>141</v>
      </c>
      <c r="C25" s="89"/>
      <c r="D25" s="48">
        <f t="shared" si="1"/>
        <v>0</v>
      </c>
      <c r="F25" s="60" t="s">
        <v>100</v>
      </c>
      <c r="G25" s="55" t="s">
        <v>98</v>
      </c>
      <c r="H25" s="192" t="s">
        <v>13</v>
      </c>
      <c r="I25" s="193"/>
      <c r="J25" s="194"/>
      <c r="L25" s="47">
        <f>1052+120</f>
        <v>1172</v>
      </c>
      <c r="O25" t="s">
        <v>51</v>
      </c>
      <c r="P25" s="4">
        <v>1582</v>
      </c>
      <c r="Q25" s="4"/>
      <c r="R25" s="5">
        <f t="shared" si="0"/>
        <v>1582</v>
      </c>
    </row>
    <row r="26" spans="1:18" ht="15.75" x14ac:dyDescent="0.25">
      <c r="A26" s="128"/>
      <c r="B26" s="14" t="s">
        <v>139</v>
      </c>
      <c r="C26" s="89"/>
      <c r="D26" s="48">
        <f t="shared" si="1"/>
        <v>0</v>
      </c>
      <c r="F26" s="75" t="s">
        <v>147</v>
      </c>
      <c r="G26" s="65"/>
      <c r="H26" s="191">
        <v>87612</v>
      </c>
      <c r="I26" s="191"/>
      <c r="J26" s="191"/>
      <c r="L26" s="7">
        <f>1447+120</f>
        <v>1567</v>
      </c>
      <c r="O26" t="s">
        <v>52</v>
      </c>
      <c r="P26" s="4">
        <v>1447</v>
      </c>
      <c r="Q26" s="4">
        <v>120</v>
      </c>
      <c r="R26" s="5">
        <f t="shared" si="0"/>
        <v>1567</v>
      </c>
    </row>
    <row r="27" spans="1:18" ht="14.45" customHeight="1" x14ac:dyDescent="0.25">
      <c r="A27" s="128"/>
      <c r="B27" s="14" t="s">
        <v>110</v>
      </c>
      <c r="C27" s="89"/>
      <c r="D27" s="44">
        <f t="shared" si="1"/>
        <v>0</v>
      </c>
      <c r="F27" s="71"/>
      <c r="G27" s="84"/>
      <c r="H27" s="244"/>
      <c r="I27" s="245"/>
      <c r="J27" s="245"/>
      <c r="L27" s="7">
        <v>1142</v>
      </c>
      <c r="O27" t="s">
        <v>53</v>
      </c>
      <c r="P27" s="4">
        <v>1582</v>
      </c>
      <c r="Q27" s="4"/>
      <c r="R27" s="5">
        <f t="shared" si="0"/>
        <v>1582</v>
      </c>
    </row>
    <row r="28" spans="1:18" ht="15.75" x14ac:dyDescent="0.25">
      <c r="A28" s="129"/>
      <c r="B28" s="46" t="s">
        <v>97</v>
      </c>
      <c r="C28" s="89">
        <v>1</v>
      </c>
      <c r="D28" s="48">
        <f t="shared" si="1"/>
        <v>785</v>
      </c>
      <c r="F28" s="87"/>
      <c r="G28" s="61"/>
      <c r="H28" s="201"/>
      <c r="I28" s="202"/>
      <c r="J28" s="203"/>
      <c r="L28" s="7">
        <v>785</v>
      </c>
      <c r="O28" t="s">
        <v>54</v>
      </c>
      <c r="P28" s="4">
        <v>1447</v>
      </c>
      <c r="Q28" s="4">
        <v>120</v>
      </c>
      <c r="R28" s="5">
        <f t="shared" si="0"/>
        <v>1567</v>
      </c>
    </row>
    <row r="29" spans="1:18" x14ac:dyDescent="0.25">
      <c r="A29" s="167" t="s">
        <v>36</v>
      </c>
      <c r="B29" s="168"/>
      <c r="C29" s="169"/>
      <c r="D29" s="173">
        <f>SUM(D6:D28)</f>
        <v>176285</v>
      </c>
      <c r="F29" s="175" t="s">
        <v>55</v>
      </c>
      <c r="G29" s="176"/>
      <c r="H29" s="179">
        <f>H15-H16-H17-H18-H19-H20-H22-H23-H24+H26+H27+H28</f>
        <v>237675.5</v>
      </c>
      <c r="I29" s="180"/>
      <c r="J29" s="181"/>
      <c r="O29" t="s">
        <v>56</v>
      </c>
      <c r="P29" s="4">
        <v>1582</v>
      </c>
      <c r="Q29" s="4"/>
      <c r="R29" s="5">
        <f t="shared" si="0"/>
        <v>1582</v>
      </c>
    </row>
    <row r="30" spans="1:18" x14ac:dyDescent="0.25">
      <c r="A30" s="170"/>
      <c r="B30" s="171"/>
      <c r="C30" s="172"/>
      <c r="D30" s="174"/>
      <c r="F30" s="177"/>
      <c r="G30" s="178"/>
      <c r="H30" s="182"/>
      <c r="I30" s="183"/>
      <c r="J30" s="184"/>
      <c r="N30" s="1"/>
      <c r="Q30" s="4"/>
      <c r="R30" s="5">
        <f t="shared" si="0"/>
        <v>0</v>
      </c>
    </row>
    <row r="31" spans="1:18" x14ac:dyDescent="0.25">
      <c r="A31" s="24"/>
      <c r="B31" s="24"/>
      <c r="C31" s="24"/>
      <c r="D31" s="24"/>
      <c r="F31" s="24"/>
      <c r="G31" s="24"/>
      <c r="O31" t="s">
        <v>57</v>
      </c>
      <c r="P31" s="4">
        <v>1052</v>
      </c>
      <c r="Q31" s="4">
        <v>120</v>
      </c>
      <c r="R31" s="5">
        <f t="shared" si="0"/>
        <v>1172</v>
      </c>
    </row>
    <row r="32" spans="1:18" x14ac:dyDescent="0.25">
      <c r="A32" s="114" t="s">
        <v>58</v>
      </c>
      <c r="B32" s="115"/>
      <c r="C32" s="115"/>
      <c r="D32" s="116"/>
      <c r="F32" s="204" t="s">
        <v>59</v>
      </c>
      <c r="G32" s="205"/>
      <c r="H32" s="205"/>
      <c r="I32" s="205"/>
      <c r="J32" s="206"/>
      <c r="O32" t="s">
        <v>60</v>
      </c>
      <c r="P32" s="4">
        <v>1005</v>
      </c>
      <c r="Q32" s="4">
        <v>120</v>
      </c>
      <c r="R32" s="5">
        <f t="shared" si="0"/>
        <v>1125</v>
      </c>
    </row>
    <row r="33" spans="1:18" x14ac:dyDescent="0.25">
      <c r="A33" s="25"/>
      <c r="B33" s="25" t="s">
        <v>11</v>
      </c>
      <c r="C33" s="25" t="s">
        <v>61</v>
      </c>
      <c r="D33" s="25" t="s">
        <v>13</v>
      </c>
      <c r="F33" s="25" t="s">
        <v>62</v>
      </c>
      <c r="G33" s="88" t="s">
        <v>63</v>
      </c>
      <c r="H33" s="204" t="s">
        <v>13</v>
      </c>
      <c r="I33" s="205"/>
      <c r="J33" s="206"/>
      <c r="O33" t="s">
        <v>64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27" t="s">
        <v>65</v>
      </c>
      <c r="B34" s="26" t="s">
        <v>66</v>
      </c>
      <c r="C34" s="51"/>
      <c r="D34" s="30">
        <f>C34*120</f>
        <v>0</v>
      </c>
      <c r="F34" s="12">
        <v>1000</v>
      </c>
      <c r="G34" s="40">
        <v>120</v>
      </c>
      <c r="H34" s="207">
        <f t="shared" ref="H34:H39" si="2">F34*G34</f>
        <v>120000</v>
      </c>
      <c r="I34" s="208"/>
      <c r="J34" s="209"/>
      <c r="O34" t="s">
        <v>67</v>
      </c>
      <c r="P34" s="4">
        <v>832</v>
      </c>
      <c r="Q34" s="4">
        <v>120</v>
      </c>
      <c r="R34" s="5">
        <f t="shared" si="0"/>
        <v>952</v>
      </c>
    </row>
    <row r="35" spans="1:18" ht="15.75" x14ac:dyDescent="0.25">
      <c r="A35" s="128"/>
      <c r="B35" s="27" t="s">
        <v>68</v>
      </c>
      <c r="C35" s="52"/>
      <c r="D35" s="30">
        <f>C35*84</f>
        <v>0</v>
      </c>
      <c r="F35" s="58">
        <v>500</v>
      </c>
      <c r="G35" s="41">
        <v>48</v>
      </c>
      <c r="H35" s="207">
        <f t="shared" si="2"/>
        <v>24000</v>
      </c>
      <c r="I35" s="208"/>
      <c r="J35" s="209"/>
      <c r="O35" t="s">
        <v>69</v>
      </c>
      <c r="P35" s="4">
        <v>1102</v>
      </c>
      <c r="Q35" s="4"/>
      <c r="R35" s="5">
        <f t="shared" si="0"/>
        <v>1102</v>
      </c>
    </row>
    <row r="36" spans="1:18" ht="15.75" x14ac:dyDescent="0.25">
      <c r="A36" s="129"/>
      <c r="B36" s="26" t="s">
        <v>70</v>
      </c>
      <c r="C36" s="10">
        <v>28</v>
      </c>
      <c r="D36" s="12">
        <f>C36*1.5</f>
        <v>42</v>
      </c>
      <c r="F36" s="12">
        <v>200</v>
      </c>
      <c r="G36" s="37">
        <v>1</v>
      </c>
      <c r="H36" s="207">
        <f t="shared" si="2"/>
        <v>200</v>
      </c>
      <c r="I36" s="208"/>
      <c r="J36" s="209"/>
      <c r="O36" t="s">
        <v>71</v>
      </c>
      <c r="P36" s="4">
        <v>852</v>
      </c>
      <c r="Q36" s="4">
        <v>120</v>
      </c>
      <c r="R36" s="5">
        <f t="shared" si="0"/>
        <v>972</v>
      </c>
    </row>
    <row r="37" spans="1:18" ht="15.75" x14ac:dyDescent="0.25">
      <c r="A37" s="127" t="s">
        <v>72</v>
      </c>
      <c r="B37" s="28" t="s">
        <v>66</v>
      </c>
      <c r="C37" s="53">
        <v>209</v>
      </c>
      <c r="D37" s="12">
        <f>C37*111</f>
        <v>23199</v>
      </c>
      <c r="F37" s="12">
        <v>100</v>
      </c>
      <c r="G37" s="39">
        <v>35</v>
      </c>
      <c r="H37" s="207">
        <f t="shared" si="2"/>
        <v>3500</v>
      </c>
      <c r="I37" s="208"/>
      <c r="J37" s="209"/>
      <c r="O37" t="s">
        <v>73</v>
      </c>
      <c r="P37" s="4">
        <v>1020</v>
      </c>
      <c r="Q37" s="4">
        <v>120</v>
      </c>
      <c r="R37" s="5">
        <f t="shared" si="0"/>
        <v>1140</v>
      </c>
    </row>
    <row r="38" spans="1:18" ht="15.75" x14ac:dyDescent="0.25">
      <c r="A38" s="128"/>
      <c r="B38" s="29" t="s">
        <v>68</v>
      </c>
      <c r="C38" s="54">
        <v>6</v>
      </c>
      <c r="D38" s="12">
        <f>C38*84</f>
        <v>504</v>
      </c>
      <c r="F38" s="30">
        <v>50</v>
      </c>
      <c r="G38" s="39">
        <v>5</v>
      </c>
      <c r="H38" s="207">
        <f t="shared" si="2"/>
        <v>250</v>
      </c>
      <c r="I38" s="208"/>
      <c r="J38" s="209"/>
      <c r="O38" t="s">
        <v>74</v>
      </c>
      <c r="P38" s="4">
        <v>596</v>
      </c>
      <c r="Q38" s="4">
        <v>111</v>
      </c>
      <c r="R38" s="5">
        <f t="shared" si="0"/>
        <v>707</v>
      </c>
    </row>
    <row r="39" spans="1:18" ht="15.75" x14ac:dyDescent="0.25">
      <c r="A39" s="129"/>
      <c r="B39" s="29" t="s">
        <v>70</v>
      </c>
      <c r="C39" s="52">
        <v>2</v>
      </c>
      <c r="D39" s="31">
        <f>C39*4.5</f>
        <v>9</v>
      </c>
      <c r="F39" s="12">
        <v>20</v>
      </c>
      <c r="G39" s="37"/>
      <c r="H39" s="207">
        <f t="shared" si="2"/>
        <v>0</v>
      </c>
      <c r="I39" s="208"/>
      <c r="J39" s="209"/>
      <c r="O39" t="s">
        <v>75</v>
      </c>
      <c r="P39" s="4">
        <v>1175</v>
      </c>
      <c r="Q39" s="4"/>
      <c r="R39" s="5">
        <f t="shared" si="0"/>
        <v>1175</v>
      </c>
    </row>
    <row r="40" spans="1:18" ht="15.75" x14ac:dyDescent="0.25">
      <c r="A40" s="127" t="s">
        <v>76</v>
      </c>
      <c r="B40" s="27" t="s">
        <v>66</v>
      </c>
      <c r="C40" s="63">
        <v>11</v>
      </c>
      <c r="D40" s="12">
        <f>C40*111</f>
        <v>1221</v>
      </c>
      <c r="F40" s="12">
        <v>10</v>
      </c>
      <c r="G40" s="42"/>
      <c r="H40" s="207"/>
      <c r="I40" s="208"/>
      <c r="J40" s="209"/>
      <c r="O40" t="s">
        <v>77</v>
      </c>
      <c r="P40" s="4">
        <v>913</v>
      </c>
      <c r="Q40" s="4">
        <v>120</v>
      </c>
      <c r="R40" s="5">
        <f t="shared" si="0"/>
        <v>1033</v>
      </c>
    </row>
    <row r="41" spans="1:18" ht="15.75" x14ac:dyDescent="0.25">
      <c r="A41" s="128"/>
      <c r="B41" s="27" t="s">
        <v>68</v>
      </c>
      <c r="C41" s="10">
        <v>1</v>
      </c>
      <c r="D41" s="12">
        <f>C41*84</f>
        <v>84</v>
      </c>
      <c r="F41" s="12">
        <v>5</v>
      </c>
      <c r="G41" s="42"/>
      <c r="H41" s="207"/>
      <c r="I41" s="208"/>
      <c r="J41" s="209"/>
      <c r="K41" s="21"/>
      <c r="O41" t="s">
        <v>78</v>
      </c>
      <c r="P41" s="4">
        <v>614</v>
      </c>
      <c r="Q41" s="4">
        <v>111</v>
      </c>
      <c r="R41" s="5">
        <f t="shared" si="0"/>
        <v>725</v>
      </c>
    </row>
    <row r="42" spans="1:18" ht="15.75" x14ac:dyDescent="0.25">
      <c r="A42" s="129"/>
      <c r="B42" s="27" t="s">
        <v>70</v>
      </c>
      <c r="C42" s="11">
        <v>6</v>
      </c>
      <c r="D42" s="12">
        <f>C42*2.25</f>
        <v>13.5</v>
      </c>
      <c r="F42" s="39" t="s">
        <v>79</v>
      </c>
      <c r="G42" s="207">
        <v>2143</v>
      </c>
      <c r="H42" s="208"/>
      <c r="I42" s="208"/>
      <c r="J42" s="209"/>
      <c r="K42" s="36"/>
      <c r="O42" t="s">
        <v>80</v>
      </c>
      <c r="P42" s="4">
        <v>626</v>
      </c>
      <c r="Q42" s="4">
        <v>111</v>
      </c>
      <c r="R42" s="5">
        <f t="shared" si="0"/>
        <v>737</v>
      </c>
    </row>
    <row r="43" spans="1:18" ht="15.75" x14ac:dyDescent="0.25">
      <c r="A43" s="210" t="s">
        <v>81</v>
      </c>
      <c r="C43" s="11"/>
      <c r="D43" s="12"/>
      <c r="F43" s="59" t="s">
        <v>82</v>
      </c>
      <c r="G43" s="84" t="s">
        <v>83</v>
      </c>
      <c r="H43" s="213" t="s">
        <v>13</v>
      </c>
      <c r="I43" s="214"/>
      <c r="J43" s="215"/>
      <c r="K43" s="21"/>
      <c r="O43" t="s">
        <v>103</v>
      </c>
      <c r="P43" s="4">
        <v>1667</v>
      </c>
      <c r="Q43" s="4"/>
      <c r="R43" s="5"/>
    </row>
    <row r="44" spans="1:18" ht="15.75" x14ac:dyDescent="0.25">
      <c r="A44" s="211"/>
      <c r="B44" s="27" t="s">
        <v>66</v>
      </c>
      <c r="C44" s="10">
        <v>2</v>
      </c>
      <c r="D44" s="12">
        <f>C44*120</f>
        <v>240</v>
      </c>
      <c r="F44" s="37" t="s">
        <v>148</v>
      </c>
      <c r="G44" s="99" t="s">
        <v>149</v>
      </c>
      <c r="H44" s="191">
        <v>87612</v>
      </c>
      <c r="I44" s="191"/>
      <c r="J44" s="191"/>
      <c r="K44" s="21"/>
      <c r="O44" t="s">
        <v>106</v>
      </c>
      <c r="P44" s="4">
        <f>785-120</f>
        <v>665</v>
      </c>
      <c r="Q44" s="4">
        <v>120</v>
      </c>
      <c r="R44" s="5">
        <f>Q44+P44</f>
        <v>785</v>
      </c>
    </row>
    <row r="45" spans="1:18" ht="15.75" x14ac:dyDescent="0.25">
      <c r="A45" s="211"/>
      <c r="B45" s="27" t="s">
        <v>68</v>
      </c>
      <c r="C45" s="33">
        <v>3</v>
      </c>
      <c r="D45" s="12">
        <f>C45*84</f>
        <v>252</v>
      </c>
      <c r="F45" s="37"/>
      <c r="G45" s="62"/>
      <c r="H45" s="191"/>
      <c r="I45" s="191"/>
      <c r="J45" s="191"/>
      <c r="K45" s="21"/>
      <c r="P45" s="4"/>
      <c r="Q45" s="4"/>
      <c r="R45" s="5"/>
    </row>
    <row r="46" spans="1:18" ht="15.75" x14ac:dyDescent="0.25">
      <c r="A46" s="211"/>
      <c r="B46" s="49" t="s">
        <v>70</v>
      </c>
      <c r="C46" s="81"/>
      <c r="D46" s="12">
        <f>C46*1.5</f>
        <v>0</v>
      </c>
      <c r="F46" s="37"/>
      <c r="G46" s="62"/>
      <c r="H46" s="191"/>
      <c r="I46" s="191"/>
      <c r="J46" s="191"/>
      <c r="K46" s="21"/>
      <c r="P46" s="4"/>
      <c r="Q46" s="4"/>
      <c r="R46" s="5"/>
    </row>
    <row r="47" spans="1:18" ht="15.75" x14ac:dyDescent="0.25">
      <c r="A47" s="212"/>
      <c r="B47" s="27"/>
      <c r="C47" s="11"/>
      <c r="D47" s="12"/>
      <c r="F47" s="59"/>
      <c r="G47" s="59"/>
      <c r="H47" s="217"/>
      <c r="I47" s="218"/>
      <c r="J47" s="219"/>
      <c r="K47" s="21"/>
      <c r="P47" s="4"/>
      <c r="Q47" s="4"/>
      <c r="R47" s="5"/>
    </row>
    <row r="48" spans="1:18" ht="15" customHeight="1" x14ac:dyDescent="0.25">
      <c r="A48" s="210" t="s">
        <v>32</v>
      </c>
      <c r="B48" s="27" t="s">
        <v>66</v>
      </c>
      <c r="C48" s="10">
        <v>8</v>
      </c>
      <c r="D48" s="12">
        <f>C48*78</f>
        <v>624</v>
      </c>
      <c r="F48" s="59"/>
      <c r="G48" s="59"/>
      <c r="H48" s="217"/>
      <c r="I48" s="218"/>
      <c r="J48" s="219"/>
      <c r="K48" s="35"/>
      <c r="O48" t="s">
        <v>84</v>
      </c>
      <c r="P48" s="4">
        <v>1175</v>
      </c>
      <c r="Q48" s="4"/>
      <c r="R48" s="5">
        <f t="shared" si="0"/>
        <v>1175</v>
      </c>
    </row>
    <row r="49" spans="1:18" ht="15.75" x14ac:dyDescent="0.25">
      <c r="A49" s="211"/>
      <c r="B49" s="29" t="s">
        <v>68</v>
      </c>
      <c r="C49" s="33"/>
      <c r="D49" s="12">
        <f>C49*42</f>
        <v>0</v>
      </c>
      <c r="F49" s="232" t="s">
        <v>86</v>
      </c>
      <c r="G49" s="179">
        <f>H34+H35+H36+H37+H38+H39+H40+H41+G42+H44+H45+H46</f>
        <v>237705</v>
      </c>
      <c r="H49" s="180"/>
      <c r="I49" s="180"/>
      <c r="J49" s="181"/>
      <c r="O49" t="s">
        <v>85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211"/>
      <c r="B50" s="32" t="s">
        <v>70</v>
      </c>
      <c r="C50" s="11">
        <v>22</v>
      </c>
      <c r="D50" s="12">
        <f>C50*1.5</f>
        <v>33</v>
      </c>
      <c r="F50" s="233"/>
      <c r="G50" s="182"/>
      <c r="H50" s="183"/>
      <c r="I50" s="183"/>
      <c r="J50" s="184"/>
      <c r="P50" s="4"/>
      <c r="Q50" s="4"/>
      <c r="R50" s="5"/>
    </row>
    <row r="51" spans="1:18" ht="15" customHeight="1" x14ac:dyDescent="0.25">
      <c r="A51" s="211"/>
      <c r="B51" s="27"/>
      <c r="C51" s="10"/>
      <c r="D51" s="31"/>
      <c r="F51" s="234" t="s">
        <v>143</v>
      </c>
      <c r="G51" s="236">
        <f>G49-H29</f>
        <v>29.5</v>
      </c>
      <c r="H51" s="237"/>
      <c r="I51" s="237"/>
      <c r="J51" s="238"/>
      <c r="K51" s="21"/>
      <c r="O51" t="s">
        <v>87</v>
      </c>
      <c r="P51" s="4">
        <v>703</v>
      </c>
      <c r="Q51" s="4">
        <v>120</v>
      </c>
      <c r="R51" s="5">
        <f t="shared" si="0"/>
        <v>823</v>
      </c>
    </row>
    <row r="52" spans="1:18" ht="15.75" x14ac:dyDescent="0.25">
      <c r="A52" s="211"/>
      <c r="B52" s="29"/>
      <c r="C52" s="33"/>
      <c r="D52" s="45"/>
      <c r="F52" s="235"/>
      <c r="G52" s="239"/>
      <c r="H52" s="240"/>
      <c r="I52" s="240"/>
      <c r="J52" s="241"/>
      <c r="K52" s="21"/>
      <c r="O52" t="s">
        <v>88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212"/>
      <c r="B53" s="32"/>
      <c r="C53" s="11"/>
      <c r="D53" s="12"/>
      <c r="F53" s="35"/>
      <c r="G53" s="24"/>
      <c r="H53" s="24"/>
      <c r="I53" s="24"/>
      <c r="J53" s="17"/>
      <c r="N53" s="1"/>
      <c r="O53" t="s">
        <v>89</v>
      </c>
      <c r="P53" s="4">
        <v>1142</v>
      </c>
    </row>
    <row r="54" spans="1:18" x14ac:dyDescent="0.25">
      <c r="A54" s="175" t="s">
        <v>90</v>
      </c>
      <c r="B54" s="220"/>
      <c r="C54" s="221"/>
      <c r="D54" s="224">
        <f>SUM(D34:D53)</f>
        <v>26221.5</v>
      </c>
      <c r="F54" s="21"/>
      <c r="J54" s="34"/>
      <c r="O54" t="s">
        <v>102</v>
      </c>
      <c r="P54" s="4">
        <v>1582</v>
      </c>
      <c r="R54" s="3">
        <v>1582</v>
      </c>
    </row>
    <row r="55" spans="1:18" x14ac:dyDescent="0.25">
      <c r="A55" s="177"/>
      <c r="B55" s="222"/>
      <c r="C55" s="223"/>
      <c r="D55" s="225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133</v>
      </c>
      <c r="D57" s="34"/>
      <c r="F57" s="36"/>
      <c r="G57" s="50"/>
      <c r="H57" s="50"/>
      <c r="I57" s="50"/>
      <c r="J57" s="43"/>
    </row>
    <row r="58" spans="1:18" x14ac:dyDescent="0.25">
      <c r="A58" s="226" t="s">
        <v>91</v>
      </c>
      <c r="B58" s="227"/>
      <c r="C58" s="227"/>
      <c r="D58" s="228"/>
      <c r="F58" s="226" t="s">
        <v>92</v>
      </c>
      <c r="G58" s="227"/>
      <c r="H58" s="227"/>
      <c r="I58" s="227"/>
      <c r="J58" s="228"/>
    </row>
    <row r="59" spans="1:18" x14ac:dyDescent="0.25">
      <c r="A59" s="229"/>
      <c r="B59" s="230"/>
      <c r="C59" s="230"/>
      <c r="D59" s="231"/>
      <c r="F59" s="229"/>
      <c r="G59" s="230"/>
      <c r="H59" s="230"/>
      <c r="I59" s="230"/>
      <c r="J59" s="231"/>
    </row>
  </sheetData>
  <mergeCells count="68"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  <mergeCell ref="A43:A47"/>
    <mergeCell ref="H43:J43"/>
    <mergeCell ref="H44:J44"/>
    <mergeCell ref="H45:J45"/>
    <mergeCell ref="H46:J46"/>
    <mergeCell ref="H47:J47"/>
    <mergeCell ref="A37:A39"/>
    <mergeCell ref="H37:J37"/>
    <mergeCell ref="H38:J38"/>
    <mergeCell ref="H39:J39"/>
    <mergeCell ref="A40:A42"/>
    <mergeCell ref="H40:J40"/>
    <mergeCell ref="H41:J41"/>
    <mergeCell ref="G42:J42"/>
    <mergeCell ref="A32:D32"/>
    <mergeCell ref="F32:J32"/>
    <mergeCell ref="H33:J33"/>
    <mergeCell ref="A34:A36"/>
    <mergeCell ref="H34:J34"/>
    <mergeCell ref="H35:J35"/>
    <mergeCell ref="H36:J36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H13:J13"/>
    <mergeCell ref="F14:G14"/>
    <mergeCell ref="H14:J14"/>
    <mergeCell ref="F15:G15"/>
    <mergeCell ref="H15:J15"/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A2EF8DC-70A4-46A5-8F90-D43D8A29E3E8}">
  <dimension ref="A1:R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113" t="s">
        <v>1</v>
      </c>
      <c r="O1" s="113"/>
      <c r="P1" s="86" t="s">
        <v>2</v>
      </c>
      <c r="Q1" s="86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14" t="s">
        <v>7</v>
      </c>
      <c r="B4" s="115"/>
      <c r="C4" s="115"/>
      <c r="D4" s="116"/>
      <c r="F4" s="117" t="s">
        <v>8</v>
      </c>
      <c r="G4" s="119">
        <v>2</v>
      </c>
      <c r="H4" s="121" t="s">
        <v>9</v>
      </c>
      <c r="I4" s="123">
        <v>45964</v>
      </c>
      <c r="J4" s="124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27" t="s">
        <v>7</v>
      </c>
      <c r="B5" s="15" t="s">
        <v>11</v>
      </c>
      <c r="C5" s="9" t="s">
        <v>12</v>
      </c>
      <c r="D5" s="25" t="s">
        <v>13</v>
      </c>
      <c r="F5" s="118"/>
      <c r="G5" s="120"/>
      <c r="H5" s="122"/>
      <c r="I5" s="125"/>
      <c r="J5" s="126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28"/>
      <c r="B6" s="16" t="s">
        <v>15</v>
      </c>
      <c r="C6" s="10">
        <v>329</v>
      </c>
      <c r="D6" s="13">
        <f t="shared" ref="D6:D28" si="1">C6*L6</f>
        <v>242473</v>
      </c>
      <c r="F6" s="130" t="s">
        <v>16</v>
      </c>
      <c r="G6" s="132" t="s">
        <v>134</v>
      </c>
      <c r="H6" s="133"/>
      <c r="I6" s="133"/>
      <c r="J6" s="134"/>
      <c r="K6" s="8"/>
      <c r="L6" s="6">
        <f>R42</f>
        <v>737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28"/>
      <c r="B7" s="16" t="s">
        <v>18</v>
      </c>
      <c r="C7" s="10"/>
      <c r="D7" s="13">
        <f t="shared" si="1"/>
        <v>0</v>
      </c>
      <c r="F7" s="131"/>
      <c r="G7" s="135"/>
      <c r="H7" s="136"/>
      <c r="I7" s="136"/>
      <c r="J7" s="137"/>
      <c r="K7" s="8"/>
      <c r="L7" s="6">
        <f>R41</f>
        <v>725</v>
      </c>
      <c r="P7" s="4"/>
      <c r="Q7" s="4"/>
      <c r="R7" s="5"/>
    </row>
    <row r="8" spans="1:18" ht="14.45" customHeight="1" x14ac:dyDescent="0.25">
      <c r="A8" s="128"/>
      <c r="B8" s="16" t="s">
        <v>20</v>
      </c>
      <c r="C8" s="10"/>
      <c r="D8" s="13">
        <f t="shared" si="1"/>
        <v>0</v>
      </c>
      <c r="F8" s="138" t="s">
        <v>21</v>
      </c>
      <c r="G8" s="140" t="s">
        <v>114</v>
      </c>
      <c r="H8" s="141"/>
      <c r="I8" s="141"/>
      <c r="J8" s="142"/>
      <c r="K8" s="8"/>
      <c r="L8" s="6">
        <f>R40</f>
        <v>1033</v>
      </c>
      <c r="P8" s="4"/>
      <c r="Q8" s="4"/>
      <c r="R8" s="5"/>
    </row>
    <row r="9" spans="1:18" ht="14.45" customHeight="1" x14ac:dyDescent="0.25">
      <c r="A9" s="128"/>
      <c r="B9" s="16" t="s">
        <v>23</v>
      </c>
      <c r="C9" s="10">
        <v>13</v>
      </c>
      <c r="D9" s="13">
        <f t="shared" si="1"/>
        <v>9191</v>
      </c>
      <c r="F9" s="131"/>
      <c r="G9" s="143"/>
      <c r="H9" s="144"/>
      <c r="I9" s="144"/>
      <c r="J9" s="145"/>
      <c r="K9" s="8"/>
      <c r="L9" s="6">
        <f>R38</f>
        <v>707</v>
      </c>
      <c r="P9" s="4"/>
      <c r="Q9" s="4"/>
      <c r="R9" s="5"/>
    </row>
    <row r="10" spans="1:18" ht="14.45" customHeight="1" x14ac:dyDescent="0.25">
      <c r="A10" s="128"/>
      <c r="B10" t="s">
        <v>25</v>
      </c>
      <c r="C10" s="10"/>
      <c r="D10" s="13">
        <f t="shared" si="1"/>
        <v>0</v>
      </c>
      <c r="F10" s="130" t="s">
        <v>26</v>
      </c>
      <c r="G10" s="146" t="s">
        <v>115</v>
      </c>
      <c r="H10" s="147"/>
      <c r="I10" s="147"/>
      <c r="J10" s="148"/>
      <c r="K10" s="8"/>
      <c r="L10" s="6">
        <f>R36</f>
        <v>972</v>
      </c>
      <c r="P10" s="4"/>
      <c r="Q10" s="4"/>
      <c r="R10" s="5"/>
    </row>
    <row r="11" spans="1:18" ht="15.75" x14ac:dyDescent="0.25">
      <c r="A11" s="128"/>
      <c r="B11" s="17" t="s">
        <v>28</v>
      </c>
      <c r="C11" s="10"/>
      <c r="D11" s="13">
        <f t="shared" si="1"/>
        <v>0</v>
      </c>
      <c r="F11" s="131"/>
      <c r="G11" s="143"/>
      <c r="H11" s="144"/>
      <c r="I11" s="144"/>
      <c r="J11" s="145"/>
      <c r="K11" s="22"/>
      <c r="L11" s="6">
        <f>R32</f>
        <v>1125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28"/>
      <c r="B12" s="17" t="s">
        <v>30</v>
      </c>
      <c r="C12" s="10"/>
      <c r="D12" s="48">
        <f t="shared" si="1"/>
        <v>0</v>
      </c>
      <c r="F12" s="149" t="s">
        <v>33</v>
      </c>
      <c r="G12" s="150"/>
      <c r="H12" s="150"/>
      <c r="I12" s="150"/>
      <c r="J12" s="151"/>
      <c r="K12" s="23"/>
      <c r="L12" s="6">
        <f>R34</f>
        <v>952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28"/>
      <c r="B13" s="17" t="s">
        <v>32</v>
      </c>
      <c r="C13" s="10">
        <v>10</v>
      </c>
      <c r="D13" s="48">
        <f t="shared" si="1"/>
        <v>3070</v>
      </c>
      <c r="F13" s="152" t="s">
        <v>36</v>
      </c>
      <c r="G13" s="153"/>
      <c r="H13" s="154">
        <f>D29</f>
        <v>254855</v>
      </c>
      <c r="I13" s="155"/>
      <c r="J13" s="156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28"/>
      <c r="B14" s="14" t="s">
        <v>35</v>
      </c>
      <c r="C14" s="10">
        <v>11</v>
      </c>
      <c r="D14" s="31">
        <f t="shared" si="1"/>
        <v>121</v>
      </c>
      <c r="F14" s="157" t="s">
        <v>39</v>
      </c>
      <c r="G14" s="158"/>
      <c r="H14" s="159">
        <f>D54</f>
        <v>38556</v>
      </c>
      <c r="I14" s="160"/>
      <c r="J14" s="161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28"/>
      <c r="B15" s="14" t="s">
        <v>38</v>
      </c>
      <c r="C15" s="10"/>
      <c r="D15" s="31">
        <f t="shared" si="1"/>
        <v>0</v>
      </c>
      <c r="F15" s="162" t="s">
        <v>40</v>
      </c>
      <c r="G15" s="153"/>
      <c r="H15" s="163">
        <f>H13-H14</f>
        <v>216299</v>
      </c>
      <c r="I15" s="164"/>
      <c r="J15" s="165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28"/>
      <c r="B16" s="18" t="s">
        <v>94</v>
      </c>
      <c r="C16" s="10"/>
      <c r="D16" s="48">
        <f t="shared" si="1"/>
        <v>0</v>
      </c>
      <c r="F16" s="67" t="s">
        <v>42</v>
      </c>
      <c r="G16" s="66" t="s">
        <v>43</v>
      </c>
      <c r="H16" s="166">
        <f>1998+1071</f>
        <v>3069</v>
      </c>
      <c r="I16" s="166"/>
      <c r="J16" s="166"/>
      <c r="L16" s="6">
        <f>R28</f>
        <v>1567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28"/>
      <c r="B17" t="s">
        <v>93</v>
      </c>
      <c r="C17" s="10"/>
      <c r="D17" s="48">
        <f t="shared" si="1"/>
        <v>0</v>
      </c>
      <c r="F17" s="56"/>
      <c r="G17" s="66" t="s">
        <v>45</v>
      </c>
      <c r="H17" s="139"/>
      <c r="I17" s="139"/>
      <c r="J17" s="139"/>
      <c r="L17" s="6">
        <f>R21</f>
        <v>1567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28"/>
      <c r="B18" s="19" t="s">
        <v>95</v>
      </c>
      <c r="C18" s="10"/>
      <c r="D18" s="48">
        <f t="shared" si="1"/>
        <v>0</v>
      </c>
      <c r="F18" s="56"/>
      <c r="G18" s="66" t="s">
        <v>47</v>
      </c>
      <c r="H18" s="139"/>
      <c r="I18" s="139"/>
      <c r="J18" s="139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28"/>
      <c r="B19" s="14" t="s">
        <v>96</v>
      </c>
      <c r="C19" s="10"/>
      <c r="D19" s="48">
        <f t="shared" si="1"/>
        <v>0</v>
      </c>
      <c r="F19" s="56"/>
      <c r="G19" s="68" t="s">
        <v>50</v>
      </c>
      <c r="H19" s="246"/>
      <c r="I19" s="246"/>
      <c r="J19" s="246"/>
      <c r="L19" s="6">
        <f>R35</f>
        <v>1102</v>
      </c>
      <c r="Q19" s="4"/>
      <c r="R19" s="5">
        <f t="shared" si="0"/>
        <v>0</v>
      </c>
    </row>
    <row r="20" spans="1:18" ht="15.75" x14ac:dyDescent="0.25">
      <c r="A20" s="128"/>
      <c r="B20" s="46" t="s">
        <v>122</v>
      </c>
      <c r="C20" s="10"/>
      <c r="D20" s="13">
        <f t="shared" si="1"/>
        <v>0</v>
      </c>
      <c r="F20" s="57"/>
      <c r="G20" s="70" t="s">
        <v>120</v>
      </c>
      <c r="H20" s="139"/>
      <c r="I20" s="139"/>
      <c r="J20" s="139"/>
      <c r="L20" s="6">
        <f>R39</f>
        <v>1175</v>
      </c>
      <c r="N20" s="1" t="s">
        <v>41</v>
      </c>
      <c r="Q20" s="4"/>
      <c r="R20" s="5">
        <f t="shared" si="0"/>
        <v>0</v>
      </c>
    </row>
    <row r="21" spans="1:18" ht="15.75" x14ac:dyDescent="0.25">
      <c r="A21" s="128"/>
      <c r="B21" s="14" t="s">
        <v>126</v>
      </c>
      <c r="C21" s="10"/>
      <c r="D21" s="48">
        <f t="shared" si="1"/>
        <v>0</v>
      </c>
      <c r="F21" s="69" t="s">
        <v>99</v>
      </c>
      <c r="G21" s="82" t="s">
        <v>98</v>
      </c>
      <c r="H21" s="186" t="s">
        <v>13</v>
      </c>
      <c r="I21" s="187"/>
      <c r="J21" s="188"/>
      <c r="L21" s="7">
        <v>650</v>
      </c>
      <c r="O21" t="s">
        <v>44</v>
      </c>
      <c r="P21" s="4">
        <v>1447</v>
      </c>
      <c r="Q21" s="4">
        <v>120</v>
      </c>
      <c r="R21" s="5">
        <f t="shared" si="0"/>
        <v>1567</v>
      </c>
    </row>
    <row r="22" spans="1:18" ht="15.75" x14ac:dyDescent="0.25">
      <c r="A22" s="128"/>
      <c r="B22" s="46" t="s">
        <v>104</v>
      </c>
      <c r="C22" s="10"/>
      <c r="D22" s="48">
        <f t="shared" si="1"/>
        <v>0</v>
      </c>
      <c r="F22" s="72"/>
      <c r="G22" s="73"/>
      <c r="H22" s="189"/>
      <c r="I22" s="189"/>
      <c r="J22" s="189"/>
      <c r="L22" s="7">
        <f>559+111</f>
        <v>670</v>
      </c>
      <c r="O22" t="s">
        <v>46</v>
      </c>
      <c r="P22" s="4">
        <v>1582</v>
      </c>
      <c r="Q22" s="4"/>
      <c r="R22" s="5">
        <f t="shared" si="0"/>
        <v>1582</v>
      </c>
    </row>
    <row r="23" spans="1:18" ht="15.75" x14ac:dyDescent="0.25">
      <c r="A23" s="128"/>
      <c r="B23" s="14" t="s">
        <v>107</v>
      </c>
      <c r="C23" s="10"/>
      <c r="D23" s="48">
        <f t="shared" si="1"/>
        <v>0</v>
      </c>
      <c r="F23" s="25"/>
      <c r="G23" s="37"/>
      <c r="H23" s="190"/>
      <c r="I23" s="191"/>
      <c r="J23" s="191"/>
      <c r="L23" s="47">
        <f>R33</f>
        <v>1175</v>
      </c>
      <c r="N23" s="1"/>
      <c r="O23" t="s">
        <v>48</v>
      </c>
      <c r="P23" s="4">
        <v>1728</v>
      </c>
      <c r="Q23" s="4"/>
      <c r="R23" s="5">
        <f t="shared" si="0"/>
        <v>1728</v>
      </c>
    </row>
    <row r="24" spans="1:18" ht="15.75" x14ac:dyDescent="0.25">
      <c r="A24" s="128"/>
      <c r="B24" s="14" t="s">
        <v>123</v>
      </c>
      <c r="C24" s="10"/>
      <c r="D24" s="48">
        <f t="shared" si="1"/>
        <v>0</v>
      </c>
      <c r="F24" s="38"/>
      <c r="G24" s="37"/>
      <c r="H24" s="190"/>
      <c r="I24" s="191"/>
      <c r="J24" s="191"/>
      <c r="L24" s="47">
        <f>596/6</f>
        <v>99.333333333333329</v>
      </c>
      <c r="N24" s="1"/>
      <c r="O24" t="s">
        <v>49</v>
      </c>
      <c r="P24" s="4">
        <v>1728</v>
      </c>
      <c r="Q24" s="4"/>
      <c r="R24" s="5">
        <f t="shared" si="0"/>
        <v>1728</v>
      </c>
    </row>
    <row r="25" spans="1:18" ht="15.75" x14ac:dyDescent="0.25">
      <c r="A25" s="128"/>
      <c r="B25" s="14" t="s">
        <v>124</v>
      </c>
      <c r="C25" s="10"/>
      <c r="D25" s="48">
        <f t="shared" si="1"/>
        <v>0</v>
      </c>
      <c r="F25" s="60" t="s">
        <v>100</v>
      </c>
      <c r="G25" s="55" t="s">
        <v>98</v>
      </c>
      <c r="H25" s="192" t="s">
        <v>13</v>
      </c>
      <c r="I25" s="193"/>
      <c r="J25" s="194"/>
      <c r="L25" s="47">
        <f>674/6</f>
        <v>112.33333333333333</v>
      </c>
      <c r="O25" t="s">
        <v>51</v>
      </c>
      <c r="P25" s="4">
        <v>1582</v>
      </c>
      <c r="Q25" s="4"/>
      <c r="R25" s="5">
        <f t="shared" si="0"/>
        <v>1582</v>
      </c>
    </row>
    <row r="26" spans="1:18" ht="15.75" x14ac:dyDescent="0.25">
      <c r="A26" s="128"/>
      <c r="B26" s="14" t="s">
        <v>105</v>
      </c>
      <c r="C26" s="10"/>
      <c r="D26" s="48">
        <f t="shared" si="1"/>
        <v>0</v>
      </c>
      <c r="F26" s="64"/>
      <c r="G26" s="10"/>
      <c r="H26" s="195"/>
      <c r="I26" s="196"/>
      <c r="J26" s="197"/>
      <c r="L26" s="7">
        <f>832/24+1.5</f>
        <v>36.166666666666664</v>
      </c>
      <c r="O26" t="s">
        <v>52</v>
      </c>
      <c r="P26" s="4">
        <v>1447</v>
      </c>
      <c r="Q26" s="4">
        <v>120</v>
      </c>
      <c r="R26" s="5">
        <f t="shared" si="0"/>
        <v>1567</v>
      </c>
    </row>
    <row r="27" spans="1:18" ht="14.45" customHeight="1" x14ac:dyDescent="0.25">
      <c r="A27" s="128"/>
      <c r="B27" s="14" t="s">
        <v>109</v>
      </c>
      <c r="C27" s="10"/>
      <c r="D27" s="44">
        <f t="shared" si="1"/>
        <v>0</v>
      </c>
      <c r="F27" s="14"/>
      <c r="G27" s="14"/>
      <c r="H27" s="198"/>
      <c r="I27" s="199"/>
      <c r="J27" s="200"/>
      <c r="L27" s="7">
        <v>1582</v>
      </c>
      <c r="O27" t="s">
        <v>53</v>
      </c>
      <c r="P27" s="4">
        <v>1582</v>
      </c>
      <c r="Q27" s="4"/>
      <c r="R27" s="5">
        <f t="shared" si="0"/>
        <v>1582</v>
      </c>
    </row>
    <row r="28" spans="1:18" ht="15.75" x14ac:dyDescent="0.25">
      <c r="A28" s="129"/>
      <c r="B28" s="46" t="s">
        <v>97</v>
      </c>
      <c r="C28" s="10"/>
      <c r="D28" s="48">
        <f t="shared" si="1"/>
        <v>0</v>
      </c>
      <c r="F28" s="87"/>
      <c r="G28" s="61"/>
      <c r="H28" s="201"/>
      <c r="I28" s="202"/>
      <c r="J28" s="203"/>
      <c r="L28" s="7">
        <v>785</v>
      </c>
      <c r="O28" t="s">
        <v>54</v>
      </c>
      <c r="P28" s="4">
        <v>1447</v>
      </c>
      <c r="Q28" s="4">
        <v>120</v>
      </c>
      <c r="R28" s="5">
        <f t="shared" si="0"/>
        <v>1567</v>
      </c>
    </row>
    <row r="29" spans="1:18" x14ac:dyDescent="0.25">
      <c r="A29" s="167" t="s">
        <v>36</v>
      </c>
      <c r="B29" s="168"/>
      <c r="C29" s="169"/>
      <c r="D29" s="173">
        <f>SUM(D6:D28)</f>
        <v>254855</v>
      </c>
      <c r="F29" s="175" t="s">
        <v>55</v>
      </c>
      <c r="G29" s="176"/>
      <c r="H29" s="179">
        <f>H15-H16-H17-H18-H19-H20-H22-H23-H24+H26+H27</f>
        <v>213230</v>
      </c>
      <c r="I29" s="180"/>
      <c r="J29" s="181"/>
      <c r="O29" t="s">
        <v>56</v>
      </c>
      <c r="P29" s="4">
        <v>1582</v>
      </c>
      <c r="Q29" s="4"/>
      <c r="R29" s="5">
        <f t="shared" si="0"/>
        <v>1582</v>
      </c>
    </row>
    <row r="30" spans="1:18" x14ac:dyDescent="0.25">
      <c r="A30" s="170"/>
      <c r="B30" s="171"/>
      <c r="C30" s="172"/>
      <c r="D30" s="174"/>
      <c r="F30" s="177"/>
      <c r="G30" s="178"/>
      <c r="H30" s="182"/>
      <c r="I30" s="183"/>
      <c r="J30" s="184"/>
      <c r="N30" s="1"/>
      <c r="Q30" s="4"/>
      <c r="R30" s="5">
        <f t="shared" si="0"/>
        <v>0</v>
      </c>
    </row>
    <row r="31" spans="1:18" x14ac:dyDescent="0.25">
      <c r="A31" s="24"/>
      <c r="B31" s="24"/>
      <c r="C31" s="24"/>
      <c r="D31" s="24"/>
      <c r="F31" s="24"/>
      <c r="G31" s="24"/>
      <c r="O31" t="s">
        <v>57</v>
      </c>
      <c r="P31" s="4">
        <v>1052</v>
      </c>
      <c r="Q31" s="4">
        <v>120</v>
      </c>
      <c r="R31" s="5">
        <f t="shared" si="0"/>
        <v>1172</v>
      </c>
    </row>
    <row r="32" spans="1:18" x14ac:dyDescent="0.25">
      <c r="A32" s="114" t="s">
        <v>58</v>
      </c>
      <c r="B32" s="115"/>
      <c r="C32" s="115"/>
      <c r="D32" s="116"/>
      <c r="F32" s="204" t="s">
        <v>59</v>
      </c>
      <c r="G32" s="205"/>
      <c r="H32" s="205"/>
      <c r="I32" s="205"/>
      <c r="J32" s="206"/>
      <c r="O32" t="s">
        <v>60</v>
      </c>
      <c r="P32" s="4">
        <v>1005</v>
      </c>
      <c r="Q32" s="4">
        <v>120</v>
      </c>
      <c r="R32" s="5">
        <f t="shared" si="0"/>
        <v>1125</v>
      </c>
    </row>
    <row r="33" spans="1:18" x14ac:dyDescent="0.25">
      <c r="A33" s="25"/>
      <c r="B33" s="25" t="s">
        <v>11</v>
      </c>
      <c r="C33" s="25" t="s">
        <v>61</v>
      </c>
      <c r="D33" s="25" t="s">
        <v>13</v>
      </c>
      <c r="F33" s="25" t="s">
        <v>62</v>
      </c>
      <c r="G33" s="88" t="s">
        <v>63</v>
      </c>
      <c r="H33" s="204" t="s">
        <v>13</v>
      </c>
      <c r="I33" s="205"/>
      <c r="J33" s="206"/>
      <c r="O33" t="s">
        <v>64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27" t="s">
        <v>65</v>
      </c>
      <c r="B34" s="26" t="s">
        <v>66</v>
      </c>
      <c r="C34" s="51"/>
      <c r="D34" s="30">
        <f>C34*120</f>
        <v>0</v>
      </c>
      <c r="F34" s="12">
        <v>1000</v>
      </c>
      <c r="G34" s="74">
        <v>73</v>
      </c>
      <c r="H34" s="207">
        <f>F34*G34</f>
        <v>73000</v>
      </c>
      <c r="I34" s="208"/>
      <c r="J34" s="209"/>
      <c r="O34" t="s">
        <v>67</v>
      </c>
      <c r="P34" s="4">
        <v>832</v>
      </c>
      <c r="Q34" s="4">
        <v>120</v>
      </c>
      <c r="R34" s="5">
        <f t="shared" si="0"/>
        <v>952</v>
      </c>
    </row>
    <row r="35" spans="1:18" ht="15.75" x14ac:dyDescent="0.25">
      <c r="A35" s="128"/>
      <c r="B35" s="27" t="s">
        <v>68</v>
      </c>
      <c r="C35" s="52"/>
      <c r="D35" s="30">
        <f>C35*84</f>
        <v>0</v>
      </c>
      <c r="F35" s="58">
        <v>500</v>
      </c>
      <c r="G35" s="41">
        <v>9</v>
      </c>
      <c r="H35" s="207">
        <f t="shared" ref="H35:H39" si="2">F35*G35</f>
        <v>4500</v>
      </c>
      <c r="I35" s="208"/>
      <c r="J35" s="209"/>
      <c r="O35" t="s">
        <v>69</v>
      </c>
      <c r="P35" s="4">
        <v>1102</v>
      </c>
      <c r="Q35" s="4"/>
      <c r="R35" s="5">
        <f t="shared" si="0"/>
        <v>1102</v>
      </c>
    </row>
    <row r="36" spans="1:18" ht="15.75" x14ac:dyDescent="0.25">
      <c r="A36" s="129"/>
      <c r="B36" s="26" t="s">
        <v>70</v>
      </c>
      <c r="C36" s="10"/>
      <c r="D36" s="12">
        <f>C36*1.5</f>
        <v>0</v>
      </c>
      <c r="F36" s="12">
        <v>200</v>
      </c>
      <c r="G36" s="37">
        <v>2</v>
      </c>
      <c r="H36" s="207">
        <f>F36*G36</f>
        <v>400</v>
      </c>
      <c r="I36" s="208"/>
      <c r="J36" s="209"/>
      <c r="O36" t="s">
        <v>71</v>
      </c>
      <c r="P36" s="4">
        <v>852</v>
      </c>
      <c r="Q36" s="4">
        <v>120</v>
      </c>
      <c r="R36" s="5">
        <f t="shared" si="0"/>
        <v>972</v>
      </c>
    </row>
    <row r="37" spans="1:18" ht="15.75" x14ac:dyDescent="0.25">
      <c r="A37" s="127" t="s">
        <v>72</v>
      </c>
      <c r="B37" s="28" t="s">
        <v>66</v>
      </c>
      <c r="C37" s="53">
        <v>341</v>
      </c>
      <c r="D37" s="12">
        <f>C37*111</f>
        <v>37851</v>
      </c>
      <c r="F37" s="12">
        <v>100</v>
      </c>
      <c r="G37" s="39"/>
      <c r="H37" s="207">
        <f t="shared" si="2"/>
        <v>0</v>
      </c>
      <c r="I37" s="208"/>
      <c r="J37" s="209"/>
      <c r="O37" t="s">
        <v>73</v>
      </c>
      <c r="P37" s="4">
        <v>1020</v>
      </c>
      <c r="Q37" s="4">
        <v>120</v>
      </c>
      <c r="R37" s="5">
        <f t="shared" si="0"/>
        <v>1140</v>
      </c>
    </row>
    <row r="38" spans="1:18" ht="15.75" x14ac:dyDescent="0.25">
      <c r="A38" s="128"/>
      <c r="B38" s="29" t="s">
        <v>68</v>
      </c>
      <c r="C38" s="54">
        <v>3</v>
      </c>
      <c r="D38" s="12">
        <f>C38*84</f>
        <v>252</v>
      </c>
      <c r="F38" s="30">
        <v>50</v>
      </c>
      <c r="G38" s="39"/>
      <c r="H38" s="207">
        <f t="shared" si="2"/>
        <v>0</v>
      </c>
      <c r="I38" s="208"/>
      <c r="J38" s="209"/>
      <c r="O38" t="s">
        <v>74</v>
      </c>
      <c r="P38" s="4">
        <v>596</v>
      </c>
      <c r="Q38" s="4">
        <v>111</v>
      </c>
      <c r="R38" s="5">
        <f t="shared" si="0"/>
        <v>707</v>
      </c>
    </row>
    <row r="39" spans="1:18" ht="15.75" x14ac:dyDescent="0.25">
      <c r="A39" s="129"/>
      <c r="B39" s="29" t="s">
        <v>70</v>
      </c>
      <c r="C39" s="52">
        <v>4</v>
      </c>
      <c r="D39" s="31">
        <f>C39*4.5</f>
        <v>18</v>
      </c>
      <c r="F39" s="12">
        <v>20</v>
      </c>
      <c r="G39" s="37"/>
      <c r="H39" s="207">
        <f t="shared" si="2"/>
        <v>0</v>
      </c>
      <c r="I39" s="208"/>
      <c r="J39" s="209"/>
      <c r="O39" t="s">
        <v>75</v>
      </c>
      <c r="P39" s="4">
        <v>1175</v>
      </c>
      <c r="Q39" s="4"/>
      <c r="R39" s="5">
        <f t="shared" si="0"/>
        <v>1175</v>
      </c>
    </row>
    <row r="40" spans="1:18" ht="15.75" x14ac:dyDescent="0.25">
      <c r="A40" s="127" t="s">
        <v>76</v>
      </c>
      <c r="B40" s="27" t="s">
        <v>66</v>
      </c>
      <c r="C40" s="63"/>
      <c r="D40" s="12">
        <f>C40*111</f>
        <v>0</v>
      </c>
      <c r="F40" s="12">
        <v>10</v>
      </c>
      <c r="G40" s="42"/>
      <c r="H40" s="207"/>
      <c r="I40" s="208"/>
      <c r="J40" s="209"/>
      <c r="O40" t="s">
        <v>77</v>
      </c>
      <c r="P40" s="4">
        <v>913</v>
      </c>
      <c r="Q40" s="4">
        <v>120</v>
      </c>
      <c r="R40" s="5">
        <f t="shared" si="0"/>
        <v>1033</v>
      </c>
    </row>
    <row r="41" spans="1:18" ht="15.75" x14ac:dyDescent="0.25">
      <c r="A41" s="128"/>
      <c r="B41" s="27" t="s">
        <v>68</v>
      </c>
      <c r="C41" s="10"/>
      <c r="D41" s="12">
        <f>C41*84</f>
        <v>0</v>
      </c>
      <c r="F41" s="12">
        <v>5</v>
      </c>
      <c r="G41" s="42"/>
      <c r="H41" s="207"/>
      <c r="I41" s="208"/>
      <c r="J41" s="209"/>
      <c r="K41" s="21"/>
      <c r="O41" t="s">
        <v>78</v>
      </c>
      <c r="P41" s="4">
        <v>614</v>
      </c>
      <c r="Q41" s="4">
        <v>111</v>
      </c>
      <c r="R41" s="5">
        <f t="shared" si="0"/>
        <v>725</v>
      </c>
    </row>
    <row r="42" spans="1:18" ht="15.75" x14ac:dyDescent="0.25">
      <c r="A42" s="129"/>
      <c r="B42" s="27" t="s">
        <v>70</v>
      </c>
      <c r="C42" s="11"/>
      <c r="D42" s="12">
        <f>C42*2.25</f>
        <v>0</v>
      </c>
      <c r="F42" s="39" t="s">
        <v>79</v>
      </c>
      <c r="G42" s="207">
        <v>105</v>
      </c>
      <c r="H42" s="208"/>
      <c r="I42" s="208"/>
      <c r="J42" s="209"/>
      <c r="K42" s="36"/>
      <c r="O42" t="s">
        <v>80</v>
      </c>
      <c r="P42" s="4">
        <v>626</v>
      </c>
      <c r="Q42" s="4">
        <v>111</v>
      </c>
      <c r="R42" s="5">
        <f t="shared" si="0"/>
        <v>737</v>
      </c>
    </row>
    <row r="43" spans="1:18" ht="15.75" x14ac:dyDescent="0.25">
      <c r="A43" s="210" t="s">
        <v>81</v>
      </c>
      <c r="C43" s="11"/>
      <c r="D43" s="12"/>
      <c r="F43" s="59" t="s">
        <v>82</v>
      </c>
      <c r="G43" s="84" t="s">
        <v>83</v>
      </c>
      <c r="H43" s="213" t="s">
        <v>13</v>
      </c>
      <c r="I43" s="214"/>
      <c r="J43" s="215"/>
      <c r="K43" s="21"/>
      <c r="P43" s="4"/>
      <c r="Q43" s="4"/>
      <c r="R43" s="5"/>
    </row>
    <row r="44" spans="1:18" ht="15.75" x14ac:dyDescent="0.25">
      <c r="A44" s="211"/>
      <c r="B44" s="27" t="s">
        <v>66</v>
      </c>
      <c r="C44" s="10"/>
      <c r="D44" s="12">
        <f>C44*120</f>
        <v>0</v>
      </c>
      <c r="F44" s="37" t="s">
        <v>144</v>
      </c>
      <c r="G44" s="62" t="s">
        <v>145</v>
      </c>
      <c r="H44" s="191">
        <v>134760</v>
      </c>
      <c r="I44" s="191"/>
      <c r="J44" s="191"/>
      <c r="K44" s="21"/>
      <c r="P44" s="4"/>
      <c r="Q44" s="4"/>
      <c r="R44" s="5"/>
    </row>
    <row r="45" spans="1:18" ht="15.75" x14ac:dyDescent="0.25">
      <c r="A45" s="211"/>
      <c r="B45" s="27" t="s">
        <v>68</v>
      </c>
      <c r="C45" s="33"/>
      <c r="D45" s="12">
        <f>C45*84</f>
        <v>0</v>
      </c>
      <c r="F45" s="37"/>
      <c r="G45" s="62"/>
      <c r="H45" s="191"/>
      <c r="I45" s="191"/>
      <c r="J45" s="191"/>
      <c r="K45" s="21"/>
      <c r="P45" s="4"/>
      <c r="Q45" s="4"/>
      <c r="R45" s="5"/>
    </row>
    <row r="46" spans="1:18" ht="15.75" x14ac:dyDescent="0.25">
      <c r="A46" s="211"/>
      <c r="B46" s="49" t="s">
        <v>70</v>
      </c>
      <c r="C46" s="81"/>
      <c r="D46" s="12">
        <f>C46*1.5</f>
        <v>0</v>
      </c>
      <c r="F46" s="37"/>
      <c r="G46" s="85"/>
      <c r="H46" s="216"/>
      <c r="I46" s="216"/>
      <c r="J46" s="216"/>
      <c r="K46" s="21"/>
      <c r="P46" s="4"/>
      <c r="Q46" s="4"/>
      <c r="R46" s="5"/>
    </row>
    <row r="47" spans="1:18" ht="15.75" x14ac:dyDescent="0.25">
      <c r="A47" s="212"/>
      <c r="B47" s="27"/>
      <c r="C47" s="11"/>
      <c r="D47" s="12"/>
      <c r="F47" s="59"/>
      <c r="G47" s="59"/>
      <c r="H47" s="217"/>
      <c r="I47" s="218"/>
      <c r="J47" s="219"/>
      <c r="K47" s="21"/>
      <c r="P47" s="4"/>
      <c r="Q47" s="4"/>
      <c r="R47" s="5"/>
    </row>
    <row r="48" spans="1:18" ht="15" customHeight="1" x14ac:dyDescent="0.25">
      <c r="A48" s="210" t="s">
        <v>32</v>
      </c>
      <c r="B48" s="27" t="s">
        <v>66</v>
      </c>
      <c r="C48" s="10"/>
      <c r="D48" s="12">
        <f>C48*78</f>
        <v>0</v>
      </c>
      <c r="F48" s="59"/>
      <c r="G48" s="59"/>
      <c r="H48" s="217"/>
      <c r="I48" s="218"/>
      <c r="J48" s="219"/>
      <c r="K48" s="35"/>
      <c r="O48" t="s">
        <v>84</v>
      </c>
      <c r="P48" s="4">
        <v>1175</v>
      </c>
      <c r="Q48" s="4"/>
      <c r="R48" s="5">
        <f t="shared" si="0"/>
        <v>1175</v>
      </c>
    </row>
    <row r="49" spans="1:18" ht="15.75" x14ac:dyDescent="0.25">
      <c r="A49" s="211"/>
      <c r="B49" s="29" t="s">
        <v>68</v>
      </c>
      <c r="C49" s="33">
        <v>10</v>
      </c>
      <c r="D49" s="12">
        <f>C49*42</f>
        <v>420</v>
      </c>
      <c r="F49" s="232" t="s">
        <v>86</v>
      </c>
      <c r="G49" s="179">
        <f>H34+H35+H36+H37+H38+H39+H40+H41+G42+H44+H45+H46</f>
        <v>212765</v>
      </c>
      <c r="H49" s="180"/>
      <c r="I49" s="180"/>
      <c r="J49" s="181"/>
      <c r="O49" t="s">
        <v>85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211"/>
      <c r="B50" s="32" t="s">
        <v>70</v>
      </c>
      <c r="C50" s="11">
        <v>10</v>
      </c>
      <c r="D50" s="12">
        <f>C50*1.5</f>
        <v>15</v>
      </c>
      <c r="F50" s="233"/>
      <c r="G50" s="182"/>
      <c r="H50" s="183"/>
      <c r="I50" s="183"/>
      <c r="J50" s="184"/>
      <c r="P50" s="4"/>
      <c r="Q50" s="4"/>
      <c r="R50" s="5"/>
    </row>
    <row r="51" spans="1:18" ht="15" customHeight="1" x14ac:dyDescent="0.25">
      <c r="A51" s="211"/>
      <c r="B51" s="27"/>
      <c r="C51" s="10"/>
      <c r="D51" s="31"/>
      <c r="F51" s="234" t="s">
        <v>132</v>
      </c>
      <c r="G51" s="247">
        <f>G49-H29</f>
        <v>-465</v>
      </c>
      <c r="H51" s="248"/>
      <c r="I51" s="248"/>
      <c r="J51" s="249"/>
      <c r="K51" s="21"/>
      <c r="O51" t="s">
        <v>87</v>
      </c>
      <c r="P51" s="4">
        <v>703</v>
      </c>
      <c r="Q51" s="4">
        <v>120</v>
      </c>
      <c r="R51" s="5">
        <f t="shared" si="0"/>
        <v>823</v>
      </c>
    </row>
    <row r="52" spans="1:18" ht="15.75" x14ac:dyDescent="0.25">
      <c r="A52" s="211"/>
      <c r="B52" s="29"/>
      <c r="C52" s="33"/>
      <c r="D52" s="45"/>
      <c r="F52" s="235"/>
      <c r="G52" s="250"/>
      <c r="H52" s="251"/>
      <c r="I52" s="251"/>
      <c r="J52" s="252"/>
      <c r="K52" s="21"/>
      <c r="O52" t="s">
        <v>88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212"/>
      <c r="B53" s="32"/>
      <c r="C53" s="11"/>
      <c r="D53" s="12"/>
      <c r="F53" s="35"/>
      <c r="G53" s="24"/>
      <c r="H53" s="24"/>
      <c r="I53" s="24"/>
      <c r="J53" s="17"/>
      <c r="N53" s="1"/>
      <c r="O53" t="s">
        <v>89</v>
      </c>
      <c r="P53" s="4">
        <v>1142</v>
      </c>
    </row>
    <row r="54" spans="1:18" x14ac:dyDescent="0.25">
      <c r="A54" s="175" t="s">
        <v>90</v>
      </c>
      <c r="B54" s="220"/>
      <c r="C54" s="221"/>
      <c r="D54" s="224">
        <f>SUM(D34:D53)</f>
        <v>38556</v>
      </c>
      <c r="F54" s="21"/>
      <c r="J54" s="34"/>
    </row>
    <row r="55" spans="1:18" x14ac:dyDescent="0.25">
      <c r="A55" s="177"/>
      <c r="B55" s="222"/>
      <c r="C55" s="223"/>
      <c r="D55" s="225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135</v>
      </c>
      <c r="D57" s="34"/>
      <c r="F57" s="36"/>
      <c r="G57" s="50"/>
      <c r="H57" s="50"/>
      <c r="I57" s="50"/>
      <c r="J57" s="43"/>
    </row>
    <row r="58" spans="1:18" x14ac:dyDescent="0.25">
      <c r="A58" s="226" t="s">
        <v>91</v>
      </c>
      <c r="B58" s="227"/>
      <c r="C58" s="227"/>
      <c r="D58" s="228"/>
      <c r="F58" s="226" t="s">
        <v>92</v>
      </c>
      <c r="G58" s="227"/>
      <c r="H58" s="227"/>
      <c r="I58" s="227"/>
      <c r="J58" s="228"/>
    </row>
    <row r="59" spans="1:18" x14ac:dyDescent="0.25">
      <c r="A59" s="229"/>
      <c r="B59" s="230"/>
      <c r="C59" s="230"/>
      <c r="D59" s="231"/>
      <c r="F59" s="229"/>
      <c r="G59" s="230"/>
      <c r="H59" s="230"/>
      <c r="I59" s="230"/>
      <c r="J59" s="231"/>
    </row>
  </sheetData>
  <mergeCells count="68"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  <mergeCell ref="A43:A47"/>
    <mergeCell ref="H43:J43"/>
    <mergeCell ref="H44:J44"/>
    <mergeCell ref="H45:J45"/>
    <mergeCell ref="H46:J46"/>
    <mergeCell ref="H47:J47"/>
    <mergeCell ref="A37:A39"/>
    <mergeCell ref="H37:J37"/>
    <mergeCell ref="H38:J38"/>
    <mergeCell ref="H39:J39"/>
    <mergeCell ref="A40:A42"/>
    <mergeCell ref="H40:J40"/>
    <mergeCell ref="H41:J41"/>
    <mergeCell ref="G42:J42"/>
    <mergeCell ref="A32:D32"/>
    <mergeCell ref="F32:J32"/>
    <mergeCell ref="H33:J33"/>
    <mergeCell ref="A34:A36"/>
    <mergeCell ref="H34:J34"/>
    <mergeCell ref="H35:J35"/>
    <mergeCell ref="H36:J36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H13:J13"/>
    <mergeCell ref="F14:G14"/>
    <mergeCell ref="H14:J14"/>
    <mergeCell ref="F15:G15"/>
    <mergeCell ref="H15:J15"/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A2C5A33-CB43-46F6-B08E-4260FA9D7C38}">
  <dimension ref="A1:R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113" t="s">
        <v>1</v>
      </c>
      <c r="O1" s="113"/>
      <c r="P1" s="86" t="s">
        <v>2</v>
      </c>
      <c r="Q1" s="86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14" t="s">
        <v>7</v>
      </c>
      <c r="B4" s="115"/>
      <c r="C4" s="115"/>
      <c r="D4" s="116"/>
      <c r="F4" s="117" t="s">
        <v>8</v>
      </c>
      <c r="G4" s="119">
        <v>3</v>
      </c>
      <c r="H4" s="121" t="s">
        <v>9</v>
      </c>
      <c r="I4" s="123">
        <v>45964</v>
      </c>
      <c r="J4" s="124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27" t="s">
        <v>7</v>
      </c>
      <c r="B5" s="15" t="s">
        <v>11</v>
      </c>
      <c r="C5" s="9" t="s">
        <v>12</v>
      </c>
      <c r="D5" s="25" t="s">
        <v>13</v>
      </c>
      <c r="F5" s="118"/>
      <c r="G5" s="120"/>
      <c r="H5" s="122"/>
      <c r="I5" s="125"/>
      <c r="J5" s="126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28"/>
      <c r="B6" s="16" t="s">
        <v>15</v>
      </c>
      <c r="C6" s="10">
        <v>264</v>
      </c>
      <c r="D6" s="13">
        <f t="shared" ref="D6:D28" si="1">C6*L6</f>
        <v>194568</v>
      </c>
      <c r="F6" s="130" t="s">
        <v>16</v>
      </c>
      <c r="G6" s="132" t="s">
        <v>111</v>
      </c>
      <c r="H6" s="133"/>
      <c r="I6" s="133"/>
      <c r="J6" s="134"/>
      <c r="K6" s="8"/>
      <c r="L6" s="6">
        <f>R42</f>
        <v>737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28"/>
      <c r="B7" s="16" t="s">
        <v>18</v>
      </c>
      <c r="C7" s="10">
        <v>5</v>
      </c>
      <c r="D7" s="13">
        <f t="shared" si="1"/>
        <v>3625</v>
      </c>
      <c r="F7" s="131"/>
      <c r="G7" s="135"/>
      <c r="H7" s="136"/>
      <c r="I7" s="136"/>
      <c r="J7" s="137"/>
      <c r="K7" s="8"/>
      <c r="L7" s="6">
        <f>R41</f>
        <v>725</v>
      </c>
      <c r="P7" s="4"/>
      <c r="Q7" s="4"/>
      <c r="R7" s="5"/>
    </row>
    <row r="8" spans="1:18" ht="14.45" customHeight="1" x14ac:dyDescent="0.25">
      <c r="A8" s="128"/>
      <c r="B8" s="16" t="s">
        <v>20</v>
      </c>
      <c r="C8" s="10"/>
      <c r="D8" s="13">
        <f t="shared" si="1"/>
        <v>0</v>
      </c>
      <c r="F8" s="138" t="s">
        <v>21</v>
      </c>
      <c r="G8" s="140" t="s">
        <v>119</v>
      </c>
      <c r="H8" s="141"/>
      <c r="I8" s="141"/>
      <c r="J8" s="142"/>
      <c r="K8" s="8"/>
      <c r="L8" s="6">
        <f>R40</f>
        <v>1033</v>
      </c>
      <c r="P8" s="4"/>
      <c r="Q8" s="4"/>
      <c r="R8" s="5"/>
    </row>
    <row r="9" spans="1:18" ht="14.45" customHeight="1" x14ac:dyDescent="0.25">
      <c r="A9" s="128"/>
      <c r="B9" s="16" t="s">
        <v>23</v>
      </c>
      <c r="C9" s="10">
        <v>44</v>
      </c>
      <c r="D9" s="13">
        <f t="shared" si="1"/>
        <v>31108</v>
      </c>
      <c r="F9" s="131"/>
      <c r="G9" s="143"/>
      <c r="H9" s="144"/>
      <c r="I9" s="144"/>
      <c r="J9" s="145"/>
      <c r="K9" s="8"/>
      <c r="L9" s="6">
        <f>R38</f>
        <v>707</v>
      </c>
      <c r="P9" s="4"/>
      <c r="Q9" s="4"/>
      <c r="R9" s="5"/>
    </row>
    <row r="10" spans="1:18" ht="14.45" customHeight="1" x14ac:dyDescent="0.25">
      <c r="A10" s="128"/>
      <c r="B10" t="s">
        <v>25</v>
      </c>
      <c r="C10" s="10">
        <v>1</v>
      </c>
      <c r="D10" s="13">
        <f t="shared" si="1"/>
        <v>972</v>
      </c>
      <c r="F10" s="130" t="s">
        <v>26</v>
      </c>
      <c r="G10" s="146" t="s">
        <v>137</v>
      </c>
      <c r="H10" s="147"/>
      <c r="I10" s="147"/>
      <c r="J10" s="148"/>
      <c r="K10" s="8"/>
      <c r="L10" s="6">
        <f>R36</f>
        <v>972</v>
      </c>
      <c r="P10" s="4"/>
      <c r="Q10" s="4"/>
      <c r="R10" s="5"/>
    </row>
    <row r="11" spans="1:18" ht="15.75" x14ac:dyDescent="0.25">
      <c r="A11" s="128"/>
      <c r="B11" s="17" t="s">
        <v>28</v>
      </c>
      <c r="C11" s="10">
        <v>1</v>
      </c>
      <c r="D11" s="13">
        <f t="shared" si="1"/>
        <v>1125</v>
      </c>
      <c r="F11" s="131"/>
      <c r="G11" s="143"/>
      <c r="H11" s="144"/>
      <c r="I11" s="144"/>
      <c r="J11" s="145"/>
      <c r="K11" s="22"/>
      <c r="L11" s="6">
        <f>R32</f>
        <v>1125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28"/>
      <c r="B12" s="17" t="s">
        <v>30</v>
      </c>
      <c r="C12" s="10">
        <f>1</f>
        <v>1</v>
      </c>
      <c r="D12" s="48">
        <f t="shared" si="1"/>
        <v>952</v>
      </c>
      <c r="F12" s="149" t="s">
        <v>33</v>
      </c>
      <c r="G12" s="150"/>
      <c r="H12" s="150"/>
      <c r="I12" s="150"/>
      <c r="J12" s="151"/>
      <c r="K12" s="23"/>
      <c r="L12" s="6">
        <f>R34</f>
        <v>952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28"/>
      <c r="B13" s="17" t="s">
        <v>32</v>
      </c>
      <c r="C13" s="10">
        <v>5</v>
      </c>
      <c r="D13" s="48">
        <f t="shared" si="1"/>
        <v>1535</v>
      </c>
      <c r="F13" s="152" t="s">
        <v>36</v>
      </c>
      <c r="G13" s="153"/>
      <c r="H13" s="154">
        <f>D29</f>
        <v>237953</v>
      </c>
      <c r="I13" s="155"/>
      <c r="J13" s="156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28"/>
      <c r="B14" s="14" t="s">
        <v>35</v>
      </c>
      <c r="C14" s="10">
        <v>13</v>
      </c>
      <c r="D14" s="31">
        <f t="shared" si="1"/>
        <v>143</v>
      </c>
      <c r="F14" s="157" t="s">
        <v>39</v>
      </c>
      <c r="G14" s="158"/>
      <c r="H14" s="159">
        <f>D54</f>
        <v>37326.75</v>
      </c>
      <c r="I14" s="160"/>
      <c r="J14" s="161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28"/>
      <c r="B15" s="14" t="s">
        <v>38</v>
      </c>
      <c r="C15" s="10"/>
      <c r="D15" s="31">
        <f t="shared" si="1"/>
        <v>0</v>
      </c>
      <c r="F15" s="162" t="s">
        <v>40</v>
      </c>
      <c r="G15" s="153"/>
      <c r="H15" s="163">
        <f>H13-H14</f>
        <v>200626.25</v>
      </c>
      <c r="I15" s="164"/>
      <c r="J15" s="165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28"/>
      <c r="B16" s="18" t="s">
        <v>94</v>
      </c>
      <c r="C16" s="10"/>
      <c r="D16" s="48">
        <f t="shared" si="1"/>
        <v>0</v>
      </c>
      <c r="F16" s="67" t="s">
        <v>42</v>
      </c>
      <c r="G16" s="66" t="s">
        <v>43</v>
      </c>
      <c r="H16" s="166">
        <f>840+990</f>
        <v>1830</v>
      </c>
      <c r="I16" s="166"/>
      <c r="J16" s="166"/>
      <c r="L16" s="6">
        <f>R28</f>
        <v>1567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28"/>
      <c r="B17" t="s">
        <v>113</v>
      </c>
      <c r="C17" s="10"/>
      <c r="D17" s="48">
        <f t="shared" si="1"/>
        <v>0</v>
      </c>
      <c r="F17" s="56"/>
      <c r="G17" s="66" t="s">
        <v>45</v>
      </c>
      <c r="H17" s="139"/>
      <c r="I17" s="139"/>
      <c r="J17" s="139"/>
      <c r="L17" s="6">
        <v>1582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28"/>
      <c r="B18" s="19" t="s">
        <v>95</v>
      </c>
      <c r="C18" s="10"/>
      <c r="D18" s="48">
        <f t="shared" si="1"/>
        <v>0</v>
      </c>
      <c r="F18" s="56"/>
      <c r="G18" s="66" t="s">
        <v>47</v>
      </c>
      <c r="H18" s="139"/>
      <c r="I18" s="139"/>
      <c r="J18" s="139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28"/>
      <c r="B19" s="14" t="s">
        <v>117</v>
      </c>
      <c r="C19" s="10"/>
      <c r="D19" s="48">
        <f t="shared" si="1"/>
        <v>0</v>
      </c>
      <c r="F19" s="56"/>
      <c r="G19" s="68" t="s">
        <v>50</v>
      </c>
      <c r="H19" s="253"/>
      <c r="I19" s="253"/>
      <c r="J19" s="253"/>
      <c r="L19" s="6">
        <f>R35</f>
        <v>1102</v>
      </c>
      <c r="Q19" s="4"/>
      <c r="R19" s="5">
        <f t="shared" si="0"/>
        <v>0</v>
      </c>
    </row>
    <row r="20" spans="1:18" ht="15.75" x14ac:dyDescent="0.25">
      <c r="A20" s="128"/>
      <c r="B20" s="46" t="s">
        <v>108</v>
      </c>
      <c r="C20" s="10"/>
      <c r="D20" s="13">
        <f t="shared" si="1"/>
        <v>0</v>
      </c>
      <c r="F20" s="57"/>
      <c r="G20" s="70" t="s">
        <v>120</v>
      </c>
      <c r="H20" s="166"/>
      <c r="I20" s="166"/>
      <c r="J20" s="166"/>
      <c r="L20" s="6">
        <f>1102</f>
        <v>1102</v>
      </c>
      <c r="N20" s="1" t="s">
        <v>41</v>
      </c>
      <c r="Q20" s="4"/>
      <c r="R20" s="5">
        <f t="shared" si="0"/>
        <v>0</v>
      </c>
    </row>
    <row r="21" spans="1:18" ht="15.75" x14ac:dyDescent="0.25">
      <c r="A21" s="128"/>
      <c r="B21" s="14" t="s">
        <v>126</v>
      </c>
      <c r="C21" s="10"/>
      <c r="D21" s="48">
        <f t="shared" si="1"/>
        <v>0</v>
      </c>
      <c r="F21" s="69" t="s">
        <v>99</v>
      </c>
      <c r="G21" s="82" t="s">
        <v>98</v>
      </c>
      <c r="H21" s="186" t="s">
        <v>13</v>
      </c>
      <c r="I21" s="187"/>
      <c r="J21" s="188"/>
      <c r="L21" s="7">
        <v>650</v>
      </c>
      <c r="O21" t="s">
        <v>44</v>
      </c>
      <c r="P21" s="4">
        <v>1447</v>
      </c>
      <c r="Q21" s="4">
        <v>120</v>
      </c>
      <c r="R21" s="5">
        <f t="shared" si="0"/>
        <v>1567</v>
      </c>
    </row>
    <row r="22" spans="1:18" ht="15.75" x14ac:dyDescent="0.25">
      <c r="A22" s="128"/>
      <c r="B22" s="46" t="s">
        <v>104</v>
      </c>
      <c r="C22" s="10"/>
      <c r="D22" s="48">
        <f t="shared" si="1"/>
        <v>0</v>
      </c>
      <c r="F22" s="77"/>
      <c r="G22" s="73"/>
      <c r="H22" s="189"/>
      <c r="I22" s="189"/>
      <c r="J22" s="189"/>
      <c r="L22" s="7">
        <f>559+111</f>
        <v>670</v>
      </c>
      <c r="O22" t="s">
        <v>46</v>
      </c>
      <c r="P22" s="4">
        <v>1582</v>
      </c>
      <c r="Q22" s="4"/>
      <c r="R22" s="5">
        <f t="shared" si="0"/>
        <v>1582</v>
      </c>
    </row>
    <row r="23" spans="1:18" ht="15.75" x14ac:dyDescent="0.25">
      <c r="A23" s="128"/>
      <c r="B23" s="14" t="s">
        <v>107</v>
      </c>
      <c r="C23" s="10"/>
      <c r="D23" s="48">
        <f t="shared" si="1"/>
        <v>0</v>
      </c>
      <c r="F23" s="78"/>
      <c r="G23" s="79"/>
      <c r="H23" s="190"/>
      <c r="I23" s="191"/>
      <c r="J23" s="191"/>
      <c r="L23" s="47">
        <f>R33</f>
        <v>1175</v>
      </c>
      <c r="N23" s="1"/>
      <c r="O23" t="s">
        <v>48</v>
      </c>
      <c r="P23" s="4">
        <v>1728</v>
      </c>
      <c r="Q23" s="4"/>
      <c r="R23" s="5">
        <f t="shared" si="0"/>
        <v>1728</v>
      </c>
    </row>
    <row r="24" spans="1:18" ht="15.75" x14ac:dyDescent="0.25">
      <c r="A24" s="128"/>
      <c r="B24" s="14" t="s">
        <v>101</v>
      </c>
      <c r="C24" s="10"/>
      <c r="D24" s="48">
        <f t="shared" si="1"/>
        <v>0</v>
      </c>
      <c r="F24" s="38"/>
      <c r="G24" s="37"/>
      <c r="H24" s="190"/>
      <c r="I24" s="191"/>
      <c r="J24" s="191"/>
      <c r="L24" s="47">
        <v>1667</v>
      </c>
      <c r="N24" s="1"/>
      <c r="O24" t="s">
        <v>49</v>
      </c>
      <c r="P24" s="4">
        <v>1728</v>
      </c>
      <c r="Q24" s="4"/>
      <c r="R24" s="5">
        <f t="shared" si="0"/>
        <v>1728</v>
      </c>
    </row>
    <row r="25" spans="1:18" ht="15.75" x14ac:dyDescent="0.25">
      <c r="A25" s="128"/>
      <c r="B25" s="14" t="s">
        <v>116</v>
      </c>
      <c r="C25" s="10"/>
      <c r="D25" s="48">
        <f t="shared" si="1"/>
        <v>0</v>
      </c>
      <c r="F25" s="60" t="s">
        <v>100</v>
      </c>
      <c r="G25" s="55" t="s">
        <v>98</v>
      </c>
      <c r="H25" s="192" t="s">
        <v>13</v>
      </c>
      <c r="I25" s="193"/>
      <c r="J25" s="194"/>
      <c r="L25" s="47">
        <f>1582</f>
        <v>1582</v>
      </c>
      <c r="O25" t="s">
        <v>51</v>
      </c>
      <c r="P25" s="4">
        <v>1582</v>
      </c>
      <c r="Q25" s="4"/>
      <c r="R25" s="5">
        <f t="shared" si="0"/>
        <v>1582</v>
      </c>
    </row>
    <row r="26" spans="1:18" ht="15.75" x14ac:dyDescent="0.25">
      <c r="A26" s="128"/>
      <c r="B26" s="14" t="s">
        <v>105</v>
      </c>
      <c r="C26" s="10"/>
      <c r="D26" s="48">
        <f t="shared" si="1"/>
        <v>0</v>
      </c>
      <c r="F26" s="64"/>
      <c r="G26" s="59"/>
      <c r="H26" s="195"/>
      <c r="I26" s="196"/>
      <c r="J26" s="197"/>
      <c r="L26" s="7">
        <f>832/24+1.5</f>
        <v>36.166666666666664</v>
      </c>
      <c r="O26" t="s">
        <v>52</v>
      </c>
      <c r="P26" s="4">
        <v>1447</v>
      </c>
      <c r="Q26" s="4">
        <v>120</v>
      </c>
      <c r="R26" s="5">
        <f t="shared" si="0"/>
        <v>1567</v>
      </c>
    </row>
    <row r="27" spans="1:18" ht="14.45" customHeight="1" x14ac:dyDescent="0.25">
      <c r="A27" s="128"/>
      <c r="B27" s="14" t="s">
        <v>109</v>
      </c>
      <c r="C27" s="10"/>
      <c r="D27" s="44">
        <f t="shared" si="1"/>
        <v>0</v>
      </c>
      <c r="F27" s="25"/>
      <c r="G27" s="80"/>
      <c r="H27" s="198"/>
      <c r="I27" s="199"/>
      <c r="J27" s="200"/>
      <c r="L27" s="7">
        <v>1582</v>
      </c>
      <c r="O27" t="s">
        <v>53</v>
      </c>
      <c r="P27" s="4">
        <v>1582</v>
      </c>
      <c r="Q27" s="4"/>
      <c r="R27" s="5">
        <f t="shared" si="0"/>
        <v>1582</v>
      </c>
    </row>
    <row r="28" spans="1:18" ht="15.75" x14ac:dyDescent="0.25">
      <c r="A28" s="129"/>
      <c r="B28" s="46" t="s">
        <v>97</v>
      </c>
      <c r="C28" s="10">
        <v>5</v>
      </c>
      <c r="D28" s="48">
        <f t="shared" si="1"/>
        <v>3925</v>
      </c>
      <c r="F28" s="87"/>
      <c r="G28" s="61"/>
      <c r="H28" s="201"/>
      <c r="I28" s="202"/>
      <c r="J28" s="203"/>
      <c r="L28" s="7">
        <v>785</v>
      </c>
      <c r="O28" t="s">
        <v>54</v>
      </c>
      <c r="P28" s="4">
        <v>1447</v>
      </c>
      <c r="Q28" s="4">
        <v>120</v>
      </c>
      <c r="R28" s="5">
        <f t="shared" si="0"/>
        <v>1567</v>
      </c>
    </row>
    <row r="29" spans="1:18" x14ac:dyDescent="0.25">
      <c r="A29" s="167" t="s">
        <v>36</v>
      </c>
      <c r="B29" s="168"/>
      <c r="C29" s="169"/>
      <c r="D29" s="173">
        <f>SUM(D6:D28)</f>
        <v>237953</v>
      </c>
      <c r="F29" s="175" t="s">
        <v>55</v>
      </c>
      <c r="G29" s="176"/>
      <c r="H29" s="179">
        <f>H15-H16-H17-H18-H19-H20-H22-H23-H24+H26+H27</f>
        <v>198796.25</v>
      </c>
      <c r="I29" s="180"/>
      <c r="J29" s="181"/>
      <c r="O29" t="s">
        <v>56</v>
      </c>
      <c r="P29" s="4">
        <v>1582</v>
      </c>
      <c r="Q29" s="4"/>
      <c r="R29" s="5">
        <f t="shared" si="0"/>
        <v>1582</v>
      </c>
    </row>
    <row r="30" spans="1:18" x14ac:dyDescent="0.25">
      <c r="A30" s="170"/>
      <c r="B30" s="171"/>
      <c r="C30" s="172"/>
      <c r="D30" s="174"/>
      <c r="F30" s="177"/>
      <c r="G30" s="178"/>
      <c r="H30" s="182"/>
      <c r="I30" s="183"/>
      <c r="J30" s="184"/>
      <c r="N30" s="1"/>
      <c r="Q30" s="4"/>
      <c r="R30" s="5">
        <f t="shared" si="0"/>
        <v>0</v>
      </c>
    </row>
    <row r="31" spans="1:18" x14ac:dyDescent="0.25">
      <c r="A31" s="24"/>
      <c r="B31" s="24"/>
      <c r="C31" s="24"/>
      <c r="D31" s="24"/>
      <c r="F31" s="24"/>
      <c r="G31" s="24"/>
      <c r="O31" t="s">
        <v>57</v>
      </c>
      <c r="P31" s="4">
        <v>1052</v>
      </c>
      <c r="Q31" s="4">
        <v>120</v>
      </c>
      <c r="R31" s="5">
        <f t="shared" si="0"/>
        <v>1172</v>
      </c>
    </row>
    <row r="32" spans="1:18" x14ac:dyDescent="0.25">
      <c r="A32" s="114" t="s">
        <v>58</v>
      </c>
      <c r="B32" s="115"/>
      <c r="C32" s="115"/>
      <c r="D32" s="116"/>
      <c r="F32" s="204" t="s">
        <v>59</v>
      </c>
      <c r="G32" s="205"/>
      <c r="H32" s="205"/>
      <c r="I32" s="205"/>
      <c r="J32" s="206"/>
      <c r="O32" t="s">
        <v>60</v>
      </c>
      <c r="P32" s="4">
        <v>1005</v>
      </c>
      <c r="Q32" s="4">
        <v>120</v>
      </c>
      <c r="R32" s="5">
        <f t="shared" si="0"/>
        <v>1125</v>
      </c>
    </row>
    <row r="33" spans="1:18" x14ac:dyDescent="0.25">
      <c r="A33" s="25"/>
      <c r="B33" s="25" t="s">
        <v>11</v>
      </c>
      <c r="C33" s="25" t="s">
        <v>61</v>
      </c>
      <c r="D33" s="25" t="s">
        <v>13</v>
      </c>
      <c r="F33" s="25" t="s">
        <v>62</v>
      </c>
      <c r="G33" s="88" t="s">
        <v>63</v>
      </c>
      <c r="H33" s="204" t="s">
        <v>13</v>
      </c>
      <c r="I33" s="205"/>
      <c r="J33" s="206"/>
      <c r="O33" t="s">
        <v>64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27" t="s">
        <v>65</v>
      </c>
      <c r="B34" s="26" t="s">
        <v>66</v>
      </c>
      <c r="C34" s="51">
        <v>2</v>
      </c>
      <c r="D34" s="30">
        <f>C34*120</f>
        <v>240</v>
      </c>
      <c r="F34" s="12">
        <v>1000</v>
      </c>
      <c r="G34" s="74">
        <v>103</v>
      </c>
      <c r="H34" s="207">
        <f>F34*G34</f>
        <v>103000</v>
      </c>
      <c r="I34" s="208"/>
      <c r="J34" s="209"/>
      <c r="O34" t="s">
        <v>67</v>
      </c>
      <c r="P34" s="4">
        <v>832</v>
      </c>
      <c r="Q34" s="4">
        <v>120</v>
      </c>
      <c r="R34" s="5">
        <f t="shared" si="0"/>
        <v>952</v>
      </c>
    </row>
    <row r="35" spans="1:18" ht="15.75" x14ac:dyDescent="0.25">
      <c r="A35" s="128"/>
      <c r="B35" s="27" t="s">
        <v>68</v>
      </c>
      <c r="C35" s="52"/>
      <c r="D35" s="30">
        <f>C35*84</f>
        <v>0</v>
      </c>
      <c r="F35" s="58">
        <v>500</v>
      </c>
      <c r="G35" s="41">
        <v>20</v>
      </c>
      <c r="H35" s="207">
        <f>F35*G35</f>
        <v>10000</v>
      </c>
      <c r="I35" s="208"/>
      <c r="J35" s="209"/>
      <c r="O35" t="s">
        <v>69</v>
      </c>
      <c r="P35" s="4">
        <v>1102</v>
      </c>
      <c r="Q35" s="4"/>
      <c r="R35" s="5">
        <f t="shared" si="0"/>
        <v>1102</v>
      </c>
    </row>
    <row r="36" spans="1:18" ht="15.75" x14ac:dyDescent="0.25">
      <c r="A36" s="129"/>
      <c r="B36" s="26" t="s">
        <v>70</v>
      </c>
      <c r="C36" s="10"/>
      <c r="D36" s="12">
        <f>C36*1.5</f>
        <v>0</v>
      </c>
      <c r="F36" s="12">
        <v>200</v>
      </c>
      <c r="G36" s="37"/>
      <c r="H36" s="207">
        <f t="shared" ref="H36:H39" si="2">F36*G36</f>
        <v>0</v>
      </c>
      <c r="I36" s="208"/>
      <c r="J36" s="209"/>
      <c r="O36" t="s">
        <v>71</v>
      </c>
      <c r="P36" s="4">
        <v>852</v>
      </c>
      <c r="Q36" s="4">
        <v>120</v>
      </c>
      <c r="R36" s="5">
        <f t="shared" si="0"/>
        <v>972</v>
      </c>
    </row>
    <row r="37" spans="1:18" ht="15.75" x14ac:dyDescent="0.25">
      <c r="A37" s="127" t="s">
        <v>72</v>
      </c>
      <c r="B37" s="28" t="s">
        <v>66</v>
      </c>
      <c r="C37" s="53">
        <v>322</v>
      </c>
      <c r="D37" s="12">
        <f>C37*111</f>
        <v>35742</v>
      </c>
      <c r="F37" s="12">
        <v>100</v>
      </c>
      <c r="G37" s="39">
        <v>7</v>
      </c>
      <c r="H37" s="207">
        <f t="shared" si="2"/>
        <v>700</v>
      </c>
      <c r="I37" s="208"/>
      <c r="J37" s="209"/>
      <c r="O37" t="s">
        <v>73</v>
      </c>
      <c r="P37" s="4">
        <v>1020</v>
      </c>
      <c r="Q37" s="4">
        <v>120</v>
      </c>
      <c r="R37" s="5">
        <f t="shared" si="0"/>
        <v>1140</v>
      </c>
    </row>
    <row r="38" spans="1:18" ht="15.75" x14ac:dyDescent="0.25">
      <c r="A38" s="128"/>
      <c r="B38" s="29" t="s">
        <v>68</v>
      </c>
      <c r="C38" s="54">
        <v>4</v>
      </c>
      <c r="D38" s="12">
        <f>C38*84</f>
        <v>336</v>
      </c>
      <c r="F38" s="30">
        <v>50</v>
      </c>
      <c r="G38" s="39">
        <v>3</v>
      </c>
      <c r="H38" s="207">
        <f t="shared" si="2"/>
        <v>150</v>
      </c>
      <c r="I38" s="208"/>
      <c r="J38" s="209"/>
      <c r="O38" t="s">
        <v>74</v>
      </c>
      <c r="P38" s="4">
        <v>596</v>
      </c>
      <c r="Q38" s="4">
        <v>111</v>
      </c>
      <c r="R38" s="5">
        <f t="shared" si="0"/>
        <v>707</v>
      </c>
    </row>
    <row r="39" spans="1:18" ht="15.75" x14ac:dyDescent="0.25">
      <c r="A39" s="129"/>
      <c r="B39" s="29" t="s">
        <v>70</v>
      </c>
      <c r="C39" s="52"/>
      <c r="D39" s="31">
        <f>C39*4.5</f>
        <v>0</v>
      </c>
      <c r="F39" s="12">
        <v>20</v>
      </c>
      <c r="G39" s="37"/>
      <c r="H39" s="207">
        <f t="shared" si="2"/>
        <v>0</v>
      </c>
      <c r="I39" s="208"/>
      <c r="J39" s="209"/>
      <c r="O39" t="s">
        <v>75</v>
      </c>
      <c r="P39" s="4">
        <v>1175</v>
      </c>
      <c r="Q39" s="4"/>
      <c r="R39" s="5">
        <f t="shared" si="0"/>
        <v>1175</v>
      </c>
    </row>
    <row r="40" spans="1:18" ht="15.75" x14ac:dyDescent="0.25">
      <c r="A40" s="127" t="s">
        <v>76</v>
      </c>
      <c r="B40" s="27" t="s">
        <v>66</v>
      </c>
      <c r="C40" s="63">
        <v>3</v>
      </c>
      <c r="D40" s="12">
        <f>C40*111</f>
        <v>333</v>
      </c>
      <c r="F40" s="12">
        <v>10</v>
      </c>
      <c r="G40" s="42"/>
      <c r="H40" s="207"/>
      <c r="I40" s="208"/>
      <c r="J40" s="209"/>
      <c r="O40" t="s">
        <v>77</v>
      </c>
      <c r="P40" s="4">
        <v>913</v>
      </c>
      <c r="Q40" s="4">
        <v>120</v>
      </c>
      <c r="R40" s="5">
        <f t="shared" si="0"/>
        <v>1033</v>
      </c>
    </row>
    <row r="41" spans="1:18" ht="15.75" x14ac:dyDescent="0.25">
      <c r="A41" s="128"/>
      <c r="B41" s="27" t="s">
        <v>68</v>
      </c>
      <c r="C41" s="10">
        <v>1</v>
      </c>
      <c r="D41" s="12">
        <f>C41*84</f>
        <v>84</v>
      </c>
      <c r="F41" s="12">
        <v>5</v>
      </c>
      <c r="G41" s="42"/>
      <c r="H41" s="207"/>
      <c r="I41" s="208"/>
      <c r="J41" s="209"/>
      <c r="K41" s="21"/>
      <c r="O41" t="s">
        <v>78</v>
      </c>
      <c r="P41" s="4">
        <v>614</v>
      </c>
      <c r="Q41" s="4">
        <v>111</v>
      </c>
      <c r="R41" s="5">
        <f t="shared" si="0"/>
        <v>725</v>
      </c>
    </row>
    <row r="42" spans="1:18" ht="15.75" x14ac:dyDescent="0.25">
      <c r="A42" s="129"/>
      <c r="B42" s="27" t="s">
        <v>70</v>
      </c>
      <c r="C42" s="11">
        <v>11</v>
      </c>
      <c r="D42" s="12">
        <f>C42*2.25</f>
        <v>24.75</v>
      </c>
      <c r="F42" s="39" t="s">
        <v>79</v>
      </c>
      <c r="G42" s="207">
        <v>521</v>
      </c>
      <c r="H42" s="208"/>
      <c r="I42" s="208"/>
      <c r="J42" s="209"/>
      <c r="K42" s="36"/>
      <c r="O42" t="s">
        <v>80</v>
      </c>
      <c r="P42" s="4">
        <v>626</v>
      </c>
      <c r="Q42" s="4">
        <v>111</v>
      </c>
      <c r="R42" s="5">
        <f t="shared" si="0"/>
        <v>737</v>
      </c>
    </row>
    <row r="43" spans="1:18" ht="15.75" x14ac:dyDescent="0.25">
      <c r="A43" s="210" t="s">
        <v>81</v>
      </c>
      <c r="C43" s="11"/>
      <c r="D43" s="12"/>
      <c r="F43" s="59" t="s">
        <v>82</v>
      </c>
      <c r="G43" s="84" t="s">
        <v>83</v>
      </c>
      <c r="H43" s="213" t="s">
        <v>13</v>
      </c>
      <c r="I43" s="214"/>
      <c r="J43" s="215"/>
      <c r="K43" s="21"/>
      <c r="P43" s="4"/>
      <c r="Q43" s="4"/>
      <c r="R43" s="5"/>
    </row>
    <row r="44" spans="1:18" ht="15.75" x14ac:dyDescent="0.25">
      <c r="A44" s="211"/>
      <c r="B44" s="27" t="s">
        <v>66</v>
      </c>
      <c r="C44" s="10">
        <v>2</v>
      </c>
      <c r="D44" s="12">
        <f>C44*120</f>
        <v>240</v>
      </c>
      <c r="F44" s="37" t="s">
        <v>144</v>
      </c>
      <c r="G44" s="76" t="s">
        <v>146</v>
      </c>
      <c r="H44" s="191">
        <v>84520</v>
      </c>
      <c r="I44" s="191"/>
      <c r="J44" s="191"/>
      <c r="K44" s="21"/>
      <c r="P44" s="4"/>
      <c r="Q44" s="4"/>
      <c r="R44" s="5"/>
    </row>
    <row r="45" spans="1:18" ht="15.75" x14ac:dyDescent="0.25">
      <c r="A45" s="211"/>
      <c r="B45" s="27" t="s">
        <v>68</v>
      </c>
      <c r="C45" s="33">
        <v>1</v>
      </c>
      <c r="D45" s="12">
        <f>C45*84</f>
        <v>84</v>
      </c>
      <c r="F45" s="37"/>
      <c r="G45" s="76"/>
      <c r="H45" s="191"/>
      <c r="I45" s="191"/>
      <c r="J45" s="191"/>
      <c r="K45" s="21"/>
      <c r="P45" s="4"/>
      <c r="Q45" s="4"/>
      <c r="R45" s="5"/>
    </row>
    <row r="46" spans="1:18" ht="15.75" x14ac:dyDescent="0.25">
      <c r="A46" s="211"/>
      <c r="B46" s="49" t="s">
        <v>70</v>
      </c>
      <c r="C46" s="81">
        <v>3</v>
      </c>
      <c r="D46" s="12">
        <f>C46*1.5</f>
        <v>4.5</v>
      </c>
      <c r="F46" s="37"/>
      <c r="G46" s="62"/>
      <c r="H46" s="216"/>
      <c r="I46" s="216"/>
      <c r="J46" s="216"/>
      <c r="K46" s="21"/>
      <c r="P46" s="4"/>
      <c r="Q46" s="4"/>
      <c r="R46" s="5"/>
    </row>
    <row r="47" spans="1:18" ht="15.75" x14ac:dyDescent="0.25">
      <c r="A47" s="212"/>
      <c r="B47" s="27"/>
      <c r="C47" s="11"/>
      <c r="D47" s="12"/>
      <c r="F47" s="59"/>
      <c r="G47" s="59"/>
      <c r="H47" s="217"/>
      <c r="I47" s="218"/>
      <c r="J47" s="219"/>
      <c r="K47" s="21"/>
      <c r="P47" s="4"/>
      <c r="Q47" s="4"/>
      <c r="R47" s="5"/>
    </row>
    <row r="48" spans="1:18" ht="15" customHeight="1" x14ac:dyDescent="0.25">
      <c r="A48" s="210" t="s">
        <v>32</v>
      </c>
      <c r="B48" s="27" t="s">
        <v>66</v>
      </c>
      <c r="C48" s="10">
        <v>3</v>
      </c>
      <c r="D48" s="12">
        <f>C48*78</f>
        <v>234</v>
      </c>
      <c r="F48" s="59"/>
      <c r="G48" s="59"/>
      <c r="H48" s="217"/>
      <c r="I48" s="218"/>
      <c r="J48" s="219"/>
      <c r="K48" s="35"/>
      <c r="O48" t="s">
        <v>84</v>
      </c>
      <c r="P48" s="4">
        <v>1175</v>
      </c>
      <c r="Q48" s="4"/>
      <c r="R48" s="5">
        <f t="shared" si="0"/>
        <v>1175</v>
      </c>
    </row>
    <row r="49" spans="1:18" ht="15.75" x14ac:dyDescent="0.25">
      <c r="A49" s="211"/>
      <c r="B49" s="29" t="s">
        <v>68</v>
      </c>
      <c r="C49" s="33"/>
      <c r="D49" s="12">
        <f>C49*42</f>
        <v>0</v>
      </c>
      <c r="F49" s="232" t="s">
        <v>86</v>
      </c>
      <c r="G49" s="179">
        <f>H34+H35+H36+H37+H38+H39+H40+H41+G42+H44+H45+H46</f>
        <v>198891</v>
      </c>
      <c r="H49" s="180"/>
      <c r="I49" s="180"/>
      <c r="J49" s="181"/>
      <c r="O49" t="s">
        <v>85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211"/>
      <c r="B50" s="32" t="s">
        <v>70</v>
      </c>
      <c r="C50" s="11">
        <v>3</v>
      </c>
      <c r="D50" s="12">
        <f>C50*1.5</f>
        <v>4.5</v>
      </c>
      <c r="F50" s="233"/>
      <c r="G50" s="182"/>
      <c r="H50" s="183"/>
      <c r="I50" s="183"/>
      <c r="J50" s="184"/>
      <c r="P50" s="4"/>
      <c r="Q50" s="4"/>
      <c r="R50" s="5"/>
    </row>
    <row r="51" spans="1:18" ht="15" customHeight="1" x14ac:dyDescent="0.25">
      <c r="A51" s="211"/>
      <c r="B51" s="27"/>
      <c r="C51" s="10"/>
      <c r="D51" s="31"/>
      <c r="F51" s="234" t="s">
        <v>143</v>
      </c>
      <c r="G51" s="236">
        <f>G49-H29</f>
        <v>94.75</v>
      </c>
      <c r="H51" s="237"/>
      <c r="I51" s="237"/>
      <c r="J51" s="238"/>
      <c r="K51" s="21"/>
      <c r="O51" t="s">
        <v>87</v>
      </c>
      <c r="P51" s="4">
        <v>703</v>
      </c>
      <c r="Q51" s="4">
        <v>120</v>
      </c>
      <c r="R51" s="5">
        <f t="shared" si="0"/>
        <v>823</v>
      </c>
    </row>
    <row r="52" spans="1:18" ht="15.75" x14ac:dyDescent="0.25">
      <c r="A52" s="211"/>
      <c r="B52" s="29"/>
      <c r="C52" s="33"/>
      <c r="D52" s="45"/>
      <c r="F52" s="235"/>
      <c r="G52" s="239"/>
      <c r="H52" s="240"/>
      <c r="I52" s="240"/>
      <c r="J52" s="241"/>
      <c r="K52" s="21"/>
      <c r="O52" t="s">
        <v>88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212"/>
      <c r="B53" s="32"/>
      <c r="C53" s="11"/>
      <c r="D53" s="12"/>
      <c r="F53" s="35"/>
      <c r="G53" s="24"/>
      <c r="H53" s="24"/>
      <c r="I53" s="24"/>
      <c r="J53" s="17"/>
      <c r="N53" s="1"/>
      <c r="O53" t="s">
        <v>89</v>
      </c>
      <c r="P53" s="4">
        <v>1142</v>
      </c>
    </row>
    <row r="54" spans="1:18" x14ac:dyDescent="0.25">
      <c r="A54" s="175" t="s">
        <v>90</v>
      </c>
      <c r="B54" s="220"/>
      <c r="C54" s="221"/>
      <c r="D54" s="224">
        <f>SUM(D34:D53)</f>
        <v>37326.75</v>
      </c>
      <c r="F54" s="21"/>
      <c r="J54" s="34"/>
    </row>
    <row r="55" spans="1:18" x14ac:dyDescent="0.25">
      <c r="A55" s="177"/>
      <c r="B55" s="222"/>
      <c r="C55" s="223"/>
      <c r="D55" s="225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118</v>
      </c>
      <c r="D57" s="34"/>
      <c r="F57" s="36"/>
      <c r="G57" s="50"/>
      <c r="H57" s="50"/>
      <c r="I57" s="50"/>
      <c r="J57" s="43"/>
    </row>
    <row r="58" spans="1:18" x14ac:dyDescent="0.25">
      <c r="A58" s="226" t="s">
        <v>91</v>
      </c>
      <c r="B58" s="227"/>
      <c r="C58" s="227"/>
      <c r="D58" s="228"/>
      <c r="F58" s="226" t="s">
        <v>92</v>
      </c>
      <c r="G58" s="227"/>
      <c r="H58" s="227"/>
      <c r="I58" s="227"/>
      <c r="J58" s="228"/>
    </row>
    <row r="59" spans="1:18" x14ac:dyDescent="0.25">
      <c r="A59" s="229"/>
      <c r="B59" s="230"/>
      <c r="C59" s="230"/>
      <c r="D59" s="231"/>
      <c r="F59" s="229"/>
      <c r="G59" s="230"/>
      <c r="H59" s="230"/>
      <c r="I59" s="230"/>
      <c r="J59" s="231"/>
    </row>
  </sheetData>
  <mergeCells count="68"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  <mergeCell ref="A43:A47"/>
    <mergeCell ref="H43:J43"/>
    <mergeCell ref="H44:J44"/>
    <mergeCell ref="H45:J45"/>
    <mergeCell ref="H46:J46"/>
    <mergeCell ref="H47:J47"/>
    <mergeCell ref="A37:A39"/>
    <mergeCell ref="H37:J37"/>
    <mergeCell ref="H38:J38"/>
    <mergeCell ref="H39:J39"/>
    <mergeCell ref="A40:A42"/>
    <mergeCell ref="H40:J40"/>
    <mergeCell ref="H41:J41"/>
    <mergeCell ref="G42:J42"/>
    <mergeCell ref="A32:D32"/>
    <mergeCell ref="F32:J32"/>
    <mergeCell ref="H33:J33"/>
    <mergeCell ref="A34:A36"/>
    <mergeCell ref="H34:J34"/>
    <mergeCell ref="H35:J35"/>
    <mergeCell ref="H36:J36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H13:J13"/>
    <mergeCell ref="F14:G14"/>
    <mergeCell ref="H14:J14"/>
    <mergeCell ref="F15:G15"/>
    <mergeCell ref="H15:J15"/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BB8245C-2F03-4D7E-9D64-49283D24D41D}">
  <dimension ref="A1:S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9" x14ac:dyDescent="0.25">
      <c r="A1" t="s">
        <v>0</v>
      </c>
      <c r="N1" s="113" t="s">
        <v>1</v>
      </c>
      <c r="O1" s="113"/>
      <c r="P1" s="90" t="s">
        <v>2</v>
      </c>
      <c r="Q1" s="90" t="s">
        <v>3</v>
      </c>
      <c r="R1" s="2" t="s">
        <v>4</v>
      </c>
    </row>
    <row r="2" spans="1:19" x14ac:dyDescent="0.25">
      <c r="A2" t="s">
        <v>5</v>
      </c>
      <c r="N2" s="1"/>
    </row>
    <row r="3" spans="1:19" x14ac:dyDescent="0.25">
      <c r="N3" s="1" t="s">
        <v>6</v>
      </c>
      <c r="O3" s="4"/>
    </row>
    <row r="4" spans="1:19" x14ac:dyDescent="0.25">
      <c r="A4" s="114" t="s">
        <v>7</v>
      </c>
      <c r="B4" s="115"/>
      <c r="C4" s="115"/>
      <c r="D4" s="116"/>
      <c r="F4" s="117" t="s">
        <v>8</v>
      </c>
      <c r="G4" s="119"/>
      <c r="H4" s="121" t="s">
        <v>9</v>
      </c>
      <c r="I4" s="123"/>
      <c r="J4" s="124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9" x14ac:dyDescent="0.25">
      <c r="A5" s="127" t="s">
        <v>7</v>
      </c>
      <c r="B5" s="15" t="s">
        <v>11</v>
      </c>
      <c r="C5" s="9" t="s">
        <v>12</v>
      </c>
      <c r="D5" s="25" t="s">
        <v>13</v>
      </c>
      <c r="F5" s="118"/>
      <c r="G5" s="120"/>
      <c r="H5" s="122"/>
      <c r="I5" s="125"/>
      <c r="J5" s="126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9" ht="14.45" customHeight="1" x14ac:dyDescent="0.25">
      <c r="A6" s="128"/>
      <c r="B6" s="16"/>
      <c r="C6" s="10"/>
      <c r="D6" s="13">
        <f t="shared" ref="D6:D28" si="1">C6*L6</f>
        <v>0</v>
      </c>
      <c r="F6" s="130" t="s">
        <v>16</v>
      </c>
      <c r="G6" s="132"/>
      <c r="H6" s="133"/>
      <c r="I6" s="133"/>
      <c r="J6" s="134"/>
      <c r="K6" s="8"/>
      <c r="L6" s="6">
        <f>R42</f>
        <v>737</v>
      </c>
      <c r="O6" t="s">
        <v>17</v>
      </c>
      <c r="P6" s="4">
        <v>650</v>
      </c>
      <c r="Q6" s="4"/>
      <c r="R6" s="5">
        <f t="shared" si="0"/>
        <v>650</v>
      </c>
    </row>
    <row r="7" spans="1:19" ht="14.45" customHeight="1" x14ac:dyDescent="0.25">
      <c r="A7" s="128"/>
      <c r="B7" s="16"/>
      <c r="C7" s="10"/>
      <c r="D7" s="13">
        <f t="shared" si="1"/>
        <v>0</v>
      </c>
      <c r="F7" s="131"/>
      <c r="G7" s="135"/>
      <c r="H7" s="136"/>
      <c r="I7" s="136"/>
      <c r="J7" s="137"/>
      <c r="K7" s="8"/>
      <c r="L7" s="6">
        <f>R41</f>
        <v>725</v>
      </c>
      <c r="P7" s="4"/>
      <c r="Q7" s="4"/>
      <c r="R7" s="5"/>
    </row>
    <row r="8" spans="1:19" ht="14.45" customHeight="1" x14ac:dyDescent="0.25">
      <c r="A8" s="128"/>
      <c r="B8" s="16"/>
      <c r="C8" s="10"/>
      <c r="D8" s="13">
        <f t="shared" si="1"/>
        <v>0</v>
      </c>
      <c r="F8" s="138" t="s">
        <v>21</v>
      </c>
      <c r="G8" s="140"/>
      <c r="H8" s="141"/>
      <c r="I8" s="141"/>
      <c r="J8" s="142"/>
      <c r="K8" s="8"/>
      <c r="L8" s="6">
        <f>R40</f>
        <v>1033</v>
      </c>
      <c r="P8" s="4"/>
      <c r="Q8" s="4"/>
      <c r="R8" s="5"/>
    </row>
    <row r="9" spans="1:19" ht="14.45" customHeight="1" x14ac:dyDescent="0.25">
      <c r="A9" s="128"/>
      <c r="B9" s="16"/>
      <c r="C9" s="10"/>
      <c r="D9" s="13">
        <f t="shared" si="1"/>
        <v>0</v>
      </c>
      <c r="F9" s="131"/>
      <c r="G9" s="143"/>
      <c r="H9" s="144"/>
      <c r="I9" s="144"/>
      <c r="J9" s="145"/>
      <c r="K9" s="8"/>
      <c r="L9" s="6">
        <f>R38</f>
        <v>707</v>
      </c>
      <c r="P9" s="4"/>
      <c r="Q9" s="4"/>
      <c r="R9" s="5"/>
    </row>
    <row r="10" spans="1:19" ht="14.45" customHeight="1" x14ac:dyDescent="0.25">
      <c r="A10" s="128"/>
      <c r="C10" s="10"/>
      <c r="D10" s="13">
        <f t="shared" si="1"/>
        <v>0</v>
      </c>
      <c r="F10" s="130" t="s">
        <v>26</v>
      </c>
      <c r="G10" s="146"/>
      <c r="H10" s="147"/>
      <c r="I10" s="147"/>
      <c r="J10" s="148"/>
      <c r="K10" s="8"/>
      <c r="L10" s="6">
        <f>R36</f>
        <v>972</v>
      </c>
      <c r="P10" s="4"/>
      <c r="Q10" s="4"/>
      <c r="R10" s="5"/>
    </row>
    <row r="11" spans="1:19" ht="15.75" x14ac:dyDescent="0.25">
      <c r="A11" s="128"/>
      <c r="B11" s="17"/>
      <c r="C11" s="10"/>
      <c r="D11" s="13">
        <f t="shared" si="1"/>
        <v>0</v>
      </c>
      <c r="F11" s="131"/>
      <c r="G11" s="143"/>
      <c r="H11" s="144"/>
      <c r="I11" s="144"/>
      <c r="J11" s="145"/>
      <c r="K11" s="22"/>
      <c r="L11" s="6">
        <f>R32</f>
        <v>1125</v>
      </c>
      <c r="O11" t="s">
        <v>19</v>
      </c>
      <c r="P11" s="4">
        <v>650</v>
      </c>
      <c r="Q11" s="4"/>
      <c r="R11" s="5">
        <f t="shared" si="0"/>
        <v>650</v>
      </c>
    </row>
    <row r="12" spans="1:19" ht="15.75" x14ac:dyDescent="0.25">
      <c r="A12" s="128"/>
      <c r="B12" s="17"/>
      <c r="C12" s="10"/>
      <c r="D12" s="48">
        <f t="shared" si="1"/>
        <v>0</v>
      </c>
      <c r="F12" s="149" t="s">
        <v>33</v>
      </c>
      <c r="G12" s="150"/>
      <c r="H12" s="150"/>
      <c r="I12" s="150"/>
      <c r="J12" s="151"/>
      <c r="K12" s="23"/>
      <c r="L12" s="6">
        <f>R34</f>
        <v>952</v>
      </c>
      <c r="O12" t="s">
        <v>22</v>
      </c>
      <c r="P12" s="4">
        <v>650</v>
      </c>
      <c r="Q12" s="4"/>
      <c r="R12" s="5">
        <f t="shared" si="0"/>
        <v>650</v>
      </c>
    </row>
    <row r="13" spans="1:19" ht="15.75" x14ac:dyDescent="0.25">
      <c r="A13" s="128"/>
      <c r="B13" s="17"/>
      <c r="C13" s="10"/>
      <c r="D13" s="48">
        <f t="shared" si="1"/>
        <v>0</v>
      </c>
      <c r="F13" s="152" t="s">
        <v>36</v>
      </c>
      <c r="G13" s="153"/>
      <c r="H13" s="154">
        <f>D29</f>
        <v>0</v>
      </c>
      <c r="I13" s="155"/>
      <c r="J13" s="156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9" ht="15.75" x14ac:dyDescent="0.25">
      <c r="A14" s="128"/>
      <c r="B14" s="14"/>
      <c r="C14" s="10"/>
      <c r="D14" s="31">
        <f t="shared" si="1"/>
        <v>0</v>
      </c>
      <c r="F14" s="157" t="s">
        <v>39</v>
      </c>
      <c r="G14" s="158"/>
      <c r="H14" s="159">
        <f>D54</f>
        <v>0</v>
      </c>
      <c r="I14" s="160"/>
      <c r="J14" s="161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  <c r="S14">
        <f>205+78</f>
        <v>283</v>
      </c>
    </row>
    <row r="15" spans="1:19" ht="15.75" x14ac:dyDescent="0.25">
      <c r="A15" s="128"/>
      <c r="B15" s="14"/>
      <c r="C15" s="10"/>
      <c r="D15" s="31">
        <f t="shared" si="1"/>
        <v>0</v>
      </c>
      <c r="F15" s="162" t="s">
        <v>40</v>
      </c>
      <c r="G15" s="153"/>
      <c r="H15" s="163">
        <f>H13-H14</f>
        <v>0</v>
      </c>
      <c r="I15" s="164"/>
      <c r="J15" s="165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  <c r="S15">
        <f>229+78</f>
        <v>307</v>
      </c>
    </row>
    <row r="16" spans="1:19" ht="15.75" x14ac:dyDescent="0.25">
      <c r="A16" s="128"/>
      <c r="B16" s="18"/>
      <c r="C16" s="10"/>
      <c r="D16" s="48">
        <f t="shared" si="1"/>
        <v>0</v>
      </c>
      <c r="F16" s="67" t="s">
        <v>42</v>
      </c>
      <c r="G16" s="66" t="s">
        <v>43</v>
      </c>
      <c r="H16" s="166"/>
      <c r="I16" s="166"/>
      <c r="J16" s="166"/>
      <c r="L16" s="6">
        <f>R28</f>
        <v>1567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28"/>
      <c r="C17" s="10"/>
      <c r="D17" s="48">
        <f t="shared" si="1"/>
        <v>0</v>
      </c>
      <c r="F17" s="56"/>
      <c r="G17" s="66" t="s">
        <v>45</v>
      </c>
      <c r="H17" s="139"/>
      <c r="I17" s="139"/>
      <c r="J17" s="139"/>
      <c r="L17" s="6">
        <v>1582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28"/>
      <c r="B18" s="19"/>
      <c r="C18" s="10"/>
      <c r="D18" s="48">
        <f t="shared" si="1"/>
        <v>0</v>
      </c>
      <c r="F18" s="56"/>
      <c r="G18" s="66" t="s">
        <v>47</v>
      </c>
      <c r="H18" s="139"/>
      <c r="I18" s="139"/>
      <c r="J18" s="139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28"/>
      <c r="B19" s="14"/>
      <c r="C19" s="10"/>
      <c r="D19" s="48">
        <f t="shared" si="1"/>
        <v>0</v>
      </c>
      <c r="F19" s="56"/>
      <c r="G19" s="68" t="s">
        <v>50</v>
      </c>
      <c r="H19" s="185"/>
      <c r="I19" s="185"/>
      <c r="J19" s="185"/>
      <c r="L19" s="6">
        <f>R35</f>
        <v>1102</v>
      </c>
      <c r="Q19" s="4"/>
      <c r="R19" s="5">
        <f t="shared" si="0"/>
        <v>0</v>
      </c>
    </row>
    <row r="20" spans="1:18" ht="15.75" x14ac:dyDescent="0.25">
      <c r="A20" s="128"/>
      <c r="B20" s="46"/>
      <c r="C20" s="10"/>
      <c r="D20" s="13">
        <f t="shared" si="1"/>
        <v>0</v>
      </c>
      <c r="F20" s="57"/>
      <c r="G20" s="70" t="s">
        <v>120</v>
      </c>
      <c r="H20" s="166"/>
      <c r="I20" s="166"/>
      <c r="J20" s="166"/>
      <c r="L20" s="6">
        <f>1102</f>
        <v>1102</v>
      </c>
      <c r="N20" s="1" t="s">
        <v>41</v>
      </c>
      <c r="Q20" s="4"/>
      <c r="R20" s="5">
        <f t="shared" si="0"/>
        <v>0</v>
      </c>
    </row>
    <row r="21" spans="1:18" ht="15.75" x14ac:dyDescent="0.25">
      <c r="A21" s="128"/>
      <c r="B21" s="14"/>
      <c r="C21" s="10"/>
      <c r="D21" s="48">
        <f t="shared" si="1"/>
        <v>0</v>
      </c>
      <c r="F21" s="69" t="s">
        <v>99</v>
      </c>
      <c r="G21" s="82" t="s">
        <v>98</v>
      </c>
      <c r="H21" s="186" t="s">
        <v>13</v>
      </c>
      <c r="I21" s="187"/>
      <c r="J21" s="188"/>
      <c r="L21" s="7">
        <v>650</v>
      </c>
      <c r="O21" t="s">
        <v>44</v>
      </c>
      <c r="P21" s="4">
        <v>1447</v>
      </c>
      <c r="Q21" s="4">
        <v>120</v>
      </c>
      <c r="R21" s="5">
        <f t="shared" si="0"/>
        <v>1567</v>
      </c>
    </row>
    <row r="22" spans="1:18" ht="15.75" x14ac:dyDescent="0.25">
      <c r="A22" s="128"/>
      <c r="B22" s="46"/>
      <c r="C22" s="10"/>
      <c r="D22" s="48">
        <f t="shared" si="1"/>
        <v>0</v>
      </c>
      <c r="F22" s="77"/>
      <c r="G22" s="73"/>
      <c r="H22" s="189"/>
      <c r="I22" s="189"/>
      <c r="J22" s="189"/>
      <c r="L22" s="7">
        <f>559+111</f>
        <v>670</v>
      </c>
      <c r="O22" t="s">
        <v>46</v>
      </c>
      <c r="P22" s="4">
        <v>1582</v>
      </c>
      <c r="Q22" s="4"/>
      <c r="R22" s="5">
        <f t="shared" si="0"/>
        <v>1582</v>
      </c>
    </row>
    <row r="23" spans="1:18" ht="15.75" x14ac:dyDescent="0.25">
      <c r="A23" s="128"/>
      <c r="B23" s="14"/>
      <c r="C23" s="10"/>
      <c r="D23" s="48">
        <f t="shared" si="1"/>
        <v>0</v>
      </c>
      <c r="F23" s="78"/>
      <c r="G23" s="79"/>
      <c r="H23" s="190"/>
      <c r="I23" s="191"/>
      <c r="J23" s="191"/>
      <c r="L23" s="47">
        <f>R33</f>
        <v>1175</v>
      </c>
      <c r="N23" s="1"/>
      <c r="O23" t="s">
        <v>48</v>
      </c>
      <c r="P23" s="4">
        <v>1728</v>
      </c>
      <c r="Q23" s="4"/>
      <c r="R23" s="5">
        <f t="shared" si="0"/>
        <v>1728</v>
      </c>
    </row>
    <row r="24" spans="1:18" ht="15.75" x14ac:dyDescent="0.25">
      <c r="A24" s="128"/>
      <c r="B24" s="14"/>
      <c r="C24" s="10"/>
      <c r="D24" s="48">
        <f t="shared" si="1"/>
        <v>0</v>
      </c>
      <c r="F24" s="38"/>
      <c r="G24" s="37"/>
      <c r="H24" s="190"/>
      <c r="I24" s="191"/>
      <c r="J24" s="191"/>
      <c r="L24" s="47">
        <v>1667</v>
      </c>
      <c r="N24" s="1"/>
      <c r="O24" t="s">
        <v>49</v>
      </c>
      <c r="P24" s="4">
        <v>1728</v>
      </c>
      <c r="Q24" s="4"/>
      <c r="R24" s="5">
        <f t="shared" si="0"/>
        <v>1728</v>
      </c>
    </row>
    <row r="25" spans="1:18" ht="15.75" x14ac:dyDescent="0.25">
      <c r="A25" s="128"/>
      <c r="B25" s="14"/>
      <c r="C25" s="10"/>
      <c r="D25" s="48">
        <f t="shared" si="1"/>
        <v>0</v>
      </c>
      <c r="F25" s="60" t="s">
        <v>100</v>
      </c>
      <c r="G25" s="55" t="s">
        <v>98</v>
      </c>
      <c r="H25" s="192" t="s">
        <v>13</v>
      </c>
      <c r="I25" s="193"/>
      <c r="J25" s="194"/>
      <c r="L25" s="47">
        <f>1582</f>
        <v>1582</v>
      </c>
      <c r="O25" t="s">
        <v>51</v>
      </c>
      <c r="P25" s="4">
        <v>1582</v>
      </c>
      <c r="Q25" s="4"/>
      <c r="R25" s="5">
        <f t="shared" si="0"/>
        <v>1582</v>
      </c>
    </row>
    <row r="26" spans="1:18" ht="15.75" x14ac:dyDescent="0.25">
      <c r="A26" s="128"/>
      <c r="B26" s="14"/>
      <c r="C26" s="10"/>
      <c r="D26" s="48">
        <f t="shared" si="1"/>
        <v>0</v>
      </c>
      <c r="F26" s="64"/>
      <c r="G26" s="59"/>
      <c r="H26" s="195"/>
      <c r="I26" s="196"/>
      <c r="J26" s="197"/>
      <c r="L26" s="7">
        <f>832/24+1.5</f>
        <v>36.166666666666664</v>
      </c>
      <c r="O26" t="s">
        <v>52</v>
      </c>
      <c r="P26" s="4">
        <v>1447</v>
      </c>
      <c r="Q26" s="4">
        <v>120</v>
      </c>
      <c r="R26" s="5">
        <f t="shared" si="0"/>
        <v>1567</v>
      </c>
    </row>
    <row r="27" spans="1:18" ht="14.45" customHeight="1" x14ac:dyDescent="0.25">
      <c r="A27" s="128"/>
      <c r="B27" s="14"/>
      <c r="C27" s="10"/>
      <c r="D27" s="44">
        <f t="shared" si="1"/>
        <v>0</v>
      </c>
      <c r="F27" s="25"/>
      <c r="G27" s="80"/>
      <c r="H27" s="198"/>
      <c r="I27" s="199"/>
      <c r="J27" s="200"/>
      <c r="L27" s="7">
        <v>1582</v>
      </c>
      <c r="O27" t="s">
        <v>53</v>
      </c>
      <c r="P27" s="4">
        <v>1582</v>
      </c>
      <c r="Q27" s="4"/>
      <c r="R27" s="5">
        <f t="shared" si="0"/>
        <v>1582</v>
      </c>
    </row>
    <row r="28" spans="1:18" ht="15.75" x14ac:dyDescent="0.25">
      <c r="A28" s="129"/>
      <c r="B28" s="46"/>
      <c r="C28" s="10"/>
      <c r="D28" s="48">
        <f t="shared" si="1"/>
        <v>0</v>
      </c>
      <c r="F28" s="91"/>
      <c r="G28" s="61"/>
      <c r="H28" s="201"/>
      <c r="I28" s="202"/>
      <c r="J28" s="203"/>
      <c r="L28" s="7">
        <v>785</v>
      </c>
      <c r="O28" t="s">
        <v>54</v>
      </c>
      <c r="P28" s="4">
        <v>1447</v>
      </c>
      <c r="Q28" s="4">
        <v>120</v>
      </c>
      <c r="R28" s="5">
        <f t="shared" si="0"/>
        <v>1567</v>
      </c>
    </row>
    <row r="29" spans="1:18" x14ac:dyDescent="0.25">
      <c r="A29" s="167" t="s">
        <v>36</v>
      </c>
      <c r="B29" s="168"/>
      <c r="C29" s="169"/>
      <c r="D29" s="173">
        <f>SUM(D6:D28)</f>
        <v>0</v>
      </c>
      <c r="F29" s="175" t="s">
        <v>55</v>
      </c>
      <c r="G29" s="176"/>
      <c r="H29" s="179">
        <f>H15-H16-H17-H18-H19-H20-H22-H23-H24+H26+H27</f>
        <v>0</v>
      </c>
      <c r="I29" s="180"/>
      <c r="J29" s="181"/>
      <c r="O29" t="s">
        <v>56</v>
      </c>
      <c r="P29" s="4">
        <v>1582</v>
      </c>
      <c r="Q29" s="4"/>
      <c r="R29" s="5">
        <f t="shared" si="0"/>
        <v>1582</v>
      </c>
    </row>
    <row r="30" spans="1:18" x14ac:dyDescent="0.25">
      <c r="A30" s="170"/>
      <c r="B30" s="171"/>
      <c r="C30" s="172"/>
      <c r="D30" s="174"/>
      <c r="F30" s="177"/>
      <c r="G30" s="178"/>
      <c r="H30" s="182"/>
      <c r="I30" s="183"/>
      <c r="J30" s="184"/>
      <c r="N30" s="1"/>
      <c r="Q30" s="4"/>
      <c r="R30" s="5">
        <f t="shared" si="0"/>
        <v>0</v>
      </c>
    </row>
    <row r="31" spans="1:18" x14ac:dyDescent="0.25">
      <c r="A31" s="24"/>
      <c r="B31" s="24"/>
      <c r="C31" s="24"/>
      <c r="D31" s="24"/>
      <c r="F31" s="24"/>
      <c r="G31" s="24"/>
      <c r="O31" t="s">
        <v>57</v>
      </c>
      <c r="P31" s="4">
        <v>1052</v>
      </c>
      <c r="Q31" s="4">
        <v>120</v>
      </c>
      <c r="R31" s="5">
        <f t="shared" si="0"/>
        <v>1172</v>
      </c>
    </row>
    <row r="32" spans="1:18" x14ac:dyDescent="0.25">
      <c r="A32" s="114" t="s">
        <v>58</v>
      </c>
      <c r="B32" s="115"/>
      <c r="C32" s="115"/>
      <c r="D32" s="116"/>
      <c r="F32" s="204" t="s">
        <v>59</v>
      </c>
      <c r="G32" s="205"/>
      <c r="H32" s="205"/>
      <c r="I32" s="205"/>
      <c r="J32" s="206"/>
      <c r="O32" t="s">
        <v>60</v>
      </c>
      <c r="P32" s="4">
        <v>1005</v>
      </c>
      <c r="Q32" s="4">
        <v>120</v>
      </c>
      <c r="R32" s="5">
        <f t="shared" si="0"/>
        <v>1125</v>
      </c>
    </row>
    <row r="33" spans="1:18" x14ac:dyDescent="0.25">
      <c r="A33" s="25"/>
      <c r="B33" s="25" t="s">
        <v>11</v>
      </c>
      <c r="C33" s="25" t="s">
        <v>61</v>
      </c>
      <c r="D33" s="25" t="s">
        <v>13</v>
      </c>
      <c r="F33" s="25" t="s">
        <v>62</v>
      </c>
      <c r="G33" s="92" t="s">
        <v>63</v>
      </c>
      <c r="H33" s="204" t="s">
        <v>13</v>
      </c>
      <c r="I33" s="205"/>
      <c r="J33" s="206"/>
      <c r="O33" t="s">
        <v>64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27" t="s">
        <v>65</v>
      </c>
      <c r="B34" s="26" t="s">
        <v>66</v>
      </c>
      <c r="C34" s="51"/>
      <c r="D34" s="30">
        <f>C34*120</f>
        <v>0</v>
      </c>
      <c r="F34" s="12">
        <v>1000</v>
      </c>
      <c r="G34" s="74"/>
      <c r="H34" s="207"/>
      <c r="I34" s="208"/>
      <c r="J34" s="209"/>
      <c r="O34" t="s">
        <v>67</v>
      </c>
      <c r="P34" s="4">
        <v>832</v>
      </c>
      <c r="Q34" s="4">
        <v>120</v>
      </c>
      <c r="R34" s="5">
        <f t="shared" si="0"/>
        <v>952</v>
      </c>
    </row>
    <row r="35" spans="1:18" ht="15.75" x14ac:dyDescent="0.25">
      <c r="A35" s="128"/>
      <c r="B35" s="27" t="s">
        <v>68</v>
      </c>
      <c r="C35" s="52"/>
      <c r="D35" s="30">
        <f>C35*84</f>
        <v>0</v>
      </c>
      <c r="F35" s="58">
        <v>500</v>
      </c>
      <c r="G35" s="41"/>
      <c r="H35" s="207"/>
      <c r="I35" s="208"/>
      <c r="J35" s="209"/>
      <c r="O35" t="s">
        <v>69</v>
      </c>
      <c r="P35" s="4">
        <v>1102</v>
      </c>
      <c r="Q35" s="4"/>
      <c r="R35" s="5">
        <f t="shared" si="0"/>
        <v>1102</v>
      </c>
    </row>
    <row r="36" spans="1:18" ht="15.75" x14ac:dyDescent="0.25">
      <c r="A36" s="129"/>
      <c r="B36" s="26" t="s">
        <v>70</v>
      </c>
      <c r="C36" s="10"/>
      <c r="D36" s="12">
        <f>C36*1.5</f>
        <v>0</v>
      </c>
      <c r="F36" s="12">
        <v>200</v>
      </c>
      <c r="G36" s="37"/>
      <c r="H36" s="207"/>
      <c r="I36" s="208"/>
      <c r="J36" s="209"/>
      <c r="O36" t="s">
        <v>71</v>
      </c>
      <c r="P36" s="4">
        <v>852</v>
      </c>
      <c r="Q36" s="4">
        <v>120</v>
      </c>
      <c r="R36" s="5">
        <f t="shared" si="0"/>
        <v>972</v>
      </c>
    </row>
    <row r="37" spans="1:18" ht="15.75" x14ac:dyDescent="0.25">
      <c r="A37" s="127" t="s">
        <v>72</v>
      </c>
      <c r="B37" s="28" t="s">
        <v>66</v>
      </c>
      <c r="C37" s="53"/>
      <c r="D37" s="12">
        <f>C37*111</f>
        <v>0</v>
      </c>
      <c r="F37" s="12">
        <v>100</v>
      </c>
      <c r="G37" s="39"/>
      <c r="H37" s="207"/>
      <c r="I37" s="208"/>
      <c r="J37" s="209"/>
      <c r="O37" t="s">
        <v>73</v>
      </c>
      <c r="P37" s="4">
        <v>1020</v>
      </c>
      <c r="Q37" s="4">
        <v>120</v>
      </c>
      <c r="R37" s="5">
        <f t="shared" si="0"/>
        <v>1140</v>
      </c>
    </row>
    <row r="38" spans="1:18" ht="15.75" x14ac:dyDescent="0.25">
      <c r="A38" s="128"/>
      <c r="B38" s="29" t="s">
        <v>68</v>
      </c>
      <c r="C38" s="54"/>
      <c r="D38" s="12">
        <f>C38*84</f>
        <v>0</v>
      </c>
      <c r="F38" s="30">
        <v>50</v>
      </c>
      <c r="G38" s="39"/>
      <c r="H38" s="207"/>
      <c r="I38" s="208"/>
      <c r="J38" s="209"/>
      <c r="O38" t="s">
        <v>74</v>
      </c>
      <c r="P38" s="4">
        <v>596</v>
      </c>
      <c r="Q38" s="4">
        <v>111</v>
      </c>
      <c r="R38" s="5">
        <f t="shared" si="0"/>
        <v>707</v>
      </c>
    </row>
    <row r="39" spans="1:18" ht="15.75" x14ac:dyDescent="0.25">
      <c r="A39" s="129"/>
      <c r="B39" s="29" t="s">
        <v>70</v>
      </c>
      <c r="C39" s="52"/>
      <c r="D39" s="31">
        <f>C39*4.5</f>
        <v>0</v>
      </c>
      <c r="F39" s="12">
        <v>20</v>
      </c>
      <c r="G39" s="37"/>
      <c r="H39" s="207"/>
      <c r="I39" s="208"/>
      <c r="J39" s="209"/>
      <c r="O39" t="s">
        <v>75</v>
      </c>
      <c r="P39" s="4">
        <v>1175</v>
      </c>
      <c r="Q39" s="4"/>
      <c r="R39" s="5">
        <f t="shared" si="0"/>
        <v>1175</v>
      </c>
    </row>
    <row r="40" spans="1:18" ht="15.75" x14ac:dyDescent="0.25">
      <c r="A40" s="127" t="s">
        <v>76</v>
      </c>
      <c r="B40" s="27" t="s">
        <v>66</v>
      </c>
      <c r="C40" s="63"/>
      <c r="D40" s="12">
        <f>C40*111</f>
        <v>0</v>
      </c>
      <c r="F40" s="12">
        <v>10</v>
      </c>
      <c r="G40" s="42"/>
      <c r="H40" s="207"/>
      <c r="I40" s="208"/>
      <c r="J40" s="209"/>
      <c r="O40" t="s">
        <v>77</v>
      </c>
      <c r="P40" s="4">
        <v>913</v>
      </c>
      <c r="Q40" s="4">
        <v>120</v>
      </c>
      <c r="R40" s="5">
        <f t="shared" si="0"/>
        <v>1033</v>
      </c>
    </row>
    <row r="41" spans="1:18" ht="15.75" x14ac:dyDescent="0.25">
      <c r="A41" s="128"/>
      <c r="B41" s="27" t="s">
        <v>68</v>
      </c>
      <c r="C41" s="10"/>
      <c r="D41" s="12">
        <f>C41*84</f>
        <v>0</v>
      </c>
      <c r="F41" s="12">
        <v>5</v>
      </c>
      <c r="G41" s="42"/>
      <c r="H41" s="207"/>
      <c r="I41" s="208"/>
      <c r="J41" s="209"/>
      <c r="K41" s="21"/>
      <c r="O41" t="s">
        <v>78</v>
      </c>
      <c r="P41" s="4">
        <v>614</v>
      </c>
      <c r="Q41" s="4">
        <v>111</v>
      </c>
      <c r="R41" s="5">
        <f t="shared" si="0"/>
        <v>725</v>
      </c>
    </row>
    <row r="42" spans="1:18" ht="15.75" x14ac:dyDescent="0.25">
      <c r="A42" s="129"/>
      <c r="B42" s="27" t="s">
        <v>70</v>
      </c>
      <c r="C42" s="11"/>
      <c r="D42" s="12">
        <f>C42*2.25</f>
        <v>0</v>
      </c>
      <c r="F42" s="39" t="s">
        <v>79</v>
      </c>
      <c r="G42" s="207"/>
      <c r="H42" s="208"/>
      <c r="I42" s="208"/>
      <c r="J42" s="209"/>
      <c r="K42" s="36"/>
      <c r="O42" t="s">
        <v>80</v>
      </c>
      <c r="P42" s="4">
        <v>626</v>
      </c>
      <c r="Q42" s="4">
        <v>111</v>
      </c>
      <c r="R42" s="5">
        <f t="shared" si="0"/>
        <v>737</v>
      </c>
    </row>
    <row r="43" spans="1:18" ht="15.75" x14ac:dyDescent="0.25">
      <c r="A43" s="210" t="s">
        <v>81</v>
      </c>
      <c r="C43" s="11"/>
      <c r="D43" s="12"/>
      <c r="F43" s="59" t="s">
        <v>82</v>
      </c>
      <c r="G43" s="94" t="s">
        <v>83</v>
      </c>
      <c r="H43" s="213" t="s">
        <v>13</v>
      </c>
      <c r="I43" s="214"/>
      <c r="J43" s="215"/>
      <c r="K43" s="21"/>
      <c r="P43" s="4"/>
      <c r="Q43" s="4"/>
      <c r="R43" s="5"/>
    </row>
    <row r="44" spans="1:18" ht="15.75" x14ac:dyDescent="0.25">
      <c r="A44" s="211"/>
      <c r="B44" s="27" t="s">
        <v>66</v>
      </c>
      <c r="C44" s="10"/>
      <c r="D44" s="12">
        <f>C44*120</f>
        <v>0</v>
      </c>
      <c r="F44" s="37"/>
      <c r="G44" s="76"/>
      <c r="H44" s="191"/>
      <c r="I44" s="191"/>
      <c r="J44" s="191"/>
      <c r="K44" s="21"/>
      <c r="P44" s="4"/>
      <c r="Q44" s="4"/>
      <c r="R44" s="5"/>
    </row>
    <row r="45" spans="1:18" ht="15.75" x14ac:dyDescent="0.25">
      <c r="A45" s="211"/>
      <c r="B45" s="27" t="s">
        <v>68</v>
      </c>
      <c r="C45" s="33"/>
      <c r="D45" s="12">
        <f>C45*84</f>
        <v>0</v>
      </c>
      <c r="F45" s="37"/>
      <c r="G45" s="76"/>
      <c r="H45" s="191"/>
      <c r="I45" s="191"/>
      <c r="J45" s="191"/>
      <c r="K45" s="21"/>
      <c r="P45" s="4"/>
      <c r="Q45" s="4"/>
      <c r="R45" s="5"/>
    </row>
    <row r="46" spans="1:18" ht="15.75" x14ac:dyDescent="0.25">
      <c r="A46" s="211"/>
      <c r="B46" s="49" t="s">
        <v>70</v>
      </c>
      <c r="C46" s="81"/>
      <c r="D46" s="12">
        <f>C46*1.5</f>
        <v>0</v>
      </c>
      <c r="F46" s="37"/>
      <c r="G46" s="62"/>
      <c r="H46" s="216"/>
      <c r="I46" s="216"/>
      <c r="J46" s="216"/>
      <c r="K46" s="21"/>
      <c r="P46" s="4"/>
      <c r="Q46" s="4"/>
      <c r="R46" s="5"/>
    </row>
    <row r="47" spans="1:18" ht="15.75" x14ac:dyDescent="0.25">
      <c r="A47" s="212"/>
      <c r="B47" s="27"/>
      <c r="C47" s="11"/>
      <c r="D47" s="12"/>
      <c r="F47" s="59"/>
      <c r="G47" s="59"/>
      <c r="H47" s="217"/>
      <c r="I47" s="218"/>
      <c r="J47" s="219"/>
      <c r="K47" s="21"/>
      <c r="P47" s="4"/>
      <c r="Q47" s="4"/>
      <c r="R47" s="5"/>
    </row>
    <row r="48" spans="1:18" ht="15" customHeight="1" x14ac:dyDescent="0.25">
      <c r="A48" s="210" t="s">
        <v>32</v>
      </c>
      <c r="B48" s="27" t="s">
        <v>66</v>
      </c>
      <c r="C48" s="10"/>
      <c r="D48" s="12">
        <f>C48*78</f>
        <v>0</v>
      </c>
      <c r="F48" s="59"/>
      <c r="G48" s="59"/>
      <c r="H48" s="217"/>
      <c r="I48" s="218"/>
      <c r="J48" s="219"/>
      <c r="K48" s="35"/>
      <c r="O48" t="s">
        <v>84</v>
      </c>
      <c r="P48" s="4">
        <v>1175</v>
      </c>
      <c r="Q48" s="4"/>
      <c r="R48" s="5">
        <f t="shared" si="0"/>
        <v>1175</v>
      </c>
    </row>
    <row r="49" spans="1:18" ht="15.75" x14ac:dyDescent="0.25">
      <c r="A49" s="211"/>
      <c r="B49" s="29" t="s">
        <v>68</v>
      </c>
      <c r="C49" s="33"/>
      <c r="D49" s="12">
        <f>C49*42</f>
        <v>0</v>
      </c>
      <c r="F49" s="232" t="s">
        <v>86</v>
      </c>
      <c r="G49" s="179">
        <f>H34+H35+H36+H37+H38+H39+H40+H41+G42+H44+H45+H46</f>
        <v>0</v>
      </c>
      <c r="H49" s="180"/>
      <c r="I49" s="180"/>
      <c r="J49" s="181"/>
      <c r="O49" t="s">
        <v>85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211"/>
      <c r="B50" s="32" t="s">
        <v>70</v>
      </c>
      <c r="C50" s="11"/>
      <c r="D50" s="12">
        <f>C50*1.5</f>
        <v>0</v>
      </c>
      <c r="F50" s="233"/>
      <c r="G50" s="182"/>
      <c r="H50" s="183"/>
      <c r="I50" s="183"/>
      <c r="J50" s="184"/>
      <c r="P50" s="4"/>
      <c r="Q50" s="4"/>
      <c r="R50" s="5"/>
    </row>
    <row r="51" spans="1:18" ht="15" customHeight="1" x14ac:dyDescent="0.25">
      <c r="A51" s="211"/>
      <c r="B51" s="27"/>
      <c r="C51" s="10"/>
      <c r="D51" s="31"/>
      <c r="F51" s="234" t="s">
        <v>128</v>
      </c>
      <c r="G51" s="236">
        <f>G49-H29</f>
        <v>0</v>
      </c>
      <c r="H51" s="237"/>
      <c r="I51" s="237"/>
      <c r="J51" s="238"/>
      <c r="K51" s="21"/>
      <c r="O51" t="s">
        <v>87</v>
      </c>
      <c r="P51" s="4">
        <v>703</v>
      </c>
      <c r="Q51" s="4">
        <v>120</v>
      </c>
      <c r="R51" s="5">
        <f t="shared" si="0"/>
        <v>823</v>
      </c>
    </row>
    <row r="52" spans="1:18" ht="15.75" x14ac:dyDescent="0.25">
      <c r="A52" s="211"/>
      <c r="B52" s="29"/>
      <c r="C52" s="33"/>
      <c r="D52" s="45"/>
      <c r="F52" s="235"/>
      <c r="G52" s="239"/>
      <c r="H52" s="240"/>
      <c r="I52" s="240"/>
      <c r="J52" s="241"/>
      <c r="K52" s="21"/>
      <c r="O52" t="s">
        <v>88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212"/>
      <c r="B53" s="32"/>
      <c r="C53" s="11"/>
      <c r="D53" s="12"/>
      <c r="F53" s="35"/>
      <c r="G53" s="24"/>
      <c r="H53" s="24"/>
      <c r="I53" s="24"/>
      <c r="J53" s="17"/>
      <c r="N53" s="1"/>
      <c r="O53" t="s">
        <v>89</v>
      </c>
      <c r="P53" s="4">
        <v>1142</v>
      </c>
    </row>
    <row r="54" spans="1:18" x14ac:dyDescent="0.25">
      <c r="A54" s="175" t="s">
        <v>90</v>
      </c>
      <c r="B54" s="220"/>
      <c r="C54" s="221"/>
      <c r="D54" s="224">
        <f>SUM(D34:D53)</f>
        <v>0</v>
      </c>
      <c r="F54" s="21"/>
      <c r="J54" s="34"/>
    </row>
    <row r="55" spans="1:18" x14ac:dyDescent="0.25">
      <c r="A55" s="177"/>
      <c r="B55" s="222"/>
      <c r="C55" s="223"/>
      <c r="D55" s="225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D57" s="34"/>
      <c r="F57" s="36"/>
      <c r="G57" s="50"/>
      <c r="H57" s="50"/>
      <c r="I57" s="50"/>
      <c r="J57" s="43"/>
    </row>
    <row r="58" spans="1:18" x14ac:dyDescent="0.25">
      <c r="A58" s="226" t="s">
        <v>91</v>
      </c>
      <c r="B58" s="227"/>
      <c r="C58" s="227"/>
      <c r="D58" s="228"/>
      <c r="F58" s="226" t="s">
        <v>92</v>
      </c>
      <c r="G58" s="227"/>
      <c r="H58" s="227"/>
      <c r="I58" s="227"/>
      <c r="J58" s="228"/>
    </row>
    <row r="59" spans="1:18" x14ac:dyDescent="0.25">
      <c r="A59" s="229"/>
      <c r="B59" s="230"/>
      <c r="C59" s="230"/>
      <c r="D59" s="231"/>
      <c r="F59" s="229"/>
      <c r="G59" s="230"/>
      <c r="H59" s="230"/>
      <c r="I59" s="230"/>
      <c r="J59" s="231"/>
    </row>
  </sheetData>
  <mergeCells count="68"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  <mergeCell ref="H13:J13"/>
    <mergeCell ref="F14:G14"/>
    <mergeCell ref="H14:J14"/>
    <mergeCell ref="F15:G15"/>
    <mergeCell ref="H15:J15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A32:D32"/>
    <mergeCell ref="F32:J32"/>
    <mergeCell ref="H33:J33"/>
    <mergeCell ref="A34:A36"/>
    <mergeCell ref="H34:J34"/>
    <mergeCell ref="H35:J35"/>
    <mergeCell ref="H36:J36"/>
    <mergeCell ref="A37:A39"/>
    <mergeCell ref="H37:J37"/>
    <mergeCell ref="H38:J38"/>
    <mergeCell ref="H39:J39"/>
    <mergeCell ref="A40:A42"/>
    <mergeCell ref="H40:J40"/>
    <mergeCell ref="H41:J41"/>
    <mergeCell ref="G42:J42"/>
    <mergeCell ref="A43:A47"/>
    <mergeCell ref="H43:J43"/>
    <mergeCell ref="H44:J44"/>
    <mergeCell ref="H45:J45"/>
    <mergeCell ref="H46:J46"/>
    <mergeCell ref="H47:J47"/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091848E-CC0D-44E8-9ADE-BC5E64489F5B}">
  <dimension ref="A1:R59"/>
  <sheetViews>
    <sheetView topLeftCell="A25" zoomScaleNormal="100" zoomScaleSheetLayoutView="85" workbookViewId="0">
      <selection activeCell="B57" sqref="B57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bestFit="1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113" t="s">
        <v>1</v>
      </c>
      <c r="O1" s="113"/>
      <c r="P1" s="90" t="s">
        <v>2</v>
      </c>
      <c r="Q1" s="90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14" t="s">
        <v>7</v>
      </c>
      <c r="B4" s="115"/>
      <c r="C4" s="115"/>
      <c r="D4" s="116"/>
      <c r="F4" s="117" t="s">
        <v>8</v>
      </c>
      <c r="G4" s="119">
        <v>1</v>
      </c>
      <c r="H4" s="121" t="s">
        <v>9</v>
      </c>
      <c r="I4" s="123">
        <v>45965</v>
      </c>
      <c r="J4" s="124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27" t="s">
        <v>7</v>
      </c>
      <c r="B5" s="15" t="s">
        <v>11</v>
      </c>
      <c r="C5" s="9" t="s">
        <v>12</v>
      </c>
      <c r="D5" s="25" t="s">
        <v>13</v>
      </c>
      <c r="F5" s="118"/>
      <c r="G5" s="120"/>
      <c r="H5" s="122"/>
      <c r="I5" s="125"/>
      <c r="J5" s="126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28"/>
      <c r="B6" s="16" t="s">
        <v>15</v>
      </c>
      <c r="C6" s="89"/>
      <c r="D6" s="13">
        <f t="shared" ref="D6:D28" si="1">C6*L6</f>
        <v>0</v>
      </c>
      <c r="F6" s="130" t="s">
        <v>16</v>
      </c>
      <c r="G6" s="132" t="s">
        <v>129</v>
      </c>
      <c r="H6" s="133"/>
      <c r="I6" s="133"/>
      <c r="J6" s="134"/>
      <c r="K6" s="8"/>
      <c r="L6" s="6">
        <f>R42</f>
        <v>737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28"/>
      <c r="B7" s="16" t="s">
        <v>18</v>
      </c>
      <c r="C7" s="89"/>
      <c r="D7" s="13">
        <f t="shared" si="1"/>
        <v>0</v>
      </c>
      <c r="F7" s="131"/>
      <c r="G7" s="135"/>
      <c r="H7" s="136"/>
      <c r="I7" s="136"/>
      <c r="J7" s="137"/>
      <c r="K7" s="8"/>
      <c r="L7" s="6">
        <f>R41</f>
        <v>725</v>
      </c>
      <c r="P7" s="4"/>
      <c r="Q7" s="4"/>
      <c r="R7" s="5"/>
    </row>
    <row r="8" spans="1:18" ht="14.45" customHeight="1" x14ac:dyDescent="0.25">
      <c r="A8" s="128"/>
      <c r="B8" s="16" t="s">
        <v>20</v>
      </c>
      <c r="C8" s="89"/>
      <c r="D8" s="13">
        <f t="shared" si="1"/>
        <v>0</v>
      </c>
      <c r="F8" s="138" t="s">
        <v>21</v>
      </c>
      <c r="G8" s="140" t="s">
        <v>112</v>
      </c>
      <c r="H8" s="141"/>
      <c r="I8" s="141"/>
      <c r="J8" s="142"/>
      <c r="K8" s="8"/>
      <c r="L8" s="6">
        <f>R40</f>
        <v>1033</v>
      </c>
      <c r="P8" s="4"/>
      <c r="Q8" s="4"/>
      <c r="R8" s="5"/>
    </row>
    <row r="9" spans="1:18" ht="14.45" customHeight="1" x14ac:dyDescent="0.25">
      <c r="A9" s="128"/>
      <c r="B9" s="16" t="s">
        <v>23</v>
      </c>
      <c r="C9" s="89"/>
      <c r="D9" s="13">
        <f t="shared" si="1"/>
        <v>0</v>
      </c>
      <c r="F9" s="131"/>
      <c r="G9" s="143"/>
      <c r="H9" s="144"/>
      <c r="I9" s="144"/>
      <c r="J9" s="145"/>
      <c r="K9" s="8"/>
      <c r="L9" s="6">
        <f>R38</f>
        <v>707</v>
      </c>
      <c r="P9" s="4"/>
      <c r="Q9" s="4"/>
      <c r="R9" s="5"/>
    </row>
    <row r="10" spans="1:18" ht="14.45" customHeight="1" x14ac:dyDescent="0.25">
      <c r="A10" s="128"/>
      <c r="B10" t="s">
        <v>25</v>
      </c>
      <c r="C10" s="89"/>
      <c r="D10" s="13">
        <f t="shared" si="1"/>
        <v>0</v>
      </c>
      <c r="F10" s="130" t="s">
        <v>26</v>
      </c>
      <c r="G10" s="146" t="s">
        <v>130</v>
      </c>
      <c r="H10" s="147"/>
      <c r="I10" s="147"/>
      <c r="J10" s="148"/>
      <c r="K10" s="8"/>
      <c r="L10" s="6">
        <f>R36</f>
        <v>972</v>
      </c>
      <c r="P10" s="4"/>
      <c r="Q10" s="4"/>
      <c r="R10" s="5"/>
    </row>
    <row r="11" spans="1:18" ht="15.75" x14ac:dyDescent="0.25">
      <c r="A11" s="128"/>
      <c r="B11" s="17" t="s">
        <v>28</v>
      </c>
      <c r="C11" s="89"/>
      <c r="D11" s="13">
        <f t="shared" si="1"/>
        <v>0</v>
      </c>
      <c r="F11" s="131"/>
      <c r="G11" s="143"/>
      <c r="H11" s="144"/>
      <c r="I11" s="144"/>
      <c r="J11" s="145"/>
      <c r="K11" s="22"/>
      <c r="L11" s="6">
        <f>R32</f>
        <v>1125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28"/>
      <c r="B12" s="17" t="s">
        <v>30</v>
      </c>
      <c r="C12" s="89"/>
      <c r="D12" s="48">
        <f t="shared" si="1"/>
        <v>0</v>
      </c>
      <c r="F12" s="149" t="s">
        <v>33</v>
      </c>
      <c r="G12" s="150"/>
      <c r="H12" s="150"/>
      <c r="I12" s="150"/>
      <c r="J12" s="151"/>
      <c r="K12" s="23"/>
      <c r="L12" s="6">
        <f>R34</f>
        <v>952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28"/>
      <c r="B13" s="17" t="s">
        <v>32</v>
      </c>
      <c r="C13" s="89"/>
      <c r="D13" s="48">
        <f t="shared" si="1"/>
        <v>0</v>
      </c>
      <c r="F13" s="152" t="s">
        <v>36</v>
      </c>
      <c r="G13" s="153"/>
      <c r="H13" s="154">
        <f>D29</f>
        <v>0</v>
      </c>
      <c r="I13" s="155"/>
      <c r="J13" s="156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28"/>
      <c r="B14" s="14" t="s">
        <v>35</v>
      </c>
      <c r="C14" s="89"/>
      <c r="D14" s="31">
        <f t="shared" si="1"/>
        <v>0</v>
      </c>
      <c r="F14" s="157" t="s">
        <v>39</v>
      </c>
      <c r="G14" s="158"/>
      <c r="H14" s="159">
        <f>D54</f>
        <v>0</v>
      </c>
      <c r="I14" s="160"/>
      <c r="J14" s="161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28"/>
      <c r="B15" s="14" t="s">
        <v>38</v>
      </c>
      <c r="C15" s="89"/>
      <c r="D15" s="31">
        <f t="shared" si="1"/>
        <v>0</v>
      </c>
      <c r="F15" s="162" t="s">
        <v>40</v>
      </c>
      <c r="G15" s="153"/>
      <c r="H15" s="163">
        <f>H13-H14</f>
        <v>0</v>
      </c>
      <c r="I15" s="164"/>
      <c r="J15" s="165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28"/>
      <c r="B16" s="18" t="s">
        <v>94</v>
      </c>
      <c r="C16" s="89"/>
      <c r="D16" s="48">
        <f t="shared" si="1"/>
        <v>0</v>
      </c>
      <c r="F16" s="67" t="s">
        <v>42</v>
      </c>
      <c r="G16" s="66" t="s">
        <v>43</v>
      </c>
      <c r="H16" s="166"/>
      <c r="I16" s="166"/>
      <c r="J16" s="166"/>
      <c r="L16" s="6">
        <f>R28</f>
        <v>1567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28"/>
      <c r="B17" t="s">
        <v>140</v>
      </c>
      <c r="C17" s="89"/>
      <c r="D17" s="48">
        <f t="shared" si="1"/>
        <v>0</v>
      </c>
      <c r="F17" s="56"/>
      <c r="G17" s="66" t="s">
        <v>45</v>
      </c>
      <c r="H17" s="139"/>
      <c r="I17" s="139"/>
      <c r="J17" s="139"/>
      <c r="L17" s="6">
        <f>1582</f>
        <v>1582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28"/>
      <c r="B18" s="19" t="s">
        <v>95</v>
      </c>
      <c r="C18" s="89"/>
      <c r="D18" s="48">
        <f t="shared" si="1"/>
        <v>0</v>
      </c>
      <c r="F18" s="56"/>
      <c r="G18" s="66" t="s">
        <v>47</v>
      </c>
      <c r="H18" s="139"/>
      <c r="I18" s="139"/>
      <c r="J18" s="139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28"/>
      <c r="B19" s="14" t="s">
        <v>136</v>
      </c>
      <c r="C19" s="89"/>
      <c r="D19" s="48">
        <f t="shared" si="1"/>
        <v>0</v>
      </c>
      <c r="F19" s="56"/>
      <c r="G19" s="68" t="s">
        <v>50</v>
      </c>
      <c r="H19" s="139"/>
      <c r="I19" s="139"/>
      <c r="J19" s="139"/>
      <c r="L19" s="6">
        <v>1102</v>
      </c>
      <c r="Q19" s="4"/>
      <c r="R19" s="5">
        <f t="shared" si="0"/>
        <v>0</v>
      </c>
    </row>
    <row r="20" spans="1:18" ht="15.75" x14ac:dyDescent="0.25">
      <c r="A20" s="128"/>
      <c r="B20" s="83" t="s">
        <v>125</v>
      </c>
      <c r="C20" s="89"/>
      <c r="D20" s="13">
        <f t="shared" si="1"/>
        <v>0</v>
      </c>
      <c r="F20" s="57"/>
      <c r="G20" s="70" t="s">
        <v>120</v>
      </c>
      <c r="H20" s="166"/>
      <c r="I20" s="166"/>
      <c r="J20" s="166"/>
      <c r="L20" s="6">
        <f>R39</f>
        <v>1175</v>
      </c>
      <c r="N20" s="1" t="s">
        <v>41</v>
      </c>
      <c r="Q20" s="4"/>
      <c r="R20" s="5">
        <f t="shared" si="0"/>
        <v>0</v>
      </c>
    </row>
    <row r="21" spans="1:18" ht="15.75" x14ac:dyDescent="0.25">
      <c r="A21" s="128"/>
      <c r="B21" s="14" t="s">
        <v>138</v>
      </c>
      <c r="C21" s="89"/>
      <c r="D21" s="48">
        <f t="shared" si="1"/>
        <v>0</v>
      </c>
      <c r="F21" s="69" t="s">
        <v>99</v>
      </c>
      <c r="G21" s="82" t="s">
        <v>98</v>
      </c>
      <c r="H21" s="186" t="s">
        <v>13</v>
      </c>
      <c r="I21" s="187"/>
      <c r="J21" s="188"/>
      <c r="L21" s="7">
        <v>650</v>
      </c>
      <c r="O21" t="s">
        <v>44</v>
      </c>
      <c r="P21" s="4">
        <v>1447</v>
      </c>
      <c r="Q21" s="4">
        <v>120</v>
      </c>
      <c r="R21" s="5">
        <f t="shared" si="0"/>
        <v>1567</v>
      </c>
    </row>
    <row r="22" spans="1:18" ht="15.75" x14ac:dyDescent="0.25">
      <c r="A22" s="128"/>
      <c r="B22" s="46" t="s">
        <v>127</v>
      </c>
      <c r="C22" s="89"/>
      <c r="D22" s="48">
        <f t="shared" si="1"/>
        <v>0</v>
      </c>
      <c r="F22" s="77"/>
      <c r="G22" s="73"/>
      <c r="H22" s="189"/>
      <c r="I22" s="189"/>
      <c r="J22" s="189"/>
      <c r="L22" s="7">
        <v>1582</v>
      </c>
      <c r="O22" t="s">
        <v>46</v>
      </c>
      <c r="P22" s="4">
        <v>1582</v>
      </c>
      <c r="Q22" s="4"/>
      <c r="R22" s="5">
        <f t="shared" si="0"/>
        <v>1582</v>
      </c>
    </row>
    <row r="23" spans="1:18" ht="15.75" x14ac:dyDescent="0.25">
      <c r="A23" s="128"/>
      <c r="B23" s="14" t="s">
        <v>101</v>
      </c>
      <c r="C23" s="89"/>
      <c r="D23" s="48">
        <f t="shared" si="1"/>
        <v>0</v>
      </c>
      <c r="F23" s="77"/>
      <c r="G23" s="79"/>
      <c r="H23" s="242"/>
      <c r="I23" s="243"/>
      <c r="J23" s="243"/>
      <c r="L23" s="47">
        <v>1667</v>
      </c>
      <c r="N23" s="1"/>
      <c r="O23" t="s">
        <v>48</v>
      </c>
      <c r="P23" s="4">
        <v>1728</v>
      </c>
      <c r="Q23" s="4"/>
      <c r="R23" s="5">
        <f t="shared" si="0"/>
        <v>1728</v>
      </c>
    </row>
    <row r="24" spans="1:18" ht="15.75" x14ac:dyDescent="0.25">
      <c r="A24" s="128"/>
      <c r="B24" s="14" t="s">
        <v>121</v>
      </c>
      <c r="C24" s="89"/>
      <c r="D24" s="48">
        <f t="shared" si="1"/>
        <v>0</v>
      </c>
      <c r="F24" s="77"/>
      <c r="G24" s="79"/>
      <c r="H24" s="242"/>
      <c r="I24" s="243"/>
      <c r="J24" s="243"/>
      <c r="L24" s="47">
        <f>913/24+1.5</f>
        <v>39.541666666666664</v>
      </c>
      <c r="N24" s="1"/>
      <c r="O24" t="s">
        <v>49</v>
      </c>
      <c r="P24" s="4">
        <v>1728</v>
      </c>
      <c r="Q24" s="4"/>
      <c r="R24" s="5">
        <f t="shared" si="0"/>
        <v>1728</v>
      </c>
    </row>
    <row r="25" spans="1:18" ht="15.75" x14ac:dyDescent="0.25">
      <c r="A25" s="128"/>
      <c r="B25" s="14" t="s">
        <v>141</v>
      </c>
      <c r="C25" s="89"/>
      <c r="D25" s="48">
        <f t="shared" si="1"/>
        <v>0</v>
      </c>
      <c r="F25" s="60" t="s">
        <v>100</v>
      </c>
      <c r="G25" s="55" t="s">
        <v>98</v>
      </c>
      <c r="H25" s="192" t="s">
        <v>13</v>
      </c>
      <c r="I25" s="193"/>
      <c r="J25" s="194"/>
      <c r="L25" s="47">
        <f>1052+120</f>
        <v>1172</v>
      </c>
      <c r="O25" t="s">
        <v>51</v>
      </c>
      <c r="P25" s="4">
        <v>1582</v>
      </c>
      <c r="Q25" s="4"/>
      <c r="R25" s="5">
        <f t="shared" si="0"/>
        <v>1582</v>
      </c>
    </row>
    <row r="26" spans="1:18" ht="15.75" x14ac:dyDescent="0.25">
      <c r="A26" s="128"/>
      <c r="B26" s="14" t="s">
        <v>139</v>
      </c>
      <c r="C26" s="89"/>
      <c r="D26" s="48">
        <f t="shared" si="1"/>
        <v>0</v>
      </c>
      <c r="F26" s="75"/>
      <c r="G26" s="65"/>
      <c r="H26" s="191"/>
      <c r="I26" s="191"/>
      <c r="J26" s="191"/>
      <c r="L26" s="7">
        <f>1447+120</f>
        <v>1567</v>
      </c>
      <c r="O26" t="s">
        <v>52</v>
      </c>
      <c r="P26" s="4">
        <v>1447</v>
      </c>
      <c r="Q26" s="4">
        <v>120</v>
      </c>
      <c r="R26" s="5">
        <f t="shared" si="0"/>
        <v>1567</v>
      </c>
    </row>
    <row r="27" spans="1:18" ht="14.45" customHeight="1" x14ac:dyDescent="0.25">
      <c r="A27" s="128"/>
      <c r="B27" s="14" t="s">
        <v>110</v>
      </c>
      <c r="C27" s="89"/>
      <c r="D27" s="44">
        <f t="shared" si="1"/>
        <v>0</v>
      </c>
      <c r="F27" s="71"/>
      <c r="G27" s="94"/>
      <c r="H27" s="244"/>
      <c r="I27" s="245"/>
      <c r="J27" s="245"/>
      <c r="L27" s="7">
        <v>1142</v>
      </c>
      <c r="O27" t="s">
        <v>53</v>
      </c>
      <c r="P27" s="4">
        <v>1582</v>
      </c>
      <c r="Q27" s="4"/>
      <c r="R27" s="5">
        <f t="shared" si="0"/>
        <v>1582</v>
      </c>
    </row>
    <row r="28" spans="1:18" ht="15.75" x14ac:dyDescent="0.25">
      <c r="A28" s="129"/>
      <c r="B28" s="46" t="s">
        <v>97</v>
      </c>
      <c r="C28" s="89"/>
      <c r="D28" s="48">
        <f t="shared" si="1"/>
        <v>0</v>
      </c>
      <c r="F28" s="91"/>
      <c r="G28" s="61"/>
      <c r="H28" s="201"/>
      <c r="I28" s="202"/>
      <c r="J28" s="203"/>
      <c r="L28" s="7">
        <v>785</v>
      </c>
      <c r="O28" t="s">
        <v>54</v>
      </c>
      <c r="P28" s="4">
        <v>1447</v>
      </c>
      <c r="Q28" s="4">
        <v>120</v>
      </c>
      <c r="R28" s="5">
        <f t="shared" si="0"/>
        <v>1567</v>
      </c>
    </row>
    <row r="29" spans="1:18" x14ac:dyDescent="0.25">
      <c r="A29" s="167" t="s">
        <v>36</v>
      </c>
      <c r="B29" s="168"/>
      <c r="C29" s="169"/>
      <c r="D29" s="173">
        <f>SUM(D6:D28)</f>
        <v>0</v>
      </c>
      <c r="F29" s="175" t="s">
        <v>55</v>
      </c>
      <c r="G29" s="176"/>
      <c r="H29" s="179">
        <f>H15-H16-H17-H18-H19-H20-H22-H23-H24+H26+H27+H28</f>
        <v>0</v>
      </c>
      <c r="I29" s="180"/>
      <c r="J29" s="181"/>
      <c r="O29" t="s">
        <v>56</v>
      </c>
      <c r="P29" s="4">
        <v>1582</v>
      </c>
      <c r="Q29" s="4"/>
      <c r="R29" s="5">
        <f t="shared" si="0"/>
        <v>1582</v>
      </c>
    </row>
    <row r="30" spans="1:18" x14ac:dyDescent="0.25">
      <c r="A30" s="170"/>
      <c r="B30" s="171"/>
      <c r="C30" s="172"/>
      <c r="D30" s="174"/>
      <c r="F30" s="177"/>
      <c r="G30" s="178"/>
      <c r="H30" s="182"/>
      <c r="I30" s="183"/>
      <c r="J30" s="184"/>
      <c r="N30" s="1"/>
      <c r="Q30" s="4"/>
      <c r="R30" s="5">
        <f t="shared" si="0"/>
        <v>0</v>
      </c>
    </row>
    <row r="31" spans="1:18" x14ac:dyDescent="0.25">
      <c r="A31" s="24"/>
      <c r="B31" s="24"/>
      <c r="C31" s="24"/>
      <c r="D31" s="24"/>
      <c r="F31" s="24"/>
      <c r="G31" s="24"/>
      <c r="O31" t="s">
        <v>57</v>
      </c>
      <c r="P31" s="4">
        <v>1052</v>
      </c>
      <c r="Q31" s="4">
        <v>120</v>
      </c>
      <c r="R31" s="5">
        <f t="shared" si="0"/>
        <v>1172</v>
      </c>
    </row>
    <row r="32" spans="1:18" x14ac:dyDescent="0.25">
      <c r="A32" s="114" t="s">
        <v>58</v>
      </c>
      <c r="B32" s="115"/>
      <c r="C32" s="115"/>
      <c r="D32" s="116"/>
      <c r="F32" s="204" t="s">
        <v>59</v>
      </c>
      <c r="G32" s="205"/>
      <c r="H32" s="205"/>
      <c r="I32" s="205"/>
      <c r="J32" s="206"/>
      <c r="O32" t="s">
        <v>60</v>
      </c>
      <c r="P32" s="4">
        <v>1005</v>
      </c>
      <c r="Q32" s="4">
        <v>120</v>
      </c>
      <c r="R32" s="5">
        <f t="shared" si="0"/>
        <v>1125</v>
      </c>
    </row>
    <row r="33" spans="1:18" x14ac:dyDescent="0.25">
      <c r="A33" s="25"/>
      <c r="B33" s="25" t="s">
        <v>11</v>
      </c>
      <c r="C33" s="25" t="s">
        <v>61</v>
      </c>
      <c r="D33" s="25" t="s">
        <v>13</v>
      </c>
      <c r="F33" s="25" t="s">
        <v>62</v>
      </c>
      <c r="G33" s="92" t="s">
        <v>63</v>
      </c>
      <c r="H33" s="204" t="s">
        <v>13</v>
      </c>
      <c r="I33" s="205"/>
      <c r="J33" s="206"/>
      <c r="O33" t="s">
        <v>64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27" t="s">
        <v>65</v>
      </c>
      <c r="B34" s="26" t="s">
        <v>66</v>
      </c>
      <c r="C34" s="51"/>
      <c r="D34" s="30">
        <f>C34*120</f>
        <v>0</v>
      </c>
      <c r="F34" s="12">
        <v>1000</v>
      </c>
      <c r="G34" s="40"/>
      <c r="H34" s="207">
        <f t="shared" ref="H34:H39" si="2">F34*G34</f>
        <v>0</v>
      </c>
      <c r="I34" s="208"/>
      <c r="J34" s="209"/>
      <c r="O34" t="s">
        <v>67</v>
      </c>
      <c r="P34" s="4">
        <v>832</v>
      </c>
      <c r="Q34" s="4">
        <v>120</v>
      </c>
      <c r="R34" s="5">
        <f t="shared" si="0"/>
        <v>952</v>
      </c>
    </row>
    <row r="35" spans="1:18" ht="15.75" x14ac:dyDescent="0.25">
      <c r="A35" s="128"/>
      <c r="B35" s="27" t="s">
        <v>68</v>
      </c>
      <c r="C35" s="52"/>
      <c r="D35" s="30">
        <f>C35*84</f>
        <v>0</v>
      </c>
      <c r="F35" s="58">
        <v>500</v>
      </c>
      <c r="G35" s="41"/>
      <c r="H35" s="207">
        <f t="shared" si="2"/>
        <v>0</v>
      </c>
      <c r="I35" s="208"/>
      <c r="J35" s="209"/>
      <c r="O35" t="s">
        <v>69</v>
      </c>
      <c r="P35" s="4">
        <v>1102</v>
      </c>
      <c r="Q35" s="4"/>
      <c r="R35" s="5">
        <f t="shared" si="0"/>
        <v>1102</v>
      </c>
    </row>
    <row r="36" spans="1:18" ht="15.75" x14ac:dyDescent="0.25">
      <c r="A36" s="129"/>
      <c r="B36" s="26" t="s">
        <v>70</v>
      </c>
      <c r="C36" s="10"/>
      <c r="D36" s="12">
        <f>C36*1.5</f>
        <v>0</v>
      </c>
      <c r="F36" s="12">
        <v>200</v>
      </c>
      <c r="G36" s="37"/>
      <c r="H36" s="207">
        <f t="shared" si="2"/>
        <v>0</v>
      </c>
      <c r="I36" s="208"/>
      <c r="J36" s="209"/>
      <c r="O36" t="s">
        <v>71</v>
      </c>
      <c r="P36" s="4">
        <v>852</v>
      </c>
      <c r="Q36" s="4">
        <v>120</v>
      </c>
      <c r="R36" s="5">
        <f t="shared" si="0"/>
        <v>972</v>
      </c>
    </row>
    <row r="37" spans="1:18" ht="15.75" x14ac:dyDescent="0.25">
      <c r="A37" s="127" t="s">
        <v>72</v>
      </c>
      <c r="B37" s="28" t="s">
        <v>66</v>
      </c>
      <c r="C37" s="53"/>
      <c r="D37" s="12">
        <f>C37*111</f>
        <v>0</v>
      </c>
      <c r="F37" s="12">
        <v>100</v>
      </c>
      <c r="G37" s="39"/>
      <c r="H37" s="207">
        <f t="shared" si="2"/>
        <v>0</v>
      </c>
      <c r="I37" s="208"/>
      <c r="J37" s="209"/>
      <c r="O37" t="s">
        <v>73</v>
      </c>
      <c r="P37" s="4">
        <v>1020</v>
      </c>
      <c r="Q37" s="4">
        <v>120</v>
      </c>
      <c r="R37" s="5">
        <f t="shared" si="0"/>
        <v>1140</v>
      </c>
    </row>
    <row r="38" spans="1:18" ht="15.75" x14ac:dyDescent="0.25">
      <c r="A38" s="128"/>
      <c r="B38" s="29" t="s">
        <v>68</v>
      </c>
      <c r="C38" s="54"/>
      <c r="D38" s="12">
        <f>C38*84</f>
        <v>0</v>
      </c>
      <c r="F38" s="30">
        <v>50</v>
      </c>
      <c r="G38" s="39"/>
      <c r="H38" s="207">
        <f t="shared" si="2"/>
        <v>0</v>
      </c>
      <c r="I38" s="208"/>
      <c r="J38" s="209"/>
      <c r="O38" t="s">
        <v>74</v>
      </c>
      <c r="P38" s="4">
        <v>596</v>
      </c>
      <c r="Q38" s="4">
        <v>111</v>
      </c>
      <c r="R38" s="5">
        <f t="shared" si="0"/>
        <v>707</v>
      </c>
    </row>
    <row r="39" spans="1:18" ht="15.75" x14ac:dyDescent="0.25">
      <c r="A39" s="129"/>
      <c r="B39" s="29" t="s">
        <v>70</v>
      </c>
      <c r="C39" s="52"/>
      <c r="D39" s="31">
        <f>C39*4.5</f>
        <v>0</v>
      </c>
      <c r="F39" s="12">
        <v>20</v>
      </c>
      <c r="G39" s="37"/>
      <c r="H39" s="207">
        <f t="shared" si="2"/>
        <v>0</v>
      </c>
      <c r="I39" s="208"/>
      <c r="J39" s="209"/>
      <c r="O39" t="s">
        <v>75</v>
      </c>
      <c r="P39" s="4">
        <v>1175</v>
      </c>
      <c r="Q39" s="4"/>
      <c r="R39" s="5">
        <f t="shared" si="0"/>
        <v>1175</v>
      </c>
    </row>
    <row r="40" spans="1:18" ht="15.75" x14ac:dyDescent="0.25">
      <c r="A40" s="127" t="s">
        <v>76</v>
      </c>
      <c r="B40" s="27" t="s">
        <v>66</v>
      </c>
      <c r="C40" s="63"/>
      <c r="D40" s="12">
        <f>C40*111</f>
        <v>0</v>
      </c>
      <c r="F40" s="12">
        <v>10</v>
      </c>
      <c r="G40" s="42"/>
      <c r="H40" s="207"/>
      <c r="I40" s="208"/>
      <c r="J40" s="209"/>
      <c r="O40" t="s">
        <v>77</v>
      </c>
      <c r="P40" s="4">
        <v>913</v>
      </c>
      <c r="Q40" s="4">
        <v>120</v>
      </c>
      <c r="R40" s="5">
        <f t="shared" si="0"/>
        <v>1033</v>
      </c>
    </row>
    <row r="41" spans="1:18" ht="15.75" x14ac:dyDescent="0.25">
      <c r="A41" s="128"/>
      <c r="B41" s="27" t="s">
        <v>68</v>
      </c>
      <c r="C41" s="10"/>
      <c r="D41" s="12">
        <f>C41*84</f>
        <v>0</v>
      </c>
      <c r="F41" s="12">
        <v>5</v>
      </c>
      <c r="G41" s="42"/>
      <c r="H41" s="207"/>
      <c r="I41" s="208"/>
      <c r="J41" s="209"/>
      <c r="K41" s="21"/>
      <c r="O41" t="s">
        <v>78</v>
      </c>
      <c r="P41" s="4">
        <v>614</v>
      </c>
      <c r="Q41" s="4">
        <v>111</v>
      </c>
      <c r="R41" s="5">
        <f t="shared" si="0"/>
        <v>725</v>
      </c>
    </row>
    <row r="42" spans="1:18" ht="15.75" x14ac:dyDescent="0.25">
      <c r="A42" s="129"/>
      <c r="B42" s="27" t="s">
        <v>70</v>
      </c>
      <c r="C42" s="11"/>
      <c r="D42" s="12">
        <f>C42*2.25</f>
        <v>0</v>
      </c>
      <c r="F42" s="39" t="s">
        <v>79</v>
      </c>
      <c r="G42" s="207"/>
      <c r="H42" s="208"/>
      <c r="I42" s="208"/>
      <c r="J42" s="209"/>
      <c r="K42" s="36"/>
      <c r="O42" t="s">
        <v>80</v>
      </c>
      <c r="P42" s="4">
        <v>626</v>
      </c>
      <c r="Q42" s="4">
        <v>111</v>
      </c>
      <c r="R42" s="5">
        <f t="shared" si="0"/>
        <v>737</v>
      </c>
    </row>
    <row r="43" spans="1:18" ht="15.75" x14ac:dyDescent="0.25">
      <c r="A43" s="210" t="s">
        <v>81</v>
      </c>
      <c r="C43" s="11"/>
      <c r="D43" s="12"/>
      <c r="F43" s="59" t="s">
        <v>82</v>
      </c>
      <c r="G43" s="94" t="s">
        <v>83</v>
      </c>
      <c r="H43" s="213" t="s">
        <v>13</v>
      </c>
      <c r="I43" s="214"/>
      <c r="J43" s="215"/>
      <c r="K43" s="21"/>
      <c r="O43" t="s">
        <v>103</v>
      </c>
      <c r="P43" s="4">
        <v>1667</v>
      </c>
      <c r="Q43" s="4"/>
      <c r="R43" s="5"/>
    </row>
    <row r="44" spans="1:18" ht="15.75" x14ac:dyDescent="0.25">
      <c r="A44" s="211"/>
      <c r="B44" s="27" t="s">
        <v>66</v>
      </c>
      <c r="C44" s="10"/>
      <c r="D44" s="12">
        <f>C44*120</f>
        <v>0</v>
      </c>
      <c r="F44" s="37"/>
      <c r="G44" s="62"/>
      <c r="H44" s="191"/>
      <c r="I44" s="191"/>
      <c r="J44" s="191"/>
      <c r="K44" s="21"/>
      <c r="O44" t="s">
        <v>106</v>
      </c>
      <c r="P44" s="4">
        <f>785-120</f>
        <v>665</v>
      </c>
      <c r="Q44" s="4">
        <v>120</v>
      </c>
      <c r="R44" s="5">
        <f>Q44+P44</f>
        <v>785</v>
      </c>
    </row>
    <row r="45" spans="1:18" ht="15.75" x14ac:dyDescent="0.25">
      <c r="A45" s="211"/>
      <c r="B45" s="27" t="s">
        <v>68</v>
      </c>
      <c r="C45" s="33"/>
      <c r="D45" s="12">
        <f>C45*84</f>
        <v>0</v>
      </c>
      <c r="F45" s="37"/>
      <c r="G45" s="62"/>
      <c r="H45" s="191"/>
      <c r="I45" s="191"/>
      <c r="J45" s="191"/>
      <c r="K45" s="21"/>
      <c r="P45" s="4"/>
      <c r="Q45" s="4"/>
      <c r="R45" s="5"/>
    </row>
    <row r="46" spans="1:18" ht="15.75" x14ac:dyDescent="0.25">
      <c r="A46" s="211"/>
      <c r="B46" s="49" t="s">
        <v>70</v>
      </c>
      <c r="C46" s="81"/>
      <c r="D46" s="12">
        <f>C46*1.5</f>
        <v>0</v>
      </c>
      <c r="F46" s="37"/>
      <c r="G46" s="62"/>
      <c r="H46" s="191"/>
      <c r="I46" s="191"/>
      <c r="J46" s="191"/>
      <c r="K46" s="21"/>
      <c r="P46" s="4"/>
      <c r="Q46" s="4"/>
      <c r="R46" s="5"/>
    </row>
    <row r="47" spans="1:18" ht="15.75" x14ac:dyDescent="0.25">
      <c r="A47" s="212"/>
      <c r="B47" s="27"/>
      <c r="C47" s="11"/>
      <c r="D47" s="12"/>
      <c r="F47" s="59"/>
      <c r="G47" s="59"/>
      <c r="H47" s="217"/>
      <c r="I47" s="218"/>
      <c r="J47" s="219"/>
      <c r="K47" s="21"/>
      <c r="P47" s="4"/>
      <c r="Q47" s="4"/>
      <c r="R47" s="5"/>
    </row>
    <row r="48" spans="1:18" ht="15" customHeight="1" x14ac:dyDescent="0.25">
      <c r="A48" s="210" t="s">
        <v>32</v>
      </c>
      <c r="B48" s="27" t="s">
        <v>66</v>
      </c>
      <c r="C48" s="10"/>
      <c r="D48" s="12">
        <f>C48*78</f>
        <v>0</v>
      </c>
      <c r="F48" s="59"/>
      <c r="G48" s="59"/>
      <c r="H48" s="217"/>
      <c r="I48" s="218"/>
      <c r="J48" s="219"/>
      <c r="K48" s="35"/>
      <c r="O48" t="s">
        <v>84</v>
      </c>
      <c r="P48" s="4">
        <v>1175</v>
      </c>
      <c r="Q48" s="4"/>
      <c r="R48" s="5">
        <f t="shared" si="0"/>
        <v>1175</v>
      </c>
    </row>
    <row r="49" spans="1:18" ht="15.75" x14ac:dyDescent="0.25">
      <c r="A49" s="211"/>
      <c r="B49" s="29" t="s">
        <v>68</v>
      </c>
      <c r="C49" s="33"/>
      <c r="D49" s="12">
        <f>C49*42</f>
        <v>0</v>
      </c>
      <c r="F49" s="232" t="s">
        <v>86</v>
      </c>
      <c r="G49" s="179">
        <f>H34+H35+H36+H37+H38+H39+H40+H41+G42+H44+H45+H46</f>
        <v>0</v>
      </c>
      <c r="H49" s="180"/>
      <c r="I49" s="180"/>
      <c r="J49" s="181"/>
      <c r="O49" t="s">
        <v>85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211"/>
      <c r="B50" s="32" t="s">
        <v>70</v>
      </c>
      <c r="C50" s="11"/>
      <c r="D50" s="12">
        <f>C50*1.5</f>
        <v>0</v>
      </c>
      <c r="F50" s="233"/>
      <c r="G50" s="182"/>
      <c r="H50" s="183"/>
      <c r="I50" s="183"/>
      <c r="J50" s="184"/>
      <c r="P50" s="4"/>
      <c r="Q50" s="4"/>
      <c r="R50" s="5"/>
    </row>
    <row r="51" spans="1:18" ht="15" customHeight="1" x14ac:dyDescent="0.25">
      <c r="A51" s="211"/>
      <c r="B51" s="27"/>
      <c r="C51" s="10"/>
      <c r="D51" s="31"/>
      <c r="F51" s="234" t="s">
        <v>131</v>
      </c>
      <c r="G51" s="247">
        <f>G49-H29</f>
        <v>0</v>
      </c>
      <c r="H51" s="248"/>
      <c r="I51" s="248"/>
      <c r="J51" s="249"/>
      <c r="K51" s="21"/>
      <c r="O51" t="s">
        <v>87</v>
      </c>
      <c r="P51" s="4">
        <v>703</v>
      </c>
      <c r="Q51" s="4">
        <v>120</v>
      </c>
      <c r="R51" s="5">
        <f t="shared" si="0"/>
        <v>823</v>
      </c>
    </row>
    <row r="52" spans="1:18" ht="15.75" x14ac:dyDescent="0.25">
      <c r="A52" s="211"/>
      <c r="B52" s="29"/>
      <c r="C52" s="33"/>
      <c r="D52" s="45"/>
      <c r="F52" s="235"/>
      <c r="G52" s="250"/>
      <c r="H52" s="251"/>
      <c r="I52" s="251"/>
      <c r="J52" s="252"/>
      <c r="K52" s="21"/>
      <c r="O52" t="s">
        <v>88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212"/>
      <c r="B53" s="32"/>
      <c r="C53" s="11"/>
      <c r="D53" s="12"/>
      <c r="F53" s="35"/>
      <c r="G53" s="24"/>
      <c r="H53" s="24"/>
      <c r="I53" s="24"/>
      <c r="J53" s="17"/>
      <c r="N53" s="1"/>
      <c r="O53" t="s">
        <v>89</v>
      </c>
      <c r="P53" s="4">
        <v>1142</v>
      </c>
    </row>
    <row r="54" spans="1:18" x14ac:dyDescent="0.25">
      <c r="A54" s="175" t="s">
        <v>90</v>
      </c>
      <c r="B54" s="220"/>
      <c r="C54" s="221"/>
      <c r="D54" s="224">
        <f>SUM(D34:D53)</f>
        <v>0</v>
      </c>
      <c r="F54" s="21"/>
      <c r="J54" s="34"/>
      <c r="O54" t="s">
        <v>102</v>
      </c>
      <c r="P54" s="4">
        <v>1582</v>
      </c>
      <c r="R54" s="3">
        <v>1582</v>
      </c>
    </row>
    <row r="55" spans="1:18" x14ac:dyDescent="0.25">
      <c r="A55" s="177"/>
      <c r="B55" s="222"/>
      <c r="C55" s="223"/>
      <c r="D55" s="225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133</v>
      </c>
      <c r="D57" s="34"/>
      <c r="F57" s="36"/>
      <c r="G57" s="50"/>
      <c r="H57" s="50"/>
      <c r="I57" s="50"/>
      <c r="J57" s="43"/>
    </row>
    <row r="58" spans="1:18" x14ac:dyDescent="0.25">
      <c r="A58" s="226" t="s">
        <v>91</v>
      </c>
      <c r="B58" s="227"/>
      <c r="C58" s="227"/>
      <c r="D58" s="228"/>
      <c r="F58" s="226" t="s">
        <v>92</v>
      </c>
      <c r="G58" s="227"/>
      <c r="H58" s="227"/>
      <c r="I58" s="227"/>
      <c r="J58" s="228"/>
    </row>
    <row r="59" spans="1:18" x14ac:dyDescent="0.25">
      <c r="A59" s="229"/>
      <c r="B59" s="230"/>
      <c r="C59" s="230"/>
      <c r="D59" s="231"/>
      <c r="F59" s="229"/>
      <c r="G59" s="230"/>
      <c r="H59" s="230"/>
      <c r="I59" s="230"/>
      <c r="J59" s="231"/>
    </row>
  </sheetData>
  <mergeCells count="68"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  <mergeCell ref="H13:J13"/>
    <mergeCell ref="F14:G14"/>
    <mergeCell ref="H14:J14"/>
    <mergeCell ref="F15:G15"/>
    <mergeCell ref="H15:J15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A32:D32"/>
    <mergeCell ref="F32:J32"/>
    <mergeCell ref="H33:J33"/>
    <mergeCell ref="A34:A36"/>
    <mergeCell ref="H34:J34"/>
    <mergeCell ref="H35:J35"/>
    <mergeCell ref="H36:J36"/>
    <mergeCell ref="A37:A39"/>
    <mergeCell ref="H37:J37"/>
    <mergeCell ref="H38:J38"/>
    <mergeCell ref="H39:J39"/>
    <mergeCell ref="A40:A42"/>
    <mergeCell ref="H40:J40"/>
    <mergeCell ref="H41:J41"/>
    <mergeCell ref="G42:J42"/>
    <mergeCell ref="A43:A47"/>
    <mergeCell ref="H43:J43"/>
    <mergeCell ref="H44:J44"/>
    <mergeCell ref="H45:J45"/>
    <mergeCell ref="H46:J46"/>
    <mergeCell ref="H47:J47"/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059D251-BBF9-4740-B033-9F19104E1F9E}">
  <dimension ref="A1:R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113" t="s">
        <v>1</v>
      </c>
      <c r="O1" s="113"/>
      <c r="P1" s="90" t="s">
        <v>2</v>
      </c>
      <c r="Q1" s="90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14" t="s">
        <v>7</v>
      </c>
      <c r="B4" s="115"/>
      <c r="C4" s="115"/>
      <c r="D4" s="116"/>
      <c r="F4" s="117" t="s">
        <v>8</v>
      </c>
      <c r="G4" s="119">
        <v>2</v>
      </c>
      <c r="H4" s="121" t="s">
        <v>9</v>
      </c>
      <c r="I4" s="123">
        <v>45965</v>
      </c>
      <c r="J4" s="124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27" t="s">
        <v>7</v>
      </c>
      <c r="B5" s="15" t="s">
        <v>11</v>
      </c>
      <c r="C5" s="9" t="s">
        <v>12</v>
      </c>
      <c r="D5" s="25" t="s">
        <v>13</v>
      </c>
      <c r="F5" s="118"/>
      <c r="G5" s="120"/>
      <c r="H5" s="122"/>
      <c r="I5" s="125"/>
      <c r="J5" s="126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28"/>
      <c r="B6" s="16" t="s">
        <v>15</v>
      </c>
      <c r="C6" s="10">
        <v>342</v>
      </c>
      <c r="D6" s="13">
        <f t="shared" ref="D6:D28" si="1">C6*L6</f>
        <v>252054</v>
      </c>
      <c r="F6" s="130" t="s">
        <v>16</v>
      </c>
      <c r="G6" s="132" t="s">
        <v>150</v>
      </c>
      <c r="H6" s="133"/>
      <c r="I6" s="133"/>
      <c r="J6" s="134"/>
      <c r="K6" s="8"/>
      <c r="L6" s="6">
        <f>R42</f>
        <v>737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28"/>
      <c r="B7" s="16" t="s">
        <v>18</v>
      </c>
      <c r="C7" s="10">
        <v>10</v>
      </c>
      <c r="D7" s="13">
        <f t="shared" si="1"/>
        <v>7250</v>
      </c>
      <c r="F7" s="131"/>
      <c r="G7" s="135"/>
      <c r="H7" s="136"/>
      <c r="I7" s="136"/>
      <c r="J7" s="137"/>
      <c r="K7" s="8"/>
      <c r="L7" s="6">
        <f>R41</f>
        <v>725</v>
      </c>
      <c r="P7" s="4"/>
      <c r="Q7" s="4"/>
      <c r="R7" s="5"/>
    </row>
    <row r="8" spans="1:18" ht="14.45" customHeight="1" x14ac:dyDescent="0.25">
      <c r="A8" s="128"/>
      <c r="B8" s="16" t="s">
        <v>20</v>
      </c>
      <c r="C8" s="10"/>
      <c r="D8" s="13">
        <f t="shared" si="1"/>
        <v>0</v>
      </c>
      <c r="F8" s="138" t="s">
        <v>21</v>
      </c>
      <c r="G8" s="140" t="s">
        <v>114</v>
      </c>
      <c r="H8" s="141"/>
      <c r="I8" s="141"/>
      <c r="J8" s="142"/>
      <c r="K8" s="8"/>
      <c r="L8" s="6">
        <f>R40</f>
        <v>1033</v>
      </c>
      <c r="P8" s="4"/>
      <c r="Q8" s="4"/>
      <c r="R8" s="5"/>
    </row>
    <row r="9" spans="1:18" ht="14.45" customHeight="1" x14ac:dyDescent="0.25">
      <c r="A9" s="128"/>
      <c r="B9" s="16" t="s">
        <v>23</v>
      </c>
      <c r="C9" s="10">
        <v>50</v>
      </c>
      <c r="D9" s="13">
        <f t="shared" si="1"/>
        <v>35350</v>
      </c>
      <c r="F9" s="131"/>
      <c r="G9" s="143"/>
      <c r="H9" s="144"/>
      <c r="I9" s="144"/>
      <c r="J9" s="145"/>
      <c r="K9" s="8"/>
      <c r="L9" s="6">
        <f>R38</f>
        <v>707</v>
      </c>
      <c r="P9" s="4"/>
      <c r="Q9" s="4"/>
      <c r="R9" s="5"/>
    </row>
    <row r="10" spans="1:18" ht="14.45" customHeight="1" x14ac:dyDescent="0.25">
      <c r="A10" s="128"/>
      <c r="B10" t="s">
        <v>25</v>
      </c>
      <c r="C10" s="10"/>
      <c r="D10" s="13">
        <f t="shared" si="1"/>
        <v>0</v>
      </c>
      <c r="F10" s="130" t="s">
        <v>26</v>
      </c>
      <c r="G10" s="146" t="s">
        <v>115</v>
      </c>
      <c r="H10" s="147"/>
      <c r="I10" s="147"/>
      <c r="J10" s="148"/>
      <c r="K10" s="8"/>
      <c r="L10" s="6">
        <f>R36</f>
        <v>972</v>
      </c>
      <c r="P10" s="4"/>
      <c r="Q10" s="4"/>
      <c r="R10" s="5"/>
    </row>
    <row r="11" spans="1:18" ht="15.75" x14ac:dyDescent="0.25">
      <c r="A11" s="128"/>
      <c r="B11" s="17" t="s">
        <v>28</v>
      </c>
      <c r="C11" s="10"/>
      <c r="D11" s="13">
        <f t="shared" si="1"/>
        <v>0</v>
      </c>
      <c r="F11" s="131"/>
      <c r="G11" s="143"/>
      <c r="H11" s="144"/>
      <c r="I11" s="144"/>
      <c r="J11" s="145"/>
      <c r="K11" s="22"/>
      <c r="L11" s="6">
        <f>R32</f>
        <v>1125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28"/>
      <c r="B12" s="17" t="s">
        <v>30</v>
      </c>
      <c r="C12" s="10"/>
      <c r="D12" s="48">
        <f t="shared" si="1"/>
        <v>0</v>
      </c>
      <c r="F12" s="149" t="s">
        <v>33</v>
      </c>
      <c r="G12" s="150"/>
      <c r="H12" s="150"/>
      <c r="I12" s="150"/>
      <c r="J12" s="151"/>
      <c r="K12" s="23"/>
      <c r="L12" s="6">
        <f>R34</f>
        <v>952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28"/>
      <c r="B13" s="17" t="s">
        <v>32</v>
      </c>
      <c r="C13" s="10">
        <v>15</v>
      </c>
      <c r="D13" s="48">
        <f t="shared" si="1"/>
        <v>4605</v>
      </c>
      <c r="F13" s="152" t="s">
        <v>36</v>
      </c>
      <c r="G13" s="153"/>
      <c r="H13" s="154">
        <f>D29</f>
        <v>299270</v>
      </c>
      <c r="I13" s="155"/>
      <c r="J13" s="156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28"/>
      <c r="B14" s="14" t="s">
        <v>35</v>
      </c>
      <c r="C14" s="10">
        <v>1</v>
      </c>
      <c r="D14" s="31">
        <f t="shared" si="1"/>
        <v>11</v>
      </c>
      <c r="F14" s="157" t="s">
        <v>39</v>
      </c>
      <c r="G14" s="158"/>
      <c r="H14" s="159">
        <f>D54</f>
        <v>49524</v>
      </c>
      <c r="I14" s="160"/>
      <c r="J14" s="161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28"/>
      <c r="B15" s="14" t="s">
        <v>38</v>
      </c>
      <c r="C15" s="10"/>
      <c r="D15" s="31">
        <f t="shared" si="1"/>
        <v>0</v>
      </c>
      <c r="F15" s="162" t="s">
        <v>40</v>
      </c>
      <c r="G15" s="153"/>
      <c r="H15" s="163">
        <f>H13-H14</f>
        <v>249746</v>
      </c>
      <c r="I15" s="164"/>
      <c r="J15" s="165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28"/>
      <c r="B16" s="18" t="s">
        <v>94</v>
      </c>
      <c r="C16" s="10"/>
      <c r="D16" s="48">
        <f t="shared" si="1"/>
        <v>0</v>
      </c>
      <c r="F16" s="67" t="s">
        <v>42</v>
      </c>
      <c r="G16" s="66" t="s">
        <v>43</v>
      </c>
      <c r="H16" s="166">
        <f>399*9</f>
        <v>3591</v>
      </c>
      <c r="I16" s="166"/>
      <c r="J16" s="166"/>
      <c r="L16" s="6">
        <f>R28</f>
        <v>1567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28"/>
      <c r="B17" t="s">
        <v>93</v>
      </c>
      <c r="C17" s="10"/>
      <c r="D17" s="48">
        <f t="shared" si="1"/>
        <v>0</v>
      </c>
      <c r="F17" s="56"/>
      <c r="G17" s="66" t="s">
        <v>45</v>
      </c>
      <c r="H17" s="139"/>
      <c r="I17" s="139"/>
      <c r="J17" s="139"/>
      <c r="L17" s="6">
        <f>R21</f>
        <v>1567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28"/>
      <c r="B18" s="19" t="s">
        <v>95</v>
      </c>
      <c r="C18" s="10"/>
      <c r="D18" s="48">
        <f t="shared" si="1"/>
        <v>0</v>
      </c>
      <c r="F18" s="56"/>
      <c r="G18" s="66" t="s">
        <v>47</v>
      </c>
      <c r="H18" s="139"/>
      <c r="I18" s="139"/>
      <c r="J18" s="139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28"/>
      <c r="B19" s="14" t="s">
        <v>96</v>
      </c>
      <c r="C19" s="10"/>
      <c r="D19" s="48">
        <f t="shared" si="1"/>
        <v>0</v>
      </c>
      <c r="F19" s="56"/>
      <c r="G19" s="68" t="s">
        <v>50</v>
      </c>
      <c r="H19" s="246"/>
      <c r="I19" s="246"/>
      <c r="J19" s="246"/>
      <c r="L19" s="6">
        <f>R35</f>
        <v>1102</v>
      </c>
      <c r="Q19" s="4"/>
      <c r="R19" s="5">
        <f t="shared" si="0"/>
        <v>0</v>
      </c>
    </row>
    <row r="20" spans="1:18" ht="15.75" x14ac:dyDescent="0.25">
      <c r="A20" s="128"/>
      <c r="B20" s="46" t="s">
        <v>122</v>
      </c>
      <c r="C20" s="10"/>
      <c r="D20" s="13">
        <f t="shared" si="1"/>
        <v>0</v>
      </c>
      <c r="F20" s="57"/>
      <c r="G20" s="70" t="s">
        <v>120</v>
      </c>
      <c r="H20" s="139"/>
      <c r="I20" s="139"/>
      <c r="J20" s="139"/>
      <c r="L20" s="6">
        <f>R39</f>
        <v>1175</v>
      </c>
      <c r="N20" s="1" t="s">
        <v>41</v>
      </c>
      <c r="Q20" s="4"/>
      <c r="R20" s="5">
        <f t="shared" si="0"/>
        <v>0</v>
      </c>
    </row>
    <row r="21" spans="1:18" ht="15.75" x14ac:dyDescent="0.25">
      <c r="A21" s="128"/>
      <c r="B21" s="14" t="s">
        <v>126</v>
      </c>
      <c r="C21" s="10"/>
      <c r="D21" s="48">
        <f t="shared" si="1"/>
        <v>0</v>
      </c>
      <c r="F21" s="69" t="s">
        <v>99</v>
      </c>
      <c r="G21" s="82" t="s">
        <v>98</v>
      </c>
      <c r="H21" s="186" t="s">
        <v>13</v>
      </c>
      <c r="I21" s="187"/>
      <c r="J21" s="188"/>
      <c r="L21" s="7">
        <v>650</v>
      </c>
      <c r="O21" t="s">
        <v>44</v>
      </c>
      <c r="P21" s="4">
        <v>1447</v>
      </c>
      <c r="Q21" s="4">
        <v>120</v>
      </c>
      <c r="R21" s="5">
        <f t="shared" si="0"/>
        <v>1567</v>
      </c>
    </row>
    <row r="22" spans="1:18" ht="15.75" x14ac:dyDescent="0.25">
      <c r="A22" s="128"/>
      <c r="B22" s="46" t="s">
        <v>104</v>
      </c>
      <c r="C22" s="10"/>
      <c r="D22" s="48">
        <f t="shared" si="1"/>
        <v>0</v>
      </c>
      <c r="F22" s="72"/>
      <c r="G22" s="73"/>
      <c r="H22" s="189"/>
      <c r="I22" s="189"/>
      <c r="J22" s="189"/>
      <c r="L22" s="7">
        <f>559+111</f>
        <v>670</v>
      </c>
      <c r="O22" t="s">
        <v>46</v>
      </c>
      <c r="P22" s="4">
        <v>1582</v>
      </c>
      <c r="Q22" s="4"/>
      <c r="R22" s="5">
        <f t="shared" si="0"/>
        <v>1582</v>
      </c>
    </row>
    <row r="23" spans="1:18" ht="15.75" x14ac:dyDescent="0.25">
      <c r="A23" s="128"/>
      <c r="B23" s="14" t="s">
        <v>107</v>
      </c>
      <c r="C23" s="10"/>
      <c r="D23" s="48">
        <f t="shared" si="1"/>
        <v>0</v>
      </c>
      <c r="F23" s="25"/>
      <c r="G23" s="37"/>
      <c r="H23" s="190"/>
      <c r="I23" s="191"/>
      <c r="J23" s="191"/>
      <c r="L23" s="47">
        <f>R33</f>
        <v>1175</v>
      </c>
      <c r="N23" s="1"/>
      <c r="O23" t="s">
        <v>48</v>
      </c>
      <c r="P23" s="4">
        <v>1728</v>
      </c>
      <c r="Q23" s="4"/>
      <c r="R23" s="5">
        <f t="shared" si="0"/>
        <v>1728</v>
      </c>
    </row>
    <row r="24" spans="1:18" ht="15.75" x14ac:dyDescent="0.25">
      <c r="A24" s="128"/>
      <c r="B24" s="14" t="s">
        <v>123</v>
      </c>
      <c r="C24" s="10"/>
      <c r="D24" s="48">
        <f t="shared" si="1"/>
        <v>0</v>
      </c>
      <c r="F24" s="38"/>
      <c r="G24" s="37"/>
      <c r="H24" s="190"/>
      <c r="I24" s="191"/>
      <c r="J24" s="191"/>
      <c r="L24" s="47">
        <f>596/6</f>
        <v>99.333333333333329</v>
      </c>
      <c r="N24" s="1"/>
      <c r="O24" t="s">
        <v>49</v>
      </c>
      <c r="P24" s="4">
        <v>1728</v>
      </c>
      <c r="Q24" s="4"/>
      <c r="R24" s="5">
        <f t="shared" si="0"/>
        <v>1728</v>
      </c>
    </row>
    <row r="25" spans="1:18" ht="15.75" x14ac:dyDescent="0.25">
      <c r="A25" s="128"/>
      <c r="B25" s="14" t="s">
        <v>124</v>
      </c>
      <c r="C25" s="10"/>
      <c r="D25" s="48">
        <f t="shared" si="1"/>
        <v>0</v>
      </c>
      <c r="F25" s="60" t="s">
        <v>100</v>
      </c>
      <c r="G25" s="55" t="s">
        <v>98</v>
      </c>
      <c r="H25" s="192" t="s">
        <v>13</v>
      </c>
      <c r="I25" s="193"/>
      <c r="J25" s="194"/>
      <c r="L25" s="47">
        <f>674/6</f>
        <v>112.33333333333333</v>
      </c>
      <c r="O25" t="s">
        <v>51</v>
      </c>
      <c r="P25" s="4">
        <v>1582</v>
      </c>
      <c r="Q25" s="4"/>
      <c r="R25" s="5">
        <f t="shared" si="0"/>
        <v>1582</v>
      </c>
    </row>
    <row r="26" spans="1:18" ht="15.75" x14ac:dyDescent="0.25">
      <c r="A26" s="128"/>
      <c r="B26" s="14" t="s">
        <v>105</v>
      </c>
      <c r="C26" s="10"/>
      <c r="D26" s="48">
        <f t="shared" si="1"/>
        <v>0</v>
      </c>
      <c r="F26" s="64"/>
      <c r="G26" s="10"/>
      <c r="H26" s="195"/>
      <c r="I26" s="196"/>
      <c r="J26" s="197"/>
      <c r="L26" s="7">
        <f>832/24+1.5</f>
        <v>36.166666666666664</v>
      </c>
      <c r="O26" t="s">
        <v>52</v>
      </c>
      <c r="P26" s="4">
        <v>1447</v>
      </c>
      <c r="Q26" s="4">
        <v>120</v>
      </c>
      <c r="R26" s="5">
        <f t="shared" si="0"/>
        <v>1567</v>
      </c>
    </row>
    <row r="27" spans="1:18" ht="14.45" customHeight="1" x14ac:dyDescent="0.25">
      <c r="A27" s="128"/>
      <c r="B27" s="14" t="s">
        <v>109</v>
      </c>
      <c r="C27" s="10"/>
      <c r="D27" s="44">
        <f t="shared" si="1"/>
        <v>0</v>
      </c>
      <c r="F27" s="14"/>
      <c r="G27" s="14"/>
      <c r="H27" s="198"/>
      <c r="I27" s="199"/>
      <c r="J27" s="200"/>
      <c r="L27" s="7">
        <v>1582</v>
      </c>
      <c r="O27" t="s">
        <v>53</v>
      </c>
      <c r="P27" s="4">
        <v>1582</v>
      </c>
      <c r="Q27" s="4"/>
      <c r="R27" s="5">
        <f t="shared" si="0"/>
        <v>1582</v>
      </c>
    </row>
    <row r="28" spans="1:18" ht="15.75" x14ac:dyDescent="0.25">
      <c r="A28" s="129"/>
      <c r="B28" s="46" t="s">
        <v>97</v>
      </c>
      <c r="C28" s="10"/>
      <c r="D28" s="48">
        <f t="shared" si="1"/>
        <v>0</v>
      </c>
      <c r="F28" s="91"/>
      <c r="G28" s="61"/>
      <c r="H28" s="201"/>
      <c r="I28" s="202"/>
      <c r="J28" s="203"/>
      <c r="L28" s="7">
        <v>785</v>
      </c>
      <c r="O28" t="s">
        <v>54</v>
      </c>
      <c r="P28" s="4">
        <v>1447</v>
      </c>
      <c r="Q28" s="4">
        <v>120</v>
      </c>
      <c r="R28" s="5">
        <f t="shared" si="0"/>
        <v>1567</v>
      </c>
    </row>
    <row r="29" spans="1:18" x14ac:dyDescent="0.25">
      <c r="A29" s="167" t="s">
        <v>36</v>
      </c>
      <c r="B29" s="168"/>
      <c r="C29" s="169"/>
      <c r="D29" s="173">
        <f>SUM(D6:D28)</f>
        <v>299270</v>
      </c>
      <c r="F29" s="175" t="s">
        <v>55</v>
      </c>
      <c r="G29" s="176"/>
      <c r="H29" s="179">
        <f>H15-H16-H17-H18-H19-H20-H22-H23-H24+H26+H27</f>
        <v>246155</v>
      </c>
      <c r="I29" s="180"/>
      <c r="J29" s="181"/>
      <c r="O29" t="s">
        <v>56</v>
      </c>
      <c r="P29" s="4">
        <v>1582</v>
      </c>
      <c r="Q29" s="4"/>
      <c r="R29" s="5">
        <f t="shared" si="0"/>
        <v>1582</v>
      </c>
    </row>
    <row r="30" spans="1:18" x14ac:dyDescent="0.25">
      <c r="A30" s="170"/>
      <c r="B30" s="171"/>
      <c r="C30" s="172"/>
      <c r="D30" s="174"/>
      <c r="F30" s="177"/>
      <c r="G30" s="178"/>
      <c r="H30" s="182"/>
      <c r="I30" s="183"/>
      <c r="J30" s="184"/>
      <c r="N30" s="1"/>
      <c r="Q30" s="4"/>
      <c r="R30" s="5">
        <f t="shared" si="0"/>
        <v>0</v>
      </c>
    </row>
    <row r="31" spans="1:18" x14ac:dyDescent="0.25">
      <c r="A31" s="24"/>
      <c r="B31" s="24"/>
      <c r="C31" s="24"/>
      <c r="D31" s="24"/>
      <c r="F31" s="24"/>
      <c r="G31" s="24"/>
      <c r="O31" t="s">
        <v>57</v>
      </c>
      <c r="P31" s="4">
        <v>1052</v>
      </c>
      <c r="Q31" s="4">
        <v>120</v>
      </c>
      <c r="R31" s="5">
        <f t="shared" si="0"/>
        <v>1172</v>
      </c>
    </row>
    <row r="32" spans="1:18" x14ac:dyDescent="0.25">
      <c r="A32" s="114" t="s">
        <v>58</v>
      </c>
      <c r="B32" s="115"/>
      <c r="C32" s="115"/>
      <c r="D32" s="116"/>
      <c r="F32" s="204" t="s">
        <v>59</v>
      </c>
      <c r="G32" s="205"/>
      <c r="H32" s="205"/>
      <c r="I32" s="205"/>
      <c r="J32" s="206"/>
      <c r="O32" t="s">
        <v>60</v>
      </c>
      <c r="P32" s="4">
        <v>1005</v>
      </c>
      <c r="Q32" s="4">
        <v>120</v>
      </c>
      <c r="R32" s="5">
        <f t="shared" si="0"/>
        <v>1125</v>
      </c>
    </row>
    <row r="33" spans="1:18" x14ac:dyDescent="0.25">
      <c r="A33" s="25"/>
      <c r="B33" s="25" t="s">
        <v>11</v>
      </c>
      <c r="C33" s="25" t="s">
        <v>61</v>
      </c>
      <c r="D33" s="25" t="s">
        <v>13</v>
      </c>
      <c r="F33" s="25" t="s">
        <v>62</v>
      </c>
      <c r="G33" s="92" t="s">
        <v>63</v>
      </c>
      <c r="H33" s="204" t="s">
        <v>13</v>
      </c>
      <c r="I33" s="205"/>
      <c r="J33" s="206"/>
      <c r="O33" t="s">
        <v>64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27" t="s">
        <v>65</v>
      </c>
      <c r="B34" s="26" t="s">
        <v>66</v>
      </c>
      <c r="C34" s="51"/>
      <c r="D34" s="30">
        <f>C34*120</f>
        <v>0</v>
      </c>
      <c r="F34" s="12">
        <v>1000</v>
      </c>
      <c r="G34" s="74">
        <v>103</v>
      </c>
      <c r="H34" s="207">
        <f>F34*G34</f>
        <v>103000</v>
      </c>
      <c r="I34" s="208"/>
      <c r="J34" s="209"/>
      <c r="O34" t="s">
        <v>67</v>
      </c>
      <c r="P34" s="4">
        <v>832</v>
      </c>
      <c r="Q34" s="4">
        <v>120</v>
      </c>
      <c r="R34" s="5">
        <f t="shared" si="0"/>
        <v>952</v>
      </c>
    </row>
    <row r="35" spans="1:18" ht="15.75" x14ac:dyDescent="0.25">
      <c r="A35" s="128"/>
      <c r="B35" s="27" t="s">
        <v>68</v>
      </c>
      <c r="C35" s="52"/>
      <c r="D35" s="30">
        <f>C35*84</f>
        <v>0</v>
      </c>
      <c r="F35" s="58">
        <v>500</v>
      </c>
      <c r="G35" s="41">
        <v>115</v>
      </c>
      <c r="H35" s="207">
        <f t="shared" ref="H35:H39" si="2">F35*G35</f>
        <v>57500</v>
      </c>
      <c r="I35" s="208"/>
      <c r="J35" s="209"/>
      <c r="O35" t="s">
        <v>69</v>
      </c>
      <c r="P35" s="4">
        <v>1102</v>
      </c>
      <c r="Q35" s="4"/>
      <c r="R35" s="5">
        <f t="shared" si="0"/>
        <v>1102</v>
      </c>
    </row>
    <row r="36" spans="1:18" ht="15.75" x14ac:dyDescent="0.25">
      <c r="A36" s="129"/>
      <c r="B36" s="26" t="s">
        <v>70</v>
      </c>
      <c r="C36" s="10"/>
      <c r="D36" s="12">
        <f>C36*1.5</f>
        <v>0</v>
      </c>
      <c r="F36" s="12">
        <v>200</v>
      </c>
      <c r="G36" s="37">
        <v>1</v>
      </c>
      <c r="H36" s="207">
        <f>F36*G36</f>
        <v>200</v>
      </c>
      <c r="I36" s="208"/>
      <c r="J36" s="209"/>
      <c r="O36" t="s">
        <v>71</v>
      </c>
      <c r="P36" s="4">
        <v>852</v>
      </c>
      <c r="Q36" s="4">
        <v>120</v>
      </c>
      <c r="R36" s="5">
        <f t="shared" si="0"/>
        <v>972</v>
      </c>
    </row>
    <row r="37" spans="1:18" ht="15.75" x14ac:dyDescent="0.25">
      <c r="A37" s="127" t="s">
        <v>72</v>
      </c>
      <c r="B37" s="28" t="s">
        <v>66</v>
      </c>
      <c r="C37" s="53">
        <v>412</v>
      </c>
      <c r="D37" s="12">
        <f>C37*111</f>
        <v>45732</v>
      </c>
      <c r="F37" s="12">
        <v>100</v>
      </c>
      <c r="G37" s="39">
        <v>708</v>
      </c>
      <c r="H37" s="207">
        <f t="shared" si="2"/>
        <v>70800</v>
      </c>
      <c r="I37" s="208"/>
      <c r="J37" s="209"/>
      <c r="O37" t="s">
        <v>73</v>
      </c>
      <c r="P37" s="4">
        <v>1020</v>
      </c>
      <c r="Q37" s="4">
        <v>120</v>
      </c>
      <c r="R37" s="5">
        <f t="shared" si="0"/>
        <v>1140</v>
      </c>
    </row>
    <row r="38" spans="1:18" ht="15.75" x14ac:dyDescent="0.25">
      <c r="A38" s="128"/>
      <c r="B38" s="29" t="s">
        <v>68</v>
      </c>
      <c r="C38" s="54">
        <v>25</v>
      </c>
      <c r="D38" s="12">
        <f>C38*84</f>
        <v>2100</v>
      </c>
      <c r="F38" s="30">
        <v>50</v>
      </c>
      <c r="G38" s="39">
        <v>305</v>
      </c>
      <c r="H38" s="207">
        <f t="shared" si="2"/>
        <v>15250</v>
      </c>
      <c r="I38" s="208"/>
      <c r="J38" s="209"/>
      <c r="O38" t="s">
        <v>74</v>
      </c>
      <c r="P38" s="4">
        <v>596</v>
      </c>
      <c r="Q38" s="4">
        <v>111</v>
      </c>
      <c r="R38" s="5">
        <f t="shared" si="0"/>
        <v>707</v>
      </c>
    </row>
    <row r="39" spans="1:18" ht="15.75" x14ac:dyDescent="0.25">
      <c r="A39" s="129"/>
      <c r="B39" s="29" t="s">
        <v>70</v>
      </c>
      <c r="C39" s="52"/>
      <c r="D39" s="31">
        <f>C39*4.5</f>
        <v>0</v>
      </c>
      <c r="F39" s="12">
        <v>20</v>
      </c>
      <c r="G39" s="37"/>
      <c r="H39" s="207">
        <f t="shared" si="2"/>
        <v>0</v>
      </c>
      <c r="I39" s="208"/>
      <c r="J39" s="209"/>
      <c r="O39" t="s">
        <v>75</v>
      </c>
      <c r="P39" s="4">
        <v>1175</v>
      </c>
      <c r="Q39" s="4"/>
      <c r="R39" s="5">
        <f t="shared" si="0"/>
        <v>1175</v>
      </c>
    </row>
    <row r="40" spans="1:18" ht="15.75" x14ac:dyDescent="0.25">
      <c r="A40" s="127" t="s">
        <v>76</v>
      </c>
      <c r="B40" s="27" t="s">
        <v>66</v>
      </c>
      <c r="C40" s="63"/>
      <c r="D40" s="12">
        <f>C40*111</f>
        <v>0</v>
      </c>
      <c r="F40" s="12">
        <v>10</v>
      </c>
      <c r="G40" s="42"/>
      <c r="H40" s="207"/>
      <c r="I40" s="208"/>
      <c r="J40" s="209"/>
      <c r="O40" t="s">
        <v>77</v>
      </c>
      <c r="P40" s="4">
        <v>913</v>
      </c>
      <c r="Q40" s="4">
        <v>120</v>
      </c>
      <c r="R40" s="5">
        <f t="shared" si="0"/>
        <v>1033</v>
      </c>
    </row>
    <row r="41" spans="1:18" ht="15.75" x14ac:dyDescent="0.25">
      <c r="A41" s="128"/>
      <c r="B41" s="27" t="s">
        <v>68</v>
      </c>
      <c r="C41" s="10"/>
      <c r="D41" s="12">
        <f>C41*84</f>
        <v>0</v>
      </c>
      <c r="F41" s="12">
        <v>5</v>
      </c>
      <c r="G41" s="42"/>
      <c r="H41" s="207"/>
      <c r="I41" s="208"/>
      <c r="J41" s="209"/>
      <c r="K41" s="21"/>
      <c r="O41" t="s">
        <v>78</v>
      </c>
      <c r="P41" s="4">
        <v>614</v>
      </c>
      <c r="Q41" s="4">
        <v>111</v>
      </c>
      <c r="R41" s="5">
        <f t="shared" si="0"/>
        <v>725</v>
      </c>
    </row>
    <row r="42" spans="1:18" ht="15.75" x14ac:dyDescent="0.25">
      <c r="A42" s="129"/>
      <c r="B42" s="27" t="s">
        <v>70</v>
      </c>
      <c r="C42" s="11"/>
      <c r="D42" s="12">
        <f>C42*2.25</f>
        <v>0</v>
      </c>
      <c r="F42" s="39" t="s">
        <v>79</v>
      </c>
      <c r="G42" s="207">
        <v>20</v>
      </c>
      <c r="H42" s="208"/>
      <c r="I42" s="208"/>
      <c r="J42" s="209"/>
      <c r="K42" s="36"/>
      <c r="O42" t="s">
        <v>80</v>
      </c>
      <c r="P42" s="4">
        <v>626</v>
      </c>
      <c r="Q42" s="4">
        <v>111</v>
      </c>
      <c r="R42" s="5">
        <f t="shared" si="0"/>
        <v>737</v>
      </c>
    </row>
    <row r="43" spans="1:18" ht="15.75" x14ac:dyDescent="0.25">
      <c r="A43" s="210" t="s">
        <v>81</v>
      </c>
      <c r="C43" s="11"/>
      <c r="D43" s="12"/>
      <c r="F43" s="59" t="s">
        <v>82</v>
      </c>
      <c r="G43" s="94" t="s">
        <v>83</v>
      </c>
      <c r="H43" s="213" t="s">
        <v>13</v>
      </c>
      <c r="I43" s="214"/>
      <c r="J43" s="215"/>
      <c r="K43" s="21"/>
      <c r="P43" s="4"/>
      <c r="Q43" s="4"/>
      <c r="R43" s="5"/>
    </row>
    <row r="44" spans="1:18" ht="15.75" x14ac:dyDescent="0.25">
      <c r="A44" s="211"/>
      <c r="B44" s="27" t="s">
        <v>66</v>
      </c>
      <c r="C44" s="10"/>
      <c r="D44" s="12">
        <f>C44*120</f>
        <v>0</v>
      </c>
      <c r="F44" s="37"/>
      <c r="G44" s="62"/>
      <c r="H44" s="191"/>
      <c r="I44" s="191"/>
      <c r="J44" s="191"/>
      <c r="K44" s="21"/>
      <c r="P44" s="4"/>
      <c r="Q44" s="4"/>
      <c r="R44" s="5"/>
    </row>
    <row r="45" spans="1:18" ht="15.75" x14ac:dyDescent="0.25">
      <c r="A45" s="211"/>
      <c r="B45" s="27" t="s">
        <v>68</v>
      </c>
      <c r="C45" s="33"/>
      <c r="D45" s="12">
        <f>C45*84</f>
        <v>0</v>
      </c>
      <c r="F45" s="37"/>
      <c r="G45" s="62"/>
      <c r="H45" s="191"/>
      <c r="I45" s="191"/>
      <c r="J45" s="191"/>
      <c r="K45" s="21"/>
      <c r="P45" s="4"/>
      <c r="Q45" s="4"/>
      <c r="R45" s="5"/>
    </row>
    <row r="46" spans="1:18" ht="15.75" x14ac:dyDescent="0.25">
      <c r="A46" s="211"/>
      <c r="B46" s="49" t="s">
        <v>70</v>
      </c>
      <c r="C46" s="81"/>
      <c r="D46" s="12">
        <f>C46*1.5</f>
        <v>0</v>
      </c>
      <c r="F46" s="37"/>
      <c r="G46" s="93"/>
      <c r="H46" s="216"/>
      <c r="I46" s="216"/>
      <c r="J46" s="216"/>
      <c r="K46" s="21"/>
      <c r="P46" s="4"/>
      <c r="Q46" s="4"/>
      <c r="R46" s="5"/>
    </row>
    <row r="47" spans="1:18" ht="15.75" x14ac:dyDescent="0.25">
      <c r="A47" s="212"/>
      <c r="B47" s="27"/>
      <c r="C47" s="11"/>
      <c r="D47" s="12"/>
      <c r="F47" s="59"/>
      <c r="G47" s="59"/>
      <c r="H47" s="217"/>
      <c r="I47" s="218"/>
      <c r="J47" s="219"/>
      <c r="K47" s="21"/>
      <c r="P47" s="4"/>
      <c r="Q47" s="4"/>
      <c r="R47" s="5"/>
    </row>
    <row r="48" spans="1:18" ht="15" customHeight="1" x14ac:dyDescent="0.25">
      <c r="A48" s="210" t="s">
        <v>32</v>
      </c>
      <c r="B48" s="27" t="s">
        <v>66</v>
      </c>
      <c r="C48" s="10">
        <v>5</v>
      </c>
      <c r="D48" s="12">
        <f>C48*78</f>
        <v>390</v>
      </c>
      <c r="F48" s="59"/>
      <c r="G48" s="59"/>
      <c r="H48" s="217"/>
      <c r="I48" s="218"/>
      <c r="J48" s="219"/>
      <c r="K48" s="35"/>
      <c r="O48" t="s">
        <v>84</v>
      </c>
      <c r="P48" s="4">
        <v>1175</v>
      </c>
      <c r="Q48" s="4"/>
      <c r="R48" s="5">
        <f t="shared" si="0"/>
        <v>1175</v>
      </c>
    </row>
    <row r="49" spans="1:18" ht="15.75" x14ac:dyDescent="0.25">
      <c r="A49" s="211"/>
      <c r="B49" s="29" t="s">
        <v>68</v>
      </c>
      <c r="C49" s="33">
        <v>31</v>
      </c>
      <c r="D49" s="12">
        <f>C49*42</f>
        <v>1302</v>
      </c>
      <c r="F49" s="232" t="s">
        <v>86</v>
      </c>
      <c r="G49" s="179">
        <f>H34+H35+H36+H37+H38+H39+H40+H41+G42+H44+H45+H46</f>
        <v>246770</v>
      </c>
      <c r="H49" s="180"/>
      <c r="I49" s="180"/>
      <c r="J49" s="181"/>
      <c r="O49" t="s">
        <v>85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211"/>
      <c r="B50" s="32" t="s">
        <v>70</v>
      </c>
      <c r="C50" s="11"/>
      <c r="D50" s="12">
        <f>C50*1.5</f>
        <v>0</v>
      </c>
      <c r="F50" s="233"/>
      <c r="G50" s="182"/>
      <c r="H50" s="183"/>
      <c r="I50" s="183"/>
      <c r="J50" s="184"/>
      <c r="P50" s="4"/>
      <c r="Q50" s="4"/>
      <c r="R50" s="5"/>
    </row>
    <row r="51" spans="1:18" ht="15" customHeight="1" x14ac:dyDescent="0.25">
      <c r="A51" s="211"/>
      <c r="B51" s="27"/>
      <c r="C51" s="10"/>
      <c r="D51" s="31"/>
      <c r="F51" s="234" t="s">
        <v>156</v>
      </c>
      <c r="G51" s="236">
        <f>G49-H29</f>
        <v>615</v>
      </c>
      <c r="H51" s="237"/>
      <c r="I51" s="237"/>
      <c r="J51" s="238"/>
      <c r="K51" s="21"/>
      <c r="O51" t="s">
        <v>87</v>
      </c>
      <c r="P51" s="4">
        <v>703</v>
      </c>
      <c r="Q51" s="4">
        <v>120</v>
      </c>
      <c r="R51" s="5">
        <f t="shared" si="0"/>
        <v>823</v>
      </c>
    </row>
    <row r="52" spans="1:18" ht="15.75" x14ac:dyDescent="0.25">
      <c r="A52" s="211"/>
      <c r="B52" s="29"/>
      <c r="C52" s="33"/>
      <c r="D52" s="45"/>
      <c r="F52" s="235"/>
      <c r="G52" s="239"/>
      <c r="H52" s="240"/>
      <c r="I52" s="240"/>
      <c r="J52" s="241"/>
      <c r="K52" s="21"/>
      <c r="O52" t="s">
        <v>88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212"/>
      <c r="B53" s="32"/>
      <c r="C53" s="11"/>
      <c r="D53" s="12"/>
      <c r="F53" s="35"/>
      <c r="G53" s="24"/>
      <c r="H53" s="24"/>
      <c r="I53" s="24"/>
      <c r="J53" s="17"/>
      <c r="N53" s="1"/>
      <c r="O53" t="s">
        <v>89</v>
      </c>
      <c r="P53" s="4">
        <v>1142</v>
      </c>
    </row>
    <row r="54" spans="1:18" x14ac:dyDescent="0.25">
      <c r="A54" s="175" t="s">
        <v>90</v>
      </c>
      <c r="B54" s="220"/>
      <c r="C54" s="221"/>
      <c r="D54" s="224">
        <f>SUM(D34:D53)</f>
        <v>49524</v>
      </c>
      <c r="F54" s="21"/>
      <c r="J54" s="34"/>
    </row>
    <row r="55" spans="1:18" x14ac:dyDescent="0.25">
      <c r="A55" s="177"/>
      <c r="B55" s="222"/>
      <c r="C55" s="223"/>
      <c r="D55" s="225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151</v>
      </c>
      <c r="D57" s="34"/>
      <c r="F57" s="36"/>
      <c r="G57" s="50"/>
      <c r="H57" s="50"/>
      <c r="I57" s="50"/>
      <c r="J57" s="43"/>
    </row>
    <row r="58" spans="1:18" x14ac:dyDescent="0.25">
      <c r="A58" s="226" t="s">
        <v>91</v>
      </c>
      <c r="B58" s="227"/>
      <c r="C58" s="227"/>
      <c r="D58" s="228"/>
      <c r="F58" s="226" t="s">
        <v>92</v>
      </c>
      <c r="G58" s="227"/>
      <c r="H58" s="227"/>
      <c r="I58" s="227"/>
      <c r="J58" s="228"/>
    </row>
    <row r="59" spans="1:18" x14ac:dyDescent="0.25">
      <c r="A59" s="229"/>
      <c r="B59" s="230"/>
      <c r="C59" s="230"/>
      <c r="D59" s="231"/>
      <c r="F59" s="229"/>
      <c r="G59" s="230"/>
      <c r="H59" s="230"/>
      <c r="I59" s="230"/>
      <c r="J59" s="231"/>
    </row>
  </sheetData>
  <mergeCells count="68"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  <mergeCell ref="H13:J13"/>
    <mergeCell ref="F14:G14"/>
    <mergeCell ref="H14:J14"/>
    <mergeCell ref="F15:G15"/>
    <mergeCell ref="H15:J15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A32:D32"/>
    <mergeCell ref="F32:J32"/>
    <mergeCell ref="H33:J33"/>
    <mergeCell ref="A34:A36"/>
    <mergeCell ref="H34:J34"/>
    <mergeCell ref="H35:J35"/>
    <mergeCell ref="H36:J36"/>
    <mergeCell ref="A37:A39"/>
    <mergeCell ref="H37:J37"/>
    <mergeCell ref="H38:J38"/>
    <mergeCell ref="H39:J39"/>
    <mergeCell ref="A40:A42"/>
    <mergeCell ref="H40:J40"/>
    <mergeCell ref="H41:J41"/>
    <mergeCell ref="G42:J42"/>
    <mergeCell ref="A43:A47"/>
    <mergeCell ref="H43:J43"/>
    <mergeCell ref="H44:J44"/>
    <mergeCell ref="H45:J45"/>
    <mergeCell ref="H46:J46"/>
    <mergeCell ref="H47:J47"/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052C741-6CC8-4F85-B062-DB0A34186CBC}">
  <dimension ref="A1:R59"/>
  <sheetViews>
    <sheetView topLeftCell="A16"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113" t="s">
        <v>1</v>
      </c>
      <c r="O1" s="113"/>
      <c r="P1" s="90" t="s">
        <v>2</v>
      </c>
      <c r="Q1" s="90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14" t="s">
        <v>7</v>
      </c>
      <c r="B4" s="115"/>
      <c r="C4" s="115"/>
      <c r="D4" s="116"/>
      <c r="F4" s="117" t="s">
        <v>8</v>
      </c>
      <c r="G4" s="119" t="s">
        <v>152</v>
      </c>
      <c r="H4" s="121" t="s">
        <v>9</v>
      </c>
      <c r="I4" s="123">
        <v>45965</v>
      </c>
      <c r="J4" s="124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27" t="s">
        <v>7</v>
      </c>
      <c r="B5" s="15" t="s">
        <v>11</v>
      </c>
      <c r="C5" s="9" t="s">
        <v>12</v>
      </c>
      <c r="D5" s="25" t="s">
        <v>13</v>
      </c>
      <c r="F5" s="118"/>
      <c r="G5" s="120"/>
      <c r="H5" s="122"/>
      <c r="I5" s="125"/>
      <c r="J5" s="126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28"/>
      <c r="B6" s="16" t="s">
        <v>15</v>
      </c>
      <c r="C6" s="10">
        <v>703</v>
      </c>
      <c r="D6" s="13">
        <f t="shared" ref="D6:D28" si="1">C6*L6</f>
        <v>518111</v>
      </c>
      <c r="F6" s="130" t="s">
        <v>16</v>
      </c>
      <c r="G6" s="132" t="s">
        <v>111</v>
      </c>
      <c r="H6" s="133"/>
      <c r="I6" s="133"/>
      <c r="J6" s="134"/>
      <c r="K6" s="8"/>
      <c r="L6" s="6">
        <f>R42</f>
        <v>737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28"/>
      <c r="B7" s="16" t="s">
        <v>18</v>
      </c>
      <c r="C7" s="10">
        <v>16</v>
      </c>
      <c r="D7" s="13">
        <f t="shared" si="1"/>
        <v>11600</v>
      </c>
      <c r="F7" s="131"/>
      <c r="G7" s="135"/>
      <c r="H7" s="136"/>
      <c r="I7" s="136"/>
      <c r="J7" s="137"/>
      <c r="K7" s="8"/>
      <c r="L7" s="6">
        <f>R41</f>
        <v>725</v>
      </c>
      <c r="P7" s="4"/>
      <c r="Q7" s="4"/>
      <c r="R7" s="5"/>
    </row>
    <row r="8" spans="1:18" ht="14.45" customHeight="1" x14ac:dyDescent="0.25">
      <c r="A8" s="128"/>
      <c r="B8" s="16" t="s">
        <v>20</v>
      </c>
      <c r="C8" s="10">
        <v>2</v>
      </c>
      <c r="D8" s="13">
        <f t="shared" si="1"/>
        <v>2066</v>
      </c>
      <c r="F8" s="138" t="s">
        <v>21</v>
      </c>
      <c r="G8" s="140" t="s">
        <v>119</v>
      </c>
      <c r="H8" s="141"/>
      <c r="I8" s="141"/>
      <c r="J8" s="142"/>
      <c r="K8" s="8"/>
      <c r="L8" s="6">
        <f>R40</f>
        <v>1033</v>
      </c>
      <c r="P8" s="4"/>
      <c r="Q8" s="4"/>
      <c r="R8" s="5"/>
    </row>
    <row r="9" spans="1:18" ht="14.45" customHeight="1" x14ac:dyDescent="0.25">
      <c r="A9" s="128"/>
      <c r="B9" s="16" t="s">
        <v>23</v>
      </c>
      <c r="C9" s="10">
        <v>147</v>
      </c>
      <c r="D9" s="13">
        <f t="shared" si="1"/>
        <v>103929</v>
      </c>
      <c r="F9" s="131"/>
      <c r="G9" s="143"/>
      <c r="H9" s="144"/>
      <c r="I9" s="144"/>
      <c r="J9" s="145"/>
      <c r="K9" s="8"/>
      <c r="L9" s="6">
        <f>R38</f>
        <v>707</v>
      </c>
      <c r="P9" s="4"/>
      <c r="Q9" s="4"/>
      <c r="R9" s="5"/>
    </row>
    <row r="10" spans="1:18" ht="14.45" customHeight="1" x14ac:dyDescent="0.25">
      <c r="A10" s="128"/>
      <c r="B10" t="s">
        <v>25</v>
      </c>
      <c r="C10" s="10">
        <v>2</v>
      </c>
      <c r="D10" s="13">
        <f t="shared" si="1"/>
        <v>1944</v>
      </c>
      <c r="F10" s="130" t="s">
        <v>26</v>
      </c>
      <c r="G10" s="146" t="s">
        <v>137</v>
      </c>
      <c r="H10" s="147"/>
      <c r="I10" s="147"/>
      <c r="J10" s="148"/>
      <c r="K10" s="8"/>
      <c r="L10" s="6">
        <f>R36</f>
        <v>972</v>
      </c>
      <c r="P10" s="4"/>
      <c r="Q10" s="4"/>
      <c r="R10" s="5"/>
    </row>
    <row r="11" spans="1:18" ht="15.75" x14ac:dyDescent="0.25">
      <c r="A11" s="128"/>
      <c r="B11" s="17" t="s">
        <v>28</v>
      </c>
      <c r="C11" s="10">
        <v>3</v>
      </c>
      <c r="D11" s="13">
        <f t="shared" si="1"/>
        <v>3375</v>
      </c>
      <c r="F11" s="131"/>
      <c r="G11" s="143"/>
      <c r="H11" s="144"/>
      <c r="I11" s="144"/>
      <c r="J11" s="145"/>
      <c r="K11" s="22"/>
      <c r="L11" s="6">
        <f>R32</f>
        <v>1125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28"/>
      <c r="B12" s="17" t="s">
        <v>30</v>
      </c>
      <c r="C12" s="10">
        <f>2+1</f>
        <v>3</v>
      </c>
      <c r="D12" s="48">
        <f t="shared" si="1"/>
        <v>2856</v>
      </c>
      <c r="F12" s="149" t="s">
        <v>33</v>
      </c>
      <c r="G12" s="150"/>
      <c r="H12" s="150"/>
      <c r="I12" s="150"/>
      <c r="J12" s="151"/>
      <c r="K12" s="23"/>
      <c r="L12" s="6">
        <f>R34</f>
        <v>952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28"/>
      <c r="B13" s="17" t="s">
        <v>32</v>
      </c>
      <c r="C13" s="10">
        <v>35</v>
      </c>
      <c r="D13" s="48">
        <f t="shared" si="1"/>
        <v>10745</v>
      </c>
      <c r="F13" s="152" t="s">
        <v>36</v>
      </c>
      <c r="G13" s="153"/>
      <c r="H13" s="154">
        <f>D29</f>
        <v>654670</v>
      </c>
      <c r="I13" s="155"/>
      <c r="J13" s="156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28"/>
      <c r="B14" s="14" t="s">
        <v>35</v>
      </c>
      <c r="C14" s="10">
        <v>4</v>
      </c>
      <c r="D14" s="31">
        <f t="shared" si="1"/>
        <v>44</v>
      </c>
      <c r="F14" s="157" t="s">
        <v>39</v>
      </c>
      <c r="G14" s="158"/>
      <c r="H14" s="159">
        <f>D54</f>
        <v>112054.5</v>
      </c>
      <c r="I14" s="160"/>
      <c r="J14" s="161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28"/>
      <c r="B15" s="14" t="s">
        <v>38</v>
      </c>
      <c r="C15" s="10"/>
      <c r="D15" s="31">
        <f t="shared" si="1"/>
        <v>0</v>
      </c>
      <c r="F15" s="162" t="s">
        <v>40</v>
      </c>
      <c r="G15" s="153"/>
      <c r="H15" s="163">
        <f>H13-H14</f>
        <v>542615.5</v>
      </c>
      <c r="I15" s="164"/>
      <c r="J15" s="165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28"/>
      <c r="B16" s="18" t="s">
        <v>94</v>
      </c>
      <c r="C16" s="10"/>
      <c r="D16" s="48">
        <f t="shared" si="1"/>
        <v>0</v>
      </c>
      <c r="F16" s="67" t="s">
        <v>42</v>
      </c>
      <c r="G16" s="66" t="s">
        <v>43</v>
      </c>
      <c r="H16" s="166">
        <f>1794+3000+672</f>
        <v>5466</v>
      </c>
      <c r="I16" s="166"/>
      <c r="J16" s="166"/>
      <c r="L16" s="6">
        <f>R28</f>
        <v>1567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28"/>
      <c r="B17" t="s">
        <v>113</v>
      </c>
      <c r="C17" s="10"/>
      <c r="D17" s="48">
        <f t="shared" si="1"/>
        <v>0</v>
      </c>
      <c r="F17" s="56"/>
      <c r="G17" s="66" t="s">
        <v>45</v>
      </c>
      <c r="H17" s="139"/>
      <c r="I17" s="139"/>
      <c r="J17" s="139"/>
      <c r="L17" s="6">
        <v>1582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28"/>
      <c r="B18" s="19" t="s">
        <v>95</v>
      </c>
      <c r="C18" s="10"/>
      <c r="D18" s="48">
        <f t="shared" si="1"/>
        <v>0</v>
      </c>
      <c r="F18" s="56"/>
      <c r="G18" s="66" t="s">
        <v>47</v>
      </c>
      <c r="H18" s="139"/>
      <c r="I18" s="139"/>
      <c r="J18" s="139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28"/>
      <c r="B19" s="14" t="s">
        <v>117</v>
      </c>
      <c r="C19" s="10"/>
      <c r="D19" s="48">
        <f t="shared" si="1"/>
        <v>0</v>
      </c>
      <c r="F19" s="56"/>
      <c r="G19" s="68" t="s">
        <v>50</v>
      </c>
      <c r="H19" s="253"/>
      <c r="I19" s="253"/>
      <c r="J19" s="253"/>
      <c r="L19" s="6">
        <f>R35</f>
        <v>1102</v>
      </c>
      <c r="Q19" s="4"/>
      <c r="R19" s="5">
        <f t="shared" si="0"/>
        <v>0</v>
      </c>
    </row>
    <row r="20" spans="1:18" ht="15.75" x14ac:dyDescent="0.25">
      <c r="A20" s="128"/>
      <c r="B20" s="46" t="s">
        <v>108</v>
      </c>
      <c r="C20" s="10"/>
      <c r="D20" s="13">
        <f t="shared" si="1"/>
        <v>0</v>
      </c>
      <c r="F20" s="57"/>
      <c r="G20" s="70" t="s">
        <v>120</v>
      </c>
      <c r="H20" s="166"/>
      <c r="I20" s="166"/>
      <c r="J20" s="166"/>
      <c r="L20" s="6">
        <f>1102</f>
        <v>1102</v>
      </c>
      <c r="N20" s="1" t="s">
        <v>41</v>
      </c>
      <c r="Q20" s="4"/>
      <c r="R20" s="5">
        <f t="shared" si="0"/>
        <v>0</v>
      </c>
    </row>
    <row r="21" spans="1:18" ht="15.75" x14ac:dyDescent="0.25">
      <c r="A21" s="128"/>
      <c r="B21" s="14" t="s">
        <v>126</v>
      </c>
      <c r="C21" s="10"/>
      <c r="D21" s="48">
        <f t="shared" si="1"/>
        <v>0</v>
      </c>
      <c r="F21" s="69" t="s">
        <v>99</v>
      </c>
      <c r="G21" s="82" t="s">
        <v>98</v>
      </c>
      <c r="H21" s="186" t="s">
        <v>13</v>
      </c>
      <c r="I21" s="187"/>
      <c r="J21" s="188"/>
      <c r="L21" s="7">
        <v>650</v>
      </c>
      <c r="O21" t="s">
        <v>44</v>
      </c>
      <c r="P21" s="4">
        <v>1447</v>
      </c>
      <c r="Q21" s="4">
        <v>120</v>
      </c>
      <c r="R21" s="5">
        <f t="shared" si="0"/>
        <v>1567</v>
      </c>
    </row>
    <row r="22" spans="1:18" ht="15.75" x14ac:dyDescent="0.25">
      <c r="A22" s="128"/>
      <c r="B22" s="46" t="s">
        <v>104</v>
      </c>
      <c r="C22" s="10"/>
      <c r="D22" s="48">
        <f t="shared" si="1"/>
        <v>0</v>
      </c>
      <c r="F22" s="77"/>
      <c r="G22" s="73"/>
      <c r="H22" s="189"/>
      <c r="I22" s="189"/>
      <c r="J22" s="189"/>
      <c r="L22" s="7">
        <f>559+111</f>
        <v>670</v>
      </c>
      <c r="O22" t="s">
        <v>46</v>
      </c>
      <c r="P22" s="4">
        <v>1582</v>
      </c>
      <c r="Q22" s="4"/>
      <c r="R22" s="5">
        <f t="shared" si="0"/>
        <v>1582</v>
      </c>
    </row>
    <row r="23" spans="1:18" ht="15.75" x14ac:dyDescent="0.25">
      <c r="A23" s="128"/>
      <c r="B23" s="14" t="s">
        <v>107</v>
      </c>
      <c r="C23" s="10"/>
      <c r="D23" s="48">
        <f t="shared" si="1"/>
        <v>0</v>
      </c>
      <c r="F23" s="78"/>
      <c r="G23" s="79"/>
      <c r="H23" s="190"/>
      <c r="I23" s="191"/>
      <c r="J23" s="191"/>
      <c r="L23" s="47">
        <f>R33</f>
        <v>1175</v>
      </c>
      <c r="N23" s="1"/>
      <c r="O23" t="s">
        <v>48</v>
      </c>
      <c r="P23" s="4">
        <v>1728</v>
      </c>
      <c r="Q23" s="4"/>
      <c r="R23" s="5">
        <f t="shared" si="0"/>
        <v>1728</v>
      </c>
    </row>
    <row r="24" spans="1:18" ht="15.75" x14ac:dyDescent="0.25">
      <c r="A24" s="128"/>
      <c r="B24" s="14" t="s">
        <v>101</v>
      </c>
      <c r="C24" s="10"/>
      <c r="D24" s="48">
        <f t="shared" si="1"/>
        <v>0</v>
      </c>
      <c r="F24" s="38"/>
      <c r="G24" s="37"/>
      <c r="H24" s="190"/>
      <c r="I24" s="191"/>
      <c r="J24" s="191"/>
      <c r="L24" s="47">
        <v>1667</v>
      </c>
      <c r="N24" s="1"/>
      <c r="O24" t="s">
        <v>49</v>
      </c>
      <c r="P24" s="4">
        <v>1728</v>
      </c>
      <c r="Q24" s="4"/>
      <c r="R24" s="5">
        <f t="shared" si="0"/>
        <v>1728</v>
      </c>
    </row>
    <row r="25" spans="1:18" ht="15.75" x14ac:dyDescent="0.25">
      <c r="A25" s="128"/>
      <c r="B25" s="14" t="s">
        <v>116</v>
      </c>
      <c r="C25" s="10"/>
      <c r="D25" s="48">
        <f t="shared" si="1"/>
        <v>0</v>
      </c>
      <c r="F25" s="60" t="s">
        <v>100</v>
      </c>
      <c r="G25" s="55" t="s">
        <v>98</v>
      </c>
      <c r="H25" s="192" t="s">
        <v>13</v>
      </c>
      <c r="I25" s="193"/>
      <c r="J25" s="194"/>
      <c r="L25" s="47">
        <f>1582</f>
        <v>1582</v>
      </c>
      <c r="O25" t="s">
        <v>51</v>
      </c>
      <c r="P25" s="4">
        <v>1582</v>
      </c>
      <c r="Q25" s="4"/>
      <c r="R25" s="5">
        <f t="shared" si="0"/>
        <v>1582</v>
      </c>
    </row>
    <row r="26" spans="1:18" ht="15.75" x14ac:dyDescent="0.25">
      <c r="A26" s="128"/>
      <c r="B26" s="14" t="s">
        <v>105</v>
      </c>
      <c r="C26" s="10"/>
      <c r="D26" s="48">
        <f t="shared" si="1"/>
        <v>0</v>
      </c>
      <c r="F26" s="64"/>
      <c r="G26" s="59"/>
      <c r="H26" s="195"/>
      <c r="I26" s="196"/>
      <c r="J26" s="197"/>
      <c r="L26" s="7">
        <f>832/24+1.5</f>
        <v>36.166666666666664</v>
      </c>
      <c r="O26" t="s">
        <v>52</v>
      </c>
      <c r="P26" s="4">
        <v>1447</v>
      </c>
      <c r="Q26" s="4">
        <v>120</v>
      </c>
      <c r="R26" s="5">
        <f t="shared" si="0"/>
        <v>1567</v>
      </c>
    </row>
    <row r="27" spans="1:18" ht="14.45" customHeight="1" x14ac:dyDescent="0.25">
      <c r="A27" s="128"/>
      <c r="B27" s="14" t="s">
        <v>109</v>
      </c>
      <c r="C27" s="10"/>
      <c r="D27" s="44">
        <f t="shared" si="1"/>
        <v>0</v>
      </c>
      <c r="F27" s="25"/>
      <c r="G27" s="80"/>
      <c r="H27" s="198"/>
      <c r="I27" s="199"/>
      <c r="J27" s="200"/>
      <c r="L27" s="7">
        <v>1582</v>
      </c>
      <c r="O27" t="s">
        <v>53</v>
      </c>
      <c r="P27" s="4">
        <v>1582</v>
      </c>
      <c r="Q27" s="4"/>
      <c r="R27" s="5">
        <f t="shared" si="0"/>
        <v>1582</v>
      </c>
    </row>
    <row r="28" spans="1:18" ht="15.75" x14ac:dyDescent="0.25">
      <c r="A28" s="129"/>
      <c r="B28" s="46" t="s">
        <v>97</v>
      </c>
      <c r="C28" s="10"/>
      <c r="D28" s="48">
        <f t="shared" si="1"/>
        <v>0</v>
      </c>
      <c r="F28" s="91"/>
      <c r="G28" s="61"/>
      <c r="H28" s="201"/>
      <c r="I28" s="202"/>
      <c r="J28" s="203"/>
      <c r="L28" s="7">
        <v>785</v>
      </c>
      <c r="O28" t="s">
        <v>54</v>
      </c>
      <c r="P28" s="4">
        <v>1447</v>
      </c>
      <c r="Q28" s="4">
        <v>120</v>
      </c>
      <c r="R28" s="5">
        <f t="shared" si="0"/>
        <v>1567</v>
      </c>
    </row>
    <row r="29" spans="1:18" x14ac:dyDescent="0.25">
      <c r="A29" s="167" t="s">
        <v>36</v>
      </c>
      <c r="B29" s="168"/>
      <c r="C29" s="169"/>
      <c r="D29" s="173">
        <f>SUM(D6:D28)</f>
        <v>654670</v>
      </c>
      <c r="F29" s="175" t="s">
        <v>55</v>
      </c>
      <c r="G29" s="176"/>
      <c r="H29" s="179">
        <f>H15-H16-H17-H18-H19-H20-H22-H23-H24+H26+H27</f>
        <v>537149.5</v>
      </c>
      <c r="I29" s="180"/>
      <c r="J29" s="181"/>
      <c r="O29" t="s">
        <v>56</v>
      </c>
      <c r="P29" s="4">
        <v>1582</v>
      </c>
      <c r="Q29" s="4"/>
      <c r="R29" s="5">
        <f t="shared" si="0"/>
        <v>1582</v>
      </c>
    </row>
    <row r="30" spans="1:18" x14ac:dyDescent="0.25">
      <c r="A30" s="170"/>
      <c r="B30" s="171"/>
      <c r="C30" s="172"/>
      <c r="D30" s="174"/>
      <c r="F30" s="177"/>
      <c r="G30" s="178"/>
      <c r="H30" s="182"/>
      <c r="I30" s="183"/>
      <c r="J30" s="184"/>
      <c r="N30" s="1"/>
      <c r="Q30" s="4"/>
      <c r="R30" s="5">
        <f t="shared" si="0"/>
        <v>0</v>
      </c>
    </row>
    <row r="31" spans="1:18" x14ac:dyDescent="0.25">
      <c r="A31" s="24"/>
      <c r="B31" s="24"/>
      <c r="C31" s="24"/>
      <c r="D31" s="24"/>
      <c r="F31" s="24"/>
      <c r="G31" s="24"/>
      <c r="O31" t="s">
        <v>57</v>
      </c>
      <c r="P31" s="4">
        <v>1052</v>
      </c>
      <c r="Q31" s="4">
        <v>120</v>
      </c>
      <c r="R31" s="5">
        <f t="shared" si="0"/>
        <v>1172</v>
      </c>
    </row>
    <row r="32" spans="1:18" x14ac:dyDescent="0.25">
      <c r="A32" s="114" t="s">
        <v>58</v>
      </c>
      <c r="B32" s="115"/>
      <c r="C32" s="115"/>
      <c r="D32" s="116"/>
      <c r="F32" s="204" t="s">
        <v>59</v>
      </c>
      <c r="G32" s="205"/>
      <c r="H32" s="205"/>
      <c r="I32" s="205"/>
      <c r="J32" s="206"/>
      <c r="O32" t="s">
        <v>60</v>
      </c>
      <c r="P32" s="4">
        <v>1005</v>
      </c>
      <c r="Q32" s="4">
        <v>120</v>
      </c>
      <c r="R32" s="5">
        <f t="shared" si="0"/>
        <v>1125</v>
      </c>
    </row>
    <row r="33" spans="1:18" x14ac:dyDescent="0.25">
      <c r="A33" s="25"/>
      <c r="B33" s="25" t="s">
        <v>11</v>
      </c>
      <c r="C33" s="25" t="s">
        <v>61</v>
      </c>
      <c r="D33" s="25" t="s">
        <v>13</v>
      </c>
      <c r="F33" s="25" t="s">
        <v>62</v>
      </c>
      <c r="G33" s="92" t="s">
        <v>63</v>
      </c>
      <c r="H33" s="204" t="s">
        <v>13</v>
      </c>
      <c r="I33" s="205"/>
      <c r="J33" s="206"/>
      <c r="O33" t="s">
        <v>64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27" t="s">
        <v>65</v>
      </c>
      <c r="B34" s="26" t="s">
        <v>66</v>
      </c>
      <c r="C34" s="51">
        <v>2</v>
      </c>
      <c r="D34" s="30">
        <f>C34*120</f>
        <v>240</v>
      </c>
      <c r="F34" s="12">
        <v>1000</v>
      </c>
      <c r="G34" s="74">
        <v>29</v>
      </c>
      <c r="H34" s="207">
        <f>F34*G34</f>
        <v>29000</v>
      </c>
      <c r="I34" s="208"/>
      <c r="J34" s="209"/>
      <c r="O34" t="s">
        <v>67</v>
      </c>
      <c r="P34" s="4">
        <v>832</v>
      </c>
      <c r="Q34" s="4">
        <v>120</v>
      </c>
      <c r="R34" s="5">
        <f t="shared" si="0"/>
        <v>952</v>
      </c>
    </row>
    <row r="35" spans="1:18" ht="15.75" x14ac:dyDescent="0.25">
      <c r="A35" s="128"/>
      <c r="B35" s="27" t="s">
        <v>68</v>
      </c>
      <c r="C35" s="52"/>
      <c r="D35" s="30">
        <f>C35*84</f>
        <v>0</v>
      </c>
      <c r="F35" s="58">
        <v>500</v>
      </c>
      <c r="G35" s="41">
        <v>46</v>
      </c>
      <c r="H35" s="207">
        <f>F35*G35</f>
        <v>23000</v>
      </c>
      <c r="I35" s="208"/>
      <c r="J35" s="209"/>
      <c r="O35" t="s">
        <v>69</v>
      </c>
      <c r="P35" s="4">
        <v>1102</v>
      </c>
      <c r="Q35" s="4"/>
      <c r="R35" s="5">
        <f t="shared" si="0"/>
        <v>1102</v>
      </c>
    </row>
    <row r="36" spans="1:18" ht="15.75" x14ac:dyDescent="0.25">
      <c r="A36" s="129"/>
      <c r="B36" s="26" t="s">
        <v>70</v>
      </c>
      <c r="C36" s="10">
        <v>18</v>
      </c>
      <c r="D36" s="12">
        <f>C36*1.5</f>
        <v>27</v>
      </c>
      <c r="F36" s="12">
        <v>200</v>
      </c>
      <c r="G36" s="37"/>
      <c r="H36" s="207">
        <f t="shared" ref="H36:H39" si="2">F36*G36</f>
        <v>0</v>
      </c>
      <c r="I36" s="208"/>
      <c r="J36" s="209"/>
      <c r="O36" t="s">
        <v>71</v>
      </c>
      <c r="P36" s="4">
        <v>852</v>
      </c>
      <c r="Q36" s="4">
        <v>120</v>
      </c>
      <c r="R36" s="5">
        <f t="shared" si="0"/>
        <v>972</v>
      </c>
    </row>
    <row r="37" spans="1:18" ht="15.75" x14ac:dyDescent="0.25">
      <c r="A37" s="127" t="s">
        <v>72</v>
      </c>
      <c r="B37" s="28" t="s">
        <v>66</v>
      </c>
      <c r="C37" s="53">
        <v>959</v>
      </c>
      <c r="D37" s="12">
        <f>C37*111</f>
        <v>106449</v>
      </c>
      <c r="F37" s="12">
        <v>100</v>
      </c>
      <c r="G37" s="39">
        <v>2</v>
      </c>
      <c r="H37" s="207">
        <f t="shared" si="2"/>
        <v>200</v>
      </c>
      <c r="I37" s="208"/>
      <c r="J37" s="209"/>
      <c r="O37" t="s">
        <v>73</v>
      </c>
      <c r="P37" s="4">
        <v>1020</v>
      </c>
      <c r="Q37" s="4">
        <v>120</v>
      </c>
      <c r="R37" s="5">
        <f t="shared" si="0"/>
        <v>1140</v>
      </c>
    </row>
    <row r="38" spans="1:18" ht="15.75" x14ac:dyDescent="0.25">
      <c r="A38" s="128"/>
      <c r="B38" s="29" t="s">
        <v>68</v>
      </c>
      <c r="C38" s="54">
        <v>4</v>
      </c>
      <c r="D38" s="12">
        <f>C38*84</f>
        <v>336</v>
      </c>
      <c r="F38" s="30">
        <v>50</v>
      </c>
      <c r="G38" s="39">
        <v>1</v>
      </c>
      <c r="H38" s="207">
        <f t="shared" si="2"/>
        <v>50</v>
      </c>
      <c r="I38" s="208"/>
      <c r="J38" s="209"/>
      <c r="O38" t="s">
        <v>74</v>
      </c>
      <c r="P38" s="4">
        <v>596</v>
      </c>
      <c r="Q38" s="4">
        <v>111</v>
      </c>
      <c r="R38" s="5">
        <f t="shared" si="0"/>
        <v>707</v>
      </c>
    </row>
    <row r="39" spans="1:18" ht="15.75" x14ac:dyDescent="0.25">
      <c r="A39" s="129"/>
      <c r="B39" s="29" t="s">
        <v>70</v>
      </c>
      <c r="C39" s="52"/>
      <c r="D39" s="31">
        <f>C39*4.5</f>
        <v>0</v>
      </c>
      <c r="F39" s="12">
        <v>20</v>
      </c>
      <c r="G39" s="37"/>
      <c r="H39" s="207">
        <f t="shared" si="2"/>
        <v>0</v>
      </c>
      <c r="I39" s="208"/>
      <c r="J39" s="209"/>
      <c r="O39" t="s">
        <v>75</v>
      </c>
      <c r="P39" s="4">
        <v>1175</v>
      </c>
      <c r="Q39" s="4"/>
      <c r="R39" s="5">
        <f t="shared" si="0"/>
        <v>1175</v>
      </c>
    </row>
    <row r="40" spans="1:18" ht="15.75" x14ac:dyDescent="0.25">
      <c r="A40" s="127" t="s">
        <v>76</v>
      </c>
      <c r="B40" s="27" t="s">
        <v>66</v>
      </c>
      <c r="C40" s="63">
        <v>19</v>
      </c>
      <c r="D40" s="12">
        <f>C40*111</f>
        <v>2109</v>
      </c>
      <c r="F40" s="12">
        <v>10</v>
      </c>
      <c r="G40" s="42"/>
      <c r="H40" s="207"/>
      <c r="I40" s="208"/>
      <c r="J40" s="209"/>
      <c r="O40" t="s">
        <v>77</v>
      </c>
      <c r="P40" s="4">
        <v>913</v>
      </c>
      <c r="Q40" s="4">
        <v>120</v>
      </c>
      <c r="R40" s="5">
        <f t="shared" si="0"/>
        <v>1033</v>
      </c>
    </row>
    <row r="41" spans="1:18" ht="15.75" x14ac:dyDescent="0.25">
      <c r="A41" s="128"/>
      <c r="B41" s="27" t="s">
        <v>68</v>
      </c>
      <c r="C41" s="10">
        <v>1</v>
      </c>
      <c r="D41" s="12">
        <f>C41*84</f>
        <v>84</v>
      </c>
      <c r="F41" s="12">
        <v>5</v>
      </c>
      <c r="G41" s="42"/>
      <c r="H41" s="207"/>
      <c r="I41" s="208"/>
      <c r="J41" s="209"/>
      <c r="K41" s="21"/>
      <c r="O41" t="s">
        <v>78</v>
      </c>
      <c r="P41" s="4">
        <v>614</v>
      </c>
      <c r="Q41" s="4">
        <v>111</v>
      </c>
      <c r="R41" s="5">
        <f t="shared" si="0"/>
        <v>725</v>
      </c>
    </row>
    <row r="42" spans="1:18" ht="15.75" x14ac:dyDescent="0.25">
      <c r="A42" s="129"/>
      <c r="B42" s="27" t="s">
        <v>70</v>
      </c>
      <c r="C42" s="11">
        <v>8</v>
      </c>
      <c r="D42" s="12">
        <f>C42*2.25</f>
        <v>18</v>
      </c>
      <c r="F42" s="39" t="s">
        <v>79</v>
      </c>
      <c r="G42" s="207">
        <v>40</v>
      </c>
      <c r="H42" s="208"/>
      <c r="I42" s="208"/>
      <c r="J42" s="209"/>
      <c r="K42" s="36"/>
      <c r="O42" t="s">
        <v>80</v>
      </c>
      <c r="P42" s="4">
        <v>626</v>
      </c>
      <c r="Q42" s="4">
        <v>111</v>
      </c>
      <c r="R42" s="5">
        <f t="shared" si="0"/>
        <v>737</v>
      </c>
    </row>
    <row r="43" spans="1:18" ht="15.75" x14ac:dyDescent="0.25">
      <c r="A43" s="210" t="s">
        <v>81</v>
      </c>
      <c r="C43" s="11"/>
      <c r="D43" s="12"/>
      <c r="F43" s="59" t="s">
        <v>82</v>
      </c>
      <c r="G43" s="94" t="s">
        <v>83</v>
      </c>
      <c r="H43" s="213" t="s">
        <v>13</v>
      </c>
      <c r="I43" s="214"/>
      <c r="J43" s="215"/>
      <c r="K43" s="21"/>
      <c r="P43" s="4"/>
      <c r="Q43" s="4"/>
      <c r="R43" s="5"/>
    </row>
    <row r="44" spans="1:18" ht="15.75" x14ac:dyDescent="0.25">
      <c r="A44" s="211"/>
      <c r="B44" s="27" t="s">
        <v>66</v>
      </c>
      <c r="C44" s="10">
        <v>6</v>
      </c>
      <c r="D44" s="12">
        <f>C44*120</f>
        <v>720</v>
      </c>
      <c r="F44" s="37" t="s">
        <v>148</v>
      </c>
      <c r="G44" s="76" t="s">
        <v>154</v>
      </c>
      <c r="H44" s="191">
        <v>302372</v>
      </c>
      <c r="I44" s="191"/>
      <c r="J44" s="191"/>
      <c r="K44" s="21"/>
      <c r="P44" s="4"/>
      <c r="Q44" s="4"/>
      <c r="R44" s="5"/>
    </row>
    <row r="45" spans="1:18" ht="15.75" x14ac:dyDescent="0.25">
      <c r="A45" s="211"/>
      <c r="B45" s="27" t="s">
        <v>68</v>
      </c>
      <c r="C45" s="33">
        <v>2</v>
      </c>
      <c r="D45" s="12">
        <f>C45*84</f>
        <v>168</v>
      </c>
      <c r="F45" s="37" t="s">
        <v>148</v>
      </c>
      <c r="G45" s="76" t="s">
        <v>155</v>
      </c>
      <c r="H45" s="191">
        <v>182588</v>
      </c>
      <c r="I45" s="191"/>
      <c r="J45" s="191"/>
      <c r="K45" s="21"/>
      <c r="P45" s="4"/>
      <c r="Q45" s="4"/>
      <c r="R45" s="5"/>
    </row>
    <row r="46" spans="1:18" ht="15.75" x14ac:dyDescent="0.25">
      <c r="A46" s="211"/>
      <c r="B46" s="49" t="s">
        <v>70</v>
      </c>
      <c r="C46" s="81">
        <v>5</v>
      </c>
      <c r="D46" s="12">
        <f>C46*1.5</f>
        <v>7.5</v>
      </c>
      <c r="F46" s="37"/>
      <c r="G46" s="62"/>
      <c r="H46" s="216"/>
      <c r="I46" s="216"/>
      <c r="J46" s="216"/>
      <c r="K46" s="21"/>
      <c r="P46" s="4"/>
      <c r="Q46" s="4"/>
      <c r="R46" s="5"/>
    </row>
    <row r="47" spans="1:18" ht="15.75" x14ac:dyDescent="0.25">
      <c r="A47" s="212"/>
      <c r="B47" s="27"/>
      <c r="C47" s="11"/>
      <c r="D47" s="12"/>
      <c r="F47" s="59"/>
      <c r="G47" s="59"/>
      <c r="H47" s="217"/>
      <c r="I47" s="218"/>
      <c r="J47" s="219"/>
      <c r="K47" s="21"/>
      <c r="P47" s="4"/>
      <c r="Q47" s="4"/>
      <c r="R47" s="5"/>
    </row>
    <row r="48" spans="1:18" ht="15" customHeight="1" x14ac:dyDescent="0.25">
      <c r="A48" s="210" t="s">
        <v>32</v>
      </c>
      <c r="B48" s="27" t="s">
        <v>66</v>
      </c>
      <c r="C48" s="10">
        <v>20</v>
      </c>
      <c r="D48" s="12">
        <f>C48*78</f>
        <v>1560</v>
      </c>
      <c r="F48" s="59"/>
      <c r="G48" s="59"/>
      <c r="H48" s="217"/>
      <c r="I48" s="218"/>
      <c r="J48" s="219"/>
      <c r="K48" s="35"/>
      <c r="O48" t="s">
        <v>84</v>
      </c>
      <c r="P48" s="4">
        <v>1175</v>
      </c>
      <c r="Q48" s="4"/>
      <c r="R48" s="5">
        <f t="shared" si="0"/>
        <v>1175</v>
      </c>
    </row>
    <row r="49" spans="1:18" ht="15.75" x14ac:dyDescent="0.25">
      <c r="A49" s="211"/>
      <c r="B49" s="29" t="s">
        <v>68</v>
      </c>
      <c r="C49" s="33">
        <v>8</v>
      </c>
      <c r="D49" s="12">
        <f>C49*42</f>
        <v>336</v>
      </c>
      <c r="F49" s="232" t="s">
        <v>86</v>
      </c>
      <c r="G49" s="179">
        <f>H34+H35+H36+H37+H38+H39+H40+H41+G42+H44+H45+H46</f>
        <v>537250</v>
      </c>
      <c r="H49" s="180"/>
      <c r="I49" s="180"/>
      <c r="J49" s="181"/>
      <c r="O49" t="s">
        <v>85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211"/>
      <c r="B50" s="32" t="s">
        <v>70</v>
      </c>
      <c r="C50" s="11"/>
      <c r="D50" s="12">
        <f>C50*1.5</f>
        <v>0</v>
      </c>
      <c r="F50" s="233"/>
      <c r="G50" s="182"/>
      <c r="H50" s="183"/>
      <c r="I50" s="183"/>
      <c r="J50" s="184"/>
      <c r="P50" s="4"/>
      <c r="Q50" s="4"/>
      <c r="R50" s="5"/>
    </row>
    <row r="51" spans="1:18" ht="15" customHeight="1" x14ac:dyDescent="0.25">
      <c r="A51" s="211"/>
      <c r="B51" s="27"/>
      <c r="C51" s="10"/>
      <c r="D51" s="31"/>
      <c r="F51" s="234" t="s">
        <v>143</v>
      </c>
      <c r="G51" s="236">
        <f>G49-H29</f>
        <v>100.5</v>
      </c>
      <c r="H51" s="237"/>
      <c r="I51" s="237"/>
      <c r="J51" s="238"/>
      <c r="K51" s="21"/>
      <c r="O51" t="s">
        <v>87</v>
      </c>
      <c r="P51" s="4">
        <v>703</v>
      </c>
      <c r="Q51" s="4">
        <v>120</v>
      </c>
      <c r="R51" s="5">
        <f t="shared" si="0"/>
        <v>823</v>
      </c>
    </row>
    <row r="52" spans="1:18" ht="15.75" x14ac:dyDescent="0.25">
      <c r="A52" s="211"/>
      <c r="B52" s="29"/>
      <c r="C52" s="33"/>
      <c r="D52" s="45"/>
      <c r="F52" s="235"/>
      <c r="G52" s="239"/>
      <c r="H52" s="240"/>
      <c r="I52" s="240"/>
      <c r="J52" s="241"/>
      <c r="K52" s="21"/>
      <c r="O52" t="s">
        <v>88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212"/>
      <c r="B53" s="32"/>
      <c r="C53" s="11"/>
      <c r="D53" s="12"/>
      <c r="F53" s="35"/>
      <c r="G53" s="24"/>
      <c r="H53" s="24"/>
      <c r="I53" s="24"/>
      <c r="J53" s="17"/>
      <c r="N53" s="1"/>
      <c r="O53" t="s">
        <v>89</v>
      </c>
      <c r="P53" s="4">
        <v>1142</v>
      </c>
    </row>
    <row r="54" spans="1:18" x14ac:dyDescent="0.25">
      <c r="A54" s="175" t="s">
        <v>90</v>
      </c>
      <c r="B54" s="220"/>
      <c r="C54" s="221"/>
      <c r="D54" s="224">
        <f>SUM(D34:D53)</f>
        <v>112054.5</v>
      </c>
      <c r="F54" s="21"/>
      <c r="J54" s="34"/>
    </row>
    <row r="55" spans="1:18" x14ac:dyDescent="0.25">
      <c r="A55" s="177"/>
      <c r="B55" s="222"/>
      <c r="C55" s="223"/>
      <c r="D55" s="225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118</v>
      </c>
      <c r="D57" s="34"/>
      <c r="F57" s="36"/>
      <c r="G57" s="50"/>
      <c r="H57" s="50"/>
      <c r="I57" s="50"/>
      <c r="J57" s="43"/>
    </row>
    <row r="58" spans="1:18" x14ac:dyDescent="0.25">
      <c r="A58" s="226" t="s">
        <v>91</v>
      </c>
      <c r="B58" s="227"/>
      <c r="C58" s="227"/>
      <c r="D58" s="228"/>
      <c r="F58" s="226" t="s">
        <v>92</v>
      </c>
      <c r="G58" s="227"/>
      <c r="H58" s="227"/>
      <c r="I58" s="227"/>
      <c r="J58" s="228"/>
    </row>
    <row r="59" spans="1:18" x14ac:dyDescent="0.25">
      <c r="A59" s="229"/>
      <c r="B59" s="230"/>
      <c r="C59" s="230"/>
      <c r="D59" s="231"/>
      <c r="F59" s="229"/>
      <c r="G59" s="230"/>
      <c r="H59" s="230"/>
      <c r="I59" s="230"/>
      <c r="J59" s="231"/>
    </row>
  </sheetData>
  <mergeCells count="68"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  <mergeCell ref="H13:J13"/>
    <mergeCell ref="F14:G14"/>
    <mergeCell ref="H14:J14"/>
    <mergeCell ref="F15:G15"/>
    <mergeCell ref="H15:J15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A32:D32"/>
    <mergeCell ref="F32:J32"/>
    <mergeCell ref="H33:J33"/>
    <mergeCell ref="A34:A36"/>
    <mergeCell ref="H34:J34"/>
    <mergeCell ref="H35:J35"/>
    <mergeCell ref="H36:J36"/>
    <mergeCell ref="A37:A39"/>
    <mergeCell ref="H37:J37"/>
    <mergeCell ref="H38:J38"/>
    <mergeCell ref="H39:J39"/>
    <mergeCell ref="A40:A42"/>
    <mergeCell ref="H40:J40"/>
    <mergeCell ref="H41:J41"/>
    <mergeCell ref="G42:J42"/>
    <mergeCell ref="A43:A47"/>
    <mergeCell ref="H43:J43"/>
    <mergeCell ref="H44:J44"/>
    <mergeCell ref="H45:J45"/>
    <mergeCell ref="H46:J46"/>
    <mergeCell ref="H47:J47"/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FD22540-8CC4-4D2A-93A6-64080A247A16}">
  <dimension ref="A1:R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113" t="s">
        <v>1</v>
      </c>
      <c r="O1" s="113"/>
      <c r="P1" s="95" t="s">
        <v>2</v>
      </c>
      <c r="Q1" s="95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14" t="s">
        <v>7</v>
      </c>
      <c r="B4" s="115"/>
      <c r="C4" s="115"/>
      <c r="D4" s="116"/>
      <c r="F4" s="117" t="s">
        <v>8</v>
      </c>
      <c r="G4" s="119" t="s">
        <v>153</v>
      </c>
      <c r="H4" s="121" t="s">
        <v>9</v>
      </c>
      <c r="I4" s="123">
        <v>45965</v>
      </c>
      <c r="J4" s="124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27" t="s">
        <v>7</v>
      </c>
      <c r="B5" s="15" t="s">
        <v>11</v>
      </c>
      <c r="C5" s="9" t="s">
        <v>12</v>
      </c>
      <c r="D5" s="25" t="s">
        <v>13</v>
      </c>
      <c r="F5" s="118"/>
      <c r="G5" s="120"/>
      <c r="H5" s="122"/>
      <c r="I5" s="125"/>
      <c r="J5" s="126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28"/>
      <c r="B6" s="16" t="s">
        <v>15</v>
      </c>
      <c r="C6" s="10">
        <v>213</v>
      </c>
      <c r="D6" s="13">
        <f t="shared" ref="D6:D28" si="1">C6*L6</f>
        <v>156981</v>
      </c>
      <c r="F6" s="130" t="s">
        <v>16</v>
      </c>
      <c r="G6" s="132" t="s">
        <v>129</v>
      </c>
      <c r="H6" s="133"/>
      <c r="I6" s="133"/>
      <c r="J6" s="134"/>
      <c r="K6" s="8"/>
      <c r="L6" s="6">
        <f>R42</f>
        <v>737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28"/>
      <c r="B7" s="16" t="s">
        <v>18</v>
      </c>
      <c r="C7" s="10">
        <v>4</v>
      </c>
      <c r="D7" s="13">
        <f t="shared" si="1"/>
        <v>2900</v>
      </c>
      <c r="F7" s="131"/>
      <c r="G7" s="135"/>
      <c r="H7" s="136"/>
      <c r="I7" s="136"/>
      <c r="J7" s="137"/>
      <c r="K7" s="8"/>
      <c r="L7" s="6">
        <f>R41</f>
        <v>725</v>
      </c>
      <c r="P7" s="4"/>
      <c r="Q7" s="4"/>
      <c r="R7" s="5"/>
    </row>
    <row r="8" spans="1:18" ht="14.45" customHeight="1" x14ac:dyDescent="0.25">
      <c r="A8" s="128"/>
      <c r="B8" s="16" t="s">
        <v>20</v>
      </c>
      <c r="C8" s="10"/>
      <c r="D8" s="13">
        <f t="shared" si="1"/>
        <v>0</v>
      </c>
      <c r="F8" s="138" t="s">
        <v>21</v>
      </c>
      <c r="G8" s="140" t="s">
        <v>112</v>
      </c>
      <c r="H8" s="141"/>
      <c r="I8" s="141"/>
      <c r="J8" s="142"/>
      <c r="K8" s="8"/>
      <c r="L8" s="6">
        <f>R40</f>
        <v>1033</v>
      </c>
      <c r="P8" s="4"/>
      <c r="Q8" s="4"/>
      <c r="R8" s="5"/>
    </row>
    <row r="9" spans="1:18" ht="14.45" customHeight="1" x14ac:dyDescent="0.25">
      <c r="A9" s="128"/>
      <c r="B9" s="16" t="s">
        <v>23</v>
      </c>
      <c r="C9" s="10">
        <v>10</v>
      </c>
      <c r="D9" s="13">
        <f t="shared" si="1"/>
        <v>7070</v>
      </c>
      <c r="F9" s="131"/>
      <c r="G9" s="143"/>
      <c r="H9" s="144"/>
      <c r="I9" s="144"/>
      <c r="J9" s="145"/>
      <c r="K9" s="8"/>
      <c r="L9" s="6">
        <f>R38</f>
        <v>707</v>
      </c>
      <c r="P9" s="4"/>
      <c r="Q9" s="4"/>
      <c r="R9" s="5"/>
    </row>
    <row r="10" spans="1:18" ht="14.45" customHeight="1" x14ac:dyDescent="0.25">
      <c r="A10" s="128"/>
      <c r="B10" t="s">
        <v>25</v>
      </c>
      <c r="C10" s="10"/>
      <c r="D10" s="13">
        <f t="shared" si="1"/>
        <v>0</v>
      </c>
      <c r="F10" s="130" t="s">
        <v>26</v>
      </c>
      <c r="G10" s="146" t="s">
        <v>130</v>
      </c>
      <c r="H10" s="147"/>
      <c r="I10" s="147"/>
      <c r="J10" s="148"/>
      <c r="K10" s="8"/>
      <c r="L10" s="6">
        <f>R36</f>
        <v>972</v>
      </c>
      <c r="P10" s="4"/>
      <c r="Q10" s="4"/>
      <c r="R10" s="5"/>
    </row>
    <row r="11" spans="1:18" ht="15.75" x14ac:dyDescent="0.25">
      <c r="A11" s="128"/>
      <c r="B11" s="17" t="s">
        <v>28</v>
      </c>
      <c r="C11" s="10"/>
      <c r="D11" s="13">
        <f t="shared" si="1"/>
        <v>0</v>
      </c>
      <c r="F11" s="131"/>
      <c r="G11" s="143"/>
      <c r="H11" s="144"/>
      <c r="I11" s="144"/>
      <c r="J11" s="145"/>
      <c r="K11" s="22"/>
      <c r="L11" s="6">
        <f>R32</f>
        <v>1125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28"/>
      <c r="B12" s="17" t="s">
        <v>30</v>
      </c>
      <c r="C12" s="10"/>
      <c r="D12" s="48">
        <f t="shared" si="1"/>
        <v>0</v>
      </c>
      <c r="F12" s="149" t="s">
        <v>33</v>
      </c>
      <c r="G12" s="150"/>
      <c r="H12" s="150"/>
      <c r="I12" s="150"/>
      <c r="J12" s="151"/>
      <c r="K12" s="23"/>
      <c r="L12" s="6">
        <f>R34</f>
        <v>952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28"/>
      <c r="B13" s="17" t="s">
        <v>32</v>
      </c>
      <c r="C13" s="10">
        <v>7</v>
      </c>
      <c r="D13" s="48">
        <f t="shared" si="1"/>
        <v>2149</v>
      </c>
      <c r="F13" s="152" t="s">
        <v>36</v>
      </c>
      <c r="G13" s="153"/>
      <c r="H13" s="154">
        <f>D29</f>
        <v>169353</v>
      </c>
      <c r="I13" s="155"/>
      <c r="J13" s="156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28"/>
      <c r="B14" s="14" t="s">
        <v>35</v>
      </c>
      <c r="C14" s="10">
        <v>23</v>
      </c>
      <c r="D14" s="31">
        <f t="shared" si="1"/>
        <v>253</v>
      </c>
      <c r="F14" s="157" t="s">
        <v>39</v>
      </c>
      <c r="G14" s="158"/>
      <c r="H14" s="159">
        <f>D54</f>
        <v>32837.25</v>
      </c>
      <c r="I14" s="160"/>
      <c r="J14" s="161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28"/>
      <c r="B15" s="14" t="s">
        <v>38</v>
      </c>
      <c r="C15" s="10"/>
      <c r="D15" s="31">
        <f t="shared" si="1"/>
        <v>0</v>
      </c>
      <c r="F15" s="162" t="s">
        <v>40</v>
      </c>
      <c r="G15" s="153"/>
      <c r="H15" s="163">
        <f>H13-H14</f>
        <v>136515.75</v>
      </c>
      <c r="I15" s="164"/>
      <c r="J15" s="165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28"/>
      <c r="B16" s="18" t="s">
        <v>94</v>
      </c>
      <c r="C16" s="10"/>
      <c r="D16" s="48">
        <f t="shared" si="1"/>
        <v>0</v>
      </c>
      <c r="F16" s="67" t="s">
        <v>42</v>
      </c>
      <c r="G16" s="66" t="s">
        <v>43</v>
      </c>
      <c r="H16" s="166">
        <f>936+324</f>
        <v>1260</v>
      </c>
      <c r="I16" s="166"/>
      <c r="J16" s="166"/>
      <c r="L16" s="6">
        <f>R28</f>
        <v>1567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28"/>
      <c r="B17" t="s">
        <v>113</v>
      </c>
      <c r="C17" s="10"/>
      <c r="D17" s="48">
        <f t="shared" si="1"/>
        <v>0</v>
      </c>
      <c r="F17" s="56"/>
      <c r="G17" s="66" t="s">
        <v>45</v>
      </c>
      <c r="H17" s="139"/>
      <c r="I17" s="139"/>
      <c r="J17" s="139"/>
      <c r="L17" s="6">
        <v>1582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28"/>
      <c r="B18" s="19" t="s">
        <v>95</v>
      </c>
      <c r="C18" s="10"/>
      <c r="D18" s="48">
        <f t="shared" si="1"/>
        <v>0</v>
      </c>
      <c r="F18" s="56"/>
      <c r="G18" s="66" t="s">
        <v>47</v>
      </c>
      <c r="H18" s="139"/>
      <c r="I18" s="139"/>
      <c r="J18" s="139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28"/>
      <c r="B19" s="14" t="s">
        <v>117</v>
      </c>
      <c r="C19" s="10"/>
      <c r="D19" s="48">
        <f t="shared" si="1"/>
        <v>0</v>
      </c>
      <c r="F19" s="56"/>
      <c r="G19" s="68" t="s">
        <v>50</v>
      </c>
      <c r="H19" s="253"/>
      <c r="I19" s="253"/>
      <c r="J19" s="253"/>
      <c r="L19" s="6">
        <f>R35</f>
        <v>1102</v>
      </c>
      <c r="Q19" s="4"/>
      <c r="R19" s="5">
        <f t="shared" si="0"/>
        <v>0</v>
      </c>
    </row>
    <row r="20" spans="1:18" ht="15.75" x14ac:dyDescent="0.25">
      <c r="A20" s="128"/>
      <c r="B20" s="46" t="s">
        <v>108</v>
      </c>
      <c r="C20" s="10"/>
      <c r="D20" s="13">
        <f t="shared" si="1"/>
        <v>0</v>
      </c>
      <c r="F20" s="57"/>
      <c r="G20" s="70" t="s">
        <v>120</v>
      </c>
      <c r="H20" s="166"/>
      <c r="I20" s="166"/>
      <c r="J20" s="166"/>
      <c r="L20" s="6">
        <f>1102</f>
        <v>1102</v>
      </c>
      <c r="N20" s="1" t="s">
        <v>41</v>
      </c>
      <c r="Q20" s="4"/>
      <c r="R20" s="5">
        <f t="shared" si="0"/>
        <v>0</v>
      </c>
    </row>
    <row r="21" spans="1:18" ht="15.75" x14ac:dyDescent="0.25">
      <c r="A21" s="128"/>
      <c r="B21" s="14" t="s">
        <v>126</v>
      </c>
      <c r="C21" s="10"/>
      <c r="D21" s="48">
        <f t="shared" si="1"/>
        <v>0</v>
      </c>
      <c r="F21" s="69" t="s">
        <v>99</v>
      </c>
      <c r="G21" s="82" t="s">
        <v>98</v>
      </c>
      <c r="H21" s="186" t="s">
        <v>13</v>
      </c>
      <c r="I21" s="187"/>
      <c r="J21" s="188"/>
      <c r="L21" s="7">
        <v>650</v>
      </c>
      <c r="O21" t="s">
        <v>44</v>
      </c>
      <c r="P21" s="4">
        <v>1447</v>
      </c>
      <c r="Q21" s="4">
        <v>120</v>
      </c>
      <c r="R21" s="5">
        <f t="shared" si="0"/>
        <v>1567</v>
      </c>
    </row>
    <row r="22" spans="1:18" ht="15.75" x14ac:dyDescent="0.25">
      <c r="A22" s="128"/>
      <c r="B22" s="46" t="s">
        <v>104</v>
      </c>
      <c r="C22" s="10"/>
      <c r="D22" s="48">
        <f t="shared" si="1"/>
        <v>0</v>
      </c>
      <c r="F22" s="77"/>
      <c r="G22" s="73"/>
      <c r="H22" s="189"/>
      <c r="I22" s="189"/>
      <c r="J22" s="189"/>
      <c r="L22" s="7">
        <f>559+111</f>
        <v>670</v>
      </c>
      <c r="O22" t="s">
        <v>46</v>
      </c>
      <c r="P22" s="4">
        <v>1582</v>
      </c>
      <c r="Q22" s="4"/>
      <c r="R22" s="5">
        <f t="shared" si="0"/>
        <v>1582</v>
      </c>
    </row>
    <row r="23" spans="1:18" ht="15.75" x14ac:dyDescent="0.25">
      <c r="A23" s="128"/>
      <c r="B23" s="14" t="s">
        <v>107</v>
      </c>
      <c r="C23" s="10"/>
      <c r="D23" s="48">
        <f t="shared" si="1"/>
        <v>0</v>
      </c>
      <c r="F23" s="78"/>
      <c r="G23" s="79"/>
      <c r="H23" s="190"/>
      <c r="I23" s="191"/>
      <c r="J23" s="191"/>
      <c r="L23" s="47">
        <f>R33</f>
        <v>1175</v>
      </c>
      <c r="N23" s="1"/>
      <c r="O23" t="s">
        <v>48</v>
      </c>
      <c r="P23" s="4">
        <v>1728</v>
      </c>
      <c r="Q23" s="4"/>
      <c r="R23" s="5">
        <f t="shared" si="0"/>
        <v>1728</v>
      </c>
    </row>
    <row r="24" spans="1:18" ht="15.75" x14ac:dyDescent="0.25">
      <c r="A24" s="128"/>
      <c r="B24" s="14" t="s">
        <v>101</v>
      </c>
      <c r="C24" s="10"/>
      <c r="D24" s="48">
        <f t="shared" si="1"/>
        <v>0</v>
      </c>
      <c r="F24" s="38"/>
      <c r="G24" s="37"/>
      <c r="H24" s="190"/>
      <c r="I24" s="191"/>
      <c r="J24" s="191"/>
      <c r="L24" s="47">
        <v>1667</v>
      </c>
      <c r="N24" s="1"/>
      <c r="O24" t="s">
        <v>49</v>
      </c>
      <c r="P24" s="4">
        <v>1728</v>
      </c>
      <c r="Q24" s="4"/>
      <c r="R24" s="5">
        <f t="shared" si="0"/>
        <v>1728</v>
      </c>
    </row>
    <row r="25" spans="1:18" ht="15.75" x14ac:dyDescent="0.25">
      <c r="A25" s="128"/>
      <c r="B25" s="14" t="s">
        <v>116</v>
      </c>
      <c r="C25" s="10"/>
      <c r="D25" s="48">
        <f t="shared" si="1"/>
        <v>0</v>
      </c>
      <c r="F25" s="60" t="s">
        <v>100</v>
      </c>
      <c r="G25" s="55" t="s">
        <v>98</v>
      </c>
      <c r="H25" s="192" t="s">
        <v>13</v>
      </c>
      <c r="I25" s="193"/>
      <c r="J25" s="194"/>
      <c r="L25" s="47">
        <f>1582</f>
        <v>1582</v>
      </c>
      <c r="O25" t="s">
        <v>51</v>
      </c>
      <c r="P25" s="4">
        <v>1582</v>
      </c>
      <c r="Q25" s="4"/>
      <c r="R25" s="5">
        <f t="shared" si="0"/>
        <v>1582</v>
      </c>
    </row>
    <row r="26" spans="1:18" ht="15.75" x14ac:dyDescent="0.25">
      <c r="A26" s="128"/>
      <c r="B26" s="14" t="s">
        <v>105</v>
      </c>
      <c r="C26" s="10"/>
      <c r="D26" s="48">
        <f t="shared" si="1"/>
        <v>0</v>
      </c>
      <c r="F26" s="64"/>
      <c r="G26" s="59"/>
      <c r="H26" s="195"/>
      <c r="I26" s="196"/>
      <c r="J26" s="197"/>
      <c r="L26" s="7">
        <f>832/24+1.5</f>
        <v>36.166666666666664</v>
      </c>
      <c r="O26" t="s">
        <v>52</v>
      </c>
      <c r="P26" s="4">
        <v>1447</v>
      </c>
      <c r="Q26" s="4">
        <v>120</v>
      </c>
      <c r="R26" s="5">
        <f t="shared" si="0"/>
        <v>1567</v>
      </c>
    </row>
    <row r="27" spans="1:18" ht="14.45" customHeight="1" x14ac:dyDescent="0.25">
      <c r="A27" s="128"/>
      <c r="B27" s="14" t="s">
        <v>109</v>
      </c>
      <c r="C27" s="10"/>
      <c r="D27" s="44">
        <f t="shared" si="1"/>
        <v>0</v>
      </c>
      <c r="F27" s="25"/>
      <c r="G27" s="80"/>
      <c r="H27" s="198"/>
      <c r="I27" s="199"/>
      <c r="J27" s="200"/>
      <c r="L27" s="7">
        <v>1582</v>
      </c>
      <c r="O27" t="s">
        <v>53</v>
      </c>
      <c r="P27" s="4">
        <v>1582</v>
      </c>
      <c r="Q27" s="4"/>
      <c r="R27" s="5">
        <f t="shared" si="0"/>
        <v>1582</v>
      </c>
    </row>
    <row r="28" spans="1:18" ht="15.75" x14ac:dyDescent="0.25">
      <c r="A28" s="129"/>
      <c r="B28" s="46" t="s">
        <v>97</v>
      </c>
      <c r="C28" s="10"/>
      <c r="D28" s="48">
        <f t="shared" si="1"/>
        <v>0</v>
      </c>
      <c r="F28" s="96"/>
      <c r="G28" s="61"/>
      <c r="H28" s="201"/>
      <c r="I28" s="202"/>
      <c r="J28" s="203"/>
      <c r="L28" s="7">
        <v>785</v>
      </c>
      <c r="O28" t="s">
        <v>54</v>
      </c>
      <c r="P28" s="4">
        <v>1447</v>
      </c>
      <c r="Q28" s="4">
        <v>120</v>
      </c>
      <c r="R28" s="5">
        <f t="shared" si="0"/>
        <v>1567</v>
      </c>
    </row>
    <row r="29" spans="1:18" x14ac:dyDescent="0.25">
      <c r="A29" s="167" t="s">
        <v>36</v>
      </c>
      <c r="B29" s="168"/>
      <c r="C29" s="169"/>
      <c r="D29" s="173">
        <f>SUM(D6:D28)</f>
        <v>169353</v>
      </c>
      <c r="F29" s="175" t="s">
        <v>55</v>
      </c>
      <c r="G29" s="176"/>
      <c r="H29" s="179">
        <f>H15-H16-H17-H18-H19-H20-H22-H23-H24+H26+H27</f>
        <v>135255.75</v>
      </c>
      <c r="I29" s="180"/>
      <c r="J29" s="181"/>
      <c r="O29" t="s">
        <v>56</v>
      </c>
      <c r="P29" s="4">
        <v>1582</v>
      </c>
      <c r="Q29" s="4"/>
      <c r="R29" s="5">
        <f t="shared" si="0"/>
        <v>1582</v>
      </c>
    </row>
    <row r="30" spans="1:18" x14ac:dyDescent="0.25">
      <c r="A30" s="170"/>
      <c r="B30" s="171"/>
      <c r="C30" s="172"/>
      <c r="D30" s="174"/>
      <c r="F30" s="177"/>
      <c r="G30" s="178"/>
      <c r="H30" s="182"/>
      <c r="I30" s="183"/>
      <c r="J30" s="184"/>
      <c r="N30" s="1"/>
      <c r="Q30" s="4"/>
      <c r="R30" s="5">
        <f t="shared" si="0"/>
        <v>0</v>
      </c>
    </row>
    <row r="31" spans="1:18" x14ac:dyDescent="0.25">
      <c r="A31" s="24"/>
      <c r="B31" s="24"/>
      <c r="C31" s="24"/>
      <c r="D31" s="24"/>
      <c r="F31" s="24"/>
      <c r="G31" s="24"/>
      <c r="O31" t="s">
        <v>57</v>
      </c>
      <c r="P31" s="4">
        <v>1052</v>
      </c>
      <c r="Q31" s="4">
        <v>120</v>
      </c>
      <c r="R31" s="5">
        <f t="shared" si="0"/>
        <v>1172</v>
      </c>
    </row>
    <row r="32" spans="1:18" x14ac:dyDescent="0.25">
      <c r="A32" s="114" t="s">
        <v>58</v>
      </c>
      <c r="B32" s="115"/>
      <c r="C32" s="115"/>
      <c r="D32" s="116"/>
      <c r="F32" s="204" t="s">
        <v>59</v>
      </c>
      <c r="G32" s="205"/>
      <c r="H32" s="205"/>
      <c r="I32" s="205"/>
      <c r="J32" s="206"/>
      <c r="O32" t="s">
        <v>60</v>
      </c>
      <c r="P32" s="4">
        <v>1005</v>
      </c>
      <c r="Q32" s="4">
        <v>120</v>
      </c>
      <c r="R32" s="5">
        <f t="shared" si="0"/>
        <v>1125</v>
      </c>
    </row>
    <row r="33" spans="1:18" x14ac:dyDescent="0.25">
      <c r="A33" s="25"/>
      <c r="B33" s="25" t="s">
        <v>11</v>
      </c>
      <c r="C33" s="25" t="s">
        <v>61</v>
      </c>
      <c r="D33" s="25" t="s">
        <v>13</v>
      </c>
      <c r="F33" s="25" t="s">
        <v>62</v>
      </c>
      <c r="G33" s="97" t="s">
        <v>63</v>
      </c>
      <c r="H33" s="204" t="s">
        <v>13</v>
      </c>
      <c r="I33" s="205"/>
      <c r="J33" s="206"/>
      <c r="O33" t="s">
        <v>64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27" t="s">
        <v>65</v>
      </c>
      <c r="B34" s="26" t="s">
        <v>66</v>
      </c>
      <c r="C34" s="51"/>
      <c r="D34" s="30">
        <f>C34*120</f>
        <v>0</v>
      </c>
      <c r="F34" s="12">
        <v>1000</v>
      </c>
      <c r="G34" s="74">
        <v>98</v>
      </c>
      <c r="H34" s="207">
        <f>F34*G34</f>
        <v>98000</v>
      </c>
      <c r="I34" s="208"/>
      <c r="J34" s="209"/>
      <c r="O34" t="s">
        <v>67</v>
      </c>
      <c r="P34" s="4">
        <v>832</v>
      </c>
      <c r="Q34" s="4">
        <v>120</v>
      </c>
      <c r="R34" s="5">
        <f t="shared" si="0"/>
        <v>952</v>
      </c>
    </row>
    <row r="35" spans="1:18" ht="15.75" x14ac:dyDescent="0.25">
      <c r="A35" s="128"/>
      <c r="B35" s="27" t="s">
        <v>68</v>
      </c>
      <c r="C35" s="52"/>
      <c r="D35" s="30">
        <f>C35*84</f>
        <v>0</v>
      </c>
      <c r="F35" s="58">
        <v>500</v>
      </c>
      <c r="G35" s="41">
        <v>73</v>
      </c>
      <c r="H35" s="207">
        <f>F35*G35</f>
        <v>36500</v>
      </c>
      <c r="I35" s="208"/>
      <c r="J35" s="209"/>
      <c r="O35" t="s">
        <v>69</v>
      </c>
      <c r="P35" s="4">
        <v>1102</v>
      </c>
      <c r="Q35" s="4"/>
      <c r="R35" s="5">
        <f t="shared" si="0"/>
        <v>1102</v>
      </c>
    </row>
    <row r="36" spans="1:18" ht="15.75" x14ac:dyDescent="0.25">
      <c r="A36" s="129"/>
      <c r="B36" s="26" t="s">
        <v>70</v>
      </c>
      <c r="C36" s="10"/>
      <c r="D36" s="12">
        <f>C36*1.5</f>
        <v>0</v>
      </c>
      <c r="F36" s="12">
        <v>200</v>
      </c>
      <c r="G36" s="37"/>
      <c r="H36" s="207">
        <f t="shared" ref="H36:H39" si="2">F36*G36</f>
        <v>0</v>
      </c>
      <c r="I36" s="208"/>
      <c r="J36" s="209"/>
      <c r="O36" t="s">
        <v>71</v>
      </c>
      <c r="P36" s="4">
        <v>852</v>
      </c>
      <c r="Q36" s="4">
        <v>120</v>
      </c>
      <c r="R36" s="5">
        <f t="shared" si="0"/>
        <v>972</v>
      </c>
    </row>
    <row r="37" spans="1:18" ht="15.75" x14ac:dyDescent="0.25">
      <c r="A37" s="127" t="s">
        <v>72</v>
      </c>
      <c r="B37" s="28" t="s">
        <v>66</v>
      </c>
      <c r="C37" s="53">
        <v>285</v>
      </c>
      <c r="D37" s="12">
        <f>C37*111</f>
        <v>31635</v>
      </c>
      <c r="F37" s="12">
        <v>100</v>
      </c>
      <c r="G37" s="39">
        <v>5</v>
      </c>
      <c r="H37" s="207">
        <f t="shared" si="2"/>
        <v>500</v>
      </c>
      <c r="I37" s="208"/>
      <c r="J37" s="209"/>
      <c r="O37" t="s">
        <v>73</v>
      </c>
      <c r="P37" s="4">
        <v>1020</v>
      </c>
      <c r="Q37" s="4">
        <v>120</v>
      </c>
      <c r="R37" s="5">
        <f t="shared" si="0"/>
        <v>1140</v>
      </c>
    </row>
    <row r="38" spans="1:18" ht="15.75" x14ac:dyDescent="0.25">
      <c r="A38" s="128"/>
      <c r="B38" s="29" t="s">
        <v>68</v>
      </c>
      <c r="C38" s="54"/>
      <c r="D38" s="12">
        <f>C38*84</f>
        <v>0</v>
      </c>
      <c r="F38" s="30">
        <v>50</v>
      </c>
      <c r="G38" s="39"/>
      <c r="H38" s="207">
        <f t="shared" si="2"/>
        <v>0</v>
      </c>
      <c r="I38" s="208"/>
      <c r="J38" s="209"/>
      <c r="O38" t="s">
        <v>74</v>
      </c>
      <c r="P38" s="4">
        <v>596</v>
      </c>
      <c r="Q38" s="4">
        <v>111</v>
      </c>
      <c r="R38" s="5">
        <f t="shared" si="0"/>
        <v>707</v>
      </c>
    </row>
    <row r="39" spans="1:18" ht="15.75" x14ac:dyDescent="0.25">
      <c r="A39" s="129"/>
      <c r="B39" s="29" t="s">
        <v>70</v>
      </c>
      <c r="C39" s="52">
        <v>2</v>
      </c>
      <c r="D39" s="31">
        <f>C39*4.5</f>
        <v>9</v>
      </c>
      <c r="F39" s="12">
        <v>20</v>
      </c>
      <c r="G39" s="37"/>
      <c r="H39" s="207">
        <f t="shared" si="2"/>
        <v>0</v>
      </c>
      <c r="I39" s="208"/>
      <c r="J39" s="209"/>
      <c r="O39" t="s">
        <v>75</v>
      </c>
      <c r="P39" s="4">
        <v>1175</v>
      </c>
      <c r="Q39" s="4"/>
      <c r="R39" s="5">
        <f t="shared" si="0"/>
        <v>1175</v>
      </c>
    </row>
    <row r="40" spans="1:18" ht="15.75" x14ac:dyDescent="0.25">
      <c r="A40" s="127" t="s">
        <v>76</v>
      </c>
      <c r="B40" s="27" t="s">
        <v>66</v>
      </c>
      <c r="C40" s="63">
        <v>6</v>
      </c>
      <c r="D40" s="12">
        <f>C40*111</f>
        <v>666</v>
      </c>
      <c r="F40" s="12">
        <v>10</v>
      </c>
      <c r="G40" s="42"/>
      <c r="H40" s="207"/>
      <c r="I40" s="208"/>
      <c r="J40" s="209"/>
      <c r="O40" t="s">
        <v>77</v>
      </c>
      <c r="P40" s="4">
        <v>913</v>
      </c>
      <c r="Q40" s="4">
        <v>120</v>
      </c>
      <c r="R40" s="5">
        <f t="shared" si="0"/>
        <v>1033</v>
      </c>
    </row>
    <row r="41" spans="1:18" ht="15.75" x14ac:dyDescent="0.25">
      <c r="A41" s="128"/>
      <c r="B41" s="27" t="s">
        <v>68</v>
      </c>
      <c r="C41" s="10">
        <v>1</v>
      </c>
      <c r="D41" s="12">
        <f>C41*84</f>
        <v>84</v>
      </c>
      <c r="F41" s="12">
        <v>5</v>
      </c>
      <c r="G41" s="42"/>
      <c r="H41" s="207"/>
      <c r="I41" s="208"/>
      <c r="J41" s="209"/>
      <c r="K41" s="21"/>
      <c r="O41" t="s">
        <v>78</v>
      </c>
      <c r="P41" s="4">
        <v>614</v>
      </c>
      <c r="Q41" s="4">
        <v>111</v>
      </c>
      <c r="R41" s="5">
        <f t="shared" si="0"/>
        <v>725</v>
      </c>
    </row>
    <row r="42" spans="1:18" ht="15.75" x14ac:dyDescent="0.25">
      <c r="A42" s="129"/>
      <c r="B42" s="27" t="s">
        <v>70</v>
      </c>
      <c r="C42" s="11">
        <v>7</v>
      </c>
      <c r="D42" s="12">
        <f>C42*2.25</f>
        <v>15.75</v>
      </c>
      <c r="F42" s="39" t="s">
        <v>79</v>
      </c>
      <c r="G42" s="207">
        <v>22</v>
      </c>
      <c r="H42" s="208"/>
      <c r="I42" s="208"/>
      <c r="J42" s="209"/>
      <c r="K42" s="36"/>
      <c r="O42" t="s">
        <v>80</v>
      </c>
      <c r="P42" s="4">
        <v>626</v>
      </c>
      <c r="Q42" s="4">
        <v>111</v>
      </c>
      <c r="R42" s="5">
        <f t="shared" si="0"/>
        <v>737</v>
      </c>
    </row>
    <row r="43" spans="1:18" ht="15.75" x14ac:dyDescent="0.25">
      <c r="A43" s="210" t="s">
        <v>81</v>
      </c>
      <c r="C43" s="11"/>
      <c r="D43" s="12"/>
      <c r="F43" s="59" t="s">
        <v>82</v>
      </c>
      <c r="G43" s="98" t="s">
        <v>83</v>
      </c>
      <c r="H43" s="213" t="s">
        <v>13</v>
      </c>
      <c r="I43" s="214"/>
      <c r="J43" s="215"/>
      <c r="K43" s="21"/>
      <c r="P43" s="4"/>
      <c r="Q43" s="4"/>
      <c r="R43" s="5"/>
    </row>
    <row r="44" spans="1:18" ht="15.75" x14ac:dyDescent="0.25">
      <c r="A44" s="211"/>
      <c r="B44" s="27" t="s">
        <v>66</v>
      </c>
      <c r="C44" s="10"/>
      <c r="D44" s="12">
        <f>C44*120</f>
        <v>0</v>
      </c>
      <c r="F44" s="37"/>
      <c r="G44" s="76"/>
      <c r="H44" s="191"/>
      <c r="I44" s="191"/>
      <c r="J44" s="191"/>
      <c r="K44" s="21"/>
      <c r="P44" s="4"/>
      <c r="Q44" s="4"/>
      <c r="R44" s="5"/>
    </row>
    <row r="45" spans="1:18" ht="15.75" x14ac:dyDescent="0.25">
      <c r="A45" s="211"/>
      <c r="B45" s="27" t="s">
        <v>68</v>
      </c>
      <c r="C45" s="33"/>
      <c r="D45" s="12">
        <f>C45*84</f>
        <v>0</v>
      </c>
      <c r="F45" s="37"/>
      <c r="G45" s="76"/>
      <c r="H45" s="191"/>
      <c r="I45" s="191"/>
      <c r="J45" s="191"/>
      <c r="K45" s="21"/>
      <c r="P45" s="4"/>
      <c r="Q45" s="4"/>
      <c r="R45" s="5"/>
    </row>
    <row r="46" spans="1:18" ht="15.75" x14ac:dyDescent="0.25">
      <c r="A46" s="211"/>
      <c r="B46" s="49" t="s">
        <v>70</v>
      </c>
      <c r="C46" s="81">
        <v>25</v>
      </c>
      <c r="D46" s="12">
        <f>C46*1.5</f>
        <v>37.5</v>
      </c>
      <c r="F46" s="37"/>
      <c r="G46" s="62"/>
      <c r="H46" s="216"/>
      <c r="I46" s="216"/>
      <c r="J46" s="216"/>
      <c r="K46" s="21"/>
      <c r="P46" s="4"/>
      <c r="Q46" s="4"/>
      <c r="R46" s="5"/>
    </row>
    <row r="47" spans="1:18" ht="15.75" x14ac:dyDescent="0.25">
      <c r="A47" s="212"/>
      <c r="B47" s="27"/>
      <c r="C47" s="11"/>
      <c r="D47" s="12"/>
      <c r="F47" s="59"/>
      <c r="G47" s="59"/>
      <c r="H47" s="217"/>
      <c r="I47" s="218"/>
      <c r="J47" s="219"/>
      <c r="K47" s="21"/>
      <c r="P47" s="4"/>
      <c r="Q47" s="4"/>
      <c r="R47" s="5"/>
    </row>
    <row r="48" spans="1:18" ht="15" customHeight="1" x14ac:dyDescent="0.25">
      <c r="A48" s="210" t="s">
        <v>32</v>
      </c>
      <c r="B48" s="27" t="s">
        <v>66</v>
      </c>
      <c r="C48" s="10">
        <v>3</v>
      </c>
      <c r="D48" s="12">
        <f>C48*78</f>
        <v>234</v>
      </c>
      <c r="F48" s="59"/>
      <c r="G48" s="59"/>
      <c r="H48" s="217"/>
      <c r="I48" s="218"/>
      <c r="J48" s="219"/>
      <c r="K48" s="35"/>
      <c r="O48" t="s">
        <v>84</v>
      </c>
      <c r="P48" s="4">
        <v>1175</v>
      </c>
      <c r="Q48" s="4"/>
      <c r="R48" s="5">
        <f t="shared" si="0"/>
        <v>1175</v>
      </c>
    </row>
    <row r="49" spans="1:18" ht="15.75" x14ac:dyDescent="0.25">
      <c r="A49" s="211"/>
      <c r="B49" s="29" t="s">
        <v>68</v>
      </c>
      <c r="C49" s="33">
        <v>3</v>
      </c>
      <c r="D49" s="12">
        <f>C49*42</f>
        <v>126</v>
      </c>
      <c r="F49" s="232" t="s">
        <v>86</v>
      </c>
      <c r="G49" s="179">
        <f>H34+H35+H36+H37+H38+H39+H40+H41+G42+H44+H45+H46</f>
        <v>135022</v>
      </c>
      <c r="H49" s="180"/>
      <c r="I49" s="180"/>
      <c r="J49" s="181"/>
      <c r="O49" t="s">
        <v>85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211"/>
      <c r="B50" s="32" t="s">
        <v>70</v>
      </c>
      <c r="C50" s="11">
        <v>20</v>
      </c>
      <c r="D50" s="12">
        <f>C50*1.5</f>
        <v>30</v>
      </c>
      <c r="F50" s="233"/>
      <c r="G50" s="182"/>
      <c r="H50" s="183"/>
      <c r="I50" s="183"/>
      <c r="J50" s="184"/>
      <c r="P50" s="4"/>
      <c r="Q50" s="4"/>
      <c r="R50" s="5"/>
    </row>
    <row r="51" spans="1:18" ht="15" customHeight="1" x14ac:dyDescent="0.25">
      <c r="A51" s="211"/>
      <c r="B51" s="27"/>
      <c r="C51" s="10"/>
      <c r="D51" s="31"/>
      <c r="F51" s="234" t="s">
        <v>142</v>
      </c>
      <c r="G51" s="247">
        <f>G49-H29</f>
        <v>-233.75</v>
      </c>
      <c r="H51" s="248"/>
      <c r="I51" s="248"/>
      <c r="J51" s="249"/>
      <c r="K51" s="21"/>
      <c r="O51" t="s">
        <v>87</v>
      </c>
      <c r="P51" s="4">
        <v>703</v>
      </c>
      <c r="Q51" s="4">
        <v>120</v>
      </c>
      <c r="R51" s="5">
        <f t="shared" si="0"/>
        <v>823</v>
      </c>
    </row>
    <row r="52" spans="1:18" ht="15.75" x14ac:dyDescent="0.25">
      <c r="A52" s="211"/>
      <c r="B52" s="29"/>
      <c r="C52" s="33"/>
      <c r="D52" s="45"/>
      <c r="F52" s="235"/>
      <c r="G52" s="250"/>
      <c r="H52" s="251"/>
      <c r="I52" s="251"/>
      <c r="J52" s="252"/>
      <c r="K52" s="21"/>
      <c r="O52" t="s">
        <v>88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212"/>
      <c r="B53" s="32"/>
      <c r="C53" s="11"/>
      <c r="D53" s="12"/>
      <c r="F53" s="35"/>
      <c r="G53" s="24"/>
      <c r="H53" s="24"/>
      <c r="I53" s="24"/>
      <c r="J53" s="17"/>
      <c r="N53" s="1"/>
      <c r="O53" t="s">
        <v>89</v>
      </c>
      <c r="P53" s="4">
        <v>1142</v>
      </c>
    </row>
    <row r="54" spans="1:18" x14ac:dyDescent="0.25">
      <c r="A54" s="175" t="s">
        <v>90</v>
      </c>
      <c r="B54" s="220"/>
      <c r="C54" s="221"/>
      <c r="D54" s="224">
        <f>SUM(D34:D53)</f>
        <v>32837.25</v>
      </c>
      <c r="F54" s="21"/>
      <c r="J54" s="34"/>
    </row>
    <row r="55" spans="1:18" x14ac:dyDescent="0.25">
      <c r="A55" s="177"/>
      <c r="B55" s="222"/>
      <c r="C55" s="223"/>
      <c r="D55" s="225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133</v>
      </c>
      <c r="D57" s="34"/>
      <c r="F57" s="36"/>
      <c r="G57" s="50"/>
      <c r="H57" s="50"/>
      <c r="I57" s="50"/>
      <c r="J57" s="43"/>
    </row>
    <row r="58" spans="1:18" x14ac:dyDescent="0.25">
      <c r="A58" s="226" t="s">
        <v>91</v>
      </c>
      <c r="B58" s="227"/>
      <c r="C58" s="227"/>
      <c r="D58" s="228"/>
      <c r="F58" s="226" t="s">
        <v>92</v>
      </c>
      <c r="G58" s="227"/>
      <c r="H58" s="227"/>
      <c r="I58" s="227"/>
      <c r="J58" s="228"/>
    </row>
    <row r="59" spans="1:18" x14ac:dyDescent="0.25">
      <c r="A59" s="229"/>
      <c r="B59" s="230"/>
      <c r="C59" s="230"/>
      <c r="D59" s="231"/>
      <c r="F59" s="229"/>
      <c r="G59" s="230"/>
      <c r="H59" s="230"/>
      <c r="I59" s="230"/>
      <c r="J59" s="231"/>
    </row>
  </sheetData>
  <mergeCells count="68"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  <mergeCell ref="H13:J13"/>
    <mergeCell ref="F14:G14"/>
    <mergeCell ref="H14:J14"/>
    <mergeCell ref="F15:G15"/>
    <mergeCell ref="H15:J15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A32:D32"/>
    <mergeCell ref="F32:J32"/>
    <mergeCell ref="H33:J33"/>
    <mergeCell ref="A34:A36"/>
    <mergeCell ref="H34:J34"/>
    <mergeCell ref="H35:J35"/>
    <mergeCell ref="H36:J36"/>
    <mergeCell ref="A37:A39"/>
    <mergeCell ref="H37:J37"/>
    <mergeCell ref="H38:J38"/>
    <mergeCell ref="H39:J39"/>
    <mergeCell ref="A40:A42"/>
    <mergeCell ref="H40:J40"/>
    <mergeCell ref="H41:J41"/>
    <mergeCell ref="G42:J42"/>
    <mergeCell ref="A43:A47"/>
    <mergeCell ref="H43:J43"/>
    <mergeCell ref="H44:J44"/>
    <mergeCell ref="H45:J45"/>
    <mergeCell ref="H46:J46"/>
    <mergeCell ref="H47:J47"/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A6EEC33-CA33-4861-B448-E7E133AB29D9}">
  <dimension ref="A1:S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9" x14ac:dyDescent="0.25">
      <c r="A1" t="s">
        <v>0</v>
      </c>
      <c r="N1" s="113" t="s">
        <v>1</v>
      </c>
      <c r="O1" s="113"/>
      <c r="P1" s="90" t="s">
        <v>2</v>
      </c>
      <c r="Q1" s="90" t="s">
        <v>3</v>
      </c>
      <c r="R1" s="2" t="s">
        <v>4</v>
      </c>
    </row>
    <row r="2" spans="1:19" x14ac:dyDescent="0.25">
      <c r="A2" t="s">
        <v>5</v>
      </c>
      <c r="N2" s="1"/>
    </row>
    <row r="3" spans="1:19" x14ac:dyDescent="0.25">
      <c r="N3" s="1" t="s">
        <v>6</v>
      </c>
      <c r="O3" s="4"/>
    </row>
    <row r="4" spans="1:19" x14ac:dyDescent="0.25">
      <c r="A4" s="114" t="s">
        <v>7</v>
      </c>
      <c r="B4" s="115"/>
      <c r="C4" s="115"/>
      <c r="D4" s="116"/>
      <c r="F4" s="117" t="s">
        <v>8</v>
      </c>
      <c r="G4" s="119"/>
      <c r="H4" s="121" t="s">
        <v>9</v>
      </c>
      <c r="I4" s="123"/>
      <c r="J4" s="124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9" x14ac:dyDescent="0.25">
      <c r="A5" s="127" t="s">
        <v>7</v>
      </c>
      <c r="B5" s="15" t="s">
        <v>11</v>
      </c>
      <c r="C5" s="9" t="s">
        <v>12</v>
      </c>
      <c r="D5" s="25" t="s">
        <v>13</v>
      </c>
      <c r="F5" s="118"/>
      <c r="G5" s="120"/>
      <c r="H5" s="122"/>
      <c r="I5" s="125"/>
      <c r="J5" s="126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9" ht="14.45" customHeight="1" x14ac:dyDescent="0.25">
      <c r="A6" s="128"/>
      <c r="B6" s="16"/>
      <c r="C6" s="10"/>
      <c r="D6" s="13">
        <f t="shared" ref="D6:D28" si="1">C6*L6</f>
        <v>0</v>
      </c>
      <c r="F6" s="130" t="s">
        <v>16</v>
      </c>
      <c r="G6" s="132"/>
      <c r="H6" s="133"/>
      <c r="I6" s="133"/>
      <c r="J6" s="134"/>
      <c r="K6" s="8"/>
      <c r="L6" s="6">
        <f>R42</f>
        <v>737</v>
      </c>
      <c r="O6" t="s">
        <v>17</v>
      </c>
      <c r="P6" s="4">
        <v>650</v>
      </c>
      <c r="Q6" s="4"/>
      <c r="R6" s="5">
        <f t="shared" si="0"/>
        <v>650</v>
      </c>
    </row>
    <row r="7" spans="1:19" ht="14.45" customHeight="1" x14ac:dyDescent="0.25">
      <c r="A7" s="128"/>
      <c r="B7" s="16"/>
      <c r="C7" s="10"/>
      <c r="D7" s="13">
        <f t="shared" si="1"/>
        <v>0</v>
      </c>
      <c r="F7" s="131"/>
      <c r="G7" s="135"/>
      <c r="H7" s="136"/>
      <c r="I7" s="136"/>
      <c r="J7" s="137"/>
      <c r="K7" s="8"/>
      <c r="L7" s="6">
        <f>R41</f>
        <v>725</v>
      </c>
      <c r="P7" s="4"/>
      <c r="Q7" s="4"/>
      <c r="R7" s="5"/>
    </row>
    <row r="8" spans="1:19" ht="14.45" customHeight="1" x14ac:dyDescent="0.25">
      <c r="A8" s="128"/>
      <c r="B8" s="16"/>
      <c r="C8" s="10"/>
      <c r="D8" s="13">
        <f t="shared" si="1"/>
        <v>0</v>
      </c>
      <c r="F8" s="138" t="s">
        <v>21</v>
      </c>
      <c r="G8" s="140"/>
      <c r="H8" s="141"/>
      <c r="I8" s="141"/>
      <c r="J8" s="142"/>
      <c r="K8" s="8"/>
      <c r="L8" s="6">
        <f>R40</f>
        <v>1033</v>
      </c>
      <c r="P8" s="4"/>
      <c r="Q8" s="4"/>
      <c r="R8" s="5"/>
    </row>
    <row r="9" spans="1:19" ht="14.45" customHeight="1" x14ac:dyDescent="0.25">
      <c r="A9" s="128"/>
      <c r="B9" s="16"/>
      <c r="C9" s="10"/>
      <c r="D9" s="13">
        <f t="shared" si="1"/>
        <v>0</v>
      </c>
      <c r="F9" s="131"/>
      <c r="G9" s="143"/>
      <c r="H9" s="144"/>
      <c r="I9" s="144"/>
      <c r="J9" s="145"/>
      <c r="K9" s="8"/>
      <c r="L9" s="6">
        <f>R38</f>
        <v>707</v>
      </c>
      <c r="P9" s="4"/>
      <c r="Q9" s="4"/>
      <c r="R9" s="5"/>
    </row>
    <row r="10" spans="1:19" ht="14.45" customHeight="1" x14ac:dyDescent="0.25">
      <c r="A10" s="128"/>
      <c r="C10" s="10"/>
      <c r="D10" s="13">
        <f t="shared" si="1"/>
        <v>0</v>
      </c>
      <c r="F10" s="130" t="s">
        <v>26</v>
      </c>
      <c r="G10" s="146"/>
      <c r="H10" s="147"/>
      <c r="I10" s="147"/>
      <c r="J10" s="148"/>
      <c r="K10" s="8"/>
      <c r="L10" s="6">
        <f>R36</f>
        <v>972</v>
      </c>
      <c r="P10" s="4"/>
      <c r="Q10" s="4"/>
      <c r="R10" s="5"/>
    </row>
    <row r="11" spans="1:19" ht="15.75" x14ac:dyDescent="0.25">
      <c r="A11" s="128"/>
      <c r="B11" s="17"/>
      <c r="C11" s="10"/>
      <c r="D11" s="13">
        <f t="shared" si="1"/>
        <v>0</v>
      </c>
      <c r="F11" s="131"/>
      <c r="G11" s="143"/>
      <c r="H11" s="144"/>
      <c r="I11" s="144"/>
      <c r="J11" s="145"/>
      <c r="K11" s="22"/>
      <c r="L11" s="6">
        <f>R32</f>
        <v>1125</v>
      </c>
      <c r="O11" t="s">
        <v>19</v>
      </c>
      <c r="P11" s="4">
        <v>650</v>
      </c>
      <c r="Q11" s="4"/>
      <c r="R11" s="5">
        <f t="shared" si="0"/>
        <v>650</v>
      </c>
    </row>
    <row r="12" spans="1:19" ht="15.75" x14ac:dyDescent="0.25">
      <c r="A12" s="128"/>
      <c r="B12" s="17"/>
      <c r="C12" s="10"/>
      <c r="D12" s="48">
        <f t="shared" si="1"/>
        <v>0</v>
      </c>
      <c r="F12" s="149" t="s">
        <v>33</v>
      </c>
      <c r="G12" s="150"/>
      <c r="H12" s="150"/>
      <c r="I12" s="150"/>
      <c r="J12" s="151"/>
      <c r="K12" s="23"/>
      <c r="L12" s="6">
        <f>R34</f>
        <v>952</v>
      </c>
      <c r="O12" t="s">
        <v>22</v>
      </c>
      <c r="P12" s="4">
        <v>650</v>
      </c>
      <c r="Q12" s="4"/>
      <c r="R12" s="5">
        <f t="shared" si="0"/>
        <v>650</v>
      </c>
    </row>
    <row r="13" spans="1:19" ht="15.75" x14ac:dyDescent="0.25">
      <c r="A13" s="128"/>
      <c r="B13" s="17"/>
      <c r="C13" s="10"/>
      <c r="D13" s="48">
        <f t="shared" si="1"/>
        <v>0</v>
      </c>
      <c r="F13" s="152" t="s">
        <v>36</v>
      </c>
      <c r="G13" s="153"/>
      <c r="H13" s="154">
        <f>D29</f>
        <v>0</v>
      </c>
      <c r="I13" s="155"/>
      <c r="J13" s="156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9" ht="15.75" x14ac:dyDescent="0.25">
      <c r="A14" s="128"/>
      <c r="B14" s="14"/>
      <c r="C14" s="10"/>
      <c r="D14" s="31">
        <f t="shared" si="1"/>
        <v>0</v>
      </c>
      <c r="F14" s="157" t="s">
        <v>39</v>
      </c>
      <c r="G14" s="158"/>
      <c r="H14" s="159">
        <f>D54</f>
        <v>0</v>
      </c>
      <c r="I14" s="160"/>
      <c r="J14" s="161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  <c r="S14">
        <f>205+78</f>
        <v>283</v>
      </c>
    </row>
    <row r="15" spans="1:19" ht="15.75" x14ac:dyDescent="0.25">
      <c r="A15" s="128"/>
      <c r="B15" s="14"/>
      <c r="C15" s="10"/>
      <c r="D15" s="31">
        <f t="shared" si="1"/>
        <v>0</v>
      </c>
      <c r="F15" s="162" t="s">
        <v>40</v>
      </c>
      <c r="G15" s="153"/>
      <c r="H15" s="163">
        <f>H13-H14</f>
        <v>0</v>
      </c>
      <c r="I15" s="164"/>
      <c r="J15" s="165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  <c r="S15">
        <f>229+78</f>
        <v>307</v>
      </c>
    </row>
    <row r="16" spans="1:19" ht="15.75" x14ac:dyDescent="0.25">
      <c r="A16" s="128"/>
      <c r="B16" s="18"/>
      <c r="C16" s="10"/>
      <c r="D16" s="48">
        <f t="shared" si="1"/>
        <v>0</v>
      </c>
      <c r="F16" s="67" t="s">
        <v>42</v>
      </c>
      <c r="G16" s="66" t="s">
        <v>43</v>
      </c>
      <c r="H16" s="166"/>
      <c r="I16" s="166"/>
      <c r="J16" s="166"/>
      <c r="L16" s="6">
        <f>R28</f>
        <v>1567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28"/>
      <c r="C17" s="10"/>
      <c r="D17" s="48">
        <f t="shared" si="1"/>
        <v>0</v>
      </c>
      <c r="F17" s="56"/>
      <c r="G17" s="66" t="s">
        <v>45</v>
      </c>
      <c r="H17" s="139"/>
      <c r="I17" s="139"/>
      <c r="J17" s="139"/>
      <c r="L17" s="6">
        <v>1582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28"/>
      <c r="B18" s="19"/>
      <c r="C18" s="10"/>
      <c r="D18" s="48">
        <f t="shared" si="1"/>
        <v>0</v>
      </c>
      <c r="F18" s="56"/>
      <c r="G18" s="66" t="s">
        <v>47</v>
      </c>
      <c r="H18" s="139"/>
      <c r="I18" s="139"/>
      <c r="J18" s="139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28"/>
      <c r="B19" s="14"/>
      <c r="C19" s="10"/>
      <c r="D19" s="48">
        <f t="shared" si="1"/>
        <v>0</v>
      </c>
      <c r="F19" s="56"/>
      <c r="G19" s="68" t="s">
        <v>50</v>
      </c>
      <c r="H19" s="185"/>
      <c r="I19" s="185"/>
      <c r="J19" s="185"/>
      <c r="L19" s="6">
        <f>R35</f>
        <v>1102</v>
      </c>
      <c r="Q19" s="4"/>
      <c r="R19" s="5">
        <f t="shared" si="0"/>
        <v>0</v>
      </c>
    </row>
    <row r="20" spans="1:18" ht="15.75" x14ac:dyDescent="0.25">
      <c r="A20" s="128"/>
      <c r="B20" s="46"/>
      <c r="C20" s="10"/>
      <c r="D20" s="13">
        <f t="shared" si="1"/>
        <v>0</v>
      </c>
      <c r="F20" s="57"/>
      <c r="G20" s="70" t="s">
        <v>120</v>
      </c>
      <c r="H20" s="166"/>
      <c r="I20" s="166"/>
      <c r="J20" s="166"/>
      <c r="L20" s="6">
        <f>1102</f>
        <v>1102</v>
      </c>
      <c r="N20" s="1" t="s">
        <v>41</v>
      </c>
      <c r="Q20" s="4"/>
      <c r="R20" s="5">
        <f t="shared" si="0"/>
        <v>0</v>
      </c>
    </row>
    <row r="21" spans="1:18" ht="15.75" x14ac:dyDescent="0.25">
      <c r="A21" s="128"/>
      <c r="B21" s="14"/>
      <c r="C21" s="10"/>
      <c r="D21" s="48">
        <f t="shared" si="1"/>
        <v>0</v>
      </c>
      <c r="F21" s="69" t="s">
        <v>99</v>
      </c>
      <c r="G21" s="82" t="s">
        <v>98</v>
      </c>
      <c r="H21" s="186" t="s">
        <v>13</v>
      </c>
      <c r="I21" s="187"/>
      <c r="J21" s="188"/>
      <c r="L21" s="7">
        <v>650</v>
      </c>
      <c r="O21" t="s">
        <v>44</v>
      </c>
      <c r="P21" s="4">
        <v>1447</v>
      </c>
      <c r="Q21" s="4">
        <v>120</v>
      </c>
      <c r="R21" s="5">
        <f t="shared" si="0"/>
        <v>1567</v>
      </c>
    </row>
    <row r="22" spans="1:18" ht="15.75" x14ac:dyDescent="0.25">
      <c r="A22" s="128"/>
      <c r="B22" s="46"/>
      <c r="C22" s="10"/>
      <c r="D22" s="48">
        <f t="shared" si="1"/>
        <v>0</v>
      </c>
      <c r="F22" s="77"/>
      <c r="G22" s="73"/>
      <c r="H22" s="189"/>
      <c r="I22" s="189"/>
      <c r="J22" s="189"/>
      <c r="L22" s="7">
        <f>559+111</f>
        <v>670</v>
      </c>
      <c r="O22" t="s">
        <v>46</v>
      </c>
      <c r="P22" s="4">
        <v>1582</v>
      </c>
      <c r="Q22" s="4"/>
      <c r="R22" s="5">
        <f t="shared" si="0"/>
        <v>1582</v>
      </c>
    </row>
    <row r="23" spans="1:18" ht="15.75" x14ac:dyDescent="0.25">
      <c r="A23" s="128"/>
      <c r="B23" s="14"/>
      <c r="C23" s="10"/>
      <c r="D23" s="48">
        <f t="shared" si="1"/>
        <v>0</v>
      </c>
      <c r="F23" s="78"/>
      <c r="G23" s="79"/>
      <c r="H23" s="190"/>
      <c r="I23" s="191"/>
      <c r="J23" s="191"/>
      <c r="L23" s="47">
        <f>R33</f>
        <v>1175</v>
      </c>
      <c r="N23" s="1"/>
      <c r="O23" t="s">
        <v>48</v>
      </c>
      <c r="P23" s="4">
        <v>1728</v>
      </c>
      <c r="Q23" s="4"/>
      <c r="R23" s="5">
        <f t="shared" si="0"/>
        <v>1728</v>
      </c>
    </row>
    <row r="24" spans="1:18" ht="15.75" x14ac:dyDescent="0.25">
      <c r="A24" s="128"/>
      <c r="B24" s="14"/>
      <c r="C24" s="10"/>
      <c r="D24" s="48">
        <f t="shared" si="1"/>
        <v>0</v>
      </c>
      <c r="F24" s="38"/>
      <c r="G24" s="37"/>
      <c r="H24" s="190"/>
      <c r="I24" s="191"/>
      <c r="J24" s="191"/>
      <c r="L24" s="47">
        <v>1667</v>
      </c>
      <c r="N24" s="1"/>
      <c r="O24" t="s">
        <v>49</v>
      </c>
      <c r="P24" s="4">
        <v>1728</v>
      </c>
      <c r="Q24" s="4"/>
      <c r="R24" s="5">
        <f t="shared" si="0"/>
        <v>1728</v>
      </c>
    </row>
    <row r="25" spans="1:18" ht="15.75" x14ac:dyDescent="0.25">
      <c r="A25" s="128"/>
      <c r="B25" s="14"/>
      <c r="C25" s="10"/>
      <c r="D25" s="48">
        <f t="shared" si="1"/>
        <v>0</v>
      </c>
      <c r="F25" s="60" t="s">
        <v>100</v>
      </c>
      <c r="G25" s="55" t="s">
        <v>98</v>
      </c>
      <c r="H25" s="192" t="s">
        <v>13</v>
      </c>
      <c r="I25" s="193"/>
      <c r="J25" s="194"/>
      <c r="L25" s="47">
        <f>1582</f>
        <v>1582</v>
      </c>
      <c r="O25" t="s">
        <v>51</v>
      </c>
      <c r="P25" s="4">
        <v>1582</v>
      </c>
      <c r="Q25" s="4"/>
      <c r="R25" s="5">
        <f t="shared" si="0"/>
        <v>1582</v>
      </c>
    </row>
    <row r="26" spans="1:18" ht="15.75" x14ac:dyDescent="0.25">
      <c r="A26" s="128"/>
      <c r="B26" s="14"/>
      <c r="C26" s="10"/>
      <c r="D26" s="48">
        <f t="shared" si="1"/>
        <v>0</v>
      </c>
      <c r="F26" s="64"/>
      <c r="G26" s="59"/>
      <c r="H26" s="195"/>
      <c r="I26" s="196"/>
      <c r="J26" s="197"/>
      <c r="L26" s="7">
        <f>832/24+1.5</f>
        <v>36.166666666666664</v>
      </c>
      <c r="O26" t="s">
        <v>52</v>
      </c>
      <c r="P26" s="4">
        <v>1447</v>
      </c>
      <c r="Q26" s="4">
        <v>120</v>
      </c>
      <c r="R26" s="5">
        <f t="shared" si="0"/>
        <v>1567</v>
      </c>
    </row>
    <row r="27" spans="1:18" ht="14.45" customHeight="1" x14ac:dyDescent="0.25">
      <c r="A27" s="128"/>
      <c r="B27" s="14"/>
      <c r="C27" s="10"/>
      <c r="D27" s="44">
        <f t="shared" si="1"/>
        <v>0</v>
      </c>
      <c r="F27" s="25"/>
      <c r="G27" s="80"/>
      <c r="H27" s="198"/>
      <c r="I27" s="199"/>
      <c r="J27" s="200"/>
      <c r="L27" s="7">
        <v>1582</v>
      </c>
      <c r="O27" t="s">
        <v>53</v>
      </c>
      <c r="P27" s="4">
        <v>1582</v>
      </c>
      <c r="Q27" s="4"/>
      <c r="R27" s="5">
        <f t="shared" si="0"/>
        <v>1582</v>
      </c>
    </row>
    <row r="28" spans="1:18" ht="15.75" x14ac:dyDescent="0.25">
      <c r="A28" s="129"/>
      <c r="B28" s="46"/>
      <c r="C28" s="10"/>
      <c r="D28" s="48">
        <f t="shared" si="1"/>
        <v>0</v>
      </c>
      <c r="F28" s="91"/>
      <c r="G28" s="61"/>
      <c r="H28" s="201"/>
      <c r="I28" s="202"/>
      <c r="J28" s="203"/>
      <c r="L28" s="7">
        <v>785</v>
      </c>
      <c r="O28" t="s">
        <v>54</v>
      </c>
      <c r="P28" s="4">
        <v>1447</v>
      </c>
      <c r="Q28" s="4">
        <v>120</v>
      </c>
      <c r="R28" s="5">
        <f t="shared" si="0"/>
        <v>1567</v>
      </c>
    </row>
    <row r="29" spans="1:18" x14ac:dyDescent="0.25">
      <c r="A29" s="167" t="s">
        <v>36</v>
      </c>
      <c r="B29" s="168"/>
      <c r="C29" s="169"/>
      <c r="D29" s="173">
        <f>SUM(D6:D28)</f>
        <v>0</v>
      </c>
      <c r="F29" s="175" t="s">
        <v>55</v>
      </c>
      <c r="G29" s="176"/>
      <c r="H29" s="179">
        <f>H15-H16-H17-H18-H19-H20-H22-H23-H24+H26+H27</f>
        <v>0</v>
      </c>
      <c r="I29" s="180"/>
      <c r="J29" s="181"/>
      <c r="O29" t="s">
        <v>56</v>
      </c>
      <c r="P29" s="4">
        <v>1582</v>
      </c>
      <c r="Q29" s="4"/>
      <c r="R29" s="5">
        <f t="shared" si="0"/>
        <v>1582</v>
      </c>
    </row>
    <row r="30" spans="1:18" x14ac:dyDescent="0.25">
      <c r="A30" s="170"/>
      <c r="B30" s="171"/>
      <c r="C30" s="172"/>
      <c r="D30" s="174"/>
      <c r="F30" s="177"/>
      <c r="G30" s="178"/>
      <c r="H30" s="182"/>
      <c r="I30" s="183"/>
      <c r="J30" s="184"/>
      <c r="N30" s="1"/>
      <c r="Q30" s="4"/>
      <c r="R30" s="5">
        <f t="shared" si="0"/>
        <v>0</v>
      </c>
    </row>
    <row r="31" spans="1:18" x14ac:dyDescent="0.25">
      <c r="A31" s="24"/>
      <c r="B31" s="24"/>
      <c r="C31" s="24"/>
      <c r="D31" s="24"/>
      <c r="F31" s="24"/>
      <c r="G31" s="24"/>
      <c r="O31" t="s">
        <v>57</v>
      </c>
      <c r="P31" s="4">
        <v>1052</v>
      </c>
      <c r="Q31" s="4">
        <v>120</v>
      </c>
      <c r="R31" s="5">
        <f t="shared" si="0"/>
        <v>1172</v>
      </c>
    </row>
    <row r="32" spans="1:18" x14ac:dyDescent="0.25">
      <c r="A32" s="114" t="s">
        <v>58</v>
      </c>
      <c r="B32" s="115"/>
      <c r="C32" s="115"/>
      <c r="D32" s="116"/>
      <c r="F32" s="204" t="s">
        <v>59</v>
      </c>
      <c r="G32" s="205"/>
      <c r="H32" s="205"/>
      <c r="I32" s="205"/>
      <c r="J32" s="206"/>
      <c r="O32" t="s">
        <v>60</v>
      </c>
      <c r="P32" s="4">
        <v>1005</v>
      </c>
      <c r="Q32" s="4">
        <v>120</v>
      </c>
      <c r="R32" s="5">
        <f t="shared" si="0"/>
        <v>1125</v>
      </c>
    </row>
    <row r="33" spans="1:18" x14ac:dyDescent="0.25">
      <c r="A33" s="25"/>
      <c r="B33" s="25" t="s">
        <v>11</v>
      </c>
      <c r="C33" s="25" t="s">
        <v>61</v>
      </c>
      <c r="D33" s="25" t="s">
        <v>13</v>
      </c>
      <c r="F33" s="25" t="s">
        <v>62</v>
      </c>
      <c r="G33" s="92" t="s">
        <v>63</v>
      </c>
      <c r="H33" s="204" t="s">
        <v>13</v>
      </c>
      <c r="I33" s="205"/>
      <c r="J33" s="206"/>
      <c r="O33" t="s">
        <v>64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27" t="s">
        <v>65</v>
      </c>
      <c r="B34" s="26" t="s">
        <v>66</v>
      </c>
      <c r="C34" s="51"/>
      <c r="D34" s="30">
        <f>C34*120</f>
        <v>0</v>
      </c>
      <c r="F34" s="12">
        <v>1000</v>
      </c>
      <c r="G34" s="74"/>
      <c r="H34" s="207"/>
      <c r="I34" s="208"/>
      <c r="J34" s="209"/>
      <c r="O34" t="s">
        <v>67</v>
      </c>
      <c r="P34" s="4">
        <v>832</v>
      </c>
      <c r="Q34" s="4">
        <v>120</v>
      </c>
      <c r="R34" s="5">
        <f t="shared" si="0"/>
        <v>952</v>
      </c>
    </row>
    <row r="35" spans="1:18" ht="15.75" x14ac:dyDescent="0.25">
      <c r="A35" s="128"/>
      <c r="B35" s="27" t="s">
        <v>68</v>
      </c>
      <c r="C35" s="52"/>
      <c r="D35" s="30">
        <f>C35*84</f>
        <v>0</v>
      </c>
      <c r="F35" s="58">
        <v>500</v>
      </c>
      <c r="G35" s="41"/>
      <c r="H35" s="207"/>
      <c r="I35" s="208"/>
      <c r="J35" s="209"/>
      <c r="O35" t="s">
        <v>69</v>
      </c>
      <c r="P35" s="4">
        <v>1102</v>
      </c>
      <c r="Q35" s="4"/>
      <c r="R35" s="5">
        <f t="shared" si="0"/>
        <v>1102</v>
      </c>
    </row>
    <row r="36" spans="1:18" ht="15.75" x14ac:dyDescent="0.25">
      <c r="A36" s="129"/>
      <c r="B36" s="26" t="s">
        <v>70</v>
      </c>
      <c r="C36" s="10"/>
      <c r="D36" s="12">
        <f>C36*1.5</f>
        <v>0</v>
      </c>
      <c r="F36" s="12">
        <v>200</v>
      </c>
      <c r="G36" s="37"/>
      <c r="H36" s="207"/>
      <c r="I36" s="208"/>
      <c r="J36" s="209"/>
      <c r="O36" t="s">
        <v>71</v>
      </c>
      <c r="P36" s="4">
        <v>852</v>
      </c>
      <c r="Q36" s="4">
        <v>120</v>
      </c>
      <c r="R36" s="5">
        <f t="shared" si="0"/>
        <v>972</v>
      </c>
    </row>
    <row r="37" spans="1:18" ht="15.75" x14ac:dyDescent="0.25">
      <c r="A37" s="127" t="s">
        <v>72</v>
      </c>
      <c r="B37" s="28" t="s">
        <v>66</v>
      </c>
      <c r="C37" s="53"/>
      <c r="D37" s="12">
        <f>C37*111</f>
        <v>0</v>
      </c>
      <c r="F37" s="12">
        <v>100</v>
      </c>
      <c r="G37" s="39"/>
      <c r="H37" s="207"/>
      <c r="I37" s="208"/>
      <c r="J37" s="209"/>
      <c r="O37" t="s">
        <v>73</v>
      </c>
      <c r="P37" s="4">
        <v>1020</v>
      </c>
      <c r="Q37" s="4">
        <v>120</v>
      </c>
      <c r="R37" s="5">
        <f t="shared" si="0"/>
        <v>1140</v>
      </c>
    </row>
    <row r="38" spans="1:18" ht="15.75" x14ac:dyDescent="0.25">
      <c r="A38" s="128"/>
      <c r="B38" s="29" t="s">
        <v>68</v>
      </c>
      <c r="C38" s="54"/>
      <c r="D38" s="12">
        <f>C38*84</f>
        <v>0</v>
      </c>
      <c r="F38" s="30">
        <v>50</v>
      </c>
      <c r="G38" s="39"/>
      <c r="H38" s="207"/>
      <c r="I38" s="208"/>
      <c r="J38" s="209"/>
      <c r="O38" t="s">
        <v>74</v>
      </c>
      <c r="P38" s="4">
        <v>596</v>
      </c>
      <c r="Q38" s="4">
        <v>111</v>
      </c>
      <c r="R38" s="5">
        <f t="shared" si="0"/>
        <v>707</v>
      </c>
    </row>
    <row r="39" spans="1:18" ht="15.75" x14ac:dyDescent="0.25">
      <c r="A39" s="129"/>
      <c r="B39" s="29" t="s">
        <v>70</v>
      </c>
      <c r="C39" s="52"/>
      <c r="D39" s="31">
        <f>C39*4.5</f>
        <v>0</v>
      </c>
      <c r="F39" s="12">
        <v>20</v>
      </c>
      <c r="G39" s="37"/>
      <c r="H39" s="207"/>
      <c r="I39" s="208"/>
      <c r="J39" s="209"/>
      <c r="O39" t="s">
        <v>75</v>
      </c>
      <c r="P39" s="4">
        <v>1175</v>
      </c>
      <c r="Q39" s="4"/>
      <c r="R39" s="5">
        <f t="shared" si="0"/>
        <v>1175</v>
      </c>
    </row>
    <row r="40" spans="1:18" ht="15.75" x14ac:dyDescent="0.25">
      <c r="A40" s="127" t="s">
        <v>76</v>
      </c>
      <c r="B40" s="27" t="s">
        <v>66</v>
      </c>
      <c r="C40" s="63"/>
      <c r="D40" s="12">
        <f>C40*111</f>
        <v>0</v>
      </c>
      <c r="F40" s="12">
        <v>10</v>
      </c>
      <c r="G40" s="42"/>
      <c r="H40" s="207"/>
      <c r="I40" s="208"/>
      <c r="J40" s="209"/>
      <c r="O40" t="s">
        <v>77</v>
      </c>
      <c r="P40" s="4">
        <v>913</v>
      </c>
      <c r="Q40" s="4">
        <v>120</v>
      </c>
      <c r="R40" s="5">
        <f t="shared" si="0"/>
        <v>1033</v>
      </c>
    </row>
    <row r="41" spans="1:18" ht="15.75" x14ac:dyDescent="0.25">
      <c r="A41" s="128"/>
      <c r="B41" s="27" t="s">
        <v>68</v>
      </c>
      <c r="C41" s="10"/>
      <c r="D41" s="12">
        <f>C41*84</f>
        <v>0</v>
      </c>
      <c r="F41" s="12">
        <v>5</v>
      </c>
      <c r="G41" s="42"/>
      <c r="H41" s="207"/>
      <c r="I41" s="208"/>
      <c r="J41" s="209"/>
      <c r="K41" s="21"/>
      <c r="O41" t="s">
        <v>78</v>
      </c>
      <c r="P41" s="4">
        <v>614</v>
      </c>
      <c r="Q41" s="4">
        <v>111</v>
      </c>
      <c r="R41" s="5">
        <f t="shared" si="0"/>
        <v>725</v>
      </c>
    </row>
    <row r="42" spans="1:18" ht="15.75" x14ac:dyDescent="0.25">
      <c r="A42" s="129"/>
      <c r="B42" s="27" t="s">
        <v>70</v>
      </c>
      <c r="C42" s="11"/>
      <c r="D42" s="12">
        <f>C42*2.25</f>
        <v>0</v>
      </c>
      <c r="F42" s="39" t="s">
        <v>79</v>
      </c>
      <c r="G42" s="207"/>
      <c r="H42" s="208"/>
      <c r="I42" s="208"/>
      <c r="J42" s="209"/>
      <c r="K42" s="36"/>
      <c r="O42" t="s">
        <v>80</v>
      </c>
      <c r="P42" s="4">
        <v>626</v>
      </c>
      <c r="Q42" s="4">
        <v>111</v>
      </c>
      <c r="R42" s="5">
        <f t="shared" si="0"/>
        <v>737</v>
      </c>
    </row>
    <row r="43" spans="1:18" ht="15.75" x14ac:dyDescent="0.25">
      <c r="A43" s="210" t="s">
        <v>81</v>
      </c>
      <c r="C43" s="11"/>
      <c r="D43" s="12"/>
      <c r="F43" s="59" t="s">
        <v>82</v>
      </c>
      <c r="G43" s="94" t="s">
        <v>83</v>
      </c>
      <c r="H43" s="213" t="s">
        <v>13</v>
      </c>
      <c r="I43" s="214"/>
      <c r="J43" s="215"/>
      <c r="K43" s="21"/>
      <c r="P43" s="4"/>
      <c r="Q43" s="4"/>
      <c r="R43" s="5"/>
    </row>
    <row r="44" spans="1:18" ht="15.75" x14ac:dyDescent="0.25">
      <c r="A44" s="211"/>
      <c r="B44" s="27" t="s">
        <v>66</v>
      </c>
      <c r="C44" s="10"/>
      <c r="D44" s="12">
        <f>C44*120</f>
        <v>0</v>
      </c>
      <c r="F44" s="37"/>
      <c r="G44" s="76"/>
      <c r="H44" s="191"/>
      <c r="I44" s="191"/>
      <c r="J44" s="191"/>
      <c r="K44" s="21"/>
      <c r="P44" s="4"/>
      <c r="Q44" s="4"/>
      <c r="R44" s="5"/>
    </row>
    <row r="45" spans="1:18" ht="15.75" x14ac:dyDescent="0.25">
      <c r="A45" s="211"/>
      <c r="B45" s="27" t="s">
        <v>68</v>
      </c>
      <c r="C45" s="33"/>
      <c r="D45" s="12">
        <f>C45*84</f>
        <v>0</v>
      </c>
      <c r="F45" s="37"/>
      <c r="G45" s="76"/>
      <c r="H45" s="191"/>
      <c r="I45" s="191"/>
      <c r="J45" s="191"/>
      <c r="K45" s="21"/>
      <c r="P45" s="4"/>
      <c r="Q45" s="4"/>
      <c r="R45" s="5"/>
    </row>
    <row r="46" spans="1:18" ht="15.75" x14ac:dyDescent="0.25">
      <c r="A46" s="211"/>
      <c r="B46" s="49" t="s">
        <v>70</v>
      </c>
      <c r="C46" s="81"/>
      <c r="D46" s="12">
        <f>C46*1.5</f>
        <v>0</v>
      </c>
      <c r="F46" s="37"/>
      <c r="G46" s="62"/>
      <c r="H46" s="216"/>
      <c r="I46" s="216"/>
      <c r="J46" s="216"/>
      <c r="K46" s="21"/>
      <c r="P46" s="4"/>
      <c r="Q46" s="4"/>
      <c r="R46" s="5"/>
    </row>
    <row r="47" spans="1:18" ht="15.75" x14ac:dyDescent="0.25">
      <c r="A47" s="212"/>
      <c r="B47" s="27"/>
      <c r="C47" s="11"/>
      <c r="D47" s="12"/>
      <c r="F47" s="59"/>
      <c r="G47" s="59"/>
      <c r="H47" s="217"/>
      <c r="I47" s="218"/>
      <c r="J47" s="219"/>
      <c r="K47" s="21"/>
      <c r="P47" s="4"/>
      <c r="Q47" s="4"/>
      <c r="R47" s="5"/>
    </row>
    <row r="48" spans="1:18" ht="15" customHeight="1" x14ac:dyDescent="0.25">
      <c r="A48" s="210" t="s">
        <v>32</v>
      </c>
      <c r="B48" s="27" t="s">
        <v>66</v>
      </c>
      <c r="C48" s="10"/>
      <c r="D48" s="12">
        <f>C48*78</f>
        <v>0</v>
      </c>
      <c r="F48" s="59"/>
      <c r="G48" s="59"/>
      <c r="H48" s="217"/>
      <c r="I48" s="218"/>
      <c r="J48" s="219"/>
      <c r="K48" s="35"/>
      <c r="O48" t="s">
        <v>84</v>
      </c>
      <c r="P48" s="4">
        <v>1175</v>
      </c>
      <c r="Q48" s="4"/>
      <c r="R48" s="5">
        <f t="shared" si="0"/>
        <v>1175</v>
      </c>
    </row>
    <row r="49" spans="1:18" ht="15.75" x14ac:dyDescent="0.25">
      <c r="A49" s="211"/>
      <c r="B49" s="29" t="s">
        <v>68</v>
      </c>
      <c r="C49" s="33"/>
      <c r="D49" s="12">
        <f>C49*42</f>
        <v>0</v>
      </c>
      <c r="F49" s="232" t="s">
        <v>86</v>
      </c>
      <c r="G49" s="179">
        <f>H34+H35+H36+H37+H38+H39+H40+H41+G42+H44+H45+H46</f>
        <v>0</v>
      </c>
      <c r="H49" s="180"/>
      <c r="I49" s="180"/>
      <c r="J49" s="181"/>
      <c r="O49" t="s">
        <v>85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211"/>
      <c r="B50" s="32" t="s">
        <v>70</v>
      </c>
      <c r="C50" s="11"/>
      <c r="D50" s="12">
        <f>C50*1.5</f>
        <v>0</v>
      </c>
      <c r="F50" s="233"/>
      <c r="G50" s="182"/>
      <c r="H50" s="183"/>
      <c r="I50" s="183"/>
      <c r="J50" s="184"/>
      <c r="P50" s="4"/>
      <c r="Q50" s="4"/>
      <c r="R50" s="5"/>
    </row>
    <row r="51" spans="1:18" ht="15" customHeight="1" x14ac:dyDescent="0.25">
      <c r="A51" s="211"/>
      <c r="B51" s="27"/>
      <c r="C51" s="10"/>
      <c r="D51" s="31"/>
      <c r="F51" s="234" t="s">
        <v>128</v>
      </c>
      <c r="G51" s="236">
        <f>G49-H29</f>
        <v>0</v>
      </c>
      <c r="H51" s="237"/>
      <c r="I51" s="237"/>
      <c r="J51" s="238"/>
      <c r="K51" s="21"/>
      <c r="O51" t="s">
        <v>87</v>
      </c>
      <c r="P51" s="4">
        <v>703</v>
      </c>
      <c r="Q51" s="4">
        <v>120</v>
      </c>
      <c r="R51" s="5">
        <f t="shared" si="0"/>
        <v>823</v>
      </c>
    </row>
    <row r="52" spans="1:18" ht="15.75" x14ac:dyDescent="0.25">
      <c r="A52" s="211"/>
      <c r="B52" s="29"/>
      <c r="C52" s="33"/>
      <c r="D52" s="45"/>
      <c r="F52" s="235"/>
      <c r="G52" s="239"/>
      <c r="H52" s="240"/>
      <c r="I52" s="240"/>
      <c r="J52" s="241"/>
      <c r="K52" s="21"/>
      <c r="O52" t="s">
        <v>88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212"/>
      <c r="B53" s="32"/>
      <c r="C53" s="11"/>
      <c r="D53" s="12"/>
      <c r="F53" s="35"/>
      <c r="G53" s="24"/>
      <c r="H53" s="24"/>
      <c r="I53" s="24"/>
      <c r="J53" s="17"/>
      <c r="N53" s="1"/>
      <c r="O53" t="s">
        <v>89</v>
      </c>
      <c r="P53" s="4">
        <v>1142</v>
      </c>
    </row>
    <row r="54" spans="1:18" x14ac:dyDescent="0.25">
      <c r="A54" s="175" t="s">
        <v>90</v>
      </c>
      <c r="B54" s="220"/>
      <c r="C54" s="221"/>
      <c r="D54" s="224">
        <f>SUM(D34:D53)</f>
        <v>0</v>
      </c>
      <c r="F54" s="21"/>
      <c r="J54" s="34"/>
    </row>
    <row r="55" spans="1:18" x14ac:dyDescent="0.25">
      <c r="A55" s="177"/>
      <c r="B55" s="222"/>
      <c r="C55" s="223"/>
      <c r="D55" s="225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D57" s="34"/>
      <c r="F57" s="36"/>
      <c r="G57" s="50"/>
      <c r="H57" s="50"/>
      <c r="I57" s="50"/>
      <c r="J57" s="43"/>
    </row>
    <row r="58" spans="1:18" x14ac:dyDescent="0.25">
      <c r="A58" s="226" t="s">
        <v>91</v>
      </c>
      <c r="B58" s="227"/>
      <c r="C58" s="227"/>
      <c r="D58" s="228"/>
      <c r="F58" s="226" t="s">
        <v>92</v>
      </c>
      <c r="G58" s="227"/>
      <c r="H58" s="227"/>
      <c r="I58" s="227"/>
      <c r="J58" s="228"/>
    </row>
    <row r="59" spans="1:18" x14ac:dyDescent="0.25">
      <c r="A59" s="229"/>
      <c r="B59" s="230"/>
      <c r="C59" s="230"/>
      <c r="D59" s="231"/>
      <c r="F59" s="229"/>
      <c r="G59" s="230"/>
      <c r="H59" s="230"/>
      <c r="I59" s="230"/>
      <c r="J59" s="231"/>
    </row>
  </sheetData>
  <mergeCells count="68"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  <mergeCell ref="H13:J13"/>
    <mergeCell ref="F14:G14"/>
    <mergeCell ref="H14:J14"/>
    <mergeCell ref="F15:G15"/>
    <mergeCell ref="H15:J15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A32:D32"/>
    <mergeCell ref="F32:J32"/>
    <mergeCell ref="H33:J33"/>
    <mergeCell ref="A34:A36"/>
    <mergeCell ref="H34:J34"/>
    <mergeCell ref="H35:J35"/>
    <mergeCell ref="H36:J36"/>
    <mergeCell ref="A37:A39"/>
    <mergeCell ref="H37:J37"/>
    <mergeCell ref="H38:J38"/>
    <mergeCell ref="H39:J39"/>
    <mergeCell ref="A40:A42"/>
    <mergeCell ref="H40:J40"/>
    <mergeCell ref="H41:J41"/>
    <mergeCell ref="G42:J42"/>
    <mergeCell ref="A43:A47"/>
    <mergeCell ref="H43:J43"/>
    <mergeCell ref="H44:J44"/>
    <mergeCell ref="H45:J45"/>
    <mergeCell ref="H46:J46"/>
    <mergeCell ref="H47:J47"/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3BEBA64-A50F-4749-810F-086D5C88E3F2}">
  <dimension ref="A1:R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bestFit="1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113" t="s">
        <v>1</v>
      </c>
      <c r="O1" s="113"/>
      <c r="P1" s="90" t="s">
        <v>2</v>
      </c>
      <c r="Q1" s="90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14" t="s">
        <v>7</v>
      </c>
      <c r="B4" s="115"/>
      <c r="C4" s="115"/>
      <c r="D4" s="116"/>
      <c r="F4" s="117" t="s">
        <v>8</v>
      </c>
      <c r="G4" s="119">
        <v>1</v>
      </c>
      <c r="H4" s="121" t="s">
        <v>9</v>
      </c>
      <c r="I4" s="123">
        <v>45966</v>
      </c>
      <c r="J4" s="124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27" t="s">
        <v>7</v>
      </c>
      <c r="B5" s="15" t="s">
        <v>11</v>
      </c>
      <c r="C5" s="9" t="s">
        <v>12</v>
      </c>
      <c r="D5" s="25" t="s">
        <v>13</v>
      </c>
      <c r="F5" s="118"/>
      <c r="G5" s="120"/>
      <c r="H5" s="122"/>
      <c r="I5" s="125"/>
      <c r="J5" s="126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28"/>
      <c r="B6" s="16" t="s">
        <v>15</v>
      </c>
      <c r="C6" s="89">
        <v>291</v>
      </c>
      <c r="D6" s="13">
        <f t="shared" ref="D6:D28" si="1">C6*L6</f>
        <v>214467</v>
      </c>
      <c r="F6" s="130" t="s">
        <v>16</v>
      </c>
      <c r="G6" s="132" t="s">
        <v>129</v>
      </c>
      <c r="H6" s="133"/>
      <c r="I6" s="133"/>
      <c r="J6" s="134"/>
      <c r="K6" s="8"/>
      <c r="L6" s="6">
        <f>R42</f>
        <v>737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28"/>
      <c r="B7" s="16" t="s">
        <v>18</v>
      </c>
      <c r="C7" s="89">
        <v>5</v>
      </c>
      <c r="D7" s="13">
        <f t="shared" si="1"/>
        <v>3625</v>
      </c>
      <c r="F7" s="131"/>
      <c r="G7" s="135"/>
      <c r="H7" s="136"/>
      <c r="I7" s="136"/>
      <c r="J7" s="137"/>
      <c r="K7" s="8"/>
      <c r="L7" s="6">
        <f>R41</f>
        <v>725</v>
      </c>
      <c r="P7" s="4"/>
      <c r="Q7" s="4"/>
      <c r="R7" s="5"/>
    </row>
    <row r="8" spans="1:18" ht="14.45" customHeight="1" x14ac:dyDescent="0.25">
      <c r="A8" s="128"/>
      <c r="B8" s="16" t="s">
        <v>20</v>
      </c>
      <c r="C8" s="89"/>
      <c r="D8" s="13">
        <f t="shared" si="1"/>
        <v>0</v>
      </c>
      <c r="F8" s="138" t="s">
        <v>21</v>
      </c>
      <c r="G8" s="140" t="s">
        <v>112</v>
      </c>
      <c r="H8" s="141"/>
      <c r="I8" s="141"/>
      <c r="J8" s="142"/>
      <c r="K8" s="8"/>
      <c r="L8" s="6">
        <f>R40</f>
        <v>1033</v>
      </c>
      <c r="P8" s="4"/>
      <c r="Q8" s="4"/>
      <c r="R8" s="5"/>
    </row>
    <row r="9" spans="1:18" ht="14.45" customHeight="1" x14ac:dyDescent="0.25">
      <c r="A9" s="128"/>
      <c r="B9" s="16" t="s">
        <v>23</v>
      </c>
      <c r="C9" s="89">
        <v>25</v>
      </c>
      <c r="D9" s="13">
        <f t="shared" si="1"/>
        <v>17675</v>
      </c>
      <c r="F9" s="131"/>
      <c r="G9" s="143"/>
      <c r="H9" s="144"/>
      <c r="I9" s="144"/>
      <c r="J9" s="145"/>
      <c r="K9" s="8"/>
      <c r="L9" s="6">
        <f>R38</f>
        <v>707</v>
      </c>
      <c r="P9" s="4"/>
      <c r="Q9" s="4"/>
      <c r="R9" s="5"/>
    </row>
    <row r="10" spans="1:18" ht="14.45" customHeight="1" x14ac:dyDescent="0.25">
      <c r="A10" s="128"/>
      <c r="B10" t="s">
        <v>25</v>
      </c>
      <c r="C10" s="89"/>
      <c r="D10" s="13">
        <f t="shared" si="1"/>
        <v>0</v>
      </c>
      <c r="F10" s="130" t="s">
        <v>26</v>
      </c>
      <c r="G10" s="146" t="s">
        <v>130</v>
      </c>
      <c r="H10" s="147"/>
      <c r="I10" s="147"/>
      <c r="J10" s="148"/>
      <c r="K10" s="8"/>
      <c r="L10" s="6">
        <f>R36</f>
        <v>972</v>
      </c>
      <c r="P10" s="4"/>
      <c r="Q10" s="4"/>
      <c r="R10" s="5"/>
    </row>
    <row r="11" spans="1:18" ht="15.75" x14ac:dyDescent="0.25">
      <c r="A11" s="128"/>
      <c r="B11" s="17" t="s">
        <v>28</v>
      </c>
      <c r="C11" s="89"/>
      <c r="D11" s="13">
        <f t="shared" si="1"/>
        <v>0</v>
      </c>
      <c r="F11" s="131"/>
      <c r="G11" s="143"/>
      <c r="H11" s="144"/>
      <c r="I11" s="144"/>
      <c r="J11" s="145"/>
      <c r="K11" s="22"/>
      <c r="L11" s="6">
        <f>R32</f>
        <v>1125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28"/>
      <c r="B12" s="17" t="s">
        <v>30</v>
      </c>
      <c r="C12" s="89"/>
      <c r="D12" s="48">
        <f t="shared" si="1"/>
        <v>0</v>
      </c>
      <c r="F12" s="149" t="s">
        <v>33</v>
      </c>
      <c r="G12" s="150"/>
      <c r="H12" s="150"/>
      <c r="I12" s="150"/>
      <c r="J12" s="151"/>
      <c r="K12" s="23"/>
      <c r="L12" s="6">
        <f>R34</f>
        <v>952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28"/>
      <c r="B13" s="17" t="s">
        <v>32</v>
      </c>
      <c r="C13" s="89">
        <v>5</v>
      </c>
      <c r="D13" s="48">
        <f t="shared" si="1"/>
        <v>1535</v>
      </c>
      <c r="F13" s="152" t="s">
        <v>36</v>
      </c>
      <c r="G13" s="153"/>
      <c r="H13" s="154">
        <f>D29</f>
        <v>238949</v>
      </c>
      <c r="I13" s="155"/>
      <c r="J13" s="156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28"/>
      <c r="B14" s="14" t="s">
        <v>35</v>
      </c>
      <c r="C14" s="89">
        <v>7</v>
      </c>
      <c r="D14" s="31">
        <f t="shared" si="1"/>
        <v>77</v>
      </c>
      <c r="F14" s="157" t="s">
        <v>39</v>
      </c>
      <c r="G14" s="158"/>
      <c r="H14" s="159">
        <f>D54</f>
        <v>35661</v>
      </c>
      <c r="I14" s="160"/>
      <c r="J14" s="161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28"/>
      <c r="B15" s="14" t="s">
        <v>38</v>
      </c>
      <c r="C15" s="89"/>
      <c r="D15" s="31">
        <f t="shared" si="1"/>
        <v>0</v>
      </c>
      <c r="F15" s="162" t="s">
        <v>40</v>
      </c>
      <c r="G15" s="153"/>
      <c r="H15" s="163">
        <f>H13-H14</f>
        <v>203288</v>
      </c>
      <c r="I15" s="164"/>
      <c r="J15" s="165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28"/>
      <c r="B16" s="18" t="s">
        <v>94</v>
      </c>
      <c r="C16" s="89"/>
      <c r="D16" s="48">
        <f t="shared" si="1"/>
        <v>0</v>
      </c>
      <c r="F16" s="67" t="s">
        <v>42</v>
      </c>
      <c r="G16" s="66" t="s">
        <v>43</v>
      </c>
      <c r="H16" s="166"/>
      <c r="I16" s="166"/>
      <c r="J16" s="166"/>
      <c r="L16" s="6">
        <f>R28</f>
        <v>1567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28"/>
      <c r="B17" t="s">
        <v>140</v>
      </c>
      <c r="C17" s="89"/>
      <c r="D17" s="48">
        <f t="shared" si="1"/>
        <v>0</v>
      </c>
      <c r="F17" s="56"/>
      <c r="G17" s="66" t="s">
        <v>45</v>
      </c>
      <c r="H17" s="139"/>
      <c r="I17" s="139"/>
      <c r="J17" s="139"/>
      <c r="L17" s="6">
        <f>1582</f>
        <v>1582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28"/>
      <c r="B18" s="19" t="s">
        <v>95</v>
      </c>
      <c r="C18" s="89"/>
      <c r="D18" s="48">
        <f t="shared" si="1"/>
        <v>0</v>
      </c>
      <c r="F18" s="56"/>
      <c r="G18" s="66" t="s">
        <v>47</v>
      </c>
      <c r="H18" s="139"/>
      <c r="I18" s="139"/>
      <c r="J18" s="139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28"/>
      <c r="B19" s="14" t="s">
        <v>136</v>
      </c>
      <c r="C19" s="89"/>
      <c r="D19" s="48">
        <f t="shared" si="1"/>
        <v>0</v>
      </c>
      <c r="F19" s="56"/>
      <c r="G19" s="68" t="s">
        <v>50</v>
      </c>
      <c r="H19" s="139"/>
      <c r="I19" s="139"/>
      <c r="J19" s="139"/>
      <c r="L19" s="6">
        <v>1102</v>
      </c>
      <c r="Q19" s="4"/>
      <c r="R19" s="5">
        <f t="shared" si="0"/>
        <v>0</v>
      </c>
    </row>
    <row r="20" spans="1:18" ht="15.75" x14ac:dyDescent="0.25">
      <c r="A20" s="128"/>
      <c r="B20" s="83" t="s">
        <v>125</v>
      </c>
      <c r="C20" s="89"/>
      <c r="D20" s="13">
        <f t="shared" si="1"/>
        <v>0</v>
      </c>
      <c r="F20" s="57"/>
      <c r="G20" s="70" t="s">
        <v>120</v>
      </c>
      <c r="H20" s="166"/>
      <c r="I20" s="166"/>
      <c r="J20" s="166"/>
      <c r="L20" s="6">
        <f>R39</f>
        <v>1175</v>
      </c>
      <c r="N20" s="1" t="s">
        <v>41</v>
      </c>
      <c r="Q20" s="4"/>
      <c r="R20" s="5">
        <f t="shared" si="0"/>
        <v>0</v>
      </c>
    </row>
    <row r="21" spans="1:18" ht="15.75" x14ac:dyDescent="0.25">
      <c r="A21" s="128"/>
      <c r="B21" s="14" t="s">
        <v>138</v>
      </c>
      <c r="C21" s="89"/>
      <c r="D21" s="48">
        <f t="shared" si="1"/>
        <v>0</v>
      </c>
      <c r="F21" s="69" t="s">
        <v>99</v>
      </c>
      <c r="G21" s="82" t="s">
        <v>98</v>
      </c>
      <c r="H21" s="186" t="s">
        <v>13</v>
      </c>
      <c r="I21" s="187"/>
      <c r="J21" s="188"/>
      <c r="L21" s="7">
        <v>650</v>
      </c>
      <c r="O21" t="s">
        <v>44</v>
      </c>
      <c r="P21" s="4">
        <v>1447</v>
      </c>
      <c r="Q21" s="4">
        <v>120</v>
      </c>
      <c r="R21" s="5">
        <f t="shared" si="0"/>
        <v>1567</v>
      </c>
    </row>
    <row r="22" spans="1:18" ht="15.75" x14ac:dyDescent="0.25">
      <c r="A22" s="128"/>
      <c r="B22" s="46" t="s">
        <v>127</v>
      </c>
      <c r="C22" s="89"/>
      <c r="D22" s="48">
        <f t="shared" si="1"/>
        <v>0</v>
      </c>
      <c r="F22" s="77"/>
      <c r="G22" s="73"/>
      <c r="H22" s="189"/>
      <c r="I22" s="189"/>
      <c r="J22" s="189"/>
      <c r="L22" s="7">
        <v>1582</v>
      </c>
      <c r="O22" t="s">
        <v>46</v>
      </c>
      <c r="P22" s="4">
        <v>1582</v>
      </c>
      <c r="Q22" s="4"/>
      <c r="R22" s="5">
        <f t="shared" si="0"/>
        <v>1582</v>
      </c>
    </row>
    <row r="23" spans="1:18" ht="15.75" x14ac:dyDescent="0.25">
      <c r="A23" s="128"/>
      <c r="B23" s="14" t="s">
        <v>101</v>
      </c>
      <c r="C23" s="89"/>
      <c r="D23" s="48">
        <f t="shared" si="1"/>
        <v>0</v>
      </c>
      <c r="F23" s="77"/>
      <c r="G23" s="79"/>
      <c r="H23" s="242"/>
      <c r="I23" s="243"/>
      <c r="J23" s="243"/>
      <c r="L23" s="47">
        <v>1667</v>
      </c>
      <c r="N23" s="1"/>
      <c r="O23" t="s">
        <v>48</v>
      </c>
      <c r="P23" s="4">
        <v>1728</v>
      </c>
      <c r="Q23" s="4"/>
      <c r="R23" s="5">
        <f t="shared" si="0"/>
        <v>1728</v>
      </c>
    </row>
    <row r="24" spans="1:18" ht="15.75" x14ac:dyDescent="0.25">
      <c r="A24" s="128"/>
      <c r="B24" s="14" t="s">
        <v>121</v>
      </c>
      <c r="C24" s="89"/>
      <c r="D24" s="48">
        <f t="shared" si="1"/>
        <v>0</v>
      </c>
      <c r="F24" s="77"/>
      <c r="G24" s="79"/>
      <c r="H24" s="242"/>
      <c r="I24" s="243"/>
      <c r="J24" s="243"/>
      <c r="L24" s="47">
        <f>913/24+1.5</f>
        <v>39.541666666666664</v>
      </c>
      <c r="N24" s="1"/>
      <c r="O24" t="s">
        <v>49</v>
      </c>
      <c r="P24" s="4">
        <v>1728</v>
      </c>
      <c r="Q24" s="4"/>
      <c r="R24" s="5">
        <f t="shared" si="0"/>
        <v>1728</v>
      </c>
    </row>
    <row r="25" spans="1:18" ht="15.75" x14ac:dyDescent="0.25">
      <c r="A25" s="128"/>
      <c r="B25" s="14" t="s">
        <v>141</v>
      </c>
      <c r="C25" s="89"/>
      <c r="D25" s="48">
        <f t="shared" si="1"/>
        <v>0</v>
      </c>
      <c r="F25" s="60" t="s">
        <v>100</v>
      </c>
      <c r="G25" s="55" t="s">
        <v>98</v>
      </c>
      <c r="H25" s="192" t="s">
        <v>13</v>
      </c>
      <c r="I25" s="193"/>
      <c r="J25" s="194"/>
      <c r="L25" s="47">
        <f>1052+120</f>
        <v>1172</v>
      </c>
      <c r="O25" t="s">
        <v>51</v>
      </c>
      <c r="P25" s="4">
        <v>1582</v>
      </c>
      <c r="Q25" s="4"/>
      <c r="R25" s="5">
        <f t="shared" si="0"/>
        <v>1582</v>
      </c>
    </row>
    <row r="26" spans="1:18" ht="15.75" x14ac:dyDescent="0.25">
      <c r="A26" s="128"/>
      <c r="B26" s="14" t="s">
        <v>139</v>
      </c>
      <c r="C26" s="89"/>
      <c r="D26" s="48">
        <f t="shared" si="1"/>
        <v>0</v>
      </c>
      <c r="F26" s="75"/>
      <c r="G26" s="65"/>
      <c r="H26" s="191"/>
      <c r="I26" s="191"/>
      <c r="J26" s="191"/>
      <c r="L26" s="7">
        <f>1447+120</f>
        <v>1567</v>
      </c>
      <c r="O26" t="s">
        <v>52</v>
      </c>
      <c r="P26" s="4">
        <v>1447</v>
      </c>
      <c r="Q26" s="4">
        <v>120</v>
      </c>
      <c r="R26" s="5">
        <f t="shared" si="0"/>
        <v>1567</v>
      </c>
    </row>
    <row r="27" spans="1:18" ht="14.45" customHeight="1" x14ac:dyDescent="0.25">
      <c r="A27" s="128"/>
      <c r="B27" s="14" t="s">
        <v>110</v>
      </c>
      <c r="C27" s="89"/>
      <c r="D27" s="44">
        <f t="shared" si="1"/>
        <v>0</v>
      </c>
      <c r="F27" s="71"/>
      <c r="G27" s="94"/>
      <c r="H27" s="244"/>
      <c r="I27" s="245"/>
      <c r="J27" s="245"/>
      <c r="L27" s="7">
        <v>1142</v>
      </c>
      <c r="O27" t="s">
        <v>53</v>
      </c>
      <c r="P27" s="4">
        <v>1582</v>
      </c>
      <c r="Q27" s="4"/>
      <c r="R27" s="5">
        <f t="shared" si="0"/>
        <v>1582</v>
      </c>
    </row>
    <row r="28" spans="1:18" ht="15.75" x14ac:dyDescent="0.25">
      <c r="A28" s="129"/>
      <c r="B28" s="46" t="s">
        <v>97</v>
      </c>
      <c r="C28" s="89">
        <v>2</v>
      </c>
      <c r="D28" s="48">
        <f t="shared" si="1"/>
        <v>1570</v>
      </c>
      <c r="F28" s="91"/>
      <c r="G28" s="61"/>
      <c r="H28" s="201"/>
      <c r="I28" s="202"/>
      <c r="J28" s="203"/>
      <c r="L28" s="7">
        <v>785</v>
      </c>
      <c r="O28" t="s">
        <v>54</v>
      </c>
      <c r="P28" s="4">
        <v>1447</v>
      </c>
      <c r="Q28" s="4">
        <v>120</v>
      </c>
      <c r="R28" s="5">
        <f t="shared" si="0"/>
        <v>1567</v>
      </c>
    </row>
    <row r="29" spans="1:18" x14ac:dyDescent="0.25">
      <c r="A29" s="167" t="s">
        <v>36</v>
      </c>
      <c r="B29" s="168"/>
      <c r="C29" s="169"/>
      <c r="D29" s="173">
        <f>SUM(D6:D28)</f>
        <v>238949</v>
      </c>
      <c r="F29" s="175" t="s">
        <v>55</v>
      </c>
      <c r="G29" s="176"/>
      <c r="H29" s="179">
        <f>H15-H16-H17-H18-H19-H20-H22-H23-H24+H26+H27+H28</f>
        <v>203288</v>
      </c>
      <c r="I29" s="180"/>
      <c r="J29" s="181"/>
      <c r="O29" t="s">
        <v>56</v>
      </c>
      <c r="P29" s="4">
        <v>1582</v>
      </c>
      <c r="Q29" s="4"/>
      <c r="R29" s="5">
        <f t="shared" si="0"/>
        <v>1582</v>
      </c>
    </row>
    <row r="30" spans="1:18" x14ac:dyDescent="0.25">
      <c r="A30" s="170"/>
      <c r="B30" s="171"/>
      <c r="C30" s="172"/>
      <c r="D30" s="174"/>
      <c r="F30" s="177"/>
      <c r="G30" s="178"/>
      <c r="H30" s="182"/>
      <c r="I30" s="183"/>
      <c r="J30" s="184"/>
      <c r="N30" s="1"/>
      <c r="Q30" s="4"/>
      <c r="R30" s="5">
        <f t="shared" si="0"/>
        <v>0</v>
      </c>
    </row>
    <row r="31" spans="1:18" x14ac:dyDescent="0.25">
      <c r="A31" s="24"/>
      <c r="B31" s="24"/>
      <c r="C31" s="24"/>
      <c r="D31" s="24"/>
      <c r="F31" s="24"/>
      <c r="G31" s="24"/>
      <c r="O31" t="s">
        <v>57</v>
      </c>
      <c r="P31" s="4">
        <v>1052</v>
      </c>
      <c r="Q31" s="4">
        <v>120</v>
      </c>
      <c r="R31" s="5">
        <f t="shared" si="0"/>
        <v>1172</v>
      </c>
    </row>
    <row r="32" spans="1:18" x14ac:dyDescent="0.25">
      <c r="A32" s="114" t="s">
        <v>58</v>
      </c>
      <c r="B32" s="115"/>
      <c r="C32" s="115"/>
      <c r="D32" s="116"/>
      <c r="F32" s="204" t="s">
        <v>59</v>
      </c>
      <c r="G32" s="205"/>
      <c r="H32" s="205"/>
      <c r="I32" s="205"/>
      <c r="J32" s="206"/>
      <c r="O32" t="s">
        <v>60</v>
      </c>
      <c r="P32" s="4">
        <v>1005</v>
      </c>
      <c r="Q32" s="4">
        <v>120</v>
      </c>
      <c r="R32" s="5">
        <f t="shared" si="0"/>
        <v>1125</v>
      </c>
    </row>
    <row r="33" spans="1:18" x14ac:dyDescent="0.25">
      <c r="A33" s="25"/>
      <c r="B33" s="25" t="s">
        <v>11</v>
      </c>
      <c r="C33" s="25" t="s">
        <v>61</v>
      </c>
      <c r="D33" s="25" t="s">
        <v>13</v>
      </c>
      <c r="F33" s="25" t="s">
        <v>62</v>
      </c>
      <c r="G33" s="92" t="s">
        <v>63</v>
      </c>
      <c r="H33" s="204" t="s">
        <v>13</v>
      </c>
      <c r="I33" s="205"/>
      <c r="J33" s="206"/>
      <c r="O33" t="s">
        <v>64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27" t="s">
        <v>65</v>
      </c>
      <c r="B34" s="26" t="s">
        <v>66</v>
      </c>
      <c r="C34" s="51"/>
      <c r="D34" s="30">
        <f>C34*120</f>
        <v>0</v>
      </c>
      <c r="F34" s="12">
        <v>1000</v>
      </c>
      <c r="G34" s="40">
        <v>119</v>
      </c>
      <c r="H34" s="207">
        <f t="shared" ref="H34:H39" si="2">F34*G34</f>
        <v>119000</v>
      </c>
      <c r="I34" s="208"/>
      <c r="J34" s="209"/>
      <c r="O34" t="s">
        <v>67</v>
      </c>
      <c r="P34" s="4">
        <v>832</v>
      </c>
      <c r="Q34" s="4">
        <v>120</v>
      </c>
      <c r="R34" s="5">
        <f t="shared" si="0"/>
        <v>952</v>
      </c>
    </row>
    <row r="35" spans="1:18" ht="15.75" x14ac:dyDescent="0.25">
      <c r="A35" s="128"/>
      <c r="B35" s="27" t="s">
        <v>68</v>
      </c>
      <c r="C35" s="52"/>
      <c r="D35" s="30">
        <f>C35*84</f>
        <v>0</v>
      </c>
      <c r="F35" s="58">
        <v>500</v>
      </c>
      <c r="G35" s="41">
        <v>80</v>
      </c>
      <c r="H35" s="207">
        <f t="shared" si="2"/>
        <v>40000</v>
      </c>
      <c r="I35" s="208"/>
      <c r="J35" s="209"/>
      <c r="O35" t="s">
        <v>69</v>
      </c>
      <c r="P35" s="4">
        <v>1102</v>
      </c>
      <c r="Q35" s="4"/>
      <c r="R35" s="5">
        <f t="shared" si="0"/>
        <v>1102</v>
      </c>
    </row>
    <row r="36" spans="1:18" ht="15.75" x14ac:dyDescent="0.25">
      <c r="A36" s="129"/>
      <c r="B36" s="26" t="s">
        <v>70</v>
      </c>
      <c r="C36" s="10"/>
      <c r="D36" s="12">
        <f>C36*1.5</f>
        <v>0</v>
      </c>
      <c r="F36" s="12">
        <v>200</v>
      </c>
      <c r="G36" s="37">
        <v>2</v>
      </c>
      <c r="H36" s="207">
        <f t="shared" si="2"/>
        <v>400</v>
      </c>
      <c r="I36" s="208"/>
      <c r="J36" s="209"/>
      <c r="O36" t="s">
        <v>71</v>
      </c>
      <c r="P36" s="4">
        <v>852</v>
      </c>
      <c r="Q36" s="4">
        <v>120</v>
      </c>
      <c r="R36" s="5">
        <f t="shared" si="0"/>
        <v>972</v>
      </c>
    </row>
    <row r="37" spans="1:18" ht="15.75" x14ac:dyDescent="0.25">
      <c r="A37" s="127" t="s">
        <v>72</v>
      </c>
      <c r="B37" s="28" t="s">
        <v>66</v>
      </c>
      <c r="C37" s="53">
        <v>311</v>
      </c>
      <c r="D37" s="12">
        <f>C37*111</f>
        <v>34521</v>
      </c>
      <c r="F37" s="12">
        <v>100</v>
      </c>
      <c r="G37" s="39">
        <v>113</v>
      </c>
      <c r="H37" s="207">
        <f t="shared" si="2"/>
        <v>11300</v>
      </c>
      <c r="I37" s="208"/>
      <c r="J37" s="209"/>
      <c r="O37" t="s">
        <v>73</v>
      </c>
      <c r="P37" s="4">
        <v>1020</v>
      </c>
      <c r="Q37" s="4">
        <v>120</v>
      </c>
      <c r="R37" s="5">
        <f t="shared" si="0"/>
        <v>1140</v>
      </c>
    </row>
    <row r="38" spans="1:18" ht="15.75" x14ac:dyDescent="0.25">
      <c r="A38" s="128"/>
      <c r="B38" s="29" t="s">
        <v>68</v>
      </c>
      <c r="C38" s="54">
        <v>2</v>
      </c>
      <c r="D38" s="12">
        <f>C38*84</f>
        <v>168</v>
      </c>
      <c r="F38" s="30">
        <v>50</v>
      </c>
      <c r="G38" s="39">
        <v>30</v>
      </c>
      <c r="H38" s="207">
        <f t="shared" si="2"/>
        <v>1500</v>
      </c>
      <c r="I38" s="208"/>
      <c r="J38" s="209"/>
      <c r="O38" t="s">
        <v>74</v>
      </c>
      <c r="P38" s="4">
        <v>596</v>
      </c>
      <c r="Q38" s="4">
        <v>111</v>
      </c>
      <c r="R38" s="5">
        <f t="shared" si="0"/>
        <v>707</v>
      </c>
    </row>
    <row r="39" spans="1:18" ht="15.75" x14ac:dyDescent="0.25">
      <c r="A39" s="129"/>
      <c r="B39" s="29" t="s">
        <v>70</v>
      </c>
      <c r="C39" s="52">
        <v>4</v>
      </c>
      <c r="D39" s="31">
        <f>C39*4.5</f>
        <v>18</v>
      </c>
      <c r="F39" s="12">
        <v>20</v>
      </c>
      <c r="G39" s="37">
        <v>1</v>
      </c>
      <c r="H39" s="207">
        <f t="shared" si="2"/>
        <v>20</v>
      </c>
      <c r="I39" s="208"/>
      <c r="J39" s="209"/>
      <c r="O39" t="s">
        <v>75</v>
      </c>
      <c r="P39" s="4">
        <v>1175</v>
      </c>
      <c r="Q39" s="4"/>
      <c r="R39" s="5">
        <f t="shared" si="0"/>
        <v>1175</v>
      </c>
    </row>
    <row r="40" spans="1:18" ht="15.75" x14ac:dyDescent="0.25">
      <c r="A40" s="127" t="s">
        <v>76</v>
      </c>
      <c r="B40" s="27" t="s">
        <v>66</v>
      </c>
      <c r="C40" s="63">
        <v>5</v>
      </c>
      <c r="D40" s="12">
        <f>C40*111</f>
        <v>555</v>
      </c>
      <c r="F40" s="12">
        <v>10</v>
      </c>
      <c r="G40" s="42"/>
      <c r="H40" s="207"/>
      <c r="I40" s="208"/>
      <c r="J40" s="209"/>
      <c r="O40" t="s">
        <v>77</v>
      </c>
      <c r="P40" s="4">
        <v>913</v>
      </c>
      <c r="Q40" s="4">
        <v>120</v>
      </c>
      <c r="R40" s="5">
        <f t="shared" si="0"/>
        <v>1033</v>
      </c>
    </row>
    <row r="41" spans="1:18" ht="15.75" x14ac:dyDescent="0.25">
      <c r="A41" s="128"/>
      <c r="B41" s="27" t="s">
        <v>68</v>
      </c>
      <c r="C41" s="10"/>
      <c r="D41" s="12">
        <f>C41*84</f>
        <v>0</v>
      </c>
      <c r="F41" s="12">
        <v>5</v>
      </c>
      <c r="G41" s="42"/>
      <c r="H41" s="207"/>
      <c r="I41" s="208"/>
      <c r="J41" s="209"/>
      <c r="K41" s="21"/>
      <c r="O41" t="s">
        <v>78</v>
      </c>
      <c r="P41" s="4">
        <v>614</v>
      </c>
      <c r="Q41" s="4">
        <v>111</v>
      </c>
      <c r="R41" s="5">
        <f t="shared" si="0"/>
        <v>725</v>
      </c>
    </row>
    <row r="42" spans="1:18" ht="15.75" x14ac:dyDescent="0.25">
      <c r="A42" s="129"/>
      <c r="B42" s="27" t="s">
        <v>70</v>
      </c>
      <c r="C42" s="11"/>
      <c r="D42" s="12">
        <f>C42*2.25</f>
        <v>0</v>
      </c>
      <c r="F42" s="39" t="s">
        <v>79</v>
      </c>
      <c r="G42" s="207">
        <v>394</v>
      </c>
      <c r="H42" s="208"/>
      <c r="I42" s="208"/>
      <c r="J42" s="209"/>
      <c r="K42" s="36"/>
      <c r="O42" t="s">
        <v>80</v>
      </c>
      <c r="P42" s="4">
        <v>626</v>
      </c>
      <c r="Q42" s="4">
        <v>111</v>
      </c>
      <c r="R42" s="5">
        <f t="shared" si="0"/>
        <v>737</v>
      </c>
    </row>
    <row r="43" spans="1:18" ht="15.75" x14ac:dyDescent="0.25">
      <c r="A43" s="210" t="s">
        <v>81</v>
      </c>
      <c r="C43" s="11"/>
      <c r="D43" s="12"/>
      <c r="F43" s="59" t="s">
        <v>82</v>
      </c>
      <c r="G43" s="94" t="s">
        <v>83</v>
      </c>
      <c r="H43" s="213" t="s">
        <v>13</v>
      </c>
      <c r="I43" s="214"/>
      <c r="J43" s="215"/>
      <c r="K43" s="21"/>
      <c r="O43" t="s">
        <v>103</v>
      </c>
      <c r="P43" s="4">
        <v>1667</v>
      </c>
      <c r="Q43" s="4"/>
      <c r="R43" s="5"/>
    </row>
    <row r="44" spans="1:18" ht="15.75" x14ac:dyDescent="0.25">
      <c r="A44" s="211"/>
      <c r="B44" s="27" t="s">
        <v>66</v>
      </c>
      <c r="C44" s="10"/>
      <c r="D44" s="12">
        <f>C44*120</f>
        <v>0</v>
      </c>
      <c r="F44" s="37" t="s">
        <v>157</v>
      </c>
      <c r="G44" s="62"/>
      <c r="H44" s="191">
        <v>30000</v>
      </c>
      <c r="I44" s="191"/>
      <c r="J44" s="191"/>
      <c r="K44" s="21"/>
      <c r="O44" t="s">
        <v>106</v>
      </c>
      <c r="P44" s="4">
        <f>785-120</f>
        <v>665</v>
      </c>
      <c r="Q44" s="4">
        <v>120</v>
      </c>
      <c r="R44" s="5">
        <f>Q44+P44</f>
        <v>785</v>
      </c>
    </row>
    <row r="45" spans="1:18" ht="15.75" x14ac:dyDescent="0.25">
      <c r="A45" s="211"/>
      <c r="B45" s="27" t="s">
        <v>68</v>
      </c>
      <c r="C45" s="33"/>
      <c r="D45" s="12">
        <f>C45*84</f>
        <v>0</v>
      </c>
      <c r="F45" s="37"/>
      <c r="G45" s="62"/>
      <c r="H45" s="191"/>
      <c r="I45" s="191"/>
      <c r="J45" s="191"/>
      <c r="K45" s="21"/>
      <c r="P45" s="4"/>
      <c r="Q45" s="4"/>
      <c r="R45" s="5"/>
    </row>
    <row r="46" spans="1:18" ht="15.75" x14ac:dyDescent="0.25">
      <c r="A46" s="211"/>
      <c r="B46" s="49" t="s">
        <v>70</v>
      </c>
      <c r="C46" s="81">
        <v>15</v>
      </c>
      <c r="D46" s="12">
        <f>C46*1.5</f>
        <v>22.5</v>
      </c>
      <c r="F46" s="37"/>
      <c r="G46" s="62"/>
      <c r="H46" s="191"/>
      <c r="I46" s="191"/>
      <c r="J46" s="191"/>
      <c r="K46" s="21"/>
      <c r="P46" s="4"/>
      <c r="Q46" s="4"/>
      <c r="R46" s="5"/>
    </row>
    <row r="47" spans="1:18" ht="15.75" x14ac:dyDescent="0.25">
      <c r="A47" s="212"/>
      <c r="B47" s="27"/>
      <c r="C47" s="11"/>
      <c r="D47" s="12"/>
      <c r="F47" s="59"/>
      <c r="G47" s="59"/>
      <c r="H47" s="217"/>
      <c r="I47" s="218"/>
      <c r="J47" s="219"/>
      <c r="K47" s="21"/>
      <c r="P47" s="4"/>
      <c r="Q47" s="4"/>
      <c r="R47" s="5"/>
    </row>
    <row r="48" spans="1:18" ht="15" customHeight="1" x14ac:dyDescent="0.25">
      <c r="A48" s="210" t="s">
        <v>32</v>
      </c>
      <c r="B48" s="27" t="s">
        <v>66</v>
      </c>
      <c r="C48" s="10">
        <v>4</v>
      </c>
      <c r="D48" s="12">
        <f>C48*78</f>
        <v>312</v>
      </c>
      <c r="F48" s="59"/>
      <c r="G48" s="59"/>
      <c r="H48" s="217"/>
      <c r="I48" s="218"/>
      <c r="J48" s="219"/>
      <c r="K48" s="35"/>
      <c r="O48" t="s">
        <v>84</v>
      </c>
      <c r="P48" s="4">
        <v>1175</v>
      </c>
      <c r="Q48" s="4"/>
      <c r="R48" s="5">
        <f t="shared" si="0"/>
        <v>1175</v>
      </c>
    </row>
    <row r="49" spans="1:18" ht="15.75" x14ac:dyDescent="0.25">
      <c r="A49" s="211"/>
      <c r="B49" s="29" t="s">
        <v>68</v>
      </c>
      <c r="C49" s="33">
        <v>1</v>
      </c>
      <c r="D49" s="12">
        <f>C49*42</f>
        <v>42</v>
      </c>
      <c r="F49" s="232" t="s">
        <v>86</v>
      </c>
      <c r="G49" s="179">
        <f>H34+H35+H36+H37+H38+H39+H40+H41+G42+H44+H45+H46</f>
        <v>202614</v>
      </c>
      <c r="H49" s="180"/>
      <c r="I49" s="180"/>
      <c r="J49" s="181"/>
      <c r="O49" t="s">
        <v>85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211"/>
      <c r="B50" s="32" t="s">
        <v>70</v>
      </c>
      <c r="C50" s="11">
        <v>15</v>
      </c>
      <c r="D50" s="12">
        <f>C50*1.5</f>
        <v>22.5</v>
      </c>
      <c r="F50" s="233"/>
      <c r="G50" s="182"/>
      <c r="H50" s="183"/>
      <c r="I50" s="183"/>
      <c r="J50" s="184"/>
      <c r="P50" s="4"/>
      <c r="Q50" s="4"/>
      <c r="R50" s="5"/>
    </row>
    <row r="51" spans="1:18" ht="15" customHeight="1" x14ac:dyDescent="0.25">
      <c r="A51" s="211"/>
      <c r="B51" s="27"/>
      <c r="C51" s="10"/>
      <c r="D51" s="31"/>
      <c r="F51" s="234" t="s">
        <v>131</v>
      </c>
      <c r="G51" s="247">
        <f>G49-H29</f>
        <v>-674</v>
      </c>
      <c r="H51" s="248"/>
      <c r="I51" s="248"/>
      <c r="J51" s="249"/>
      <c r="K51" s="21"/>
      <c r="O51" t="s">
        <v>87</v>
      </c>
      <c r="P51" s="4">
        <v>703</v>
      </c>
      <c r="Q51" s="4">
        <v>120</v>
      </c>
      <c r="R51" s="5">
        <f t="shared" si="0"/>
        <v>823</v>
      </c>
    </row>
    <row r="52" spans="1:18" ht="15.75" x14ac:dyDescent="0.25">
      <c r="A52" s="211"/>
      <c r="B52" s="29"/>
      <c r="C52" s="33"/>
      <c r="D52" s="45"/>
      <c r="F52" s="235"/>
      <c r="G52" s="250"/>
      <c r="H52" s="251"/>
      <c r="I52" s="251"/>
      <c r="J52" s="252"/>
      <c r="K52" s="21"/>
      <c r="O52" t="s">
        <v>88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212"/>
      <c r="B53" s="32"/>
      <c r="C53" s="11"/>
      <c r="D53" s="12"/>
      <c r="F53" s="35"/>
      <c r="G53" s="24"/>
      <c r="H53" s="24"/>
      <c r="I53" s="24"/>
      <c r="J53" s="17"/>
      <c r="N53" s="1"/>
      <c r="O53" t="s">
        <v>89</v>
      </c>
      <c r="P53" s="4">
        <v>1142</v>
      </c>
    </row>
    <row r="54" spans="1:18" x14ac:dyDescent="0.25">
      <c r="A54" s="175" t="s">
        <v>90</v>
      </c>
      <c r="B54" s="220"/>
      <c r="C54" s="221"/>
      <c r="D54" s="224">
        <f>SUM(D34:D53)</f>
        <v>35661</v>
      </c>
      <c r="F54" s="21"/>
      <c r="J54" s="34"/>
      <c r="O54" t="s">
        <v>102</v>
      </c>
      <c r="P54" s="4">
        <v>1582</v>
      </c>
      <c r="R54" s="3">
        <v>1582</v>
      </c>
    </row>
    <row r="55" spans="1:18" x14ac:dyDescent="0.25">
      <c r="A55" s="177"/>
      <c r="B55" s="222"/>
      <c r="C55" s="223"/>
      <c r="D55" s="225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133</v>
      </c>
      <c r="D57" s="34"/>
      <c r="F57" s="36"/>
      <c r="G57" s="50"/>
      <c r="H57" s="50"/>
      <c r="I57" s="50"/>
      <c r="J57" s="43"/>
    </row>
    <row r="58" spans="1:18" x14ac:dyDescent="0.25">
      <c r="A58" s="226" t="s">
        <v>91</v>
      </c>
      <c r="B58" s="227"/>
      <c r="C58" s="227"/>
      <c r="D58" s="228"/>
      <c r="F58" s="226" t="s">
        <v>92</v>
      </c>
      <c r="G58" s="227"/>
      <c r="H58" s="227"/>
      <c r="I58" s="227"/>
      <c r="J58" s="228"/>
    </row>
    <row r="59" spans="1:18" x14ac:dyDescent="0.25">
      <c r="A59" s="229"/>
      <c r="B59" s="230"/>
      <c r="C59" s="230"/>
      <c r="D59" s="231"/>
      <c r="F59" s="229"/>
      <c r="G59" s="230"/>
      <c r="H59" s="230"/>
      <c r="I59" s="230"/>
      <c r="J59" s="231"/>
    </row>
  </sheetData>
  <mergeCells count="68"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  <mergeCell ref="H13:J13"/>
    <mergeCell ref="F14:G14"/>
    <mergeCell ref="H14:J14"/>
    <mergeCell ref="F15:G15"/>
    <mergeCell ref="H15:J15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A32:D32"/>
    <mergeCell ref="F32:J32"/>
    <mergeCell ref="H33:J33"/>
    <mergeCell ref="A34:A36"/>
    <mergeCell ref="H34:J34"/>
    <mergeCell ref="H35:J35"/>
    <mergeCell ref="H36:J36"/>
    <mergeCell ref="A37:A39"/>
    <mergeCell ref="H37:J37"/>
    <mergeCell ref="H38:J38"/>
    <mergeCell ref="H39:J39"/>
    <mergeCell ref="A40:A42"/>
    <mergeCell ref="H40:J40"/>
    <mergeCell ref="H41:J41"/>
    <mergeCell ref="G42:J42"/>
    <mergeCell ref="A43:A47"/>
    <mergeCell ref="H43:J43"/>
    <mergeCell ref="H44:J44"/>
    <mergeCell ref="H45:J45"/>
    <mergeCell ref="H46:J46"/>
    <mergeCell ref="H47:J47"/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AE17E02-6036-4784-84B1-F11D994CFD59}">
  <dimension ref="A1:R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113" t="s">
        <v>1</v>
      </c>
      <c r="O1" s="113"/>
      <c r="P1" s="90" t="s">
        <v>2</v>
      </c>
      <c r="Q1" s="90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14" t="s">
        <v>7</v>
      </c>
      <c r="B4" s="115"/>
      <c r="C4" s="115"/>
      <c r="D4" s="116"/>
      <c r="F4" s="117" t="s">
        <v>8</v>
      </c>
      <c r="G4" s="119">
        <v>2</v>
      </c>
      <c r="H4" s="121" t="s">
        <v>9</v>
      </c>
      <c r="I4" s="123">
        <v>45966</v>
      </c>
      <c r="J4" s="124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27" t="s">
        <v>7</v>
      </c>
      <c r="B5" s="15" t="s">
        <v>11</v>
      </c>
      <c r="C5" s="9" t="s">
        <v>12</v>
      </c>
      <c r="D5" s="25" t="s">
        <v>13</v>
      </c>
      <c r="F5" s="118"/>
      <c r="G5" s="120"/>
      <c r="H5" s="122"/>
      <c r="I5" s="125"/>
      <c r="J5" s="126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28"/>
      <c r="B6" s="16" t="s">
        <v>15</v>
      </c>
      <c r="C6" s="10">
        <v>268</v>
      </c>
      <c r="D6" s="13">
        <f t="shared" ref="D6:D28" si="1">C6*L6</f>
        <v>197516</v>
      </c>
      <c r="F6" s="130" t="s">
        <v>16</v>
      </c>
      <c r="G6" s="132" t="s">
        <v>150</v>
      </c>
      <c r="H6" s="133"/>
      <c r="I6" s="133"/>
      <c r="J6" s="134"/>
      <c r="K6" s="8"/>
      <c r="L6" s="6">
        <f>R42</f>
        <v>737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28"/>
      <c r="B7" s="16" t="s">
        <v>18</v>
      </c>
      <c r="C7" s="10">
        <v>5</v>
      </c>
      <c r="D7" s="13">
        <f t="shared" si="1"/>
        <v>3625</v>
      </c>
      <c r="F7" s="131"/>
      <c r="G7" s="135"/>
      <c r="H7" s="136"/>
      <c r="I7" s="136"/>
      <c r="J7" s="137"/>
      <c r="K7" s="8"/>
      <c r="L7" s="6">
        <f>R41</f>
        <v>725</v>
      </c>
      <c r="P7" s="4"/>
      <c r="Q7" s="4"/>
      <c r="R7" s="5"/>
    </row>
    <row r="8" spans="1:18" ht="14.45" customHeight="1" x14ac:dyDescent="0.25">
      <c r="A8" s="128"/>
      <c r="B8" s="16" t="s">
        <v>20</v>
      </c>
      <c r="C8" s="10"/>
      <c r="D8" s="13">
        <f t="shared" si="1"/>
        <v>0</v>
      </c>
      <c r="F8" s="138" t="s">
        <v>21</v>
      </c>
      <c r="G8" s="140" t="s">
        <v>114</v>
      </c>
      <c r="H8" s="141"/>
      <c r="I8" s="141"/>
      <c r="J8" s="142"/>
      <c r="K8" s="8"/>
      <c r="L8" s="6">
        <f>R40</f>
        <v>1033</v>
      </c>
      <c r="P8" s="4"/>
      <c r="Q8" s="4"/>
      <c r="R8" s="5"/>
    </row>
    <row r="9" spans="1:18" ht="14.45" customHeight="1" x14ac:dyDescent="0.25">
      <c r="A9" s="128"/>
      <c r="B9" s="16" t="s">
        <v>23</v>
      </c>
      <c r="C9" s="10">
        <v>15</v>
      </c>
      <c r="D9" s="13">
        <f t="shared" si="1"/>
        <v>10605</v>
      </c>
      <c r="F9" s="131"/>
      <c r="G9" s="143"/>
      <c r="H9" s="144"/>
      <c r="I9" s="144"/>
      <c r="J9" s="145"/>
      <c r="K9" s="8"/>
      <c r="L9" s="6">
        <f>R38</f>
        <v>707</v>
      </c>
      <c r="P9" s="4"/>
      <c r="Q9" s="4"/>
      <c r="R9" s="5"/>
    </row>
    <row r="10" spans="1:18" ht="14.45" customHeight="1" x14ac:dyDescent="0.25">
      <c r="A10" s="128"/>
      <c r="B10" t="s">
        <v>25</v>
      </c>
      <c r="C10" s="10"/>
      <c r="D10" s="13">
        <f t="shared" si="1"/>
        <v>0</v>
      </c>
      <c r="F10" s="130" t="s">
        <v>26</v>
      </c>
      <c r="G10" s="146" t="s">
        <v>115</v>
      </c>
      <c r="H10" s="147"/>
      <c r="I10" s="147"/>
      <c r="J10" s="148"/>
      <c r="K10" s="8"/>
      <c r="L10" s="6">
        <f>R36</f>
        <v>972</v>
      </c>
      <c r="P10" s="4"/>
      <c r="Q10" s="4"/>
      <c r="R10" s="5"/>
    </row>
    <row r="11" spans="1:18" ht="15.75" x14ac:dyDescent="0.25">
      <c r="A11" s="128"/>
      <c r="B11" s="17" t="s">
        <v>28</v>
      </c>
      <c r="C11" s="10"/>
      <c r="D11" s="13">
        <f t="shared" si="1"/>
        <v>0</v>
      </c>
      <c r="F11" s="131"/>
      <c r="G11" s="143"/>
      <c r="H11" s="144"/>
      <c r="I11" s="144"/>
      <c r="J11" s="145"/>
      <c r="K11" s="22"/>
      <c r="L11" s="6">
        <f>R32</f>
        <v>1125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28"/>
      <c r="B12" s="17" t="s">
        <v>30</v>
      </c>
      <c r="C12" s="10">
        <v>6</v>
      </c>
      <c r="D12" s="48">
        <f t="shared" si="1"/>
        <v>5712</v>
      </c>
      <c r="F12" s="149" t="s">
        <v>33</v>
      </c>
      <c r="G12" s="150"/>
      <c r="H12" s="150"/>
      <c r="I12" s="150"/>
      <c r="J12" s="151"/>
      <c r="K12" s="23"/>
      <c r="L12" s="6">
        <f>R34</f>
        <v>952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28"/>
      <c r="B13" s="17" t="s">
        <v>32</v>
      </c>
      <c r="C13" s="10">
        <v>11</v>
      </c>
      <c r="D13" s="48">
        <f t="shared" si="1"/>
        <v>3377</v>
      </c>
      <c r="F13" s="152" t="s">
        <v>36</v>
      </c>
      <c r="G13" s="153"/>
      <c r="H13" s="154">
        <f>D29</f>
        <v>236512</v>
      </c>
      <c r="I13" s="155"/>
      <c r="J13" s="156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28"/>
      <c r="B14" s="14" t="s">
        <v>35</v>
      </c>
      <c r="C14" s="10">
        <v>7</v>
      </c>
      <c r="D14" s="31">
        <f t="shared" si="1"/>
        <v>77</v>
      </c>
      <c r="F14" s="157" t="s">
        <v>39</v>
      </c>
      <c r="G14" s="158"/>
      <c r="H14" s="159">
        <f>D54</f>
        <v>59487</v>
      </c>
      <c r="I14" s="160"/>
      <c r="J14" s="161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28"/>
      <c r="B15" s="14" t="s">
        <v>38</v>
      </c>
      <c r="C15" s="10"/>
      <c r="D15" s="31">
        <f t="shared" si="1"/>
        <v>0</v>
      </c>
      <c r="F15" s="162" t="s">
        <v>40</v>
      </c>
      <c r="G15" s="153"/>
      <c r="H15" s="163">
        <f>H13-H14</f>
        <v>177025</v>
      </c>
      <c r="I15" s="164"/>
      <c r="J15" s="165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28"/>
      <c r="B16" s="18" t="s">
        <v>94</v>
      </c>
      <c r="C16" s="10"/>
      <c r="D16" s="48">
        <f t="shared" si="1"/>
        <v>0</v>
      </c>
      <c r="F16" s="67" t="s">
        <v>42</v>
      </c>
      <c r="G16" s="66" t="s">
        <v>43</v>
      </c>
      <c r="H16" s="166">
        <v>1683</v>
      </c>
      <c r="I16" s="166"/>
      <c r="J16" s="166"/>
      <c r="L16" s="6">
        <f>R28</f>
        <v>1567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28"/>
      <c r="B17" t="s">
        <v>93</v>
      </c>
      <c r="C17" s="10"/>
      <c r="D17" s="48">
        <f t="shared" si="1"/>
        <v>0</v>
      </c>
      <c r="F17" s="56"/>
      <c r="G17" s="66" t="s">
        <v>45</v>
      </c>
      <c r="H17" s="139"/>
      <c r="I17" s="139"/>
      <c r="J17" s="139"/>
      <c r="L17" s="6">
        <f>R21</f>
        <v>1567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28"/>
      <c r="B18" s="19" t="s">
        <v>95</v>
      </c>
      <c r="C18" s="10"/>
      <c r="D18" s="48">
        <f t="shared" si="1"/>
        <v>0</v>
      </c>
      <c r="F18" s="56"/>
      <c r="G18" s="66" t="s">
        <v>47</v>
      </c>
      <c r="H18" s="139"/>
      <c r="I18" s="139"/>
      <c r="J18" s="139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28"/>
      <c r="B19" s="14" t="s">
        <v>96</v>
      </c>
      <c r="C19" s="10"/>
      <c r="D19" s="48">
        <f t="shared" si="1"/>
        <v>0</v>
      </c>
      <c r="F19" s="56"/>
      <c r="G19" s="68" t="s">
        <v>50</v>
      </c>
      <c r="H19" s="246"/>
      <c r="I19" s="246"/>
      <c r="J19" s="246"/>
      <c r="L19" s="6">
        <f>R35</f>
        <v>1102</v>
      </c>
      <c r="Q19" s="4"/>
      <c r="R19" s="5">
        <f t="shared" si="0"/>
        <v>0</v>
      </c>
    </row>
    <row r="20" spans="1:18" ht="15.75" x14ac:dyDescent="0.25">
      <c r="A20" s="128"/>
      <c r="B20" s="46" t="s">
        <v>122</v>
      </c>
      <c r="C20" s="10"/>
      <c r="D20" s="13">
        <f t="shared" si="1"/>
        <v>0</v>
      </c>
      <c r="F20" s="57"/>
      <c r="G20" s="70" t="s">
        <v>120</v>
      </c>
      <c r="H20" s="139"/>
      <c r="I20" s="139"/>
      <c r="J20" s="139"/>
      <c r="L20" s="6">
        <f>R39</f>
        <v>1175</v>
      </c>
      <c r="N20" s="1" t="s">
        <v>41</v>
      </c>
      <c r="Q20" s="4"/>
      <c r="R20" s="5">
        <f t="shared" si="0"/>
        <v>0</v>
      </c>
    </row>
    <row r="21" spans="1:18" ht="15.75" x14ac:dyDescent="0.25">
      <c r="A21" s="128"/>
      <c r="B21" s="14" t="s">
        <v>126</v>
      </c>
      <c r="C21" s="10">
        <f>13+11</f>
        <v>24</v>
      </c>
      <c r="D21" s="48">
        <f t="shared" si="1"/>
        <v>15600</v>
      </c>
      <c r="F21" s="69" t="s">
        <v>99</v>
      </c>
      <c r="G21" s="82" t="s">
        <v>98</v>
      </c>
      <c r="H21" s="186" t="s">
        <v>13</v>
      </c>
      <c r="I21" s="187"/>
      <c r="J21" s="188"/>
      <c r="L21" s="7">
        <v>650</v>
      </c>
      <c r="O21" t="s">
        <v>44</v>
      </c>
      <c r="P21" s="4">
        <v>1447</v>
      </c>
      <c r="Q21" s="4">
        <v>120</v>
      </c>
      <c r="R21" s="5">
        <f t="shared" si="0"/>
        <v>1567</v>
      </c>
    </row>
    <row r="22" spans="1:18" ht="15.75" x14ac:dyDescent="0.25">
      <c r="A22" s="128"/>
      <c r="B22" s="46" t="s">
        <v>104</v>
      </c>
      <c r="C22" s="10"/>
      <c r="D22" s="48">
        <f t="shared" si="1"/>
        <v>0</v>
      </c>
      <c r="F22" s="72"/>
      <c r="G22" s="73"/>
      <c r="H22" s="189"/>
      <c r="I22" s="189"/>
      <c r="J22" s="189"/>
      <c r="L22" s="7">
        <f>559+111</f>
        <v>670</v>
      </c>
      <c r="O22" t="s">
        <v>46</v>
      </c>
      <c r="P22" s="4">
        <v>1582</v>
      </c>
      <c r="Q22" s="4"/>
      <c r="R22" s="5">
        <f t="shared" si="0"/>
        <v>1582</v>
      </c>
    </row>
    <row r="23" spans="1:18" ht="15.75" x14ac:dyDescent="0.25">
      <c r="A23" s="128"/>
      <c r="B23" s="14" t="s">
        <v>107</v>
      </c>
      <c r="C23" s="10"/>
      <c r="D23" s="48">
        <f t="shared" si="1"/>
        <v>0</v>
      </c>
      <c r="F23" s="25"/>
      <c r="G23" s="37"/>
      <c r="H23" s="190"/>
      <c r="I23" s="191"/>
      <c r="J23" s="191"/>
      <c r="L23" s="47">
        <f>R33</f>
        <v>1175</v>
      </c>
      <c r="N23" s="1"/>
      <c r="O23" t="s">
        <v>48</v>
      </c>
      <c r="P23" s="4">
        <v>1728</v>
      </c>
      <c r="Q23" s="4"/>
      <c r="R23" s="5">
        <f t="shared" si="0"/>
        <v>1728</v>
      </c>
    </row>
    <row r="24" spans="1:18" ht="15.75" x14ac:dyDescent="0.25">
      <c r="A24" s="128"/>
      <c r="B24" s="14" t="s">
        <v>123</v>
      </c>
      <c r="C24" s="10"/>
      <c r="D24" s="48">
        <f t="shared" si="1"/>
        <v>0</v>
      </c>
      <c r="F24" s="38"/>
      <c r="G24" s="37"/>
      <c r="H24" s="190"/>
      <c r="I24" s="191"/>
      <c r="J24" s="191"/>
      <c r="L24" s="47">
        <f>596/6</f>
        <v>99.333333333333329</v>
      </c>
      <c r="N24" s="1"/>
      <c r="O24" t="s">
        <v>49</v>
      </c>
      <c r="P24" s="4">
        <v>1728</v>
      </c>
      <c r="Q24" s="4"/>
      <c r="R24" s="5">
        <f t="shared" si="0"/>
        <v>1728</v>
      </c>
    </row>
    <row r="25" spans="1:18" ht="15.75" x14ac:dyDescent="0.25">
      <c r="A25" s="128"/>
      <c r="B25" s="14" t="s">
        <v>124</v>
      </c>
      <c r="C25" s="10"/>
      <c r="D25" s="48">
        <f t="shared" si="1"/>
        <v>0</v>
      </c>
      <c r="F25" s="60" t="s">
        <v>100</v>
      </c>
      <c r="G25" s="55" t="s">
        <v>98</v>
      </c>
      <c r="H25" s="192" t="s">
        <v>13</v>
      </c>
      <c r="I25" s="193"/>
      <c r="J25" s="194"/>
      <c r="L25" s="47">
        <f>674/6</f>
        <v>112.33333333333333</v>
      </c>
      <c r="O25" t="s">
        <v>51</v>
      </c>
      <c r="P25" s="4">
        <v>1582</v>
      </c>
      <c r="Q25" s="4"/>
      <c r="R25" s="5">
        <f t="shared" si="0"/>
        <v>1582</v>
      </c>
    </row>
    <row r="26" spans="1:18" ht="15.75" x14ac:dyDescent="0.25">
      <c r="A26" s="128"/>
      <c r="B26" s="14" t="s">
        <v>105</v>
      </c>
      <c r="C26" s="10"/>
      <c r="D26" s="48">
        <f t="shared" si="1"/>
        <v>0</v>
      </c>
      <c r="F26" s="64"/>
      <c r="G26" s="10"/>
      <c r="H26" s="195"/>
      <c r="I26" s="196"/>
      <c r="J26" s="197"/>
      <c r="L26" s="7">
        <f>832/24+1.5</f>
        <v>36.166666666666664</v>
      </c>
      <c r="O26" t="s">
        <v>52</v>
      </c>
      <c r="P26" s="4">
        <v>1447</v>
      </c>
      <c r="Q26" s="4">
        <v>120</v>
      </c>
      <c r="R26" s="5">
        <f t="shared" si="0"/>
        <v>1567</v>
      </c>
    </row>
    <row r="27" spans="1:18" ht="14.45" customHeight="1" x14ac:dyDescent="0.25">
      <c r="A27" s="128"/>
      <c r="B27" s="14" t="s">
        <v>109</v>
      </c>
      <c r="C27" s="10"/>
      <c r="D27" s="44">
        <f t="shared" si="1"/>
        <v>0</v>
      </c>
      <c r="F27" s="14"/>
      <c r="G27" s="14"/>
      <c r="H27" s="198"/>
      <c r="I27" s="199"/>
      <c r="J27" s="200"/>
      <c r="L27" s="7">
        <v>1582</v>
      </c>
      <c r="O27" t="s">
        <v>53</v>
      </c>
      <c r="P27" s="4">
        <v>1582</v>
      </c>
      <c r="Q27" s="4"/>
      <c r="R27" s="5">
        <f t="shared" si="0"/>
        <v>1582</v>
      </c>
    </row>
    <row r="28" spans="1:18" ht="15.75" x14ac:dyDescent="0.25">
      <c r="A28" s="129"/>
      <c r="B28" s="46" t="s">
        <v>97</v>
      </c>
      <c r="C28" s="10"/>
      <c r="D28" s="48">
        <f t="shared" si="1"/>
        <v>0</v>
      </c>
      <c r="F28" s="91"/>
      <c r="G28" s="61"/>
      <c r="H28" s="201"/>
      <c r="I28" s="202"/>
      <c r="J28" s="203"/>
      <c r="L28" s="7">
        <v>785</v>
      </c>
      <c r="O28" t="s">
        <v>54</v>
      </c>
      <c r="P28" s="4">
        <v>1447</v>
      </c>
      <c r="Q28" s="4">
        <v>120</v>
      </c>
      <c r="R28" s="5">
        <f t="shared" si="0"/>
        <v>1567</v>
      </c>
    </row>
    <row r="29" spans="1:18" x14ac:dyDescent="0.25">
      <c r="A29" s="167" t="s">
        <v>36</v>
      </c>
      <c r="B29" s="168"/>
      <c r="C29" s="169"/>
      <c r="D29" s="173">
        <f>SUM(D6:D28)</f>
        <v>236512</v>
      </c>
      <c r="F29" s="175" t="s">
        <v>55</v>
      </c>
      <c r="G29" s="176"/>
      <c r="H29" s="179">
        <f>H15-H16-H17-H18-H19-H20-H22-H23-H24+H26+H27</f>
        <v>175342</v>
      </c>
      <c r="I29" s="180"/>
      <c r="J29" s="181"/>
      <c r="O29" t="s">
        <v>56</v>
      </c>
      <c r="P29" s="4">
        <v>1582</v>
      </c>
      <c r="Q29" s="4"/>
      <c r="R29" s="5">
        <f t="shared" si="0"/>
        <v>1582</v>
      </c>
    </row>
    <row r="30" spans="1:18" x14ac:dyDescent="0.25">
      <c r="A30" s="170"/>
      <c r="B30" s="171"/>
      <c r="C30" s="172"/>
      <c r="D30" s="174"/>
      <c r="F30" s="177"/>
      <c r="G30" s="178"/>
      <c r="H30" s="182"/>
      <c r="I30" s="183"/>
      <c r="J30" s="184"/>
      <c r="N30" s="1"/>
      <c r="Q30" s="4"/>
      <c r="R30" s="5">
        <f t="shared" si="0"/>
        <v>0</v>
      </c>
    </row>
    <row r="31" spans="1:18" x14ac:dyDescent="0.25">
      <c r="A31" s="24"/>
      <c r="B31" s="24"/>
      <c r="C31" s="24"/>
      <c r="D31" s="24"/>
      <c r="F31" s="24"/>
      <c r="G31" s="24"/>
      <c r="O31" t="s">
        <v>57</v>
      </c>
      <c r="P31" s="4">
        <v>1052</v>
      </c>
      <c r="Q31" s="4">
        <v>120</v>
      </c>
      <c r="R31" s="5">
        <f t="shared" si="0"/>
        <v>1172</v>
      </c>
    </row>
    <row r="32" spans="1:18" x14ac:dyDescent="0.25">
      <c r="A32" s="114" t="s">
        <v>58</v>
      </c>
      <c r="B32" s="115"/>
      <c r="C32" s="115"/>
      <c r="D32" s="116"/>
      <c r="F32" s="204" t="s">
        <v>59</v>
      </c>
      <c r="G32" s="205"/>
      <c r="H32" s="205"/>
      <c r="I32" s="205"/>
      <c r="J32" s="206"/>
      <c r="O32" t="s">
        <v>60</v>
      </c>
      <c r="P32" s="4">
        <v>1005</v>
      </c>
      <c r="Q32" s="4">
        <v>120</v>
      </c>
      <c r="R32" s="5">
        <f t="shared" si="0"/>
        <v>1125</v>
      </c>
    </row>
    <row r="33" spans="1:18" x14ac:dyDescent="0.25">
      <c r="A33" s="25"/>
      <c r="B33" s="25" t="s">
        <v>11</v>
      </c>
      <c r="C33" s="25" t="s">
        <v>61</v>
      </c>
      <c r="D33" s="25" t="s">
        <v>13</v>
      </c>
      <c r="F33" s="25" t="s">
        <v>62</v>
      </c>
      <c r="G33" s="92" t="s">
        <v>63</v>
      </c>
      <c r="H33" s="204" t="s">
        <v>13</v>
      </c>
      <c r="I33" s="205"/>
      <c r="J33" s="206"/>
      <c r="O33" t="s">
        <v>64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27" t="s">
        <v>65</v>
      </c>
      <c r="B34" s="26" t="s">
        <v>66</v>
      </c>
      <c r="C34" s="51"/>
      <c r="D34" s="30">
        <f>C34*120</f>
        <v>0</v>
      </c>
      <c r="F34" s="12">
        <v>1000</v>
      </c>
      <c r="G34" s="74">
        <v>51</v>
      </c>
      <c r="H34" s="207">
        <f>F34*G34</f>
        <v>51000</v>
      </c>
      <c r="I34" s="208"/>
      <c r="J34" s="209"/>
      <c r="O34" t="s">
        <v>67</v>
      </c>
      <c r="P34" s="4">
        <v>832</v>
      </c>
      <c r="Q34" s="4">
        <v>120</v>
      </c>
      <c r="R34" s="5">
        <f t="shared" si="0"/>
        <v>952</v>
      </c>
    </row>
    <row r="35" spans="1:18" ht="15.75" x14ac:dyDescent="0.25">
      <c r="A35" s="128"/>
      <c r="B35" s="27" t="s">
        <v>68</v>
      </c>
      <c r="C35" s="52"/>
      <c r="D35" s="30">
        <f>C35*84</f>
        <v>0</v>
      </c>
      <c r="F35" s="58">
        <v>500</v>
      </c>
      <c r="G35" s="41">
        <v>33</v>
      </c>
      <c r="H35" s="207">
        <f t="shared" ref="H35:H39" si="2">F35*G35</f>
        <v>16500</v>
      </c>
      <c r="I35" s="208"/>
      <c r="J35" s="209"/>
      <c r="O35" t="s">
        <v>69</v>
      </c>
      <c r="P35" s="4">
        <v>1102</v>
      </c>
      <c r="Q35" s="4"/>
      <c r="R35" s="5">
        <f t="shared" si="0"/>
        <v>1102</v>
      </c>
    </row>
    <row r="36" spans="1:18" ht="15.75" x14ac:dyDescent="0.25">
      <c r="A36" s="129"/>
      <c r="B36" s="26" t="s">
        <v>70</v>
      </c>
      <c r="C36" s="10"/>
      <c r="D36" s="12">
        <f>C36*1.5</f>
        <v>0</v>
      </c>
      <c r="F36" s="12">
        <v>200</v>
      </c>
      <c r="G36" s="37">
        <v>2</v>
      </c>
      <c r="H36" s="207">
        <f>F36*G36</f>
        <v>400</v>
      </c>
      <c r="I36" s="208"/>
      <c r="J36" s="209"/>
      <c r="O36" t="s">
        <v>71</v>
      </c>
      <c r="P36" s="4">
        <v>852</v>
      </c>
      <c r="Q36" s="4">
        <v>120</v>
      </c>
      <c r="R36" s="5">
        <f t="shared" si="0"/>
        <v>972</v>
      </c>
    </row>
    <row r="37" spans="1:18" ht="15.75" x14ac:dyDescent="0.25">
      <c r="A37" s="127" t="s">
        <v>72</v>
      </c>
      <c r="B37" s="28" t="s">
        <v>66</v>
      </c>
      <c r="C37" s="53">
        <v>518</v>
      </c>
      <c r="D37" s="12">
        <f>C37*111</f>
        <v>57498</v>
      </c>
      <c r="F37" s="12">
        <v>100</v>
      </c>
      <c r="G37" s="39">
        <v>27</v>
      </c>
      <c r="H37" s="207">
        <f t="shared" si="2"/>
        <v>2700</v>
      </c>
      <c r="I37" s="208"/>
      <c r="J37" s="209"/>
      <c r="O37" t="s">
        <v>73</v>
      </c>
      <c r="P37" s="4">
        <v>1020</v>
      </c>
      <c r="Q37" s="4">
        <v>120</v>
      </c>
      <c r="R37" s="5">
        <f t="shared" si="0"/>
        <v>1140</v>
      </c>
    </row>
    <row r="38" spans="1:18" ht="15.75" x14ac:dyDescent="0.25">
      <c r="A38" s="128"/>
      <c r="B38" s="29" t="s">
        <v>68</v>
      </c>
      <c r="C38" s="54">
        <v>5</v>
      </c>
      <c r="D38" s="12">
        <f>C38*84</f>
        <v>420</v>
      </c>
      <c r="F38" s="30">
        <v>50</v>
      </c>
      <c r="G38" s="39">
        <v>30</v>
      </c>
      <c r="H38" s="207">
        <f t="shared" si="2"/>
        <v>1500</v>
      </c>
      <c r="I38" s="208"/>
      <c r="J38" s="209"/>
      <c r="O38" t="s">
        <v>74</v>
      </c>
      <c r="P38" s="4">
        <v>596</v>
      </c>
      <c r="Q38" s="4">
        <v>111</v>
      </c>
      <c r="R38" s="5">
        <f t="shared" si="0"/>
        <v>707</v>
      </c>
    </row>
    <row r="39" spans="1:18" ht="15.75" x14ac:dyDescent="0.25">
      <c r="A39" s="129"/>
      <c r="B39" s="29" t="s">
        <v>70</v>
      </c>
      <c r="C39" s="52">
        <v>5</v>
      </c>
      <c r="D39" s="31">
        <f>C39*4.5</f>
        <v>22.5</v>
      </c>
      <c r="F39" s="12">
        <v>20</v>
      </c>
      <c r="G39" s="37">
        <v>2</v>
      </c>
      <c r="H39" s="207">
        <f t="shared" si="2"/>
        <v>40</v>
      </c>
      <c r="I39" s="208"/>
      <c r="J39" s="209"/>
      <c r="O39" t="s">
        <v>75</v>
      </c>
      <c r="P39" s="4">
        <v>1175</v>
      </c>
      <c r="Q39" s="4"/>
      <c r="R39" s="5">
        <f t="shared" si="0"/>
        <v>1175</v>
      </c>
    </row>
    <row r="40" spans="1:18" ht="15.75" x14ac:dyDescent="0.25">
      <c r="A40" s="127" t="s">
        <v>76</v>
      </c>
      <c r="B40" s="27" t="s">
        <v>66</v>
      </c>
      <c r="C40" s="63">
        <v>10</v>
      </c>
      <c r="D40" s="12">
        <f>C40*111</f>
        <v>1110</v>
      </c>
      <c r="F40" s="12">
        <v>10</v>
      </c>
      <c r="G40" s="42"/>
      <c r="H40" s="207"/>
      <c r="I40" s="208"/>
      <c r="J40" s="209"/>
      <c r="O40" t="s">
        <v>77</v>
      </c>
      <c r="P40" s="4">
        <v>913</v>
      </c>
      <c r="Q40" s="4">
        <v>120</v>
      </c>
      <c r="R40" s="5">
        <f t="shared" si="0"/>
        <v>1033</v>
      </c>
    </row>
    <row r="41" spans="1:18" ht="15.75" x14ac:dyDescent="0.25">
      <c r="A41" s="128"/>
      <c r="B41" s="27" t="s">
        <v>68</v>
      </c>
      <c r="C41" s="10"/>
      <c r="D41" s="12">
        <f>C41*84</f>
        <v>0</v>
      </c>
      <c r="F41" s="12">
        <v>5</v>
      </c>
      <c r="G41" s="42"/>
      <c r="H41" s="207"/>
      <c r="I41" s="208"/>
      <c r="J41" s="209"/>
      <c r="K41" s="21"/>
      <c r="O41" t="s">
        <v>78</v>
      </c>
      <c r="P41" s="4">
        <v>614</v>
      </c>
      <c r="Q41" s="4">
        <v>111</v>
      </c>
      <c r="R41" s="5">
        <f t="shared" si="0"/>
        <v>725</v>
      </c>
    </row>
    <row r="42" spans="1:18" ht="15.75" x14ac:dyDescent="0.25">
      <c r="A42" s="129"/>
      <c r="B42" s="27" t="s">
        <v>70</v>
      </c>
      <c r="C42" s="11"/>
      <c r="D42" s="12">
        <f>C42*2.25</f>
        <v>0</v>
      </c>
      <c r="F42" s="39" t="s">
        <v>79</v>
      </c>
      <c r="G42" s="207">
        <v>1024</v>
      </c>
      <c r="H42" s="208"/>
      <c r="I42" s="208"/>
      <c r="J42" s="209"/>
      <c r="K42" s="36"/>
      <c r="O42" t="s">
        <v>80</v>
      </c>
      <c r="P42" s="4">
        <v>626</v>
      </c>
      <c r="Q42" s="4">
        <v>111</v>
      </c>
      <c r="R42" s="5">
        <f t="shared" si="0"/>
        <v>737</v>
      </c>
    </row>
    <row r="43" spans="1:18" ht="15.75" x14ac:dyDescent="0.25">
      <c r="A43" s="210" t="s">
        <v>81</v>
      </c>
      <c r="C43" s="11"/>
      <c r="D43" s="12"/>
      <c r="F43" s="59" t="s">
        <v>82</v>
      </c>
      <c r="G43" s="94" t="s">
        <v>83</v>
      </c>
      <c r="H43" s="213" t="s">
        <v>13</v>
      </c>
      <c r="I43" s="214"/>
      <c r="J43" s="215"/>
      <c r="K43" s="21"/>
      <c r="P43" s="4"/>
      <c r="Q43" s="4"/>
      <c r="R43" s="5"/>
    </row>
    <row r="44" spans="1:18" ht="15.75" x14ac:dyDescent="0.25">
      <c r="A44" s="211"/>
      <c r="B44" s="27" t="s">
        <v>66</v>
      </c>
      <c r="C44" s="10">
        <v>1</v>
      </c>
      <c r="D44" s="12">
        <f>C44*120</f>
        <v>120</v>
      </c>
      <c r="F44" s="37" t="s">
        <v>144</v>
      </c>
      <c r="G44" s="62" t="s">
        <v>158</v>
      </c>
      <c r="H44" s="191">
        <v>102187</v>
      </c>
      <c r="I44" s="191"/>
      <c r="J44" s="191"/>
      <c r="K44" s="21"/>
      <c r="P44" s="4"/>
      <c r="Q44" s="4"/>
      <c r="R44" s="5"/>
    </row>
    <row r="45" spans="1:18" ht="15.75" x14ac:dyDescent="0.25">
      <c r="A45" s="211"/>
      <c r="B45" s="27" t="s">
        <v>68</v>
      </c>
      <c r="C45" s="33"/>
      <c r="D45" s="12">
        <f>C45*84</f>
        <v>0</v>
      </c>
      <c r="F45" s="37"/>
      <c r="G45" s="62"/>
      <c r="H45" s="191"/>
      <c r="I45" s="191"/>
      <c r="J45" s="191"/>
      <c r="K45" s="21"/>
      <c r="P45" s="4"/>
      <c r="Q45" s="4"/>
      <c r="R45" s="5"/>
    </row>
    <row r="46" spans="1:18" ht="15.75" x14ac:dyDescent="0.25">
      <c r="A46" s="211"/>
      <c r="B46" s="49" t="s">
        <v>70</v>
      </c>
      <c r="C46" s="81"/>
      <c r="D46" s="12">
        <f>C46*1.5</f>
        <v>0</v>
      </c>
      <c r="F46" s="37"/>
      <c r="G46" s="93"/>
      <c r="H46" s="216"/>
      <c r="I46" s="216"/>
      <c r="J46" s="216"/>
      <c r="K46" s="21"/>
      <c r="P46" s="4"/>
      <c r="Q46" s="4"/>
      <c r="R46" s="5"/>
    </row>
    <row r="47" spans="1:18" ht="15.75" x14ac:dyDescent="0.25">
      <c r="A47" s="212"/>
      <c r="B47" s="27"/>
      <c r="C47" s="11"/>
      <c r="D47" s="12"/>
      <c r="F47" s="59"/>
      <c r="G47" s="59"/>
      <c r="H47" s="217"/>
      <c r="I47" s="218"/>
      <c r="J47" s="219"/>
      <c r="K47" s="21"/>
      <c r="P47" s="4"/>
      <c r="Q47" s="4"/>
      <c r="R47" s="5"/>
    </row>
    <row r="48" spans="1:18" ht="15" customHeight="1" x14ac:dyDescent="0.25">
      <c r="A48" s="210" t="s">
        <v>32</v>
      </c>
      <c r="B48" s="27" t="s">
        <v>66</v>
      </c>
      <c r="C48" s="10">
        <v>4</v>
      </c>
      <c r="D48" s="12">
        <f>C48*78</f>
        <v>312</v>
      </c>
      <c r="F48" s="59"/>
      <c r="G48" s="59"/>
      <c r="H48" s="217"/>
      <c r="I48" s="218"/>
      <c r="J48" s="219"/>
      <c r="K48" s="35"/>
      <c r="O48" t="s">
        <v>84</v>
      </c>
      <c r="P48" s="4">
        <v>1175</v>
      </c>
      <c r="Q48" s="4"/>
      <c r="R48" s="5">
        <f t="shared" si="0"/>
        <v>1175</v>
      </c>
    </row>
    <row r="49" spans="1:18" ht="15.75" x14ac:dyDescent="0.25">
      <c r="A49" s="211"/>
      <c r="B49" s="29" t="s">
        <v>68</v>
      </c>
      <c r="C49" s="33"/>
      <c r="D49" s="12">
        <f>C49*42</f>
        <v>0</v>
      </c>
      <c r="F49" s="232" t="s">
        <v>86</v>
      </c>
      <c r="G49" s="179">
        <f>H34+H35+H36+H37+H38+H39+H40+H41+G42+H44+H45+H46</f>
        <v>175351</v>
      </c>
      <c r="H49" s="180"/>
      <c r="I49" s="180"/>
      <c r="J49" s="181"/>
      <c r="O49" t="s">
        <v>85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211"/>
      <c r="B50" s="32" t="s">
        <v>70</v>
      </c>
      <c r="C50" s="11">
        <v>3</v>
      </c>
      <c r="D50" s="12">
        <f>C50*1.5</f>
        <v>4.5</v>
      </c>
      <c r="F50" s="233"/>
      <c r="G50" s="182"/>
      <c r="H50" s="183"/>
      <c r="I50" s="183"/>
      <c r="J50" s="184"/>
      <c r="P50" s="4"/>
      <c r="Q50" s="4"/>
      <c r="R50" s="5"/>
    </row>
    <row r="51" spans="1:18" ht="15" customHeight="1" x14ac:dyDescent="0.25">
      <c r="A51" s="211"/>
      <c r="B51" s="27"/>
      <c r="C51" s="10"/>
      <c r="D51" s="31"/>
      <c r="F51" s="234" t="s">
        <v>156</v>
      </c>
      <c r="G51" s="236">
        <f>G49-H29</f>
        <v>9</v>
      </c>
      <c r="H51" s="237"/>
      <c r="I51" s="237"/>
      <c r="J51" s="238"/>
      <c r="K51" s="21"/>
      <c r="O51" t="s">
        <v>87</v>
      </c>
      <c r="P51" s="4">
        <v>703</v>
      </c>
      <c r="Q51" s="4">
        <v>120</v>
      </c>
      <c r="R51" s="5">
        <f t="shared" si="0"/>
        <v>823</v>
      </c>
    </row>
    <row r="52" spans="1:18" ht="15.75" x14ac:dyDescent="0.25">
      <c r="A52" s="211"/>
      <c r="B52" s="29"/>
      <c r="C52" s="33"/>
      <c r="D52" s="45"/>
      <c r="F52" s="235"/>
      <c r="G52" s="239"/>
      <c r="H52" s="240"/>
      <c r="I52" s="240"/>
      <c r="J52" s="241"/>
      <c r="K52" s="21"/>
      <c r="O52" t="s">
        <v>88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212"/>
      <c r="B53" s="32"/>
      <c r="C53" s="11"/>
      <c r="D53" s="12"/>
      <c r="F53" s="35"/>
      <c r="G53" s="24"/>
      <c r="H53" s="24"/>
      <c r="I53" s="24"/>
      <c r="J53" s="17"/>
      <c r="N53" s="1"/>
      <c r="O53" t="s">
        <v>89</v>
      </c>
      <c r="P53" s="4">
        <v>1142</v>
      </c>
    </row>
    <row r="54" spans="1:18" x14ac:dyDescent="0.25">
      <c r="A54" s="175" t="s">
        <v>90</v>
      </c>
      <c r="B54" s="220"/>
      <c r="C54" s="221"/>
      <c r="D54" s="224">
        <f>SUM(D34:D53)</f>
        <v>59487</v>
      </c>
      <c r="F54" s="21"/>
      <c r="J54" s="34"/>
    </row>
    <row r="55" spans="1:18" x14ac:dyDescent="0.25">
      <c r="A55" s="177"/>
      <c r="B55" s="222"/>
      <c r="C55" s="223"/>
      <c r="D55" s="225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151</v>
      </c>
      <c r="D57" s="34"/>
      <c r="F57" s="36"/>
      <c r="G57" s="50"/>
      <c r="H57" s="50"/>
      <c r="I57" s="50"/>
      <c r="J57" s="43"/>
    </row>
    <row r="58" spans="1:18" x14ac:dyDescent="0.25">
      <c r="A58" s="226" t="s">
        <v>91</v>
      </c>
      <c r="B58" s="227"/>
      <c r="C58" s="227"/>
      <c r="D58" s="228"/>
      <c r="F58" s="226" t="s">
        <v>92</v>
      </c>
      <c r="G58" s="227"/>
      <c r="H58" s="227"/>
      <c r="I58" s="227"/>
      <c r="J58" s="228"/>
    </row>
    <row r="59" spans="1:18" x14ac:dyDescent="0.25">
      <c r="A59" s="229"/>
      <c r="B59" s="230"/>
      <c r="C59" s="230"/>
      <c r="D59" s="231"/>
      <c r="F59" s="229"/>
      <c r="G59" s="230"/>
      <c r="H59" s="230"/>
      <c r="I59" s="230"/>
      <c r="J59" s="231"/>
    </row>
  </sheetData>
  <mergeCells count="68"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  <mergeCell ref="H13:J13"/>
    <mergeCell ref="F14:G14"/>
    <mergeCell ref="H14:J14"/>
    <mergeCell ref="F15:G15"/>
    <mergeCell ref="H15:J15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A32:D32"/>
    <mergeCell ref="F32:J32"/>
    <mergeCell ref="H33:J33"/>
    <mergeCell ref="A34:A36"/>
    <mergeCell ref="H34:J34"/>
    <mergeCell ref="H35:J35"/>
    <mergeCell ref="H36:J36"/>
    <mergeCell ref="A37:A39"/>
    <mergeCell ref="H37:J37"/>
    <mergeCell ref="H38:J38"/>
    <mergeCell ref="H39:J39"/>
    <mergeCell ref="A40:A42"/>
    <mergeCell ref="H40:J40"/>
    <mergeCell ref="H41:J41"/>
    <mergeCell ref="G42:J42"/>
    <mergeCell ref="A43:A47"/>
    <mergeCell ref="H43:J43"/>
    <mergeCell ref="H44:J44"/>
    <mergeCell ref="H45:J45"/>
    <mergeCell ref="H46:J46"/>
    <mergeCell ref="H47:J47"/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86993DD-2A8B-4485-85B3-A470A139BCBB}">
  <dimension ref="A1:R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113" t="s">
        <v>1</v>
      </c>
      <c r="O1" s="113"/>
      <c r="P1" s="90" t="s">
        <v>2</v>
      </c>
      <c r="Q1" s="90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14" t="s">
        <v>7</v>
      </c>
      <c r="B4" s="115"/>
      <c r="C4" s="115"/>
      <c r="D4" s="116"/>
      <c r="F4" s="117" t="s">
        <v>8</v>
      </c>
      <c r="G4" s="119">
        <v>3</v>
      </c>
      <c r="H4" s="121" t="s">
        <v>9</v>
      </c>
      <c r="I4" s="123">
        <v>45966</v>
      </c>
      <c r="J4" s="124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27" t="s">
        <v>7</v>
      </c>
      <c r="B5" s="15" t="s">
        <v>11</v>
      </c>
      <c r="C5" s="9" t="s">
        <v>12</v>
      </c>
      <c r="D5" s="25" t="s">
        <v>13</v>
      </c>
      <c r="F5" s="118"/>
      <c r="G5" s="120"/>
      <c r="H5" s="122"/>
      <c r="I5" s="125"/>
      <c r="J5" s="126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28"/>
      <c r="B6" s="16" t="s">
        <v>15</v>
      </c>
      <c r="C6" s="10">
        <v>238</v>
      </c>
      <c r="D6" s="13">
        <f t="shared" ref="D6:D28" si="1">C6*L6</f>
        <v>175406</v>
      </c>
      <c r="F6" s="130" t="s">
        <v>16</v>
      </c>
      <c r="G6" s="132" t="s">
        <v>111</v>
      </c>
      <c r="H6" s="133"/>
      <c r="I6" s="133"/>
      <c r="J6" s="134"/>
      <c r="K6" s="8"/>
      <c r="L6" s="6">
        <f>R42</f>
        <v>737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28"/>
      <c r="B7" s="16" t="s">
        <v>18</v>
      </c>
      <c r="C7" s="10">
        <v>3</v>
      </c>
      <c r="D7" s="13">
        <f t="shared" si="1"/>
        <v>2175</v>
      </c>
      <c r="F7" s="131"/>
      <c r="G7" s="135"/>
      <c r="H7" s="136"/>
      <c r="I7" s="136"/>
      <c r="J7" s="137"/>
      <c r="K7" s="8"/>
      <c r="L7" s="6">
        <f>R41</f>
        <v>725</v>
      </c>
      <c r="P7" s="4"/>
      <c r="Q7" s="4"/>
      <c r="R7" s="5"/>
    </row>
    <row r="8" spans="1:18" ht="14.45" customHeight="1" x14ac:dyDescent="0.25">
      <c r="A8" s="128"/>
      <c r="B8" s="16" t="s">
        <v>20</v>
      </c>
      <c r="C8" s="10"/>
      <c r="D8" s="13">
        <f t="shared" si="1"/>
        <v>0</v>
      </c>
      <c r="F8" s="138" t="s">
        <v>21</v>
      </c>
      <c r="G8" s="140" t="s">
        <v>119</v>
      </c>
      <c r="H8" s="141"/>
      <c r="I8" s="141"/>
      <c r="J8" s="142"/>
      <c r="K8" s="8"/>
      <c r="L8" s="6">
        <f>R40</f>
        <v>1033</v>
      </c>
      <c r="P8" s="4"/>
      <c r="Q8" s="4"/>
      <c r="R8" s="5"/>
    </row>
    <row r="9" spans="1:18" ht="14.45" customHeight="1" x14ac:dyDescent="0.25">
      <c r="A9" s="128"/>
      <c r="B9" s="16" t="s">
        <v>23</v>
      </c>
      <c r="C9" s="10">
        <v>24</v>
      </c>
      <c r="D9" s="13">
        <f t="shared" si="1"/>
        <v>16968</v>
      </c>
      <c r="F9" s="131"/>
      <c r="G9" s="143"/>
      <c r="H9" s="144"/>
      <c r="I9" s="144"/>
      <c r="J9" s="145"/>
      <c r="K9" s="8"/>
      <c r="L9" s="6">
        <f>R38</f>
        <v>707</v>
      </c>
      <c r="P9" s="4"/>
      <c r="Q9" s="4"/>
      <c r="R9" s="5"/>
    </row>
    <row r="10" spans="1:18" ht="14.45" customHeight="1" x14ac:dyDescent="0.25">
      <c r="A10" s="128"/>
      <c r="B10" t="s">
        <v>25</v>
      </c>
      <c r="C10" s="10"/>
      <c r="D10" s="13">
        <f t="shared" si="1"/>
        <v>0</v>
      </c>
      <c r="F10" s="130" t="s">
        <v>26</v>
      </c>
      <c r="G10" s="146" t="s">
        <v>137</v>
      </c>
      <c r="H10" s="147"/>
      <c r="I10" s="147"/>
      <c r="J10" s="148"/>
      <c r="K10" s="8"/>
      <c r="L10" s="6">
        <f>R36</f>
        <v>972</v>
      </c>
      <c r="P10" s="4"/>
      <c r="Q10" s="4"/>
      <c r="R10" s="5"/>
    </row>
    <row r="11" spans="1:18" ht="15.75" x14ac:dyDescent="0.25">
      <c r="A11" s="128"/>
      <c r="B11" s="17" t="s">
        <v>28</v>
      </c>
      <c r="C11" s="10">
        <v>1</v>
      </c>
      <c r="D11" s="13">
        <f t="shared" si="1"/>
        <v>1125</v>
      </c>
      <c r="F11" s="131"/>
      <c r="G11" s="143"/>
      <c r="H11" s="144"/>
      <c r="I11" s="144"/>
      <c r="J11" s="145"/>
      <c r="K11" s="22"/>
      <c r="L11" s="6">
        <f>R32</f>
        <v>1125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28"/>
      <c r="B12" s="17" t="s">
        <v>30</v>
      </c>
      <c r="C12" s="10">
        <v>1</v>
      </c>
      <c r="D12" s="48">
        <f t="shared" si="1"/>
        <v>952</v>
      </c>
      <c r="F12" s="149" t="s">
        <v>33</v>
      </c>
      <c r="G12" s="150"/>
      <c r="H12" s="150"/>
      <c r="I12" s="150"/>
      <c r="J12" s="151"/>
      <c r="K12" s="23"/>
      <c r="L12" s="6">
        <f>R34</f>
        <v>952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28"/>
      <c r="B13" s="17" t="s">
        <v>32</v>
      </c>
      <c r="C13" s="10">
        <v>15</v>
      </c>
      <c r="D13" s="48">
        <f t="shared" si="1"/>
        <v>4605</v>
      </c>
      <c r="F13" s="152" t="s">
        <v>36</v>
      </c>
      <c r="G13" s="153"/>
      <c r="H13" s="154">
        <f>D29</f>
        <v>202370.5</v>
      </c>
      <c r="I13" s="155"/>
      <c r="J13" s="156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28"/>
      <c r="B14" s="14" t="s">
        <v>35</v>
      </c>
      <c r="C14" s="10">
        <v>21</v>
      </c>
      <c r="D14" s="31">
        <f t="shared" si="1"/>
        <v>231</v>
      </c>
      <c r="F14" s="157" t="s">
        <v>39</v>
      </c>
      <c r="G14" s="158"/>
      <c r="H14" s="159">
        <f>D54</f>
        <v>19476.75</v>
      </c>
      <c r="I14" s="160"/>
      <c r="J14" s="161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28"/>
      <c r="B15" s="14" t="s">
        <v>38</v>
      </c>
      <c r="C15" s="10"/>
      <c r="D15" s="31">
        <f t="shared" si="1"/>
        <v>0</v>
      </c>
      <c r="F15" s="162" t="s">
        <v>40</v>
      </c>
      <c r="G15" s="153"/>
      <c r="H15" s="163">
        <f>H13-H14</f>
        <v>182893.75</v>
      </c>
      <c r="I15" s="164"/>
      <c r="J15" s="165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28"/>
      <c r="B16" s="18" t="s">
        <v>94</v>
      </c>
      <c r="C16" s="10"/>
      <c r="D16" s="48">
        <f t="shared" si="1"/>
        <v>0</v>
      </c>
      <c r="F16" s="67" t="s">
        <v>42</v>
      </c>
      <c r="G16" s="66" t="s">
        <v>43</v>
      </c>
      <c r="H16" s="166">
        <v>864</v>
      </c>
      <c r="I16" s="166"/>
      <c r="J16" s="166"/>
      <c r="L16" s="6">
        <f>R28</f>
        <v>1567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28"/>
      <c r="B17" t="s">
        <v>113</v>
      </c>
      <c r="C17" s="10"/>
      <c r="D17" s="48">
        <f t="shared" si="1"/>
        <v>0</v>
      </c>
      <c r="F17" s="56"/>
      <c r="G17" s="66" t="s">
        <v>45</v>
      </c>
      <c r="H17" s="139"/>
      <c r="I17" s="139"/>
      <c r="J17" s="139"/>
      <c r="L17" s="6">
        <v>1582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28"/>
      <c r="B18" s="19" t="s">
        <v>95</v>
      </c>
      <c r="C18" s="10"/>
      <c r="D18" s="48">
        <f t="shared" si="1"/>
        <v>0</v>
      </c>
      <c r="F18" s="56"/>
      <c r="G18" s="66" t="s">
        <v>47</v>
      </c>
      <c r="H18" s="139"/>
      <c r="I18" s="139"/>
      <c r="J18" s="139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28"/>
      <c r="B19" s="14" t="s">
        <v>117</v>
      </c>
      <c r="C19" s="10"/>
      <c r="D19" s="48">
        <f t="shared" si="1"/>
        <v>0</v>
      </c>
      <c r="F19" s="56"/>
      <c r="G19" s="68" t="s">
        <v>50</v>
      </c>
      <c r="H19" s="253"/>
      <c r="I19" s="253"/>
      <c r="J19" s="253"/>
      <c r="L19" s="6">
        <f>R35</f>
        <v>1102</v>
      </c>
      <c r="Q19" s="4"/>
      <c r="R19" s="5">
        <f t="shared" si="0"/>
        <v>0</v>
      </c>
    </row>
    <row r="20" spans="1:18" ht="15.75" x14ac:dyDescent="0.25">
      <c r="A20" s="128"/>
      <c r="B20" s="46" t="s">
        <v>108</v>
      </c>
      <c r="C20" s="10"/>
      <c r="D20" s="13">
        <f t="shared" si="1"/>
        <v>0</v>
      </c>
      <c r="F20" s="57"/>
      <c r="G20" s="70" t="s">
        <v>120</v>
      </c>
      <c r="H20" s="166"/>
      <c r="I20" s="166"/>
      <c r="J20" s="166"/>
      <c r="L20" s="6">
        <f>1102</f>
        <v>1102</v>
      </c>
      <c r="N20" s="1" t="s">
        <v>41</v>
      </c>
      <c r="Q20" s="4"/>
      <c r="R20" s="5">
        <f t="shared" si="0"/>
        <v>0</v>
      </c>
    </row>
    <row r="21" spans="1:18" ht="15.75" x14ac:dyDescent="0.25">
      <c r="A21" s="128"/>
      <c r="B21" s="14" t="s">
        <v>126</v>
      </c>
      <c r="C21" s="10"/>
      <c r="D21" s="48">
        <f t="shared" si="1"/>
        <v>0</v>
      </c>
      <c r="F21" s="69" t="s">
        <v>99</v>
      </c>
      <c r="G21" s="82" t="s">
        <v>98</v>
      </c>
      <c r="H21" s="186" t="s">
        <v>13</v>
      </c>
      <c r="I21" s="187"/>
      <c r="J21" s="188"/>
      <c r="L21" s="7">
        <v>650</v>
      </c>
      <c r="O21" t="s">
        <v>44</v>
      </c>
      <c r="P21" s="4">
        <v>1447</v>
      </c>
      <c r="Q21" s="4">
        <v>120</v>
      </c>
      <c r="R21" s="5">
        <f t="shared" si="0"/>
        <v>1567</v>
      </c>
    </row>
    <row r="22" spans="1:18" ht="15.75" x14ac:dyDescent="0.25">
      <c r="A22" s="128"/>
      <c r="B22" s="46" t="s">
        <v>104</v>
      </c>
      <c r="C22" s="10"/>
      <c r="D22" s="48">
        <f t="shared" si="1"/>
        <v>0</v>
      </c>
      <c r="F22" s="77"/>
      <c r="G22" s="73"/>
      <c r="H22" s="189"/>
      <c r="I22" s="189"/>
      <c r="J22" s="189"/>
      <c r="L22" s="7">
        <f>559+111</f>
        <v>670</v>
      </c>
      <c r="O22" t="s">
        <v>46</v>
      </c>
      <c r="P22" s="4">
        <v>1582</v>
      </c>
      <c r="Q22" s="4"/>
      <c r="R22" s="5">
        <f t="shared" si="0"/>
        <v>1582</v>
      </c>
    </row>
    <row r="23" spans="1:18" ht="15.75" x14ac:dyDescent="0.25">
      <c r="A23" s="128"/>
      <c r="B23" s="14" t="s">
        <v>107</v>
      </c>
      <c r="C23" s="10"/>
      <c r="D23" s="48">
        <f t="shared" si="1"/>
        <v>0</v>
      </c>
      <c r="F23" s="78"/>
      <c r="G23" s="79"/>
      <c r="H23" s="190"/>
      <c r="I23" s="191"/>
      <c r="J23" s="191"/>
      <c r="L23" s="47">
        <f>R33</f>
        <v>1175</v>
      </c>
      <c r="N23" s="1"/>
      <c r="O23" t="s">
        <v>48</v>
      </c>
      <c r="P23" s="4">
        <v>1728</v>
      </c>
      <c r="Q23" s="4"/>
      <c r="R23" s="5">
        <f t="shared" si="0"/>
        <v>1728</v>
      </c>
    </row>
    <row r="24" spans="1:18" ht="15.75" x14ac:dyDescent="0.25">
      <c r="A24" s="128"/>
      <c r="B24" s="14" t="s">
        <v>101</v>
      </c>
      <c r="C24" s="10"/>
      <c r="D24" s="48">
        <f t="shared" si="1"/>
        <v>0</v>
      </c>
      <c r="F24" s="38"/>
      <c r="G24" s="37"/>
      <c r="H24" s="190"/>
      <c r="I24" s="191"/>
      <c r="J24" s="191"/>
      <c r="L24" s="47">
        <v>1667</v>
      </c>
      <c r="N24" s="1"/>
      <c r="O24" t="s">
        <v>49</v>
      </c>
      <c r="P24" s="4">
        <v>1728</v>
      </c>
      <c r="Q24" s="4"/>
      <c r="R24" s="5">
        <f t="shared" si="0"/>
        <v>1728</v>
      </c>
    </row>
    <row r="25" spans="1:18" ht="15.75" x14ac:dyDescent="0.25">
      <c r="A25" s="128"/>
      <c r="B25" s="14" t="s">
        <v>121</v>
      </c>
      <c r="C25" s="10">
        <v>12</v>
      </c>
      <c r="D25" s="48">
        <f t="shared" si="1"/>
        <v>474.5</v>
      </c>
      <c r="F25" s="60" t="s">
        <v>100</v>
      </c>
      <c r="G25" s="55" t="s">
        <v>98</v>
      </c>
      <c r="H25" s="192" t="s">
        <v>13</v>
      </c>
      <c r="I25" s="193"/>
      <c r="J25" s="194"/>
      <c r="L25" s="47">
        <f>913/24+1.5</f>
        <v>39.541666666666664</v>
      </c>
      <c r="O25" t="s">
        <v>51</v>
      </c>
      <c r="P25" s="4">
        <v>1582</v>
      </c>
      <c r="Q25" s="4"/>
      <c r="R25" s="5">
        <f t="shared" si="0"/>
        <v>1582</v>
      </c>
    </row>
    <row r="26" spans="1:18" ht="15.75" x14ac:dyDescent="0.25">
      <c r="A26" s="128"/>
      <c r="B26" s="14" t="s">
        <v>105</v>
      </c>
      <c r="C26" s="10">
        <v>12</v>
      </c>
      <c r="D26" s="48">
        <f t="shared" si="1"/>
        <v>434</v>
      </c>
      <c r="F26" s="64"/>
      <c r="G26" s="59"/>
      <c r="H26" s="195"/>
      <c r="I26" s="196"/>
      <c r="J26" s="197"/>
      <c r="L26" s="7">
        <f>832/24+1.5</f>
        <v>36.166666666666664</v>
      </c>
      <c r="O26" t="s">
        <v>52</v>
      </c>
      <c r="P26" s="4">
        <v>1447</v>
      </c>
      <c r="Q26" s="4">
        <v>120</v>
      </c>
      <c r="R26" s="5">
        <f t="shared" si="0"/>
        <v>1567</v>
      </c>
    </row>
    <row r="27" spans="1:18" ht="14.45" customHeight="1" x14ac:dyDescent="0.25">
      <c r="A27" s="128"/>
      <c r="B27" s="14" t="s">
        <v>109</v>
      </c>
      <c r="C27" s="10"/>
      <c r="D27" s="44">
        <f t="shared" si="1"/>
        <v>0</v>
      </c>
      <c r="F27" s="25"/>
      <c r="G27" s="80"/>
      <c r="H27" s="198"/>
      <c r="I27" s="199"/>
      <c r="J27" s="200"/>
      <c r="L27" s="7">
        <v>1582</v>
      </c>
      <c r="O27" t="s">
        <v>53</v>
      </c>
      <c r="P27" s="4">
        <v>1582</v>
      </c>
      <c r="Q27" s="4"/>
      <c r="R27" s="5">
        <f t="shared" si="0"/>
        <v>1582</v>
      </c>
    </row>
    <row r="28" spans="1:18" ht="15.75" x14ac:dyDescent="0.25">
      <c r="A28" s="129"/>
      <c r="B28" s="46" t="s">
        <v>97</v>
      </c>
      <c r="C28" s="10"/>
      <c r="D28" s="48">
        <f t="shared" si="1"/>
        <v>0</v>
      </c>
      <c r="F28" s="91"/>
      <c r="G28" s="61"/>
      <c r="H28" s="201"/>
      <c r="I28" s="202"/>
      <c r="J28" s="203"/>
      <c r="L28" s="7">
        <v>785</v>
      </c>
      <c r="O28" t="s">
        <v>54</v>
      </c>
      <c r="P28" s="4">
        <v>1447</v>
      </c>
      <c r="Q28" s="4">
        <v>120</v>
      </c>
      <c r="R28" s="5">
        <f t="shared" si="0"/>
        <v>1567</v>
      </c>
    </row>
    <row r="29" spans="1:18" x14ac:dyDescent="0.25">
      <c r="A29" s="167" t="s">
        <v>36</v>
      </c>
      <c r="B29" s="168"/>
      <c r="C29" s="169"/>
      <c r="D29" s="173">
        <f>SUM(D6:D28)</f>
        <v>202370.5</v>
      </c>
      <c r="F29" s="175" t="s">
        <v>55</v>
      </c>
      <c r="G29" s="176"/>
      <c r="H29" s="179">
        <f>H15-H16-H17-H18-H19-H20-H22-H23-H24+H26+H27</f>
        <v>182029.75</v>
      </c>
      <c r="I29" s="180"/>
      <c r="J29" s="181"/>
      <c r="O29" t="s">
        <v>56</v>
      </c>
      <c r="P29" s="4">
        <v>1582</v>
      </c>
      <c r="Q29" s="4"/>
      <c r="R29" s="5">
        <f t="shared" si="0"/>
        <v>1582</v>
      </c>
    </row>
    <row r="30" spans="1:18" x14ac:dyDescent="0.25">
      <c r="A30" s="170"/>
      <c r="B30" s="171"/>
      <c r="C30" s="172"/>
      <c r="D30" s="174"/>
      <c r="F30" s="177"/>
      <c r="G30" s="178"/>
      <c r="H30" s="182"/>
      <c r="I30" s="183"/>
      <c r="J30" s="184"/>
      <c r="N30" s="1"/>
      <c r="Q30" s="4"/>
      <c r="R30" s="5">
        <f t="shared" si="0"/>
        <v>0</v>
      </c>
    </row>
    <row r="31" spans="1:18" x14ac:dyDescent="0.25">
      <c r="A31" s="24"/>
      <c r="B31" s="24"/>
      <c r="C31" s="24"/>
      <c r="D31" s="24"/>
      <c r="F31" s="24"/>
      <c r="G31" s="24"/>
      <c r="O31" t="s">
        <v>57</v>
      </c>
      <c r="P31" s="4">
        <v>1052</v>
      </c>
      <c r="Q31" s="4">
        <v>120</v>
      </c>
      <c r="R31" s="5">
        <f t="shared" si="0"/>
        <v>1172</v>
      </c>
    </row>
    <row r="32" spans="1:18" x14ac:dyDescent="0.25">
      <c r="A32" s="114" t="s">
        <v>58</v>
      </c>
      <c r="B32" s="115"/>
      <c r="C32" s="115"/>
      <c r="D32" s="116"/>
      <c r="F32" s="204" t="s">
        <v>59</v>
      </c>
      <c r="G32" s="205"/>
      <c r="H32" s="205"/>
      <c r="I32" s="205"/>
      <c r="J32" s="206"/>
      <c r="O32" t="s">
        <v>60</v>
      </c>
      <c r="P32" s="4">
        <v>1005</v>
      </c>
      <c r="Q32" s="4">
        <v>120</v>
      </c>
      <c r="R32" s="5">
        <f t="shared" si="0"/>
        <v>1125</v>
      </c>
    </row>
    <row r="33" spans="1:18" x14ac:dyDescent="0.25">
      <c r="A33" s="25"/>
      <c r="B33" s="25" t="s">
        <v>11</v>
      </c>
      <c r="C33" s="25" t="s">
        <v>61</v>
      </c>
      <c r="D33" s="25" t="s">
        <v>13</v>
      </c>
      <c r="F33" s="25" t="s">
        <v>62</v>
      </c>
      <c r="G33" s="92" t="s">
        <v>63</v>
      </c>
      <c r="H33" s="204" t="s">
        <v>13</v>
      </c>
      <c r="I33" s="205"/>
      <c r="J33" s="206"/>
      <c r="O33" t="s">
        <v>64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27" t="s">
        <v>65</v>
      </c>
      <c r="B34" s="26" t="s">
        <v>66</v>
      </c>
      <c r="C34" s="51"/>
      <c r="D34" s="30">
        <f>C34*120</f>
        <v>0</v>
      </c>
      <c r="F34" s="12">
        <v>1000</v>
      </c>
      <c r="G34" s="74">
        <v>136</v>
      </c>
      <c r="H34" s="207">
        <f>F34*G34</f>
        <v>136000</v>
      </c>
      <c r="I34" s="208"/>
      <c r="J34" s="209"/>
      <c r="O34" t="s">
        <v>67</v>
      </c>
      <c r="P34" s="4">
        <v>832</v>
      </c>
      <c r="Q34" s="4">
        <v>120</v>
      </c>
      <c r="R34" s="5">
        <f t="shared" si="0"/>
        <v>952</v>
      </c>
    </row>
    <row r="35" spans="1:18" ht="15.75" x14ac:dyDescent="0.25">
      <c r="A35" s="128"/>
      <c r="B35" s="27" t="s">
        <v>68</v>
      </c>
      <c r="C35" s="52"/>
      <c r="D35" s="30">
        <f>C35*84</f>
        <v>0</v>
      </c>
      <c r="F35" s="58">
        <v>500</v>
      </c>
      <c r="G35" s="41">
        <v>77</v>
      </c>
      <c r="H35" s="207">
        <f>F35*G35</f>
        <v>38500</v>
      </c>
      <c r="I35" s="208"/>
      <c r="J35" s="209"/>
      <c r="O35" t="s">
        <v>69</v>
      </c>
      <c r="P35" s="4">
        <v>1102</v>
      </c>
      <c r="Q35" s="4"/>
      <c r="R35" s="5">
        <f t="shared" si="0"/>
        <v>1102</v>
      </c>
    </row>
    <row r="36" spans="1:18" ht="15.75" x14ac:dyDescent="0.25">
      <c r="A36" s="129"/>
      <c r="B36" s="26" t="s">
        <v>70</v>
      </c>
      <c r="C36" s="10">
        <v>1</v>
      </c>
      <c r="D36" s="12">
        <f>C36*1.5</f>
        <v>1.5</v>
      </c>
      <c r="F36" s="12">
        <v>200</v>
      </c>
      <c r="G36" s="37">
        <v>4</v>
      </c>
      <c r="H36" s="207">
        <f t="shared" ref="H36:H39" si="2">F36*G36</f>
        <v>800</v>
      </c>
      <c r="I36" s="208"/>
      <c r="J36" s="209"/>
      <c r="O36" t="s">
        <v>71</v>
      </c>
      <c r="P36" s="4">
        <v>852</v>
      </c>
      <c r="Q36" s="4">
        <v>120</v>
      </c>
      <c r="R36" s="5">
        <f t="shared" si="0"/>
        <v>972</v>
      </c>
    </row>
    <row r="37" spans="1:18" ht="15.75" x14ac:dyDescent="0.25">
      <c r="A37" s="127" t="s">
        <v>72</v>
      </c>
      <c r="B37" s="28" t="s">
        <v>66</v>
      </c>
      <c r="C37" s="53">
        <v>149</v>
      </c>
      <c r="D37" s="12">
        <f>C37*111</f>
        <v>16539</v>
      </c>
      <c r="F37" s="12">
        <v>100</v>
      </c>
      <c r="G37" s="39">
        <v>66</v>
      </c>
      <c r="H37" s="207">
        <f t="shared" si="2"/>
        <v>6600</v>
      </c>
      <c r="I37" s="208"/>
      <c r="J37" s="209"/>
      <c r="O37" t="s">
        <v>73</v>
      </c>
      <c r="P37" s="4">
        <v>1020</v>
      </c>
      <c r="Q37" s="4">
        <v>120</v>
      </c>
      <c r="R37" s="5">
        <f t="shared" si="0"/>
        <v>1140</v>
      </c>
    </row>
    <row r="38" spans="1:18" ht="15.75" x14ac:dyDescent="0.25">
      <c r="A38" s="128"/>
      <c r="B38" s="29" t="s">
        <v>68</v>
      </c>
      <c r="C38" s="54">
        <v>4</v>
      </c>
      <c r="D38" s="12">
        <f>C38*84</f>
        <v>336</v>
      </c>
      <c r="F38" s="30">
        <v>50</v>
      </c>
      <c r="G38" s="39">
        <v>4</v>
      </c>
      <c r="H38" s="207">
        <f t="shared" si="2"/>
        <v>200</v>
      </c>
      <c r="I38" s="208"/>
      <c r="J38" s="209"/>
      <c r="O38" t="s">
        <v>74</v>
      </c>
      <c r="P38" s="4">
        <v>596</v>
      </c>
      <c r="Q38" s="4">
        <v>111</v>
      </c>
      <c r="R38" s="5">
        <f t="shared" si="0"/>
        <v>707</v>
      </c>
    </row>
    <row r="39" spans="1:18" ht="15.75" x14ac:dyDescent="0.25">
      <c r="A39" s="129"/>
      <c r="B39" s="29" t="s">
        <v>70</v>
      </c>
      <c r="C39" s="52">
        <v>4</v>
      </c>
      <c r="D39" s="31">
        <f>C39*4.5</f>
        <v>18</v>
      </c>
      <c r="F39" s="12">
        <v>20</v>
      </c>
      <c r="G39" s="37">
        <v>1</v>
      </c>
      <c r="H39" s="207">
        <f t="shared" si="2"/>
        <v>20</v>
      </c>
      <c r="I39" s="208"/>
      <c r="J39" s="209"/>
      <c r="O39" t="s">
        <v>75</v>
      </c>
      <c r="P39" s="4">
        <v>1175</v>
      </c>
      <c r="Q39" s="4"/>
      <c r="R39" s="5">
        <f t="shared" si="0"/>
        <v>1175</v>
      </c>
    </row>
    <row r="40" spans="1:18" ht="15.75" x14ac:dyDescent="0.25">
      <c r="A40" s="127" t="s">
        <v>76</v>
      </c>
      <c r="B40" s="27" t="s">
        <v>66</v>
      </c>
      <c r="C40" s="63">
        <v>8</v>
      </c>
      <c r="D40" s="12">
        <f>C40*111</f>
        <v>888</v>
      </c>
      <c r="F40" s="12">
        <v>10</v>
      </c>
      <c r="G40" s="42"/>
      <c r="H40" s="207"/>
      <c r="I40" s="208"/>
      <c r="J40" s="209"/>
      <c r="O40" t="s">
        <v>77</v>
      </c>
      <c r="P40" s="4">
        <v>913</v>
      </c>
      <c r="Q40" s="4">
        <v>120</v>
      </c>
      <c r="R40" s="5">
        <f t="shared" si="0"/>
        <v>1033</v>
      </c>
    </row>
    <row r="41" spans="1:18" ht="15.75" x14ac:dyDescent="0.25">
      <c r="A41" s="128"/>
      <c r="B41" s="27" t="s">
        <v>68</v>
      </c>
      <c r="C41" s="10">
        <v>1</v>
      </c>
      <c r="D41" s="12">
        <f>C41*84</f>
        <v>84</v>
      </c>
      <c r="F41" s="12">
        <v>5</v>
      </c>
      <c r="G41" s="42"/>
      <c r="H41" s="207"/>
      <c r="I41" s="208"/>
      <c r="J41" s="209"/>
      <c r="K41" s="21"/>
      <c r="O41" t="s">
        <v>78</v>
      </c>
      <c r="P41" s="4">
        <v>614</v>
      </c>
      <c r="Q41" s="4">
        <v>111</v>
      </c>
      <c r="R41" s="5">
        <f t="shared" si="0"/>
        <v>725</v>
      </c>
    </row>
    <row r="42" spans="1:18" ht="15.75" x14ac:dyDescent="0.25">
      <c r="A42" s="129"/>
      <c r="B42" s="27" t="s">
        <v>70</v>
      </c>
      <c r="C42" s="11">
        <v>3</v>
      </c>
      <c r="D42" s="12">
        <f>C42*2.25</f>
        <v>6.75</v>
      </c>
      <c r="F42" s="39" t="s">
        <v>79</v>
      </c>
      <c r="G42" s="207"/>
      <c r="H42" s="208"/>
      <c r="I42" s="208"/>
      <c r="J42" s="209"/>
      <c r="K42" s="36"/>
      <c r="O42" t="s">
        <v>80</v>
      </c>
      <c r="P42" s="4">
        <v>626</v>
      </c>
      <c r="Q42" s="4">
        <v>111</v>
      </c>
      <c r="R42" s="5">
        <f t="shared" si="0"/>
        <v>737</v>
      </c>
    </row>
    <row r="43" spans="1:18" ht="15.75" x14ac:dyDescent="0.25">
      <c r="A43" s="210" t="s">
        <v>81</v>
      </c>
      <c r="C43" s="11"/>
      <c r="D43" s="12"/>
      <c r="F43" s="59" t="s">
        <v>82</v>
      </c>
      <c r="G43" s="94" t="s">
        <v>83</v>
      </c>
      <c r="H43" s="213" t="s">
        <v>13</v>
      </c>
      <c r="I43" s="214"/>
      <c r="J43" s="215"/>
      <c r="K43" s="21"/>
      <c r="P43" s="4"/>
      <c r="Q43" s="4"/>
      <c r="R43" s="5"/>
    </row>
    <row r="44" spans="1:18" ht="15.75" x14ac:dyDescent="0.25">
      <c r="A44" s="211"/>
      <c r="B44" s="27" t="s">
        <v>66</v>
      </c>
      <c r="C44" s="10">
        <v>1</v>
      </c>
      <c r="D44" s="12">
        <f>C44*120</f>
        <v>120</v>
      </c>
      <c r="F44" s="37"/>
      <c r="G44" s="76"/>
      <c r="H44" s="191"/>
      <c r="I44" s="191"/>
      <c r="J44" s="191"/>
      <c r="K44" s="21"/>
      <c r="P44" s="4"/>
      <c r="Q44" s="4"/>
      <c r="R44" s="5"/>
    </row>
    <row r="45" spans="1:18" ht="15.75" x14ac:dyDescent="0.25">
      <c r="A45" s="211"/>
      <c r="B45" s="27" t="s">
        <v>68</v>
      </c>
      <c r="C45" s="33"/>
      <c r="D45" s="12">
        <f>C45*84</f>
        <v>0</v>
      </c>
      <c r="F45" s="37"/>
      <c r="G45" s="76"/>
      <c r="H45" s="191"/>
      <c r="I45" s="191"/>
      <c r="J45" s="191"/>
      <c r="K45" s="21"/>
      <c r="P45" s="4"/>
      <c r="Q45" s="4"/>
      <c r="R45" s="5"/>
    </row>
    <row r="46" spans="1:18" ht="15.75" x14ac:dyDescent="0.25">
      <c r="A46" s="211"/>
      <c r="B46" s="49" t="s">
        <v>70</v>
      </c>
      <c r="C46" s="81">
        <v>15</v>
      </c>
      <c r="D46" s="12">
        <f>C46*1.5</f>
        <v>22.5</v>
      </c>
      <c r="F46" s="37"/>
      <c r="G46" s="62"/>
      <c r="H46" s="216"/>
      <c r="I46" s="216"/>
      <c r="J46" s="216"/>
      <c r="K46" s="21"/>
      <c r="P46" s="4"/>
      <c r="Q46" s="4"/>
      <c r="R46" s="5"/>
    </row>
    <row r="47" spans="1:18" ht="15.75" x14ac:dyDescent="0.25">
      <c r="A47" s="212"/>
      <c r="B47" s="27"/>
      <c r="C47" s="11"/>
      <c r="D47" s="12"/>
      <c r="F47" s="59"/>
      <c r="G47" s="59"/>
      <c r="H47" s="217"/>
      <c r="I47" s="218"/>
      <c r="J47" s="219"/>
      <c r="K47" s="21"/>
      <c r="P47" s="4"/>
      <c r="Q47" s="4"/>
      <c r="R47" s="5"/>
    </row>
    <row r="48" spans="1:18" ht="15" customHeight="1" x14ac:dyDescent="0.25">
      <c r="A48" s="210" t="s">
        <v>32</v>
      </c>
      <c r="B48" s="27" t="s">
        <v>66</v>
      </c>
      <c r="C48" s="10">
        <v>18</v>
      </c>
      <c r="D48" s="12">
        <f>C48*78</f>
        <v>1404</v>
      </c>
      <c r="F48" s="59"/>
      <c r="G48" s="59"/>
      <c r="H48" s="217"/>
      <c r="I48" s="218"/>
      <c r="J48" s="219"/>
      <c r="K48" s="35"/>
      <c r="O48" t="s">
        <v>84</v>
      </c>
      <c r="P48" s="4">
        <v>1175</v>
      </c>
      <c r="Q48" s="4"/>
      <c r="R48" s="5">
        <f t="shared" si="0"/>
        <v>1175</v>
      </c>
    </row>
    <row r="49" spans="1:18" ht="15.75" x14ac:dyDescent="0.25">
      <c r="A49" s="211"/>
      <c r="B49" s="29" t="s">
        <v>68</v>
      </c>
      <c r="C49" s="33"/>
      <c r="D49" s="12">
        <f>C49*42</f>
        <v>0</v>
      </c>
      <c r="F49" s="232" t="s">
        <v>86</v>
      </c>
      <c r="G49" s="179">
        <f>H34+H35+H36+H37+H38+H39+H40+H41+G42+H44+H45+H46</f>
        <v>182120</v>
      </c>
      <c r="H49" s="180"/>
      <c r="I49" s="180"/>
      <c r="J49" s="181"/>
      <c r="O49" t="s">
        <v>85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211"/>
      <c r="B50" s="32" t="s">
        <v>70</v>
      </c>
      <c r="C50" s="11">
        <v>38</v>
      </c>
      <c r="D50" s="12">
        <f>C50*1.5</f>
        <v>57</v>
      </c>
      <c r="F50" s="233"/>
      <c r="G50" s="182"/>
      <c r="H50" s="183"/>
      <c r="I50" s="183"/>
      <c r="J50" s="184"/>
      <c r="P50" s="4"/>
      <c r="Q50" s="4"/>
      <c r="R50" s="5"/>
    </row>
    <row r="51" spans="1:18" ht="15" customHeight="1" x14ac:dyDescent="0.25">
      <c r="A51" s="211"/>
      <c r="B51" s="27"/>
      <c r="C51" s="10"/>
      <c r="D51" s="31"/>
      <c r="F51" s="234" t="s">
        <v>143</v>
      </c>
      <c r="G51" s="236">
        <f>G49-H29</f>
        <v>90.25</v>
      </c>
      <c r="H51" s="237"/>
      <c r="I51" s="237"/>
      <c r="J51" s="238"/>
      <c r="K51" s="21"/>
      <c r="O51" t="s">
        <v>87</v>
      </c>
      <c r="P51" s="4">
        <v>703</v>
      </c>
      <c r="Q51" s="4">
        <v>120</v>
      </c>
      <c r="R51" s="5">
        <f t="shared" si="0"/>
        <v>823</v>
      </c>
    </row>
    <row r="52" spans="1:18" ht="15.75" x14ac:dyDescent="0.25">
      <c r="A52" s="211"/>
      <c r="B52" s="29"/>
      <c r="C52" s="33"/>
      <c r="D52" s="45"/>
      <c r="F52" s="235"/>
      <c r="G52" s="239"/>
      <c r="H52" s="240"/>
      <c r="I52" s="240"/>
      <c r="J52" s="241"/>
      <c r="K52" s="21"/>
      <c r="O52" t="s">
        <v>88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212"/>
      <c r="B53" s="32"/>
      <c r="C53" s="11"/>
      <c r="D53" s="12"/>
      <c r="F53" s="35"/>
      <c r="G53" s="24"/>
      <c r="H53" s="24"/>
      <c r="I53" s="24"/>
      <c r="J53" s="17"/>
      <c r="N53" s="1"/>
      <c r="O53" t="s">
        <v>89</v>
      </c>
      <c r="P53" s="4">
        <v>1142</v>
      </c>
    </row>
    <row r="54" spans="1:18" x14ac:dyDescent="0.25">
      <c r="A54" s="175" t="s">
        <v>90</v>
      </c>
      <c r="B54" s="220"/>
      <c r="C54" s="221"/>
      <c r="D54" s="224">
        <f>SUM(D34:D53)</f>
        <v>19476.75</v>
      </c>
      <c r="F54" s="21"/>
      <c r="J54" s="34"/>
    </row>
    <row r="55" spans="1:18" x14ac:dyDescent="0.25">
      <c r="A55" s="177"/>
      <c r="B55" s="222"/>
      <c r="C55" s="223"/>
      <c r="D55" s="225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118</v>
      </c>
      <c r="D57" s="34"/>
      <c r="F57" s="36"/>
      <c r="G57" s="50"/>
      <c r="H57" s="50"/>
      <c r="I57" s="50"/>
      <c r="J57" s="43"/>
    </row>
    <row r="58" spans="1:18" x14ac:dyDescent="0.25">
      <c r="A58" s="226" t="s">
        <v>91</v>
      </c>
      <c r="B58" s="227"/>
      <c r="C58" s="227"/>
      <c r="D58" s="228"/>
      <c r="F58" s="226" t="s">
        <v>92</v>
      </c>
      <c r="G58" s="227"/>
      <c r="H58" s="227"/>
      <c r="I58" s="227"/>
      <c r="J58" s="228"/>
    </row>
    <row r="59" spans="1:18" x14ac:dyDescent="0.25">
      <c r="A59" s="229"/>
      <c r="B59" s="230"/>
      <c r="C59" s="230"/>
      <c r="D59" s="231"/>
      <c r="F59" s="229"/>
      <c r="G59" s="230"/>
      <c r="H59" s="230"/>
      <c r="I59" s="230"/>
      <c r="J59" s="231"/>
    </row>
  </sheetData>
  <mergeCells count="68"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  <mergeCell ref="H13:J13"/>
    <mergeCell ref="F14:G14"/>
    <mergeCell ref="H14:J14"/>
    <mergeCell ref="F15:G15"/>
    <mergeCell ref="H15:J15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A32:D32"/>
    <mergeCell ref="F32:J32"/>
    <mergeCell ref="H33:J33"/>
    <mergeCell ref="A34:A36"/>
    <mergeCell ref="H34:J34"/>
    <mergeCell ref="H35:J35"/>
    <mergeCell ref="H36:J36"/>
    <mergeCell ref="A37:A39"/>
    <mergeCell ref="H37:J37"/>
    <mergeCell ref="H38:J38"/>
    <mergeCell ref="H39:J39"/>
    <mergeCell ref="A40:A42"/>
    <mergeCell ref="H40:J40"/>
    <mergeCell ref="H41:J41"/>
    <mergeCell ref="G42:J42"/>
    <mergeCell ref="A43:A47"/>
    <mergeCell ref="H43:J43"/>
    <mergeCell ref="H44:J44"/>
    <mergeCell ref="H45:J45"/>
    <mergeCell ref="H46:J46"/>
    <mergeCell ref="H47:J47"/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6595E31-EA72-4F7A-A66C-B7A81921893A}">
  <dimension ref="A1:S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9" x14ac:dyDescent="0.25">
      <c r="A1" t="s">
        <v>0</v>
      </c>
      <c r="N1" s="113" t="s">
        <v>1</v>
      </c>
      <c r="O1" s="113"/>
      <c r="P1" s="90" t="s">
        <v>2</v>
      </c>
      <c r="Q1" s="90" t="s">
        <v>3</v>
      </c>
      <c r="R1" s="2" t="s">
        <v>4</v>
      </c>
    </row>
    <row r="2" spans="1:19" x14ac:dyDescent="0.25">
      <c r="A2" t="s">
        <v>5</v>
      </c>
      <c r="N2" s="1"/>
    </row>
    <row r="3" spans="1:19" x14ac:dyDescent="0.25">
      <c r="N3" s="1" t="s">
        <v>6</v>
      </c>
      <c r="O3" s="4"/>
    </row>
    <row r="4" spans="1:19" x14ac:dyDescent="0.25">
      <c r="A4" s="114" t="s">
        <v>7</v>
      </c>
      <c r="B4" s="115"/>
      <c r="C4" s="115"/>
      <c r="D4" s="116"/>
      <c r="F4" s="117" t="s">
        <v>8</v>
      </c>
      <c r="G4" s="119"/>
      <c r="H4" s="121" t="s">
        <v>9</v>
      </c>
      <c r="I4" s="123"/>
      <c r="J4" s="124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9" x14ac:dyDescent="0.25">
      <c r="A5" s="127" t="s">
        <v>7</v>
      </c>
      <c r="B5" s="15" t="s">
        <v>11</v>
      </c>
      <c r="C5" s="9" t="s">
        <v>12</v>
      </c>
      <c r="D5" s="25" t="s">
        <v>13</v>
      </c>
      <c r="F5" s="118"/>
      <c r="G5" s="120"/>
      <c r="H5" s="122"/>
      <c r="I5" s="125"/>
      <c r="J5" s="126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9" ht="14.45" customHeight="1" x14ac:dyDescent="0.25">
      <c r="A6" s="128"/>
      <c r="B6" s="16"/>
      <c r="C6" s="10"/>
      <c r="D6" s="13">
        <f t="shared" ref="D6:D28" si="1">C6*L6</f>
        <v>0</v>
      </c>
      <c r="F6" s="130" t="s">
        <v>16</v>
      </c>
      <c r="G6" s="132"/>
      <c r="H6" s="133"/>
      <c r="I6" s="133"/>
      <c r="J6" s="134"/>
      <c r="K6" s="8"/>
      <c r="L6" s="6">
        <f>R42</f>
        <v>737</v>
      </c>
      <c r="O6" t="s">
        <v>17</v>
      </c>
      <c r="P6" s="4">
        <v>650</v>
      </c>
      <c r="Q6" s="4"/>
      <c r="R6" s="5">
        <f t="shared" si="0"/>
        <v>650</v>
      </c>
    </row>
    <row r="7" spans="1:19" ht="14.45" customHeight="1" x14ac:dyDescent="0.25">
      <c r="A7" s="128"/>
      <c r="B7" s="16"/>
      <c r="C7" s="10"/>
      <c r="D7" s="13">
        <f t="shared" si="1"/>
        <v>0</v>
      </c>
      <c r="F7" s="131"/>
      <c r="G7" s="135"/>
      <c r="H7" s="136"/>
      <c r="I7" s="136"/>
      <c r="J7" s="137"/>
      <c r="K7" s="8"/>
      <c r="L7" s="6">
        <f>R41</f>
        <v>725</v>
      </c>
      <c r="P7" s="4"/>
      <c r="Q7" s="4"/>
      <c r="R7" s="5"/>
    </row>
    <row r="8" spans="1:19" ht="14.45" customHeight="1" x14ac:dyDescent="0.25">
      <c r="A8" s="128"/>
      <c r="B8" s="16"/>
      <c r="C8" s="10"/>
      <c r="D8" s="13">
        <f t="shared" si="1"/>
        <v>0</v>
      </c>
      <c r="F8" s="138" t="s">
        <v>21</v>
      </c>
      <c r="G8" s="140"/>
      <c r="H8" s="141"/>
      <c r="I8" s="141"/>
      <c r="J8" s="142"/>
      <c r="K8" s="8"/>
      <c r="L8" s="6">
        <f>R40</f>
        <v>1033</v>
      </c>
      <c r="P8" s="4"/>
      <c r="Q8" s="4"/>
      <c r="R8" s="5"/>
    </row>
    <row r="9" spans="1:19" ht="14.45" customHeight="1" x14ac:dyDescent="0.25">
      <c r="A9" s="128"/>
      <c r="B9" s="16"/>
      <c r="C9" s="10"/>
      <c r="D9" s="13">
        <f t="shared" si="1"/>
        <v>0</v>
      </c>
      <c r="F9" s="131"/>
      <c r="G9" s="143"/>
      <c r="H9" s="144"/>
      <c r="I9" s="144"/>
      <c r="J9" s="145"/>
      <c r="K9" s="8"/>
      <c r="L9" s="6">
        <f>R38</f>
        <v>707</v>
      </c>
      <c r="P9" s="4"/>
      <c r="Q9" s="4"/>
      <c r="R9" s="5"/>
    </row>
    <row r="10" spans="1:19" ht="14.45" customHeight="1" x14ac:dyDescent="0.25">
      <c r="A10" s="128"/>
      <c r="C10" s="10"/>
      <c r="D10" s="13">
        <f t="shared" si="1"/>
        <v>0</v>
      </c>
      <c r="F10" s="130" t="s">
        <v>26</v>
      </c>
      <c r="G10" s="146"/>
      <c r="H10" s="147"/>
      <c r="I10" s="147"/>
      <c r="J10" s="148"/>
      <c r="K10" s="8"/>
      <c r="L10" s="6">
        <f>R36</f>
        <v>972</v>
      </c>
      <c r="P10" s="4"/>
      <c r="Q10" s="4"/>
      <c r="R10" s="5"/>
    </row>
    <row r="11" spans="1:19" ht="15.75" x14ac:dyDescent="0.25">
      <c r="A11" s="128"/>
      <c r="B11" s="17"/>
      <c r="C11" s="10"/>
      <c r="D11" s="13">
        <f t="shared" si="1"/>
        <v>0</v>
      </c>
      <c r="F11" s="131"/>
      <c r="G11" s="143"/>
      <c r="H11" s="144"/>
      <c r="I11" s="144"/>
      <c r="J11" s="145"/>
      <c r="K11" s="22"/>
      <c r="L11" s="6">
        <f>R32</f>
        <v>1125</v>
      </c>
      <c r="O11" t="s">
        <v>19</v>
      </c>
      <c r="P11" s="4">
        <v>650</v>
      </c>
      <c r="Q11" s="4"/>
      <c r="R11" s="5">
        <f t="shared" si="0"/>
        <v>650</v>
      </c>
    </row>
    <row r="12" spans="1:19" ht="15.75" x14ac:dyDescent="0.25">
      <c r="A12" s="128"/>
      <c r="B12" s="17"/>
      <c r="C12" s="10"/>
      <c r="D12" s="48">
        <f t="shared" si="1"/>
        <v>0</v>
      </c>
      <c r="F12" s="149" t="s">
        <v>33</v>
      </c>
      <c r="G12" s="150"/>
      <c r="H12" s="150"/>
      <c r="I12" s="150"/>
      <c r="J12" s="151"/>
      <c r="K12" s="23"/>
      <c r="L12" s="6">
        <f>R34</f>
        <v>952</v>
      </c>
      <c r="O12" t="s">
        <v>22</v>
      </c>
      <c r="P12" s="4">
        <v>650</v>
      </c>
      <c r="Q12" s="4"/>
      <c r="R12" s="5">
        <f t="shared" si="0"/>
        <v>650</v>
      </c>
    </row>
    <row r="13" spans="1:19" ht="15.75" x14ac:dyDescent="0.25">
      <c r="A13" s="128"/>
      <c r="B13" s="17"/>
      <c r="C13" s="10"/>
      <c r="D13" s="48">
        <f t="shared" si="1"/>
        <v>0</v>
      </c>
      <c r="F13" s="152" t="s">
        <v>36</v>
      </c>
      <c r="G13" s="153"/>
      <c r="H13" s="154">
        <f>D29</f>
        <v>0</v>
      </c>
      <c r="I13" s="155"/>
      <c r="J13" s="156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9" ht="15.75" x14ac:dyDescent="0.25">
      <c r="A14" s="128"/>
      <c r="B14" s="14"/>
      <c r="C14" s="10"/>
      <c r="D14" s="31">
        <f t="shared" si="1"/>
        <v>0</v>
      </c>
      <c r="F14" s="157" t="s">
        <v>39</v>
      </c>
      <c r="G14" s="158"/>
      <c r="H14" s="159">
        <f>D54</f>
        <v>0</v>
      </c>
      <c r="I14" s="160"/>
      <c r="J14" s="161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  <c r="S14">
        <f>205+78</f>
        <v>283</v>
      </c>
    </row>
    <row r="15" spans="1:19" ht="15.75" x14ac:dyDescent="0.25">
      <c r="A15" s="128"/>
      <c r="B15" s="14"/>
      <c r="C15" s="10"/>
      <c r="D15" s="31">
        <f t="shared" si="1"/>
        <v>0</v>
      </c>
      <c r="F15" s="162" t="s">
        <v>40</v>
      </c>
      <c r="G15" s="153"/>
      <c r="H15" s="163">
        <f>H13-H14</f>
        <v>0</v>
      </c>
      <c r="I15" s="164"/>
      <c r="J15" s="165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  <c r="S15">
        <f>229+78</f>
        <v>307</v>
      </c>
    </row>
    <row r="16" spans="1:19" ht="15.75" x14ac:dyDescent="0.25">
      <c r="A16" s="128"/>
      <c r="B16" s="18"/>
      <c r="C16" s="10"/>
      <c r="D16" s="48">
        <f t="shared" si="1"/>
        <v>0</v>
      </c>
      <c r="F16" s="67" t="s">
        <v>42</v>
      </c>
      <c r="G16" s="66" t="s">
        <v>43</v>
      </c>
      <c r="H16" s="166"/>
      <c r="I16" s="166"/>
      <c r="J16" s="166"/>
      <c r="L16" s="6">
        <f>R28</f>
        <v>1567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28"/>
      <c r="C17" s="10"/>
      <c r="D17" s="48">
        <f t="shared" si="1"/>
        <v>0</v>
      </c>
      <c r="F17" s="56"/>
      <c r="G17" s="66" t="s">
        <v>45</v>
      </c>
      <c r="H17" s="139"/>
      <c r="I17" s="139"/>
      <c r="J17" s="139"/>
      <c r="L17" s="6">
        <v>1582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28"/>
      <c r="B18" s="19"/>
      <c r="C18" s="10"/>
      <c r="D18" s="48">
        <f t="shared" si="1"/>
        <v>0</v>
      </c>
      <c r="F18" s="56"/>
      <c r="G18" s="66" t="s">
        <v>47</v>
      </c>
      <c r="H18" s="139"/>
      <c r="I18" s="139"/>
      <c r="J18" s="139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28"/>
      <c r="B19" s="14"/>
      <c r="C19" s="10"/>
      <c r="D19" s="48">
        <f t="shared" si="1"/>
        <v>0</v>
      </c>
      <c r="F19" s="56"/>
      <c r="G19" s="68" t="s">
        <v>50</v>
      </c>
      <c r="H19" s="185"/>
      <c r="I19" s="185"/>
      <c r="J19" s="185"/>
      <c r="L19" s="6">
        <f>R35</f>
        <v>1102</v>
      </c>
      <c r="Q19" s="4"/>
      <c r="R19" s="5">
        <f t="shared" si="0"/>
        <v>0</v>
      </c>
    </row>
    <row r="20" spans="1:18" ht="15.75" x14ac:dyDescent="0.25">
      <c r="A20" s="128"/>
      <c r="B20" s="46"/>
      <c r="C20" s="10"/>
      <c r="D20" s="13">
        <f t="shared" si="1"/>
        <v>0</v>
      </c>
      <c r="F20" s="57"/>
      <c r="G20" s="70" t="s">
        <v>120</v>
      </c>
      <c r="H20" s="166"/>
      <c r="I20" s="166"/>
      <c r="J20" s="166"/>
      <c r="L20" s="6">
        <f>1102</f>
        <v>1102</v>
      </c>
      <c r="N20" s="1" t="s">
        <v>41</v>
      </c>
      <c r="Q20" s="4"/>
      <c r="R20" s="5">
        <f t="shared" si="0"/>
        <v>0</v>
      </c>
    </row>
    <row r="21" spans="1:18" ht="15.75" x14ac:dyDescent="0.25">
      <c r="A21" s="128"/>
      <c r="B21" s="14"/>
      <c r="C21" s="10"/>
      <c r="D21" s="48">
        <f t="shared" si="1"/>
        <v>0</v>
      </c>
      <c r="F21" s="69" t="s">
        <v>99</v>
      </c>
      <c r="G21" s="82" t="s">
        <v>98</v>
      </c>
      <c r="H21" s="186" t="s">
        <v>13</v>
      </c>
      <c r="I21" s="187"/>
      <c r="J21" s="188"/>
      <c r="L21" s="7">
        <v>650</v>
      </c>
      <c r="O21" t="s">
        <v>44</v>
      </c>
      <c r="P21" s="4">
        <v>1447</v>
      </c>
      <c r="Q21" s="4">
        <v>120</v>
      </c>
      <c r="R21" s="5">
        <f t="shared" si="0"/>
        <v>1567</v>
      </c>
    </row>
    <row r="22" spans="1:18" ht="15.75" x14ac:dyDescent="0.25">
      <c r="A22" s="128"/>
      <c r="B22" s="46"/>
      <c r="C22" s="10"/>
      <c r="D22" s="48">
        <f t="shared" si="1"/>
        <v>0</v>
      </c>
      <c r="F22" s="77"/>
      <c r="G22" s="73"/>
      <c r="H22" s="189"/>
      <c r="I22" s="189"/>
      <c r="J22" s="189"/>
      <c r="L22" s="7">
        <f>559+111</f>
        <v>670</v>
      </c>
      <c r="O22" t="s">
        <v>46</v>
      </c>
      <c r="P22" s="4">
        <v>1582</v>
      </c>
      <c r="Q22" s="4"/>
      <c r="R22" s="5">
        <f t="shared" si="0"/>
        <v>1582</v>
      </c>
    </row>
    <row r="23" spans="1:18" ht="15.75" x14ac:dyDescent="0.25">
      <c r="A23" s="128"/>
      <c r="B23" s="14"/>
      <c r="C23" s="10"/>
      <c r="D23" s="48">
        <f t="shared" si="1"/>
        <v>0</v>
      </c>
      <c r="F23" s="78"/>
      <c r="G23" s="79"/>
      <c r="H23" s="190"/>
      <c r="I23" s="191"/>
      <c r="J23" s="191"/>
      <c r="L23" s="47">
        <f>R33</f>
        <v>1175</v>
      </c>
      <c r="N23" s="1"/>
      <c r="O23" t="s">
        <v>48</v>
      </c>
      <c r="P23" s="4">
        <v>1728</v>
      </c>
      <c r="Q23" s="4"/>
      <c r="R23" s="5">
        <f t="shared" si="0"/>
        <v>1728</v>
      </c>
    </row>
    <row r="24" spans="1:18" ht="15.75" x14ac:dyDescent="0.25">
      <c r="A24" s="128"/>
      <c r="B24" s="14"/>
      <c r="C24" s="10"/>
      <c r="D24" s="48">
        <f t="shared" si="1"/>
        <v>0</v>
      </c>
      <c r="F24" s="38"/>
      <c r="G24" s="37"/>
      <c r="H24" s="190"/>
      <c r="I24" s="191"/>
      <c r="J24" s="191"/>
      <c r="L24" s="47">
        <v>1667</v>
      </c>
      <c r="N24" s="1"/>
      <c r="O24" t="s">
        <v>49</v>
      </c>
      <c r="P24" s="4">
        <v>1728</v>
      </c>
      <c r="Q24" s="4"/>
      <c r="R24" s="5">
        <f t="shared" si="0"/>
        <v>1728</v>
      </c>
    </row>
    <row r="25" spans="1:18" ht="15.75" x14ac:dyDescent="0.25">
      <c r="A25" s="128"/>
      <c r="B25" s="14"/>
      <c r="C25" s="10"/>
      <c r="D25" s="48">
        <f t="shared" si="1"/>
        <v>0</v>
      </c>
      <c r="F25" s="60" t="s">
        <v>100</v>
      </c>
      <c r="G25" s="55" t="s">
        <v>98</v>
      </c>
      <c r="H25" s="192" t="s">
        <v>13</v>
      </c>
      <c r="I25" s="193"/>
      <c r="J25" s="194"/>
      <c r="L25" s="47">
        <f>1582</f>
        <v>1582</v>
      </c>
      <c r="O25" t="s">
        <v>51</v>
      </c>
      <c r="P25" s="4">
        <v>1582</v>
      </c>
      <c r="Q25" s="4"/>
      <c r="R25" s="5">
        <f t="shared" si="0"/>
        <v>1582</v>
      </c>
    </row>
    <row r="26" spans="1:18" ht="15.75" x14ac:dyDescent="0.25">
      <c r="A26" s="128"/>
      <c r="B26" s="14"/>
      <c r="C26" s="10"/>
      <c r="D26" s="48">
        <f t="shared" si="1"/>
        <v>0</v>
      </c>
      <c r="F26" s="64"/>
      <c r="G26" s="59"/>
      <c r="H26" s="195"/>
      <c r="I26" s="196"/>
      <c r="J26" s="197"/>
      <c r="L26" s="7">
        <f>832/24+1.5</f>
        <v>36.166666666666664</v>
      </c>
      <c r="O26" t="s">
        <v>52</v>
      </c>
      <c r="P26" s="4">
        <v>1447</v>
      </c>
      <c r="Q26" s="4">
        <v>120</v>
      </c>
      <c r="R26" s="5">
        <f t="shared" si="0"/>
        <v>1567</v>
      </c>
    </row>
    <row r="27" spans="1:18" ht="14.45" customHeight="1" x14ac:dyDescent="0.25">
      <c r="A27" s="128"/>
      <c r="B27" s="14"/>
      <c r="C27" s="10"/>
      <c r="D27" s="44">
        <f t="shared" si="1"/>
        <v>0</v>
      </c>
      <c r="F27" s="25"/>
      <c r="G27" s="80"/>
      <c r="H27" s="198"/>
      <c r="I27" s="199"/>
      <c r="J27" s="200"/>
      <c r="L27" s="7">
        <v>1582</v>
      </c>
      <c r="O27" t="s">
        <v>53</v>
      </c>
      <c r="P27" s="4">
        <v>1582</v>
      </c>
      <c r="Q27" s="4"/>
      <c r="R27" s="5">
        <f t="shared" si="0"/>
        <v>1582</v>
      </c>
    </row>
    <row r="28" spans="1:18" ht="15.75" x14ac:dyDescent="0.25">
      <c r="A28" s="129"/>
      <c r="B28" s="46"/>
      <c r="C28" s="10"/>
      <c r="D28" s="48">
        <f t="shared" si="1"/>
        <v>0</v>
      </c>
      <c r="F28" s="91"/>
      <c r="G28" s="61"/>
      <c r="H28" s="201"/>
      <c r="I28" s="202"/>
      <c r="J28" s="203"/>
      <c r="L28" s="7">
        <v>785</v>
      </c>
      <c r="O28" t="s">
        <v>54</v>
      </c>
      <c r="P28" s="4">
        <v>1447</v>
      </c>
      <c r="Q28" s="4">
        <v>120</v>
      </c>
      <c r="R28" s="5">
        <f t="shared" si="0"/>
        <v>1567</v>
      </c>
    </row>
    <row r="29" spans="1:18" x14ac:dyDescent="0.25">
      <c r="A29" s="167" t="s">
        <v>36</v>
      </c>
      <c r="B29" s="168"/>
      <c r="C29" s="169"/>
      <c r="D29" s="173">
        <f>SUM(D6:D28)</f>
        <v>0</v>
      </c>
      <c r="F29" s="175" t="s">
        <v>55</v>
      </c>
      <c r="G29" s="176"/>
      <c r="H29" s="179">
        <f>H15-H16-H17-H18-H19-H20-H22-H23-H24+H26+H27</f>
        <v>0</v>
      </c>
      <c r="I29" s="180"/>
      <c r="J29" s="181"/>
      <c r="O29" t="s">
        <v>56</v>
      </c>
      <c r="P29" s="4">
        <v>1582</v>
      </c>
      <c r="Q29" s="4"/>
      <c r="R29" s="5">
        <f t="shared" si="0"/>
        <v>1582</v>
      </c>
    </row>
    <row r="30" spans="1:18" x14ac:dyDescent="0.25">
      <c r="A30" s="170"/>
      <c r="B30" s="171"/>
      <c r="C30" s="172"/>
      <c r="D30" s="174"/>
      <c r="F30" s="177"/>
      <c r="G30" s="178"/>
      <c r="H30" s="182"/>
      <c r="I30" s="183"/>
      <c r="J30" s="184"/>
      <c r="N30" s="1"/>
      <c r="Q30" s="4"/>
      <c r="R30" s="5">
        <f t="shared" si="0"/>
        <v>0</v>
      </c>
    </row>
    <row r="31" spans="1:18" x14ac:dyDescent="0.25">
      <c r="A31" s="24"/>
      <c r="B31" s="24"/>
      <c r="C31" s="24"/>
      <c r="D31" s="24"/>
      <c r="F31" s="24"/>
      <c r="G31" s="24"/>
      <c r="O31" t="s">
        <v>57</v>
      </c>
      <c r="P31" s="4">
        <v>1052</v>
      </c>
      <c r="Q31" s="4">
        <v>120</v>
      </c>
      <c r="R31" s="5">
        <f t="shared" si="0"/>
        <v>1172</v>
      </c>
    </row>
    <row r="32" spans="1:18" x14ac:dyDescent="0.25">
      <c r="A32" s="114" t="s">
        <v>58</v>
      </c>
      <c r="B32" s="115"/>
      <c r="C32" s="115"/>
      <c r="D32" s="116"/>
      <c r="F32" s="204" t="s">
        <v>59</v>
      </c>
      <c r="G32" s="205"/>
      <c r="H32" s="205"/>
      <c r="I32" s="205"/>
      <c r="J32" s="206"/>
      <c r="O32" t="s">
        <v>60</v>
      </c>
      <c r="P32" s="4">
        <v>1005</v>
      </c>
      <c r="Q32" s="4">
        <v>120</v>
      </c>
      <c r="R32" s="5">
        <f t="shared" si="0"/>
        <v>1125</v>
      </c>
    </row>
    <row r="33" spans="1:18" x14ac:dyDescent="0.25">
      <c r="A33" s="25"/>
      <c r="B33" s="25" t="s">
        <v>11</v>
      </c>
      <c r="C33" s="25" t="s">
        <v>61</v>
      </c>
      <c r="D33" s="25" t="s">
        <v>13</v>
      </c>
      <c r="F33" s="25" t="s">
        <v>62</v>
      </c>
      <c r="G33" s="92" t="s">
        <v>63</v>
      </c>
      <c r="H33" s="204" t="s">
        <v>13</v>
      </c>
      <c r="I33" s="205"/>
      <c r="J33" s="206"/>
      <c r="O33" t="s">
        <v>64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27" t="s">
        <v>65</v>
      </c>
      <c r="B34" s="26" t="s">
        <v>66</v>
      </c>
      <c r="C34" s="51"/>
      <c r="D34" s="30">
        <f>C34*120</f>
        <v>0</v>
      </c>
      <c r="F34" s="12">
        <v>1000</v>
      </c>
      <c r="G34" s="74"/>
      <c r="H34" s="207"/>
      <c r="I34" s="208"/>
      <c r="J34" s="209"/>
      <c r="O34" t="s">
        <v>67</v>
      </c>
      <c r="P34" s="4">
        <v>832</v>
      </c>
      <c r="Q34" s="4">
        <v>120</v>
      </c>
      <c r="R34" s="5">
        <f t="shared" si="0"/>
        <v>952</v>
      </c>
    </row>
    <row r="35" spans="1:18" ht="15.75" x14ac:dyDescent="0.25">
      <c r="A35" s="128"/>
      <c r="B35" s="27" t="s">
        <v>68</v>
      </c>
      <c r="C35" s="52"/>
      <c r="D35" s="30">
        <f>C35*84</f>
        <v>0</v>
      </c>
      <c r="F35" s="58">
        <v>500</v>
      </c>
      <c r="G35" s="41"/>
      <c r="H35" s="207"/>
      <c r="I35" s="208"/>
      <c r="J35" s="209"/>
      <c r="O35" t="s">
        <v>69</v>
      </c>
      <c r="P35" s="4">
        <v>1102</v>
      </c>
      <c r="Q35" s="4"/>
      <c r="R35" s="5">
        <f t="shared" si="0"/>
        <v>1102</v>
      </c>
    </row>
    <row r="36" spans="1:18" ht="15.75" x14ac:dyDescent="0.25">
      <c r="A36" s="129"/>
      <c r="B36" s="26" t="s">
        <v>70</v>
      </c>
      <c r="C36" s="10"/>
      <c r="D36" s="12">
        <f>C36*1.5</f>
        <v>0</v>
      </c>
      <c r="F36" s="12">
        <v>200</v>
      </c>
      <c r="G36" s="37"/>
      <c r="H36" s="207"/>
      <c r="I36" s="208"/>
      <c r="J36" s="209"/>
      <c r="O36" t="s">
        <v>71</v>
      </c>
      <c r="P36" s="4">
        <v>852</v>
      </c>
      <c r="Q36" s="4">
        <v>120</v>
      </c>
      <c r="R36" s="5">
        <f t="shared" si="0"/>
        <v>972</v>
      </c>
    </row>
    <row r="37" spans="1:18" ht="15.75" x14ac:dyDescent="0.25">
      <c r="A37" s="127" t="s">
        <v>72</v>
      </c>
      <c r="B37" s="28" t="s">
        <v>66</v>
      </c>
      <c r="C37" s="53"/>
      <c r="D37" s="12">
        <f>C37*111</f>
        <v>0</v>
      </c>
      <c r="F37" s="12">
        <v>100</v>
      </c>
      <c r="G37" s="39"/>
      <c r="H37" s="207"/>
      <c r="I37" s="208"/>
      <c r="J37" s="209"/>
      <c r="O37" t="s">
        <v>73</v>
      </c>
      <c r="P37" s="4">
        <v>1020</v>
      </c>
      <c r="Q37" s="4">
        <v>120</v>
      </c>
      <c r="R37" s="5">
        <f t="shared" si="0"/>
        <v>1140</v>
      </c>
    </row>
    <row r="38" spans="1:18" ht="15.75" x14ac:dyDescent="0.25">
      <c r="A38" s="128"/>
      <c r="B38" s="29" t="s">
        <v>68</v>
      </c>
      <c r="C38" s="54"/>
      <c r="D38" s="12">
        <f>C38*84</f>
        <v>0</v>
      </c>
      <c r="F38" s="30">
        <v>50</v>
      </c>
      <c r="G38" s="39"/>
      <c r="H38" s="207"/>
      <c r="I38" s="208"/>
      <c r="J38" s="209"/>
      <c r="O38" t="s">
        <v>74</v>
      </c>
      <c r="P38" s="4">
        <v>596</v>
      </c>
      <c r="Q38" s="4">
        <v>111</v>
      </c>
      <c r="R38" s="5">
        <f t="shared" si="0"/>
        <v>707</v>
      </c>
    </row>
    <row r="39" spans="1:18" ht="15.75" x14ac:dyDescent="0.25">
      <c r="A39" s="129"/>
      <c r="B39" s="29" t="s">
        <v>70</v>
      </c>
      <c r="C39" s="52"/>
      <c r="D39" s="31">
        <f>C39*4.5</f>
        <v>0</v>
      </c>
      <c r="F39" s="12">
        <v>20</v>
      </c>
      <c r="G39" s="37"/>
      <c r="H39" s="207"/>
      <c r="I39" s="208"/>
      <c r="J39" s="209"/>
      <c r="O39" t="s">
        <v>75</v>
      </c>
      <c r="P39" s="4">
        <v>1175</v>
      </c>
      <c r="Q39" s="4"/>
      <c r="R39" s="5">
        <f t="shared" si="0"/>
        <v>1175</v>
      </c>
    </row>
    <row r="40" spans="1:18" ht="15.75" x14ac:dyDescent="0.25">
      <c r="A40" s="127" t="s">
        <v>76</v>
      </c>
      <c r="B40" s="27" t="s">
        <v>66</v>
      </c>
      <c r="C40" s="63"/>
      <c r="D40" s="12">
        <f>C40*111</f>
        <v>0</v>
      </c>
      <c r="F40" s="12">
        <v>10</v>
      </c>
      <c r="G40" s="42"/>
      <c r="H40" s="207"/>
      <c r="I40" s="208"/>
      <c r="J40" s="209"/>
      <c r="O40" t="s">
        <v>77</v>
      </c>
      <c r="P40" s="4">
        <v>913</v>
      </c>
      <c r="Q40" s="4">
        <v>120</v>
      </c>
      <c r="R40" s="5">
        <f t="shared" si="0"/>
        <v>1033</v>
      </c>
    </row>
    <row r="41" spans="1:18" ht="15.75" x14ac:dyDescent="0.25">
      <c r="A41" s="128"/>
      <c r="B41" s="27" t="s">
        <v>68</v>
      </c>
      <c r="C41" s="10"/>
      <c r="D41" s="12">
        <f>C41*84</f>
        <v>0</v>
      </c>
      <c r="F41" s="12">
        <v>5</v>
      </c>
      <c r="G41" s="42"/>
      <c r="H41" s="207"/>
      <c r="I41" s="208"/>
      <c r="J41" s="209"/>
      <c r="K41" s="21"/>
      <c r="O41" t="s">
        <v>78</v>
      </c>
      <c r="P41" s="4">
        <v>614</v>
      </c>
      <c r="Q41" s="4">
        <v>111</v>
      </c>
      <c r="R41" s="5">
        <f t="shared" si="0"/>
        <v>725</v>
      </c>
    </row>
    <row r="42" spans="1:18" ht="15.75" x14ac:dyDescent="0.25">
      <c r="A42" s="129"/>
      <c r="B42" s="27" t="s">
        <v>70</v>
      </c>
      <c r="C42" s="11"/>
      <c r="D42" s="12">
        <f>C42*2.25</f>
        <v>0</v>
      </c>
      <c r="F42" s="39" t="s">
        <v>79</v>
      </c>
      <c r="G42" s="207"/>
      <c r="H42" s="208"/>
      <c r="I42" s="208"/>
      <c r="J42" s="209"/>
      <c r="K42" s="36"/>
      <c r="O42" t="s">
        <v>80</v>
      </c>
      <c r="P42" s="4">
        <v>626</v>
      </c>
      <c r="Q42" s="4">
        <v>111</v>
      </c>
      <c r="R42" s="5">
        <f t="shared" si="0"/>
        <v>737</v>
      </c>
    </row>
    <row r="43" spans="1:18" ht="15.75" x14ac:dyDescent="0.25">
      <c r="A43" s="210" t="s">
        <v>81</v>
      </c>
      <c r="C43" s="11"/>
      <c r="D43" s="12"/>
      <c r="F43" s="59" t="s">
        <v>82</v>
      </c>
      <c r="G43" s="94" t="s">
        <v>83</v>
      </c>
      <c r="H43" s="213" t="s">
        <v>13</v>
      </c>
      <c r="I43" s="214"/>
      <c r="J43" s="215"/>
      <c r="K43" s="21"/>
      <c r="P43" s="4"/>
      <c r="Q43" s="4"/>
      <c r="R43" s="5"/>
    </row>
    <row r="44" spans="1:18" ht="15.75" x14ac:dyDescent="0.25">
      <c r="A44" s="211"/>
      <c r="B44" s="27" t="s">
        <v>66</v>
      </c>
      <c r="C44" s="10"/>
      <c r="D44" s="12">
        <f>C44*120</f>
        <v>0</v>
      </c>
      <c r="F44" s="37"/>
      <c r="G44" s="76"/>
      <c r="H44" s="191"/>
      <c r="I44" s="191"/>
      <c r="J44" s="191"/>
      <c r="K44" s="21"/>
      <c r="P44" s="4"/>
      <c r="Q44" s="4"/>
      <c r="R44" s="5"/>
    </row>
    <row r="45" spans="1:18" ht="15.75" x14ac:dyDescent="0.25">
      <c r="A45" s="211"/>
      <c r="B45" s="27" t="s">
        <v>68</v>
      </c>
      <c r="C45" s="33"/>
      <c r="D45" s="12">
        <f>C45*84</f>
        <v>0</v>
      </c>
      <c r="F45" s="37"/>
      <c r="G45" s="76"/>
      <c r="H45" s="191"/>
      <c r="I45" s="191"/>
      <c r="J45" s="191"/>
      <c r="K45" s="21"/>
      <c r="P45" s="4"/>
      <c r="Q45" s="4"/>
      <c r="R45" s="5"/>
    </row>
    <row r="46" spans="1:18" ht="15.75" x14ac:dyDescent="0.25">
      <c r="A46" s="211"/>
      <c r="B46" s="49" t="s">
        <v>70</v>
      </c>
      <c r="C46" s="81"/>
      <c r="D46" s="12">
        <f>C46*1.5</f>
        <v>0</v>
      </c>
      <c r="F46" s="37"/>
      <c r="G46" s="62"/>
      <c r="H46" s="216"/>
      <c r="I46" s="216"/>
      <c r="J46" s="216"/>
      <c r="K46" s="21"/>
      <c r="P46" s="4"/>
      <c r="Q46" s="4"/>
      <c r="R46" s="5"/>
    </row>
    <row r="47" spans="1:18" ht="15.75" x14ac:dyDescent="0.25">
      <c r="A47" s="212"/>
      <c r="B47" s="27"/>
      <c r="C47" s="11"/>
      <c r="D47" s="12"/>
      <c r="F47" s="59"/>
      <c r="G47" s="59"/>
      <c r="H47" s="217"/>
      <c r="I47" s="218"/>
      <c r="J47" s="219"/>
      <c r="K47" s="21"/>
      <c r="P47" s="4"/>
      <c r="Q47" s="4"/>
      <c r="R47" s="5"/>
    </row>
    <row r="48" spans="1:18" ht="15" customHeight="1" x14ac:dyDescent="0.25">
      <c r="A48" s="210" t="s">
        <v>32</v>
      </c>
      <c r="B48" s="27" t="s">
        <v>66</v>
      </c>
      <c r="C48" s="10"/>
      <c r="D48" s="12">
        <f>C48*78</f>
        <v>0</v>
      </c>
      <c r="F48" s="59"/>
      <c r="G48" s="59"/>
      <c r="H48" s="217"/>
      <c r="I48" s="218"/>
      <c r="J48" s="219"/>
      <c r="K48" s="35"/>
      <c r="O48" t="s">
        <v>84</v>
      </c>
      <c r="P48" s="4">
        <v>1175</v>
      </c>
      <c r="Q48" s="4"/>
      <c r="R48" s="5">
        <f t="shared" si="0"/>
        <v>1175</v>
      </c>
    </row>
    <row r="49" spans="1:18" ht="15.75" x14ac:dyDescent="0.25">
      <c r="A49" s="211"/>
      <c r="B49" s="29" t="s">
        <v>68</v>
      </c>
      <c r="C49" s="33"/>
      <c r="D49" s="12">
        <f>C49*42</f>
        <v>0</v>
      </c>
      <c r="F49" s="232" t="s">
        <v>86</v>
      </c>
      <c r="G49" s="179">
        <f>H34+H35+H36+H37+H38+H39+H40+H41+G42+H44+H45+H46</f>
        <v>0</v>
      </c>
      <c r="H49" s="180"/>
      <c r="I49" s="180"/>
      <c r="J49" s="181"/>
      <c r="O49" t="s">
        <v>85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211"/>
      <c r="B50" s="32" t="s">
        <v>70</v>
      </c>
      <c r="C50" s="11"/>
      <c r="D50" s="12">
        <f>C50*1.5</f>
        <v>0</v>
      </c>
      <c r="F50" s="233"/>
      <c r="G50" s="182"/>
      <c r="H50" s="183"/>
      <c r="I50" s="183"/>
      <c r="J50" s="184"/>
      <c r="P50" s="4"/>
      <c r="Q50" s="4"/>
      <c r="R50" s="5"/>
    </row>
    <row r="51" spans="1:18" ht="15" customHeight="1" x14ac:dyDescent="0.25">
      <c r="A51" s="211"/>
      <c r="B51" s="27"/>
      <c r="C51" s="10"/>
      <c r="D51" s="31"/>
      <c r="F51" s="234" t="s">
        <v>128</v>
      </c>
      <c r="G51" s="236">
        <f>G49-H29</f>
        <v>0</v>
      </c>
      <c r="H51" s="237"/>
      <c r="I51" s="237"/>
      <c r="J51" s="238"/>
      <c r="K51" s="21"/>
      <c r="O51" t="s">
        <v>87</v>
      </c>
      <c r="P51" s="4">
        <v>703</v>
      </c>
      <c r="Q51" s="4">
        <v>120</v>
      </c>
      <c r="R51" s="5">
        <f t="shared" si="0"/>
        <v>823</v>
      </c>
    </row>
    <row r="52" spans="1:18" ht="15.75" x14ac:dyDescent="0.25">
      <c r="A52" s="211"/>
      <c r="B52" s="29"/>
      <c r="C52" s="33"/>
      <c r="D52" s="45"/>
      <c r="F52" s="235"/>
      <c r="G52" s="239"/>
      <c r="H52" s="240"/>
      <c r="I52" s="240"/>
      <c r="J52" s="241"/>
      <c r="K52" s="21"/>
      <c r="O52" t="s">
        <v>88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212"/>
      <c r="B53" s="32"/>
      <c r="C53" s="11"/>
      <c r="D53" s="12"/>
      <c r="F53" s="35"/>
      <c r="G53" s="24"/>
      <c r="H53" s="24"/>
      <c r="I53" s="24"/>
      <c r="J53" s="17"/>
      <c r="N53" s="1"/>
      <c r="O53" t="s">
        <v>89</v>
      </c>
      <c r="P53" s="4">
        <v>1142</v>
      </c>
    </row>
    <row r="54" spans="1:18" x14ac:dyDescent="0.25">
      <c r="A54" s="175" t="s">
        <v>90</v>
      </c>
      <c r="B54" s="220"/>
      <c r="C54" s="221"/>
      <c r="D54" s="224">
        <f>SUM(D34:D53)</f>
        <v>0</v>
      </c>
      <c r="F54" s="21"/>
      <c r="J54" s="34"/>
    </row>
    <row r="55" spans="1:18" x14ac:dyDescent="0.25">
      <c r="A55" s="177"/>
      <c r="B55" s="222"/>
      <c r="C55" s="223"/>
      <c r="D55" s="225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D57" s="34"/>
      <c r="F57" s="36"/>
      <c r="G57" s="50"/>
      <c r="H57" s="50"/>
      <c r="I57" s="50"/>
      <c r="J57" s="43"/>
    </row>
    <row r="58" spans="1:18" x14ac:dyDescent="0.25">
      <c r="A58" s="226" t="s">
        <v>91</v>
      </c>
      <c r="B58" s="227"/>
      <c r="C58" s="227"/>
      <c r="D58" s="228"/>
      <c r="F58" s="226" t="s">
        <v>92</v>
      </c>
      <c r="G58" s="227"/>
      <c r="H58" s="227"/>
      <c r="I58" s="227"/>
      <c r="J58" s="228"/>
    </row>
    <row r="59" spans="1:18" x14ac:dyDescent="0.25">
      <c r="A59" s="229"/>
      <c r="B59" s="230"/>
      <c r="C59" s="230"/>
      <c r="D59" s="231"/>
      <c r="F59" s="229"/>
      <c r="G59" s="230"/>
      <c r="H59" s="230"/>
      <c r="I59" s="230"/>
      <c r="J59" s="231"/>
    </row>
  </sheetData>
  <mergeCells count="68"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  <mergeCell ref="H13:J13"/>
    <mergeCell ref="F14:G14"/>
    <mergeCell ref="H14:J14"/>
    <mergeCell ref="F15:G15"/>
    <mergeCell ref="H15:J15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A32:D32"/>
    <mergeCell ref="F32:J32"/>
    <mergeCell ref="H33:J33"/>
    <mergeCell ref="A34:A36"/>
    <mergeCell ref="H34:J34"/>
    <mergeCell ref="H35:J35"/>
    <mergeCell ref="H36:J36"/>
    <mergeCell ref="A37:A39"/>
    <mergeCell ref="H37:J37"/>
    <mergeCell ref="H38:J38"/>
    <mergeCell ref="H39:J39"/>
    <mergeCell ref="A40:A42"/>
    <mergeCell ref="H40:J40"/>
    <mergeCell ref="H41:J41"/>
    <mergeCell ref="G42:J42"/>
    <mergeCell ref="A43:A47"/>
    <mergeCell ref="H43:J43"/>
    <mergeCell ref="H44:J44"/>
    <mergeCell ref="H45:J45"/>
    <mergeCell ref="H46:J46"/>
    <mergeCell ref="H47:J47"/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EBE06BE-C669-4BAC-A79D-CC5FB9AA31E7}">
  <dimension ref="A1:R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bestFit="1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113" t="s">
        <v>1</v>
      </c>
      <c r="O1" s="113"/>
      <c r="P1" s="90" t="s">
        <v>2</v>
      </c>
      <c r="Q1" s="90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14" t="s">
        <v>7</v>
      </c>
      <c r="B4" s="115"/>
      <c r="C4" s="115"/>
      <c r="D4" s="116"/>
      <c r="F4" s="117" t="s">
        <v>8</v>
      </c>
      <c r="G4" s="119">
        <v>1</v>
      </c>
      <c r="H4" s="121" t="s">
        <v>9</v>
      </c>
      <c r="I4" s="123">
        <v>45967</v>
      </c>
      <c r="J4" s="124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27" t="s">
        <v>7</v>
      </c>
      <c r="B5" s="15" t="s">
        <v>11</v>
      </c>
      <c r="C5" s="9" t="s">
        <v>12</v>
      </c>
      <c r="D5" s="25" t="s">
        <v>13</v>
      </c>
      <c r="F5" s="118"/>
      <c r="G5" s="120"/>
      <c r="H5" s="122"/>
      <c r="I5" s="125"/>
      <c r="J5" s="126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28"/>
      <c r="B6" s="16" t="s">
        <v>15</v>
      </c>
      <c r="C6" s="89">
        <v>134</v>
      </c>
      <c r="D6" s="13">
        <f t="shared" ref="D6:D28" si="1">C6*L6</f>
        <v>98758</v>
      </c>
      <c r="F6" s="130" t="s">
        <v>16</v>
      </c>
      <c r="G6" s="132" t="s">
        <v>129</v>
      </c>
      <c r="H6" s="133"/>
      <c r="I6" s="133"/>
      <c r="J6" s="134"/>
      <c r="K6" s="8"/>
      <c r="L6" s="6">
        <f>R42</f>
        <v>737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28"/>
      <c r="B7" s="16" t="s">
        <v>18</v>
      </c>
      <c r="C7" s="89"/>
      <c r="D7" s="13">
        <f t="shared" si="1"/>
        <v>0</v>
      </c>
      <c r="F7" s="131"/>
      <c r="G7" s="135"/>
      <c r="H7" s="136"/>
      <c r="I7" s="136"/>
      <c r="J7" s="137"/>
      <c r="K7" s="8"/>
      <c r="L7" s="6">
        <f>R41</f>
        <v>725</v>
      </c>
      <c r="P7" s="4"/>
      <c r="Q7" s="4"/>
      <c r="R7" s="5"/>
    </row>
    <row r="8" spans="1:18" ht="14.45" customHeight="1" x14ac:dyDescent="0.25">
      <c r="A8" s="128"/>
      <c r="B8" s="16" t="s">
        <v>20</v>
      </c>
      <c r="C8" s="89"/>
      <c r="D8" s="13">
        <f t="shared" si="1"/>
        <v>0</v>
      </c>
      <c r="F8" s="138" t="s">
        <v>21</v>
      </c>
      <c r="G8" s="140" t="s">
        <v>112</v>
      </c>
      <c r="H8" s="141"/>
      <c r="I8" s="141"/>
      <c r="J8" s="142"/>
      <c r="K8" s="8"/>
      <c r="L8" s="6">
        <f>R40</f>
        <v>1033</v>
      </c>
      <c r="P8" s="4"/>
      <c r="Q8" s="4"/>
      <c r="R8" s="5"/>
    </row>
    <row r="9" spans="1:18" ht="14.45" customHeight="1" x14ac:dyDescent="0.25">
      <c r="A9" s="128"/>
      <c r="B9" s="16" t="s">
        <v>23</v>
      </c>
      <c r="C9" s="89">
        <v>6</v>
      </c>
      <c r="D9" s="13">
        <f t="shared" si="1"/>
        <v>4242</v>
      </c>
      <c r="F9" s="131"/>
      <c r="G9" s="143"/>
      <c r="H9" s="144"/>
      <c r="I9" s="144"/>
      <c r="J9" s="145"/>
      <c r="K9" s="8"/>
      <c r="L9" s="6">
        <f>R38</f>
        <v>707</v>
      </c>
      <c r="P9" s="4"/>
      <c r="Q9" s="4"/>
      <c r="R9" s="5"/>
    </row>
    <row r="10" spans="1:18" ht="14.45" customHeight="1" x14ac:dyDescent="0.25">
      <c r="A10" s="128"/>
      <c r="B10" t="s">
        <v>25</v>
      </c>
      <c r="C10" s="89"/>
      <c r="D10" s="13">
        <f t="shared" si="1"/>
        <v>0</v>
      </c>
      <c r="F10" s="130" t="s">
        <v>26</v>
      </c>
      <c r="G10" s="146" t="s">
        <v>130</v>
      </c>
      <c r="H10" s="147"/>
      <c r="I10" s="147"/>
      <c r="J10" s="148"/>
      <c r="K10" s="8"/>
      <c r="L10" s="6">
        <f>R36</f>
        <v>972</v>
      </c>
      <c r="P10" s="4"/>
      <c r="Q10" s="4"/>
      <c r="R10" s="5"/>
    </row>
    <row r="11" spans="1:18" ht="15.75" x14ac:dyDescent="0.25">
      <c r="A11" s="128"/>
      <c r="B11" s="17" t="s">
        <v>28</v>
      </c>
      <c r="C11" s="89"/>
      <c r="D11" s="13">
        <f t="shared" si="1"/>
        <v>0</v>
      </c>
      <c r="F11" s="131"/>
      <c r="G11" s="143"/>
      <c r="H11" s="144"/>
      <c r="I11" s="144"/>
      <c r="J11" s="145"/>
      <c r="K11" s="22"/>
      <c r="L11" s="6">
        <f>R32</f>
        <v>1125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28"/>
      <c r="B12" s="17" t="s">
        <v>30</v>
      </c>
      <c r="C12" s="89"/>
      <c r="D12" s="48">
        <f t="shared" si="1"/>
        <v>0</v>
      </c>
      <c r="F12" s="149" t="s">
        <v>33</v>
      </c>
      <c r="G12" s="150"/>
      <c r="H12" s="150"/>
      <c r="I12" s="150"/>
      <c r="J12" s="151"/>
      <c r="K12" s="23"/>
      <c r="L12" s="6">
        <f>R34</f>
        <v>952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28"/>
      <c r="B13" s="17" t="s">
        <v>32</v>
      </c>
      <c r="C13" s="89">
        <v>3</v>
      </c>
      <c r="D13" s="48">
        <f t="shared" si="1"/>
        <v>921</v>
      </c>
      <c r="F13" s="152" t="s">
        <v>36</v>
      </c>
      <c r="G13" s="153"/>
      <c r="H13" s="154">
        <f>D29</f>
        <v>106155</v>
      </c>
      <c r="I13" s="155"/>
      <c r="J13" s="156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28"/>
      <c r="B14" s="14" t="s">
        <v>35</v>
      </c>
      <c r="C14" s="89">
        <v>4</v>
      </c>
      <c r="D14" s="31">
        <f t="shared" si="1"/>
        <v>44</v>
      </c>
      <c r="F14" s="157" t="s">
        <v>39</v>
      </c>
      <c r="G14" s="158"/>
      <c r="H14" s="159">
        <f>D54</f>
        <v>15195.75</v>
      </c>
      <c r="I14" s="160"/>
      <c r="J14" s="161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28"/>
      <c r="B15" s="14" t="s">
        <v>38</v>
      </c>
      <c r="C15" s="89">
        <v>1</v>
      </c>
      <c r="D15" s="31">
        <f t="shared" si="1"/>
        <v>620</v>
      </c>
      <c r="F15" s="162" t="s">
        <v>40</v>
      </c>
      <c r="G15" s="153"/>
      <c r="H15" s="163">
        <f>H13-H14</f>
        <v>90959.25</v>
      </c>
      <c r="I15" s="164"/>
      <c r="J15" s="165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28"/>
      <c r="B16" s="18" t="s">
        <v>94</v>
      </c>
      <c r="C16" s="89"/>
      <c r="D16" s="48">
        <f t="shared" si="1"/>
        <v>0</v>
      </c>
      <c r="F16" s="67" t="s">
        <v>42</v>
      </c>
      <c r="G16" s="66" t="s">
        <v>43</v>
      </c>
      <c r="H16" s="166"/>
      <c r="I16" s="166"/>
      <c r="J16" s="166"/>
      <c r="L16" s="6">
        <f>R28</f>
        <v>1567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28"/>
      <c r="B17" t="s">
        <v>140</v>
      </c>
      <c r="C17" s="89"/>
      <c r="D17" s="48">
        <f t="shared" si="1"/>
        <v>0</v>
      </c>
      <c r="F17" s="56"/>
      <c r="G17" s="66" t="s">
        <v>45</v>
      </c>
      <c r="H17" s="139"/>
      <c r="I17" s="139"/>
      <c r="J17" s="139"/>
      <c r="L17" s="6">
        <f>1582</f>
        <v>1582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28"/>
      <c r="B18" s="19" t="s">
        <v>95</v>
      </c>
      <c r="C18" s="89"/>
      <c r="D18" s="48">
        <f t="shared" si="1"/>
        <v>0</v>
      </c>
      <c r="F18" s="56"/>
      <c r="G18" s="66" t="s">
        <v>47</v>
      </c>
      <c r="H18" s="139"/>
      <c r="I18" s="139"/>
      <c r="J18" s="139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28"/>
      <c r="B19" s="14" t="s">
        <v>136</v>
      </c>
      <c r="C19" s="89"/>
      <c r="D19" s="48">
        <f t="shared" si="1"/>
        <v>0</v>
      </c>
      <c r="F19" s="56"/>
      <c r="G19" s="68" t="s">
        <v>50</v>
      </c>
      <c r="H19" s="139"/>
      <c r="I19" s="139"/>
      <c r="J19" s="139"/>
      <c r="L19" s="6">
        <v>1102</v>
      </c>
      <c r="Q19" s="4"/>
      <c r="R19" s="5">
        <f t="shared" si="0"/>
        <v>0</v>
      </c>
    </row>
    <row r="20" spans="1:18" ht="15.75" x14ac:dyDescent="0.25">
      <c r="A20" s="128"/>
      <c r="B20" s="83" t="s">
        <v>125</v>
      </c>
      <c r="C20" s="89"/>
      <c r="D20" s="13">
        <f t="shared" si="1"/>
        <v>0</v>
      </c>
      <c r="F20" s="57"/>
      <c r="G20" s="70" t="s">
        <v>120</v>
      </c>
      <c r="H20" s="166"/>
      <c r="I20" s="166"/>
      <c r="J20" s="166"/>
      <c r="L20" s="6">
        <f>R39</f>
        <v>1175</v>
      </c>
      <c r="N20" s="1" t="s">
        <v>41</v>
      </c>
      <c r="Q20" s="4"/>
      <c r="R20" s="5">
        <f t="shared" si="0"/>
        <v>0</v>
      </c>
    </row>
    <row r="21" spans="1:18" ht="15.75" x14ac:dyDescent="0.25">
      <c r="A21" s="128"/>
      <c r="B21" s="14" t="s">
        <v>138</v>
      </c>
      <c r="C21" s="89"/>
      <c r="D21" s="48">
        <f t="shared" si="1"/>
        <v>0</v>
      </c>
      <c r="F21" s="69" t="s">
        <v>99</v>
      </c>
      <c r="G21" s="82" t="s">
        <v>98</v>
      </c>
      <c r="H21" s="186" t="s">
        <v>13</v>
      </c>
      <c r="I21" s="187"/>
      <c r="J21" s="188"/>
      <c r="L21" s="7">
        <v>650</v>
      </c>
      <c r="O21" t="s">
        <v>44</v>
      </c>
      <c r="P21" s="4">
        <v>1447</v>
      </c>
      <c r="Q21" s="4">
        <v>120</v>
      </c>
      <c r="R21" s="5">
        <f t="shared" si="0"/>
        <v>1567</v>
      </c>
    </row>
    <row r="22" spans="1:18" ht="15.75" x14ac:dyDescent="0.25">
      <c r="A22" s="128"/>
      <c r="B22" s="46" t="s">
        <v>127</v>
      </c>
      <c r="C22" s="89"/>
      <c r="D22" s="48">
        <f t="shared" si="1"/>
        <v>0</v>
      </c>
      <c r="F22" s="77"/>
      <c r="G22" s="73"/>
      <c r="H22" s="189"/>
      <c r="I22" s="189"/>
      <c r="J22" s="189"/>
      <c r="L22" s="7">
        <v>1582</v>
      </c>
      <c r="O22" t="s">
        <v>46</v>
      </c>
      <c r="P22" s="4">
        <v>1582</v>
      </c>
      <c r="Q22" s="4"/>
      <c r="R22" s="5">
        <f t="shared" si="0"/>
        <v>1582</v>
      </c>
    </row>
    <row r="23" spans="1:18" ht="15.75" x14ac:dyDescent="0.25">
      <c r="A23" s="128"/>
      <c r="B23" s="14" t="s">
        <v>101</v>
      </c>
      <c r="C23" s="89"/>
      <c r="D23" s="48">
        <f t="shared" si="1"/>
        <v>0</v>
      </c>
      <c r="F23" s="77"/>
      <c r="G23" s="79"/>
      <c r="H23" s="242"/>
      <c r="I23" s="243"/>
      <c r="J23" s="243"/>
      <c r="L23" s="47">
        <v>1667</v>
      </c>
      <c r="N23" s="1"/>
      <c r="O23" t="s">
        <v>48</v>
      </c>
      <c r="P23" s="4">
        <v>1728</v>
      </c>
      <c r="Q23" s="4"/>
      <c r="R23" s="5">
        <f t="shared" si="0"/>
        <v>1728</v>
      </c>
    </row>
    <row r="24" spans="1:18" ht="15.75" x14ac:dyDescent="0.25">
      <c r="A24" s="128"/>
      <c r="B24" s="14" t="s">
        <v>121</v>
      </c>
      <c r="C24" s="89"/>
      <c r="D24" s="48">
        <f t="shared" si="1"/>
        <v>0</v>
      </c>
      <c r="F24" s="77"/>
      <c r="G24" s="79"/>
      <c r="H24" s="242"/>
      <c r="I24" s="243"/>
      <c r="J24" s="243"/>
      <c r="L24" s="47">
        <f>913/24+1.5</f>
        <v>39.541666666666664</v>
      </c>
      <c r="N24" s="1"/>
      <c r="O24" t="s">
        <v>49</v>
      </c>
      <c r="P24" s="4">
        <v>1728</v>
      </c>
      <c r="Q24" s="4"/>
      <c r="R24" s="5">
        <f t="shared" si="0"/>
        <v>1728</v>
      </c>
    </row>
    <row r="25" spans="1:18" ht="15.75" x14ac:dyDescent="0.25">
      <c r="A25" s="128"/>
      <c r="B25" s="14" t="s">
        <v>141</v>
      </c>
      <c r="C25" s="89"/>
      <c r="D25" s="48">
        <f t="shared" si="1"/>
        <v>0</v>
      </c>
      <c r="F25" s="60" t="s">
        <v>100</v>
      </c>
      <c r="G25" s="55" t="s">
        <v>98</v>
      </c>
      <c r="H25" s="192" t="s">
        <v>13</v>
      </c>
      <c r="I25" s="193"/>
      <c r="J25" s="194"/>
      <c r="L25" s="47">
        <f>1052+120</f>
        <v>1172</v>
      </c>
      <c r="O25" t="s">
        <v>51</v>
      </c>
      <c r="P25" s="4">
        <v>1582</v>
      </c>
      <c r="Q25" s="4"/>
      <c r="R25" s="5">
        <f t="shared" si="0"/>
        <v>1582</v>
      </c>
    </row>
    <row r="26" spans="1:18" ht="15.75" x14ac:dyDescent="0.25">
      <c r="A26" s="128"/>
      <c r="B26" s="14" t="s">
        <v>139</v>
      </c>
      <c r="C26" s="89"/>
      <c r="D26" s="48">
        <f t="shared" si="1"/>
        <v>0</v>
      </c>
      <c r="F26" s="75"/>
      <c r="G26" s="65"/>
      <c r="H26" s="191"/>
      <c r="I26" s="191"/>
      <c r="J26" s="191"/>
      <c r="L26" s="7">
        <f>1447+120</f>
        <v>1567</v>
      </c>
      <c r="O26" t="s">
        <v>52</v>
      </c>
      <c r="P26" s="4">
        <v>1447</v>
      </c>
      <c r="Q26" s="4">
        <v>120</v>
      </c>
      <c r="R26" s="5">
        <f t="shared" si="0"/>
        <v>1567</v>
      </c>
    </row>
    <row r="27" spans="1:18" ht="14.45" customHeight="1" x14ac:dyDescent="0.25">
      <c r="A27" s="128"/>
      <c r="B27" s="14" t="s">
        <v>110</v>
      </c>
      <c r="C27" s="89"/>
      <c r="D27" s="44">
        <f t="shared" si="1"/>
        <v>0</v>
      </c>
      <c r="F27" s="71"/>
      <c r="G27" s="94"/>
      <c r="H27" s="244"/>
      <c r="I27" s="245"/>
      <c r="J27" s="245"/>
      <c r="L27" s="7">
        <v>1142</v>
      </c>
      <c r="O27" t="s">
        <v>53</v>
      </c>
      <c r="P27" s="4">
        <v>1582</v>
      </c>
      <c r="Q27" s="4"/>
      <c r="R27" s="5">
        <f t="shared" si="0"/>
        <v>1582</v>
      </c>
    </row>
    <row r="28" spans="1:18" ht="15.75" x14ac:dyDescent="0.25">
      <c r="A28" s="129"/>
      <c r="B28" s="46" t="s">
        <v>97</v>
      </c>
      <c r="C28" s="89">
        <v>2</v>
      </c>
      <c r="D28" s="48">
        <f t="shared" si="1"/>
        <v>1570</v>
      </c>
      <c r="F28" s="91"/>
      <c r="G28" s="61"/>
      <c r="H28" s="201"/>
      <c r="I28" s="202"/>
      <c r="J28" s="203"/>
      <c r="L28" s="7">
        <v>785</v>
      </c>
      <c r="O28" t="s">
        <v>54</v>
      </c>
      <c r="P28" s="4">
        <v>1447</v>
      </c>
      <c r="Q28" s="4">
        <v>120</v>
      </c>
      <c r="R28" s="5">
        <f t="shared" si="0"/>
        <v>1567</v>
      </c>
    </row>
    <row r="29" spans="1:18" x14ac:dyDescent="0.25">
      <c r="A29" s="167" t="s">
        <v>36</v>
      </c>
      <c r="B29" s="168"/>
      <c r="C29" s="169"/>
      <c r="D29" s="173">
        <f>SUM(D6:D28)</f>
        <v>106155</v>
      </c>
      <c r="F29" s="175" t="s">
        <v>55</v>
      </c>
      <c r="G29" s="176"/>
      <c r="H29" s="179">
        <f>H15-H16-H17-H18-H19-H20-H22-H23-H24+H26+H27+H28</f>
        <v>90959.25</v>
      </c>
      <c r="I29" s="180"/>
      <c r="J29" s="181"/>
      <c r="O29" t="s">
        <v>56</v>
      </c>
      <c r="P29" s="4">
        <v>1582</v>
      </c>
      <c r="Q29" s="4"/>
      <c r="R29" s="5">
        <f t="shared" si="0"/>
        <v>1582</v>
      </c>
    </row>
    <row r="30" spans="1:18" x14ac:dyDescent="0.25">
      <c r="A30" s="170"/>
      <c r="B30" s="171"/>
      <c r="C30" s="172"/>
      <c r="D30" s="174"/>
      <c r="F30" s="177"/>
      <c r="G30" s="178"/>
      <c r="H30" s="182"/>
      <c r="I30" s="183"/>
      <c r="J30" s="184"/>
      <c r="N30" s="1"/>
      <c r="Q30" s="4"/>
      <c r="R30" s="5">
        <f t="shared" si="0"/>
        <v>0</v>
      </c>
    </row>
    <row r="31" spans="1:18" x14ac:dyDescent="0.25">
      <c r="A31" s="24"/>
      <c r="B31" s="24"/>
      <c r="C31" s="24"/>
      <c r="D31" s="24"/>
      <c r="F31" s="24"/>
      <c r="G31" s="24"/>
      <c r="O31" t="s">
        <v>57</v>
      </c>
      <c r="P31" s="4">
        <v>1052</v>
      </c>
      <c r="Q31" s="4">
        <v>120</v>
      </c>
      <c r="R31" s="5">
        <f t="shared" si="0"/>
        <v>1172</v>
      </c>
    </row>
    <row r="32" spans="1:18" x14ac:dyDescent="0.25">
      <c r="A32" s="114" t="s">
        <v>58</v>
      </c>
      <c r="B32" s="115"/>
      <c r="C32" s="115"/>
      <c r="D32" s="116"/>
      <c r="F32" s="204" t="s">
        <v>59</v>
      </c>
      <c r="G32" s="205"/>
      <c r="H32" s="205"/>
      <c r="I32" s="205"/>
      <c r="J32" s="206"/>
      <c r="O32" t="s">
        <v>60</v>
      </c>
      <c r="P32" s="4">
        <v>1005</v>
      </c>
      <c r="Q32" s="4">
        <v>120</v>
      </c>
      <c r="R32" s="5">
        <f t="shared" si="0"/>
        <v>1125</v>
      </c>
    </row>
    <row r="33" spans="1:18" x14ac:dyDescent="0.25">
      <c r="A33" s="25"/>
      <c r="B33" s="25" t="s">
        <v>11</v>
      </c>
      <c r="C33" s="25" t="s">
        <v>61</v>
      </c>
      <c r="D33" s="25" t="s">
        <v>13</v>
      </c>
      <c r="F33" s="25" t="s">
        <v>62</v>
      </c>
      <c r="G33" s="92" t="s">
        <v>63</v>
      </c>
      <c r="H33" s="204" t="s">
        <v>13</v>
      </c>
      <c r="I33" s="205"/>
      <c r="J33" s="206"/>
      <c r="O33" t="s">
        <v>64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27" t="s">
        <v>65</v>
      </c>
      <c r="B34" s="26" t="s">
        <v>66</v>
      </c>
      <c r="C34" s="51"/>
      <c r="D34" s="30">
        <f>C34*120</f>
        <v>0</v>
      </c>
      <c r="F34" s="12">
        <v>1000</v>
      </c>
      <c r="G34" s="40">
        <v>81</v>
      </c>
      <c r="H34" s="207">
        <f t="shared" ref="H34:H39" si="2">F34*G34</f>
        <v>81000</v>
      </c>
      <c r="I34" s="208"/>
      <c r="J34" s="209"/>
      <c r="O34" t="s">
        <v>67</v>
      </c>
      <c r="P34" s="4">
        <v>832</v>
      </c>
      <c r="Q34" s="4">
        <v>120</v>
      </c>
      <c r="R34" s="5">
        <f t="shared" si="0"/>
        <v>952</v>
      </c>
    </row>
    <row r="35" spans="1:18" ht="15.75" x14ac:dyDescent="0.25">
      <c r="A35" s="128"/>
      <c r="B35" s="27" t="s">
        <v>68</v>
      </c>
      <c r="C35" s="52"/>
      <c r="D35" s="30">
        <f>C35*84</f>
        <v>0</v>
      </c>
      <c r="F35" s="58">
        <v>500</v>
      </c>
      <c r="G35" s="41">
        <v>10</v>
      </c>
      <c r="H35" s="207">
        <f t="shared" si="2"/>
        <v>5000</v>
      </c>
      <c r="I35" s="208"/>
      <c r="J35" s="209"/>
      <c r="O35" t="s">
        <v>69</v>
      </c>
      <c r="P35" s="4">
        <v>1102</v>
      </c>
      <c r="Q35" s="4"/>
      <c r="R35" s="5">
        <f t="shared" si="0"/>
        <v>1102</v>
      </c>
    </row>
    <row r="36" spans="1:18" ht="15.75" x14ac:dyDescent="0.25">
      <c r="A36" s="129"/>
      <c r="B36" s="26" t="s">
        <v>70</v>
      </c>
      <c r="C36" s="10"/>
      <c r="D36" s="12">
        <f>C36*1.5</f>
        <v>0</v>
      </c>
      <c r="F36" s="12">
        <v>200</v>
      </c>
      <c r="G36" s="37"/>
      <c r="H36" s="207">
        <f t="shared" si="2"/>
        <v>0</v>
      </c>
      <c r="I36" s="208"/>
      <c r="J36" s="209"/>
      <c r="O36" t="s">
        <v>71</v>
      </c>
      <c r="P36" s="4">
        <v>852</v>
      </c>
      <c r="Q36" s="4">
        <v>120</v>
      </c>
      <c r="R36" s="5">
        <f t="shared" si="0"/>
        <v>972</v>
      </c>
    </row>
    <row r="37" spans="1:18" ht="15.75" x14ac:dyDescent="0.25">
      <c r="A37" s="127" t="s">
        <v>72</v>
      </c>
      <c r="B37" s="28" t="s">
        <v>66</v>
      </c>
      <c r="C37" s="53">
        <v>131</v>
      </c>
      <c r="D37" s="12">
        <f>C37*111</f>
        <v>14541</v>
      </c>
      <c r="F37" s="12">
        <v>100</v>
      </c>
      <c r="G37" s="39">
        <v>44</v>
      </c>
      <c r="H37" s="207">
        <f t="shared" si="2"/>
        <v>4400</v>
      </c>
      <c r="I37" s="208"/>
      <c r="J37" s="209"/>
      <c r="O37" t="s">
        <v>73</v>
      </c>
      <c r="P37" s="4">
        <v>1020</v>
      </c>
      <c r="Q37" s="4">
        <v>120</v>
      </c>
      <c r="R37" s="5">
        <f t="shared" si="0"/>
        <v>1140</v>
      </c>
    </row>
    <row r="38" spans="1:18" ht="15.75" x14ac:dyDescent="0.25">
      <c r="A38" s="128"/>
      <c r="B38" s="29" t="s">
        <v>68</v>
      </c>
      <c r="C38" s="54">
        <v>2</v>
      </c>
      <c r="D38" s="12">
        <f>C38*84</f>
        <v>168</v>
      </c>
      <c r="F38" s="30">
        <v>50</v>
      </c>
      <c r="G38" s="39">
        <v>7</v>
      </c>
      <c r="H38" s="207">
        <f t="shared" si="2"/>
        <v>350</v>
      </c>
      <c r="I38" s="208"/>
      <c r="J38" s="209"/>
      <c r="O38" t="s">
        <v>74</v>
      </c>
      <c r="P38" s="4">
        <v>596</v>
      </c>
      <c r="Q38" s="4">
        <v>111</v>
      </c>
      <c r="R38" s="5">
        <f t="shared" si="0"/>
        <v>707</v>
      </c>
    </row>
    <row r="39" spans="1:18" ht="15.75" x14ac:dyDescent="0.25">
      <c r="A39" s="129"/>
      <c r="B39" s="29" t="s">
        <v>70</v>
      </c>
      <c r="C39" s="52">
        <v>4</v>
      </c>
      <c r="D39" s="31">
        <f>C39*4.5</f>
        <v>18</v>
      </c>
      <c r="F39" s="12">
        <v>20</v>
      </c>
      <c r="G39" s="37"/>
      <c r="H39" s="207">
        <f t="shared" si="2"/>
        <v>0</v>
      </c>
      <c r="I39" s="208"/>
      <c r="J39" s="209"/>
      <c r="O39" t="s">
        <v>75</v>
      </c>
      <c r="P39" s="4">
        <v>1175</v>
      </c>
      <c r="Q39" s="4"/>
      <c r="R39" s="5">
        <f t="shared" si="0"/>
        <v>1175</v>
      </c>
    </row>
    <row r="40" spans="1:18" ht="15.75" x14ac:dyDescent="0.25">
      <c r="A40" s="127" t="s">
        <v>76</v>
      </c>
      <c r="B40" s="27" t="s">
        <v>66</v>
      </c>
      <c r="C40" s="63"/>
      <c r="D40" s="12">
        <f>C40*111</f>
        <v>0</v>
      </c>
      <c r="F40" s="12">
        <v>10</v>
      </c>
      <c r="G40" s="42"/>
      <c r="H40" s="207"/>
      <c r="I40" s="208"/>
      <c r="J40" s="209"/>
      <c r="O40" t="s">
        <v>77</v>
      </c>
      <c r="P40" s="4">
        <v>913</v>
      </c>
      <c r="Q40" s="4">
        <v>120</v>
      </c>
      <c r="R40" s="5">
        <f t="shared" si="0"/>
        <v>1033</v>
      </c>
    </row>
    <row r="41" spans="1:18" ht="15.75" x14ac:dyDescent="0.25">
      <c r="A41" s="128"/>
      <c r="B41" s="27" t="s">
        <v>68</v>
      </c>
      <c r="C41" s="10"/>
      <c r="D41" s="12">
        <f>C41*84</f>
        <v>0</v>
      </c>
      <c r="F41" s="12">
        <v>5</v>
      </c>
      <c r="G41" s="42"/>
      <c r="H41" s="207"/>
      <c r="I41" s="208"/>
      <c r="J41" s="209"/>
      <c r="K41" s="21"/>
      <c r="O41" t="s">
        <v>78</v>
      </c>
      <c r="P41" s="4">
        <v>614</v>
      </c>
      <c r="Q41" s="4">
        <v>111</v>
      </c>
      <c r="R41" s="5">
        <f t="shared" si="0"/>
        <v>725</v>
      </c>
    </row>
    <row r="42" spans="1:18" ht="15.75" x14ac:dyDescent="0.25">
      <c r="A42" s="129"/>
      <c r="B42" s="27" t="s">
        <v>70</v>
      </c>
      <c r="C42" s="11">
        <v>1</v>
      </c>
      <c r="D42" s="12">
        <f>C42*2.25</f>
        <v>2.25</v>
      </c>
      <c r="F42" s="39" t="s">
        <v>79</v>
      </c>
      <c r="G42" s="207">
        <v>80</v>
      </c>
      <c r="H42" s="208"/>
      <c r="I42" s="208"/>
      <c r="J42" s="209"/>
      <c r="K42" s="36"/>
      <c r="O42" t="s">
        <v>80</v>
      </c>
      <c r="P42" s="4">
        <v>626</v>
      </c>
      <c r="Q42" s="4">
        <v>111</v>
      </c>
      <c r="R42" s="5">
        <f t="shared" si="0"/>
        <v>737</v>
      </c>
    </row>
    <row r="43" spans="1:18" ht="15.75" x14ac:dyDescent="0.25">
      <c r="A43" s="210" t="s">
        <v>81</v>
      </c>
      <c r="C43" s="11"/>
      <c r="D43" s="12"/>
      <c r="F43" s="59" t="s">
        <v>82</v>
      </c>
      <c r="G43" s="94" t="s">
        <v>83</v>
      </c>
      <c r="H43" s="213" t="s">
        <v>13</v>
      </c>
      <c r="I43" s="214"/>
      <c r="J43" s="215"/>
      <c r="K43" s="21"/>
      <c r="O43" t="s">
        <v>103</v>
      </c>
      <c r="P43" s="4">
        <v>1667</v>
      </c>
      <c r="Q43" s="4"/>
      <c r="R43" s="5"/>
    </row>
    <row r="44" spans="1:18" ht="15.75" x14ac:dyDescent="0.25">
      <c r="A44" s="211"/>
      <c r="B44" s="27" t="s">
        <v>66</v>
      </c>
      <c r="C44" s="10">
        <v>1</v>
      </c>
      <c r="D44" s="12">
        <f>C44*120</f>
        <v>120</v>
      </c>
      <c r="F44" s="37"/>
      <c r="G44" s="62"/>
      <c r="H44" s="191"/>
      <c r="I44" s="191"/>
      <c r="J44" s="191"/>
      <c r="K44" s="21"/>
      <c r="O44" t="s">
        <v>106</v>
      </c>
      <c r="P44" s="4">
        <f>785-120</f>
        <v>665</v>
      </c>
      <c r="Q44" s="4">
        <v>120</v>
      </c>
      <c r="R44" s="5">
        <f>Q44+P44</f>
        <v>785</v>
      </c>
    </row>
    <row r="45" spans="1:18" ht="15.75" x14ac:dyDescent="0.25">
      <c r="A45" s="211"/>
      <c r="B45" s="27" t="s">
        <v>68</v>
      </c>
      <c r="C45" s="33"/>
      <c r="D45" s="12">
        <f>C45*84</f>
        <v>0</v>
      </c>
      <c r="F45" s="37"/>
      <c r="G45" s="62"/>
      <c r="H45" s="191"/>
      <c r="I45" s="191"/>
      <c r="J45" s="191"/>
      <c r="K45" s="21"/>
      <c r="P45" s="4"/>
      <c r="Q45" s="4"/>
      <c r="R45" s="5"/>
    </row>
    <row r="46" spans="1:18" ht="15.75" x14ac:dyDescent="0.25">
      <c r="A46" s="211"/>
      <c r="B46" s="49" t="s">
        <v>70</v>
      </c>
      <c r="C46" s="81"/>
      <c r="D46" s="12">
        <f>C46*1.5</f>
        <v>0</v>
      </c>
      <c r="F46" s="37"/>
      <c r="G46" s="62"/>
      <c r="H46" s="191"/>
      <c r="I46" s="191"/>
      <c r="J46" s="191"/>
      <c r="K46" s="21"/>
      <c r="P46" s="4"/>
      <c r="Q46" s="4"/>
      <c r="R46" s="5"/>
    </row>
    <row r="47" spans="1:18" ht="15.75" x14ac:dyDescent="0.25">
      <c r="A47" s="212"/>
      <c r="B47" s="27"/>
      <c r="C47" s="11"/>
      <c r="D47" s="12"/>
      <c r="F47" s="59"/>
      <c r="G47" s="59"/>
      <c r="H47" s="217"/>
      <c r="I47" s="218"/>
      <c r="J47" s="219"/>
      <c r="K47" s="21"/>
      <c r="P47" s="4"/>
      <c r="Q47" s="4"/>
      <c r="R47" s="5"/>
    </row>
    <row r="48" spans="1:18" ht="15" customHeight="1" x14ac:dyDescent="0.25">
      <c r="A48" s="210" t="s">
        <v>32</v>
      </c>
      <c r="B48" s="27" t="s">
        <v>66</v>
      </c>
      <c r="C48" s="10">
        <v>3</v>
      </c>
      <c r="D48" s="12">
        <f>C48*78</f>
        <v>234</v>
      </c>
      <c r="F48" s="59"/>
      <c r="G48" s="59"/>
      <c r="H48" s="217"/>
      <c r="I48" s="218"/>
      <c r="J48" s="219"/>
      <c r="K48" s="35"/>
      <c r="O48" t="s">
        <v>84</v>
      </c>
      <c r="P48" s="4">
        <v>1175</v>
      </c>
      <c r="Q48" s="4"/>
      <c r="R48" s="5">
        <f t="shared" si="0"/>
        <v>1175</v>
      </c>
    </row>
    <row r="49" spans="1:18" ht="15.75" x14ac:dyDescent="0.25">
      <c r="A49" s="211"/>
      <c r="B49" s="29" t="s">
        <v>68</v>
      </c>
      <c r="C49" s="33"/>
      <c r="D49" s="12">
        <f>C49*42</f>
        <v>0</v>
      </c>
      <c r="F49" s="232" t="s">
        <v>86</v>
      </c>
      <c r="G49" s="179">
        <f>H34+H35+H36+H37+H38+H39+H40+H41+G42+H44+H45+H46</f>
        <v>90830</v>
      </c>
      <c r="H49" s="180"/>
      <c r="I49" s="180"/>
      <c r="J49" s="181"/>
      <c r="O49" t="s">
        <v>85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211"/>
      <c r="B50" s="32" t="s">
        <v>70</v>
      </c>
      <c r="C50" s="11">
        <v>75</v>
      </c>
      <c r="D50" s="12">
        <f>C50*1.5</f>
        <v>112.5</v>
      </c>
      <c r="F50" s="233"/>
      <c r="G50" s="182"/>
      <c r="H50" s="183"/>
      <c r="I50" s="183"/>
      <c r="J50" s="184"/>
      <c r="P50" s="4"/>
      <c r="Q50" s="4"/>
      <c r="R50" s="5"/>
    </row>
    <row r="51" spans="1:18" ht="15" customHeight="1" x14ac:dyDescent="0.25">
      <c r="A51" s="211"/>
      <c r="B51" s="27"/>
      <c r="C51" s="10"/>
      <c r="D51" s="31"/>
      <c r="F51" s="234" t="s">
        <v>131</v>
      </c>
      <c r="G51" s="247">
        <f>G49-H29</f>
        <v>-129.25</v>
      </c>
      <c r="H51" s="248"/>
      <c r="I51" s="248"/>
      <c r="J51" s="249"/>
      <c r="K51" s="21"/>
      <c r="O51" t="s">
        <v>87</v>
      </c>
      <c r="P51" s="4">
        <v>703</v>
      </c>
      <c r="Q51" s="4">
        <v>120</v>
      </c>
      <c r="R51" s="5">
        <f t="shared" si="0"/>
        <v>823</v>
      </c>
    </row>
    <row r="52" spans="1:18" ht="15.75" x14ac:dyDescent="0.25">
      <c r="A52" s="211"/>
      <c r="B52" s="29"/>
      <c r="C52" s="33"/>
      <c r="D52" s="45"/>
      <c r="F52" s="235"/>
      <c r="G52" s="250"/>
      <c r="H52" s="251"/>
      <c r="I52" s="251"/>
      <c r="J52" s="252"/>
      <c r="K52" s="21"/>
      <c r="O52" t="s">
        <v>88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212"/>
      <c r="B53" s="32"/>
      <c r="C53" s="11"/>
      <c r="D53" s="12"/>
      <c r="F53" s="35"/>
      <c r="G53" s="24"/>
      <c r="H53" s="24"/>
      <c r="I53" s="24"/>
      <c r="J53" s="17"/>
      <c r="N53" s="1"/>
      <c r="O53" t="s">
        <v>89</v>
      </c>
      <c r="P53" s="4">
        <v>1142</v>
      </c>
    </row>
    <row r="54" spans="1:18" x14ac:dyDescent="0.25">
      <c r="A54" s="175" t="s">
        <v>90</v>
      </c>
      <c r="B54" s="220"/>
      <c r="C54" s="221"/>
      <c r="D54" s="224">
        <f>SUM(D34:D53)</f>
        <v>15195.75</v>
      </c>
      <c r="F54" s="21"/>
      <c r="J54" s="34"/>
      <c r="O54" t="s">
        <v>102</v>
      </c>
      <c r="P54" s="4">
        <v>1582</v>
      </c>
      <c r="R54" s="3">
        <v>1582</v>
      </c>
    </row>
    <row r="55" spans="1:18" x14ac:dyDescent="0.25">
      <c r="A55" s="177"/>
      <c r="B55" s="222"/>
      <c r="C55" s="223"/>
      <c r="D55" s="225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133</v>
      </c>
      <c r="D57" s="34"/>
      <c r="F57" s="36"/>
      <c r="G57" s="50"/>
      <c r="H57" s="50"/>
      <c r="I57" s="50"/>
      <c r="J57" s="43"/>
    </row>
    <row r="58" spans="1:18" x14ac:dyDescent="0.25">
      <c r="A58" s="226" t="s">
        <v>91</v>
      </c>
      <c r="B58" s="227"/>
      <c r="C58" s="227"/>
      <c r="D58" s="228"/>
      <c r="F58" s="226" t="s">
        <v>92</v>
      </c>
      <c r="G58" s="227"/>
      <c r="H58" s="227"/>
      <c r="I58" s="227"/>
      <c r="J58" s="228"/>
    </row>
    <row r="59" spans="1:18" x14ac:dyDescent="0.25">
      <c r="A59" s="229"/>
      <c r="B59" s="230"/>
      <c r="C59" s="230"/>
      <c r="D59" s="231"/>
      <c r="F59" s="229"/>
      <c r="G59" s="230"/>
      <c r="H59" s="230"/>
      <c r="I59" s="230"/>
      <c r="J59" s="231"/>
    </row>
  </sheetData>
  <mergeCells count="68"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  <mergeCell ref="H13:J13"/>
    <mergeCell ref="F14:G14"/>
    <mergeCell ref="H14:J14"/>
    <mergeCell ref="F15:G15"/>
    <mergeCell ref="H15:J15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A32:D32"/>
    <mergeCell ref="F32:J32"/>
    <mergeCell ref="H33:J33"/>
    <mergeCell ref="A34:A36"/>
    <mergeCell ref="H34:J34"/>
    <mergeCell ref="H35:J35"/>
    <mergeCell ref="H36:J36"/>
    <mergeCell ref="A37:A39"/>
    <mergeCell ref="H37:J37"/>
    <mergeCell ref="H38:J38"/>
    <mergeCell ref="H39:J39"/>
    <mergeCell ref="A40:A42"/>
    <mergeCell ref="H40:J40"/>
    <mergeCell ref="H41:J41"/>
    <mergeCell ref="G42:J42"/>
    <mergeCell ref="A43:A47"/>
    <mergeCell ref="H43:J43"/>
    <mergeCell ref="H44:J44"/>
    <mergeCell ref="H45:J45"/>
    <mergeCell ref="H46:J46"/>
    <mergeCell ref="H47:J47"/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BAB0808-6844-449A-B268-2DC20F76249D}">
  <dimension ref="A1:R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113" t="s">
        <v>1</v>
      </c>
      <c r="O1" s="113"/>
      <c r="P1" s="90" t="s">
        <v>2</v>
      </c>
      <c r="Q1" s="90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14" t="s">
        <v>7</v>
      </c>
      <c r="B4" s="115"/>
      <c r="C4" s="115"/>
      <c r="D4" s="116"/>
      <c r="F4" s="117" t="s">
        <v>8</v>
      </c>
      <c r="G4" s="119">
        <v>2</v>
      </c>
      <c r="H4" s="121" t="s">
        <v>9</v>
      </c>
      <c r="I4" s="123">
        <v>45967</v>
      </c>
      <c r="J4" s="124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27" t="s">
        <v>7</v>
      </c>
      <c r="B5" s="15" t="s">
        <v>11</v>
      </c>
      <c r="C5" s="9" t="s">
        <v>12</v>
      </c>
      <c r="D5" s="25" t="s">
        <v>13</v>
      </c>
      <c r="F5" s="118"/>
      <c r="G5" s="120"/>
      <c r="H5" s="122"/>
      <c r="I5" s="125"/>
      <c r="J5" s="126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28"/>
      <c r="B6" s="16" t="s">
        <v>15</v>
      </c>
      <c r="C6" s="10">
        <v>196</v>
      </c>
      <c r="D6" s="13">
        <f t="shared" ref="D6:D28" si="1">C6*L6</f>
        <v>144452</v>
      </c>
      <c r="F6" s="130" t="s">
        <v>16</v>
      </c>
      <c r="G6" s="132" t="s">
        <v>150</v>
      </c>
      <c r="H6" s="133"/>
      <c r="I6" s="133"/>
      <c r="J6" s="134"/>
      <c r="K6" s="8"/>
      <c r="L6" s="6">
        <f>R42</f>
        <v>737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28"/>
      <c r="B7" s="16" t="s">
        <v>18</v>
      </c>
      <c r="C7" s="10">
        <v>4</v>
      </c>
      <c r="D7" s="13">
        <f t="shared" si="1"/>
        <v>2900</v>
      </c>
      <c r="F7" s="131"/>
      <c r="G7" s="135"/>
      <c r="H7" s="136"/>
      <c r="I7" s="136"/>
      <c r="J7" s="137"/>
      <c r="K7" s="8"/>
      <c r="L7" s="6">
        <f>R41</f>
        <v>725</v>
      </c>
      <c r="P7" s="4"/>
      <c r="Q7" s="4"/>
      <c r="R7" s="5"/>
    </row>
    <row r="8" spans="1:18" ht="14.45" customHeight="1" x14ac:dyDescent="0.25">
      <c r="A8" s="128"/>
      <c r="B8" s="16" t="s">
        <v>20</v>
      </c>
      <c r="C8" s="10"/>
      <c r="D8" s="13">
        <f t="shared" si="1"/>
        <v>0</v>
      </c>
      <c r="F8" s="138" t="s">
        <v>21</v>
      </c>
      <c r="G8" s="140" t="s">
        <v>114</v>
      </c>
      <c r="H8" s="141"/>
      <c r="I8" s="141"/>
      <c r="J8" s="142"/>
      <c r="K8" s="8"/>
      <c r="L8" s="6">
        <f>R40</f>
        <v>1033</v>
      </c>
      <c r="P8" s="4"/>
      <c r="Q8" s="4"/>
      <c r="R8" s="5"/>
    </row>
    <row r="9" spans="1:18" ht="14.45" customHeight="1" x14ac:dyDescent="0.25">
      <c r="A9" s="128"/>
      <c r="B9" s="16" t="s">
        <v>23</v>
      </c>
      <c r="C9" s="10">
        <v>8</v>
      </c>
      <c r="D9" s="13">
        <f t="shared" si="1"/>
        <v>5656</v>
      </c>
      <c r="F9" s="131"/>
      <c r="G9" s="143"/>
      <c r="H9" s="144"/>
      <c r="I9" s="144"/>
      <c r="J9" s="145"/>
      <c r="K9" s="8"/>
      <c r="L9" s="6">
        <f>R38</f>
        <v>707</v>
      </c>
      <c r="P9" s="4"/>
      <c r="Q9" s="4"/>
      <c r="R9" s="5"/>
    </row>
    <row r="10" spans="1:18" ht="14.45" customHeight="1" x14ac:dyDescent="0.25">
      <c r="A10" s="128"/>
      <c r="B10" t="s">
        <v>25</v>
      </c>
      <c r="C10" s="10">
        <v>1</v>
      </c>
      <c r="D10" s="13">
        <f t="shared" si="1"/>
        <v>972</v>
      </c>
      <c r="F10" s="130" t="s">
        <v>26</v>
      </c>
      <c r="G10" s="146" t="s">
        <v>115</v>
      </c>
      <c r="H10" s="147"/>
      <c r="I10" s="147"/>
      <c r="J10" s="148"/>
      <c r="K10" s="8"/>
      <c r="L10" s="6">
        <f>R36</f>
        <v>972</v>
      </c>
      <c r="P10" s="4"/>
      <c r="Q10" s="4"/>
      <c r="R10" s="5"/>
    </row>
    <row r="11" spans="1:18" ht="15.75" x14ac:dyDescent="0.25">
      <c r="A11" s="128"/>
      <c r="B11" s="17" t="s">
        <v>28</v>
      </c>
      <c r="C11" s="10">
        <v>1</v>
      </c>
      <c r="D11" s="13">
        <f t="shared" si="1"/>
        <v>1125</v>
      </c>
      <c r="F11" s="131"/>
      <c r="G11" s="143"/>
      <c r="H11" s="144"/>
      <c r="I11" s="144"/>
      <c r="J11" s="145"/>
      <c r="K11" s="22"/>
      <c r="L11" s="6">
        <f>R32</f>
        <v>1125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28"/>
      <c r="B12" s="17" t="s">
        <v>30</v>
      </c>
      <c r="C12" s="10">
        <v>1</v>
      </c>
      <c r="D12" s="48">
        <f t="shared" si="1"/>
        <v>952</v>
      </c>
      <c r="F12" s="149" t="s">
        <v>33</v>
      </c>
      <c r="G12" s="150"/>
      <c r="H12" s="150"/>
      <c r="I12" s="150"/>
      <c r="J12" s="151"/>
      <c r="K12" s="23"/>
      <c r="L12" s="6">
        <f>R34</f>
        <v>952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28"/>
      <c r="B13" s="17" t="s">
        <v>32</v>
      </c>
      <c r="C13" s="10">
        <v>4</v>
      </c>
      <c r="D13" s="48">
        <f t="shared" si="1"/>
        <v>1228</v>
      </c>
      <c r="F13" s="152" t="s">
        <v>36</v>
      </c>
      <c r="G13" s="153"/>
      <c r="H13" s="154">
        <f>D29</f>
        <v>158246</v>
      </c>
      <c r="I13" s="155"/>
      <c r="J13" s="156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28"/>
      <c r="B14" s="14" t="s">
        <v>35</v>
      </c>
      <c r="C14" s="10">
        <v>16</v>
      </c>
      <c r="D14" s="31">
        <f t="shared" si="1"/>
        <v>176</v>
      </c>
      <c r="F14" s="157" t="s">
        <v>39</v>
      </c>
      <c r="G14" s="158"/>
      <c r="H14" s="159">
        <f>D54</f>
        <v>23723.25</v>
      </c>
      <c r="I14" s="160"/>
      <c r="J14" s="161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28"/>
      <c r="B15" s="14" t="s">
        <v>38</v>
      </c>
      <c r="C15" s="10"/>
      <c r="D15" s="31">
        <f t="shared" si="1"/>
        <v>0</v>
      </c>
      <c r="F15" s="162" t="s">
        <v>40</v>
      </c>
      <c r="G15" s="153"/>
      <c r="H15" s="163">
        <f>H13-H14</f>
        <v>134522.75</v>
      </c>
      <c r="I15" s="164"/>
      <c r="J15" s="165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28"/>
      <c r="B16" s="18" t="s">
        <v>94</v>
      </c>
      <c r="C16" s="10"/>
      <c r="D16" s="48">
        <f t="shared" si="1"/>
        <v>0</v>
      </c>
      <c r="F16" s="67" t="s">
        <v>42</v>
      </c>
      <c r="G16" s="66" t="s">
        <v>43</v>
      </c>
      <c r="H16" s="166">
        <v>656</v>
      </c>
      <c r="I16" s="166"/>
      <c r="J16" s="166"/>
      <c r="L16" s="6">
        <f>R28</f>
        <v>1567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28"/>
      <c r="B17" t="s">
        <v>93</v>
      </c>
      <c r="C17" s="10"/>
      <c r="D17" s="48">
        <f t="shared" si="1"/>
        <v>0</v>
      </c>
      <c r="F17" s="56"/>
      <c r="G17" s="66" t="s">
        <v>45</v>
      </c>
      <c r="H17" s="139"/>
      <c r="I17" s="139"/>
      <c r="J17" s="139"/>
      <c r="L17" s="6">
        <f>R21</f>
        <v>1567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28"/>
      <c r="B18" s="19" t="s">
        <v>95</v>
      </c>
      <c r="C18" s="10"/>
      <c r="D18" s="48">
        <f t="shared" si="1"/>
        <v>0</v>
      </c>
      <c r="F18" s="56"/>
      <c r="G18" s="66" t="s">
        <v>47</v>
      </c>
      <c r="H18" s="139"/>
      <c r="I18" s="139"/>
      <c r="J18" s="139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28"/>
      <c r="B19" s="14" t="s">
        <v>96</v>
      </c>
      <c r="C19" s="10"/>
      <c r="D19" s="48">
        <f t="shared" si="1"/>
        <v>0</v>
      </c>
      <c r="F19" s="56"/>
      <c r="G19" s="68" t="s">
        <v>50</v>
      </c>
      <c r="H19" s="166">
        <v>50</v>
      </c>
      <c r="I19" s="166"/>
      <c r="J19" s="166"/>
      <c r="L19" s="6">
        <f>R35</f>
        <v>1102</v>
      </c>
      <c r="Q19" s="4"/>
      <c r="R19" s="5">
        <f t="shared" si="0"/>
        <v>0</v>
      </c>
    </row>
    <row r="20" spans="1:18" ht="15.75" x14ac:dyDescent="0.25">
      <c r="A20" s="128"/>
      <c r="B20" s="46" t="s">
        <v>122</v>
      </c>
      <c r="C20" s="10"/>
      <c r="D20" s="13">
        <f t="shared" si="1"/>
        <v>0</v>
      </c>
      <c r="F20" s="57"/>
      <c r="G20" s="70" t="s">
        <v>120</v>
      </c>
      <c r="H20" s="139"/>
      <c r="I20" s="139"/>
      <c r="J20" s="139"/>
      <c r="L20" s="6">
        <f>R39</f>
        <v>1175</v>
      </c>
      <c r="N20" s="1" t="s">
        <v>41</v>
      </c>
      <c r="Q20" s="4"/>
      <c r="R20" s="5">
        <f t="shared" si="0"/>
        <v>0</v>
      </c>
    </row>
    <row r="21" spans="1:18" ht="15.75" x14ac:dyDescent="0.25">
      <c r="A21" s="128"/>
      <c r="B21" s="14" t="s">
        <v>126</v>
      </c>
      <c r="C21" s="10"/>
      <c r="D21" s="48">
        <f t="shared" si="1"/>
        <v>0</v>
      </c>
      <c r="F21" s="69" t="s">
        <v>99</v>
      </c>
      <c r="G21" s="82" t="s">
        <v>98</v>
      </c>
      <c r="H21" s="186" t="s">
        <v>13</v>
      </c>
      <c r="I21" s="187"/>
      <c r="J21" s="188"/>
      <c r="L21" s="7">
        <v>650</v>
      </c>
      <c r="O21" t="s">
        <v>44</v>
      </c>
      <c r="P21" s="4">
        <v>1447</v>
      </c>
      <c r="Q21" s="4">
        <v>120</v>
      </c>
      <c r="R21" s="5">
        <f t="shared" si="0"/>
        <v>1567</v>
      </c>
    </row>
    <row r="22" spans="1:18" ht="15.75" x14ac:dyDescent="0.25">
      <c r="A22" s="128"/>
      <c r="B22" s="46" t="s">
        <v>104</v>
      </c>
      <c r="C22" s="10"/>
      <c r="D22" s="48">
        <f t="shared" si="1"/>
        <v>0</v>
      </c>
      <c r="F22" s="72"/>
      <c r="G22" s="73"/>
      <c r="H22" s="189"/>
      <c r="I22" s="189"/>
      <c r="J22" s="189"/>
      <c r="L22" s="7">
        <f>559+111</f>
        <v>670</v>
      </c>
      <c r="O22" t="s">
        <v>46</v>
      </c>
      <c r="P22" s="4">
        <v>1582</v>
      </c>
      <c r="Q22" s="4"/>
      <c r="R22" s="5">
        <f t="shared" si="0"/>
        <v>1582</v>
      </c>
    </row>
    <row r="23" spans="1:18" ht="15.75" x14ac:dyDescent="0.25">
      <c r="A23" s="128"/>
      <c r="B23" s="14" t="s">
        <v>107</v>
      </c>
      <c r="C23" s="10"/>
      <c r="D23" s="48">
        <f t="shared" si="1"/>
        <v>0</v>
      </c>
      <c r="F23" s="25"/>
      <c r="G23" s="37"/>
      <c r="H23" s="190"/>
      <c r="I23" s="191"/>
      <c r="J23" s="191"/>
      <c r="L23" s="47">
        <f>R33</f>
        <v>1175</v>
      </c>
      <c r="N23" s="1"/>
      <c r="O23" t="s">
        <v>48</v>
      </c>
      <c r="P23" s="4">
        <v>1728</v>
      </c>
      <c r="Q23" s="4"/>
      <c r="R23" s="5">
        <f t="shared" si="0"/>
        <v>1728</v>
      </c>
    </row>
    <row r="24" spans="1:18" ht="15.75" x14ac:dyDescent="0.25">
      <c r="A24" s="128"/>
      <c r="B24" s="14" t="s">
        <v>123</v>
      </c>
      <c r="C24" s="10"/>
      <c r="D24" s="48">
        <f t="shared" si="1"/>
        <v>0</v>
      </c>
      <c r="F24" s="38"/>
      <c r="G24" s="37"/>
      <c r="H24" s="190"/>
      <c r="I24" s="191"/>
      <c r="J24" s="191"/>
      <c r="L24" s="47">
        <f>596/6</f>
        <v>99.333333333333329</v>
      </c>
      <c r="N24" s="1"/>
      <c r="O24" t="s">
        <v>49</v>
      </c>
      <c r="P24" s="4">
        <v>1728</v>
      </c>
      <c r="Q24" s="4"/>
      <c r="R24" s="5">
        <f t="shared" si="0"/>
        <v>1728</v>
      </c>
    </row>
    <row r="25" spans="1:18" ht="15.75" x14ac:dyDescent="0.25">
      <c r="A25" s="128"/>
      <c r="B25" s="14" t="s">
        <v>124</v>
      </c>
      <c r="C25" s="10"/>
      <c r="D25" s="48">
        <f t="shared" si="1"/>
        <v>0</v>
      </c>
      <c r="F25" s="60" t="s">
        <v>100</v>
      </c>
      <c r="G25" s="55" t="s">
        <v>98</v>
      </c>
      <c r="H25" s="192" t="s">
        <v>13</v>
      </c>
      <c r="I25" s="193"/>
      <c r="J25" s="194"/>
      <c r="L25" s="47">
        <f>674/6</f>
        <v>112.33333333333333</v>
      </c>
      <c r="O25" t="s">
        <v>51</v>
      </c>
      <c r="P25" s="4">
        <v>1582</v>
      </c>
      <c r="Q25" s="4"/>
      <c r="R25" s="5">
        <f t="shared" si="0"/>
        <v>1582</v>
      </c>
    </row>
    <row r="26" spans="1:18" ht="15.75" x14ac:dyDescent="0.25">
      <c r="A26" s="128"/>
      <c r="B26" s="14" t="s">
        <v>105</v>
      </c>
      <c r="C26" s="10"/>
      <c r="D26" s="48">
        <f t="shared" si="1"/>
        <v>0</v>
      </c>
      <c r="F26" s="64"/>
      <c r="G26" s="10"/>
      <c r="H26" s="195"/>
      <c r="I26" s="196"/>
      <c r="J26" s="197"/>
      <c r="L26" s="7">
        <f>832/24+1.5</f>
        <v>36.166666666666664</v>
      </c>
      <c r="O26" t="s">
        <v>52</v>
      </c>
      <c r="P26" s="4">
        <v>1447</v>
      </c>
      <c r="Q26" s="4">
        <v>120</v>
      </c>
      <c r="R26" s="5">
        <f t="shared" si="0"/>
        <v>1567</v>
      </c>
    </row>
    <row r="27" spans="1:18" ht="14.45" customHeight="1" x14ac:dyDescent="0.25">
      <c r="A27" s="128"/>
      <c r="B27" s="14" t="s">
        <v>109</v>
      </c>
      <c r="C27" s="10"/>
      <c r="D27" s="44">
        <f t="shared" si="1"/>
        <v>0</v>
      </c>
      <c r="F27" s="14"/>
      <c r="G27" s="14"/>
      <c r="H27" s="198"/>
      <c r="I27" s="199"/>
      <c r="J27" s="200"/>
      <c r="L27" s="7">
        <v>1582</v>
      </c>
      <c r="O27" t="s">
        <v>53</v>
      </c>
      <c r="P27" s="4">
        <v>1582</v>
      </c>
      <c r="Q27" s="4"/>
      <c r="R27" s="5">
        <f t="shared" si="0"/>
        <v>1582</v>
      </c>
    </row>
    <row r="28" spans="1:18" ht="15.75" x14ac:dyDescent="0.25">
      <c r="A28" s="129"/>
      <c r="B28" s="46" t="s">
        <v>97</v>
      </c>
      <c r="C28" s="10">
        <v>1</v>
      </c>
      <c r="D28" s="48">
        <f t="shared" si="1"/>
        <v>785</v>
      </c>
      <c r="F28" s="91"/>
      <c r="G28" s="61"/>
      <c r="H28" s="201"/>
      <c r="I28" s="202"/>
      <c r="J28" s="203"/>
      <c r="L28" s="7">
        <v>785</v>
      </c>
      <c r="O28" t="s">
        <v>54</v>
      </c>
      <c r="P28" s="4">
        <v>1447</v>
      </c>
      <c r="Q28" s="4">
        <v>120</v>
      </c>
      <c r="R28" s="5">
        <f t="shared" si="0"/>
        <v>1567</v>
      </c>
    </row>
    <row r="29" spans="1:18" x14ac:dyDescent="0.25">
      <c r="A29" s="167" t="s">
        <v>36</v>
      </c>
      <c r="B29" s="168"/>
      <c r="C29" s="169"/>
      <c r="D29" s="173">
        <f>SUM(D6:D28)</f>
        <v>158246</v>
      </c>
      <c r="F29" s="175" t="s">
        <v>55</v>
      </c>
      <c r="G29" s="176"/>
      <c r="H29" s="179">
        <f>H15-H16-H17-H18-H19-H20-H22-H23-H24+H26+H27</f>
        <v>133816.75</v>
      </c>
      <c r="I29" s="180"/>
      <c r="J29" s="181"/>
      <c r="O29" t="s">
        <v>56</v>
      </c>
      <c r="P29" s="4">
        <v>1582</v>
      </c>
      <c r="Q29" s="4"/>
      <c r="R29" s="5">
        <f t="shared" si="0"/>
        <v>1582</v>
      </c>
    </row>
    <row r="30" spans="1:18" x14ac:dyDescent="0.25">
      <c r="A30" s="170"/>
      <c r="B30" s="171"/>
      <c r="C30" s="172"/>
      <c r="D30" s="174"/>
      <c r="F30" s="177"/>
      <c r="G30" s="178"/>
      <c r="H30" s="182"/>
      <c r="I30" s="183"/>
      <c r="J30" s="184"/>
      <c r="N30" s="1"/>
      <c r="Q30" s="4"/>
      <c r="R30" s="5">
        <f t="shared" si="0"/>
        <v>0</v>
      </c>
    </row>
    <row r="31" spans="1:18" x14ac:dyDescent="0.25">
      <c r="A31" s="24"/>
      <c r="B31" s="24"/>
      <c r="C31" s="24"/>
      <c r="D31" s="24"/>
      <c r="F31" s="24"/>
      <c r="G31" s="24"/>
      <c r="O31" t="s">
        <v>57</v>
      </c>
      <c r="P31" s="4">
        <v>1052</v>
      </c>
      <c r="Q31" s="4">
        <v>120</v>
      </c>
      <c r="R31" s="5">
        <f t="shared" si="0"/>
        <v>1172</v>
      </c>
    </row>
    <row r="32" spans="1:18" x14ac:dyDescent="0.25">
      <c r="A32" s="114" t="s">
        <v>58</v>
      </c>
      <c r="B32" s="115"/>
      <c r="C32" s="115"/>
      <c r="D32" s="116"/>
      <c r="F32" s="204" t="s">
        <v>59</v>
      </c>
      <c r="G32" s="205"/>
      <c r="H32" s="205"/>
      <c r="I32" s="205"/>
      <c r="J32" s="206"/>
      <c r="O32" t="s">
        <v>60</v>
      </c>
      <c r="P32" s="4">
        <v>1005</v>
      </c>
      <c r="Q32" s="4">
        <v>120</v>
      </c>
      <c r="R32" s="5">
        <f t="shared" si="0"/>
        <v>1125</v>
      </c>
    </row>
    <row r="33" spans="1:18" x14ac:dyDescent="0.25">
      <c r="A33" s="25"/>
      <c r="B33" s="25" t="s">
        <v>11</v>
      </c>
      <c r="C33" s="25" t="s">
        <v>61</v>
      </c>
      <c r="D33" s="25" t="s">
        <v>13</v>
      </c>
      <c r="F33" s="25" t="s">
        <v>62</v>
      </c>
      <c r="G33" s="92" t="s">
        <v>63</v>
      </c>
      <c r="H33" s="204" t="s">
        <v>13</v>
      </c>
      <c r="I33" s="205"/>
      <c r="J33" s="206"/>
      <c r="O33" t="s">
        <v>64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27" t="s">
        <v>65</v>
      </c>
      <c r="B34" s="26" t="s">
        <v>66</v>
      </c>
      <c r="C34" s="51"/>
      <c r="D34" s="30">
        <f>C34*120</f>
        <v>0</v>
      </c>
      <c r="F34" s="12">
        <v>1000</v>
      </c>
      <c r="G34" s="74">
        <v>87</v>
      </c>
      <c r="H34" s="207">
        <f>F34*G34</f>
        <v>87000</v>
      </c>
      <c r="I34" s="208"/>
      <c r="J34" s="209"/>
      <c r="O34" t="s">
        <v>67</v>
      </c>
      <c r="P34" s="4">
        <v>832</v>
      </c>
      <c r="Q34" s="4">
        <v>120</v>
      </c>
      <c r="R34" s="5">
        <f t="shared" si="0"/>
        <v>952</v>
      </c>
    </row>
    <row r="35" spans="1:18" ht="15.75" x14ac:dyDescent="0.25">
      <c r="A35" s="128"/>
      <c r="B35" s="27" t="s">
        <v>68</v>
      </c>
      <c r="C35" s="52"/>
      <c r="D35" s="30">
        <f>C35*84</f>
        <v>0</v>
      </c>
      <c r="F35" s="58">
        <v>500</v>
      </c>
      <c r="G35" s="41">
        <v>86</v>
      </c>
      <c r="H35" s="207">
        <f t="shared" ref="H35:H39" si="2">F35*G35</f>
        <v>43000</v>
      </c>
      <c r="I35" s="208"/>
      <c r="J35" s="209"/>
      <c r="O35" t="s">
        <v>69</v>
      </c>
      <c r="P35" s="4">
        <v>1102</v>
      </c>
      <c r="Q35" s="4"/>
      <c r="R35" s="5">
        <f t="shared" si="0"/>
        <v>1102</v>
      </c>
    </row>
    <row r="36" spans="1:18" ht="15.75" x14ac:dyDescent="0.25">
      <c r="A36" s="129"/>
      <c r="B36" s="26" t="s">
        <v>70</v>
      </c>
      <c r="C36" s="10">
        <v>10</v>
      </c>
      <c r="D36" s="12">
        <f>C36*1.5</f>
        <v>15</v>
      </c>
      <c r="F36" s="12">
        <v>200</v>
      </c>
      <c r="G36" s="37">
        <v>1</v>
      </c>
      <c r="H36" s="207">
        <f>F36*G36</f>
        <v>200</v>
      </c>
      <c r="I36" s="208"/>
      <c r="J36" s="209"/>
      <c r="O36" t="s">
        <v>71</v>
      </c>
      <c r="P36" s="4">
        <v>852</v>
      </c>
      <c r="Q36" s="4">
        <v>120</v>
      </c>
      <c r="R36" s="5">
        <f t="shared" si="0"/>
        <v>972</v>
      </c>
    </row>
    <row r="37" spans="1:18" ht="15.75" x14ac:dyDescent="0.25">
      <c r="A37" s="127" t="s">
        <v>72</v>
      </c>
      <c r="B37" s="28" t="s">
        <v>66</v>
      </c>
      <c r="C37" s="53">
        <v>197</v>
      </c>
      <c r="D37" s="12">
        <f>C37*111</f>
        <v>21867</v>
      </c>
      <c r="F37" s="12">
        <v>100</v>
      </c>
      <c r="G37" s="39">
        <v>28</v>
      </c>
      <c r="H37" s="207">
        <f t="shared" si="2"/>
        <v>2800</v>
      </c>
      <c r="I37" s="208"/>
      <c r="J37" s="209"/>
      <c r="O37" t="s">
        <v>73</v>
      </c>
      <c r="P37" s="4">
        <v>1020</v>
      </c>
      <c r="Q37" s="4">
        <v>120</v>
      </c>
      <c r="R37" s="5">
        <f t="shared" si="0"/>
        <v>1140</v>
      </c>
    </row>
    <row r="38" spans="1:18" ht="15.75" x14ac:dyDescent="0.25">
      <c r="A38" s="128"/>
      <c r="B38" s="29" t="s">
        <v>68</v>
      </c>
      <c r="C38" s="54">
        <v>5</v>
      </c>
      <c r="D38" s="12">
        <f>C38*84</f>
        <v>420</v>
      </c>
      <c r="F38" s="30">
        <v>50</v>
      </c>
      <c r="G38" s="39">
        <v>2</v>
      </c>
      <c r="H38" s="207">
        <f t="shared" si="2"/>
        <v>100</v>
      </c>
      <c r="I38" s="208"/>
      <c r="J38" s="209"/>
      <c r="O38" t="s">
        <v>74</v>
      </c>
      <c r="P38" s="4">
        <v>596</v>
      </c>
      <c r="Q38" s="4">
        <v>111</v>
      </c>
      <c r="R38" s="5">
        <f t="shared" si="0"/>
        <v>707</v>
      </c>
    </row>
    <row r="39" spans="1:18" ht="15.75" x14ac:dyDescent="0.25">
      <c r="A39" s="129"/>
      <c r="B39" s="29" t="s">
        <v>70</v>
      </c>
      <c r="C39" s="52">
        <v>4</v>
      </c>
      <c r="D39" s="31">
        <f>C39*4.5</f>
        <v>18</v>
      </c>
      <c r="F39" s="12">
        <v>20</v>
      </c>
      <c r="G39" s="37"/>
      <c r="H39" s="207">
        <f t="shared" si="2"/>
        <v>0</v>
      </c>
      <c r="I39" s="208"/>
      <c r="J39" s="209"/>
      <c r="O39" t="s">
        <v>75</v>
      </c>
      <c r="P39" s="4">
        <v>1175</v>
      </c>
      <c r="Q39" s="4"/>
      <c r="R39" s="5">
        <f t="shared" si="0"/>
        <v>1175</v>
      </c>
    </row>
    <row r="40" spans="1:18" ht="15.75" x14ac:dyDescent="0.25">
      <c r="A40" s="127" t="s">
        <v>76</v>
      </c>
      <c r="B40" s="27" t="s">
        <v>66</v>
      </c>
      <c r="C40" s="63">
        <v>6</v>
      </c>
      <c r="D40" s="12">
        <f>C40*111</f>
        <v>666</v>
      </c>
      <c r="F40" s="12">
        <v>10</v>
      </c>
      <c r="G40" s="42"/>
      <c r="H40" s="207"/>
      <c r="I40" s="208"/>
      <c r="J40" s="209"/>
      <c r="O40" t="s">
        <v>77</v>
      </c>
      <c r="P40" s="4">
        <v>913</v>
      </c>
      <c r="Q40" s="4">
        <v>120</v>
      </c>
      <c r="R40" s="5">
        <f t="shared" si="0"/>
        <v>1033</v>
      </c>
    </row>
    <row r="41" spans="1:18" ht="15.75" x14ac:dyDescent="0.25">
      <c r="A41" s="128"/>
      <c r="B41" s="27" t="s">
        <v>68</v>
      </c>
      <c r="C41" s="10">
        <v>1</v>
      </c>
      <c r="D41" s="12">
        <f>C41*84</f>
        <v>84</v>
      </c>
      <c r="F41" s="12">
        <v>5</v>
      </c>
      <c r="G41" s="42"/>
      <c r="H41" s="207"/>
      <c r="I41" s="208"/>
      <c r="J41" s="209"/>
      <c r="K41" s="21"/>
      <c r="O41" t="s">
        <v>78</v>
      </c>
      <c r="P41" s="4">
        <v>614</v>
      </c>
      <c r="Q41" s="4">
        <v>111</v>
      </c>
      <c r="R41" s="5">
        <f t="shared" si="0"/>
        <v>725</v>
      </c>
    </row>
    <row r="42" spans="1:18" ht="15.75" x14ac:dyDescent="0.25">
      <c r="A42" s="129"/>
      <c r="B42" s="27" t="s">
        <v>70</v>
      </c>
      <c r="C42" s="11">
        <v>7</v>
      </c>
      <c r="D42" s="12">
        <f>C42*2.25</f>
        <v>15.75</v>
      </c>
      <c r="F42" s="39" t="s">
        <v>79</v>
      </c>
      <c r="G42" s="207">
        <v>92</v>
      </c>
      <c r="H42" s="208"/>
      <c r="I42" s="208"/>
      <c r="J42" s="209"/>
      <c r="K42" s="36"/>
      <c r="O42" t="s">
        <v>80</v>
      </c>
      <c r="P42" s="4">
        <v>626</v>
      </c>
      <c r="Q42" s="4">
        <v>111</v>
      </c>
      <c r="R42" s="5">
        <f t="shared" si="0"/>
        <v>737</v>
      </c>
    </row>
    <row r="43" spans="1:18" ht="15.75" x14ac:dyDescent="0.25">
      <c r="A43" s="210" t="s">
        <v>81</v>
      </c>
      <c r="C43" s="11"/>
      <c r="D43" s="12"/>
      <c r="F43" s="59" t="s">
        <v>82</v>
      </c>
      <c r="G43" s="94" t="s">
        <v>83</v>
      </c>
      <c r="H43" s="213" t="s">
        <v>13</v>
      </c>
      <c r="I43" s="214"/>
      <c r="J43" s="215"/>
      <c r="K43" s="21"/>
      <c r="P43" s="4"/>
      <c r="Q43" s="4"/>
      <c r="R43" s="5"/>
    </row>
    <row r="44" spans="1:18" ht="15.75" x14ac:dyDescent="0.25">
      <c r="A44" s="211"/>
      <c r="B44" s="27" t="s">
        <v>66</v>
      </c>
      <c r="C44" s="10"/>
      <c r="D44" s="12">
        <f>C44*120</f>
        <v>0</v>
      </c>
      <c r="F44" s="37"/>
      <c r="G44" s="62"/>
      <c r="H44" s="191"/>
      <c r="I44" s="191"/>
      <c r="J44" s="191"/>
      <c r="K44" s="21"/>
      <c r="P44" s="4"/>
      <c r="Q44" s="4"/>
      <c r="R44" s="5"/>
    </row>
    <row r="45" spans="1:18" ht="15.75" x14ac:dyDescent="0.25">
      <c r="A45" s="211"/>
      <c r="B45" s="27" t="s">
        <v>68</v>
      </c>
      <c r="C45" s="33">
        <v>3</v>
      </c>
      <c r="D45" s="12">
        <f>C45*84</f>
        <v>252</v>
      </c>
      <c r="F45" s="37"/>
      <c r="G45" s="62"/>
      <c r="H45" s="191"/>
      <c r="I45" s="191"/>
      <c r="J45" s="191"/>
      <c r="K45" s="21"/>
      <c r="P45" s="4"/>
      <c r="Q45" s="4"/>
      <c r="R45" s="5"/>
    </row>
    <row r="46" spans="1:18" ht="15.75" x14ac:dyDescent="0.25">
      <c r="A46" s="211"/>
      <c r="B46" s="49" t="s">
        <v>70</v>
      </c>
      <c r="C46" s="81">
        <v>13</v>
      </c>
      <c r="D46" s="12">
        <f>C46*1.5</f>
        <v>19.5</v>
      </c>
      <c r="F46" s="37"/>
      <c r="G46" s="93"/>
      <c r="H46" s="216"/>
      <c r="I46" s="216"/>
      <c r="J46" s="216"/>
      <c r="K46" s="21"/>
      <c r="P46" s="4"/>
      <c r="Q46" s="4"/>
      <c r="R46" s="5"/>
    </row>
    <row r="47" spans="1:18" ht="15.75" x14ac:dyDescent="0.25">
      <c r="A47" s="212"/>
      <c r="B47" s="27"/>
      <c r="C47" s="11"/>
      <c r="D47" s="12"/>
      <c r="F47" s="59"/>
      <c r="G47" s="59"/>
      <c r="H47" s="217"/>
      <c r="I47" s="218"/>
      <c r="J47" s="219"/>
      <c r="K47" s="21"/>
      <c r="P47" s="4"/>
      <c r="Q47" s="4"/>
      <c r="R47" s="5"/>
    </row>
    <row r="48" spans="1:18" ht="15" customHeight="1" x14ac:dyDescent="0.25">
      <c r="A48" s="210" t="s">
        <v>32</v>
      </c>
      <c r="B48" s="27" t="s">
        <v>66</v>
      </c>
      <c r="C48" s="10">
        <v>4</v>
      </c>
      <c r="D48" s="12">
        <f>C48*78</f>
        <v>312</v>
      </c>
      <c r="F48" s="59"/>
      <c r="G48" s="59"/>
      <c r="H48" s="217"/>
      <c r="I48" s="218"/>
      <c r="J48" s="219"/>
      <c r="K48" s="35"/>
      <c r="O48" t="s">
        <v>84</v>
      </c>
      <c r="P48" s="4">
        <v>1175</v>
      </c>
      <c r="Q48" s="4"/>
      <c r="R48" s="5">
        <f t="shared" si="0"/>
        <v>1175</v>
      </c>
    </row>
    <row r="49" spans="1:18" ht="15.75" x14ac:dyDescent="0.25">
      <c r="A49" s="211"/>
      <c r="B49" s="29" t="s">
        <v>68</v>
      </c>
      <c r="C49" s="33"/>
      <c r="D49" s="12">
        <f>C49*42</f>
        <v>0</v>
      </c>
      <c r="F49" s="232" t="s">
        <v>86</v>
      </c>
      <c r="G49" s="179">
        <f>H34+H35+H36+H37+H38+H39+H40+H41+G42+H44+H45+H46</f>
        <v>133192</v>
      </c>
      <c r="H49" s="180"/>
      <c r="I49" s="180"/>
      <c r="J49" s="181"/>
      <c r="O49" t="s">
        <v>85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211"/>
      <c r="B50" s="32" t="s">
        <v>70</v>
      </c>
      <c r="C50" s="11">
        <v>36</v>
      </c>
      <c r="D50" s="12">
        <f>C50*1.5</f>
        <v>54</v>
      </c>
      <c r="F50" s="233"/>
      <c r="G50" s="182"/>
      <c r="H50" s="183"/>
      <c r="I50" s="183"/>
      <c r="J50" s="184"/>
      <c r="P50" s="4"/>
      <c r="Q50" s="4"/>
      <c r="R50" s="5"/>
    </row>
    <row r="51" spans="1:18" ht="15" customHeight="1" x14ac:dyDescent="0.25">
      <c r="A51" s="211"/>
      <c r="B51" s="27"/>
      <c r="C51" s="10"/>
      <c r="D51" s="31"/>
      <c r="F51" s="234" t="s">
        <v>132</v>
      </c>
      <c r="G51" s="247">
        <f>G49-H29</f>
        <v>-624.75</v>
      </c>
      <c r="H51" s="248"/>
      <c r="I51" s="248"/>
      <c r="J51" s="249"/>
      <c r="K51" s="21"/>
      <c r="O51" t="s">
        <v>87</v>
      </c>
      <c r="P51" s="4">
        <v>703</v>
      </c>
      <c r="Q51" s="4">
        <v>120</v>
      </c>
      <c r="R51" s="5">
        <f t="shared" si="0"/>
        <v>823</v>
      </c>
    </row>
    <row r="52" spans="1:18" ht="15.75" x14ac:dyDescent="0.25">
      <c r="A52" s="211"/>
      <c r="B52" s="29"/>
      <c r="C52" s="33"/>
      <c r="D52" s="45"/>
      <c r="F52" s="235"/>
      <c r="G52" s="250"/>
      <c r="H52" s="251"/>
      <c r="I52" s="251"/>
      <c r="J52" s="252"/>
      <c r="K52" s="21"/>
      <c r="O52" t="s">
        <v>88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212"/>
      <c r="B53" s="32"/>
      <c r="C53" s="11"/>
      <c r="D53" s="12"/>
      <c r="F53" s="35"/>
      <c r="G53" s="24"/>
      <c r="H53" s="24"/>
      <c r="I53" s="24"/>
      <c r="J53" s="17"/>
      <c r="N53" s="1"/>
      <c r="O53" t="s">
        <v>89</v>
      </c>
      <c r="P53" s="4">
        <v>1142</v>
      </c>
    </row>
    <row r="54" spans="1:18" x14ac:dyDescent="0.25">
      <c r="A54" s="175" t="s">
        <v>90</v>
      </c>
      <c r="B54" s="220"/>
      <c r="C54" s="221"/>
      <c r="D54" s="224">
        <f>SUM(D34:D53)</f>
        <v>23723.25</v>
      </c>
      <c r="F54" s="21"/>
      <c r="J54" s="34"/>
    </row>
    <row r="55" spans="1:18" x14ac:dyDescent="0.25">
      <c r="A55" s="177"/>
      <c r="B55" s="222"/>
      <c r="C55" s="223"/>
      <c r="D55" s="225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151</v>
      </c>
      <c r="D57" s="34"/>
      <c r="F57" s="36"/>
      <c r="G57" s="50"/>
      <c r="H57" s="50"/>
      <c r="I57" s="50"/>
      <c r="J57" s="43"/>
    </row>
    <row r="58" spans="1:18" x14ac:dyDescent="0.25">
      <c r="A58" s="226" t="s">
        <v>91</v>
      </c>
      <c r="B58" s="227"/>
      <c r="C58" s="227"/>
      <c r="D58" s="228"/>
      <c r="F58" s="226" t="s">
        <v>92</v>
      </c>
      <c r="G58" s="227"/>
      <c r="H58" s="227"/>
      <c r="I58" s="227"/>
      <c r="J58" s="228"/>
    </row>
    <row r="59" spans="1:18" x14ac:dyDescent="0.25">
      <c r="A59" s="229"/>
      <c r="B59" s="230"/>
      <c r="C59" s="230"/>
      <c r="D59" s="231"/>
      <c r="F59" s="229"/>
      <c r="G59" s="230"/>
      <c r="H59" s="230"/>
      <c r="I59" s="230"/>
      <c r="J59" s="231"/>
    </row>
  </sheetData>
  <mergeCells count="68"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  <mergeCell ref="H13:J13"/>
    <mergeCell ref="F14:G14"/>
    <mergeCell ref="H14:J14"/>
    <mergeCell ref="F15:G15"/>
    <mergeCell ref="H15:J15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A32:D32"/>
    <mergeCell ref="F32:J32"/>
    <mergeCell ref="H33:J33"/>
    <mergeCell ref="A34:A36"/>
    <mergeCell ref="H34:J34"/>
    <mergeCell ref="H35:J35"/>
    <mergeCell ref="H36:J36"/>
    <mergeCell ref="A37:A39"/>
    <mergeCell ref="H37:J37"/>
    <mergeCell ref="H38:J38"/>
    <mergeCell ref="H39:J39"/>
    <mergeCell ref="A40:A42"/>
    <mergeCell ref="H40:J40"/>
    <mergeCell ref="H41:J41"/>
    <mergeCell ref="G42:J42"/>
    <mergeCell ref="A43:A47"/>
    <mergeCell ref="H43:J43"/>
    <mergeCell ref="H44:J44"/>
    <mergeCell ref="H45:J45"/>
    <mergeCell ref="H46:J46"/>
    <mergeCell ref="H47:J47"/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1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33FB7C1-B160-4AD8-A035-E6D4F8411E2E}">
  <dimension ref="A1:R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113" t="s">
        <v>1</v>
      </c>
      <c r="O1" s="113"/>
      <c r="P1" s="90" t="s">
        <v>2</v>
      </c>
      <c r="Q1" s="90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14" t="s">
        <v>7</v>
      </c>
      <c r="B4" s="115"/>
      <c r="C4" s="115"/>
      <c r="D4" s="116"/>
      <c r="F4" s="117" t="s">
        <v>8</v>
      </c>
      <c r="G4" s="119">
        <v>3</v>
      </c>
      <c r="H4" s="121" t="s">
        <v>9</v>
      </c>
      <c r="I4" s="123">
        <v>45967</v>
      </c>
      <c r="J4" s="124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27" t="s">
        <v>7</v>
      </c>
      <c r="B5" s="15" t="s">
        <v>11</v>
      </c>
      <c r="C5" s="9" t="s">
        <v>12</v>
      </c>
      <c r="D5" s="25" t="s">
        <v>13</v>
      </c>
      <c r="F5" s="118"/>
      <c r="G5" s="120"/>
      <c r="H5" s="122"/>
      <c r="I5" s="125"/>
      <c r="J5" s="126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28"/>
      <c r="B6" s="16" t="s">
        <v>15</v>
      </c>
      <c r="C6" s="10">
        <v>522</v>
      </c>
      <c r="D6" s="13">
        <f t="shared" ref="D6:D28" si="1">C6*L6</f>
        <v>384714</v>
      </c>
      <c r="F6" s="130" t="s">
        <v>16</v>
      </c>
      <c r="G6" s="132" t="s">
        <v>111</v>
      </c>
      <c r="H6" s="133"/>
      <c r="I6" s="133"/>
      <c r="J6" s="134"/>
      <c r="K6" s="8"/>
      <c r="L6" s="6">
        <f>R42</f>
        <v>737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28"/>
      <c r="B7" s="16" t="s">
        <v>18</v>
      </c>
      <c r="C7" s="10">
        <v>20</v>
      </c>
      <c r="D7" s="13">
        <f t="shared" si="1"/>
        <v>14500</v>
      </c>
      <c r="F7" s="131"/>
      <c r="G7" s="135"/>
      <c r="H7" s="136"/>
      <c r="I7" s="136"/>
      <c r="J7" s="137"/>
      <c r="K7" s="8"/>
      <c r="L7" s="6">
        <f>R41</f>
        <v>725</v>
      </c>
      <c r="P7" s="4"/>
      <c r="Q7" s="4"/>
      <c r="R7" s="5"/>
    </row>
    <row r="8" spans="1:18" ht="14.45" customHeight="1" x14ac:dyDescent="0.25">
      <c r="A8" s="128"/>
      <c r="B8" s="16" t="s">
        <v>20</v>
      </c>
      <c r="C8" s="10">
        <v>1</v>
      </c>
      <c r="D8" s="13">
        <f t="shared" si="1"/>
        <v>1033</v>
      </c>
      <c r="F8" s="138" t="s">
        <v>21</v>
      </c>
      <c r="G8" s="140" t="s">
        <v>119</v>
      </c>
      <c r="H8" s="141"/>
      <c r="I8" s="141"/>
      <c r="J8" s="142"/>
      <c r="K8" s="8"/>
      <c r="L8" s="6">
        <f>R40</f>
        <v>1033</v>
      </c>
      <c r="P8" s="4"/>
      <c r="Q8" s="4"/>
      <c r="R8" s="5"/>
    </row>
    <row r="9" spans="1:18" ht="14.45" customHeight="1" x14ac:dyDescent="0.25">
      <c r="A9" s="128"/>
      <c r="B9" s="16" t="s">
        <v>23</v>
      </c>
      <c r="C9" s="10">
        <v>112</v>
      </c>
      <c r="D9" s="13">
        <f t="shared" si="1"/>
        <v>79184</v>
      </c>
      <c r="F9" s="131"/>
      <c r="G9" s="143"/>
      <c r="H9" s="144"/>
      <c r="I9" s="144"/>
      <c r="J9" s="145"/>
      <c r="K9" s="8"/>
      <c r="L9" s="6">
        <f>R38</f>
        <v>707</v>
      </c>
      <c r="P9" s="4"/>
      <c r="Q9" s="4"/>
      <c r="R9" s="5"/>
    </row>
    <row r="10" spans="1:18" ht="14.45" customHeight="1" x14ac:dyDescent="0.25">
      <c r="A10" s="128"/>
      <c r="B10" t="s">
        <v>25</v>
      </c>
      <c r="C10" s="10">
        <v>2</v>
      </c>
      <c r="D10" s="13">
        <f t="shared" si="1"/>
        <v>1944</v>
      </c>
      <c r="F10" s="130" t="s">
        <v>26</v>
      </c>
      <c r="G10" s="146" t="s">
        <v>137</v>
      </c>
      <c r="H10" s="147"/>
      <c r="I10" s="147"/>
      <c r="J10" s="148"/>
      <c r="K10" s="8"/>
      <c r="L10" s="6">
        <f>R36</f>
        <v>972</v>
      </c>
      <c r="P10" s="4"/>
      <c r="Q10" s="4"/>
      <c r="R10" s="5"/>
    </row>
    <row r="11" spans="1:18" ht="15.75" x14ac:dyDescent="0.25">
      <c r="A11" s="128"/>
      <c r="B11" s="17" t="s">
        <v>28</v>
      </c>
      <c r="C11" s="10">
        <v>2</v>
      </c>
      <c r="D11" s="13">
        <f t="shared" si="1"/>
        <v>2250</v>
      </c>
      <c r="F11" s="131"/>
      <c r="G11" s="143"/>
      <c r="H11" s="144"/>
      <c r="I11" s="144"/>
      <c r="J11" s="145"/>
      <c r="K11" s="22"/>
      <c r="L11" s="6">
        <f>R32</f>
        <v>1125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28"/>
      <c r="B12" s="17" t="s">
        <v>30</v>
      </c>
      <c r="C12" s="10">
        <v>2</v>
      </c>
      <c r="D12" s="48">
        <f t="shared" si="1"/>
        <v>1904</v>
      </c>
      <c r="F12" s="149" t="s">
        <v>33</v>
      </c>
      <c r="G12" s="150"/>
      <c r="H12" s="150"/>
      <c r="I12" s="150"/>
      <c r="J12" s="151"/>
      <c r="K12" s="23"/>
      <c r="L12" s="6">
        <f>R34</f>
        <v>952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28"/>
      <c r="B13" s="17" t="s">
        <v>32</v>
      </c>
      <c r="C13" s="10">
        <v>26</v>
      </c>
      <c r="D13" s="48">
        <f t="shared" si="1"/>
        <v>7982</v>
      </c>
      <c r="F13" s="152" t="s">
        <v>36</v>
      </c>
      <c r="G13" s="153"/>
      <c r="H13" s="154">
        <f>D29</f>
        <v>494817</v>
      </c>
      <c r="I13" s="155"/>
      <c r="J13" s="156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28"/>
      <c r="B14" s="14" t="s">
        <v>35</v>
      </c>
      <c r="C14" s="10">
        <v>6</v>
      </c>
      <c r="D14" s="31">
        <f t="shared" si="1"/>
        <v>66</v>
      </c>
      <c r="F14" s="157" t="s">
        <v>39</v>
      </c>
      <c r="G14" s="158"/>
      <c r="H14" s="159">
        <f>D54</f>
        <v>57405</v>
      </c>
      <c r="I14" s="160"/>
      <c r="J14" s="161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28"/>
      <c r="B15" s="14" t="s">
        <v>38</v>
      </c>
      <c r="C15" s="10">
        <v>1</v>
      </c>
      <c r="D15" s="31">
        <f t="shared" si="1"/>
        <v>620</v>
      </c>
      <c r="F15" s="162" t="s">
        <v>40</v>
      </c>
      <c r="G15" s="153"/>
      <c r="H15" s="163">
        <f>H13-H14</f>
        <v>437412</v>
      </c>
      <c r="I15" s="164"/>
      <c r="J15" s="165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28"/>
      <c r="B16" s="18" t="s">
        <v>94</v>
      </c>
      <c r="C16" s="10"/>
      <c r="D16" s="48">
        <f t="shared" si="1"/>
        <v>0</v>
      </c>
      <c r="F16" s="67" t="s">
        <v>42</v>
      </c>
      <c r="G16" s="66" t="s">
        <v>43</v>
      </c>
      <c r="H16" s="166">
        <f>2250+360</f>
        <v>2610</v>
      </c>
      <c r="I16" s="166"/>
      <c r="J16" s="166"/>
      <c r="L16" s="6">
        <f>R28</f>
        <v>1567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28"/>
      <c r="B17" t="s">
        <v>113</v>
      </c>
      <c r="C17" s="10"/>
      <c r="D17" s="48">
        <f t="shared" si="1"/>
        <v>0</v>
      </c>
      <c r="F17" s="56"/>
      <c r="G17" s="66" t="s">
        <v>45</v>
      </c>
      <c r="H17" s="139"/>
      <c r="I17" s="139"/>
      <c r="J17" s="139"/>
      <c r="L17" s="6">
        <v>1582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28"/>
      <c r="B18" s="19" t="s">
        <v>95</v>
      </c>
      <c r="C18" s="10">
        <v>1</v>
      </c>
      <c r="D18" s="48">
        <f t="shared" si="1"/>
        <v>620</v>
      </c>
      <c r="F18" s="56"/>
      <c r="G18" s="66" t="s">
        <v>47</v>
      </c>
      <c r="H18" s="139"/>
      <c r="I18" s="139"/>
      <c r="J18" s="139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28"/>
      <c r="B19" s="14" t="s">
        <v>117</v>
      </c>
      <c r="C19" s="10"/>
      <c r="D19" s="48">
        <f t="shared" si="1"/>
        <v>0</v>
      </c>
      <c r="F19" s="56"/>
      <c r="G19" s="68" t="s">
        <v>50</v>
      </c>
      <c r="H19" s="253"/>
      <c r="I19" s="253"/>
      <c r="J19" s="253"/>
      <c r="L19" s="6">
        <f>R35</f>
        <v>1102</v>
      </c>
      <c r="Q19" s="4"/>
      <c r="R19" s="5">
        <f t="shared" si="0"/>
        <v>0</v>
      </c>
    </row>
    <row r="20" spans="1:18" ht="15.75" x14ac:dyDescent="0.25">
      <c r="A20" s="128"/>
      <c r="B20" s="46" t="s">
        <v>108</v>
      </c>
      <c r="C20" s="10"/>
      <c r="D20" s="13">
        <f t="shared" si="1"/>
        <v>0</v>
      </c>
      <c r="F20" s="57"/>
      <c r="G20" s="70" t="s">
        <v>120</v>
      </c>
      <c r="H20" s="166"/>
      <c r="I20" s="166"/>
      <c r="J20" s="166"/>
      <c r="L20" s="6">
        <f>1102</f>
        <v>1102</v>
      </c>
      <c r="N20" s="1" t="s">
        <v>41</v>
      </c>
      <c r="Q20" s="4"/>
      <c r="R20" s="5">
        <f t="shared" si="0"/>
        <v>0</v>
      </c>
    </row>
    <row r="21" spans="1:18" ht="15.75" x14ac:dyDescent="0.25">
      <c r="A21" s="128"/>
      <c r="B21" s="14" t="s">
        <v>126</v>
      </c>
      <c r="C21" s="10"/>
      <c r="D21" s="48">
        <f t="shared" si="1"/>
        <v>0</v>
      </c>
      <c r="F21" s="69" t="s">
        <v>99</v>
      </c>
      <c r="G21" s="82" t="s">
        <v>98</v>
      </c>
      <c r="H21" s="186" t="s">
        <v>13</v>
      </c>
      <c r="I21" s="187"/>
      <c r="J21" s="188"/>
      <c r="L21" s="7">
        <v>650</v>
      </c>
      <c r="O21" t="s">
        <v>44</v>
      </c>
      <c r="P21" s="4">
        <v>1447</v>
      </c>
      <c r="Q21" s="4">
        <v>120</v>
      </c>
      <c r="R21" s="5">
        <f t="shared" si="0"/>
        <v>1567</v>
      </c>
    </row>
    <row r="22" spans="1:18" ht="15.75" x14ac:dyDescent="0.25">
      <c r="A22" s="128"/>
      <c r="B22" s="46" t="s">
        <v>104</v>
      </c>
      <c r="C22" s="10"/>
      <c r="D22" s="48">
        <f t="shared" si="1"/>
        <v>0</v>
      </c>
      <c r="F22" s="77"/>
      <c r="G22" s="73"/>
      <c r="H22" s="189"/>
      <c r="I22" s="189"/>
      <c r="J22" s="189"/>
      <c r="L22" s="7">
        <f>559+111</f>
        <v>670</v>
      </c>
      <c r="O22" t="s">
        <v>46</v>
      </c>
      <c r="P22" s="4">
        <v>1582</v>
      </c>
      <c r="Q22" s="4"/>
      <c r="R22" s="5">
        <f t="shared" si="0"/>
        <v>1582</v>
      </c>
    </row>
    <row r="23" spans="1:18" ht="15.75" x14ac:dyDescent="0.25">
      <c r="A23" s="128"/>
      <c r="B23" s="14" t="s">
        <v>107</v>
      </c>
      <c r="C23" s="10"/>
      <c r="D23" s="48">
        <f t="shared" si="1"/>
        <v>0</v>
      </c>
      <c r="F23" s="78"/>
      <c r="G23" s="79"/>
      <c r="H23" s="190"/>
      <c r="I23" s="191"/>
      <c r="J23" s="191"/>
      <c r="L23" s="47">
        <f>R33</f>
        <v>1175</v>
      </c>
      <c r="N23" s="1"/>
      <c r="O23" t="s">
        <v>48</v>
      </c>
      <c r="P23" s="4">
        <v>1728</v>
      </c>
      <c r="Q23" s="4"/>
      <c r="R23" s="5">
        <f t="shared" si="0"/>
        <v>1728</v>
      </c>
    </row>
    <row r="24" spans="1:18" ht="15.75" x14ac:dyDescent="0.25">
      <c r="A24" s="128"/>
      <c r="B24" s="14" t="s">
        <v>101</v>
      </c>
      <c r="C24" s="10"/>
      <c r="D24" s="48">
        <f t="shared" si="1"/>
        <v>0</v>
      </c>
      <c r="F24" s="38"/>
      <c r="G24" s="37"/>
      <c r="H24" s="190"/>
      <c r="I24" s="191"/>
      <c r="J24" s="191"/>
      <c r="L24" s="47">
        <v>1667</v>
      </c>
      <c r="N24" s="1"/>
      <c r="O24" t="s">
        <v>49</v>
      </c>
      <c r="P24" s="4">
        <v>1728</v>
      </c>
      <c r="Q24" s="4"/>
      <c r="R24" s="5">
        <f t="shared" si="0"/>
        <v>1728</v>
      </c>
    </row>
    <row r="25" spans="1:18" ht="15.75" x14ac:dyDescent="0.25">
      <c r="A25" s="128"/>
      <c r="B25" s="14" t="s">
        <v>116</v>
      </c>
      <c r="C25" s="10"/>
      <c r="D25" s="48">
        <f t="shared" si="1"/>
        <v>0</v>
      </c>
      <c r="F25" s="60" t="s">
        <v>100</v>
      </c>
      <c r="G25" s="55" t="s">
        <v>98</v>
      </c>
      <c r="H25" s="192" t="s">
        <v>13</v>
      </c>
      <c r="I25" s="193"/>
      <c r="J25" s="194"/>
      <c r="L25" s="47">
        <f>1582</f>
        <v>1582</v>
      </c>
      <c r="O25" t="s">
        <v>51</v>
      </c>
      <c r="P25" s="4">
        <v>1582</v>
      </c>
      <c r="Q25" s="4"/>
      <c r="R25" s="5">
        <f t="shared" si="0"/>
        <v>1582</v>
      </c>
    </row>
    <row r="26" spans="1:18" ht="15.75" x14ac:dyDescent="0.25">
      <c r="A26" s="128"/>
      <c r="B26" s="14" t="s">
        <v>105</v>
      </c>
      <c r="C26" s="10"/>
      <c r="D26" s="48">
        <f t="shared" si="1"/>
        <v>0</v>
      </c>
      <c r="F26" s="64"/>
      <c r="G26" s="59"/>
      <c r="H26" s="195"/>
      <c r="I26" s="196"/>
      <c r="J26" s="197"/>
      <c r="L26" s="7">
        <f>832/24+1.5</f>
        <v>36.166666666666664</v>
      </c>
      <c r="O26" t="s">
        <v>52</v>
      </c>
      <c r="P26" s="4">
        <v>1447</v>
      </c>
      <c r="Q26" s="4">
        <v>120</v>
      </c>
      <c r="R26" s="5">
        <f t="shared" si="0"/>
        <v>1567</v>
      </c>
    </row>
    <row r="27" spans="1:18" ht="14.45" customHeight="1" x14ac:dyDescent="0.25">
      <c r="A27" s="128"/>
      <c r="B27" s="14" t="s">
        <v>109</v>
      </c>
      <c r="C27" s="10"/>
      <c r="D27" s="44">
        <f t="shared" si="1"/>
        <v>0</v>
      </c>
      <c r="F27" s="25"/>
      <c r="G27" s="80"/>
      <c r="H27" s="198"/>
      <c r="I27" s="199"/>
      <c r="J27" s="200"/>
      <c r="L27" s="7">
        <v>1582</v>
      </c>
      <c r="O27" t="s">
        <v>53</v>
      </c>
      <c r="P27" s="4">
        <v>1582</v>
      </c>
      <c r="Q27" s="4"/>
      <c r="R27" s="5">
        <f t="shared" si="0"/>
        <v>1582</v>
      </c>
    </row>
    <row r="28" spans="1:18" ht="15.75" x14ac:dyDescent="0.25">
      <c r="A28" s="129"/>
      <c r="B28" s="46" t="s">
        <v>97</v>
      </c>
      <c r="C28" s="10"/>
      <c r="D28" s="48">
        <f t="shared" si="1"/>
        <v>0</v>
      </c>
      <c r="F28" s="91"/>
      <c r="G28" s="61"/>
      <c r="H28" s="201"/>
      <c r="I28" s="202"/>
      <c r="J28" s="203"/>
      <c r="L28" s="7">
        <v>785</v>
      </c>
      <c r="O28" t="s">
        <v>54</v>
      </c>
      <c r="P28" s="4">
        <v>1447</v>
      </c>
      <c r="Q28" s="4">
        <v>120</v>
      </c>
      <c r="R28" s="5">
        <f t="shared" si="0"/>
        <v>1567</v>
      </c>
    </row>
    <row r="29" spans="1:18" x14ac:dyDescent="0.25">
      <c r="A29" s="167" t="s">
        <v>36</v>
      </c>
      <c r="B29" s="168"/>
      <c r="C29" s="169"/>
      <c r="D29" s="173">
        <f>SUM(D6:D28)</f>
        <v>494817</v>
      </c>
      <c r="F29" s="175" t="s">
        <v>55</v>
      </c>
      <c r="G29" s="176"/>
      <c r="H29" s="179">
        <f>H15-H16-H17-H18-H19-H20-H22-H23-H24+H26+H27</f>
        <v>434802</v>
      </c>
      <c r="I29" s="180"/>
      <c r="J29" s="181"/>
      <c r="O29" t="s">
        <v>56</v>
      </c>
      <c r="P29" s="4">
        <v>1582</v>
      </c>
      <c r="Q29" s="4"/>
      <c r="R29" s="5">
        <f t="shared" si="0"/>
        <v>1582</v>
      </c>
    </row>
    <row r="30" spans="1:18" x14ac:dyDescent="0.25">
      <c r="A30" s="170"/>
      <c r="B30" s="171"/>
      <c r="C30" s="172"/>
      <c r="D30" s="174"/>
      <c r="F30" s="177"/>
      <c r="G30" s="178"/>
      <c r="H30" s="182"/>
      <c r="I30" s="183"/>
      <c r="J30" s="184"/>
      <c r="N30" s="1"/>
      <c r="Q30" s="4"/>
      <c r="R30" s="5">
        <f t="shared" si="0"/>
        <v>0</v>
      </c>
    </row>
    <row r="31" spans="1:18" x14ac:dyDescent="0.25">
      <c r="A31" s="24"/>
      <c r="B31" s="24"/>
      <c r="C31" s="24"/>
      <c r="D31" s="24"/>
      <c r="F31" s="24"/>
      <c r="G31" s="24"/>
      <c r="O31" t="s">
        <v>57</v>
      </c>
      <c r="P31" s="4">
        <v>1052</v>
      </c>
      <c r="Q31" s="4">
        <v>120</v>
      </c>
      <c r="R31" s="5">
        <f t="shared" si="0"/>
        <v>1172</v>
      </c>
    </row>
    <row r="32" spans="1:18" x14ac:dyDescent="0.25">
      <c r="A32" s="114" t="s">
        <v>58</v>
      </c>
      <c r="B32" s="115"/>
      <c r="C32" s="115"/>
      <c r="D32" s="116"/>
      <c r="F32" s="204" t="s">
        <v>59</v>
      </c>
      <c r="G32" s="205"/>
      <c r="H32" s="205"/>
      <c r="I32" s="205"/>
      <c r="J32" s="206"/>
      <c r="O32" t="s">
        <v>60</v>
      </c>
      <c r="P32" s="4">
        <v>1005</v>
      </c>
      <c r="Q32" s="4">
        <v>120</v>
      </c>
      <c r="R32" s="5">
        <f t="shared" si="0"/>
        <v>1125</v>
      </c>
    </row>
    <row r="33" spans="1:18" x14ac:dyDescent="0.25">
      <c r="A33" s="25"/>
      <c r="B33" s="25" t="s">
        <v>11</v>
      </c>
      <c r="C33" s="25" t="s">
        <v>61</v>
      </c>
      <c r="D33" s="25" t="s">
        <v>13</v>
      </c>
      <c r="F33" s="25" t="s">
        <v>62</v>
      </c>
      <c r="G33" s="92" t="s">
        <v>63</v>
      </c>
      <c r="H33" s="204" t="s">
        <v>13</v>
      </c>
      <c r="I33" s="205"/>
      <c r="J33" s="206"/>
      <c r="O33" t="s">
        <v>64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27" t="s">
        <v>65</v>
      </c>
      <c r="B34" s="26" t="s">
        <v>66</v>
      </c>
      <c r="C34" s="51">
        <v>2</v>
      </c>
      <c r="D34" s="30">
        <f>C34*120</f>
        <v>240</v>
      </c>
      <c r="F34" s="12">
        <v>1000</v>
      </c>
      <c r="G34" s="74">
        <v>42</v>
      </c>
      <c r="H34" s="207">
        <f>F34*G34</f>
        <v>42000</v>
      </c>
      <c r="I34" s="208"/>
      <c r="J34" s="209"/>
      <c r="O34" t="s">
        <v>67</v>
      </c>
      <c r="P34" s="4">
        <v>832</v>
      </c>
      <c r="Q34" s="4">
        <v>120</v>
      </c>
      <c r="R34" s="5">
        <f t="shared" si="0"/>
        <v>952</v>
      </c>
    </row>
    <row r="35" spans="1:18" ht="15.75" x14ac:dyDescent="0.25">
      <c r="A35" s="128"/>
      <c r="B35" s="27" t="s">
        <v>68</v>
      </c>
      <c r="C35" s="52"/>
      <c r="D35" s="30">
        <f>C35*84</f>
        <v>0</v>
      </c>
      <c r="F35" s="58">
        <v>500</v>
      </c>
      <c r="G35" s="41">
        <v>38</v>
      </c>
      <c r="H35" s="207">
        <f>F35*G35</f>
        <v>19000</v>
      </c>
      <c r="I35" s="208"/>
      <c r="J35" s="209"/>
      <c r="O35" t="s">
        <v>69</v>
      </c>
      <c r="P35" s="4">
        <v>1102</v>
      </c>
      <c r="Q35" s="4"/>
      <c r="R35" s="5">
        <f t="shared" si="0"/>
        <v>1102</v>
      </c>
    </row>
    <row r="36" spans="1:18" ht="15.75" x14ac:dyDescent="0.25">
      <c r="A36" s="129"/>
      <c r="B36" s="26" t="s">
        <v>70</v>
      </c>
      <c r="C36" s="10"/>
      <c r="D36" s="12">
        <f>C36*1.5</f>
        <v>0</v>
      </c>
      <c r="F36" s="12">
        <v>200</v>
      </c>
      <c r="G36" s="37"/>
      <c r="H36" s="207">
        <f t="shared" ref="H36:H39" si="2">F36*G36</f>
        <v>0</v>
      </c>
      <c r="I36" s="208"/>
      <c r="J36" s="209"/>
      <c r="O36" t="s">
        <v>71</v>
      </c>
      <c r="P36" s="4">
        <v>852</v>
      </c>
      <c r="Q36" s="4">
        <v>120</v>
      </c>
      <c r="R36" s="5">
        <f t="shared" si="0"/>
        <v>972</v>
      </c>
    </row>
    <row r="37" spans="1:18" ht="15.75" x14ac:dyDescent="0.25">
      <c r="A37" s="127" t="s">
        <v>72</v>
      </c>
      <c r="B37" s="28" t="s">
        <v>66</v>
      </c>
      <c r="C37" s="53">
        <v>488</v>
      </c>
      <c r="D37" s="12">
        <f>C37*111</f>
        <v>54168</v>
      </c>
      <c r="F37" s="12">
        <v>100</v>
      </c>
      <c r="G37" s="39"/>
      <c r="H37" s="207">
        <f t="shared" si="2"/>
        <v>0</v>
      </c>
      <c r="I37" s="208"/>
      <c r="J37" s="209"/>
      <c r="O37" t="s">
        <v>73</v>
      </c>
      <c r="P37" s="4">
        <v>1020</v>
      </c>
      <c r="Q37" s="4">
        <v>120</v>
      </c>
      <c r="R37" s="5">
        <f t="shared" si="0"/>
        <v>1140</v>
      </c>
    </row>
    <row r="38" spans="1:18" ht="15.75" x14ac:dyDescent="0.25">
      <c r="A38" s="128"/>
      <c r="B38" s="29" t="s">
        <v>68</v>
      </c>
      <c r="C38" s="54"/>
      <c r="D38" s="12">
        <f>C38*84</f>
        <v>0</v>
      </c>
      <c r="F38" s="30">
        <v>50</v>
      </c>
      <c r="G38" s="39"/>
      <c r="H38" s="207">
        <f t="shared" si="2"/>
        <v>0</v>
      </c>
      <c r="I38" s="208"/>
      <c r="J38" s="209"/>
      <c r="O38" t="s">
        <v>74</v>
      </c>
      <c r="P38" s="4">
        <v>596</v>
      </c>
      <c r="Q38" s="4">
        <v>111</v>
      </c>
      <c r="R38" s="5">
        <f t="shared" si="0"/>
        <v>707</v>
      </c>
    </row>
    <row r="39" spans="1:18" ht="15.75" x14ac:dyDescent="0.25">
      <c r="A39" s="129"/>
      <c r="B39" s="29" t="s">
        <v>70</v>
      </c>
      <c r="C39" s="52"/>
      <c r="D39" s="31">
        <f>C39*4.5</f>
        <v>0</v>
      </c>
      <c r="F39" s="12">
        <v>20</v>
      </c>
      <c r="G39" s="37"/>
      <c r="H39" s="207">
        <f t="shared" si="2"/>
        <v>0</v>
      </c>
      <c r="I39" s="208"/>
      <c r="J39" s="209"/>
      <c r="O39" t="s">
        <v>75</v>
      </c>
      <c r="P39" s="4">
        <v>1175</v>
      </c>
      <c r="Q39" s="4"/>
      <c r="R39" s="5">
        <f t="shared" si="0"/>
        <v>1175</v>
      </c>
    </row>
    <row r="40" spans="1:18" ht="15.75" x14ac:dyDescent="0.25">
      <c r="A40" s="127" t="s">
        <v>76</v>
      </c>
      <c r="B40" s="27" t="s">
        <v>66</v>
      </c>
      <c r="C40" s="63">
        <v>6</v>
      </c>
      <c r="D40" s="12">
        <f>C40*111</f>
        <v>666</v>
      </c>
      <c r="F40" s="12">
        <v>10</v>
      </c>
      <c r="G40" s="42"/>
      <c r="H40" s="207"/>
      <c r="I40" s="208"/>
      <c r="J40" s="209"/>
      <c r="O40" t="s">
        <v>77</v>
      </c>
      <c r="P40" s="4">
        <v>913</v>
      </c>
      <c r="Q40" s="4">
        <v>120</v>
      </c>
      <c r="R40" s="5">
        <f t="shared" si="0"/>
        <v>1033</v>
      </c>
    </row>
    <row r="41" spans="1:18" ht="15.75" x14ac:dyDescent="0.25">
      <c r="A41" s="128"/>
      <c r="B41" s="27" t="s">
        <v>68</v>
      </c>
      <c r="C41" s="10"/>
      <c r="D41" s="12">
        <f>C41*84</f>
        <v>0</v>
      </c>
      <c r="F41" s="12">
        <v>5</v>
      </c>
      <c r="G41" s="42"/>
      <c r="H41" s="207"/>
      <c r="I41" s="208"/>
      <c r="J41" s="209"/>
      <c r="K41" s="21"/>
      <c r="O41" t="s">
        <v>78</v>
      </c>
      <c r="P41" s="4">
        <v>614</v>
      </c>
      <c r="Q41" s="4">
        <v>111</v>
      </c>
      <c r="R41" s="5">
        <f t="shared" si="0"/>
        <v>725</v>
      </c>
    </row>
    <row r="42" spans="1:18" ht="15.75" x14ac:dyDescent="0.25">
      <c r="A42" s="129"/>
      <c r="B42" s="27" t="s">
        <v>70</v>
      </c>
      <c r="C42" s="11"/>
      <c r="D42" s="12">
        <f>C42*2.25</f>
        <v>0</v>
      </c>
      <c r="F42" s="39" t="s">
        <v>79</v>
      </c>
      <c r="G42" s="207"/>
      <c r="H42" s="208"/>
      <c r="I42" s="208"/>
      <c r="J42" s="209"/>
      <c r="K42" s="36"/>
      <c r="O42" t="s">
        <v>80</v>
      </c>
      <c r="P42" s="4">
        <v>626</v>
      </c>
      <c r="Q42" s="4">
        <v>111</v>
      </c>
      <c r="R42" s="5">
        <f t="shared" si="0"/>
        <v>737</v>
      </c>
    </row>
    <row r="43" spans="1:18" ht="15.75" x14ac:dyDescent="0.25">
      <c r="A43" s="210" t="s">
        <v>81</v>
      </c>
      <c r="C43" s="11"/>
      <c r="D43" s="12"/>
      <c r="F43" s="59" t="s">
        <v>82</v>
      </c>
      <c r="G43" s="94" t="s">
        <v>83</v>
      </c>
      <c r="H43" s="213" t="s">
        <v>13</v>
      </c>
      <c r="I43" s="214"/>
      <c r="J43" s="215"/>
      <c r="K43" s="21"/>
      <c r="P43" s="4"/>
      <c r="Q43" s="4"/>
      <c r="R43" s="5"/>
    </row>
    <row r="44" spans="1:18" ht="15.75" x14ac:dyDescent="0.25">
      <c r="A44" s="211"/>
      <c r="B44" s="27" t="s">
        <v>66</v>
      </c>
      <c r="C44" s="10">
        <v>7</v>
      </c>
      <c r="D44" s="12">
        <f>C44*120</f>
        <v>840</v>
      </c>
      <c r="F44" s="37" t="s">
        <v>148</v>
      </c>
      <c r="G44" s="76" t="s">
        <v>159</v>
      </c>
      <c r="H44" s="191">
        <v>226005</v>
      </c>
      <c r="I44" s="191"/>
      <c r="J44" s="191"/>
      <c r="K44" s="21"/>
      <c r="P44" s="4"/>
      <c r="Q44" s="4"/>
      <c r="R44" s="5"/>
    </row>
    <row r="45" spans="1:18" ht="15.75" x14ac:dyDescent="0.25">
      <c r="A45" s="211"/>
      <c r="B45" s="27" t="s">
        <v>68</v>
      </c>
      <c r="C45" s="33"/>
      <c r="D45" s="12">
        <f>C45*84</f>
        <v>0</v>
      </c>
      <c r="F45" s="37" t="s">
        <v>160</v>
      </c>
      <c r="G45" s="76" t="s">
        <v>161</v>
      </c>
      <c r="H45" s="191">
        <v>147693</v>
      </c>
      <c r="I45" s="191"/>
      <c r="J45" s="191"/>
      <c r="K45" s="21"/>
      <c r="P45" s="4"/>
      <c r="Q45" s="4"/>
      <c r="R45" s="5"/>
    </row>
    <row r="46" spans="1:18" ht="15.75" x14ac:dyDescent="0.25">
      <c r="A46" s="211"/>
      <c r="B46" s="49" t="s">
        <v>70</v>
      </c>
      <c r="C46" s="81"/>
      <c r="D46" s="12">
        <f>C46*1.5</f>
        <v>0</v>
      </c>
      <c r="F46" s="37"/>
      <c r="G46" s="62"/>
      <c r="H46" s="216"/>
      <c r="I46" s="216"/>
      <c r="J46" s="216"/>
      <c r="K46" s="21"/>
      <c r="P46" s="4"/>
      <c r="Q46" s="4"/>
      <c r="R46" s="5"/>
    </row>
    <row r="47" spans="1:18" ht="15.75" x14ac:dyDescent="0.25">
      <c r="A47" s="212"/>
      <c r="B47" s="27"/>
      <c r="C47" s="11"/>
      <c r="D47" s="12"/>
      <c r="F47" s="59"/>
      <c r="G47" s="59"/>
      <c r="H47" s="217"/>
      <c r="I47" s="218"/>
      <c r="J47" s="219"/>
      <c r="K47" s="21"/>
      <c r="P47" s="4"/>
      <c r="Q47" s="4"/>
      <c r="R47" s="5"/>
    </row>
    <row r="48" spans="1:18" ht="15" customHeight="1" x14ac:dyDescent="0.25">
      <c r="A48" s="210" t="s">
        <v>32</v>
      </c>
      <c r="B48" s="27" t="s">
        <v>66</v>
      </c>
      <c r="C48" s="10">
        <v>11</v>
      </c>
      <c r="D48" s="12">
        <f>C48*78</f>
        <v>858</v>
      </c>
      <c r="F48" s="59"/>
      <c r="G48" s="59"/>
      <c r="H48" s="217"/>
      <c r="I48" s="218"/>
      <c r="J48" s="219"/>
      <c r="K48" s="35"/>
      <c r="O48" t="s">
        <v>84</v>
      </c>
      <c r="P48" s="4">
        <v>1175</v>
      </c>
      <c r="Q48" s="4"/>
      <c r="R48" s="5">
        <f t="shared" si="0"/>
        <v>1175</v>
      </c>
    </row>
    <row r="49" spans="1:18" ht="15.75" x14ac:dyDescent="0.25">
      <c r="A49" s="211"/>
      <c r="B49" s="29" t="s">
        <v>68</v>
      </c>
      <c r="C49" s="33">
        <v>15</v>
      </c>
      <c r="D49" s="12">
        <f>C49*42</f>
        <v>630</v>
      </c>
      <c r="F49" s="232" t="s">
        <v>86</v>
      </c>
      <c r="G49" s="179">
        <f>H34+H35+H36+H37+H38+H39+H40+H41+G42+H44+H45+H46</f>
        <v>434698</v>
      </c>
      <c r="H49" s="180"/>
      <c r="I49" s="180"/>
      <c r="J49" s="181"/>
      <c r="O49" t="s">
        <v>85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211"/>
      <c r="B50" s="32" t="s">
        <v>70</v>
      </c>
      <c r="C50" s="11">
        <v>2</v>
      </c>
      <c r="D50" s="12">
        <f>C50*1.5</f>
        <v>3</v>
      </c>
      <c r="F50" s="233"/>
      <c r="G50" s="182"/>
      <c r="H50" s="183"/>
      <c r="I50" s="183"/>
      <c r="J50" s="184"/>
      <c r="P50" s="4"/>
      <c r="Q50" s="4"/>
      <c r="R50" s="5"/>
    </row>
    <row r="51" spans="1:18" ht="15" customHeight="1" x14ac:dyDescent="0.25">
      <c r="A51" s="211"/>
      <c r="B51" s="27"/>
      <c r="C51" s="10"/>
      <c r="D51" s="31"/>
      <c r="F51" s="234" t="s">
        <v>142</v>
      </c>
      <c r="G51" s="247">
        <f>G49-H29</f>
        <v>-104</v>
      </c>
      <c r="H51" s="248"/>
      <c r="I51" s="248"/>
      <c r="J51" s="249"/>
      <c r="K51" s="21"/>
      <c r="O51" t="s">
        <v>87</v>
      </c>
      <c r="P51" s="4">
        <v>703</v>
      </c>
      <c r="Q51" s="4">
        <v>120</v>
      </c>
      <c r="R51" s="5">
        <f t="shared" si="0"/>
        <v>823</v>
      </c>
    </row>
    <row r="52" spans="1:18" ht="15.75" x14ac:dyDescent="0.25">
      <c r="A52" s="211"/>
      <c r="B52" s="29"/>
      <c r="C52" s="33"/>
      <c r="D52" s="45"/>
      <c r="F52" s="235"/>
      <c r="G52" s="250"/>
      <c r="H52" s="251"/>
      <c r="I52" s="251"/>
      <c r="J52" s="252"/>
      <c r="K52" s="21"/>
      <c r="O52" t="s">
        <v>88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212"/>
      <c r="B53" s="32"/>
      <c r="C53" s="11"/>
      <c r="D53" s="12"/>
      <c r="F53" s="35"/>
      <c r="G53" s="24"/>
      <c r="H53" s="24"/>
      <c r="I53" s="24"/>
      <c r="J53" s="17"/>
      <c r="N53" s="1"/>
      <c r="O53" t="s">
        <v>89</v>
      </c>
      <c r="P53" s="4">
        <v>1142</v>
      </c>
    </row>
    <row r="54" spans="1:18" x14ac:dyDescent="0.25">
      <c r="A54" s="175" t="s">
        <v>90</v>
      </c>
      <c r="B54" s="220"/>
      <c r="C54" s="221"/>
      <c r="D54" s="224">
        <f>SUM(D34:D53)</f>
        <v>57405</v>
      </c>
      <c r="F54" s="21"/>
      <c r="J54" s="34"/>
    </row>
    <row r="55" spans="1:18" x14ac:dyDescent="0.25">
      <c r="A55" s="177"/>
      <c r="B55" s="222"/>
      <c r="C55" s="223"/>
      <c r="D55" s="225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118</v>
      </c>
      <c r="D57" s="34"/>
      <c r="F57" s="36"/>
      <c r="G57" s="50"/>
      <c r="H57" s="50"/>
      <c r="I57" s="50"/>
      <c r="J57" s="43"/>
    </row>
    <row r="58" spans="1:18" x14ac:dyDescent="0.25">
      <c r="A58" s="226" t="s">
        <v>91</v>
      </c>
      <c r="B58" s="227"/>
      <c r="C58" s="227"/>
      <c r="D58" s="228"/>
      <c r="F58" s="226" t="s">
        <v>92</v>
      </c>
      <c r="G58" s="227"/>
      <c r="H58" s="227"/>
      <c r="I58" s="227"/>
      <c r="J58" s="228"/>
    </row>
    <row r="59" spans="1:18" x14ac:dyDescent="0.25">
      <c r="A59" s="229"/>
      <c r="B59" s="230"/>
      <c r="C59" s="230"/>
      <c r="D59" s="231"/>
      <c r="F59" s="229"/>
      <c r="G59" s="230"/>
      <c r="H59" s="230"/>
      <c r="I59" s="230"/>
      <c r="J59" s="231"/>
    </row>
  </sheetData>
  <mergeCells count="68"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  <mergeCell ref="H13:J13"/>
    <mergeCell ref="F14:G14"/>
    <mergeCell ref="H14:J14"/>
    <mergeCell ref="F15:G15"/>
    <mergeCell ref="H15:J15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A32:D32"/>
    <mergeCell ref="F32:J32"/>
    <mergeCell ref="H33:J33"/>
    <mergeCell ref="A34:A36"/>
    <mergeCell ref="H34:J34"/>
    <mergeCell ref="H35:J35"/>
    <mergeCell ref="H36:J36"/>
    <mergeCell ref="A37:A39"/>
    <mergeCell ref="H37:J37"/>
    <mergeCell ref="H38:J38"/>
    <mergeCell ref="H39:J39"/>
    <mergeCell ref="A40:A42"/>
    <mergeCell ref="H40:J40"/>
    <mergeCell ref="H41:J41"/>
    <mergeCell ref="G42:J42"/>
    <mergeCell ref="A43:A47"/>
    <mergeCell ref="H43:J43"/>
    <mergeCell ref="H44:J44"/>
    <mergeCell ref="H45:J45"/>
    <mergeCell ref="H46:J46"/>
    <mergeCell ref="H47:J47"/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1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BC07142-2579-4E15-A001-DB2D886643DD}">
  <dimension ref="A1:S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9" x14ac:dyDescent="0.25">
      <c r="A1" t="s">
        <v>0</v>
      </c>
      <c r="N1" s="113" t="s">
        <v>1</v>
      </c>
      <c r="O1" s="113"/>
      <c r="P1" s="90" t="s">
        <v>2</v>
      </c>
      <c r="Q1" s="90" t="s">
        <v>3</v>
      </c>
      <c r="R1" s="2" t="s">
        <v>4</v>
      </c>
    </row>
    <row r="2" spans="1:19" x14ac:dyDescent="0.25">
      <c r="A2" t="s">
        <v>5</v>
      </c>
      <c r="N2" s="1"/>
    </row>
    <row r="3" spans="1:19" x14ac:dyDescent="0.25">
      <c r="N3" s="1" t="s">
        <v>6</v>
      </c>
      <c r="O3" s="4"/>
    </row>
    <row r="4" spans="1:19" x14ac:dyDescent="0.25">
      <c r="A4" s="114" t="s">
        <v>7</v>
      </c>
      <c r="B4" s="115"/>
      <c r="C4" s="115"/>
      <c r="D4" s="116"/>
      <c r="F4" s="117" t="s">
        <v>8</v>
      </c>
      <c r="G4" s="119"/>
      <c r="H4" s="121" t="s">
        <v>9</v>
      </c>
      <c r="I4" s="123"/>
      <c r="J4" s="124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9" x14ac:dyDescent="0.25">
      <c r="A5" s="127" t="s">
        <v>7</v>
      </c>
      <c r="B5" s="15" t="s">
        <v>11</v>
      </c>
      <c r="C5" s="9" t="s">
        <v>12</v>
      </c>
      <c r="D5" s="25" t="s">
        <v>13</v>
      </c>
      <c r="F5" s="118"/>
      <c r="G5" s="120"/>
      <c r="H5" s="122"/>
      <c r="I5" s="125"/>
      <c r="J5" s="126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9" ht="14.45" customHeight="1" x14ac:dyDescent="0.25">
      <c r="A6" s="128"/>
      <c r="B6" s="16"/>
      <c r="C6" s="10"/>
      <c r="D6" s="13">
        <f t="shared" ref="D6:D28" si="1">C6*L6</f>
        <v>0</v>
      </c>
      <c r="F6" s="130" t="s">
        <v>16</v>
      </c>
      <c r="G6" s="132"/>
      <c r="H6" s="133"/>
      <c r="I6" s="133"/>
      <c r="J6" s="134"/>
      <c r="K6" s="8"/>
      <c r="L6" s="6">
        <f>R42</f>
        <v>737</v>
      </c>
      <c r="O6" t="s">
        <v>17</v>
      </c>
      <c r="P6" s="4">
        <v>650</v>
      </c>
      <c r="Q6" s="4"/>
      <c r="R6" s="5">
        <f t="shared" si="0"/>
        <v>650</v>
      </c>
    </row>
    <row r="7" spans="1:19" ht="14.45" customHeight="1" x14ac:dyDescent="0.25">
      <c r="A7" s="128"/>
      <c r="B7" s="16"/>
      <c r="C7" s="10"/>
      <c r="D7" s="13">
        <f t="shared" si="1"/>
        <v>0</v>
      </c>
      <c r="F7" s="131"/>
      <c r="G7" s="135"/>
      <c r="H7" s="136"/>
      <c r="I7" s="136"/>
      <c r="J7" s="137"/>
      <c r="K7" s="8"/>
      <c r="L7" s="6">
        <f>R41</f>
        <v>725</v>
      </c>
      <c r="P7" s="4"/>
      <c r="Q7" s="4"/>
      <c r="R7" s="5"/>
    </row>
    <row r="8" spans="1:19" ht="14.45" customHeight="1" x14ac:dyDescent="0.25">
      <c r="A8" s="128"/>
      <c r="B8" s="16"/>
      <c r="C8" s="10"/>
      <c r="D8" s="13">
        <f t="shared" si="1"/>
        <v>0</v>
      </c>
      <c r="F8" s="138" t="s">
        <v>21</v>
      </c>
      <c r="G8" s="140"/>
      <c r="H8" s="141"/>
      <c r="I8" s="141"/>
      <c r="J8" s="142"/>
      <c r="K8" s="8"/>
      <c r="L8" s="6">
        <f>R40</f>
        <v>1033</v>
      </c>
      <c r="P8" s="4"/>
      <c r="Q8" s="4"/>
      <c r="R8" s="5"/>
    </row>
    <row r="9" spans="1:19" ht="14.45" customHeight="1" x14ac:dyDescent="0.25">
      <c r="A9" s="128"/>
      <c r="B9" s="16"/>
      <c r="C9" s="10"/>
      <c r="D9" s="13">
        <f t="shared" si="1"/>
        <v>0</v>
      </c>
      <c r="F9" s="131"/>
      <c r="G9" s="143"/>
      <c r="H9" s="144"/>
      <c r="I9" s="144"/>
      <c r="J9" s="145"/>
      <c r="K9" s="8"/>
      <c r="L9" s="6">
        <f>R38</f>
        <v>707</v>
      </c>
      <c r="P9" s="4"/>
      <c r="Q9" s="4"/>
      <c r="R9" s="5"/>
    </row>
    <row r="10" spans="1:19" ht="14.45" customHeight="1" x14ac:dyDescent="0.25">
      <c r="A10" s="128"/>
      <c r="C10" s="10"/>
      <c r="D10" s="13">
        <f t="shared" si="1"/>
        <v>0</v>
      </c>
      <c r="F10" s="130" t="s">
        <v>26</v>
      </c>
      <c r="G10" s="146"/>
      <c r="H10" s="147"/>
      <c r="I10" s="147"/>
      <c r="J10" s="148"/>
      <c r="K10" s="8"/>
      <c r="L10" s="6">
        <f>R36</f>
        <v>972</v>
      </c>
      <c r="P10" s="4"/>
      <c r="Q10" s="4"/>
      <c r="R10" s="5"/>
    </row>
    <row r="11" spans="1:19" ht="15.75" x14ac:dyDescent="0.25">
      <c r="A11" s="128"/>
      <c r="B11" s="17"/>
      <c r="C11" s="10"/>
      <c r="D11" s="13">
        <f t="shared" si="1"/>
        <v>0</v>
      </c>
      <c r="F11" s="131"/>
      <c r="G11" s="143"/>
      <c r="H11" s="144"/>
      <c r="I11" s="144"/>
      <c r="J11" s="145"/>
      <c r="K11" s="22"/>
      <c r="L11" s="6">
        <f>R32</f>
        <v>1125</v>
      </c>
      <c r="O11" t="s">
        <v>19</v>
      </c>
      <c r="P11" s="4">
        <v>650</v>
      </c>
      <c r="Q11" s="4"/>
      <c r="R11" s="5">
        <f t="shared" si="0"/>
        <v>650</v>
      </c>
    </row>
    <row r="12" spans="1:19" ht="15.75" x14ac:dyDescent="0.25">
      <c r="A12" s="128"/>
      <c r="B12" s="17"/>
      <c r="C12" s="10"/>
      <c r="D12" s="48">
        <f t="shared" si="1"/>
        <v>0</v>
      </c>
      <c r="F12" s="149" t="s">
        <v>33</v>
      </c>
      <c r="G12" s="150"/>
      <c r="H12" s="150"/>
      <c r="I12" s="150"/>
      <c r="J12" s="151"/>
      <c r="K12" s="23"/>
      <c r="L12" s="6">
        <f>R34</f>
        <v>952</v>
      </c>
      <c r="O12" t="s">
        <v>22</v>
      </c>
      <c r="P12" s="4">
        <v>650</v>
      </c>
      <c r="Q12" s="4"/>
      <c r="R12" s="5">
        <f t="shared" si="0"/>
        <v>650</v>
      </c>
    </row>
    <row r="13" spans="1:19" ht="15.75" x14ac:dyDescent="0.25">
      <c r="A13" s="128"/>
      <c r="B13" s="17"/>
      <c r="C13" s="10"/>
      <c r="D13" s="48">
        <f t="shared" si="1"/>
        <v>0</v>
      </c>
      <c r="F13" s="152" t="s">
        <v>36</v>
      </c>
      <c r="G13" s="153"/>
      <c r="H13" s="154">
        <f>D29</f>
        <v>0</v>
      </c>
      <c r="I13" s="155"/>
      <c r="J13" s="156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9" ht="15.75" x14ac:dyDescent="0.25">
      <c r="A14" s="128"/>
      <c r="B14" s="14"/>
      <c r="C14" s="10"/>
      <c r="D14" s="31">
        <f t="shared" si="1"/>
        <v>0</v>
      </c>
      <c r="F14" s="157" t="s">
        <v>39</v>
      </c>
      <c r="G14" s="158"/>
      <c r="H14" s="159">
        <f>D54</f>
        <v>0</v>
      </c>
      <c r="I14" s="160"/>
      <c r="J14" s="161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  <c r="S14">
        <f>205+78</f>
        <v>283</v>
      </c>
    </row>
    <row r="15" spans="1:19" ht="15.75" x14ac:dyDescent="0.25">
      <c r="A15" s="128"/>
      <c r="B15" s="14"/>
      <c r="C15" s="10"/>
      <c r="D15" s="31">
        <f t="shared" si="1"/>
        <v>0</v>
      </c>
      <c r="F15" s="162" t="s">
        <v>40</v>
      </c>
      <c r="G15" s="153"/>
      <c r="H15" s="163">
        <f>H13-H14</f>
        <v>0</v>
      </c>
      <c r="I15" s="164"/>
      <c r="J15" s="165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  <c r="S15">
        <f>229+78</f>
        <v>307</v>
      </c>
    </row>
    <row r="16" spans="1:19" ht="15.75" x14ac:dyDescent="0.25">
      <c r="A16" s="128"/>
      <c r="B16" s="18"/>
      <c r="C16" s="10"/>
      <c r="D16" s="48">
        <f t="shared" si="1"/>
        <v>0</v>
      </c>
      <c r="F16" s="67" t="s">
        <v>42</v>
      </c>
      <c r="G16" s="66" t="s">
        <v>43</v>
      </c>
      <c r="H16" s="166"/>
      <c r="I16" s="166"/>
      <c r="J16" s="166"/>
      <c r="L16" s="6">
        <f>R28</f>
        <v>1567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28"/>
      <c r="C17" s="10"/>
      <c r="D17" s="48">
        <f t="shared" si="1"/>
        <v>0</v>
      </c>
      <c r="F17" s="56"/>
      <c r="G17" s="66" t="s">
        <v>45</v>
      </c>
      <c r="H17" s="139"/>
      <c r="I17" s="139"/>
      <c r="J17" s="139"/>
      <c r="L17" s="6">
        <v>1582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28"/>
      <c r="B18" s="19"/>
      <c r="C18" s="10"/>
      <c r="D18" s="48">
        <f t="shared" si="1"/>
        <v>0</v>
      </c>
      <c r="F18" s="56"/>
      <c r="G18" s="66" t="s">
        <v>47</v>
      </c>
      <c r="H18" s="139"/>
      <c r="I18" s="139"/>
      <c r="J18" s="139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28"/>
      <c r="B19" s="14"/>
      <c r="C19" s="10"/>
      <c r="D19" s="48">
        <f t="shared" si="1"/>
        <v>0</v>
      </c>
      <c r="F19" s="56"/>
      <c r="G19" s="68" t="s">
        <v>50</v>
      </c>
      <c r="H19" s="185"/>
      <c r="I19" s="185"/>
      <c r="J19" s="185"/>
      <c r="L19" s="6">
        <f>R35</f>
        <v>1102</v>
      </c>
      <c r="Q19" s="4"/>
      <c r="R19" s="5">
        <f t="shared" si="0"/>
        <v>0</v>
      </c>
    </row>
    <row r="20" spans="1:18" ht="15.75" x14ac:dyDescent="0.25">
      <c r="A20" s="128"/>
      <c r="B20" s="46"/>
      <c r="C20" s="10"/>
      <c r="D20" s="13">
        <f t="shared" si="1"/>
        <v>0</v>
      </c>
      <c r="F20" s="57"/>
      <c r="G20" s="70" t="s">
        <v>120</v>
      </c>
      <c r="H20" s="166"/>
      <c r="I20" s="166"/>
      <c r="J20" s="166"/>
      <c r="L20" s="6">
        <f>1102</f>
        <v>1102</v>
      </c>
      <c r="N20" s="1" t="s">
        <v>41</v>
      </c>
      <c r="Q20" s="4"/>
      <c r="R20" s="5">
        <f t="shared" si="0"/>
        <v>0</v>
      </c>
    </row>
    <row r="21" spans="1:18" ht="15.75" x14ac:dyDescent="0.25">
      <c r="A21" s="128"/>
      <c r="B21" s="14"/>
      <c r="C21" s="10"/>
      <c r="D21" s="48">
        <f t="shared" si="1"/>
        <v>0</v>
      </c>
      <c r="F21" s="69" t="s">
        <v>99</v>
      </c>
      <c r="G21" s="82" t="s">
        <v>98</v>
      </c>
      <c r="H21" s="186" t="s">
        <v>13</v>
      </c>
      <c r="I21" s="187"/>
      <c r="J21" s="188"/>
      <c r="L21" s="7">
        <v>650</v>
      </c>
      <c r="O21" t="s">
        <v>44</v>
      </c>
      <c r="P21" s="4">
        <v>1447</v>
      </c>
      <c r="Q21" s="4">
        <v>120</v>
      </c>
      <c r="R21" s="5">
        <f t="shared" si="0"/>
        <v>1567</v>
      </c>
    </row>
    <row r="22" spans="1:18" ht="15.75" x14ac:dyDescent="0.25">
      <c r="A22" s="128"/>
      <c r="B22" s="46"/>
      <c r="C22" s="10"/>
      <c r="D22" s="48">
        <f t="shared" si="1"/>
        <v>0</v>
      </c>
      <c r="F22" s="77"/>
      <c r="G22" s="73"/>
      <c r="H22" s="189"/>
      <c r="I22" s="189"/>
      <c r="J22" s="189"/>
      <c r="L22" s="7">
        <f>559+111</f>
        <v>670</v>
      </c>
      <c r="O22" t="s">
        <v>46</v>
      </c>
      <c r="P22" s="4">
        <v>1582</v>
      </c>
      <c r="Q22" s="4"/>
      <c r="R22" s="5">
        <f t="shared" si="0"/>
        <v>1582</v>
      </c>
    </row>
    <row r="23" spans="1:18" ht="15.75" x14ac:dyDescent="0.25">
      <c r="A23" s="128"/>
      <c r="B23" s="14"/>
      <c r="C23" s="10"/>
      <c r="D23" s="48">
        <f t="shared" si="1"/>
        <v>0</v>
      </c>
      <c r="F23" s="78"/>
      <c r="G23" s="79"/>
      <c r="H23" s="190"/>
      <c r="I23" s="191"/>
      <c r="J23" s="191"/>
      <c r="L23" s="47">
        <f>R33</f>
        <v>1175</v>
      </c>
      <c r="N23" s="1"/>
      <c r="O23" t="s">
        <v>48</v>
      </c>
      <c r="P23" s="4">
        <v>1728</v>
      </c>
      <c r="Q23" s="4"/>
      <c r="R23" s="5">
        <f t="shared" si="0"/>
        <v>1728</v>
      </c>
    </row>
    <row r="24" spans="1:18" ht="15.75" x14ac:dyDescent="0.25">
      <c r="A24" s="128"/>
      <c r="B24" s="14"/>
      <c r="C24" s="10"/>
      <c r="D24" s="48">
        <f t="shared" si="1"/>
        <v>0</v>
      </c>
      <c r="F24" s="38"/>
      <c r="G24" s="37"/>
      <c r="H24" s="190"/>
      <c r="I24" s="191"/>
      <c r="J24" s="191"/>
      <c r="L24" s="47">
        <v>1667</v>
      </c>
      <c r="N24" s="1"/>
      <c r="O24" t="s">
        <v>49</v>
      </c>
      <c r="P24" s="4">
        <v>1728</v>
      </c>
      <c r="Q24" s="4"/>
      <c r="R24" s="5">
        <f t="shared" si="0"/>
        <v>1728</v>
      </c>
    </row>
    <row r="25" spans="1:18" ht="15.75" x14ac:dyDescent="0.25">
      <c r="A25" s="128"/>
      <c r="B25" s="14"/>
      <c r="C25" s="10"/>
      <c r="D25" s="48">
        <f t="shared" si="1"/>
        <v>0</v>
      </c>
      <c r="F25" s="60" t="s">
        <v>100</v>
      </c>
      <c r="G25" s="55" t="s">
        <v>98</v>
      </c>
      <c r="H25" s="192" t="s">
        <v>13</v>
      </c>
      <c r="I25" s="193"/>
      <c r="J25" s="194"/>
      <c r="L25" s="47">
        <f>1582</f>
        <v>1582</v>
      </c>
      <c r="O25" t="s">
        <v>51</v>
      </c>
      <c r="P25" s="4">
        <v>1582</v>
      </c>
      <c r="Q25" s="4"/>
      <c r="R25" s="5">
        <f t="shared" si="0"/>
        <v>1582</v>
      </c>
    </row>
    <row r="26" spans="1:18" ht="15.75" x14ac:dyDescent="0.25">
      <c r="A26" s="128"/>
      <c r="B26" s="14"/>
      <c r="C26" s="10"/>
      <c r="D26" s="48">
        <f t="shared" si="1"/>
        <v>0</v>
      </c>
      <c r="F26" s="64"/>
      <c r="G26" s="59"/>
      <c r="H26" s="195"/>
      <c r="I26" s="196"/>
      <c r="J26" s="197"/>
      <c r="L26" s="7">
        <f>832/24+1.5</f>
        <v>36.166666666666664</v>
      </c>
      <c r="O26" t="s">
        <v>52</v>
      </c>
      <c r="P26" s="4">
        <v>1447</v>
      </c>
      <c r="Q26" s="4">
        <v>120</v>
      </c>
      <c r="R26" s="5">
        <f t="shared" si="0"/>
        <v>1567</v>
      </c>
    </row>
    <row r="27" spans="1:18" ht="14.45" customHeight="1" x14ac:dyDescent="0.25">
      <c r="A27" s="128"/>
      <c r="B27" s="14"/>
      <c r="C27" s="10"/>
      <c r="D27" s="44">
        <f t="shared" si="1"/>
        <v>0</v>
      </c>
      <c r="F27" s="25"/>
      <c r="G27" s="80"/>
      <c r="H27" s="198"/>
      <c r="I27" s="199"/>
      <c r="J27" s="200"/>
      <c r="L27" s="7">
        <v>1582</v>
      </c>
      <c r="O27" t="s">
        <v>53</v>
      </c>
      <c r="P27" s="4">
        <v>1582</v>
      </c>
      <c r="Q27" s="4"/>
      <c r="R27" s="5">
        <f t="shared" si="0"/>
        <v>1582</v>
      </c>
    </row>
    <row r="28" spans="1:18" ht="15.75" x14ac:dyDescent="0.25">
      <c r="A28" s="129"/>
      <c r="B28" s="46"/>
      <c r="C28" s="10"/>
      <c r="D28" s="48">
        <f t="shared" si="1"/>
        <v>0</v>
      </c>
      <c r="F28" s="91"/>
      <c r="G28" s="61"/>
      <c r="H28" s="201"/>
      <c r="I28" s="202"/>
      <c r="J28" s="203"/>
      <c r="L28" s="7">
        <v>785</v>
      </c>
      <c r="O28" t="s">
        <v>54</v>
      </c>
      <c r="P28" s="4">
        <v>1447</v>
      </c>
      <c r="Q28" s="4">
        <v>120</v>
      </c>
      <c r="R28" s="5">
        <f t="shared" si="0"/>
        <v>1567</v>
      </c>
    </row>
    <row r="29" spans="1:18" x14ac:dyDescent="0.25">
      <c r="A29" s="167" t="s">
        <v>36</v>
      </c>
      <c r="B29" s="168"/>
      <c r="C29" s="169"/>
      <c r="D29" s="173">
        <f>SUM(D6:D28)</f>
        <v>0</v>
      </c>
      <c r="F29" s="175" t="s">
        <v>55</v>
      </c>
      <c r="G29" s="176"/>
      <c r="H29" s="179">
        <f>H15-H16-H17-H18-H19-H20-H22-H23-H24+H26+H27</f>
        <v>0</v>
      </c>
      <c r="I29" s="180"/>
      <c r="J29" s="181"/>
      <c r="O29" t="s">
        <v>56</v>
      </c>
      <c r="P29" s="4">
        <v>1582</v>
      </c>
      <c r="Q29" s="4"/>
      <c r="R29" s="5">
        <f t="shared" si="0"/>
        <v>1582</v>
      </c>
    </row>
    <row r="30" spans="1:18" x14ac:dyDescent="0.25">
      <c r="A30" s="170"/>
      <c r="B30" s="171"/>
      <c r="C30" s="172"/>
      <c r="D30" s="174"/>
      <c r="F30" s="177"/>
      <c r="G30" s="178"/>
      <c r="H30" s="182"/>
      <c r="I30" s="183"/>
      <c r="J30" s="184"/>
      <c r="N30" s="1"/>
      <c r="Q30" s="4"/>
      <c r="R30" s="5">
        <f t="shared" si="0"/>
        <v>0</v>
      </c>
    </row>
    <row r="31" spans="1:18" x14ac:dyDescent="0.25">
      <c r="A31" s="24"/>
      <c r="B31" s="24"/>
      <c r="C31" s="24"/>
      <c r="D31" s="24"/>
      <c r="F31" s="24"/>
      <c r="G31" s="24"/>
      <c r="O31" t="s">
        <v>57</v>
      </c>
      <c r="P31" s="4">
        <v>1052</v>
      </c>
      <c r="Q31" s="4">
        <v>120</v>
      </c>
      <c r="R31" s="5">
        <f t="shared" si="0"/>
        <v>1172</v>
      </c>
    </row>
    <row r="32" spans="1:18" x14ac:dyDescent="0.25">
      <c r="A32" s="114" t="s">
        <v>58</v>
      </c>
      <c r="B32" s="115"/>
      <c r="C32" s="115"/>
      <c r="D32" s="116"/>
      <c r="F32" s="204" t="s">
        <v>59</v>
      </c>
      <c r="G32" s="205"/>
      <c r="H32" s="205"/>
      <c r="I32" s="205"/>
      <c r="J32" s="206"/>
      <c r="O32" t="s">
        <v>60</v>
      </c>
      <c r="P32" s="4">
        <v>1005</v>
      </c>
      <c r="Q32" s="4">
        <v>120</v>
      </c>
      <c r="R32" s="5">
        <f t="shared" si="0"/>
        <v>1125</v>
      </c>
    </row>
    <row r="33" spans="1:18" x14ac:dyDescent="0.25">
      <c r="A33" s="25"/>
      <c r="B33" s="25" t="s">
        <v>11</v>
      </c>
      <c r="C33" s="25" t="s">
        <v>61</v>
      </c>
      <c r="D33" s="25" t="s">
        <v>13</v>
      </c>
      <c r="F33" s="25" t="s">
        <v>62</v>
      </c>
      <c r="G33" s="92" t="s">
        <v>63</v>
      </c>
      <c r="H33" s="204" t="s">
        <v>13</v>
      </c>
      <c r="I33" s="205"/>
      <c r="J33" s="206"/>
      <c r="O33" t="s">
        <v>64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27" t="s">
        <v>65</v>
      </c>
      <c r="B34" s="26" t="s">
        <v>66</v>
      </c>
      <c r="C34" s="51"/>
      <c r="D34" s="30">
        <f>C34*120</f>
        <v>0</v>
      </c>
      <c r="F34" s="12">
        <v>1000</v>
      </c>
      <c r="G34" s="74"/>
      <c r="H34" s="207"/>
      <c r="I34" s="208"/>
      <c r="J34" s="209"/>
      <c r="O34" t="s">
        <v>67</v>
      </c>
      <c r="P34" s="4">
        <v>832</v>
      </c>
      <c r="Q34" s="4">
        <v>120</v>
      </c>
      <c r="R34" s="5">
        <f t="shared" si="0"/>
        <v>952</v>
      </c>
    </row>
    <row r="35" spans="1:18" ht="15.75" x14ac:dyDescent="0.25">
      <c r="A35" s="128"/>
      <c r="B35" s="27" t="s">
        <v>68</v>
      </c>
      <c r="C35" s="52"/>
      <c r="D35" s="30">
        <f>C35*84</f>
        <v>0</v>
      </c>
      <c r="F35" s="58">
        <v>500</v>
      </c>
      <c r="G35" s="41"/>
      <c r="H35" s="207"/>
      <c r="I35" s="208"/>
      <c r="J35" s="209"/>
      <c r="O35" t="s">
        <v>69</v>
      </c>
      <c r="P35" s="4">
        <v>1102</v>
      </c>
      <c r="Q35" s="4"/>
      <c r="R35" s="5">
        <f t="shared" si="0"/>
        <v>1102</v>
      </c>
    </row>
    <row r="36" spans="1:18" ht="15.75" x14ac:dyDescent="0.25">
      <c r="A36" s="129"/>
      <c r="B36" s="26" t="s">
        <v>70</v>
      </c>
      <c r="C36" s="10"/>
      <c r="D36" s="12">
        <f>C36*1.5</f>
        <v>0</v>
      </c>
      <c r="F36" s="12">
        <v>200</v>
      </c>
      <c r="G36" s="37"/>
      <c r="H36" s="207"/>
      <c r="I36" s="208"/>
      <c r="J36" s="209"/>
      <c r="O36" t="s">
        <v>71</v>
      </c>
      <c r="P36" s="4">
        <v>852</v>
      </c>
      <c r="Q36" s="4">
        <v>120</v>
      </c>
      <c r="R36" s="5">
        <f t="shared" si="0"/>
        <v>972</v>
      </c>
    </row>
    <row r="37" spans="1:18" ht="15.75" x14ac:dyDescent="0.25">
      <c r="A37" s="127" t="s">
        <v>72</v>
      </c>
      <c r="B37" s="28" t="s">
        <v>66</v>
      </c>
      <c r="C37" s="53"/>
      <c r="D37" s="12">
        <f>C37*111</f>
        <v>0</v>
      </c>
      <c r="F37" s="12">
        <v>100</v>
      </c>
      <c r="G37" s="39"/>
      <c r="H37" s="207"/>
      <c r="I37" s="208"/>
      <c r="J37" s="209"/>
      <c r="O37" t="s">
        <v>73</v>
      </c>
      <c r="P37" s="4">
        <v>1020</v>
      </c>
      <c r="Q37" s="4">
        <v>120</v>
      </c>
      <c r="R37" s="5">
        <f t="shared" si="0"/>
        <v>1140</v>
      </c>
    </row>
    <row r="38" spans="1:18" ht="15.75" x14ac:dyDescent="0.25">
      <c r="A38" s="128"/>
      <c r="B38" s="29" t="s">
        <v>68</v>
      </c>
      <c r="C38" s="54"/>
      <c r="D38" s="12">
        <f>C38*84</f>
        <v>0</v>
      </c>
      <c r="F38" s="30">
        <v>50</v>
      </c>
      <c r="G38" s="39"/>
      <c r="H38" s="207"/>
      <c r="I38" s="208"/>
      <c r="J38" s="209"/>
      <c r="O38" t="s">
        <v>74</v>
      </c>
      <c r="P38" s="4">
        <v>596</v>
      </c>
      <c r="Q38" s="4">
        <v>111</v>
      </c>
      <c r="R38" s="5">
        <f t="shared" si="0"/>
        <v>707</v>
      </c>
    </row>
    <row r="39" spans="1:18" ht="15.75" x14ac:dyDescent="0.25">
      <c r="A39" s="129"/>
      <c r="B39" s="29" t="s">
        <v>70</v>
      </c>
      <c r="C39" s="52"/>
      <c r="D39" s="31">
        <f>C39*4.5</f>
        <v>0</v>
      </c>
      <c r="F39" s="12">
        <v>20</v>
      </c>
      <c r="G39" s="37"/>
      <c r="H39" s="207"/>
      <c r="I39" s="208"/>
      <c r="J39" s="209"/>
      <c r="O39" t="s">
        <v>75</v>
      </c>
      <c r="P39" s="4">
        <v>1175</v>
      </c>
      <c r="Q39" s="4"/>
      <c r="R39" s="5">
        <f t="shared" si="0"/>
        <v>1175</v>
      </c>
    </row>
    <row r="40" spans="1:18" ht="15.75" x14ac:dyDescent="0.25">
      <c r="A40" s="127" t="s">
        <v>76</v>
      </c>
      <c r="B40" s="27" t="s">
        <v>66</v>
      </c>
      <c r="C40" s="63"/>
      <c r="D40" s="12">
        <f>C40*111</f>
        <v>0</v>
      </c>
      <c r="F40" s="12">
        <v>10</v>
      </c>
      <c r="G40" s="42"/>
      <c r="H40" s="207"/>
      <c r="I40" s="208"/>
      <c r="J40" s="209"/>
      <c r="O40" t="s">
        <v>77</v>
      </c>
      <c r="P40" s="4">
        <v>913</v>
      </c>
      <c r="Q40" s="4">
        <v>120</v>
      </c>
      <c r="R40" s="5">
        <f t="shared" si="0"/>
        <v>1033</v>
      </c>
    </row>
    <row r="41" spans="1:18" ht="15.75" x14ac:dyDescent="0.25">
      <c r="A41" s="128"/>
      <c r="B41" s="27" t="s">
        <v>68</v>
      </c>
      <c r="C41" s="10"/>
      <c r="D41" s="12">
        <f>C41*84</f>
        <v>0</v>
      </c>
      <c r="F41" s="12">
        <v>5</v>
      </c>
      <c r="G41" s="42"/>
      <c r="H41" s="207"/>
      <c r="I41" s="208"/>
      <c r="J41" s="209"/>
      <c r="K41" s="21"/>
      <c r="O41" t="s">
        <v>78</v>
      </c>
      <c r="P41" s="4">
        <v>614</v>
      </c>
      <c r="Q41" s="4">
        <v>111</v>
      </c>
      <c r="R41" s="5">
        <f t="shared" si="0"/>
        <v>725</v>
      </c>
    </row>
    <row r="42" spans="1:18" ht="15.75" x14ac:dyDescent="0.25">
      <c r="A42" s="129"/>
      <c r="B42" s="27" t="s">
        <v>70</v>
      </c>
      <c r="C42" s="11"/>
      <c r="D42" s="12">
        <f>C42*2.25</f>
        <v>0</v>
      </c>
      <c r="F42" s="39" t="s">
        <v>79</v>
      </c>
      <c r="G42" s="207"/>
      <c r="H42" s="208"/>
      <c r="I42" s="208"/>
      <c r="J42" s="209"/>
      <c r="K42" s="36"/>
      <c r="O42" t="s">
        <v>80</v>
      </c>
      <c r="P42" s="4">
        <v>626</v>
      </c>
      <c r="Q42" s="4">
        <v>111</v>
      </c>
      <c r="R42" s="5">
        <f t="shared" si="0"/>
        <v>737</v>
      </c>
    </row>
    <row r="43" spans="1:18" ht="15.75" x14ac:dyDescent="0.25">
      <c r="A43" s="210" t="s">
        <v>81</v>
      </c>
      <c r="C43" s="11"/>
      <c r="D43" s="12"/>
      <c r="F43" s="59" t="s">
        <v>82</v>
      </c>
      <c r="G43" s="94" t="s">
        <v>83</v>
      </c>
      <c r="H43" s="213" t="s">
        <v>13</v>
      </c>
      <c r="I43" s="214"/>
      <c r="J43" s="215"/>
      <c r="K43" s="21"/>
      <c r="P43" s="4"/>
      <c r="Q43" s="4"/>
      <c r="R43" s="5"/>
    </row>
    <row r="44" spans="1:18" ht="15.75" x14ac:dyDescent="0.25">
      <c r="A44" s="211"/>
      <c r="B44" s="27" t="s">
        <v>66</v>
      </c>
      <c r="C44" s="10"/>
      <c r="D44" s="12">
        <f>C44*120</f>
        <v>0</v>
      </c>
      <c r="F44" s="37"/>
      <c r="G44" s="76"/>
      <c r="H44" s="191"/>
      <c r="I44" s="191"/>
      <c r="J44" s="191"/>
      <c r="K44" s="21"/>
      <c r="P44" s="4"/>
      <c r="Q44" s="4"/>
      <c r="R44" s="5"/>
    </row>
    <row r="45" spans="1:18" ht="15.75" x14ac:dyDescent="0.25">
      <c r="A45" s="211"/>
      <c r="B45" s="27" t="s">
        <v>68</v>
      </c>
      <c r="C45" s="33"/>
      <c r="D45" s="12">
        <f>C45*84</f>
        <v>0</v>
      </c>
      <c r="F45" s="37"/>
      <c r="G45" s="76"/>
      <c r="H45" s="191"/>
      <c r="I45" s="191"/>
      <c r="J45" s="191"/>
      <c r="K45" s="21"/>
      <c r="P45" s="4"/>
      <c r="Q45" s="4"/>
      <c r="R45" s="5"/>
    </row>
    <row r="46" spans="1:18" ht="15.75" x14ac:dyDescent="0.25">
      <c r="A46" s="211"/>
      <c r="B46" s="49" t="s">
        <v>70</v>
      </c>
      <c r="C46" s="81"/>
      <c r="D46" s="12">
        <f>C46*1.5</f>
        <v>0</v>
      </c>
      <c r="F46" s="37"/>
      <c r="G46" s="62"/>
      <c r="H46" s="216"/>
      <c r="I46" s="216"/>
      <c r="J46" s="216"/>
      <c r="K46" s="21"/>
      <c r="P46" s="4"/>
      <c r="Q46" s="4"/>
      <c r="R46" s="5"/>
    </row>
    <row r="47" spans="1:18" ht="15.75" x14ac:dyDescent="0.25">
      <c r="A47" s="212"/>
      <c r="B47" s="27"/>
      <c r="C47" s="11"/>
      <c r="D47" s="12"/>
      <c r="F47" s="59"/>
      <c r="G47" s="59"/>
      <c r="H47" s="217"/>
      <c r="I47" s="218"/>
      <c r="J47" s="219"/>
      <c r="K47" s="21"/>
      <c r="P47" s="4"/>
      <c r="Q47" s="4"/>
      <c r="R47" s="5"/>
    </row>
    <row r="48" spans="1:18" ht="15" customHeight="1" x14ac:dyDescent="0.25">
      <c r="A48" s="210" t="s">
        <v>32</v>
      </c>
      <c r="B48" s="27" t="s">
        <v>66</v>
      </c>
      <c r="C48" s="10"/>
      <c r="D48" s="12">
        <f>C48*78</f>
        <v>0</v>
      </c>
      <c r="F48" s="59"/>
      <c r="G48" s="59"/>
      <c r="H48" s="217"/>
      <c r="I48" s="218"/>
      <c r="J48" s="219"/>
      <c r="K48" s="35"/>
      <c r="O48" t="s">
        <v>84</v>
      </c>
      <c r="P48" s="4">
        <v>1175</v>
      </c>
      <c r="Q48" s="4"/>
      <c r="R48" s="5">
        <f t="shared" si="0"/>
        <v>1175</v>
      </c>
    </row>
    <row r="49" spans="1:18" ht="15.75" x14ac:dyDescent="0.25">
      <c r="A49" s="211"/>
      <c r="B49" s="29" t="s">
        <v>68</v>
      </c>
      <c r="C49" s="33"/>
      <c r="D49" s="12">
        <f>C49*42</f>
        <v>0</v>
      </c>
      <c r="F49" s="232" t="s">
        <v>86</v>
      </c>
      <c r="G49" s="179">
        <f>H34+H35+H36+H37+H38+H39+H40+H41+G42+H44+H45+H46</f>
        <v>0</v>
      </c>
      <c r="H49" s="180"/>
      <c r="I49" s="180"/>
      <c r="J49" s="181"/>
      <c r="O49" t="s">
        <v>85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211"/>
      <c r="B50" s="32" t="s">
        <v>70</v>
      </c>
      <c r="C50" s="11"/>
      <c r="D50" s="12">
        <f>C50*1.5</f>
        <v>0</v>
      </c>
      <c r="F50" s="233"/>
      <c r="G50" s="182"/>
      <c r="H50" s="183"/>
      <c r="I50" s="183"/>
      <c r="J50" s="184"/>
      <c r="P50" s="4"/>
      <c r="Q50" s="4"/>
      <c r="R50" s="5"/>
    </row>
    <row r="51" spans="1:18" ht="15" customHeight="1" x14ac:dyDescent="0.25">
      <c r="A51" s="211"/>
      <c r="B51" s="27"/>
      <c r="C51" s="10"/>
      <c r="D51" s="31"/>
      <c r="F51" s="234" t="s">
        <v>128</v>
      </c>
      <c r="G51" s="236">
        <f>G49-H29</f>
        <v>0</v>
      </c>
      <c r="H51" s="237"/>
      <c r="I51" s="237"/>
      <c r="J51" s="238"/>
      <c r="K51" s="21"/>
      <c r="O51" t="s">
        <v>87</v>
      </c>
      <c r="P51" s="4">
        <v>703</v>
      </c>
      <c r="Q51" s="4">
        <v>120</v>
      </c>
      <c r="R51" s="5">
        <f t="shared" si="0"/>
        <v>823</v>
      </c>
    </row>
    <row r="52" spans="1:18" ht="15.75" x14ac:dyDescent="0.25">
      <c r="A52" s="211"/>
      <c r="B52" s="29"/>
      <c r="C52" s="33"/>
      <c r="D52" s="45"/>
      <c r="F52" s="235"/>
      <c r="G52" s="239"/>
      <c r="H52" s="240"/>
      <c r="I52" s="240"/>
      <c r="J52" s="241"/>
      <c r="K52" s="21"/>
      <c r="O52" t="s">
        <v>88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212"/>
      <c r="B53" s="32"/>
      <c r="C53" s="11"/>
      <c r="D53" s="12"/>
      <c r="F53" s="35"/>
      <c r="G53" s="24"/>
      <c r="H53" s="24"/>
      <c r="I53" s="24"/>
      <c r="J53" s="17"/>
      <c r="N53" s="1"/>
      <c r="O53" t="s">
        <v>89</v>
      </c>
      <c r="P53" s="4">
        <v>1142</v>
      </c>
    </row>
    <row r="54" spans="1:18" x14ac:dyDescent="0.25">
      <c r="A54" s="175" t="s">
        <v>90</v>
      </c>
      <c r="B54" s="220"/>
      <c r="C54" s="221"/>
      <c r="D54" s="224">
        <f>SUM(D34:D53)</f>
        <v>0</v>
      </c>
      <c r="F54" s="21"/>
      <c r="J54" s="34"/>
    </row>
    <row r="55" spans="1:18" x14ac:dyDescent="0.25">
      <c r="A55" s="177"/>
      <c r="B55" s="222"/>
      <c r="C55" s="223"/>
      <c r="D55" s="225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D57" s="34"/>
      <c r="F57" s="36"/>
      <c r="G57" s="50"/>
      <c r="H57" s="50"/>
      <c r="I57" s="50"/>
      <c r="J57" s="43"/>
    </row>
    <row r="58" spans="1:18" x14ac:dyDescent="0.25">
      <c r="A58" s="226" t="s">
        <v>91</v>
      </c>
      <c r="B58" s="227"/>
      <c r="C58" s="227"/>
      <c r="D58" s="228"/>
      <c r="F58" s="226" t="s">
        <v>92</v>
      </c>
      <c r="G58" s="227"/>
      <c r="H58" s="227"/>
      <c r="I58" s="227"/>
      <c r="J58" s="228"/>
    </row>
    <row r="59" spans="1:18" x14ac:dyDescent="0.25">
      <c r="A59" s="229"/>
      <c r="B59" s="230"/>
      <c r="C59" s="230"/>
      <c r="D59" s="231"/>
      <c r="F59" s="229"/>
      <c r="G59" s="230"/>
      <c r="H59" s="230"/>
      <c r="I59" s="230"/>
      <c r="J59" s="231"/>
    </row>
  </sheetData>
  <mergeCells count="68"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  <mergeCell ref="H13:J13"/>
    <mergeCell ref="F14:G14"/>
    <mergeCell ref="H14:J14"/>
    <mergeCell ref="F15:G15"/>
    <mergeCell ref="H15:J15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A32:D32"/>
    <mergeCell ref="F32:J32"/>
    <mergeCell ref="H33:J33"/>
    <mergeCell ref="A34:A36"/>
    <mergeCell ref="H34:J34"/>
    <mergeCell ref="H35:J35"/>
    <mergeCell ref="H36:J36"/>
    <mergeCell ref="A37:A39"/>
    <mergeCell ref="H37:J37"/>
    <mergeCell ref="H38:J38"/>
    <mergeCell ref="H39:J39"/>
    <mergeCell ref="A40:A42"/>
    <mergeCell ref="H40:J40"/>
    <mergeCell ref="H41:J41"/>
    <mergeCell ref="G42:J42"/>
    <mergeCell ref="A43:A47"/>
    <mergeCell ref="H43:J43"/>
    <mergeCell ref="H44:J44"/>
    <mergeCell ref="H45:J45"/>
    <mergeCell ref="H46:J46"/>
    <mergeCell ref="H47:J47"/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2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64348D3-B306-4076-A033-BE1A4264D088}">
  <dimension ref="A1:R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bestFit="1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113" t="s">
        <v>1</v>
      </c>
      <c r="O1" s="113"/>
      <c r="P1" s="90" t="s">
        <v>2</v>
      </c>
      <c r="Q1" s="90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14" t="s">
        <v>7</v>
      </c>
      <c r="B4" s="115"/>
      <c r="C4" s="115"/>
      <c r="D4" s="116"/>
      <c r="F4" s="117" t="s">
        <v>8</v>
      </c>
      <c r="G4" s="119">
        <v>1</v>
      </c>
      <c r="H4" s="121" t="s">
        <v>9</v>
      </c>
      <c r="I4" s="123">
        <v>45968</v>
      </c>
      <c r="J4" s="124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27" t="s">
        <v>7</v>
      </c>
      <c r="B5" s="15" t="s">
        <v>11</v>
      </c>
      <c r="C5" s="9" t="s">
        <v>12</v>
      </c>
      <c r="D5" s="25" t="s">
        <v>13</v>
      </c>
      <c r="F5" s="118"/>
      <c r="G5" s="120"/>
      <c r="H5" s="122"/>
      <c r="I5" s="125"/>
      <c r="J5" s="126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28"/>
      <c r="B6" s="16" t="s">
        <v>15</v>
      </c>
      <c r="C6" s="89">
        <v>257</v>
      </c>
      <c r="D6" s="13">
        <f t="shared" ref="D6:D28" si="1">C6*L6</f>
        <v>189409</v>
      </c>
      <c r="F6" s="130" t="s">
        <v>16</v>
      </c>
      <c r="G6" s="132" t="s">
        <v>129</v>
      </c>
      <c r="H6" s="133"/>
      <c r="I6" s="133"/>
      <c r="J6" s="134"/>
      <c r="K6" s="8"/>
      <c r="L6" s="6">
        <f>R42</f>
        <v>737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28"/>
      <c r="B7" s="16" t="s">
        <v>18</v>
      </c>
      <c r="C7" s="89">
        <v>10</v>
      </c>
      <c r="D7" s="13">
        <f t="shared" si="1"/>
        <v>7250</v>
      </c>
      <c r="F7" s="131"/>
      <c r="G7" s="135"/>
      <c r="H7" s="136"/>
      <c r="I7" s="136"/>
      <c r="J7" s="137"/>
      <c r="K7" s="8"/>
      <c r="L7" s="6">
        <f>R41</f>
        <v>725</v>
      </c>
      <c r="P7" s="4"/>
      <c r="Q7" s="4"/>
      <c r="R7" s="5"/>
    </row>
    <row r="8" spans="1:18" ht="14.45" customHeight="1" x14ac:dyDescent="0.25">
      <c r="A8" s="128"/>
      <c r="B8" s="16" t="s">
        <v>20</v>
      </c>
      <c r="C8" s="89">
        <v>5</v>
      </c>
      <c r="D8" s="13">
        <f t="shared" si="1"/>
        <v>5165</v>
      </c>
      <c r="F8" s="138" t="s">
        <v>21</v>
      </c>
      <c r="G8" s="140" t="s">
        <v>112</v>
      </c>
      <c r="H8" s="141"/>
      <c r="I8" s="141"/>
      <c r="J8" s="142"/>
      <c r="K8" s="8"/>
      <c r="L8" s="6">
        <f>R40</f>
        <v>1033</v>
      </c>
      <c r="P8" s="4"/>
      <c r="Q8" s="4"/>
      <c r="R8" s="5"/>
    </row>
    <row r="9" spans="1:18" ht="14.45" customHeight="1" x14ac:dyDescent="0.25">
      <c r="A9" s="128"/>
      <c r="B9" s="16" t="s">
        <v>23</v>
      </c>
      <c r="C9" s="89">
        <v>32</v>
      </c>
      <c r="D9" s="13">
        <f t="shared" si="1"/>
        <v>22624</v>
      </c>
      <c r="F9" s="131"/>
      <c r="G9" s="143"/>
      <c r="H9" s="144"/>
      <c r="I9" s="144"/>
      <c r="J9" s="145"/>
      <c r="K9" s="8"/>
      <c r="L9" s="6">
        <f>R38</f>
        <v>707</v>
      </c>
      <c r="P9" s="4"/>
      <c r="Q9" s="4"/>
      <c r="R9" s="5"/>
    </row>
    <row r="10" spans="1:18" ht="14.45" customHeight="1" x14ac:dyDescent="0.25">
      <c r="A10" s="128"/>
      <c r="B10" t="s">
        <v>25</v>
      </c>
      <c r="C10" s="89">
        <v>2</v>
      </c>
      <c r="D10" s="13">
        <f t="shared" si="1"/>
        <v>1944</v>
      </c>
      <c r="F10" s="130" t="s">
        <v>26</v>
      </c>
      <c r="G10" s="146" t="s">
        <v>130</v>
      </c>
      <c r="H10" s="147"/>
      <c r="I10" s="147"/>
      <c r="J10" s="148"/>
      <c r="K10" s="8"/>
      <c r="L10" s="6">
        <f>R36</f>
        <v>972</v>
      </c>
      <c r="P10" s="4"/>
      <c r="Q10" s="4"/>
      <c r="R10" s="5"/>
    </row>
    <row r="11" spans="1:18" ht="15.75" x14ac:dyDescent="0.25">
      <c r="A11" s="128"/>
      <c r="B11" s="17" t="s">
        <v>28</v>
      </c>
      <c r="C11" s="89"/>
      <c r="D11" s="13">
        <f t="shared" si="1"/>
        <v>0</v>
      </c>
      <c r="F11" s="131"/>
      <c r="G11" s="143"/>
      <c r="H11" s="144"/>
      <c r="I11" s="144"/>
      <c r="J11" s="145"/>
      <c r="K11" s="22"/>
      <c r="L11" s="6">
        <f>R32</f>
        <v>1125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28"/>
      <c r="B12" s="17" t="s">
        <v>30</v>
      </c>
      <c r="C12" s="89">
        <v>3</v>
      </c>
      <c r="D12" s="48">
        <f t="shared" si="1"/>
        <v>2856</v>
      </c>
      <c r="F12" s="149" t="s">
        <v>33</v>
      </c>
      <c r="G12" s="150"/>
      <c r="H12" s="150"/>
      <c r="I12" s="150"/>
      <c r="J12" s="151"/>
      <c r="K12" s="23"/>
      <c r="L12" s="6">
        <f>R34</f>
        <v>952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28"/>
      <c r="B13" s="17" t="s">
        <v>32</v>
      </c>
      <c r="C13" s="89">
        <v>10</v>
      </c>
      <c r="D13" s="48">
        <f t="shared" si="1"/>
        <v>3070</v>
      </c>
      <c r="F13" s="152" t="s">
        <v>36</v>
      </c>
      <c r="G13" s="153"/>
      <c r="H13" s="154">
        <f>D29</f>
        <v>241468</v>
      </c>
      <c r="I13" s="155"/>
      <c r="J13" s="156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28"/>
      <c r="B14" s="14" t="s">
        <v>35</v>
      </c>
      <c r="C14" s="89"/>
      <c r="D14" s="31">
        <f t="shared" si="1"/>
        <v>0</v>
      </c>
      <c r="F14" s="157" t="s">
        <v>39</v>
      </c>
      <c r="G14" s="158"/>
      <c r="H14" s="159">
        <f>D54</f>
        <v>35980.5</v>
      </c>
      <c r="I14" s="160"/>
      <c r="J14" s="161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28"/>
      <c r="B15" s="14" t="s">
        <v>38</v>
      </c>
      <c r="C15" s="89"/>
      <c r="D15" s="31">
        <f t="shared" si="1"/>
        <v>0</v>
      </c>
      <c r="F15" s="162" t="s">
        <v>40</v>
      </c>
      <c r="G15" s="153"/>
      <c r="H15" s="163">
        <f>H13-H14</f>
        <v>205487.5</v>
      </c>
      <c r="I15" s="164"/>
      <c r="J15" s="165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28"/>
      <c r="B16" s="18" t="s">
        <v>94</v>
      </c>
      <c r="C16" s="89"/>
      <c r="D16" s="48">
        <f t="shared" si="1"/>
        <v>0</v>
      </c>
      <c r="F16" s="67" t="s">
        <v>42</v>
      </c>
      <c r="G16" s="66" t="s">
        <v>43</v>
      </c>
      <c r="H16" s="166"/>
      <c r="I16" s="166"/>
      <c r="J16" s="166"/>
      <c r="L16" s="6">
        <f>R28</f>
        <v>1567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28"/>
      <c r="B17" t="s">
        <v>140</v>
      </c>
      <c r="C17" s="89"/>
      <c r="D17" s="48">
        <f t="shared" si="1"/>
        <v>0</v>
      </c>
      <c r="F17" s="56"/>
      <c r="G17" s="66" t="s">
        <v>45</v>
      </c>
      <c r="H17" s="139"/>
      <c r="I17" s="139"/>
      <c r="J17" s="139"/>
      <c r="L17" s="6">
        <f>1582</f>
        <v>1582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28"/>
      <c r="B18" s="19" t="s">
        <v>95</v>
      </c>
      <c r="C18" s="89"/>
      <c r="D18" s="48">
        <f t="shared" si="1"/>
        <v>0</v>
      </c>
      <c r="F18" s="56"/>
      <c r="G18" s="66" t="s">
        <v>47</v>
      </c>
      <c r="H18" s="139"/>
      <c r="I18" s="139"/>
      <c r="J18" s="139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28"/>
      <c r="B19" s="14" t="s">
        <v>136</v>
      </c>
      <c r="C19" s="89"/>
      <c r="D19" s="48">
        <f t="shared" si="1"/>
        <v>0</v>
      </c>
      <c r="F19" s="56"/>
      <c r="G19" s="68" t="s">
        <v>50</v>
      </c>
      <c r="H19" s="139"/>
      <c r="I19" s="139"/>
      <c r="J19" s="139"/>
      <c r="L19" s="6">
        <v>1102</v>
      </c>
      <c r="Q19" s="4"/>
      <c r="R19" s="5">
        <f t="shared" si="0"/>
        <v>0</v>
      </c>
    </row>
    <row r="20" spans="1:18" ht="15.75" x14ac:dyDescent="0.25">
      <c r="A20" s="128"/>
      <c r="B20" s="83" t="s">
        <v>125</v>
      </c>
      <c r="C20" s="89"/>
      <c r="D20" s="13">
        <f t="shared" si="1"/>
        <v>0</v>
      </c>
      <c r="F20" s="57"/>
      <c r="G20" s="70" t="s">
        <v>120</v>
      </c>
      <c r="H20" s="166"/>
      <c r="I20" s="166"/>
      <c r="J20" s="166"/>
      <c r="L20" s="6">
        <f>R39</f>
        <v>1175</v>
      </c>
      <c r="N20" s="1" t="s">
        <v>41</v>
      </c>
      <c r="Q20" s="4"/>
      <c r="R20" s="5">
        <f t="shared" si="0"/>
        <v>0</v>
      </c>
    </row>
    <row r="21" spans="1:18" ht="15.75" x14ac:dyDescent="0.25">
      <c r="A21" s="128"/>
      <c r="B21" s="14" t="s">
        <v>138</v>
      </c>
      <c r="C21" s="89">
        <f>1+1</f>
        <v>2</v>
      </c>
      <c r="D21" s="48">
        <f t="shared" si="1"/>
        <v>1300</v>
      </c>
      <c r="F21" s="69" t="s">
        <v>99</v>
      </c>
      <c r="G21" s="82" t="s">
        <v>98</v>
      </c>
      <c r="H21" s="186" t="s">
        <v>13</v>
      </c>
      <c r="I21" s="187"/>
      <c r="J21" s="188"/>
      <c r="L21" s="7">
        <v>650</v>
      </c>
      <c r="O21" t="s">
        <v>44</v>
      </c>
      <c r="P21" s="4">
        <v>1447</v>
      </c>
      <c r="Q21" s="4">
        <v>120</v>
      </c>
      <c r="R21" s="5">
        <f t="shared" si="0"/>
        <v>1567</v>
      </c>
    </row>
    <row r="22" spans="1:18" ht="15.75" x14ac:dyDescent="0.25">
      <c r="A22" s="128"/>
      <c r="B22" s="46" t="s">
        <v>127</v>
      </c>
      <c r="C22" s="89"/>
      <c r="D22" s="48">
        <f t="shared" si="1"/>
        <v>0</v>
      </c>
      <c r="F22" s="77" t="s">
        <v>147</v>
      </c>
      <c r="G22" s="73">
        <v>6965</v>
      </c>
      <c r="H22" s="189">
        <v>62969</v>
      </c>
      <c r="I22" s="189"/>
      <c r="J22" s="189"/>
      <c r="L22" s="7">
        <v>1582</v>
      </c>
      <c r="O22" t="s">
        <v>46</v>
      </c>
      <c r="P22" s="4">
        <v>1582</v>
      </c>
      <c r="Q22" s="4"/>
      <c r="R22" s="5">
        <f t="shared" si="0"/>
        <v>1582</v>
      </c>
    </row>
    <row r="23" spans="1:18" ht="15.75" x14ac:dyDescent="0.25">
      <c r="A23" s="128"/>
      <c r="B23" s="14" t="s">
        <v>101</v>
      </c>
      <c r="C23" s="89"/>
      <c r="D23" s="48">
        <f t="shared" si="1"/>
        <v>0</v>
      </c>
      <c r="F23" s="77" t="s">
        <v>147</v>
      </c>
      <c r="G23" s="79">
        <v>6969</v>
      </c>
      <c r="H23" s="242">
        <v>2504</v>
      </c>
      <c r="I23" s="243"/>
      <c r="J23" s="243"/>
      <c r="L23" s="47">
        <v>1667</v>
      </c>
      <c r="N23" s="1"/>
      <c r="O23" t="s">
        <v>48</v>
      </c>
      <c r="P23" s="4">
        <v>1728</v>
      </c>
      <c r="Q23" s="4"/>
      <c r="R23" s="5">
        <f t="shared" si="0"/>
        <v>1728</v>
      </c>
    </row>
    <row r="24" spans="1:18" ht="15.75" x14ac:dyDescent="0.25">
      <c r="A24" s="128"/>
      <c r="B24" s="14" t="s">
        <v>121</v>
      </c>
      <c r="C24" s="89"/>
      <c r="D24" s="48">
        <f t="shared" si="1"/>
        <v>0</v>
      </c>
      <c r="F24" s="77"/>
      <c r="G24" s="79"/>
      <c r="H24" s="242"/>
      <c r="I24" s="243"/>
      <c r="J24" s="243"/>
      <c r="L24" s="47">
        <f>913/24+1.5</f>
        <v>39.541666666666664</v>
      </c>
      <c r="N24" s="1"/>
      <c r="O24" t="s">
        <v>49</v>
      </c>
      <c r="P24" s="4">
        <v>1728</v>
      </c>
      <c r="Q24" s="4"/>
      <c r="R24" s="5">
        <f t="shared" si="0"/>
        <v>1728</v>
      </c>
    </row>
    <row r="25" spans="1:18" ht="15.75" x14ac:dyDescent="0.25">
      <c r="A25" s="128"/>
      <c r="B25" s="14" t="s">
        <v>141</v>
      </c>
      <c r="C25" s="89"/>
      <c r="D25" s="48">
        <f t="shared" si="1"/>
        <v>0</v>
      </c>
      <c r="F25" s="60" t="s">
        <v>100</v>
      </c>
      <c r="G25" s="55" t="s">
        <v>98</v>
      </c>
      <c r="H25" s="192" t="s">
        <v>13</v>
      </c>
      <c r="I25" s="193"/>
      <c r="J25" s="194"/>
      <c r="L25" s="47">
        <f>1052+120</f>
        <v>1172</v>
      </c>
      <c r="O25" t="s">
        <v>51</v>
      </c>
      <c r="P25" s="4">
        <v>1582</v>
      </c>
      <c r="Q25" s="4"/>
      <c r="R25" s="5">
        <f t="shared" si="0"/>
        <v>1582</v>
      </c>
    </row>
    <row r="26" spans="1:18" ht="15.75" x14ac:dyDescent="0.25">
      <c r="A26" s="128"/>
      <c r="B26" s="14" t="s">
        <v>139</v>
      </c>
      <c r="C26" s="89"/>
      <c r="D26" s="48">
        <f t="shared" si="1"/>
        <v>0</v>
      </c>
      <c r="F26" s="75" t="s">
        <v>147</v>
      </c>
      <c r="G26" s="65">
        <v>6689</v>
      </c>
      <c r="H26" s="191">
        <v>72491</v>
      </c>
      <c r="I26" s="191"/>
      <c r="J26" s="191"/>
      <c r="L26" s="7">
        <f>1447+120</f>
        <v>1567</v>
      </c>
      <c r="O26" t="s">
        <v>52</v>
      </c>
      <c r="P26" s="4">
        <v>1447</v>
      </c>
      <c r="Q26" s="4">
        <v>120</v>
      </c>
      <c r="R26" s="5">
        <f t="shared" si="0"/>
        <v>1567</v>
      </c>
    </row>
    <row r="27" spans="1:18" ht="14.45" customHeight="1" x14ac:dyDescent="0.25">
      <c r="A27" s="128"/>
      <c r="B27" s="14" t="s">
        <v>110</v>
      </c>
      <c r="C27" s="89"/>
      <c r="D27" s="44">
        <f t="shared" si="1"/>
        <v>0</v>
      </c>
      <c r="F27" s="71"/>
      <c r="G27" s="94"/>
      <c r="H27" s="244"/>
      <c r="I27" s="245"/>
      <c r="J27" s="245"/>
      <c r="L27" s="7">
        <v>1142</v>
      </c>
      <c r="O27" t="s">
        <v>53</v>
      </c>
      <c r="P27" s="4">
        <v>1582</v>
      </c>
      <c r="Q27" s="4"/>
      <c r="R27" s="5">
        <f t="shared" si="0"/>
        <v>1582</v>
      </c>
    </row>
    <row r="28" spans="1:18" ht="15.75" x14ac:dyDescent="0.25">
      <c r="A28" s="129"/>
      <c r="B28" s="46" t="s">
        <v>97</v>
      </c>
      <c r="C28" s="89">
        <v>10</v>
      </c>
      <c r="D28" s="48">
        <f t="shared" si="1"/>
        <v>7850</v>
      </c>
      <c r="F28" s="91"/>
      <c r="G28" s="61"/>
      <c r="H28" s="201"/>
      <c r="I28" s="202"/>
      <c r="J28" s="203"/>
      <c r="L28" s="7">
        <v>785</v>
      </c>
      <c r="O28" t="s">
        <v>54</v>
      </c>
      <c r="P28" s="4">
        <v>1447</v>
      </c>
      <c r="Q28" s="4">
        <v>120</v>
      </c>
      <c r="R28" s="5">
        <f t="shared" si="0"/>
        <v>1567</v>
      </c>
    </row>
    <row r="29" spans="1:18" x14ac:dyDescent="0.25">
      <c r="A29" s="167" t="s">
        <v>36</v>
      </c>
      <c r="B29" s="168"/>
      <c r="C29" s="169"/>
      <c r="D29" s="173">
        <f>SUM(D6:D28)</f>
        <v>241468</v>
      </c>
      <c r="F29" s="175" t="s">
        <v>55</v>
      </c>
      <c r="G29" s="176"/>
      <c r="H29" s="179">
        <f>H15-H16-H17-H18-H19-H20-H22-H23-H24+H26+H27+H28</f>
        <v>212505.5</v>
      </c>
      <c r="I29" s="180"/>
      <c r="J29" s="181"/>
      <c r="O29" t="s">
        <v>56</v>
      </c>
      <c r="P29" s="4">
        <v>1582</v>
      </c>
      <c r="Q29" s="4"/>
      <c r="R29" s="5">
        <f t="shared" si="0"/>
        <v>1582</v>
      </c>
    </row>
    <row r="30" spans="1:18" x14ac:dyDescent="0.25">
      <c r="A30" s="170"/>
      <c r="B30" s="171"/>
      <c r="C30" s="172"/>
      <c r="D30" s="174"/>
      <c r="F30" s="177"/>
      <c r="G30" s="178"/>
      <c r="H30" s="182"/>
      <c r="I30" s="183"/>
      <c r="J30" s="184"/>
      <c r="N30" s="1"/>
      <c r="Q30" s="4"/>
      <c r="R30" s="5">
        <f t="shared" si="0"/>
        <v>0</v>
      </c>
    </row>
    <row r="31" spans="1:18" x14ac:dyDescent="0.25">
      <c r="A31" s="24"/>
      <c r="B31" s="24"/>
      <c r="C31" s="24"/>
      <c r="D31" s="24"/>
      <c r="F31" s="24"/>
      <c r="G31" s="24"/>
      <c r="O31" t="s">
        <v>57</v>
      </c>
      <c r="P31" s="4">
        <v>1052</v>
      </c>
      <c r="Q31" s="4">
        <v>120</v>
      </c>
      <c r="R31" s="5">
        <f t="shared" si="0"/>
        <v>1172</v>
      </c>
    </row>
    <row r="32" spans="1:18" x14ac:dyDescent="0.25">
      <c r="A32" s="114" t="s">
        <v>58</v>
      </c>
      <c r="B32" s="115"/>
      <c r="C32" s="115"/>
      <c r="D32" s="116"/>
      <c r="F32" s="204" t="s">
        <v>59</v>
      </c>
      <c r="G32" s="205"/>
      <c r="H32" s="205"/>
      <c r="I32" s="205"/>
      <c r="J32" s="206"/>
      <c r="O32" t="s">
        <v>60</v>
      </c>
      <c r="P32" s="4">
        <v>1005</v>
      </c>
      <c r="Q32" s="4">
        <v>120</v>
      </c>
      <c r="R32" s="5">
        <f t="shared" si="0"/>
        <v>1125</v>
      </c>
    </row>
    <row r="33" spans="1:18" x14ac:dyDescent="0.25">
      <c r="A33" s="25"/>
      <c r="B33" s="25" t="s">
        <v>11</v>
      </c>
      <c r="C33" s="25" t="s">
        <v>61</v>
      </c>
      <c r="D33" s="25" t="s">
        <v>13</v>
      </c>
      <c r="F33" s="25" t="s">
        <v>62</v>
      </c>
      <c r="G33" s="92" t="s">
        <v>63</v>
      </c>
      <c r="H33" s="204" t="s">
        <v>13</v>
      </c>
      <c r="I33" s="205"/>
      <c r="J33" s="206"/>
      <c r="O33" t="s">
        <v>64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27" t="s">
        <v>65</v>
      </c>
      <c r="B34" s="26" t="s">
        <v>66</v>
      </c>
      <c r="C34" s="51">
        <v>1</v>
      </c>
      <c r="D34" s="30">
        <f>C34*120</f>
        <v>120</v>
      </c>
      <c r="F34" s="12">
        <v>1000</v>
      </c>
      <c r="G34" s="40">
        <v>107</v>
      </c>
      <c r="H34" s="207">
        <f t="shared" ref="H34:H39" si="2">F34*G34</f>
        <v>107000</v>
      </c>
      <c r="I34" s="208"/>
      <c r="J34" s="209"/>
      <c r="O34" t="s">
        <v>67</v>
      </c>
      <c r="P34" s="4">
        <v>832</v>
      </c>
      <c r="Q34" s="4">
        <v>120</v>
      </c>
      <c r="R34" s="5">
        <f t="shared" si="0"/>
        <v>952</v>
      </c>
    </row>
    <row r="35" spans="1:18" ht="15.75" x14ac:dyDescent="0.25">
      <c r="A35" s="128"/>
      <c r="B35" s="27" t="s">
        <v>68</v>
      </c>
      <c r="C35" s="52">
        <v>1</v>
      </c>
      <c r="D35" s="30">
        <f>C35*84</f>
        <v>84</v>
      </c>
      <c r="F35" s="58">
        <v>500</v>
      </c>
      <c r="G35" s="41">
        <v>31</v>
      </c>
      <c r="H35" s="207">
        <f t="shared" si="2"/>
        <v>15500</v>
      </c>
      <c r="I35" s="208"/>
      <c r="J35" s="209"/>
      <c r="O35" t="s">
        <v>69</v>
      </c>
      <c r="P35" s="4">
        <v>1102</v>
      </c>
      <c r="Q35" s="4"/>
      <c r="R35" s="5">
        <f t="shared" si="0"/>
        <v>1102</v>
      </c>
    </row>
    <row r="36" spans="1:18" ht="15.75" x14ac:dyDescent="0.25">
      <c r="A36" s="129"/>
      <c r="B36" s="26" t="s">
        <v>70</v>
      </c>
      <c r="C36" s="10">
        <v>1</v>
      </c>
      <c r="D36" s="12">
        <f>C36*1.5</f>
        <v>1.5</v>
      </c>
      <c r="F36" s="12">
        <v>200</v>
      </c>
      <c r="G36" s="37">
        <v>2</v>
      </c>
      <c r="H36" s="207">
        <f t="shared" si="2"/>
        <v>400</v>
      </c>
      <c r="I36" s="208"/>
      <c r="J36" s="209"/>
      <c r="O36" t="s">
        <v>71</v>
      </c>
      <c r="P36" s="4">
        <v>852</v>
      </c>
      <c r="Q36" s="4">
        <v>120</v>
      </c>
      <c r="R36" s="5">
        <f t="shared" si="0"/>
        <v>972</v>
      </c>
    </row>
    <row r="37" spans="1:18" ht="15.75" x14ac:dyDescent="0.25">
      <c r="A37" s="127" t="s">
        <v>72</v>
      </c>
      <c r="B37" s="28" t="s">
        <v>66</v>
      </c>
      <c r="C37" s="53">
        <v>293</v>
      </c>
      <c r="D37" s="12">
        <f>C37*111</f>
        <v>32523</v>
      </c>
      <c r="F37" s="12">
        <v>100</v>
      </c>
      <c r="G37" s="39">
        <v>31</v>
      </c>
      <c r="H37" s="207">
        <f t="shared" si="2"/>
        <v>3100</v>
      </c>
      <c r="I37" s="208"/>
      <c r="J37" s="209"/>
      <c r="O37" t="s">
        <v>73</v>
      </c>
      <c r="P37" s="4">
        <v>1020</v>
      </c>
      <c r="Q37" s="4">
        <v>120</v>
      </c>
      <c r="R37" s="5">
        <f t="shared" si="0"/>
        <v>1140</v>
      </c>
    </row>
    <row r="38" spans="1:18" ht="15.75" x14ac:dyDescent="0.25">
      <c r="A38" s="128"/>
      <c r="B38" s="29" t="s">
        <v>68</v>
      </c>
      <c r="C38" s="54">
        <v>5</v>
      </c>
      <c r="D38" s="12">
        <f>C38*84</f>
        <v>420</v>
      </c>
      <c r="F38" s="30">
        <v>50</v>
      </c>
      <c r="G38" s="39">
        <v>6</v>
      </c>
      <c r="H38" s="207">
        <f t="shared" si="2"/>
        <v>300</v>
      </c>
      <c r="I38" s="208"/>
      <c r="J38" s="209"/>
      <c r="O38" t="s">
        <v>74</v>
      </c>
      <c r="P38" s="4">
        <v>596</v>
      </c>
      <c r="Q38" s="4">
        <v>111</v>
      </c>
      <c r="R38" s="5">
        <f t="shared" si="0"/>
        <v>707</v>
      </c>
    </row>
    <row r="39" spans="1:18" ht="15.75" x14ac:dyDescent="0.25">
      <c r="A39" s="129"/>
      <c r="B39" s="29" t="s">
        <v>70</v>
      </c>
      <c r="C39" s="52">
        <v>4</v>
      </c>
      <c r="D39" s="31">
        <f>C39*4.5</f>
        <v>18</v>
      </c>
      <c r="F39" s="12">
        <v>20</v>
      </c>
      <c r="G39" s="37">
        <v>9</v>
      </c>
      <c r="H39" s="207">
        <f t="shared" si="2"/>
        <v>180</v>
      </c>
      <c r="I39" s="208"/>
      <c r="J39" s="209"/>
      <c r="O39" t="s">
        <v>75</v>
      </c>
      <c r="P39" s="4">
        <v>1175</v>
      </c>
      <c r="Q39" s="4"/>
      <c r="R39" s="5">
        <f t="shared" si="0"/>
        <v>1175</v>
      </c>
    </row>
    <row r="40" spans="1:18" ht="15.75" x14ac:dyDescent="0.25">
      <c r="A40" s="127" t="s">
        <v>76</v>
      </c>
      <c r="B40" s="27" t="s">
        <v>66</v>
      </c>
      <c r="C40" s="63">
        <v>10</v>
      </c>
      <c r="D40" s="12">
        <f>C40*111</f>
        <v>1110</v>
      </c>
      <c r="F40" s="12">
        <v>10</v>
      </c>
      <c r="G40" s="42"/>
      <c r="H40" s="207"/>
      <c r="I40" s="208"/>
      <c r="J40" s="209"/>
      <c r="O40" t="s">
        <v>77</v>
      </c>
      <c r="P40" s="4">
        <v>913</v>
      </c>
      <c r="Q40" s="4">
        <v>120</v>
      </c>
      <c r="R40" s="5">
        <f t="shared" si="0"/>
        <v>1033</v>
      </c>
    </row>
    <row r="41" spans="1:18" ht="15.75" x14ac:dyDescent="0.25">
      <c r="A41" s="128"/>
      <c r="B41" s="27" t="s">
        <v>68</v>
      </c>
      <c r="C41" s="10">
        <v>2</v>
      </c>
      <c r="D41" s="12">
        <f>C41*84</f>
        <v>168</v>
      </c>
      <c r="F41" s="12">
        <v>5</v>
      </c>
      <c r="G41" s="42"/>
      <c r="H41" s="207"/>
      <c r="I41" s="208"/>
      <c r="J41" s="209"/>
      <c r="K41" s="21"/>
      <c r="O41" t="s">
        <v>78</v>
      </c>
      <c r="P41" s="4">
        <v>614</v>
      </c>
      <c r="Q41" s="4">
        <v>111</v>
      </c>
      <c r="R41" s="5">
        <f t="shared" si="0"/>
        <v>725</v>
      </c>
    </row>
    <row r="42" spans="1:18" ht="15.75" x14ac:dyDescent="0.25">
      <c r="A42" s="129"/>
      <c r="B42" s="27" t="s">
        <v>70</v>
      </c>
      <c r="C42" s="11">
        <v>2</v>
      </c>
      <c r="D42" s="12">
        <f>C42*2.25</f>
        <v>4.5</v>
      </c>
      <c r="F42" s="39" t="s">
        <v>79</v>
      </c>
      <c r="G42" s="207">
        <v>51</v>
      </c>
      <c r="H42" s="208"/>
      <c r="I42" s="208"/>
      <c r="J42" s="209"/>
      <c r="K42" s="36"/>
      <c r="O42" t="s">
        <v>80</v>
      </c>
      <c r="P42" s="4">
        <v>626</v>
      </c>
      <c r="Q42" s="4">
        <v>111</v>
      </c>
      <c r="R42" s="5">
        <f t="shared" si="0"/>
        <v>737</v>
      </c>
    </row>
    <row r="43" spans="1:18" ht="15.75" x14ac:dyDescent="0.25">
      <c r="A43" s="210" t="s">
        <v>81</v>
      </c>
      <c r="C43" s="11"/>
      <c r="D43" s="12"/>
      <c r="F43" s="59" t="s">
        <v>82</v>
      </c>
      <c r="G43" s="94" t="s">
        <v>83</v>
      </c>
      <c r="H43" s="213" t="s">
        <v>13</v>
      </c>
      <c r="I43" s="214"/>
      <c r="J43" s="215"/>
      <c r="K43" s="21"/>
      <c r="O43" t="s">
        <v>103</v>
      </c>
      <c r="P43" s="4">
        <v>1667</v>
      </c>
      <c r="Q43" s="4"/>
      <c r="R43" s="5"/>
    </row>
    <row r="44" spans="1:18" ht="15.75" x14ac:dyDescent="0.25">
      <c r="A44" s="211"/>
      <c r="B44" s="27" t="s">
        <v>66</v>
      </c>
      <c r="C44" s="10">
        <v>6</v>
      </c>
      <c r="D44" s="12">
        <f>C44*120</f>
        <v>720</v>
      </c>
      <c r="F44" s="37" t="s">
        <v>157</v>
      </c>
      <c r="G44" s="62"/>
      <c r="H44" s="191">
        <v>13593</v>
      </c>
      <c r="I44" s="191"/>
      <c r="J44" s="191"/>
      <c r="K44" s="21"/>
      <c r="O44" t="s">
        <v>106</v>
      </c>
      <c r="P44" s="4">
        <f>785-120</f>
        <v>665</v>
      </c>
      <c r="Q44" s="4">
        <v>120</v>
      </c>
      <c r="R44" s="5">
        <f>Q44+P44</f>
        <v>785</v>
      </c>
    </row>
    <row r="45" spans="1:18" ht="15.75" x14ac:dyDescent="0.25">
      <c r="A45" s="211"/>
      <c r="B45" s="27" t="s">
        <v>68</v>
      </c>
      <c r="C45" s="33"/>
      <c r="D45" s="12">
        <f>C45*84</f>
        <v>0</v>
      </c>
      <c r="F45" s="37" t="s">
        <v>157</v>
      </c>
      <c r="G45" s="62"/>
      <c r="H45" s="191">
        <v>72491</v>
      </c>
      <c r="I45" s="191"/>
      <c r="J45" s="191"/>
      <c r="K45" s="21"/>
      <c r="P45" s="4"/>
      <c r="Q45" s="4"/>
      <c r="R45" s="5"/>
    </row>
    <row r="46" spans="1:18" ht="15.75" x14ac:dyDescent="0.25">
      <c r="A46" s="211"/>
      <c r="B46" s="49" t="s">
        <v>70</v>
      </c>
      <c r="C46" s="81">
        <v>4</v>
      </c>
      <c r="D46" s="12">
        <f>C46*1.5</f>
        <v>6</v>
      </c>
      <c r="F46" s="37"/>
      <c r="G46" s="62"/>
      <c r="H46" s="191"/>
      <c r="I46" s="191"/>
      <c r="J46" s="191"/>
      <c r="K46" s="21"/>
      <c r="P46" s="4"/>
      <c r="Q46" s="4"/>
      <c r="R46" s="5"/>
    </row>
    <row r="47" spans="1:18" ht="15.75" x14ac:dyDescent="0.25">
      <c r="A47" s="212"/>
      <c r="B47" s="27"/>
      <c r="C47" s="11"/>
      <c r="D47" s="12"/>
      <c r="F47" s="59"/>
      <c r="G47" s="59"/>
      <c r="H47" s="217"/>
      <c r="I47" s="218"/>
      <c r="J47" s="219"/>
      <c r="K47" s="21"/>
      <c r="P47" s="4"/>
      <c r="Q47" s="4"/>
      <c r="R47" s="5"/>
    </row>
    <row r="48" spans="1:18" ht="15" customHeight="1" x14ac:dyDescent="0.25">
      <c r="A48" s="210" t="s">
        <v>32</v>
      </c>
      <c r="B48" s="27" t="s">
        <v>66</v>
      </c>
      <c r="C48" s="10">
        <v>9</v>
      </c>
      <c r="D48" s="12">
        <f>C48*78</f>
        <v>702</v>
      </c>
      <c r="F48" s="59"/>
      <c r="G48" s="59"/>
      <c r="H48" s="217"/>
      <c r="I48" s="218"/>
      <c r="J48" s="219"/>
      <c r="K48" s="35"/>
      <c r="O48" t="s">
        <v>84</v>
      </c>
      <c r="P48" s="4">
        <v>1175</v>
      </c>
      <c r="Q48" s="4"/>
      <c r="R48" s="5">
        <f t="shared" si="0"/>
        <v>1175</v>
      </c>
    </row>
    <row r="49" spans="1:18" ht="15.75" x14ac:dyDescent="0.25">
      <c r="A49" s="211"/>
      <c r="B49" s="29" t="s">
        <v>68</v>
      </c>
      <c r="C49" s="33">
        <v>2</v>
      </c>
      <c r="D49" s="12">
        <f>C49*42</f>
        <v>84</v>
      </c>
      <c r="F49" s="232" t="s">
        <v>86</v>
      </c>
      <c r="G49" s="179">
        <f>H34+H35+H36+H37+H38+H39+H40+H41+G42+H44+H45+H46</f>
        <v>212615</v>
      </c>
      <c r="H49" s="180"/>
      <c r="I49" s="180"/>
      <c r="J49" s="181"/>
      <c r="O49" t="s">
        <v>85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211"/>
      <c r="B50" s="32" t="s">
        <v>70</v>
      </c>
      <c r="C50" s="11">
        <v>13</v>
      </c>
      <c r="D50" s="12">
        <f>C50*1.5</f>
        <v>19.5</v>
      </c>
      <c r="F50" s="233"/>
      <c r="G50" s="182"/>
      <c r="H50" s="183"/>
      <c r="I50" s="183"/>
      <c r="J50" s="184"/>
      <c r="P50" s="4"/>
      <c r="Q50" s="4"/>
      <c r="R50" s="5"/>
    </row>
    <row r="51" spans="1:18" ht="15" customHeight="1" x14ac:dyDescent="0.25">
      <c r="A51" s="211"/>
      <c r="B51" s="27"/>
      <c r="C51" s="10"/>
      <c r="D51" s="31"/>
      <c r="F51" s="234" t="s">
        <v>143</v>
      </c>
      <c r="G51" s="236">
        <f>G49-H29</f>
        <v>109.5</v>
      </c>
      <c r="H51" s="237"/>
      <c r="I51" s="237"/>
      <c r="J51" s="238"/>
      <c r="K51" s="21"/>
      <c r="O51" t="s">
        <v>87</v>
      </c>
      <c r="P51" s="4">
        <v>703</v>
      </c>
      <c r="Q51" s="4">
        <v>120</v>
      </c>
      <c r="R51" s="5">
        <f t="shared" si="0"/>
        <v>823</v>
      </c>
    </row>
    <row r="52" spans="1:18" ht="15.75" x14ac:dyDescent="0.25">
      <c r="A52" s="211"/>
      <c r="B52" s="29"/>
      <c r="C52" s="33"/>
      <c r="D52" s="45"/>
      <c r="F52" s="235"/>
      <c r="G52" s="239"/>
      <c r="H52" s="240"/>
      <c r="I52" s="240"/>
      <c r="J52" s="241"/>
      <c r="K52" s="21"/>
      <c r="O52" t="s">
        <v>88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212"/>
      <c r="B53" s="32"/>
      <c r="C53" s="11"/>
      <c r="D53" s="12"/>
      <c r="F53" s="35"/>
      <c r="G53" s="24"/>
      <c r="H53" s="24"/>
      <c r="I53" s="24"/>
      <c r="J53" s="17"/>
      <c r="N53" s="1"/>
      <c r="O53" t="s">
        <v>89</v>
      </c>
      <c r="P53" s="4">
        <v>1142</v>
      </c>
    </row>
    <row r="54" spans="1:18" x14ac:dyDescent="0.25">
      <c r="A54" s="175" t="s">
        <v>90</v>
      </c>
      <c r="B54" s="220"/>
      <c r="C54" s="221"/>
      <c r="D54" s="224">
        <f>SUM(D34:D53)</f>
        <v>35980.5</v>
      </c>
      <c r="F54" s="21"/>
      <c r="J54" s="34"/>
      <c r="O54" t="s">
        <v>102</v>
      </c>
      <c r="P54" s="4">
        <v>1582</v>
      </c>
      <c r="R54" s="3">
        <v>1582</v>
      </c>
    </row>
    <row r="55" spans="1:18" x14ac:dyDescent="0.25">
      <c r="A55" s="177"/>
      <c r="B55" s="222"/>
      <c r="C55" s="223"/>
      <c r="D55" s="225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133</v>
      </c>
      <c r="D57" s="34"/>
      <c r="F57" s="36"/>
      <c r="G57" s="50"/>
      <c r="H57" s="50"/>
      <c r="I57" s="50"/>
      <c r="J57" s="43"/>
    </row>
    <row r="58" spans="1:18" x14ac:dyDescent="0.25">
      <c r="A58" s="226" t="s">
        <v>91</v>
      </c>
      <c r="B58" s="227"/>
      <c r="C58" s="227"/>
      <c r="D58" s="228"/>
      <c r="F58" s="226" t="s">
        <v>92</v>
      </c>
      <c r="G58" s="227"/>
      <c r="H58" s="227"/>
      <c r="I58" s="227"/>
      <c r="J58" s="228"/>
    </row>
    <row r="59" spans="1:18" x14ac:dyDescent="0.25">
      <c r="A59" s="229"/>
      <c r="B59" s="230"/>
      <c r="C59" s="230"/>
      <c r="D59" s="231"/>
      <c r="F59" s="229"/>
      <c r="G59" s="230"/>
      <c r="H59" s="230"/>
      <c r="I59" s="230"/>
      <c r="J59" s="231"/>
    </row>
  </sheetData>
  <mergeCells count="68"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  <mergeCell ref="H13:J13"/>
    <mergeCell ref="F14:G14"/>
    <mergeCell ref="H14:J14"/>
    <mergeCell ref="F15:G15"/>
    <mergeCell ref="H15:J15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A32:D32"/>
    <mergeCell ref="F32:J32"/>
    <mergeCell ref="H33:J33"/>
    <mergeCell ref="A34:A36"/>
    <mergeCell ref="H34:J34"/>
    <mergeCell ref="H35:J35"/>
    <mergeCell ref="H36:J36"/>
    <mergeCell ref="A37:A39"/>
    <mergeCell ref="H37:J37"/>
    <mergeCell ref="H38:J38"/>
    <mergeCell ref="H39:J39"/>
    <mergeCell ref="A40:A42"/>
    <mergeCell ref="H40:J40"/>
    <mergeCell ref="H41:J41"/>
    <mergeCell ref="G42:J42"/>
    <mergeCell ref="A43:A47"/>
    <mergeCell ref="H43:J43"/>
    <mergeCell ref="H44:J44"/>
    <mergeCell ref="H45:J45"/>
    <mergeCell ref="H46:J46"/>
    <mergeCell ref="H47:J47"/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2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4079BAB-60A8-4800-BA30-F7D5DF4727E9}">
  <dimension ref="A1:R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113" t="s">
        <v>1</v>
      </c>
      <c r="O1" s="113"/>
      <c r="P1" s="90" t="s">
        <v>2</v>
      </c>
      <c r="Q1" s="90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14" t="s">
        <v>7</v>
      </c>
      <c r="B4" s="115"/>
      <c r="C4" s="115"/>
      <c r="D4" s="116"/>
      <c r="F4" s="117" t="s">
        <v>8</v>
      </c>
      <c r="G4" s="119">
        <v>2</v>
      </c>
      <c r="H4" s="121" t="s">
        <v>9</v>
      </c>
      <c r="I4" s="123">
        <v>45968</v>
      </c>
      <c r="J4" s="124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27" t="s">
        <v>7</v>
      </c>
      <c r="B5" s="15" t="s">
        <v>11</v>
      </c>
      <c r="C5" s="9" t="s">
        <v>12</v>
      </c>
      <c r="D5" s="25" t="s">
        <v>13</v>
      </c>
      <c r="F5" s="118"/>
      <c r="G5" s="120"/>
      <c r="H5" s="122"/>
      <c r="I5" s="125"/>
      <c r="J5" s="126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28"/>
      <c r="B6" s="16" t="s">
        <v>15</v>
      </c>
      <c r="C6" s="10"/>
      <c r="D6" s="13">
        <f t="shared" ref="D6:D28" si="1">C6*L6</f>
        <v>0</v>
      </c>
      <c r="F6" s="130" t="s">
        <v>16</v>
      </c>
      <c r="G6" s="132" t="s">
        <v>134</v>
      </c>
      <c r="H6" s="133"/>
      <c r="I6" s="133"/>
      <c r="J6" s="134"/>
      <c r="K6" s="8"/>
      <c r="L6" s="6">
        <f>R42</f>
        <v>737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28"/>
      <c r="B7" s="16" t="s">
        <v>18</v>
      </c>
      <c r="C7" s="10"/>
      <c r="D7" s="13">
        <f t="shared" si="1"/>
        <v>0</v>
      </c>
      <c r="F7" s="131"/>
      <c r="G7" s="135"/>
      <c r="H7" s="136"/>
      <c r="I7" s="136"/>
      <c r="J7" s="137"/>
      <c r="K7" s="8"/>
      <c r="L7" s="6">
        <f>R41</f>
        <v>725</v>
      </c>
      <c r="P7" s="4"/>
      <c r="Q7" s="4"/>
      <c r="R7" s="5"/>
    </row>
    <row r="8" spans="1:18" ht="14.45" customHeight="1" x14ac:dyDescent="0.25">
      <c r="A8" s="128"/>
      <c r="B8" s="16" t="s">
        <v>20</v>
      </c>
      <c r="C8" s="10"/>
      <c r="D8" s="13">
        <f t="shared" si="1"/>
        <v>0</v>
      </c>
      <c r="F8" s="138" t="s">
        <v>21</v>
      </c>
      <c r="G8" s="140" t="s">
        <v>114</v>
      </c>
      <c r="H8" s="141"/>
      <c r="I8" s="141"/>
      <c r="J8" s="142"/>
      <c r="K8" s="8"/>
      <c r="L8" s="6">
        <f>R40</f>
        <v>1033</v>
      </c>
      <c r="P8" s="4"/>
      <c r="Q8" s="4"/>
      <c r="R8" s="5"/>
    </row>
    <row r="9" spans="1:18" ht="14.45" customHeight="1" x14ac:dyDescent="0.25">
      <c r="A9" s="128"/>
      <c r="B9" s="16" t="s">
        <v>23</v>
      </c>
      <c r="C9" s="10"/>
      <c r="D9" s="13">
        <f t="shared" si="1"/>
        <v>0</v>
      </c>
      <c r="F9" s="131"/>
      <c r="G9" s="143"/>
      <c r="H9" s="144"/>
      <c r="I9" s="144"/>
      <c r="J9" s="145"/>
      <c r="K9" s="8"/>
      <c r="L9" s="6">
        <f>R38</f>
        <v>707</v>
      </c>
      <c r="P9" s="4"/>
      <c r="Q9" s="4"/>
      <c r="R9" s="5"/>
    </row>
    <row r="10" spans="1:18" ht="14.45" customHeight="1" x14ac:dyDescent="0.25">
      <c r="A10" s="128"/>
      <c r="B10" t="s">
        <v>25</v>
      </c>
      <c r="C10" s="10"/>
      <c r="D10" s="13">
        <f t="shared" si="1"/>
        <v>0</v>
      </c>
      <c r="F10" s="130" t="s">
        <v>26</v>
      </c>
      <c r="G10" s="146" t="s">
        <v>115</v>
      </c>
      <c r="H10" s="147"/>
      <c r="I10" s="147"/>
      <c r="J10" s="148"/>
      <c r="K10" s="8"/>
      <c r="L10" s="6">
        <f>R36</f>
        <v>972</v>
      </c>
      <c r="P10" s="4"/>
      <c r="Q10" s="4"/>
      <c r="R10" s="5"/>
    </row>
    <row r="11" spans="1:18" ht="15.75" x14ac:dyDescent="0.25">
      <c r="A11" s="128"/>
      <c r="B11" s="17" t="s">
        <v>28</v>
      </c>
      <c r="C11" s="10"/>
      <c r="D11" s="13">
        <f t="shared" si="1"/>
        <v>0</v>
      </c>
      <c r="F11" s="131"/>
      <c r="G11" s="143"/>
      <c r="H11" s="144"/>
      <c r="I11" s="144"/>
      <c r="J11" s="145"/>
      <c r="K11" s="22"/>
      <c r="L11" s="6">
        <f>R32</f>
        <v>1125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28"/>
      <c r="B12" s="17" t="s">
        <v>30</v>
      </c>
      <c r="C12" s="10"/>
      <c r="D12" s="48">
        <f t="shared" si="1"/>
        <v>0</v>
      </c>
      <c r="F12" s="149" t="s">
        <v>33</v>
      </c>
      <c r="G12" s="150"/>
      <c r="H12" s="150"/>
      <c r="I12" s="150"/>
      <c r="J12" s="151"/>
      <c r="K12" s="23"/>
      <c r="L12" s="6">
        <f>R34</f>
        <v>952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28"/>
      <c r="B13" s="17" t="s">
        <v>32</v>
      </c>
      <c r="C13" s="10"/>
      <c r="D13" s="48">
        <f t="shared" si="1"/>
        <v>0</v>
      </c>
      <c r="F13" s="152" t="s">
        <v>36</v>
      </c>
      <c r="G13" s="153"/>
      <c r="H13" s="154">
        <f>D29</f>
        <v>0</v>
      </c>
      <c r="I13" s="155"/>
      <c r="J13" s="156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28"/>
      <c r="B14" s="14" t="s">
        <v>35</v>
      </c>
      <c r="C14" s="10"/>
      <c r="D14" s="31">
        <f t="shared" si="1"/>
        <v>0</v>
      </c>
      <c r="F14" s="157" t="s">
        <v>39</v>
      </c>
      <c r="G14" s="158"/>
      <c r="H14" s="159">
        <f>D54</f>
        <v>0</v>
      </c>
      <c r="I14" s="160"/>
      <c r="J14" s="161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28"/>
      <c r="B15" s="14" t="s">
        <v>38</v>
      </c>
      <c r="C15" s="10"/>
      <c r="D15" s="31">
        <f t="shared" si="1"/>
        <v>0</v>
      </c>
      <c r="F15" s="162" t="s">
        <v>40</v>
      </c>
      <c r="G15" s="153"/>
      <c r="H15" s="163">
        <f>H13-H14</f>
        <v>0</v>
      </c>
      <c r="I15" s="164"/>
      <c r="J15" s="165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28"/>
      <c r="B16" s="18" t="s">
        <v>94</v>
      </c>
      <c r="C16" s="10"/>
      <c r="D16" s="48">
        <f t="shared" si="1"/>
        <v>0</v>
      </c>
      <c r="F16" s="67" t="s">
        <v>42</v>
      </c>
      <c r="G16" s="66" t="s">
        <v>43</v>
      </c>
      <c r="H16" s="166"/>
      <c r="I16" s="166"/>
      <c r="J16" s="166"/>
      <c r="L16" s="6">
        <f>R28</f>
        <v>1567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28"/>
      <c r="B17" t="s">
        <v>93</v>
      </c>
      <c r="C17" s="10"/>
      <c r="D17" s="48">
        <f t="shared" si="1"/>
        <v>0</v>
      </c>
      <c r="F17" s="56"/>
      <c r="G17" s="66" t="s">
        <v>45</v>
      </c>
      <c r="H17" s="139"/>
      <c r="I17" s="139"/>
      <c r="J17" s="139"/>
      <c r="L17" s="6">
        <f>R21</f>
        <v>1567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28"/>
      <c r="B18" s="19" t="s">
        <v>95</v>
      </c>
      <c r="C18" s="10"/>
      <c r="D18" s="48">
        <f t="shared" si="1"/>
        <v>0</v>
      </c>
      <c r="F18" s="56"/>
      <c r="G18" s="66" t="s">
        <v>47</v>
      </c>
      <c r="H18" s="139"/>
      <c r="I18" s="139"/>
      <c r="J18" s="139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28"/>
      <c r="B19" s="14" t="s">
        <v>96</v>
      </c>
      <c r="C19" s="10"/>
      <c r="D19" s="48">
        <f t="shared" si="1"/>
        <v>0</v>
      </c>
      <c r="F19" s="56"/>
      <c r="G19" s="68" t="s">
        <v>50</v>
      </c>
      <c r="H19" s="246"/>
      <c r="I19" s="246"/>
      <c r="J19" s="246"/>
      <c r="L19" s="6">
        <f>R35</f>
        <v>1102</v>
      </c>
      <c r="Q19" s="4"/>
      <c r="R19" s="5">
        <f t="shared" si="0"/>
        <v>0</v>
      </c>
    </row>
    <row r="20" spans="1:18" ht="15.75" x14ac:dyDescent="0.25">
      <c r="A20" s="128"/>
      <c r="B20" s="46" t="s">
        <v>122</v>
      </c>
      <c r="C20" s="10"/>
      <c r="D20" s="13">
        <f t="shared" si="1"/>
        <v>0</v>
      </c>
      <c r="F20" s="57"/>
      <c r="G20" s="70" t="s">
        <v>120</v>
      </c>
      <c r="H20" s="139"/>
      <c r="I20" s="139"/>
      <c r="J20" s="139"/>
      <c r="L20" s="6">
        <f>R39</f>
        <v>1175</v>
      </c>
      <c r="N20" s="1" t="s">
        <v>41</v>
      </c>
      <c r="Q20" s="4"/>
      <c r="R20" s="5">
        <f t="shared" si="0"/>
        <v>0</v>
      </c>
    </row>
    <row r="21" spans="1:18" ht="15.75" x14ac:dyDescent="0.25">
      <c r="A21" s="128"/>
      <c r="B21" s="14" t="s">
        <v>126</v>
      </c>
      <c r="C21" s="10"/>
      <c r="D21" s="48">
        <f t="shared" si="1"/>
        <v>0</v>
      </c>
      <c r="F21" s="69" t="s">
        <v>99</v>
      </c>
      <c r="G21" s="82" t="s">
        <v>98</v>
      </c>
      <c r="H21" s="186" t="s">
        <v>13</v>
      </c>
      <c r="I21" s="187"/>
      <c r="J21" s="188"/>
      <c r="L21" s="7">
        <v>650</v>
      </c>
      <c r="O21" t="s">
        <v>44</v>
      </c>
      <c r="P21" s="4">
        <v>1447</v>
      </c>
      <c r="Q21" s="4">
        <v>120</v>
      </c>
      <c r="R21" s="5">
        <f t="shared" si="0"/>
        <v>1567</v>
      </c>
    </row>
    <row r="22" spans="1:18" ht="15.75" x14ac:dyDescent="0.25">
      <c r="A22" s="128"/>
      <c r="B22" s="46" t="s">
        <v>104</v>
      </c>
      <c r="C22" s="10"/>
      <c r="D22" s="48">
        <f t="shared" si="1"/>
        <v>0</v>
      </c>
      <c r="F22" s="72"/>
      <c r="G22" s="73"/>
      <c r="H22" s="189"/>
      <c r="I22" s="189"/>
      <c r="J22" s="189"/>
      <c r="L22" s="7">
        <f>559+111</f>
        <v>670</v>
      </c>
      <c r="O22" t="s">
        <v>46</v>
      </c>
      <c r="P22" s="4">
        <v>1582</v>
      </c>
      <c r="Q22" s="4"/>
      <c r="R22" s="5">
        <f t="shared" si="0"/>
        <v>1582</v>
      </c>
    </row>
    <row r="23" spans="1:18" ht="15.75" x14ac:dyDescent="0.25">
      <c r="A23" s="128"/>
      <c r="B23" s="14" t="s">
        <v>107</v>
      </c>
      <c r="C23" s="10"/>
      <c r="D23" s="48">
        <f t="shared" si="1"/>
        <v>0</v>
      </c>
      <c r="F23" s="25"/>
      <c r="G23" s="37"/>
      <c r="H23" s="190"/>
      <c r="I23" s="191"/>
      <c r="J23" s="191"/>
      <c r="L23" s="47">
        <f>R33</f>
        <v>1175</v>
      </c>
      <c r="N23" s="1"/>
      <c r="O23" t="s">
        <v>48</v>
      </c>
      <c r="P23" s="4">
        <v>1728</v>
      </c>
      <c r="Q23" s="4"/>
      <c r="R23" s="5">
        <f t="shared" si="0"/>
        <v>1728</v>
      </c>
    </row>
    <row r="24" spans="1:18" ht="15.75" x14ac:dyDescent="0.25">
      <c r="A24" s="128"/>
      <c r="B24" s="14" t="s">
        <v>123</v>
      </c>
      <c r="C24" s="10"/>
      <c r="D24" s="48">
        <f t="shared" si="1"/>
        <v>0</v>
      </c>
      <c r="F24" s="38"/>
      <c r="G24" s="37"/>
      <c r="H24" s="190"/>
      <c r="I24" s="191"/>
      <c r="J24" s="191"/>
      <c r="L24" s="47">
        <f>596/6</f>
        <v>99.333333333333329</v>
      </c>
      <c r="N24" s="1"/>
      <c r="O24" t="s">
        <v>49</v>
      </c>
      <c r="P24" s="4">
        <v>1728</v>
      </c>
      <c r="Q24" s="4"/>
      <c r="R24" s="5">
        <f t="shared" si="0"/>
        <v>1728</v>
      </c>
    </row>
    <row r="25" spans="1:18" ht="15.75" x14ac:dyDescent="0.25">
      <c r="A25" s="128"/>
      <c r="B25" s="14" t="s">
        <v>124</v>
      </c>
      <c r="C25" s="10"/>
      <c r="D25" s="48">
        <f t="shared" si="1"/>
        <v>0</v>
      </c>
      <c r="F25" s="60" t="s">
        <v>100</v>
      </c>
      <c r="G25" s="55" t="s">
        <v>98</v>
      </c>
      <c r="H25" s="192" t="s">
        <v>13</v>
      </c>
      <c r="I25" s="193"/>
      <c r="J25" s="194"/>
      <c r="L25" s="47">
        <f>674/6</f>
        <v>112.33333333333333</v>
      </c>
      <c r="O25" t="s">
        <v>51</v>
      </c>
      <c r="P25" s="4">
        <v>1582</v>
      </c>
      <c r="Q25" s="4"/>
      <c r="R25" s="5">
        <f t="shared" si="0"/>
        <v>1582</v>
      </c>
    </row>
    <row r="26" spans="1:18" ht="15.75" x14ac:dyDescent="0.25">
      <c r="A26" s="128"/>
      <c r="B26" s="14" t="s">
        <v>105</v>
      </c>
      <c r="C26" s="10"/>
      <c r="D26" s="48">
        <f t="shared" si="1"/>
        <v>0</v>
      </c>
      <c r="F26" s="64"/>
      <c r="G26" s="10"/>
      <c r="H26" s="195"/>
      <c r="I26" s="196"/>
      <c r="J26" s="197"/>
      <c r="L26" s="7">
        <f>832/24+1.5</f>
        <v>36.166666666666664</v>
      </c>
      <c r="O26" t="s">
        <v>52</v>
      </c>
      <c r="P26" s="4">
        <v>1447</v>
      </c>
      <c r="Q26" s="4">
        <v>120</v>
      </c>
      <c r="R26" s="5">
        <f t="shared" si="0"/>
        <v>1567</v>
      </c>
    </row>
    <row r="27" spans="1:18" ht="14.45" customHeight="1" x14ac:dyDescent="0.25">
      <c r="A27" s="128"/>
      <c r="B27" s="14" t="s">
        <v>109</v>
      </c>
      <c r="C27" s="10"/>
      <c r="D27" s="44">
        <f t="shared" si="1"/>
        <v>0</v>
      </c>
      <c r="F27" s="14"/>
      <c r="G27" s="14"/>
      <c r="H27" s="198"/>
      <c r="I27" s="199"/>
      <c r="J27" s="200"/>
      <c r="L27" s="7">
        <v>1582</v>
      </c>
      <c r="O27" t="s">
        <v>53</v>
      </c>
      <c r="P27" s="4">
        <v>1582</v>
      </c>
      <c r="Q27" s="4"/>
      <c r="R27" s="5">
        <f t="shared" si="0"/>
        <v>1582</v>
      </c>
    </row>
    <row r="28" spans="1:18" ht="15.75" x14ac:dyDescent="0.25">
      <c r="A28" s="129"/>
      <c r="B28" s="46" t="s">
        <v>97</v>
      </c>
      <c r="C28" s="10"/>
      <c r="D28" s="48">
        <f t="shared" si="1"/>
        <v>0</v>
      </c>
      <c r="F28" s="91"/>
      <c r="G28" s="61"/>
      <c r="H28" s="201"/>
      <c r="I28" s="202"/>
      <c r="J28" s="203"/>
      <c r="L28" s="7">
        <v>785</v>
      </c>
      <c r="O28" t="s">
        <v>54</v>
      </c>
      <c r="P28" s="4">
        <v>1447</v>
      </c>
      <c r="Q28" s="4">
        <v>120</v>
      </c>
      <c r="R28" s="5">
        <f t="shared" si="0"/>
        <v>1567</v>
      </c>
    </row>
    <row r="29" spans="1:18" x14ac:dyDescent="0.25">
      <c r="A29" s="167" t="s">
        <v>36</v>
      </c>
      <c r="B29" s="168"/>
      <c r="C29" s="169"/>
      <c r="D29" s="173">
        <f>SUM(D6:D28)</f>
        <v>0</v>
      </c>
      <c r="F29" s="175" t="s">
        <v>55</v>
      </c>
      <c r="G29" s="176"/>
      <c r="H29" s="179">
        <f>H15-H16-H17-H18-H19-H20-H22-H23-H24+H26+H27</f>
        <v>0</v>
      </c>
      <c r="I29" s="180"/>
      <c r="J29" s="181"/>
      <c r="O29" t="s">
        <v>56</v>
      </c>
      <c r="P29" s="4">
        <v>1582</v>
      </c>
      <c r="Q29" s="4"/>
      <c r="R29" s="5">
        <f t="shared" si="0"/>
        <v>1582</v>
      </c>
    </row>
    <row r="30" spans="1:18" x14ac:dyDescent="0.25">
      <c r="A30" s="170"/>
      <c r="B30" s="171"/>
      <c r="C30" s="172"/>
      <c r="D30" s="174"/>
      <c r="F30" s="177"/>
      <c r="G30" s="178"/>
      <c r="H30" s="182"/>
      <c r="I30" s="183"/>
      <c r="J30" s="184"/>
      <c r="N30" s="1"/>
      <c r="Q30" s="4"/>
      <c r="R30" s="5">
        <f t="shared" si="0"/>
        <v>0</v>
      </c>
    </row>
    <row r="31" spans="1:18" x14ac:dyDescent="0.25">
      <c r="A31" s="24"/>
      <c r="B31" s="24"/>
      <c r="C31" s="24"/>
      <c r="D31" s="24"/>
      <c r="F31" s="24"/>
      <c r="G31" s="24"/>
      <c r="O31" t="s">
        <v>57</v>
      </c>
      <c r="P31" s="4">
        <v>1052</v>
      </c>
      <c r="Q31" s="4">
        <v>120</v>
      </c>
      <c r="R31" s="5">
        <f t="shared" si="0"/>
        <v>1172</v>
      </c>
    </row>
    <row r="32" spans="1:18" x14ac:dyDescent="0.25">
      <c r="A32" s="114" t="s">
        <v>58</v>
      </c>
      <c r="B32" s="115"/>
      <c r="C32" s="115"/>
      <c r="D32" s="116"/>
      <c r="F32" s="204" t="s">
        <v>59</v>
      </c>
      <c r="G32" s="205"/>
      <c r="H32" s="205"/>
      <c r="I32" s="205"/>
      <c r="J32" s="206"/>
      <c r="O32" t="s">
        <v>60</v>
      </c>
      <c r="P32" s="4">
        <v>1005</v>
      </c>
      <c r="Q32" s="4">
        <v>120</v>
      </c>
      <c r="R32" s="5">
        <f t="shared" si="0"/>
        <v>1125</v>
      </c>
    </row>
    <row r="33" spans="1:18" x14ac:dyDescent="0.25">
      <c r="A33" s="25"/>
      <c r="B33" s="25" t="s">
        <v>11</v>
      </c>
      <c r="C33" s="25" t="s">
        <v>61</v>
      </c>
      <c r="D33" s="25" t="s">
        <v>13</v>
      </c>
      <c r="F33" s="25" t="s">
        <v>62</v>
      </c>
      <c r="G33" s="92" t="s">
        <v>63</v>
      </c>
      <c r="H33" s="204" t="s">
        <v>13</v>
      </c>
      <c r="I33" s="205"/>
      <c r="J33" s="206"/>
      <c r="O33" t="s">
        <v>64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27" t="s">
        <v>65</v>
      </c>
      <c r="B34" s="26" t="s">
        <v>66</v>
      </c>
      <c r="C34" s="51"/>
      <c r="D34" s="30">
        <f>C34*120</f>
        <v>0</v>
      </c>
      <c r="F34" s="12">
        <v>1000</v>
      </c>
      <c r="G34" s="74"/>
      <c r="H34" s="207">
        <f>F34*G34</f>
        <v>0</v>
      </c>
      <c r="I34" s="208"/>
      <c r="J34" s="209"/>
      <c r="O34" t="s">
        <v>67</v>
      </c>
      <c r="P34" s="4">
        <v>832</v>
      </c>
      <c r="Q34" s="4">
        <v>120</v>
      </c>
      <c r="R34" s="5">
        <f t="shared" si="0"/>
        <v>952</v>
      </c>
    </row>
    <row r="35" spans="1:18" ht="15.75" x14ac:dyDescent="0.25">
      <c r="A35" s="128"/>
      <c r="B35" s="27" t="s">
        <v>68</v>
      </c>
      <c r="C35" s="52"/>
      <c r="D35" s="30">
        <f>C35*84</f>
        <v>0</v>
      </c>
      <c r="F35" s="58">
        <v>500</v>
      </c>
      <c r="G35" s="41"/>
      <c r="H35" s="207">
        <f t="shared" ref="H35:H39" si="2">F35*G35</f>
        <v>0</v>
      </c>
      <c r="I35" s="208"/>
      <c r="J35" s="209"/>
      <c r="O35" t="s">
        <v>69</v>
      </c>
      <c r="P35" s="4">
        <v>1102</v>
      </c>
      <c r="Q35" s="4"/>
      <c r="R35" s="5">
        <f t="shared" si="0"/>
        <v>1102</v>
      </c>
    </row>
    <row r="36" spans="1:18" ht="15.75" x14ac:dyDescent="0.25">
      <c r="A36" s="129"/>
      <c r="B36" s="26" t="s">
        <v>70</v>
      </c>
      <c r="C36" s="10"/>
      <c r="D36" s="12">
        <f>C36*1.5</f>
        <v>0</v>
      </c>
      <c r="F36" s="12">
        <v>200</v>
      </c>
      <c r="G36" s="37"/>
      <c r="H36" s="207">
        <f>F36*G36</f>
        <v>0</v>
      </c>
      <c r="I36" s="208"/>
      <c r="J36" s="209"/>
      <c r="O36" t="s">
        <v>71</v>
      </c>
      <c r="P36" s="4">
        <v>852</v>
      </c>
      <c r="Q36" s="4">
        <v>120</v>
      </c>
      <c r="R36" s="5">
        <f t="shared" si="0"/>
        <v>972</v>
      </c>
    </row>
    <row r="37" spans="1:18" ht="15.75" x14ac:dyDescent="0.25">
      <c r="A37" s="127" t="s">
        <v>72</v>
      </c>
      <c r="B37" s="28" t="s">
        <v>66</v>
      </c>
      <c r="C37" s="53"/>
      <c r="D37" s="12">
        <f>C37*111</f>
        <v>0</v>
      </c>
      <c r="F37" s="12">
        <v>100</v>
      </c>
      <c r="G37" s="39"/>
      <c r="H37" s="207">
        <f t="shared" si="2"/>
        <v>0</v>
      </c>
      <c r="I37" s="208"/>
      <c r="J37" s="209"/>
      <c r="O37" t="s">
        <v>73</v>
      </c>
      <c r="P37" s="4">
        <v>1020</v>
      </c>
      <c r="Q37" s="4">
        <v>120</v>
      </c>
      <c r="R37" s="5">
        <f t="shared" si="0"/>
        <v>1140</v>
      </c>
    </row>
    <row r="38" spans="1:18" ht="15.75" x14ac:dyDescent="0.25">
      <c r="A38" s="128"/>
      <c r="B38" s="29" t="s">
        <v>68</v>
      </c>
      <c r="C38" s="54"/>
      <c r="D38" s="12">
        <f>C38*84</f>
        <v>0</v>
      </c>
      <c r="F38" s="30">
        <v>50</v>
      </c>
      <c r="G38" s="39"/>
      <c r="H38" s="207">
        <f t="shared" si="2"/>
        <v>0</v>
      </c>
      <c r="I38" s="208"/>
      <c r="J38" s="209"/>
      <c r="O38" t="s">
        <v>74</v>
      </c>
      <c r="P38" s="4">
        <v>596</v>
      </c>
      <c r="Q38" s="4">
        <v>111</v>
      </c>
      <c r="R38" s="5">
        <f t="shared" si="0"/>
        <v>707</v>
      </c>
    </row>
    <row r="39" spans="1:18" ht="15.75" x14ac:dyDescent="0.25">
      <c r="A39" s="129"/>
      <c r="B39" s="29" t="s">
        <v>70</v>
      </c>
      <c r="C39" s="52"/>
      <c r="D39" s="31">
        <f>C39*4.5</f>
        <v>0</v>
      </c>
      <c r="F39" s="12">
        <v>20</v>
      </c>
      <c r="G39" s="37"/>
      <c r="H39" s="207">
        <f t="shared" si="2"/>
        <v>0</v>
      </c>
      <c r="I39" s="208"/>
      <c r="J39" s="209"/>
      <c r="O39" t="s">
        <v>75</v>
      </c>
      <c r="P39" s="4">
        <v>1175</v>
      </c>
      <c r="Q39" s="4"/>
      <c r="R39" s="5">
        <f t="shared" si="0"/>
        <v>1175</v>
      </c>
    </row>
    <row r="40" spans="1:18" ht="15.75" x14ac:dyDescent="0.25">
      <c r="A40" s="127" t="s">
        <v>76</v>
      </c>
      <c r="B40" s="27" t="s">
        <v>66</v>
      </c>
      <c r="C40" s="63"/>
      <c r="D40" s="12">
        <f>C40*111</f>
        <v>0</v>
      </c>
      <c r="F40" s="12">
        <v>10</v>
      </c>
      <c r="G40" s="42"/>
      <c r="H40" s="207"/>
      <c r="I40" s="208"/>
      <c r="J40" s="209"/>
      <c r="O40" t="s">
        <v>77</v>
      </c>
      <c r="P40" s="4">
        <v>913</v>
      </c>
      <c r="Q40" s="4">
        <v>120</v>
      </c>
      <c r="R40" s="5">
        <f t="shared" si="0"/>
        <v>1033</v>
      </c>
    </row>
    <row r="41" spans="1:18" ht="15.75" x14ac:dyDescent="0.25">
      <c r="A41" s="128"/>
      <c r="B41" s="27" t="s">
        <v>68</v>
      </c>
      <c r="C41" s="10"/>
      <c r="D41" s="12">
        <f>C41*84</f>
        <v>0</v>
      </c>
      <c r="F41" s="12">
        <v>5</v>
      </c>
      <c r="G41" s="42"/>
      <c r="H41" s="207"/>
      <c r="I41" s="208"/>
      <c r="J41" s="209"/>
      <c r="K41" s="21"/>
      <c r="O41" t="s">
        <v>78</v>
      </c>
      <c r="P41" s="4">
        <v>614</v>
      </c>
      <c r="Q41" s="4">
        <v>111</v>
      </c>
      <c r="R41" s="5">
        <f t="shared" si="0"/>
        <v>725</v>
      </c>
    </row>
    <row r="42" spans="1:18" ht="15.75" x14ac:dyDescent="0.25">
      <c r="A42" s="129"/>
      <c r="B42" s="27" t="s">
        <v>70</v>
      </c>
      <c r="C42" s="11"/>
      <c r="D42" s="12">
        <f>C42*2.25</f>
        <v>0</v>
      </c>
      <c r="F42" s="39" t="s">
        <v>79</v>
      </c>
      <c r="G42" s="207"/>
      <c r="H42" s="208"/>
      <c r="I42" s="208"/>
      <c r="J42" s="209"/>
      <c r="K42" s="36"/>
      <c r="O42" t="s">
        <v>80</v>
      </c>
      <c r="P42" s="4">
        <v>626</v>
      </c>
      <c r="Q42" s="4">
        <v>111</v>
      </c>
      <c r="R42" s="5">
        <f t="shared" si="0"/>
        <v>737</v>
      </c>
    </row>
    <row r="43" spans="1:18" ht="15.75" x14ac:dyDescent="0.25">
      <c r="A43" s="210" t="s">
        <v>81</v>
      </c>
      <c r="C43" s="11"/>
      <c r="D43" s="12"/>
      <c r="F43" s="59" t="s">
        <v>82</v>
      </c>
      <c r="G43" s="94" t="s">
        <v>83</v>
      </c>
      <c r="H43" s="213" t="s">
        <v>13</v>
      </c>
      <c r="I43" s="214"/>
      <c r="J43" s="215"/>
      <c r="K43" s="21"/>
      <c r="P43" s="4"/>
      <c r="Q43" s="4"/>
      <c r="R43" s="5"/>
    </row>
    <row r="44" spans="1:18" ht="15.75" x14ac:dyDescent="0.25">
      <c r="A44" s="211"/>
      <c r="B44" s="27" t="s">
        <v>66</v>
      </c>
      <c r="C44" s="10"/>
      <c r="D44" s="12">
        <f>C44*120</f>
        <v>0</v>
      </c>
      <c r="F44" s="37"/>
      <c r="G44" s="62"/>
      <c r="H44" s="191"/>
      <c r="I44" s="191"/>
      <c r="J44" s="191"/>
      <c r="K44" s="21"/>
      <c r="P44" s="4"/>
      <c r="Q44" s="4"/>
      <c r="R44" s="5"/>
    </row>
    <row r="45" spans="1:18" ht="15.75" x14ac:dyDescent="0.25">
      <c r="A45" s="211"/>
      <c r="B45" s="27" t="s">
        <v>68</v>
      </c>
      <c r="C45" s="33"/>
      <c r="D45" s="12">
        <f>C45*84</f>
        <v>0</v>
      </c>
      <c r="F45" s="37"/>
      <c r="G45" s="62"/>
      <c r="H45" s="191"/>
      <c r="I45" s="191"/>
      <c r="J45" s="191"/>
      <c r="K45" s="21"/>
      <c r="P45" s="4"/>
      <c r="Q45" s="4"/>
      <c r="R45" s="5"/>
    </row>
    <row r="46" spans="1:18" ht="15.75" x14ac:dyDescent="0.25">
      <c r="A46" s="211"/>
      <c r="B46" s="49" t="s">
        <v>70</v>
      </c>
      <c r="C46" s="81"/>
      <c r="D46" s="12">
        <f>C46*1.5</f>
        <v>0</v>
      </c>
      <c r="F46" s="37"/>
      <c r="G46" s="93"/>
      <c r="H46" s="216"/>
      <c r="I46" s="216"/>
      <c r="J46" s="216"/>
      <c r="K46" s="21"/>
      <c r="P46" s="4"/>
      <c r="Q46" s="4"/>
      <c r="R46" s="5"/>
    </row>
    <row r="47" spans="1:18" ht="15.75" x14ac:dyDescent="0.25">
      <c r="A47" s="212"/>
      <c r="B47" s="27"/>
      <c r="C47" s="11"/>
      <c r="D47" s="12"/>
      <c r="F47" s="59"/>
      <c r="G47" s="59"/>
      <c r="H47" s="217"/>
      <c r="I47" s="218"/>
      <c r="J47" s="219"/>
      <c r="K47" s="21"/>
      <c r="P47" s="4"/>
      <c r="Q47" s="4"/>
      <c r="R47" s="5"/>
    </row>
    <row r="48" spans="1:18" ht="15" customHeight="1" x14ac:dyDescent="0.25">
      <c r="A48" s="210" t="s">
        <v>32</v>
      </c>
      <c r="B48" s="27" t="s">
        <v>66</v>
      </c>
      <c r="C48" s="10"/>
      <c r="D48" s="12">
        <f>C48*78</f>
        <v>0</v>
      </c>
      <c r="F48" s="59"/>
      <c r="G48" s="59"/>
      <c r="H48" s="217"/>
      <c r="I48" s="218"/>
      <c r="J48" s="219"/>
      <c r="K48" s="35"/>
      <c r="O48" t="s">
        <v>84</v>
      </c>
      <c r="P48" s="4">
        <v>1175</v>
      </c>
      <c r="Q48" s="4"/>
      <c r="R48" s="5">
        <f t="shared" si="0"/>
        <v>1175</v>
      </c>
    </row>
    <row r="49" spans="1:18" ht="15.75" x14ac:dyDescent="0.25">
      <c r="A49" s="211"/>
      <c r="B49" s="29" t="s">
        <v>68</v>
      </c>
      <c r="C49" s="33"/>
      <c r="D49" s="12">
        <f>C49*42</f>
        <v>0</v>
      </c>
      <c r="F49" s="232" t="s">
        <v>86</v>
      </c>
      <c r="G49" s="179">
        <f>H34+H35+H36+H37+H38+H39+H40+H41+G42+H44+H45+H46</f>
        <v>0</v>
      </c>
      <c r="H49" s="180"/>
      <c r="I49" s="180"/>
      <c r="J49" s="181"/>
      <c r="O49" t="s">
        <v>85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211"/>
      <c r="B50" s="32" t="s">
        <v>70</v>
      </c>
      <c r="C50" s="11"/>
      <c r="D50" s="12">
        <f>C50*1.5</f>
        <v>0</v>
      </c>
      <c r="F50" s="233"/>
      <c r="G50" s="182"/>
      <c r="H50" s="183"/>
      <c r="I50" s="183"/>
      <c r="J50" s="184"/>
      <c r="P50" s="4"/>
      <c r="Q50" s="4"/>
      <c r="R50" s="5"/>
    </row>
    <row r="51" spans="1:18" ht="15" customHeight="1" x14ac:dyDescent="0.25">
      <c r="A51" s="211"/>
      <c r="B51" s="27"/>
      <c r="C51" s="10"/>
      <c r="D51" s="31"/>
      <c r="F51" s="234" t="s">
        <v>132</v>
      </c>
      <c r="G51" s="247">
        <f>G49-H29</f>
        <v>0</v>
      </c>
      <c r="H51" s="248"/>
      <c r="I51" s="248"/>
      <c r="J51" s="249"/>
      <c r="K51" s="21"/>
      <c r="O51" t="s">
        <v>87</v>
      </c>
      <c r="P51" s="4">
        <v>703</v>
      </c>
      <c r="Q51" s="4">
        <v>120</v>
      </c>
      <c r="R51" s="5">
        <f t="shared" si="0"/>
        <v>823</v>
      </c>
    </row>
    <row r="52" spans="1:18" ht="15.75" x14ac:dyDescent="0.25">
      <c r="A52" s="211"/>
      <c r="B52" s="29"/>
      <c r="C52" s="33"/>
      <c r="D52" s="45"/>
      <c r="F52" s="235"/>
      <c r="G52" s="250"/>
      <c r="H52" s="251"/>
      <c r="I52" s="251"/>
      <c r="J52" s="252"/>
      <c r="K52" s="21"/>
      <c r="O52" t="s">
        <v>88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212"/>
      <c r="B53" s="32"/>
      <c r="C53" s="11"/>
      <c r="D53" s="12"/>
      <c r="F53" s="35"/>
      <c r="G53" s="24"/>
      <c r="H53" s="24"/>
      <c r="I53" s="24"/>
      <c r="J53" s="17"/>
      <c r="N53" s="1"/>
      <c r="O53" t="s">
        <v>89</v>
      </c>
      <c r="P53" s="4">
        <v>1142</v>
      </c>
    </row>
    <row r="54" spans="1:18" x14ac:dyDescent="0.25">
      <c r="A54" s="175" t="s">
        <v>90</v>
      </c>
      <c r="B54" s="220"/>
      <c r="C54" s="221"/>
      <c r="D54" s="224">
        <f>SUM(D34:D53)</f>
        <v>0</v>
      </c>
      <c r="F54" s="21"/>
      <c r="J54" s="34"/>
    </row>
    <row r="55" spans="1:18" x14ac:dyDescent="0.25">
      <c r="A55" s="177"/>
      <c r="B55" s="222"/>
      <c r="C55" s="223"/>
      <c r="D55" s="225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135</v>
      </c>
      <c r="D57" s="34"/>
      <c r="F57" s="36"/>
      <c r="G57" s="50"/>
      <c r="H57" s="50"/>
      <c r="I57" s="50"/>
      <c r="J57" s="43"/>
    </row>
    <row r="58" spans="1:18" x14ac:dyDescent="0.25">
      <c r="A58" s="226" t="s">
        <v>91</v>
      </c>
      <c r="B58" s="227"/>
      <c r="C58" s="227"/>
      <c r="D58" s="228"/>
      <c r="F58" s="226" t="s">
        <v>92</v>
      </c>
      <c r="G58" s="227"/>
      <c r="H58" s="227"/>
      <c r="I58" s="227"/>
      <c r="J58" s="228"/>
    </row>
    <row r="59" spans="1:18" x14ac:dyDescent="0.25">
      <c r="A59" s="229"/>
      <c r="B59" s="230"/>
      <c r="C59" s="230"/>
      <c r="D59" s="231"/>
      <c r="F59" s="229"/>
      <c r="G59" s="230"/>
      <c r="H59" s="230"/>
      <c r="I59" s="230"/>
      <c r="J59" s="231"/>
    </row>
  </sheetData>
  <mergeCells count="68"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  <mergeCell ref="H13:J13"/>
    <mergeCell ref="F14:G14"/>
    <mergeCell ref="H14:J14"/>
    <mergeCell ref="F15:G15"/>
    <mergeCell ref="H15:J15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A32:D32"/>
    <mergeCell ref="F32:J32"/>
    <mergeCell ref="H33:J33"/>
    <mergeCell ref="A34:A36"/>
    <mergeCell ref="H34:J34"/>
    <mergeCell ref="H35:J35"/>
    <mergeCell ref="H36:J36"/>
    <mergeCell ref="A37:A39"/>
    <mergeCell ref="H37:J37"/>
    <mergeCell ref="H38:J38"/>
    <mergeCell ref="H39:J39"/>
    <mergeCell ref="A40:A42"/>
    <mergeCell ref="H40:J40"/>
    <mergeCell ref="H41:J41"/>
    <mergeCell ref="G42:J42"/>
    <mergeCell ref="A43:A47"/>
    <mergeCell ref="H43:J43"/>
    <mergeCell ref="H44:J44"/>
    <mergeCell ref="H45:J45"/>
    <mergeCell ref="H46:J46"/>
    <mergeCell ref="H47:J47"/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2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D5BC119-CC4D-4B41-834E-A88411C9E0EF}">
  <dimension ref="A1:R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113" t="s">
        <v>1</v>
      </c>
      <c r="O1" s="113"/>
      <c r="P1" s="90" t="s">
        <v>2</v>
      </c>
      <c r="Q1" s="90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14" t="s">
        <v>7</v>
      </c>
      <c r="B4" s="115"/>
      <c r="C4" s="115"/>
      <c r="D4" s="116"/>
      <c r="F4" s="117" t="s">
        <v>8</v>
      </c>
      <c r="G4" s="119">
        <v>3</v>
      </c>
      <c r="H4" s="121" t="s">
        <v>9</v>
      </c>
      <c r="I4" s="123">
        <v>45968</v>
      </c>
      <c r="J4" s="124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27" t="s">
        <v>7</v>
      </c>
      <c r="B5" s="15" t="s">
        <v>11</v>
      </c>
      <c r="C5" s="9" t="s">
        <v>12</v>
      </c>
      <c r="D5" s="25" t="s">
        <v>13</v>
      </c>
      <c r="F5" s="118"/>
      <c r="G5" s="120"/>
      <c r="H5" s="122"/>
      <c r="I5" s="125"/>
      <c r="J5" s="126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28"/>
      <c r="B6" s="16" t="s">
        <v>15</v>
      </c>
      <c r="C6" s="10">
        <v>211</v>
      </c>
      <c r="D6" s="13">
        <f t="shared" ref="D6:D28" si="1">C6*L6</f>
        <v>155507</v>
      </c>
      <c r="F6" s="130" t="s">
        <v>16</v>
      </c>
      <c r="G6" s="132" t="s">
        <v>111</v>
      </c>
      <c r="H6" s="133"/>
      <c r="I6" s="133"/>
      <c r="J6" s="134"/>
      <c r="K6" s="8"/>
      <c r="L6" s="6">
        <f>R42</f>
        <v>737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28"/>
      <c r="B7" s="16" t="s">
        <v>18</v>
      </c>
      <c r="C7" s="10">
        <v>2</v>
      </c>
      <c r="D7" s="13">
        <f t="shared" si="1"/>
        <v>1450</v>
      </c>
      <c r="F7" s="131"/>
      <c r="G7" s="135"/>
      <c r="H7" s="136"/>
      <c r="I7" s="136"/>
      <c r="J7" s="137"/>
      <c r="K7" s="8"/>
      <c r="L7" s="6">
        <f>R41</f>
        <v>725</v>
      </c>
      <c r="P7" s="4"/>
      <c r="Q7" s="4"/>
      <c r="R7" s="5"/>
    </row>
    <row r="8" spans="1:18" ht="14.45" customHeight="1" x14ac:dyDescent="0.25">
      <c r="A8" s="128"/>
      <c r="B8" s="16" t="s">
        <v>20</v>
      </c>
      <c r="C8" s="10"/>
      <c r="D8" s="13">
        <f t="shared" si="1"/>
        <v>0</v>
      </c>
      <c r="F8" s="138" t="s">
        <v>21</v>
      </c>
      <c r="G8" s="140" t="s">
        <v>119</v>
      </c>
      <c r="H8" s="141"/>
      <c r="I8" s="141"/>
      <c r="J8" s="142"/>
      <c r="K8" s="8"/>
      <c r="L8" s="6">
        <f>R40</f>
        <v>1033</v>
      </c>
      <c r="P8" s="4"/>
      <c r="Q8" s="4"/>
      <c r="R8" s="5"/>
    </row>
    <row r="9" spans="1:18" ht="14.45" customHeight="1" x14ac:dyDescent="0.25">
      <c r="A9" s="128"/>
      <c r="B9" s="16" t="s">
        <v>23</v>
      </c>
      <c r="C9" s="10">
        <v>138</v>
      </c>
      <c r="D9" s="13">
        <f t="shared" si="1"/>
        <v>97566</v>
      </c>
      <c r="F9" s="131"/>
      <c r="G9" s="143"/>
      <c r="H9" s="144"/>
      <c r="I9" s="144"/>
      <c r="J9" s="145"/>
      <c r="K9" s="8"/>
      <c r="L9" s="6">
        <f>R38</f>
        <v>707</v>
      </c>
      <c r="P9" s="4"/>
      <c r="Q9" s="4"/>
      <c r="R9" s="5"/>
    </row>
    <row r="10" spans="1:18" ht="14.45" customHeight="1" x14ac:dyDescent="0.25">
      <c r="A10" s="128"/>
      <c r="B10" t="s">
        <v>25</v>
      </c>
      <c r="C10" s="10">
        <v>1</v>
      </c>
      <c r="D10" s="13">
        <f t="shared" si="1"/>
        <v>972</v>
      </c>
      <c r="F10" s="130" t="s">
        <v>26</v>
      </c>
      <c r="G10" s="146" t="s">
        <v>137</v>
      </c>
      <c r="H10" s="147"/>
      <c r="I10" s="147"/>
      <c r="J10" s="148"/>
      <c r="K10" s="8"/>
      <c r="L10" s="6">
        <f>R36</f>
        <v>972</v>
      </c>
      <c r="P10" s="4"/>
      <c r="Q10" s="4"/>
      <c r="R10" s="5"/>
    </row>
    <row r="11" spans="1:18" ht="15.75" x14ac:dyDescent="0.25">
      <c r="A11" s="128"/>
      <c r="B11" s="17" t="s">
        <v>28</v>
      </c>
      <c r="C11" s="10">
        <v>2</v>
      </c>
      <c r="D11" s="13">
        <f t="shared" si="1"/>
        <v>2250</v>
      </c>
      <c r="F11" s="131"/>
      <c r="G11" s="143"/>
      <c r="H11" s="144"/>
      <c r="I11" s="144"/>
      <c r="J11" s="145"/>
      <c r="K11" s="22"/>
      <c r="L11" s="6">
        <f>R32</f>
        <v>1125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28"/>
      <c r="B12" s="17" t="s">
        <v>30</v>
      </c>
      <c r="C12" s="10">
        <v>1</v>
      </c>
      <c r="D12" s="48">
        <f t="shared" si="1"/>
        <v>952</v>
      </c>
      <c r="F12" s="149" t="s">
        <v>33</v>
      </c>
      <c r="G12" s="150"/>
      <c r="H12" s="150"/>
      <c r="I12" s="150"/>
      <c r="J12" s="151"/>
      <c r="K12" s="23"/>
      <c r="L12" s="6">
        <f>R34</f>
        <v>952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28"/>
      <c r="B13" s="17" t="s">
        <v>32</v>
      </c>
      <c r="C13" s="10">
        <v>1</v>
      </c>
      <c r="D13" s="48">
        <f t="shared" si="1"/>
        <v>307</v>
      </c>
      <c r="F13" s="152" t="s">
        <v>36</v>
      </c>
      <c r="G13" s="153"/>
      <c r="H13" s="154">
        <f>D29</f>
        <v>259191</v>
      </c>
      <c r="I13" s="155"/>
      <c r="J13" s="156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28"/>
      <c r="B14" s="14" t="s">
        <v>35</v>
      </c>
      <c r="C14" s="10">
        <v>17</v>
      </c>
      <c r="D14" s="31">
        <f t="shared" si="1"/>
        <v>187</v>
      </c>
      <c r="F14" s="157" t="s">
        <v>39</v>
      </c>
      <c r="G14" s="158"/>
      <c r="H14" s="159">
        <f>D54</f>
        <v>36323.25</v>
      </c>
      <c r="I14" s="160"/>
      <c r="J14" s="161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28"/>
      <c r="B15" s="14" t="s">
        <v>38</v>
      </c>
      <c r="C15" s="10"/>
      <c r="D15" s="31">
        <f t="shared" si="1"/>
        <v>0</v>
      </c>
      <c r="F15" s="162" t="s">
        <v>40</v>
      </c>
      <c r="G15" s="153"/>
      <c r="H15" s="163">
        <f>H13-H14</f>
        <v>222867.75</v>
      </c>
      <c r="I15" s="164"/>
      <c r="J15" s="165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28"/>
      <c r="B16" s="18" t="s">
        <v>94</v>
      </c>
      <c r="C16" s="10"/>
      <c r="D16" s="48">
        <f t="shared" si="1"/>
        <v>0</v>
      </c>
      <c r="F16" s="67" t="s">
        <v>42</v>
      </c>
      <c r="G16" s="66" t="s">
        <v>43</v>
      </c>
      <c r="H16" s="166">
        <v>1608</v>
      </c>
      <c r="I16" s="166"/>
      <c r="J16" s="166"/>
      <c r="L16" s="6">
        <f>R28</f>
        <v>1567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28"/>
      <c r="B17" t="s">
        <v>113</v>
      </c>
      <c r="C17" s="10"/>
      <c r="D17" s="48">
        <f t="shared" si="1"/>
        <v>0</v>
      </c>
      <c r="F17" s="56"/>
      <c r="G17" s="66" t="s">
        <v>45</v>
      </c>
      <c r="H17" s="139"/>
      <c r="I17" s="139"/>
      <c r="J17" s="139"/>
      <c r="L17" s="6">
        <v>1582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28"/>
      <c r="B18" s="19" t="s">
        <v>95</v>
      </c>
      <c r="C18" s="10"/>
      <c r="D18" s="48">
        <f t="shared" si="1"/>
        <v>0</v>
      </c>
      <c r="F18" s="56"/>
      <c r="G18" s="66" t="s">
        <v>47</v>
      </c>
      <c r="H18" s="139"/>
      <c r="I18" s="139"/>
      <c r="J18" s="139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28"/>
      <c r="B19" s="14" t="s">
        <v>117</v>
      </c>
      <c r="C19" s="10"/>
      <c r="D19" s="48">
        <f t="shared" si="1"/>
        <v>0</v>
      </c>
      <c r="F19" s="56"/>
      <c r="G19" s="68" t="s">
        <v>50</v>
      </c>
      <c r="H19" s="253"/>
      <c r="I19" s="253"/>
      <c r="J19" s="253"/>
      <c r="L19" s="6">
        <f>R35</f>
        <v>1102</v>
      </c>
      <c r="Q19" s="4"/>
      <c r="R19" s="5">
        <f t="shared" si="0"/>
        <v>0</v>
      </c>
    </row>
    <row r="20" spans="1:18" ht="15.75" x14ac:dyDescent="0.25">
      <c r="A20" s="128"/>
      <c r="B20" s="46" t="s">
        <v>108</v>
      </c>
      <c r="C20" s="10"/>
      <c r="D20" s="13">
        <f t="shared" si="1"/>
        <v>0</v>
      </c>
      <c r="F20" s="57"/>
      <c r="G20" s="70" t="s">
        <v>120</v>
      </c>
      <c r="H20" s="166"/>
      <c r="I20" s="166"/>
      <c r="J20" s="166"/>
      <c r="L20" s="6">
        <f>1102</f>
        <v>1102</v>
      </c>
      <c r="N20" s="1" t="s">
        <v>41</v>
      </c>
      <c r="Q20" s="4"/>
      <c r="R20" s="5">
        <f t="shared" si="0"/>
        <v>0</v>
      </c>
    </row>
    <row r="21" spans="1:18" ht="15.75" x14ac:dyDescent="0.25">
      <c r="A21" s="128"/>
      <c r="B21" s="14" t="s">
        <v>126</v>
      </c>
      <c r="C21" s="10"/>
      <c r="D21" s="48">
        <f t="shared" si="1"/>
        <v>0</v>
      </c>
      <c r="F21" s="69" t="s">
        <v>99</v>
      </c>
      <c r="G21" s="82" t="s">
        <v>98</v>
      </c>
      <c r="H21" s="186" t="s">
        <v>13</v>
      </c>
      <c r="I21" s="187"/>
      <c r="J21" s="188"/>
      <c r="L21" s="7">
        <v>650</v>
      </c>
      <c r="O21" t="s">
        <v>44</v>
      </c>
      <c r="P21" s="4">
        <v>1447</v>
      </c>
      <c r="Q21" s="4">
        <v>120</v>
      </c>
      <c r="R21" s="5">
        <f t="shared" si="0"/>
        <v>1567</v>
      </c>
    </row>
    <row r="22" spans="1:18" ht="15.75" x14ac:dyDescent="0.25">
      <c r="A22" s="128"/>
      <c r="B22" s="46" t="s">
        <v>104</v>
      </c>
      <c r="C22" s="10"/>
      <c r="D22" s="48">
        <f t="shared" si="1"/>
        <v>0</v>
      </c>
      <c r="F22" s="77"/>
      <c r="G22" s="73"/>
      <c r="H22" s="189"/>
      <c r="I22" s="189"/>
      <c r="J22" s="189"/>
      <c r="L22" s="7">
        <f>559+111</f>
        <v>670</v>
      </c>
      <c r="O22" t="s">
        <v>46</v>
      </c>
      <c r="P22" s="4">
        <v>1582</v>
      </c>
      <c r="Q22" s="4"/>
      <c r="R22" s="5">
        <f t="shared" si="0"/>
        <v>1582</v>
      </c>
    </row>
    <row r="23" spans="1:18" ht="15.75" x14ac:dyDescent="0.25">
      <c r="A23" s="128"/>
      <c r="B23" s="14" t="s">
        <v>107</v>
      </c>
      <c r="C23" s="10"/>
      <c r="D23" s="48">
        <f t="shared" si="1"/>
        <v>0</v>
      </c>
      <c r="F23" s="78"/>
      <c r="G23" s="79"/>
      <c r="H23" s="190"/>
      <c r="I23" s="191"/>
      <c r="J23" s="191"/>
      <c r="L23" s="47">
        <f>R33</f>
        <v>1175</v>
      </c>
      <c r="N23" s="1"/>
      <c r="O23" t="s">
        <v>48</v>
      </c>
      <c r="P23" s="4">
        <v>1728</v>
      </c>
      <c r="Q23" s="4"/>
      <c r="R23" s="5">
        <f t="shared" si="0"/>
        <v>1728</v>
      </c>
    </row>
    <row r="24" spans="1:18" ht="15.75" x14ac:dyDescent="0.25">
      <c r="A24" s="128"/>
      <c r="B24" s="14" t="s">
        <v>101</v>
      </c>
      <c r="C24" s="10"/>
      <c r="D24" s="48">
        <f t="shared" si="1"/>
        <v>0</v>
      </c>
      <c r="F24" s="38"/>
      <c r="G24" s="37"/>
      <c r="H24" s="190"/>
      <c r="I24" s="191"/>
      <c r="J24" s="191"/>
      <c r="L24" s="47">
        <v>1667</v>
      </c>
      <c r="N24" s="1"/>
      <c r="O24" t="s">
        <v>49</v>
      </c>
      <c r="P24" s="4">
        <v>1728</v>
      </c>
      <c r="Q24" s="4"/>
      <c r="R24" s="5">
        <f t="shared" si="0"/>
        <v>1728</v>
      </c>
    </row>
    <row r="25" spans="1:18" ht="15.75" x14ac:dyDescent="0.25">
      <c r="A25" s="128"/>
      <c r="B25" s="14" t="s">
        <v>116</v>
      </c>
      <c r="C25" s="10"/>
      <c r="D25" s="48">
        <f t="shared" si="1"/>
        <v>0</v>
      </c>
      <c r="F25" s="60" t="s">
        <v>100</v>
      </c>
      <c r="G25" s="55" t="s">
        <v>98</v>
      </c>
      <c r="H25" s="192" t="s">
        <v>13</v>
      </c>
      <c r="I25" s="193"/>
      <c r="J25" s="194"/>
      <c r="L25" s="47">
        <f>1582</f>
        <v>1582</v>
      </c>
      <c r="O25" t="s">
        <v>51</v>
      </c>
      <c r="P25" s="4">
        <v>1582</v>
      </c>
      <c r="Q25" s="4"/>
      <c r="R25" s="5">
        <f t="shared" si="0"/>
        <v>1582</v>
      </c>
    </row>
    <row r="26" spans="1:18" ht="15.75" x14ac:dyDescent="0.25">
      <c r="A26" s="128"/>
      <c r="B26" s="14" t="s">
        <v>105</v>
      </c>
      <c r="C26" s="10"/>
      <c r="D26" s="48">
        <f t="shared" si="1"/>
        <v>0</v>
      </c>
      <c r="F26" s="64"/>
      <c r="G26" s="59"/>
      <c r="H26" s="195"/>
      <c r="I26" s="196"/>
      <c r="J26" s="197"/>
      <c r="L26" s="7">
        <f>832/24+1.5</f>
        <v>36.166666666666664</v>
      </c>
      <c r="O26" t="s">
        <v>52</v>
      </c>
      <c r="P26" s="4">
        <v>1447</v>
      </c>
      <c r="Q26" s="4">
        <v>120</v>
      </c>
      <c r="R26" s="5">
        <f t="shared" si="0"/>
        <v>1567</v>
      </c>
    </row>
    <row r="27" spans="1:18" ht="14.45" customHeight="1" x14ac:dyDescent="0.25">
      <c r="A27" s="128"/>
      <c r="B27" s="14" t="s">
        <v>109</v>
      </c>
      <c r="C27" s="10"/>
      <c r="D27" s="44">
        <f t="shared" si="1"/>
        <v>0</v>
      </c>
      <c r="F27" s="25"/>
      <c r="G27" s="80"/>
      <c r="H27" s="198"/>
      <c r="I27" s="199"/>
      <c r="J27" s="200"/>
      <c r="L27" s="7">
        <v>1582</v>
      </c>
      <c r="O27" t="s">
        <v>53</v>
      </c>
      <c r="P27" s="4">
        <v>1582</v>
      </c>
      <c r="Q27" s="4"/>
      <c r="R27" s="5">
        <f t="shared" si="0"/>
        <v>1582</v>
      </c>
    </row>
    <row r="28" spans="1:18" ht="15.75" x14ac:dyDescent="0.25">
      <c r="A28" s="129"/>
      <c r="B28" s="46" t="s">
        <v>97</v>
      </c>
      <c r="C28" s="10"/>
      <c r="D28" s="48">
        <f t="shared" si="1"/>
        <v>0</v>
      </c>
      <c r="F28" s="91"/>
      <c r="G28" s="61"/>
      <c r="H28" s="201"/>
      <c r="I28" s="202"/>
      <c r="J28" s="203"/>
      <c r="L28" s="7">
        <v>785</v>
      </c>
      <c r="O28" t="s">
        <v>54</v>
      </c>
      <c r="P28" s="4">
        <v>1447</v>
      </c>
      <c r="Q28" s="4">
        <v>120</v>
      </c>
      <c r="R28" s="5">
        <f t="shared" si="0"/>
        <v>1567</v>
      </c>
    </row>
    <row r="29" spans="1:18" x14ac:dyDescent="0.25">
      <c r="A29" s="167" t="s">
        <v>36</v>
      </c>
      <c r="B29" s="168"/>
      <c r="C29" s="169"/>
      <c r="D29" s="173">
        <f>SUM(D6:D28)</f>
        <v>259191</v>
      </c>
      <c r="F29" s="175" t="s">
        <v>55</v>
      </c>
      <c r="G29" s="176"/>
      <c r="H29" s="179">
        <f>H15-H16-H17-H18-H19-H20-H22-H23-H24+H26+H27</f>
        <v>221259.75</v>
      </c>
      <c r="I29" s="180"/>
      <c r="J29" s="181"/>
      <c r="O29" t="s">
        <v>56</v>
      </c>
      <c r="P29" s="4">
        <v>1582</v>
      </c>
      <c r="Q29" s="4"/>
      <c r="R29" s="5">
        <f t="shared" si="0"/>
        <v>1582</v>
      </c>
    </row>
    <row r="30" spans="1:18" x14ac:dyDescent="0.25">
      <c r="A30" s="170"/>
      <c r="B30" s="171"/>
      <c r="C30" s="172"/>
      <c r="D30" s="174"/>
      <c r="F30" s="177"/>
      <c r="G30" s="178"/>
      <c r="H30" s="182"/>
      <c r="I30" s="183"/>
      <c r="J30" s="184"/>
      <c r="N30" s="1"/>
      <c r="Q30" s="4"/>
      <c r="R30" s="5">
        <f t="shared" si="0"/>
        <v>0</v>
      </c>
    </row>
    <row r="31" spans="1:18" x14ac:dyDescent="0.25">
      <c r="A31" s="24"/>
      <c r="B31" s="24"/>
      <c r="C31" s="24"/>
      <c r="D31" s="24"/>
      <c r="F31" s="24"/>
      <c r="G31" s="24"/>
      <c r="O31" t="s">
        <v>57</v>
      </c>
      <c r="P31" s="4">
        <v>1052</v>
      </c>
      <c r="Q31" s="4">
        <v>120</v>
      </c>
      <c r="R31" s="5">
        <f t="shared" si="0"/>
        <v>1172</v>
      </c>
    </row>
    <row r="32" spans="1:18" x14ac:dyDescent="0.25">
      <c r="A32" s="114" t="s">
        <v>58</v>
      </c>
      <c r="B32" s="115"/>
      <c r="C32" s="115"/>
      <c r="D32" s="116"/>
      <c r="F32" s="204" t="s">
        <v>59</v>
      </c>
      <c r="G32" s="205"/>
      <c r="H32" s="205"/>
      <c r="I32" s="205"/>
      <c r="J32" s="206"/>
      <c r="O32" t="s">
        <v>60</v>
      </c>
      <c r="P32" s="4">
        <v>1005</v>
      </c>
      <c r="Q32" s="4">
        <v>120</v>
      </c>
      <c r="R32" s="5">
        <f t="shared" si="0"/>
        <v>1125</v>
      </c>
    </row>
    <row r="33" spans="1:18" x14ac:dyDescent="0.25">
      <c r="A33" s="25"/>
      <c r="B33" s="25" t="s">
        <v>11</v>
      </c>
      <c r="C33" s="25" t="s">
        <v>61</v>
      </c>
      <c r="D33" s="25" t="s">
        <v>13</v>
      </c>
      <c r="F33" s="25" t="s">
        <v>62</v>
      </c>
      <c r="G33" s="92" t="s">
        <v>63</v>
      </c>
      <c r="H33" s="204" t="s">
        <v>13</v>
      </c>
      <c r="I33" s="205"/>
      <c r="J33" s="206"/>
      <c r="O33" t="s">
        <v>64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27" t="s">
        <v>65</v>
      </c>
      <c r="B34" s="26" t="s">
        <v>66</v>
      </c>
      <c r="C34" s="51">
        <v>1</v>
      </c>
      <c r="D34" s="30">
        <f>C34*120</f>
        <v>120</v>
      </c>
      <c r="F34" s="12">
        <v>1000</v>
      </c>
      <c r="G34" s="74">
        <v>15</v>
      </c>
      <c r="H34" s="207">
        <f>F34*G34</f>
        <v>15000</v>
      </c>
      <c r="I34" s="208"/>
      <c r="J34" s="209"/>
      <c r="O34" t="s">
        <v>67</v>
      </c>
      <c r="P34" s="4">
        <v>832</v>
      </c>
      <c r="Q34" s="4">
        <v>120</v>
      </c>
      <c r="R34" s="5">
        <f t="shared" si="0"/>
        <v>952</v>
      </c>
    </row>
    <row r="35" spans="1:18" ht="15.75" x14ac:dyDescent="0.25">
      <c r="A35" s="128"/>
      <c r="B35" s="27" t="s">
        <v>68</v>
      </c>
      <c r="C35" s="52"/>
      <c r="D35" s="30">
        <f>C35*84</f>
        <v>0</v>
      </c>
      <c r="F35" s="58">
        <v>500</v>
      </c>
      <c r="G35" s="41">
        <v>85</v>
      </c>
      <c r="H35" s="207">
        <f>F35*G35</f>
        <v>42500</v>
      </c>
      <c r="I35" s="208"/>
      <c r="J35" s="209"/>
      <c r="O35" t="s">
        <v>69</v>
      </c>
      <c r="P35" s="4">
        <v>1102</v>
      </c>
      <c r="Q35" s="4"/>
      <c r="R35" s="5">
        <f t="shared" si="0"/>
        <v>1102</v>
      </c>
    </row>
    <row r="36" spans="1:18" ht="15.75" x14ac:dyDescent="0.25">
      <c r="A36" s="129"/>
      <c r="B36" s="26" t="s">
        <v>70</v>
      </c>
      <c r="C36" s="10"/>
      <c r="D36" s="12">
        <f>C36*1.5</f>
        <v>0</v>
      </c>
      <c r="F36" s="12">
        <v>200</v>
      </c>
      <c r="G36" s="37"/>
      <c r="H36" s="207">
        <f t="shared" ref="H36:H39" si="2">F36*G36</f>
        <v>0</v>
      </c>
      <c r="I36" s="208"/>
      <c r="J36" s="209"/>
      <c r="O36" t="s">
        <v>71</v>
      </c>
      <c r="P36" s="4">
        <v>852</v>
      </c>
      <c r="Q36" s="4">
        <v>120</v>
      </c>
      <c r="R36" s="5">
        <f t="shared" si="0"/>
        <v>972</v>
      </c>
    </row>
    <row r="37" spans="1:18" ht="15.75" x14ac:dyDescent="0.25">
      <c r="A37" s="127" t="s">
        <v>72</v>
      </c>
      <c r="B37" s="28" t="s">
        <v>66</v>
      </c>
      <c r="C37" s="53">
        <v>315</v>
      </c>
      <c r="D37" s="12">
        <f>C37*111</f>
        <v>34965</v>
      </c>
      <c r="F37" s="12">
        <v>100</v>
      </c>
      <c r="G37" s="39"/>
      <c r="H37" s="207">
        <f t="shared" si="2"/>
        <v>0</v>
      </c>
      <c r="I37" s="208"/>
      <c r="J37" s="209"/>
      <c r="O37" t="s">
        <v>73</v>
      </c>
      <c r="P37" s="4">
        <v>1020</v>
      </c>
      <c r="Q37" s="4">
        <v>120</v>
      </c>
      <c r="R37" s="5">
        <f t="shared" si="0"/>
        <v>1140</v>
      </c>
    </row>
    <row r="38" spans="1:18" ht="15.75" x14ac:dyDescent="0.25">
      <c r="A38" s="128"/>
      <c r="B38" s="29" t="s">
        <v>68</v>
      </c>
      <c r="C38" s="54">
        <v>1</v>
      </c>
      <c r="D38" s="12">
        <f>C38*84</f>
        <v>84</v>
      </c>
      <c r="F38" s="30">
        <v>50</v>
      </c>
      <c r="G38" s="39"/>
      <c r="H38" s="207">
        <f t="shared" si="2"/>
        <v>0</v>
      </c>
      <c r="I38" s="208"/>
      <c r="J38" s="209"/>
      <c r="O38" t="s">
        <v>74</v>
      </c>
      <c r="P38" s="4">
        <v>596</v>
      </c>
      <c r="Q38" s="4">
        <v>111</v>
      </c>
      <c r="R38" s="5">
        <f t="shared" si="0"/>
        <v>707</v>
      </c>
    </row>
    <row r="39" spans="1:18" ht="15.75" x14ac:dyDescent="0.25">
      <c r="A39" s="129"/>
      <c r="B39" s="29" t="s">
        <v>70</v>
      </c>
      <c r="C39" s="52"/>
      <c r="D39" s="31">
        <f>C39*4.5</f>
        <v>0</v>
      </c>
      <c r="F39" s="12">
        <v>20</v>
      </c>
      <c r="G39" s="37"/>
      <c r="H39" s="207">
        <f t="shared" si="2"/>
        <v>0</v>
      </c>
      <c r="I39" s="208"/>
      <c r="J39" s="209"/>
      <c r="O39" t="s">
        <v>75</v>
      </c>
      <c r="P39" s="4">
        <v>1175</v>
      </c>
      <c r="Q39" s="4"/>
      <c r="R39" s="5">
        <f t="shared" si="0"/>
        <v>1175</v>
      </c>
    </row>
    <row r="40" spans="1:18" ht="15.75" x14ac:dyDescent="0.25">
      <c r="A40" s="127" t="s">
        <v>76</v>
      </c>
      <c r="B40" s="27" t="s">
        <v>66</v>
      </c>
      <c r="C40" s="63">
        <v>5</v>
      </c>
      <c r="D40" s="12">
        <f>C40*111</f>
        <v>555</v>
      </c>
      <c r="F40" s="12">
        <v>10</v>
      </c>
      <c r="G40" s="42"/>
      <c r="H40" s="207"/>
      <c r="I40" s="208"/>
      <c r="J40" s="209"/>
      <c r="O40" t="s">
        <v>77</v>
      </c>
      <c r="P40" s="4">
        <v>913</v>
      </c>
      <c r="Q40" s="4">
        <v>120</v>
      </c>
      <c r="R40" s="5">
        <f t="shared" si="0"/>
        <v>1033</v>
      </c>
    </row>
    <row r="41" spans="1:18" ht="15.75" x14ac:dyDescent="0.25">
      <c r="A41" s="128"/>
      <c r="B41" s="27" t="s">
        <v>68</v>
      </c>
      <c r="C41" s="10">
        <v>1</v>
      </c>
      <c r="D41" s="12">
        <f>C41*84</f>
        <v>84</v>
      </c>
      <c r="F41" s="12">
        <v>5</v>
      </c>
      <c r="G41" s="42"/>
      <c r="H41" s="207"/>
      <c r="I41" s="208"/>
      <c r="J41" s="209"/>
      <c r="K41" s="21"/>
      <c r="O41" t="s">
        <v>78</v>
      </c>
      <c r="P41" s="4">
        <v>614</v>
      </c>
      <c r="Q41" s="4">
        <v>111</v>
      </c>
      <c r="R41" s="5">
        <f t="shared" si="0"/>
        <v>725</v>
      </c>
    </row>
    <row r="42" spans="1:18" ht="15.75" x14ac:dyDescent="0.25">
      <c r="A42" s="129"/>
      <c r="B42" s="27" t="s">
        <v>70</v>
      </c>
      <c r="C42" s="11">
        <v>11</v>
      </c>
      <c r="D42" s="12">
        <f>C42*2.25</f>
        <v>24.75</v>
      </c>
      <c r="F42" s="39" t="s">
        <v>79</v>
      </c>
      <c r="G42" s="207"/>
      <c r="H42" s="208"/>
      <c r="I42" s="208"/>
      <c r="J42" s="209"/>
      <c r="K42" s="36"/>
      <c r="O42" t="s">
        <v>80</v>
      </c>
      <c r="P42" s="4">
        <v>626</v>
      </c>
      <c r="Q42" s="4">
        <v>111</v>
      </c>
      <c r="R42" s="5">
        <f t="shared" si="0"/>
        <v>737</v>
      </c>
    </row>
    <row r="43" spans="1:18" ht="15.75" x14ac:dyDescent="0.25">
      <c r="A43" s="210" t="s">
        <v>81</v>
      </c>
      <c r="C43" s="11"/>
      <c r="D43" s="12"/>
      <c r="F43" s="59" t="s">
        <v>82</v>
      </c>
      <c r="G43" s="94" t="s">
        <v>83</v>
      </c>
      <c r="H43" s="213" t="s">
        <v>13</v>
      </c>
      <c r="I43" s="214"/>
      <c r="J43" s="215"/>
      <c r="K43" s="21"/>
      <c r="P43" s="4"/>
      <c r="Q43" s="4"/>
      <c r="R43" s="5"/>
    </row>
    <row r="44" spans="1:18" ht="15.75" x14ac:dyDescent="0.25">
      <c r="A44" s="211"/>
      <c r="B44" s="27" t="s">
        <v>66</v>
      </c>
      <c r="C44" s="10">
        <v>3</v>
      </c>
      <c r="D44" s="12">
        <f>C44*120</f>
        <v>360</v>
      </c>
      <c r="F44" s="37" t="s">
        <v>144</v>
      </c>
      <c r="G44" s="76" t="s">
        <v>162</v>
      </c>
      <c r="H44" s="191">
        <v>163678</v>
      </c>
      <c r="I44" s="191"/>
      <c r="J44" s="191"/>
      <c r="K44" s="21"/>
      <c r="P44" s="4"/>
      <c r="Q44" s="4"/>
      <c r="R44" s="5"/>
    </row>
    <row r="45" spans="1:18" ht="15.75" x14ac:dyDescent="0.25">
      <c r="A45" s="211"/>
      <c r="B45" s="27" t="s">
        <v>68</v>
      </c>
      <c r="C45" s="33"/>
      <c r="D45" s="12">
        <f>C45*84</f>
        <v>0</v>
      </c>
      <c r="F45" s="37"/>
      <c r="G45" s="76"/>
      <c r="H45" s="191"/>
      <c r="I45" s="191"/>
      <c r="J45" s="191"/>
      <c r="K45" s="21"/>
      <c r="P45" s="4"/>
      <c r="Q45" s="4"/>
      <c r="R45" s="5"/>
    </row>
    <row r="46" spans="1:18" ht="15.75" x14ac:dyDescent="0.25">
      <c r="A46" s="211"/>
      <c r="B46" s="49" t="s">
        <v>70</v>
      </c>
      <c r="C46" s="81">
        <v>2</v>
      </c>
      <c r="D46" s="12">
        <f>C46*1.5</f>
        <v>3</v>
      </c>
      <c r="F46" s="37"/>
      <c r="G46" s="62"/>
      <c r="H46" s="216"/>
      <c r="I46" s="216"/>
      <c r="J46" s="216"/>
      <c r="K46" s="21"/>
      <c r="P46" s="4"/>
      <c r="Q46" s="4"/>
      <c r="R46" s="5"/>
    </row>
    <row r="47" spans="1:18" ht="15.75" x14ac:dyDescent="0.25">
      <c r="A47" s="212"/>
      <c r="B47" s="27"/>
      <c r="C47" s="11"/>
      <c r="D47" s="12"/>
      <c r="F47" s="59"/>
      <c r="G47" s="59"/>
      <c r="H47" s="217"/>
      <c r="I47" s="218"/>
      <c r="J47" s="219"/>
      <c r="K47" s="21"/>
      <c r="P47" s="4"/>
      <c r="Q47" s="4"/>
      <c r="R47" s="5"/>
    </row>
    <row r="48" spans="1:18" ht="15" customHeight="1" x14ac:dyDescent="0.25">
      <c r="A48" s="210" t="s">
        <v>32</v>
      </c>
      <c r="B48" s="27" t="s">
        <v>66</v>
      </c>
      <c r="C48" s="10">
        <v>1</v>
      </c>
      <c r="D48" s="12">
        <f>C48*78</f>
        <v>78</v>
      </c>
      <c r="F48" s="59"/>
      <c r="G48" s="59"/>
      <c r="H48" s="217"/>
      <c r="I48" s="218"/>
      <c r="J48" s="219"/>
      <c r="K48" s="35"/>
      <c r="O48" t="s">
        <v>84</v>
      </c>
      <c r="P48" s="4">
        <v>1175</v>
      </c>
      <c r="Q48" s="4"/>
      <c r="R48" s="5">
        <f t="shared" si="0"/>
        <v>1175</v>
      </c>
    </row>
    <row r="49" spans="1:18" ht="15.75" x14ac:dyDescent="0.25">
      <c r="A49" s="211"/>
      <c r="B49" s="29" t="s">
        <v>68</v>
      </c>
      <c r="C49" s="33">
        <v>1</v>
      </c>
      <c r="D49" s="12">
        <f>C49*42</f>
        <v>42</v>
      </c>
      <c r="F49" s="232" t="s">
        <v>86</v>
      </c>
      <c r="G49" s="179">
        <f>H34+H35+H36+H37+H38+H39+H40+H41+G42+H44+H45+H46</f>
        <v>221178</v>
      </c>
      <c r="H49" s="180"/>
      <c r="I49" s="180"/>
      <c r="J49" s="181"/>
      <c r="O49" t="s">
        <v>85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211"/>
      <c r="B50" s="32" t="s">
        <v>70</v>
      </c>
      <c r="C50" s="11">
        <v>5</v>
      </c>
      <c r="D50" s="12">
        <f>C50*1.5</f>
        <v>7.5</v>
      </c>
      <c r="F50" s="233"/>
      <c r="G50" s="182"/>
      <c r="H50" s="183"/>
      <c r="I50" s="183"/>
      <c r="J50" s="184"/>
      <c r="P50" s="4"/>
      <c r="Q50" s="4"/>
      <c r="R50" s="5"/>
    </row>
    <row r="51" spans="1:18" ht="15" customHeight="1" x14ac:dyDescent="0.25">
      <c r="A51" s="211"/>
      <c r="B51" s="27"/>
      <c r="C51" s="10"/>
      <c r="D51" s="31"/>
      <c r="F51" s="234" t="s">
        <v>142</v>
      </c>
      <c r="G51" s="247">
        <f>G49-H29</f>
        <v>-81.75</v>
      </c>
      <c r="H51" s="248"/>
      <c r="I51" s="248"/>
      <c r="J51" s="249"/>
      <c r="K51" s="21"/>
      <c r="O51" t="s">
        <v>87</v>
      </c>
      <c r="P51" s="4">
        <v>703</v>
      </c>
      <c r="Q51" s="4">
        <v>120</v>
      </c>
      <c r="R51" s="5">
        <f t="shared" si="0"/>
        <v>823</v>
      </c>
    </row>
    <row r="52" spans="1:18" ht="15.75" x14ac:dyDescent="0.25">
      <c r="A52" s="211"/>
      <c r="B52" s="29"/>
      <c r="C52" s="33"/>
      <c r="D52" s="45"/>
      <c r="F52" s="235"/>
      <c r="G52" s="250"/>
      <c r="H52" s="251"/>
      <c r="I52" s="251"/>
      <c r="J52" s="252"/>
      <c r="K52" s="21"/>
      <c r="O52" t="s">
        <v>88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212"/>
      <c r="B53" s="32"/>
      <c r="C53" s="11"/>
      <c r="D53" s="12"/>
      <c r="F53" s="35"/>
      <c r="G53" s="24"/>
      <c r="H53" s="24"/>
      <c r="I53" s="24"/>
      <c r="J53" s="17"/>
      <c r="N53" s="1"/>
      <c r="O53" t="s">
        <v>89</v>
      </c>
      <c r="P53" s="4">
        <v>1142</v>
      </c>
    </row>
    <row r="54" spans="1:18" x14ac:dyDescent="0.25">
      <c r="A54" s="175" t="s">
        <v>90</v>
      </c>
      <c r="B54" s="220"/>
      <c r="C54" s="221"/>
      <c r="D54" s="224">
        <f>SUM(D34:D53)</f>
        <v>36323.25</v>
      </c>
      <c r="F54" s="21"/>
      <c r="J54" s="34"/>
    </row>
    <row r="55" spans="1:18" x14ac:dyDescent="0.25">
      <c r="A55" s="177"/>
      <c r="B55" s="222"/>
      <c r="C55" s="223"/>
      <c r="D55" s="225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118</v>
      </c>
      <c r="D57" s="34"/>
      <c r="F57" s="36"/>
      <c r="G57" s="50"/>
      <c r="H57" s="50"/>
      <c r="I57" s="50"/>
      <c r="J57" s="43"/>
    </row>
    <row r="58" spans="1:18" x14ac:dyDescent="0.25">
      <c r="A58" s="226" t="s">
        <v>91</v>
      </c>
      <c r="B58" s="227"/>
      <c r="C58" s="227"/>
      <c r="D58" s="228"/>
      <c r="F58" s="226" t="s">
        <v>92</v>
      </c>
      <c r="G58" s="227"/>
      <c r="H58" s="227"/>
      <c r="I58" s="227"/>
      <c r="J58" s="228"/>
    </row>
    <row r="59" spans="1:18" x14ac:dyDescent="0.25">
      <c r="A59" s="229"/>
      <c r="B59" s="230"/>
      <c r="C59" s="230"/>
      <c r="D59" s="231"/>
      <c r="F59" s="229"/>
      <c r="G59" s="230"/>
      <c r="H59" s="230"/>
      <c r="I59" s="230"/>
      <c r="J59" s="231"/>
    </row>
  </sheetData>
  <mergeCells count="68"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  <mergeCell ref="H13:J13"/>
    <mergeCell ref="F14:G14"/>
    <mergeCell ref="H14:J14"/>
    <mergeCell ref="F15:G15"/>
    <mergeCell ref="H15:J15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A32:D32"/>
    <mergeCell ref="F32:J32"/>
    <mergeCell ref="H33:J33"/>
    <mergeCell ref="A34:A36"/>
    <mergeCell ref="H34:J34"/>
    <mergeCell ref="H35:J35"/>
    <mergeCell ref="H36:J36"/>
    <mergeCell ref="A37:A39"/>
    <mergeCell ref="H37:J37"/>
    <mergeCell ref="H38:J38"/>
    <mergeCell ref="H39:J39"/>
    <mergeCell ref="A40:A42"/>
    <mergeCell ref="H40:J40"/>
    <mergeCell ref="H41:J41"/>
    <mergeCell ref="G42:J42"/>
    <mergeCell ref="A43:A47"/>
    <mergeCell ref="H43:J43"/>
    <mergeCell ref="H44:J44"/>
    <mergeCell ref="H45:J45"/>
    <mergeCell ref="H46:J46"/>
    <mergeCell ref="H47:J47"/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2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25886AB-FAAC-40B6-BB35-F9500F94B3E5}">
  <dimension ref="A1:S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9" x14ac:dyDescent="0.25">
      <c r="A1" t="s">
        <v>0</v>
      </c>
      <c r="N1" s="113" t="s">
        <v>1</v>
      </c>
      <c r="O1" s="113"/>
      <c r="P1" s="90" t="s">
        <v>2</v>
      </c>
      <c r="Q1" s="90" t="s">
        <v>3</v>
      </c>
      <c r="R1" s="2" t="s">
        <v>4</v>
      </c>
    </row>
    <row r="2" spans="1:19" x14ac:dyDescent="0.25">
      <c r="A2" t="s">
        <v>5</v>
      </c>
      <c r="N2" s="1"/>
    </row>
    <row r="3" spans="1:19" x14ac:dyDescent="0.25">
      <c r="N3" s="1" t="s">
        <v>6</v>
      </c>
      <c r="O3" s="4"/>
    </row>
    <row r="4" spans="1:19" x14ac:dyDescent="0.25">
      <c r="A4" s="114" t="s">
        <v>7</v>
      </c>
      <c r="B4" s="115"/>
      <c r="C4" s="115"/>
      <c r="D4" s="116"/>
      <c r="F4" s="117" t="s">
        <v>8</v>
      </c>
      <c r="G4" s="119"/>
      <c r="H4" s="121" t="s">
        <v>9</v>
      </c>
      <c r="I4" s="123"/>
      <c r="J4" s="124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9" x14ac:dyDescent="0.25">
      <c r="A5" s="127" t="s">
        <v>7</v>
      </c>
      <c r="B5" s="15" t="s">
        <v>11</v>
      </c>
      <c r="C5" s="9" t="s">
        <v>12</v>
      </c>
      <c r="D5" s="25" t="s">
        <v>13</v>
      </c>
      <c r="F5" s="118"/>
      <c r="G5" s="120"/>
      <c r="H5" s="122"/>
      <c r="I5" s="125"/>
      <c r="J5" s="126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9" ht="14.45" customHeight="1" x14ac:dyDescent="0.25">
      <c r="A6" s="128"/>
      <c r="B6" s="16"/>
      <c r="C6" s="10"/>
      <c r="D6" s="13">
        <f t="shared" ref="D6:D28" si="1">C6*L6</f>
        <v>0</v>
      </c>
      <c r="F6" s="130" t="s">
        <v>16</v>
      </c>
      <c r="G6" s="132"/>
      <c r="H6" s="133"/>
      <c r="I6" s="133"/>
      <c r="J6" s="134"/>
      <c r="K6" s="8"/>
      <c r="L6" s="6">
        <f>R42</f>
        <v>737</v>
      </c>
      <c r="O6" t="s">
        <v>17</v>
      </c>
      <c r="P6" s="4">
        <v>650</v>
      </c>
      <c r="Q6" s="4"/>
      <c r="R6" s="5">
        <f t="shared" si="0"/>
        <v>650</v>
      </c>
    </row>
    <row r="7" spans="1:19" ht="14.45" customHeight="1" x14ac:dyDescent="0.25">
      <c r="A7" s="128"/>
      <c r="B7" s="16"/>
      <c r="C7" s="10"/>
      <c r="D7" s="13">
        <f t="shared" si="1"/>
        <v>0</v>
      </c>
      <c r="F7" s="131"/>
      <c r="G7" s="135"/>
      <c r="H7" s="136"/>
      <c r="I7" s="136"/>
      <c r="J7" s="137"/>
      <c r="K7" s="8"/>
      <c r="L7" s="6">
        <f>R41</f>
        <v>725</v>
      </c>
      <c r="P7" s="4"/>
      <c r="Q7" s="4"/>
      <c r="R7" s="5"/>
    </row>
    <row r="8" spans="1:19" ht="14.45" customHeight="1" x14ac:dyDescent="0.25">
      <c r="A8" s="128"/>
      <c r="B8" s="16"/>
      <c r="C8" s="10"/>
      <c r="D8" s="13">
        <f t="shared" si="1"/>
        <v>0</v>
      </c>
      <c r="F8" s="138" t="s">
        <v>21</v>
      </c>
      <c r="G8" s="140"/>
      <c r="H8" s="141"/>
      <c r="I8" s="141"/>
      <c r="J8" s="142"/>
      <c r="K8" s="8"/>
      <c r="L8" s="6">
        <f>R40</f>
        <v>1033</v>
      </c>
      <c r="P8" s="4"/>
      <c r="Q8" s="4"/>
      <c r="R8" s="5"/>
    </row>
    <row r="9" spans="1:19" ht="14.45" customHeight="1" x14ac:dyDescent="0.25">
      <c r="A9" s="128"/>
      <c r="B9" s="16"/>
      <c r="C9" s="10"/>
      <c r="D9" s="13">
        <f t="shared" si="1"/>
        <v>0</v>
      </c>
      <c r="F9" s="131"/>
      <c r="G9" s="143"/>
      <c r="H9" s="144"/>
      <c r="I9" s="144"/>
      <c r="J9" s="145"/>
      <c r="K9" s="8"/>
      <c r="L9" s="6">
        <f>R38</f>
        <v>707</v>
      </c>
      <c r="P9" s="4"/>
      <c r="Q9" s="4"/>
      <c r="R9" s="5"/>
    </row>
    <row r="10" spans="1:19" ht="14.45" customHeight="1" x14ac:dyDescent="0.25">
      <c r="A10" s="128"/>
      <c r="C10" s="10"/>
      <c r="D10" s="13">
        <f t="shared" si="1"/>
        <v>0</v>
      </c>
      <c r="F10" s="130" t="s">
        <v>26</v>
      </c>
      <c r="G10" s="146"/>
      <c r="H10" s="147"/>
      <c r="I10" s="147"/>
      <c r="J10" s="148"/>
      <c r="K10" s="8"/>
      <c r="L10" s="6">
        <f>R36</f>
        <v>972</v>
      </c>
      <c r="P10" s="4"/>
      <c r="Q10" s="4"/>
      <c r="R10" s="5"/>
    </row>
    <row r="11" spans="1:19" ht="15.75" x14ac:dyDescent="0.25">
      <c r="A11" s="128"/>
      <c r="B11" s="17"/>
      <c r="C11" s="10"/>
      <c r="D11" s="13">
        <f t="shared" si="1"/>
        <v>0</v>
      </c>
      <c r="F11" s="131"/>
      <c r="G11" s="143"/>
      <c r="H11" s="144"/>
      <c r="I11" s="144"/>
      <c r="J11" s="145"/>
      <c r="K11" s="22"/>
      <c r="L11" s="6">
        <f>R32</f>
        <v>1125</v>
      </c>
      <c r="O11" t="s">
        <v>19</v>
      </c>
      <c r="P11" s="4">
        <v>650</v>
      </c>
      <c r="Q11" s="4"/>
      <c r="R11" s="5">
        <f t="shared" si="0"/>
        <v>650</v>
      </c>
    </row>
    <row r="12" spans="1:19" ht="15.75" x14ac:dyDescent="0.25">
      <c r="A12" s="128"/>
      <c r="B12" s="17"/>
      <c r="C12" s="10"/>
      <c r="D12" s="48">
        <f t="shared" si="1"/>
        <v>0</v>
      </c>
      <c r="F12" s="149" t="s">
        <v>33</v>
      </c>
      <c r="G12" s="150"/>
      <c r="H12" s="150"/>
      <c r="I12" s="150"/>
      <c r="J12" s="151"/>
      <c r="K12" s="23"/>
      <c r="L12" s="6">
        <f>R34</f>
        <v>952</v>
      </c>
      <c r="O12" t="s">
        <v>22</v>
      </c>
      <c r="P12" s="4">
        <v>650</v>
      </c>
      <c r="Q12" s="4"/>
      <c r="R12" s="5">
        <f t="shared" si="0"/>
        <v>650</v>
      </c>
    </row>
    <row r="13" spans="1:19" ht="15.75" x14ac:dyDescent="0.25">
      <c r="A13" s="128"/>
      <c r="B13" s="17"/>
      <c r="C13" s="10"/>
      <c r="D13" s="48">
        <f t="shared" si="1"/>
        <v>0</v>
      </c>
      <c r="F13" s="152" t="s">
        <v>36</v>
      </c>
      <c r="G13" s="153"/>
      <c r="H13" s="154">
        <f>D29</f>
        <v>0</v>
      </c>
      <c r="I13" s="155"/>
      <c r="J13" s="156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9" ht="15.75" x14ac:dyDescent="0.25">
      <c r="A14" s="128"/>
      <c r="B14" s="14"/>
      <c r="C14" s="10"/>
      <c r="D14" s="31">
        <f t="shared" si="1"/>
        <v>0</v>
      </c>
      <c r="F14" s="157" t="s">
        <v>39</v>
      </c>
      <c r="G14" s="158"/>
      <c r="H14" s="159">
        <f>D54</f>
        <v>0</v>
      </c>
      <c r="I14" s="160"/>
      <c r="J14" s="161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  <c r="S14">
        <f>205+78</f>
        <v>283</v>
      </c>
    </row>
    <row r="15" spans="1:19" ht="15.75" x14ac:dyDescent="0.25">
      <c r="A15" s="128"/>
      <c r="B15" s="14"/>
      <c r="C15" s="10"/>
      <c r="D15" s="31">
        <f t="shared" si="1"/>
        <v>0</v>
      </c>
      <c r="F15" s="162" t="s">
        <v>40</v>
      </c>
      <c r="G15" s="153"/>
      <c r="H15" s="163">
        <f>H13-H14</f>
        <v>0</v>
      </c>
      <c r="I15" s="164"/>
      <c r="J15" s="165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  <c r="S15">
        <f>229+78</f>
        <v>307</v>
      </c>
    </row>
    <row r="16" spans="1:19" ht="15.75" x14ac:dyDescent="0.25">
      <c r="A16" s="128"/>
      <c r="B16" s="18"/>
      <c r="C16" s="10"/>
      <c r="D16" s="48">
        <f t="shared" si="1"/>
        <v>0</v>
      </c>
      <c r="F16" s="67" t="s">
        <v>42</v>
      </c>
      <c r="G16" s="66" t="s">
        <v>43</v>
      </c>
      <c r="H16" s="166"/>
      <c r="I16" s="166"/>
      <c r="J16" s="166"/>
      <c r="L16" s="6">
        <f>R28</f>
        <v>1567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28"/>
      <c r="C17" s="10"/>
      <c r="D17" s="48">
        <f t="shared" si="1"/>
        <v>0</v>
      </c>
      <c r="F17" s="56"/>
      <c r="G17" s="66" t="s">
        <v>45</v>
      </c>
      <c r="H17" s="139"/>
      <c r="I17" s="139"/>
      <c r="J17" s="139"/>
      <c r="L17" s="6">
        <v>1582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28"/>
      <c r="B18" s="19"/>
      <c r="C18" s="10"/>
      <c r="D18" s="48">
        <f t="shared" si="1"/>
        <v>0</v>
      </c>
      <c r="F18" s="56"/>
      <c r="G18" s="66" t="s">
        <v>47</v>
      </c>
      <c r="H18" s="139"/>
      <c r="I18" s="139"/>
      <c r="J18" s="139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28"/>
      <c r="B19" s="14"/>
      <c r="C19" s="10"/>
      <c r="D19" s="48">
        <f t="shared" si="1"/>
        <v>0</v>
      </c>
      <c r="F19" s="56"/>
      <c r="G19" s="68" t="s">
        <v>50</v>
      </c>
      <c r="H19" s="185"/>
      <c r="I19" s="185"/>
      <c r="J19" s="185"/>
      <c r="L19" s="6">
        <f>R35</f>
        <v>1102</v>
      </c>
      <c r="Q19" s="4"/>
      <c r="R19" s="5">
        <f t="shared" si="0"/>
        <v>0</v>
      </c>
    </row>
    <row r="20" spans="1:18" ht="15.75" x14ac:dyDescent="0.25">
      <c r="A20" s="128"/>
      <c r="B20" s="46"/>
      <c r="C20" s="10"/>
      <c r="D20" s="13">
        <f t="shared" si="1"/>
        <v>0</v>
      </c>
      <c r="F20" s="57"/>
      <c r="G20" s="70" t="s">
        <v>120</v>
      </c>
      <c r="H20" s="166"/>
      <c r="I20" s="166"/>
      <c r="J20" s="166"/>
      <c r="L20" s="6">
        <f>1102</f>
        <v>1102</v>
      </c>
      <c r="N20" s="1" t="s">
        <v>41</v>
      </c>
      <c r="Q20" s="4"/>
      <c r="R20" s="5">
        <f t="shared" si="0"/>
        <v>0</v>
      </c>
    </row>
    <row r="21" spans="1:18" ht="15.75" x14ac:dyDescent="0.25">
      <c r="A21" s="128"/>
      <c r="B21" s="14"/>
      <c r="C21" s="10"/>
      <c r="D21" s="48">
        <f t="shared" si="1"/>
        <v>0</v>
      </c>
      <c r="F21" s="69" t="s">
        <v>99</v>
      </c>
      <c r="G21" s="82" t="s">
        <v>98</v>
      </c>
      <c r="H21" s="186" t="s">
        <v>13</v>
      </c>
      <c r="I21" s="187"/>
      <c r="J21" s="188"/>
      <c r="L21" s="7">
        <v>650</v>
      </c>
      <c r="O21" t="s">
        <v>44</v>
      </c>
      <c r="P21" s="4">
        <v>1447</v>
      </c>
      <c r="Q21" s="4">
        <v>120</v>
      </c>
      <c r="R21" s="5">
        <f t="shared" si="0"/>
        <v>1567</v>
      </c>
    </row>
    <row r="22" spans="1:18" ht="15.75" x14ac:dyDescent="0.25">
      <c r="A22" s="128"/>
      <c r="B22" s="46"/>
      <c r="C22" s="10"/>
      <c r="D22" s="48">
        <f t="shared" si="1"/>
        <v>0</v>
      </c>
      <c r="F22" s="77"/>
      <c r="G22" s="73"/>
      <c r="H22" s="189"/>
      <c r="I22" s="189"/>
      <c r="J22" s="189"/>
      <c r="L22" s="7">
        <f>559+111</f>
        <v>670</v>
      </c>
      <c r="O22" t="s">
        <v>46</v>
      </c>
      <c r="P22" s="4">
        <v>1582</v>
      </c>
      <c r="Q22" s="4"/>
      <c r="R22" s="5">
        <f t="shared" si="0"/>
        <v>1582</v>
      </c>
    </row>
    <row r="23" spans="1:18" ht="15.75" x14ac:dyDescent="0.25">
      <c r="A23" s="128"/>
      <c r="B23" s="14"/>
      <c r="C23" s="10"/>
      <c r="D23" s="48">
        <f t="shared" si="1"/>
        <v>0</v>
      </c>
      <c r="F23" s="78"/>
      <c r="G23" s="79"/>
      <c r="H23" s="190"/>
      <c r="I23" s="191"/>
      <c r="J23" s="191"/>
      <c r="L23" s="47">
        <f>R33</f>
        <v>1175</v>
      </c>
      <c r="N23" s="1"/>
      <c r="O23" t="s">
        <v>48</v>
      </c>
      <c r="P23" s="4">
        <v>1728</v>
      </c>
      <c r="Q23" s="4"/>
      <c r="R23" s="5">
        <f t="shared" si="0"/>
        <v>1728</v>
      </c>
    </row>
    <row r="24" spans="1:18" ht="15.75" x14ac:dyDescent="0.25">
      <c r="A24" s="128"/>
      <c r="B24" s="14"/>
      <c r="C24" s="10"/>
      <c r="D24" s="48">
        <f t="shared" si="1"/>
        <v>0</v>
      </c>
      <c r="F24" s="38"/>
      <c r="G24" s="37"/>
      <c r="H24" s="190"/>
      <c r="I24" s="191"/>
      <c r="J24" s="191"/>
      <c r="L24" s="47">
        <v>1667</v>
      </c>
      <c r="N24" s="1"/>
      <c r="O24" t="s">
        <v>49</v>
      </c>
      <c r="P24" s="4">
        <v>1728</v>
      </c>
      <c r="Q24" s="4"/>
      <c r="R24" s="5">
        <f t="shared" si="0"/>
        <v>1728</v>
      </c>
    </row>
    <row r="25" spans="1:18" ht="15.75" x14ac:dyDescent="0.25">
      <c r="A25" s="128"/>
      <c r="B25" s="14"/>
      <c r="C25" s="10"/>
      <c r="D25" s="48">
        <f t="shared" si="1"/>
        <v>0</v>
      </c>
      <c r="F25" s="60" t="s">
        <v>100</v>
      </c>
      <c r="G25" s="55" t="s">
        <v>98</v>
      </c>
      <c r="H25" s="192" t="s">
        <v>13</v>
      </c>
      <c r="I25" s="193"/>
      <c r="J25" s="194"/>
      <c r="L25" s="47">
        <f>1582</f>
        <v>1582</v>
      </c>
      <c r="O25" t="s">
        <v>51</v>
      </c>
      <c r="P25" s="4">
        <v>1582</v>
      </c>
      <c r="Q25" s="4"/>
      <c r="R25" s="5">
        <f t="shared" si="0"/>
        <v>1582</v>
      </c>
    </row>
    <row r="26" spans="1:18" ht="15.75" x14ac:dyDescent="0.25">
      <c r="A26" s="128"/>
      <c r="B26" s="14"/>
      <c r="C26" s="10"/>
      <c r="D26" s="48">
        <f t="shared" si="1"/>
        <v>0</v>
      </c>
      <c r="F26" s="64"/>
      <c r="G26" s="59"/>
      <c r="H26" s="195"/>
      <c r="I26" s="196"/>
      <c r="J26" s="197"/>
      <c r="L26" s="7">
        <f>832/24+1.5</f>
        <v>36.166666666666664</v>
      </c>
      <c r="O26" t="s">
        <v>52</v>
      </c>
      <c r="P26" s="4">
        <v>1447</v>
      </c>
      <c r="Q26" s="4">
        <v>120</v>
      </c>
      <c r="R26" s="5">
        <f t="shared" si="0"/>
        <v>1567</v>
      </c>
    </row>
    <row r="27" spans="1:18" ht="14.45" customHeight="1" x14ac:dyDescent="0.25">
      <c r="A27" s="128"/>
      <c r="B27" s="14"/>
      <c r="C27" s="10"/>
      <c r="D27" s="44">
        <f t="shared" si="1"/>
        <v>0</v>
      </c>
      <c r="F27" s="25"/>
      <c r="G27" s="80"/>
      <c r="H27" s="198"/>
      <c r="I27" s="199"/>
      <c r="J27" s="200"/>
      <c r="L27" s="7">
        <v>1582</v>
      </c>
      <c r="O27" t="s">
        <v>53</v>
      </c>
      <c r="P27" s="4">
        <v>1582</v>
      </c>
      <c r="Q27" s="4"/>
      <c r="R27" s="5">
        <f t="shared" si="0"/>
        <v>1582</v>
      </c>
    </row>
    <row r="28" spans="1:18" ht="15.75" x14ac:dyDescent="0.25">
      <c r="A28" s="129"/>
      <c r="B28" s="46"/>
      <c r="C28" s="10"/>
      <c r="D28" s="48">
        <f t="shared" si="1"/>
        <v>0</v>
      </c>
      <c r="F28" s="91"/>
      <c r="G28" s="61"/>
      <c r="H28" s="201"/>
      <c r="I28" s="202"/>
      <c r="J28" s="203"/>
      <c r="L28" s="7">
        <v>785</v>
      </c>
      <c r="O28" t="s">
        <v>54</v>
      </c>
      <c r="P28" s="4">
        <v>1447</v>
      </c>
      <c r="Q28" s="4">
        <v>120</v>
      </c>
      <c r="R28" s="5">
        <f t="shared" si="0"/>
        <v>1567</v>
      </c>
    </row>
    <row r="29" spans="1:18" x14ac:dyDescent="0.25">
      <c r="A29" s="167" t="s">
        <v>36</v>
      </c>
      <c r="B29" s="168"/>
      <c r="C29" s="169"/>
      <c r="D29" s="173">
        <f>SUM(D6:D28)</f>
        <v>0</v>
      </c>
      <c r="F29" s="175" t="s">
        <v>55</v>
      </c>
      <c r="G29" s="176"/>
      <c r="H29" s="179">
        <f>H15-H16-H17-H18-H19-H20-H22-H23-H24+H26+H27</f>
        <v>0</v>
      </c>
      <c r="I29" s="180"/>
      <c r="J29" s="181"/>
      <c r="O29" t="s">
        <v>56</v>
      </c>
      <c r="P29" s="4">
        <v>1582</v>
      </c>
      <c r="Q29" s="4"/>
      <c r="R29" s="5">
        <f t="shared" si="0"/>
        <v>1582</v>
      </c>
    </row>
    <row r="30" spans="1:18" x14ac:dyDescent="0.25">
      <c r="A30" s="170"/>
      <c r="B30" s="171"/>
      <c r="C30" s="172"/>
      <c r="D30" s="174"/>
      <c r="F30" s="177"/>
      <c r="G30" s="178"/>
      <c r="H30" s="182"/>
      <c r="I30" s="183"/>
      <c r="J30" s="184"/>
      <c r="N30" s="1"/>
      <c r="Q30" s="4"/>
      <c r="R30" s="5">
        <f t="shared" si="0"/>
        <v>0</v>
      </c>
    </row>
    <row r="31" spans="1:18" x14ac:dyDescent="0.25">
      <c r="A31" s="24"/>
      <c r="B31" s="24"/>
      <c r="C31" s="24"/>
      <c r="D31" s="24"/>
      <c r="F31" s="24"/>
      <c r="G31" s="24"/>
      <c r="O31" t="s">
        <v>57</v>
      </c>
      <c r="P31" s="4">
        <v>1052</v>
      </c>
      <c r="Q31" s="4">
        <v>120</v>
      </c>
      <c r="R31" s="5">
        <f t="shared" si="0"/>
        <v>1172</v>
      </c>
    </row>
    <row r="32" spans="1:18" x14ac:dyDescent="0.25">
      <c r="A32" s="114" t="s">
        <v>58</v>
      </c>
      <c r="B32" s="115"/>
      <c r="C32" s="115"/>
      <c r="D32" s="116"/>
      <c r="F32" s="204" t="s">
        <v>59</v>
      </c>
      <c r="G32" s="205"/>
      <c r="H32" s="205"/>
      <c r="I32" s="205"/>
      <c r="J32" s="206"/>
      <c r="O32" t="s">
        <v>60</v>
      </c>
      <c r="P32" s="4">
        <v>1005</v>
      </c>
      <c r="Q32" s="4">
        <v>120</v>
      </c>
      <c r="R32" s="5">
        <f t="shared" si="0"/>
        <v>1125</v>
      </c>
    </row>
    <row r="33" spans="1:18" x14ac:dyDescent="0.25">
      <c r="A33" s="25"/>
      <c r="B33" s="25" t="s">
        <v>11</v>
      </c>
      <c r="C33" s="25" t="s">
        <v>61</v>
      </c>
      <c r="D33" s="25" t="s">
        <v>13</v>
      </c>
      <c r="F33" s="25" t="s">
        <v>62</v>
      </c>
      <c r="G33" s="92" t="s">
        <v>63</v>
      </c>
      <c r="H33" s="204" t="s">
        <v>13</v>
      </c>
      <c r="I33" s="205"/>
      <c r="J33" s="206"/>
      <c r="O33" t="s">
        <v>64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27" t="s">
        <v>65</v>
      </c>
      <c r="B34" s="26" t="s">
        <v>66</v>
      </c>
      <c r="C34" s="51"/>
      <c r="D34" s="30">
        <f>C34*120</f>
        <v>0</v>
      </c>
      <c r="F34" s="12">
        <v>1000</v>
      </c>
      <c r="G34" s="74"/>
      <c r="H34" s="207"/>
      <c r="I34" s="208"/>
      <c r="J34" s="209"/>
      <c r="O34" t="s">
        <v>67</v>
      </c>
      <c r="P34" s="4">
        <v>832</v>
      </c>
      <c r="Q34" s="4">
        <v>120</v>
      </c>
      <c r="R34" s="5">
        <f t="shared" si="0"/>
        <v>952</v>
      </c>
    </row>
    <row r="35" spans="1:18" ht="15.75" x14ac:dyDescent="0.25">
      <c r="A35" s="128"/>
      <c r="B35" s="27" t="s">
        <v>68</v>
      </c>
      <c r="C35" s="52"/>
      <c r="D35" s="30">
        <f>C35*84</f>
        <v>0</v>
      </c>
      <c r="F35" s="58">
        <v>500</v>
      </c>
      <c r="G35" s="41"/>
      <c r="H35" s="207"/>
      <c r="I35" s="208"/>
      <c r="J35" s="209"/>
      <c r="O35" t="s">
        <v>69</v>
      </c>
      <c r="P35" s="4">
        <v>1102</v>
      </c>
      <c r="Q35" s="4"/>
      <c r="R35" s="5">
        <f t="shared" si="0"/>
        <v>1102</v>
      </c>
    </row>
    <row r="36" spans="1:18" ht="15.75" x14ac:dyDescent="0.25">
      <c r="A36" s="129"/>
      <c r="B36" s="26" t="s">
        <v>70</v>
      </c>
      <c r="C36" s="10"/>
      <c r="D36" s="12">
        <f>C36*1.5</f>
        <v>0</v>
      </c>
      <c r="F36" s="12">
        <v>200</v>
      </c>
      <c r="G36" s="37"/>
      <c r="H36" s="207"/>
      <c r="I36" s="208"/>
      <c r="J36" s="209"/>
      <c r="O36" t="s">
        <v>71</v>
      </c>
      <c r="P36" s="4">
        <v>852</v>
      </c>
      <c r="Q36" s="4">
        <v>120</v>
      </c>
      <c r="R36" s="5">
        <f t="shared" si="0"/>
        <v>972</v>
      </c>
    </row>
    <row r="37" spans="1:18" ht="15.75" x14ac:dyDescent="0.25">
      <c r="A37" s="127" t="s">
        <v>72</v>
      </c>
      <c r="B37" s="28" t="s">
        <v>66</v>
      </c>
      <c r="C37" s="53"/>
      <c r="D37" s="12">
        <f>C37*111</f>
        <v>0</v>
      </c>
      <c r="F37" s="12">
        <v>100</v>
      </c>
      <c r="G37" s="39"/>
      <c r="H37" s="207"/>
      <c r="I37" s="208"/>
      <c r="J37" s="209"/>
      <c r="O37" t="s">
        <v>73</v>
      </c>
      <c r="P37" s="4">
        <v>1020</v>
      </c>
      <c r="Q37" s="4">
        <v>120</v>
      </c>
      <c r="R37" s="5">
        <f t="shared" si="0"/>
        <v>1140</v>
      </c>
    </row>
    <row r="38" spans="1:18" ht="15.75" x14ac:dyDescent="0.25">
      <c r="A38" s="128"/>
      <c r="B38" s="29" t="s">
        <v>68</v>
      </c>
      <c r="C38" s="54"/>
      <c r="D38" s="12">
        <f>C38*84</f>
        <v>0</v>
      </c>
      <c r="F38" s="30">
        <v>50</v>
      </c>
      <c r="G38" s="39"/>
      <c r="H38" s="207"/>
      <c r="I38" s="208"/>
      <c r="J38" s="209"/>
      <c r="O38" t="s">
        <v>74</v>
      </c>
      <c r="P38" s="4">
        <v>596</v>
      </c>
      <c r="Q38" s="4">
        <v>111</v>
      </c>
      <c r="R38" s="5">
        <f t="shared" si="0"/>
        <v>707</v>
      </c>
    </row>
    <row r="39" spans="1:18" ht="15.75" x14ac:dyDescent="0.25">
      <c r="A39" s="129"/>
      <c r="B39" s="29" t="s">
        <v>70</v>
      </c>
      <c r="C39" s="52"/>
      <c r="D39" s="31">
        <f>C39*4.5</f>
        <v>0</v>
      </c>
      <c r="F39" s="12">
        <v>20</v>
      </c>
      <c r="G39" s="37"/>
      <c r="H39" s="207"/>
      <c r="I39" s="208"/>
      <c r="J39" s="209"/>
      <c r="O39" t="s">
        <v>75</v>
      </c>
      <c r="P39" s="4">
        <v>1175</v>
      </c>
      <c r="Q39" s="4"/>
      <c r="R39" s="5">
        <f t="shared" si="0"/>
        <v>1175</v>
      </c>
    </row>
    <row r="40" spans="1:18" ht="15.75" x14ac:dyDescent="0.25">
      <c r="A40" s="127" t="s">
        <v>76</v>
      </c>
      <c r="B40" s="27" t="s">
        <v>66</v>
      </c>
      <c r="C40" s="63"/>
      <c r="D40" s="12">
        <f>C40*111</f>
        <v>0</v>
      </c>
      <c r="F40" s="12">
        <v>10</v>
      </c>
      <c r="G40" s="42"/>
      <c r="H40" s="207"/>
      <c r="I40" s="208"/>
      <c r="J40" s="209"/>
      <c r="O40" t="s">
        <v>77</v>
      </c>
      <c r="P40" s="4">
        <v>913</v>
      </c>
      <c r="Q40" s="4">
        <v>120</v>
      </c>
      <c r="R40" s="5">
        <f t="shared" si="0"/>
        <v>1033</v>
      </c>
    </row>
    <row r="41" spans="1:18" ht="15.75" x14ac:dyDescent="0.25">
      <c r="A41" s="128"/>
      <c r="B41" s="27" t="s">
        <v>68</v>
      </c>
      <c r="C41" s="10"/>
      <c r="D41" s="12">
        <f>C41*84</f>
        <v>0</v>
      </c>
      <c r="F41" s="12">
        <v>5</v>
      </c>
      <c r="G41" s="42"/>
      <c r="H41" s="207"/>
      <c r="I41" s="208"/>
      <c r="J41" s="209"/>
      <c r="K41" s="21"/>
      <c r="O41" t="s">
        <v>78</v>
      </c>
      <c r="P41" s="4">
        <v>614</v>
      </c>
      <c r="Q41" s="4">
        <v>111</v>
      </c>
      <c r="R41" s="5">
        <f t="shared" si="0"/>
        <v>725</v>
      </c>
    </row>
    <row r="42" spans="1:18" ht="15.75" x14ac:dyDescent="0.25">
      <c r="A42" s="129"/>
      <c r="B42" s="27" t="s">
        <v>70</v>
      </c>
      <c r="C42" s="11"/>
      <c r="D42" s="12">
        <f>C42*2.25</f>
        <v>0</v>
      </c>
      <c r="F42" s="39" t="s">
        <v>79</v>
      </c>
      <c r="G42" s="207"/>
      <c r="H42" s="208"/>
      <c r="I42" s="208"/>
      <c r="J42" s="209"/>
      <c r="K42" s="36"/>
      <c r="O42" t="s">
        <v>80</v>
      </c>
      <c r="P42" s="4">
        <v>626</v>
      </c>
      <c r="Q42" s="4">
        <v>111</v>
      </c>
      <c r="R42" s="5">
        <f t="shared" si="0"/>
        <v>737</v>
      </c>
    </row>
    <row r="43" spans="1:18" ht="15.75" x14ac:dyDescent="0.25">
      <c r="A43" s="210" t="s">
        <v>81</v>
      </c>
      <c r="C43" s="11"/>
      <c r="D43" s="12"/>
      <c r="F43" s="59" t="s">
        <v>82</v>
      </c>
      <c r="G43" s="94" t="s">
        <v>83</v>
      </c>
      <c r="H43" s="213" t="s">
        <v>13</v>
      </c>
      <c r="I43" s="214"/>
      <c r="J43" s="215"/>
      <c r="K43" s="21"/>
      <c r="P43" s="4"/>
      <c r="Q43" s="4"/>
      <c r="R43" s="5"/>
    </row>
    <row r="44" spans="1:18" ht="15.75" x14ac:dyDescent="0.25">
      <c r="A44" s="211"/>
      <c r="B44" s="27" t="s">
        <v>66</v>
      </c>
      <c r="C44" s="10"/>
      <c r="D44" s="12">
        <f>C44*120</f>
        <v>0</v>
      </c>
      <c r="F44" s="37"/>
      <c r="G44" s="76"/>
      <c r="H44" s="191"/>
      <c r="I44" s="191"/>
      <c r="J44" s="191"/>
      <c r="K44" s="21"/>
      <c r="P44" s="4"/>
      <c r="Q44" s="4"/>
      <c r="R44" s="5"/>
    </row>
    <row r="45" spans="1:18" ht="15.75" x14ac:dyDescent="0.25">
      <c r="A45" s="211"/>
      <c r="B45" s="27" t="s">
        <v>68</v>
      </c>
      <c r="C45" s="33"/>
      <c r="D45" s="12">
        <f>C45*84</f>
        <v>0</v>
      </c>
      <c r="F45" s="37"/>
      <c r="G45" s="76"/>
      <c r="H45" s="191"/>
      <c r="I45" s="191"/>
      <c r="J45" s="191"/>
      <c r="K45" s="21"/>
      <c r="P45" s="4"/>
      <c r="Q45" s="4"/>
      <c r="R45" s="5"/>
    </row>
    <row r="46" spans="1:18" ht="15.75" x14ac:dyDescent="0.25">
      <c r="A46" s="211"/>
      <c r="B46" s="49" t="s">
        <v>70</v>
      </c>
      <c r="C46" s="81"/>
      <c r="D46" s="12">
        <f>C46*1.5</f>
        <v>0</v>
      </c>
      <c r="F46" s="37"/>
      <c r="G46" s="62"/>
      <c r="H46" s="216"/>
      <c r="I46" s="216"/>
      <c r="J46" s="216"/>
      <c r="K46" s="21"/>
      <c r="P46" s="4"/>
      <c r="Q46" s="4"/>
      <c r="R46" s="5"/>
    </row>
    <row r="47" spans="1:18" ht="15.75" x14ac:dyDescent="0.25">
      <c r="A47" s="212"/>
      <c r="B47" s="27"/>
      <c r="C47" s="11"/>
      <c r="D47" s="12"/>
      <c r="F47" s="59"/>
      <c r="G47" s="59"/>
      <c r="H47" s="217"/>
      <c r="I47" s="218"/>
      <c r="J47" s="219"/>
      <c r="K47" s="21"/>
      <c r="P47" s="4"/>
      <c r="Q47" s="4"/>
      <c r="R47" s="5"/>
    </row>
    <row r="48" spans="1:18" ht="15" customHeight="1" x14ac:dyDescent="0.25">
      <c r="A48" s="210" t="s">
        <v>32</v>
      </c>
      <c r="B48" s="27" t="s">
        <v>66</v>
      </c>
      <c r="C48" s="10"/>
      <c r="D48" s="12">
        <f>C48*78</f>
        <v>0</v>
      </c>
      <c r="F48" s="59"/>
      <c r="G48" s="59"/>
      <c r="H48" s="217"/>
      <c r="I48" s="218"/>
      <c r="J48" s="219"/>
      <c r="K48" s="35"/>
      <c r="O48" t="s">
        <v>84</v>
      </c>
      <c r="P48" s="4">
        <v>1175</v>
      </c>
      <c r="Q48" s="4"/>
      <c r="R48" s="5">
        <f t="shared" si="0"/>
        <v>1175</v>
      </c>
    </row>
    <row r="49" spans="1:18" ht="15.75" x14ac:dyDescent="0.25">
      <c r="A49" s="211"/>
      <c r="B49" s="29" t="s">
        <v>68</v>
      </c>
      <c r="C49" s="33"/>
      <c r="D49" s="12">
        <f>C49*42</f>
        <v>0</v>
      </c>
      <c r="F49" s="232" t="s">
        <v>86</v>
      </c>
      <c r="G49" s="179">
        <f>H34+H35+H36+H37+H38+H39+H40+H41+G42+H44+H45+H46</f>
        <v>0</v>
      </c>
      <c r="H49" s="180"/>
      <c r="I49" s="180"/>
      <c r="J49" s="181"/>
      <c r="O49" t="s">
        <v>85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211"/>
      <c r="B50" s="32" t="s">
        <v>70</v>
      </c>
      <c r="C50" s="11"/>
      <c r="D50" s="12">
        <f>C50*1.5</f>
        <v>0</v>
      </c>
      <c r="F50" s="233"/>
      <c r="G50" s="182"/>
      <c r="H50" s="183"/>
      <c r="I50" s="183"/>
      <c r="J50" s="184"/>
      <c r="P50" s="4"/>
      <c r="Q50" s="4"/>
      <c r="R50" s="5"/>
    </row>
    <row r="51" spans="1:18" ht="15" customHeight="1" x14ac:dyDescent="0.25">
      <c r="A51" s="211"/>
      <c r="B51" s="27"/>
      <c r="C51" s="10"/>
      <c r="D51" s="31"/>
      <c r="F51" s="234" t="s">
        <v>128</v>
      </c>
      <c r="G51" s="236">
        <f>G49-H29</f>
        <v>0</v>
      </c>
      <c r="H51" s="237"/>
      <c r="I51" s="237"/>
      <c r="J51" s="238"/>
      <c r="K51" s="21"/>
      <c r="O51" t="s">
        <v>87</v>
      </c>
      <c r="P51" s="4">
        <v>703</v>
      </c>
      <c r="Q51" s="4">
        <v>120</v>
      </c>
      <c r="R51" s="5">
        <f t="shared" si="0"/>
        <v>823</v>
      </c>
    </row>
    <row r="52" spans="1:18" ht="15.75" x14ac:dyDescent="0.25">
      <c r="A52" s="211"/>
      <c r="B52" s="29"/>
      <c r="C52" s="33"/>
      <c r="D52" s="45"/>
      <c r="F52" s="235"/>
      <c r="G52" s="239"/>
      <c r="H52" s="240"/>
      <c r="I52" s="240"/>
      <c r="J52" s="241"/>
      <c r="K52" s="21"/>
      <c r="O52" t="s">
        <v>88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212"/>
      <c r="B53" s="32"/>
      <c r="C53" s="11"/>
      <c r="D53" s="12"/>
      <c r="F53" s="35"/>
      <c r="G53" s="24"/>
      <c r="H53" s="24"/>
      <c r="I53" s="24"/>
      <c r="J53" s="17"/>
      <c r="N53" s="1"/>
      <c r="O53" t="s">
        <v>89</v>
      </c>
      <c r="P53" s="4">
        <v>1142</v>
      </c>
    </row>
    <row r="54" spans="1:18" x14ac:dyDescent="0.25">
      <c r="A54" s="175" t="s">
        <v>90</v>
      </c>
      <c r="B54" s="220"/>
      <c r="C54" s="221"/>
      <c r="D54" s="224">
        <f>SUM(D34:D53)</f>
        <v>0</v>
      </c>
      <c r="F54" s="21"/>
      <c r="J54" s="34"/>
    </row>
    <row r="55" spans="1:18" x14ac:dyDescent="0.25">
      <c r="A55" s="177"/>
      <c r="B55" s="222"/>
      <c r="C55" s="223"/>
      <c r="D55" s="225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D57" s="34"/>
      <c r="F57" s="36"/>
      <c r="G57" s="50"/>
      <c r="H57" s="50"/>
      <c r="I57" s="50"/>
      <c r="J57" s="43"/>
    </row>
    <row r="58" spans="1:18" x14ac:dyDescent="0.25">
      <c r="A58" s="226" t="s">
        <v>91</v>
      </c>
      <c r="B58" s="227"/>
      <c r="C58" s="227"/>
      <c r="D58" s="228"/>
      <c r="F58" s="226" t="s">
        <v>92</v>
      </c>
      <c r="G58" s="227"/>
      <c r="H58" s="227"/>
      <c r="I58" s="227"/>
      <c r="J58" s="228"/>
    </row>
    <row r="59" spans="1:18" x14ac:dyDescent="0.25">
      <c r="A59" s="229"/>
      <c r="B59" s="230"/>
      <c r="C59" s="230"/>
      <c r="D59" s="231"/>
      <c r="F59" s="229"/>
      <c r="G59" s="230"/>
      <c r="H59" s="230"/>
      <c r="I59" s="230"/>
      <c r="J59" s="231"/>
    </row>
  </sheetData>
  <mergeCells count="68"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  <mergeCell ref="H13:J13"/>
    <mergeCell ref="F14:G14"/>
    <mergeCell ref="H14:J14"/>
    <mergeCell ref="F15:G15"/>
    <mergeCell ref="H15:J15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A32:D32"/>
    <mergeCell ref="F32:J32"/>
    <mergeCell ref="H33:J33"/>
    <mergeCell ref="A34:A36"/>
    <mergeCell ref="H34:J34"/>
    <mergeCell ref="H35:J35"/>
    <mergeCell ref="H36:J36"/>
    <mergeCell ref="A37:A39"/>
    <mergeCell ref="H37:J37"/>
    <mergeCell ref="H38:J38"/>
    <mergeCell ref="H39:J39"/>
    <mergeCell ref="A40:A42"/>
    <mergeCell ref="H40:J40"/>
    <mergeCell ref="H41:J41"/>
    <mergeCell ref="G42:J42"/>
    <mergeCell ref="A43:A47"/>
    <mergeCell ref="H43:J43"/>
    <mergeCell ref="H44:J44"/>
    <mergeCell ref="H45:J45"/>
    <mergeCell ref="H46:J46"/>
    <mergeCell ref="H47:J47"/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2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7E96E4E-8EDC-48E6-B8A2-82F6C3DA1346}">
  <dimension ref="A1:R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bestFit="1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113" t="s">
        <v>1</v>
      </c>
      <c r="O1" s="113"/>
      <c r="P1" s="90" t="s">
        <v>2</v>
      </c>
      <c r="Q1" s="90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14" t="s">
        <v>7</v>
      </c>
      <c r="B4" s="115"/>
      <c r="C4" s="115"/>
      <c r="D4" s="116"/>
      <c r="F4" s="117" t="s">
        <v>8</v>
      </c>
      <c r="G4" s="119">
        <v>1</v>
      </c>
      <c r="H4" s="121" t="s">
        <v>9</v>
      </c>
      <c r="I4" s="123">
        <v>45969</v>
      </c>
      <c r="J4" s="124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27" t="s">
        <v>7</v>
      </c>
      <c r="B5" s="15" t="s">
        <v>11</v>
      </c>
      <c r="C5" s="9" t="s">
        <v>12</v>
      </c>
      <c r="D5" s="25" t="s">
        <v>13</v>
      </c>
      <c r="F5" s="118"/>
      <c r="G5" s="120"/>
      <c r="H5" s="122"/>
      <c r="I5" s="125"/>
      <c r="J5" s="126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28"/>
      <c r="B6" s="16" t="s">
        <v>15</v>
      </c>
      <c r="C6" s="89">
        <v>593</v>
      </c>
      <c r="D6" s="13">
        <f t="shared" ref="D6:D28" si="1">C6*L6</f>
        <v>437041</v>
      </c>
      <c r="F6" s="130" t="s">
        <v>16</v>
      </c>
      <c r="G6" s="132" t="s">
        <v>129</v>
      </c>
      <c r="H6" s="133"/>
      <c r="I6" s="133"/>
      <c r="J6" s="134"/>
      <c r="K6" s="8"/>
      <c r="L6" s="6">
        <f>R42</f>
        <v>737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28"/>
      <c r="B7" s="16" t="s">
        <v>18</v>
      </c>
      <c r="C7" s="89">
        <v>5</v>
      </c>
      <c r="D7" s="13">
        <f t="shared" si="1"/>
        <v>3625</v>
      </c>
      <c r="F7" s="131"/>
      <c r="G7" s="135"/>
      <c r="H7" s="136"/>
      <c r="I7" s="136"/>
      <c r="J7" s="137"/>
      <c r="K7" s="8"/>
      <c r="L7" s="6">
        <f>R41</f>
        <v>725</v>
      </c>
      <c r="P7" s="4"/>
      <c r="Q7" s="4"/>
      <c r="R7" s="5"/>
    </row>
    <row r="8" spans="1:18" ht="14.45" customHeight="1" x14ac:dyDescent="0.25">
      <c r="A8" s="128"/>
      <c r="B8" s="16" t="s">
        <v>20</v>
      </c>
      <c r="C8" s="89"/>
      <c r="D8" s="13">
        <f t="shared" si="1"/>
        <v>0</v>
      </c>
      <c r="F8" s="138" t="s">
        <v>21</v>
      </c>
      <c r="G8" s="140" t="s">
        <v>112</v>
      </c>
      <c r="H8" s="141"/>
      <c r="I8" s="141"/>
      <c r="J8" s="142"/>
      <c r="K8" s="8"/>
      <c r="L8" s="6">
        <f>R40</f>
        <v>1033</v>
      </c>
      <c r="P8" s="4"/>
      <c r="Q8" s="4"/>
      <c r="R8" s="5"/>
    </row>
    <row r="9" spans="1:18" ht="14.45" customHeight="1" x14ac:dyDescent="0.25">
      <c r="A9" s="128"/>
      <c r="B9" s="16" t="s">
        <v>23</v>
      </c>
      <c r="C9" s="89">
        <v>42</v>
      </c>
      <c r="D9" s="13">
        <f t="shared" si="1"/>
        <v>29694</v>
      </c>
      <c r="F9" s="131"/>
      <c r="G9" s="143"/>
      <c r="H9" s="144"/>
      <c r="I9" s="144"/>
      <c r="J9" s="145"/>
      <c r="K9" s="8"/>
      <c r="L9" s="6">
        <f>R38</f>
        <v>707</v>
      </c>
      <c r="P9" s="4"/>
      <c r="Q9" s="4"/>
      <c r="R9" s="5"/>
    </row>
    <row r="10" spans="1:18" ht="14.45" customHeight="1" x14ac:dyDescent="0.25">
      <c r="A10" s="128"/>
      <c r="B10" t="s">
        <v>25</v>
      </c>
      <c r="C10" s="89"/>
      <c r="D10" s="13">
        <f t="shared" si="1"/>
        <v>0</v>
      </c>
      <c r="F10" s="130" t="s">
        <v>26</v>
      </c>
      <c r="G10" s="146" t="s">
        <v>130</v>
      </c>
      <c r="H10" s="147"/>
      <c r="I10" s="147"/>
      <c r="J10" s="148"/>
      <c r="K10" s="8"/>
      <c r="L10" s="6">
        <f>R36</f>
        <v>972</v>
      </c>
      <c r="P10" s="4"/>
      <c r="Q10" s="4"/>
      <c r="R10" s="5"/>
    </row>
    <row r="11" spans="1:18" ht="15.75" x14ac:dyDescent="0.25">
      <c r="A11" s="128"/>
      <c r="B11" s="17" t="s">
        <v>28</v>
      </c>
      <c r="C11" s="89"/>
      <c r="D11" s="13">
        <f t="shared" si="1"/>
        <v>0</v>
      </c>
      <c r="F11" s="131"/>
      <c r="G11" s="143"/>
      <c r="H11" s="144"/>
      <c r="I11" s="144"/>
      <c r="J11" s="145"/>
      <c r="K11" s="22"/>
      <c r="L11" s="6">
        <f>R32</f>
        <v>1125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28"/>
      <c r="B12" s="17" t="s">
        <v>30</v>
      </c>
      <c r="C12" s="89"/>
      <c r="D12" s="48">
        <f t="shared" si="1"/>
        <v>0</v>
      </c>
      <c r="F12" s="149" t="s">
        <v>33</v>
      </c>
      <c r="G12" s="150"/>
      <c r="H12" s="150"/>
      <c r="I12" s="150"/>
      <c r="J12" s="151"/>
      <c r="K12" s="23"/>
      <c r="L12" s="6">
        <f>R34</f>
        <v>952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28"/>
      <c r="B13" s="17" t="s">
        <v>32</v>
      </c>
      <c r="C13" s="89">
        <v>23</v>
      </c>
      <c r="D13" s="48">
        <f t="shared" si="1"/>
        <v>7061</v>
      </c>
      <c r="F13" s="152" t="s">
        <v>36</v>
      </c>
      <c r="G13" s="153"/>
      <c r="H13" s="154">
        <f>D29</f>
        <v>477597</v>
      </c>
      <c r="I13" s="155"/>
      <c r="J13" s="156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28"/>
      <c r="B14" s="14" t="s">
        <v>35</v>
      </c>
      <c r="C14" s="89">
        <v>16</v>
      </c>
      <c r="D14" s="31">
        <f t="shared" si="1"/>
        <v>176</v>
      </c>
      <c r="F14" s="157" t="s">
        <v>39</v>
      </c>
      <c r="G14" s="158"/>
      <c r="H14" s="159">
        <f>D54</f>
        <v>55938</v>
      </c>
      <c r="I14" s="160"/>
      <c r="J14" s="161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28"/>
      <c r="B15" s="14" t="s">
        <v>38</v>
      </c>
      <c r="C15" s="89"/>
      <c r="D15" s="31">
        <f t="shared" si="1"/>
        <v>0</v>
      </c>
      <c r="F15" s="162" t="s">
        <v>40</v>
      </c>
      <c r="G15" s="153"/>
      <c r="H15" s="163">
        <f>H13-H14</f>
        <v>421659</v>
      </c>
      <c r="I15" s="164"/>
      <c r="J15" s="165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28"/>
      <c r="B16" s="18" t="s">
        <v>94</v>
      </c>
      <c r="C16" s="89"/>
      <c r="D16" s="48">
        <f t="shared" si="1"/>
        <v>0</v>
      </c>
      <c r="F16" s="67" t="s">
        <v>42</v>
      </c>
      <c r="G16" s="66" t="s">
        <v>43</v>
      </c>
      <c r="H16" s="166">
        <f>4968</f>
        <v>4968</v>
      </c>
      <c r="I16" s="166"/>
      <c r="J16" s="166"/>
      <c r="L16" s="6">
        <f>R28</f>
        <v>1567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28"/>
      <c r="B17" t="s">
        <v>140</v>
      </c>
      <c r="C17" s="89"/>
      <c r="D17" s="48">
        <f t="shared" si="1"/>
        <v>0</v>
      </c>
      <c r="F17" s="56"/>
      <c r="G17" s="66" t="s">
        <v>45</v>
      </c>
      <c r="H17" s="139"/>
      <c r="I17" s="139"/>
      <c r="J17" s="139"/>
      <c r="L17" s="6">
        <f>1582</f>
        <v>1582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28"/>
      <c r="B18" s="19" t="s">
        <v>95</v>
      </c>
      <c r="C18" s="89"/>
      <c r="D18" s="48">
        <f t="shared" si="1"/>
        <v>0</v>
      </c>
      <c r="F18" s="56"/>
      <c r="G18" s="66" t="s">
        <v>47</v>
      </c>
      <c r="H18" s="139"/>
      <c r="I18" s="139"/>
      <c r="J18" s="139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28"/>
      <c r="B19" s="14" t="s">
        <v>136</v>
      </c>
      <c r="C19" s="89"/>
      <c r="D19" s="48">
        <f t="shared" si="1"/>
        <v>0</v>
      </c>
      <c r="F19" s="56"/>
      <c r="G19" s="68" t="s">
        <v>50</v>
      </c>
      <c r="H19" s="139"/>
      <c r="I19" s="139"/>
      <c r="J19" s="139"/>
      <c r="L19" s="6">
        <v>1102</v>
      </c>
      <c r="Q19" s="4"/>
      <c r="R19" s="5">
        <f t="shared" si="0"/>
        <v>0</v>
      </c>
    </row>
    <row r="20" spans="1:18" ht="15.75" x14ac:dyDescent="0.25">
      <c r="A20" s="128"/>
      <c r="B20" s="83" t="s">
        <v>125</v>
      </c>
      <c r="C20" s="89"/>
      <c r="D20" s="13">
        <f t="shared" si="1"/>
        <v>0</v>
      </c>
      <c r="F20" s="57"/>
      <c r="G20" s="70" t="s">
        <v>120</v>
      </c>
      <c r="H20" s="166"/>
      <c r="I20" s="166"/>
      <c r="J20" s="166"/>
      <c r="L20" s="6">
        <f>R39</f>
        <v>1175</v>
      </c>
      <c r="N20" s="1" t="s">
        <v>41</v>
      </c>
      <c r="Q20" s="4"/>
      <c r="R20" s="5">
        <f t="shared" si="0"/>
        <v>0</v>
      </c>
    </row>
    <row r="21" spans="1:18" ht="15.75" x14ac:dyDescent="0.25">
      <c r="A21" s="128"/>
      <c r="B21" s="14" t="s">
        <v>138</v>
      </c>
      <c r="C21" s="89"/>
      <c r="D21" s="48">
        <f t="shared" si="1"/>
        <v>0</v>
      </c>
      <c r="F21" s="69" t="s">
        <v>99</v>
      </c>
      <c r="G21" s="82" t="s">
        <v>98</v>
      </c>
      <c r="H21" s="186" t="s">
        <v>13</v>
      </c>
      <c r="I21" s="187"/>
      <c r="J21" s="188"/>
      <c r="L21" s="7">
        <v>650</v>
      </c>
      <c r="O21" t="s">
        <v>44</v>
      </c>
      <c r="P21" s="4">
        <v>1447</v>
      </c>
      <c r="Q21" s="4">
        <v>120</v>
      </c>
      <c r="R21" s="5">
        <f t="shared" si="0"/>
        <v>1567</v>
      </c>
    </row>
    <row r="22" spans="1:18" ht="15.75" x14ac:dyDescent="0.25">
      <c r="A22" s="128"/>
      <c r="B22" s="46" t="s">
        <v>127</v>
      </c>
      <c r="C22" s="89"/>
      <c r="D22" s="48">
        <f t="shared" si="1"/>
        <v>0</v>
      </c>
      <c r="F22" s="77"/>
      <c r="G22" s="73"/>
      <c r="H22" s="189"/>
      <c r="I22" s="189"/>
      <c r="J22" s="189"/>
      <c r="L22" s="7">
        <v>1582</v>
      </c>
      <c r="O22" t="s">
        <v>46</v>
      </c>
      <c r="P22" s="4">
        <v>1582</v>
      </c>
      <c r="Q22" s="4"/>
      <c r="R22" s="5">
        <f t="shared" si="0"/>
        <v>1582</v>
      </c>
    </row>
    <row r="23" spans="1:18" ht="15.75" x14ac:dyDescent="0.25">
      <c r="A23" s="128"/>
      <c r="B23" s="14" t="s">
        <v>101</v>
      </c>
      <c r="C23" s="89"/>
      <c r="D23" s="48">
        <f t="shared" si="1"/>
        <v>0</v>
      </c>
      <c r="F23" s="77"/>
      <c r="G23" s="79"/>
      <c r="H23" s="242"/>
      <c r="I23" s="243"/>
      <c r="J23" s="243"/>
      <c r="L23" s="47">
        <v>1667</v>
      </c>
      <c r="N23" s="1"/>
      <c r="O23" t="s">
        <v>48</v>
      </c>
      <c r="P23" s="4">
        <v>1728</v>
      </c>
      <c r="Q23" s="4"/>
      <c r="R23" s="5">
        <f t="shared" si="0"/>
        <v>1728</v>
      </c>
    </row>
    <row r="24" spans="1:18" ht="15.75" x14ac:dyDescent="0.25">
      <c r="A24" s="128"/>
      <c r="B24" s="14" t="s">
        <v>121</v>
      </c>
      <c r="C24" s="89"/>
      <c r="D24" s="48">
        <f t="shared" si="1"/>
        <v>0</v>
      </c>
      <c r="F24" s="77"/>
      <c r="G24" s="79"/>
      <c r="H24" s="242"/>
      <c r="I24" s="243"/>
      <c r="J24" s="243"/>
      <c r="L24" s="47">
        <f>913/24+1.5</f>
        <v>39.541666666666664</v>
      </c>
      <c r="N24" s="1"/>
      <c r="O24" t="s">
        <v>49</v>
      </c>
      <c r="P24" s="4">
        <v>1728</v>
      </c>
      <c r="Q24" s="4"/>
      <c r="R24" s="5">
        <f t="shared" si="0"/>
        <v>1728</v>
      </c>
    </row>
    <row r="25" spans="1:18" ht="15.75" x14ac:dyDescent="0.25">
      <c r="A25" s="128"/>
      <c r="B25" s="14" t="s">
        <v>141</v>
      </c>
      <c r="C25" s="89"/>
      <c r="D25" s="48">
        <f t="shared" si="1"/>
        <v>0</v>
      </c>
      <c r="F25" s="60" t="s">
        <v>100</v>
      </c>
      <c r="G25" s="55" t="s">
        <v>98</v>
      </c>
      <c r="H25" s="192" t="s">
        <v>13</v>
      </c>
      <c r="I25" s="193"/>
      <c r="J25" s="194"/>
      <c r="L25" s="47">
        <f>1052+120</f>
        <v>1172</v>
      </c>
      <c r="O25" t="s">
        <v>51</v>
      </c>
      <c r="P25" s="4">
        <v>1582</v>
      </c>
      <c r="Q25" s="4"/>
      <c r="R25" s="5">
        <f t="shared" si="0"/>
        <v>1582</v>
      </c>
    </row>
    <row r="26" spans="1:18" ht="15.75" x14ac:dyDescent="0.25">
      <c r="A26" s="128"/>
      <c r="B26" s="14" t="s">
        <v>139</v>
      </c>
      <c r="C26" s="89"/>
      <c r="D26" s="48">
        <f t="shared" si="1"/>
        <v>0</v>
      </c>
      <c r="F26" s="75"/>
      <c r="G26" s="65"/>
      <c r="H26" s="191"/>
      <c r="I26" s="191"/>
      <c r="J26" s="191"/>
      <c r="L26" s="7">
        <f>1447+120</f>
        <v>1567</v>
      </c>
      <c r="O26" t="s">
        <v>52</v>
      </c>
      <c r="P26" s="4">
        <v>1447</v>
      </c>
      <c r="Q26" s="4">
        <v>120</v>
      </c>
      <c r="R26" s="5">
        <f t="shared" si="0"/>
        <v>1567</v>
      </c>
    </row>
    <row r="27" spans="1:18" ht="14.45" customHeight="1" x14ac:dyDescent="0.25">
      <c r="A27" s="128"/>
      <c r="B27" s="14" t="s">
        <v>110</v>
      </c>
      <c r="C27" s="89"/>
      <c r="D27" s="44">
        <f t="shared" si="1"/>
        <v>0</v>
      </c>
      <c r="F27" s="71"/>
      <c r="G27" s="94"/>
      <c r="H27" s="244"/>
      <c r="I27" s="245"/>
      <c r="J27" s="245"/>
      <c r="L27" s="7">
        <v>1142</v>
      </c>
      <c r="O27" t="s">
        <v>53</v>
      </c>
      <c r="P27" s="4">
        <v>1582</v>
      </c>
      <c r="Q27" s="4"/>
      <c r="R27" s="5">
        <f t="shared" si="0"/>
        <v>1582</v>
      </c>
    </row>
    <row r="28" spans="1:18" ht="15.75" x14ac:dyDescent="0.25">
      <c r="A28" s="129"/>
      <c r="B28" s="46" t="s">
        <v>97</v>
      </c>
      <c r="C28" s="89"/>
      <c r="D28" s="48">
        <f t="shared" si="1"/>
        <v>0</v>
      </c>
      <c r="F28" s="91"/>
      <c r="G28" s="61"/>
      <c r="H28" s="201"/>
      <c r="I28" s="202"/>
      <c r="J28" s="203"/>
      <c r="L28" s="7">
        <v>785</v>
      </c>
      <c r="O28" t="s">
        <v>54</v>
      </c>
      <c r="P28" s="4">
        <v>1447</v>
      </c>
      <c r="Q28" s="4">
        <v>120</v>
      </c>
      <c r="R28" s="5">
        <f t="shared" si="0"/>
        <v>1567</v>
      </c>
    </row>
    <row r="29" spans="1:18" x14ac:dyDescent="0.25">
      <c r="A29" s="167" t="s">
        <v>36</v>
      </c>
      <c r="B29" s="168"/>
      <c r="C29" s="169"/>
      <c r="D29" s="173">
        <f>SUM(D6:D28)</f>
        <v>477597</v>
      </c>
      <c r="F29" s="175" t="s">
        <v>55</v>
      </c>
      <c r="G29" s="176"/>
      <c r="H29" s="179">
        <f>H15-H16-H17-H18-H19-H20-H22-H23-H24+H26+H27+H28</f>
        <v>416691</v>
      </c>
      <c r="I29" s="180"/>
      <c r="J29" s="181"/>
      <c r="O29" t="s">
        <v>56</v>
      </c>
      <c r="P29" s="4">
        <v>1582</v>
      </c>
      <c r="Q29" s="4"/>
      <c r="R29" s="5">
        <f t="shared" si="0"/>
        <v>1582</v>
      </c>
    </row>
    <row r="30" spans="1:18" x14ac:dyDescent="0.25">
      <c r="A30" s="170"/>
      <c r="B30" s="171"/>
      <c r="C30" s="172"/>
      <c r="D30" s="174"/>
      <c r="F30" s="177"/>
      <c r="G30" s="178"/>
      <c r="H30" s="182"/>
      <c r="I30" s="183"/>
      <c r="J30" s="184"/>
      <c r="N30" s="1"/>
      <c r="Q30" s="4"/>
      <c r="R30" s="5">
        <f t="shared" si="0"/>
        <v>0</v>
      </c>
    </row>
    <row r="31" spans="1:18" x14ac:dyDescent="0.25">
      <c r="A31" s="24"/>
      <c r="B31" s="24"/>
      <c r="C31" s="24"/>
      <c r="D31" s="24"/>
      <c r="F31" s="24"/>
      <c r="G31" s="24"/>
      <c r="O31" t="s">
        <v>57</v>
      </c>
      <c r="P31" s="4">
        <v>1052</v>
      </c>
      <c r="Q31" s="4">
        <v>120</v>
      </c>
      <c r="R31" s="5">
        <f t="shared" si="0"/>
        <v>1172</v>
      </c>
    </row>
    <row r="32" spans="1:18" x14ac:dyDescent="0.25">
      <c r="A32" s="114" t="s">
        <v>58</v>
      </c>
      <c r="B32" s="115"/>
      <c r="C32" s="115"/>
      <c r="D32" s="116"/>
      <c r="F32" s="204" t="s">
        <v>59</v>
      </c>
      <c r="G32" s="205"/>
      <c r="H32" s="205"/>
      <c r="I32" s="205"/>
      <c r="J32" s="206"/>
      <c r="O32" t="s">
        <v>60</v>
      </c>
      <c r="P32" s="4">
        <v>1005</v>
      </c>
      <c r="Q32" s="4">
        <v>120</v>
      </c>
      <c r="R32" s="5">
        <f t="shared" si="0"/>
        <v>1125</v>
      </c>
    </row>
    <row r="33" spans="1:18" x14ac:dyDescent="0.25">
      <c r="A33" s="25"/>
      <c r="B33" s="25" t="s">
        <v>11</v>
      </c>
      <c r="C33" s="25" t="s">
        <v>61</v>
      </c>
      <c r="D33" s="25" t="s">
        <v>13</v>
      </c>
      <c r="F33" s="25" t="s">
        <v>62</v>
      </c>
      <c r="G33" s="92" t="s">
        <v>63</v>
      </c>
      <c r="H33" s="204" t="s">
        <v>13</v>
      </c>
      <c r="I33" s="205"/>
      <c r="J33" s="206"/>
      <c r="O33" t="s">
        <v>64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27" t="s">
        <v>65</v>
      </c>
      <c r="B34" s="26" t="s">
        <v>66</v>
      </c>
      <c r="C34" s="51"/>
      <c r="D34" s="30">
        <f>C34*120</f>
        <v>0</v>
      </c>
      <c r="F34" s="12">
        <v>1000</v>
      </c>
      <c r="G34" s="40">
        <v>206</v>
      </c>
      <c r="H34" s="207">
        <f t="shared" ref="H34:H39" si="2">F34*G34</f>
        <v>206000</v>
      </c>
      <c r="I34" s="208"/>
      <c r="J34" s="209"/>
      <c r="O34" t="s">
        <v>67</v>
      </c>
      <c r="P34" s="4">
        <v>832</v>
      </c>
      <c r="Q34" s="4">
        <v>120</v>
      </c>
      <c r="R34" s="5">
        <f t="shared" si="0"/>
        <v>952</v>
      </c>
    </row>
    <row r="35" spans="1:18" ht="15.75" x14ac:dyDescent="0.25">
      <c r="A35" s="128"/>
      <c r="B35" s="27" t="s">
        <v>68</v>
      </c>
      <c r="C35" s="52"/>
      <c r="D35" s="30">
        <f>C35*84</f>
        <v>0</v>
      </c>
      <c r="F35" s="58">
        <v>500</v>
      </c>
      <c r="G35" s="41">
        <v>298</v>
      </c>
      <c r="H35" s="207">
        <f t="shared" si="2"/>
        <v>149000</v>
      </c>
      <c r="I35" s="208"/>
      <c r="J35" s="209"/>
      <c r="O35" t="s">
        <v>69</v>
      </c>
      <c r="P35" s="4">
        <v>1102</v>
      </c>
      <c r="Q35" s="4"/>
      <c r="R35" s="5">
        <f t="shared" si="0"/>
        <v>1102</v>
      </c>
    </row>
    <row r="36" spans="1:18" ht="15.75" x14ac:dyDescent="0.25">
      <c r="A36" s="129"/>
      <c r="B36" s="26" t="s">
        <v>70</v>
      </c>
      <c r="C36" s="10"/>
      <c r="D36" s="12">
        <f>C36*1.5</f>
        <v>0</v>
      </c>
      <c r="F36" s="12">
        <v>200</v>
      </c>
      <c r="G36" s="37"/>
      <c r="H36" s="207">
        <f t="shared" si="2"/>
        <v>0</v>
      </c>
      <c r="I36" s="208"/>
      <c r="J36" s="209"/>
      <c r="O36" t="s">
        <v>71</v>
      </c>
      <c r="P36" s="4">
        <v>852</v>
      </c>
      <c r="Q36" s="4">
        <v>120</v>
      </c>
      <c r="R36" s="5">
        <f t="shared" si="0"/>
        <v>972</v>
      </c>
    </row>
    <row r="37" spans="1:18" ht="15.75" x14ac:dyDescent="0.25">
      <c r="A37" s="127" t="s">
        <v>72</v>
      </c>
      <c r="B37" s="28" t="s">
        <v>66</v>
      </c>
      <c r="C37" s="53">
        <v>490</v>
      </c>
      <c r="D37" s="12">
        <f>C37*111</f>
        <v>54390</v>
      </c>
      <c r="F37" s="12">
        <v>100</v>
      </c>
      <c r="G37" s="39">
        <v>3</v>
      </c>
      <c r="H37" s="207">
        <f t="shared" si="2"/>
        <v>300</v>
      </c>
      <c r="I37" s="208"/>
      <c r="J37" s="209"/>
      <c r="O37" t="s">
        <v>73</v>
      </c>
      <c r="P37" s="4">
        <v>1020</v>
      </c>
      <c r="Q37" s="4">
        <v>120</v>
      </c>
      <c r="R37" s="5">
        <f t="shared" si="0"/>
        <v>1140</v>
      </c>
    </row>
    <row r="38" spans="1:18" ht="15.75" x14ac:dyDescent="0.25">
      <c r="A38" s="128"/>
      <c r="B38" s="29" t="s">
        <v>68</v>
      </c>
      <c r="C38" s="54">
        <v>8</v>
      </c>
      <c r="D38" s="12">
        <f>C38*84</f>
        <v>672</v>
      </c>
      <c r="F38" s="30">
        <v>50</v>
      </c>
      <c r="G38" s="39">
        <v>1</v>
      </c>
      <c r="H38" s="207">
        <f t="shared" si="2"/>
        <v>50</v>
      </c>
      <c r="I38" s="208"/>
      <c r="J38" s="209"/>
      <c r="O38" t="s">
        <v>74</v>
      </c>
      <c r="P38" s="4">
        <v>596</v>
      </c>
      <c r="Q38" s="4">
        <v>111</v>
      </c>
      <c r="R38" s="5">
        <f t="shared" si="0"/>
        <v>707</v>
      </c>
    </row>
    <row r="39" spans="1:18" ht="15.75" x14ac:dyDescent="0.25">
      <c r="A39" s="129"/>
      <c r="B39" s="29" t="s">
        <v>70</v>
      </c>
      <c r="C39" s="52"/>
      <c r="D39" s="31">
        <f>C39*4.5</f>
        <v>0</v>
      </c>
      <c r="F39" s="12">
        <v>20</v>
      </c>
      <c r="G39" s="37"/>
      <c r="H39" s="207">
        <f t="shared" si="2"/>
        <v>0</v>
      </c>
      <c r="I39" s="208"/>
      <c r="J39" s="209"/>
      <c r="O39" t="s">
        <v>75</v>
      </c>
      <c r="P39" s="4">
        <v>1175</v>
      </c>
      <c r="Q39" s="4"/>
      <c r="R39" s="5">
        <f t="shared" si="0"/>
        <v>1175</v>
      </c>
    </row>
    <row r="40" spans="1:18" ht="15.75" x14ac:dyDescent="0.25">
      <c r="A40" s="127" t="s">
        <v>76</v>
      </c>
      <c r="B40" s="27" t="s">
        <v>66</v>
      </c>
      <c r="C40" s="63">
        <v>3</v>
      </c>
      <c r="D40" s="12">
        <f>C40*111</f>
        <v>333</v>
      </c>
      <c r="F40" s="12">
        <v>10</v>
      </c>
      <c r="G40" s="42"/>
      <c r="H40" s="207"/>
      <c r="I40" s="208"/>
      <c r="J40" s="209"/>
      <c r="O40" t="s">
        <v>77</v>
      </c>
      <c r="P40" s="4">
        <v>913</v>
      </c>
      <c r="Q40" s="4">
        <v>120</v>
      </c>
      <c r="R40" s="5">
        <f t="shared" si="0"/>
        <v>1033</v>
      </c>
    </row>
    <row r="41" spans="1:18" ht="15.75" x14ac:dyDescent="0.25">
      <c r="A41" s="128"/>
      <c r="B41" s="27" t="s">
        <v>68</v>
      </c>
      <c r="C41" s="10"/>
      <c r="D41" s="12">
        <f>C41*84</f>
        <v>0</v>
      </c>
      <c r="F41" s="12">
        <v>5</v>
      </c>
      <c r="G41" s="42"/>
      <c r="H41" s="207"/>
      <c r="I41" s="208"/>
      <c r="J41" s="209"/>
      <c r="K41" s="21"/>
      <c r="O41" t="s">
        <v>78</v>
      </c>
      <c r="P41" s="4">
        <v>614</v>
      </c>
      <c r="Q41" s="4">
        <v>111</v>
      </c>
      <c r="R41" s="5">
        <f t="shared" si="0"/>
        <v>725</v>
      </c>
    </row>
    <row r="42" spans="1:18" ht="15.75" x14ac:dyDescent="0.25">
      <c r="A42" s="129"/>
      <c r="B42" s="27" t="s">
        <v>70</v>
      </c>
      <c r="C42" s="11"/>
      <c r="D42" s="12">
        <f>C42*2.25</f>
        <v>0</v>
      </c>
      <c r="F42" s="39" t="s">
        <v>79</v>
      </c>
      <c r="G42" s="207">
        <v>83</v>
      </c>
      <c r="H42" s="208"/>
      <c r="I42" s="208"/>
      <c r="J42" s="209"/>
      <c r="K42" s="36"/>
      <c r="O42" t="s">
        <v>80</v>
      </c>
      <c r="P42" s="4">
        <v>626</v>
      </c>
      <c r="Q42" s="4">
        <v>111</v>
      </c>
      <c r="R42" s="5">
        <f t="shared" si="0"/>
        <v>737</v>
      </c>
    </row>
    <row r="43" spans="1:18" ht="15.75" x14ac:dyDescent="0.25">
      <c r="A43" s="210" t="s">
        <v>81</v>
      </c>
      <c r="C43" s="11"/>
      <c r="D43" s="12"/>
      <c r="F43" s="59" t="s">
        <v>82</v>
      </c>
      <c r="G43" s="94" t="s">
        <v>83</v>
      </c>
      <c r="H43" s="213" t="s">
        <v>13</v>
      </c>
      <c r="I43" s="214"/>
      <c r="J43" s="215"/>
      <c r="K43" s="21"/>
      <c r="O43" t="s">
        <v>103</v>
      </c>
      <c r="P43" s="4">
        <v>1667</v>
      </c>
      <c r="Q43" s="4"/>
      <c r="R43" s="5"/>
    </row>
    <row r="44" spans="1:18" ht="15.75" x14ac:dyDescent="0.25">
      <c r="A44" s="211"/>
      <c r="B44" s="27" t="s">
        <v>66</v>
      </c>
      <c r="C44" s="10"/>
      <c r="D44" s="12">
        <f>C44*120</f>
        <v>0</v>
      </c>
      <c r="F44" s="37" t="s">
        <v>163</v>
      </c>
      <c r="G44" s="62" t="s">
        <v>164</v>
      </c>
      <c r="H44" s="191">
        <v>61244</v>
      </c>
      <c r="I44" s="191"/>
      <c r="J44" s="191"/>
      <c r="K44" s="21"/>
      <c r="O44" t="s">
        <v>106</v>
      </c>
      <c r="P44" s="4">
        <f>785-120</f>
        <v>665</v>
      </c>
      <c r="Q44" s="4">
        <v>120</v>
      </c>
      <c r="R44" s="5">
        <f>Q44+P44</f>
        <v>785</v>
      </c>
    </row>
    <row r="45" spans="1:18" ht="15.75" x14ac:dyDescent="0.25">
      <c r="A45" s="211"/>
      <c r="B45" s="27" t="s">
        <v>68</v>
      </c>
      <c r="C45" s="33"/>
      <c r="D45" s="12">
        <f>C45*84</f>
        <v>0</v>
      </c>
      <c r="F45" s="37"/>
      <c r="G45" s="62"/>
      <c r="H45" s="191"/>
      <c r="I45" s="191"/>
      <c r="J45" s="191"/>
      <c r="K45" s="21"/>
      <c r="P45" s="4"/>
      <c r="Q45" s="4"/>
      <c r="R45" s="5"/>
    </row>
    <row r="46" spans="1:18" ht="15.75" x14ac:dyDescent="0.25">
      <c r="A46" s="211"/>
      <c r="B46" s="49" t="s">
        <v>70</v>
      </c>
      <c r="C46" s="81">
        <v>7</v>
      </c>
      <c r="D46" s="12">
        <f>C46*1.5</f>
        <v>10.5</v>
      </c>
      <c r="F46" s="37"/>
      <c r="G46" s="62"/>
      <c r="H46" s="191"/>
      <c r="I46" s="191"/>
      <c r="J46" s="191"/>
      <c r="K46" s="21"/>
      <c r="P46" s="4"/>
      <c r="Q46" s="4"/>
      <c r="R46" s="5"/>
    </row>
    <row r="47" spans="1:18" ht="15.75" x14ac:dyDescent="0.25">
      <c r="A47" s="212"/>
      <c r="B47" s="27"/>
      <c r="C47" s="11"/>
      <c r="D47" s="12"/>
      <c r="F47" s="59"/>
      <c r="G47" s="59"/>
      <c r="H47" s="217"/>
      <c r="I47" s="218"/>
      <c r="J47" s="219"/>
      <c r="K47" s="21"/>
      <c r="P47" s="4"/>
      <c r="Q47" s="4"/>
      <c r="R47" s="5"/>
    </row>
    <row r="48" spans="1:18" ht="15" customHeight="1" x14ac:dyDescent="0.25">
      <c r="A48" s="210" t="s">
        <v>32</v>
      </c>
      <c r="B48" s="27" t="s">
        <v>66</v>
      </c>
      <c r="C48" s="10">
        <v>3</v>
      </c>
      <c r="D48" s="12">
        <f>C48*78</f>
        <v>234</v>
      </c>
      <c r="F48" s="59"/>
      <c r="G48" s="59"/>
      <c r="H48" s="217"/>
      <c r="I48" s="218"/>
      <c r="J48" s="219"/>
      <c r="K48" s="35"/>
      <c r="O48" t="s">
        <v>84</v>
      </c>
      <c r="P48" s="4">
        <v>1175</v>
      </c>
      <c r="Q48" s="4"/>
      <c r="R48" s="5">
        <f t="shared" si="0"/>
        <v>1175</v>
      </c>
    </row>
    <row r="49" spans="1:18" ht="15.75" x14ac:dyDescent="0.25">
      <c r="A49" s="211"/>
      <c r="B49" s="29" t="s">
        <v>68</v>
      </c>
      <c r="C49" s="33">
        <v>7</v>
      </c>
      <c r="D49" s="12">
        <f>C49*42</f>
        <v>294</v>
      </c>
      <c r="F49" s="232" t="s">
        <v>86</v>
      </c>
      <c r="G49" s="179">
        <f>H34+H35+H36+H37+H38+H39+H40+H41+G42+H44+H45+H46</f>
        <v>416677</v>
      </c>
      <c r="H49" s="180"/>
      <c r="I49" s="180"/>
      <c r="J49" s="181"/>
      <c r="O49" t="s">
        <v>85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211"/>
      <c r="B50" s="32" t="s">
        <v>70</v>
      </c>
      <c r="C50" s="11">
        <v>3</v>
      </c>
      <c r="D50" s="12">
        <f>C50*1.5</f>
        <v>4.5</v>
      </c>
      <c r="F50" s="233"/>
      <c r="G50" s="182"/>
      <c r="H50" s="183"/>
      <c r="I50" s="183"/>
      <c r="J50" s="184"/>
      <c r="P50" s="4"/>
      <c r="Q50" s="4"/>
      <c r="R50" s="5"/>
    </row>
    <row r="51" spans="1:18" ht="15" customHeight="1" x14ac:dyDescent="0.25">
      <c r="A51" s="211"/>
      <c r="B51" s="27"/>
      <c r="C51" s="10"/>
      <c r="D51" s="31"/>
      <c r="F51" s="234" t="s">
        <v>131</v>
      </c>
      <c r="G51" s="247">
        <f>G49-H29</f>
        <v>-14</v>
      </c>
      <c r="H51" s="248"/>
      <c r="I51" s="248"/>
      <c r="J51" s="249"/>
      <c r="K51" s="21"/>
      <c r="O51" t="s">
        <v>87</v>
      </c>
      <c r="P51" s="4">
        <v>703</v>
      </c>
      <c r="Q51" s="4">
        <v>120</v>
      </c>
      <c r="R51" s="5">
        <f t="shared" si="0"/>
        <v>823</v>
      </c>
    </row>
    <row r="52" spans="1:18" ht="15.75" x14ac:dyDescent="0.25">
      <c r="A52" s="211"/>
      <c r="B52" s="29"/>
      <c r="C52" s="33"/>
      <c r="D52" s="45"/>
      <c r="F52" s="235"/>
      <c r="G52" s="250"/>
      <c r="H52" s="251"/>
      <c r="I52" s="251"/>
      <c r="J52" s="252"/>
      <c r="K52" s="21"/>
      <c r="O52" t="s">
        <v>88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212"/>
      <c r="B53" s="32"/>
      <c r="C53" s="11"/>
      <c r="D53" s="12"/>
      <c r="F53" s="35"/>
      <c r="G53" s="24"/>
      <c r="H53" s="24"/>
      <c r="I53" s="24"/>
      <c r="J53" s="17"/>
      <c r="N53" s="1"/>
      <c r="O53" t="s">
        <v>89</v>
      </c>
      <c r="P53" s="4">
        <v>1142</v>
      </c>
    </row>
    <row r="54" spans="1:18" x14ac:dyDescent="0.25">
      <c r="A54" s="175" t="s">
        <v>90</v>
      </c>
      <c r="B54" s="220"/>
      <c r="C54" s="221"/>
      <c r="D54" s="224">
        <f>SUM(D34:D53)</f>
        <v>55938</v>
      </c>
      <c r="F54" s="21"/>
      <c r="J54" s="34"/>
      <c r="O54" t="s">
        <v>102</v>
      </c>
      <c r="P54" s="4">
        <v>1582</v>
      </c>
      <c r="R54" s="3">
        <v>1582</v>
      </c>
    </row>
    <row r="55" spans="1:18" x14ac:dyDescent="0.25">
      <c r="A55" s="177"/>
      <c r="B55" s="222"/>
      <c r="C55" s="223"/>
      <c r="D55" s="225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133</v>
      </c>
      <c r="D57" s="34"/>
      <c r="F57" s="36"/>
      <c r="G57" s="50"/>
      <c r="H57" s="50"/>
      <c r="I57" s="50"/>
      <c r="J57" s="43"/>
    </row>
    <row r="58" spans="1:18" x14ac:dyDescent="0.25">
      <c r="A58" s="226" t="s">
        <v>91</v>
      </c>
      <c r="B58" s="227"/>
      <c r="C58" s="227"/>
      <c r="D58" s="228"/>
      <c r="F58" s="226" t="s">
        <v>92</v>
      </c>
      <c r="G58" s="227"/>
      <c r="H58" s="227"/>
      <c r="I58" s="227"/>
      <c r="J58" s="228"/>
    </row>
    <row r="59" spans="1:18" x14ac:dyDescent="0.25">
      <c r="A59" s="229"/>
      <c r="B59" s="230"/>
      <c r="C59" s="230"/>
      <c r="D59" s="231"/>
      <c r="F59" s="229"/>
      <c r="G59" s="230"/>
      <c r="H59" s="230"/>
      <c r="I59" s="230"/>
      <c r="J59" s="231"/>
    </row>
  </sheetData>
  <mergeCells count="68"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  <mergeCell ref="H13:J13"/>
    <mergeCell ref="F14:G14"/>
    <mergeCell ref="H14:J14"/>
    <mergeCell ref="F15:G15"/>
    <mergeCell ref="H15:J15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A32:D32"/>
    <mergeCell ref="F32:J32"/>
    <mergeCell ref="H33:J33"/>
    <mergeCell ref="A34:A36"/>
    <mergeCell ref="H34:J34"/>
    <mergeCell ref="H35:J35"/>
    <mergeCell ref="H36:J36"/>
    <mergeCell ref="A37:A39"/>
    <mergeCell ref="H37:J37"/>
    <mergeCell ref="H38:J38"/>
    <mergeCell ref="H39:J39"/>
    <mergeCell ref="A40:A42"/>
    <mergeCell ref="H40:J40"/>
    <mergeCell ref="H41:J41"/>
    <mergeCell ref="G42:J42"/>
    <mergeCell ref="A43:A47"/>
    <mergeCell ref="H43:J43"/>
    <mergeCell ref="H44:J44"/>
    <mergeCell ref="H45:J45"/>
    <mergeCell ref="H46:J46"/>
    <mergeCell ref="H47:J47"/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2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D8B918F-B58D-4864-A538-7044B97DFB75}">
  <dimension ref="A1:R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113" t="s">
        <v>1</v>
      </c>
      <c r="O1" s="113"/>
      <c r="P1" s="90" t="s">
        <v>2</v>
      </c>
      <c r="Q1" s="90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14" t="s">
        <v>7</v>
      </c>
      <c r="B4" s="115"/>
      <c r="C4" s="115"/>
      <c r="D4" s="116"/>
      <c r="F4" s="117" t="s">
        <v>8</v>
      </c>
      <c r="G4" s="119">
        <v>2</v>
      </c>
      <c r="H4" s="121" t="s">
        <v>9</v>
      </c>
      <c r="I4" s="123">
        <v>45969</v>
      </c>
      <c r="J4" s="124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27" t="s">
        <v>7</v>
      </c>
      <c r="B5" s="15" t="s">
        <v>11</v>
      </c>
      <c r="C5" s="9" t="s">
        <v>12</v>
      </c>
      <c r="D5" s="25" t="s">
        <v>13</v>
      </c>
      <c r="F5" s="118"/>
      <c r="G5" s="120"/>
      <c r="H5" s="122"/>
      <c r="I5" s="125"/>
      <c r="J5" s="126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28"/>
      <c r="B6" s="16" t="s">
        <v>15</v>
      </c>
      <c r="C6" s="10">
        <v>119</v>
      </c>
      <c r="D6" s="13">
        <f t="shared" ref="D6:D28" si="1">C6*L6</f>
        <v>87703</v>
      </c>
      <c r="F6" s="130" t="s">
        <v>16</v>
      </c>
      <c r="G6" s="132" t="s">
        <v>150</v>
      </c>
      <c r="H6" s="133"/>
      <c r="I6" s="133"/>
      <c r="J6" s="134"/>
      <c r="K6" s="8"/>
      <c r="L6" s="6">
        <f>R42</f>
        <v>737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28"/>
      <c r="B7" s="16" t="s">
        <v>18</v>
      </c>
      <c r="C7" s="10">
        <v>8</v>
      </c>
      <c r="D7" s="13">
        <f t="shared" si="1"/>
        <v>5800</v>
      </c>
      <c r="F7" s="131"/>
      <c r="G7" s="135"/>
      <c r="H7" s="136"/>
      <c r="I7" s="136"/>
      <c r="J7" s="137"/>
      <c r="K7" s="8"/>
      <c r="L7" s="6">
        <f>R41</f>
        <v>725</v>
      </c>
      <c r="P7" s="4"/>
      <c r="Q7" s="4"/>
      <c r="R7" s="5"/>
    </row>
    <row r="8" spans="1:18" ht="14.45" customHeight="1" x14ac:dyDescent="0.25">
      <c r="A8" s="128"/>
      <c r="B8" s="16" t="s">
        <v>20</v>
      </c>
      <c r="C8" s="10"/>
      <c r="D8" s="13">
        <f t="shared" si="1"/>
        <v>0</v>
      </c>
      <c r="F8" s="138" t="s">
        <v>21</v>
      </c>
      <c r="G8" s="140" t="s">
        <v>114</v>
      </c>
      <c r="H8" s="141"/>
      <c r="I8" s="141"/>
      <c r="J8" s="142"/>
      <c r="K8" s="8"/>
      <c r="L8" s="6">
        <f>R40</f>
        <v>1033</v>
      </c>
      <c r="P8" s="4"/>
      <c r="Q8" s="4"/>
      <c r="R8" s="5"/>
    </row>
    <row r="9" spans="1:18" ht="14.45" customHeight="1" x14ac:dyDescent="0.25">
      <c r="A9" s="128"/>
      <c r="B9" s="16" t="s">
        <v>23</v>
      </c>
      <c r="C9" s="10">
        <v>17</v>
      </c>
      <c r="D9" s="13">
        <f t="shared" si="1"/>
        <v>12019</v>
      </c>
      <c r="F9" s="131"/>
      <c r="G9" s="143"/>
      <c r="H9" s="144"/>
      <c r="I9" s="144"/>
      <c r="J9" s="145"/>
      <c r="K9" s="8"/>
      <c r="L9" s="6">
        <f>R38</f>
        <v>707</v>
      </c>
      <c r="P9" s="4"/>
      <c r="Q9" s="4"/>
      <c r="R9" s="5"/>
    </row>
    <row r="10" spans="1:18" ht="14.45" customHeight="1" x14ac:dyDescent="0.25">
      <c r="A10" s="128"/>
      <c r="B10" t="s">
        <v>25</v>
      </c>
      <c r="C10" s="10"/>
      <c r="D10" s="13">
        <f t="shared" si="1"/>
        <v>0</v>
      </c>
      <c r="F10" s="130" t="s">
        <v>26</v>
      </c>
      <c r="G10" s="146" t="s">
        <v>115</v>
      </c>
      <c r="H10" s="147"/>
      <c r="I10" s="147"/>
      <c r="J10" s="148"/>
      <c r="K10" s="8"/>
      <c r="L10" s="6">
        <f>R36</f>
        <v>972</v>
      </c>
      <c r="P10" s="4"/>
      <c r="Q10" s="4"/>
      <c r="R10" s="5"/>
    </row>
    <row r="11" spans="1:18" ht="15.75" x14ac:dyDescent="0.25">
      <c r="A11" s="128"/>
      <c r="B11" s="17" t="s">
        <v>28</v>
      </c>
      <c r="C11" s="10"/>
      <c r="D11" s="13">
        <f t="shared" si="1"/>
        <v>0</v>
      </c>
      <c r="F11" s="131"/>
      <c r="G11" s="143"/>
      <c r="H11" s="144"/>
      <c r="I11" s="144"/>
      <c r="J11" s="145"/>
      <c r="K11" s="22"/>
      <c r="L11" s="6">
        <f>R32</f>
        <v>1125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28"/>
      <c r="B12" s="17" t="s">
        <v>30</v>
      </c>
      <c r="C12" s="10">
        <v>2</v>
      </c>
      <c r="D12" s="48">
        <f t="shared" si="1"/>
        <v>1904</v>
      </c>
      <c r="F12" s="149" t="s">
        <v>33</v>
      </c>
      <c r="G12" s="150"/>
      <c r="H12" s="150"/>
      <c r="I12" s="150"/>
      <c r="J12" s="151"/>
      <c r="K12" s="23"/>
      <c r="L12" s="6">
        <f>R34</f>
        <v>952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28"/>
      <c r="B13" s="17" t="s">
        <v>32</v>
      </c>
      <c r="C13" s="10">
        <v>4</v>
      </c>
      <c r="D13" s="48">
        <f t="shared" si="1"/>
        <v>1228</v>
      </c>
      <c r="F13" s="152" t="s">
        <v>36</v>
      </c>
      <c r="G13" s="153"/>
      <c r="H13" s="154">
        <f>D29</f>
        <v>109447</v>
      </c>
      <c r="I13" s="155"/>
      <c r="J13" s="156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28"/>
      <c r="B14" s="14" t="s">
        <v>35</v>
      </c>
      <c r="C14" s="10">
        <v>13</v>
      </c>
      <c r="D14" s="31">
        <f t="shared" si="1"/>
        <v>143</v>
      </c>
      <c r="F14" s="157" t="s">
        <v>39</v>
      </c>
      <c r="G14" s="158"/>
      <c r="H14" s="159">
        <f>D54</f>
        <v>16447.5</v>
      </c>
      <c r="I14" s="160"/>
      <c r="J14" s="161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28"/>
      <c r="B15" s="14" t="s">
        <v>38</v>
      </c>
      <c r="C15" s="10"/>
      <c r="D15" s="31">
        <f t="shared" si="1"/>
        <v>0</v>
      </c>
      <c r="F15" s="162" t="s">
        <v>40</v>
      </c>
      <c r="G15" s="153"/>
      <c r="H15" s="163">
        <f>H13-H14</f>
        <v>92999.5</v>
      </c>
      <c r="I15" s="164"/>
      <c r="J15" s="165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28"/>
      <c r="B16" s="18" t="s">
        <v>94</v>
      </c>
      <c r="C16" s="10"/>
      <c r="D16" s="48">
        <f t="shared" si="1"/>
        <v>0</v>
      </c>
      <c r="F16" s="67" t="s">
        <v>42</v>
      </c>
      <c r="G16" s="66" t="s">
        <v>43</v>
      </c>
      <c r="H16" s="166"/>
      <c r="I16" s="166"/>
      <c r="J16" s="166"/>
      <c r="L16" s="6">
        <f>R28</f>
        <v>1567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28"/>
      <c r="B17" t="s">
        <v>93</v>
      </c>
      <c r="C17" s="10"/>
      <c r="D17" s="48">
        <f t="shared" si="1"/>
        <v>0</v>
      </c>
      <c r="F17" s="56"/>
      <c r="G17" s="66" t="s">
        <v>45</v>
      </c>
      <c r="H17" s="139"/>
      <c r="I17" s="139"/>
      <c r="J17" s="139"/>
      <c r="L17" s="6">
        <f>R21</f>
        <v>1567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28"/>
      <c r="B18" s="19" t="s">
        <v>95</v>
      </c>
      <c r="C18" s="10"/>
      <c r="D18" s="48">
        <f t="shared" si="1"/>
        <v>0</v>
      </c>
      <c r="F18" s="56"/>
      <c r="G18" s="66" t="s">
        <v>47</v>
      </c>
      <c r="H18" s="139"/>
      <c r="I18" s="139"/>
      <c r="J18" s="139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28"/>
      <c r="B19" s="14" t="s">
        <v>96</v>
      </c>
      <c r="C19" s="10"/>
      <c r="D19" s="48">
        <f t="shared" si="1"/>
        <v>0</v>
      </c>
      <c r="F19" s="56"/>
      <c r="G19" s="68" t="s">
        <v>50</v>
      </c>
      <c r="H19" s="246"/>
      <c r="I19" s="246"/>
      <c r="J19" s="246"/>
      <c r="L19" s="6">
        <f>R35</f>
        <v>1102</v>
      </c>
      <c r="Q19" s="4"/>
      <c r="R19" s="5">
        <f t="shared" si="0"/>
        <v>0</v>
      </c>
    </row>
    <row r="20" spans="1:18" ht="15.75" x14ac:dyDescent="0.25">
      <c r="A20" s="128"/>
      <c r="B20" s="46" t="s">
        <v>122</v>
      </c>
      <c r="C20" s="10"/>
      <c r="D20" s="13">
        <f t="shared" si="1"/>
        <v>0</v>
      </c>
      <c r="F20" s="57"/>
      <c r="G20" s="70" t="s">
        <v>120</v>
      </c>
      <c r="H20" s="139"/>
      <c r="I20" s="139"/>
      <c r="J20" s="139"/>
      <c r="L20" s="6">
        <f>R39</f>
        <v>1175</v>
      </c>
      <c r="N20" s="1" t="s">
        <v>41</v>
      </c>
      <c r="Q20" s="4"/>
      <c r="R20" s="5">
        <f t="shared" si="0"/>
        <v>0</v>
      </c>
    </row>
    <row r="21" spans="1:18" ht="15.75" x14ac:dyDescent="0.25">
      <c r="A21" s="128"/>
      <c r="B21" s="14" t="s">
        <v>126</v>
      </c>
      <c r="C21" s="10">
        <v>1</v>
      </c>
      <c r="D21" s="48">
        <f t="shared" si="1"/>
        <v>650</v>
      </c>
      <c r="F21" s="69" t="s">
        <v>99</v>
      </c>
      <c r="G21" s="82" t="s">
        <v>98</v>
      </c>
      <c r="H21" s="186" t="s">
        <v>13</v>
      </c>
      <c r="I21" s="187"/>
      <c r="J21" s="188"/>
      <c r="L21" s="7">
        <v>650</v>
      </c>
      <c r="O21" t="s">
        <v>44</v>
      </c>
      <c r="P21" s="4">
        <v>1447</v>
      </c>
      <c r="Q21" s="4">
        <v>120</v>
      </c>
      <c r="R21" s="5">
        <f t="shared" si="0"/>
        <v>1567</v>
      </c>
    </row>
    <row r="22" spans="1:18" ht="15.75" x14ac:dyDescent="0.25">
      <c r="A22" s="128"/>
      <c r="B22" s="46" t="s">
        <v>104</v>
      </c>
      <c r="C22" s="10"/>
      <c r="D22" s="48">
        <f t="shared" si="1"/>
        <v>0</v>
      </c>
      <c r="F22" s="72"/>
      <c r="G22" s="73"/>
      <c r="H22" s="189"/>
      <c r="I22" s="189"/>
      <c r="J22" s="189"/>
      <c r="L22" s="7">
        <f>559+111</f>
        <v>670</v>
      </c>
      <c r="O22" t="s">
        <v>46</v>
      </c>
      <c r="P22" s="4">
        <v>1582</v>
      </c>
      <c r="Q22" s="4"/>
      <c r="R22" s="5">
        <f t="shared" si="0"/>
        <v>1582</v>
      </c>
    </row>
    <row r="23" spans="1:18" ht="15.75" x14ac:dyDescent="0.25">
      <c r="A23" s="128"/>
      <c r="B23" s="14" t="s">
        <v>107</v>
      </c>
      <c r="C23" s="10"/>
      <c r="D23" s="48">
        <f t="shared" si="1"/>
        <v>0</v>
      </c>
      <c r="F23" s="25"/>
      <c r="G23" s="37"/>
      <c r="H23" s="190"/>
      <c r="I23" s="191"/>
      <c r="J23" s="191"/>
      <c r="L23" s="47">
        <f>R33</f>
        <v>1175</v>
      </c>
      <c r="N23" s="1"/>
      <c r="O23" t="s">
        <v>48</v>
      </c>
      <c r="P23" s="4">
        <v>1728</v>
      </c>
      <c r="Q23" s="4"/>
      <c r="R23" s="5">
        <f t="shared" si="0"/>
        <v>1728</v>
      </c>
    </row>
    <row r="24" spans="1:18" ht="15.75" x14ac:dyDescent="0.25">
      <c r="A24" s="128"/>
      <c r="B24" s="14" t="s">
        <v>123</v>
      </c>
      <c r="C24" s="10"/>
      <c r="D24" s="48">
        <f t="shared" si="1"/>
        <v>0</v>
      </c>
      <c r="F24" s="38"/>
      <c r="G24" s="37"/>
      <c r="H24" s="190"/>
      <c r="I24" s="191"/>
      <c r="J24" s="191"/>
      <c r="L24" s="47">
        <f>596/6</f>
        <v>99.333333333333329</v>
      </c>
      <c r="N24" s="1"/>
      <c r="O24" t="s">
        <v>49</v>
      </c>
      <c r="P24" s="4">
        <v>1728</v>
      </c>
      <c r="Q24" s="4"/>
      <c r="R24" s="5">
        <f t="shared" si="0"/>
        <v>1728</v>
      </c>
    </row>
    <row r="25" spans="1:18" ht="15.75" x14ac:dyDescent="0.25">
      <c r="A25" s="128"/>
      <c r="B25" s="14" t="s">
        <v>124</v>
      </c>
      <c r="C25" s="10"/>
      <c r="D25" s="48">
        <f t="shared" si="1"/>
        <v>0</v>
      </c>
      <c r="F25" s="60" t="s">
        <v>100</v>
      </c>
      <c r="G25" s="55" t="s">
        <v>98</v>
      </c>
      <c r="H25" s="192" t="s">
        <v>13</v>
      </c>
      <c r="I25" s="193"/>
      <c r="J25" s="194"/>
      <c r="L25" s="47">
        <f>674/6</f>
        <v>112.33333333333333</v>
      </c>
      <c r="O25" t="s">
        <v>51</v>
      </c>
      <c r="P25" s="4">
        <v>1582</v>
      </c>
      <c r="Q25" s="4"/>
      <c r="R25" s="5">
        <f t="shared" si="0"/>
        <v>1582</v>
      </c>
    </row>
    <row r="26" spans="1:18" ht="15.75" x14ac:dyDescent="0.25">
      <c r="A26" s="128"/>
      <c r="B26" s="14" t="s">
        <v>105</v>
      </c>
      <c r="C26" s="10"/>
      <c r="D26" s="48">
        <f t="shared" si="1"/>
        <v>0</v>
      </c>
      <c r="F26" s="64"/>
      <c r="G26" s="10"/>
      <c r="H26" s="195"/>
      <c r="I26" s="196"/>
      <c r="J26" s="197"/>
      <c r="L26" s="7">
        <f>832/24+1.5</f>
        <v>36.166666666666664</v>
      </c>
      <c r="O26" t="s">
        <v>52</v>
      </c>
      <c r="P26" s="4">
        <v>1447</v>
      </c>
      <c r="Q26" s="4">
        <v>120</v>
      </c>
      <c r="R26" s="5">
        <f t="shared" si="0"/>
        <v>1567</v>
      </c>
    </row>
    <row r="27" spans="1:18" ht="14.45" customHeight="1" x14ac:dyDescent="0.25">
      <c r="A27" s="128"/>
      <c r="B27" s="14" t="s">
        <v>109</v>
      </c>
      <c r="C27" s="10"/>
      <c r="D27" s="44">
        <f t="shared" si="1"/>
        <v>0</v>
      </c>
      <c r="F27" s="14"/>
      <c r="G27" s="14"/>
      <c r="H27" s="198"/>
      <c r="I27" s="199"/>
      <c r="J27" s="200"/>
      <c r="L27" s="7">
        <v>1582</v>
      </c>
      <c r="O27" t="s">
        <v>53</v>
      </c>
      <c r="P27" s="4">
        <v>1582</v>
      </c>
      <c r="Q27" s="4"/>
      <c r="R27" s="5">
        <f t="shared" si="0"/>
        <v>1582</v>
      </c>
    </row>
    <row r="28" spans="1:18" ht="15.75" x14ac:dyDescent="0.25">
      <c r="A28" s="129"/>
      <c r="B28" s="46" t="s">
        <v>97</v>
      </c>
      <c r="C28" s="10"/>
      <c r="D28" s="48">
        <f t="shared" si="1"/>
        <v>0</v>
      </c>
      <c r="F28" s="91"/>
      <c r="G28" s="61"/>
      <c r="H28" s="201"/>
      <c r="I28" s="202"/>
      <c r="J28" s="203"/>
      <c r="L28" s="7">
        <v>785</v>
      </c>
      <c r="O28" t="s">
        <v>54</v>
      </c>
      <c r="P28" s="4">
        <v>1447</v>
      </c>
      <c r="Q28" s="4">
        <v>120</v>
      </c>
      <c r="R28" s="5">
        <f t="shared" si="0"/>
        <v>1567</v>
      </c>
    </row>
    <row r="29" spans="1:18" x14ac:dyDescent="0.25">
      <c r="A29" s="167" t="s">
        <v>36</v>
      </c>
      <c r="B29" s="168"/>
      <c r="C29" s="169"/>
      <c r="D29" s="173">
        <f>SUM(D6:D28)</f>
        <v>109447</v>
      </c>
      <c r="F29" s="175" t="s">
        <v>55</v>
      </c>
      <c r="G29" s="176"/>
      <c r="H29" s="179">
        <f>H15-H16-H17-H18-H19-H20-H22-H23-H24+H26+H27</f>
        <v>92999.5</v>
      </c>
      <c r="I29" s="180"/>
      <c r="J29" s="181"/>
      <c r="O29" t="s">
        <v>56</v>
      </c>
      <c r="P29" s="4">
        <v>1582</v>
      </c>
      <c r="Q29" s="4"/>
      <c r="R29" s="5">
        <f t="shared" si="0"/>
        <v>1582</v>
      </c>
    </row>
    <row r="30" spans="1:18" x14ac:dyDescent="0.25">
      <c r="A30" s="170"/>
      <c r="B30" s="171"/>
      <c r="C30" s="172"/>
      <c r="D30" s="174"/>
      <c r="F30" s="177"/>
      <c r="G30" s="178"/>
      <c r="H30" s="182"/>
      <c r="I30" s="183"/>
      <c r="J30" s="184"/>
      <c r="N30" s="1"/>
      <c r="Q30" s="4"/>
      <c r="R30" s="5">
        <f t="shared" si="0"/>
        <v>0</v>
      </c>
    </row>
    <row r="31" spans="1:18" x14ac:dyDescent="0.25">
      <c r="A31" s="24"/>
      <c r="B31" s="24"/>
      <c r="C31" s="24"/>
      <c r="D31" s="24"/>
      <c r="F31" s="24"/>
      <c r="G31" s="24"/>
      <c r="O31" t="s">
        <v>57</v>
      </c>
      <c r="P31" s="4">
        <v>1052</v>
      </c>
      <c r="Q31" s="4">
        <v>120</v>
      </c>
      <c r="R31" s="5">
        <f t="shared" si="0"/>
        <v>1172</v>
      </c>
    </row>
    <row r="32" spans="1:18" x14ac:dyDescent="0.25">
      <c r="A32" s="114" t="s">
        <v>58</v>
      </c>
      <c r="B32" s="115"/>
      <c r="C32" s="115"/>
      <c r="D32" s="116"/>
      <c r="F32" s="204" t="s">
        <v>59</v>
      </c>
      <c r="G32" s="205"/>
      <c r="H32" s="205"/>
      <c r="I32" s="205"/>
      <c r="J32" s="206"/>
      <c r="O32" t="s">
        <v>60</v>
      </c>
      <c r="P32" s="4">
        <v>1005</v>
      </c>
      <c r="Q32" s="4">
        <v>120</v>
      </c>
      <c r="R32" s="5">
        <f t="shared" si="0"/>
        <v>1125</v>
      </c>
    </row>
    <row r="33" spans="1:18" x14ac:dyDescent="0.25">
      <c r="A33" s="25"/>
      <c r="B33" s="25" t="s">
        <v>11</v>
      </c>
      <c r="C33" s="25" t="s">
        <v>61</v>
      </c>
      <c r="D33" s="25" t="s">
        <v>13</v>
      </c>
      <c r="F33" s="25" t="s">
        <v>62</v>
      </c>
      <c r="G33" s="92" t="s">
        <v>63</v>
      </c>
      <c r="H33" s="204" t="s">
        <v>13</v>
      </c>
      <c r="I33" s="205"/>
      <c r="J33" s="206"/>
      <c r="O33" t="s">
        <v>64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27" t="s">
        <v>65</v>
      </c>
      <c r="B34" s="26" t="s">
        <v>66</v>
      </c>
      <c r="C34" s="51">
        <v>1</v>
      </c>
      <c r="D34" s="30">
        <f>C34*120</f>
        <v>120</v>
      </c>
      <c r="F34" s="12">
        <v>1000</v>
      </c>
      <c r="G34" s="74">
        <v>67</v>
      </c>
      <c r="H34" s="207">
        <f>F34*G34</f>
        <v>67000</v>
      </c>
      <c r="I34" s="208"/>
      <c r="J34" s="209"/>
      <c r="O34" t="s">
        <v>67</v>
      </c>
      <c r="P34" s="4">
        <v>832</v>
      </c>
      <c r="Q34" s="4">
        <v>120</v>
      </c>
      <c r="R34" s="5">
        <f t="shared" si="0"/>
        <v>952</v>
      </c>
    </row>
    <row r="35" spans="1:18" ht="15.75" x14ac:dyDescent="0.25">
      <c r="A35" s="128"/>
      <c r="B35" s="27" t="s">
        <v>68</v>
      </c>
      <c r="C35" s="52">
        <v>1</v>
      </c>
      <c r="D35" s="30">
        <f>C35*84</f>
        <v>84</v>
      </c>
      <c r="F35" s="58">
        <v>500</v>
      </c>
      <c r="G35" s="41">
        <v>30</v>
      </c>
      <c r="H35" s="207">
        <f t="shared" ref="H35:H39" si="2">F35*G35</f>
        <v>15000</v>
      </c>
      <c r="I35" s="208"/>
      <c r="J35" s="209"/>
      <c r="O35" t="s">
        <v>69</v>
      </c>
      <c r="P35" s="4">
        <v>1102</v>
      </c>
      <c r="Q35" s="4"/>
      <c r="R35" s="5">
        <f t="shared" si="0"/>
        <v>1102</v>
      </c>
    </row>
    <row r="36" spans="1:18" ht="15.75" x14ac:dyDescent="0.25">
      <c r="A36" s="129"/>
      <c r="B36" s="26" t="s">
        <v>70</v>
      </c>
      <c r="C36" s="10">
        <v>14</v>
      </c>
      <c r="D36" s="12">
        <f>C36*1.5</f>
        <v>21</v>
      </c>
      <c r="F36" s="12">
        <v>200</v>
      </c>
      <c r="G36" s="37">
        <v>1</v>
      </c>
      <c r="H36" s="207">
        <f>F36*G36</f>
        <v>200</v>
      </c>
      <c r="I36" s="208"/>
      <c r="J36" s="209"/>
      <c r="O36" t="s">
        <v>71</v>
      </c>
      <c r="P36" s="4">
        <v>852</v>
      </c>
      <c r="Q36" s="4">
        <v>120</v>
      </c>
      <c r="R36" s="5">
        <f t="shared" si="0"/>
        <v>972</v>
      </c>
    </row>
    <row r="37" spans="1:18" ht="15.75" x14ac:dyDescent="0.25">
      <c r="A37" s="127" t="s">
        <v>72</v>
      </c>
      <c r="B37" s="28" t="s">
        <v>66</v>
      </c>
      <c r="C37" s="53">
        <v>115</v>
      </c>
      <c r="D37" s="12">
        <f>C37*111</f>
        <v>12765</v>
      </c>
      <c r="F37" s="12">
        <v>100</v>
      </c>
      <c r="G37" s="39">
        <v>106</v>
      </c>
      <c r="H37" s="207">
        <f t="shared" si="2"/>
        <v>10600</v>
      </c>
      <c r="I37" s="208"/>
      <c r="J37" s="209"/>
      <c r="O37" t="s">
        <v>73</v>
      </c>
      <c r="P37" s="4">
        <v>1020</v>
      </c>
      <c r="Q37" s="4">
        <v>120</v>
      </c>
      <c r="R37" s="5">
        <f t="shared" si="0"/>
        <v>1140</v>
      </c>
    </row>
    <row r="38" spans="1:18" ht="15.75" x14ac:dyDescent="0.25">
      <c r="A38" s="128"/>
      <c r="B38" s="29" t="s">
        <v>68</v>
      </c>
      <c r="C38" s="54">
        <v>18</v>
      </c>
      <c r="D38" s="12">
        <f>C38*84</f>
        <v>1512</v>
      </c>
      <c r="F38" s="30">
        <v>50</v>
      </c>
      <c r="G38" s="39">
        <v>1</v>
      </c>
      <c r="H38" s="207">
        <f t="shared" si="2"/>
        <v>50</v>
      </c>
      <c r="I38" s="208"/>
      <c r="J38" s="209"/>
      <c r="O38" t="s">
        <v>74</v>
      </c>
      <c r="P38" s="4">
        <v>596</v>
      </c>
      <c r="Q38" s="4">
        <v>111</v>
      </c>
      <c r="R38" s="5">
        <f t="shared" si="0"/>
        <v>707</v>
      </c>
    </row>
    <row r="39" spans="1:18" ht="15.75" x14ac:dyDescent="0.25">
      <c r="A39" s="129"/>
      <c r="B39" s="29" t="s">
        <v>70</v>
      </c>
      <c r="C39" s="52"/>
      <c r="D39" s="31">
        <f>C39*4.5</f>
        <v>0</v>
      </c>
      <c r="F39" s="12">
        <v>20</v>
      </c>
      <c r="G39" s="37"/>
      <c r="H39" s="207">
        <f t="shared" si="2"/>
        <v>0</v>
      </c>
      <c r="I39" s="208"/>
      <c r="J39" s="209"/>
      <c r="O39" t="s">
        <v>75</v>
      </c>
      <c r="P39" s="4">
        <v>1175</v>
      </c>
      <c r="Q39" s="4"/>
      <c r="R39" s="5">
        <f t="shared" si="0"/>
        <v>1175</v>
      </c>
    </row>
    <row r="40" spans="1:18" ht="15.75" x14ac:dyDescent="0.25">
      <c r="A40" s="127" t="s">
        <v>76</v>
      </c>
      <c r="B40" s="27" t="s">
        <v>66</v>
      </c>
      <c r="C40" s="63">
        <v>13</v>
      </c>
      <c r="D40" s="12">
        <f>C40*111</f>
        <v>1443</v>
      </c>
      <c r="F40" s="12">
        <v>10</v>
      </c>
      <c r="G40" s="42"/>
      <c r="H40" s="207"/>
      <c r="I40" s="208"/>
      <c r="J40" s="209"/>
      <c r="O40" t="s">
        <v>77</v>
      </c>
      <c r="P40" s="4">
        <v>913</v>
      </c>
      <c r="Q40" s="4">
        <v>120</v>
      </c>
      <c r="R40" s="5">
        <f t="shared" si="0"/>
        <v>1033</v>
      </c>
    </row>
    <row r="41" spans="1:18" ht="15.75" x14ac:dyDescent="0.25">
      <c r="A41" s="128"/>
      <c r="B41" s="27" t="s">
        <v>68</v>
      </c>
      <c r="C41" s="10"/>
      <c r="D41" s="12">
        <f>C41*84</f>
        <v>0</v>
      </c>
      <c r="F41" s="12">
        <v>5</v>
      </c>
      <c r="G41" s="42"/>
      <c r="H41" s="207"/>
      <c r="I41" s="208"/>
      <c r="J41" s="209"/>
      <c r="K41" s="21"/>
      <c r="O41" t="s">
        <v>78</v>
      </c>
      <c r="P41" s="4">
        <v>614</v>
      </c>
      <c r="Q41" s="4">
        <v>111</v>
      </c>
      <c r="R41" s="5">
        <f t="shared" si="0"/>
        <v>725</v>
      </c>
    </row>
    <row r="42" spans="1:18" ht="15.75" x14ac:dyDescent="0.25">
      <c r="A42" s="129"/>
      <c r="B42" s="27" t="s">
        <v>70</v>
      </c>
      <c r="C42" s="11"/>
      <c r="D42" s="12">
        <f>C42*2.25</f>
        <v>0</v>
      </c>
      <c r="F42" s="39" t="s">
        <v>79</v>
      </c>
      <c r="G42" s="207">
        <v>197</v>
      </c>
      <c r="H42" s="208"/>
      <c r="I42" s="208"/>
      <c r="J42" s="209"/>
      <c r="K42" s="36"/>
      <c r="O42" t="s">
        <v>80</v>
      </c>
      <c r="P42" s="4">
        <v>626</v>
      </c>
      <c r="Q42" s="4">
        <v>111</v>
      </c>
      <c r="R42" s="5">
        <f t="shared" si="0"/>
        <v>737</v>
      </c>
    </row>
    <row r="43" spans="1:18" ht="15.75" x14ac:dyDescent="0.25">
      <c r="A43" s="210" t="s">
        <v>81</v>
      </c>
      <c r="C43" s="11"/>
      <c r="D43" s="12"/>
      <c r="F43" s="59" t="s">
        <v>82</v>
      </c>
      <c r="G43" s="94" t="s">
        <v>83</v>
      </c>
      <c r="H43" s="213" t="s">
        <v>13</v>
      </c>
      <c r="I43" s="214"/>
      <c r="J43" s="215"/>
      <c r="K43" s="21"/>
      <c r="P43" s="4"/>
      <c r="Q43" s="4"/>
      <c r="R43" s="5"/>
    </row>
    <row r="44" spans="1:18" ht="15.75" x14ac:dyDescent="0.25">
      <c r="A44" s="211"/>
      <c r="B44" s="27" t="s">
        <v>66</v>
      </c>
      <c r="C44" s="10"/>
      <c r="D44" s="12">
        <f>C44*120</f>
        <v>0</v>
      </c>
      <c r="F44" s="37"/>
      <c r="G44" s="62"/>
      <c r="H44" s="191"/>
      <c r="I44" s="191"/>
      <c r="J44" s="191"/>
      <c r="K44" s="21"/>
      <c r="P44" s="4"/>
      <c r="Q44" s="4"/>
      <c r="R44" s="5"/>
    </row>
    <row r="45" spans="1:18" ht="15.75" x14ac:dyDescent="0.25">
      <c r="A45" s="211"/>
      <c r="B45" s="27" t="s">
        <v>68</v>
      </c>
      <c r="C45" s="33">
        <v>1</v>
      </c>
      <c r="D45" s="12">
        <f>C45*84</f>
        <v>84</v>
      </c>
      <c r="F45" s="37"/>
      <c r="G45" s="62"/>
      <c r="H45" s="191"/>
      <c r="I45" s="191"/>
      <c r="J45" s="191"/>
      <c r="K45" s="21"/>
      <c r="P45" s="4"/>
      <c r="Q45" s="4"/>
      <c r="R45" s="5"/>
    </row>
    <row r="46" spans="1:18" ht="15.75" x14ac:dyDescent="0.25">
      <c r="A46" s="211"/>
      <c r="B46" s="49" t="s">
        <v>70</v>
      </c>
      <c r="C46" s="81">
        <v>13</v>
      </c>
      <c r="D46" s="12">
        <f>C46*1.5</f>
        <v>19.5</v>
      </c>
      <c r="F46" s="37"/>
      <c r="G46" s="93"/>
      <c r="H46" s="216"/>
      <c r="I46" s="216"/>
      <c r="J46" s="216"/>
      <c r="K46" s="21"/>
      <c r="P46" s="4"/>
      <c r="Q46" s="4"/>
      <c r="R46" s="5"/>
    </row>
    <row r="47" spans="1:18" ht="15.75" x14ac:dyDescent="0.25">
      <c r="A47" s="212"/>
      <c r="B47" s="27"/>
      <c r="C47" s="11"/>
      <c r="D47" s="12"/>
      <c r="F47" s="59"/>
      <c r="G47" s="59"/>
      <c r="H47" s="217"/>
      <c r="I47" s="218"/>
      <c r="J47" s="219"/>
      <c r="K47" s="21"/>
      <c r="P47" s="4"/>
      <c r="Q47" s="4"/>
      <c r="R47" s="5"/>
    </row>
    <row r="48" spans="1:18" ht="15" customHeight="1" x14ac:dyDescent="0.25">
      <c r="A48" s="210" t="s">
        <v>32</v>
      </c>
      <c r="B48" s="27" t="s">
        <v>66</v>
      </c>
      <c r="C48" s="10">
        <v>5</v>
      </c>
      <c r="D48" s="12">
        <f>C48*78</f>
        <v>390</v>
      </c>
      <c r="F48" s="59"/>
      <c r="G48" s="59"/>
      <c r="H48" s="217"/>
      <c r="I48" s="218"/>
      <c r="J48" s="219"/>
      <c r="K48" s="35"/>
      <c r="O48" t="s">
        <v>84</v>
      </c>
      <c r="P48" s="4">
        <v>1175</v>
      </c>
      <c r="Q48" s="4"/>
      <c r="R48" s="5">
        <f t="shared" si="0"/>
        <v>1175</v>
      </c>
    </row>
    <row r="49" spans="1:18" ht="15.75" x14ac:dyDescent="0.25">
      <c r="A49" s="211"/>
      <c r="B49" s="29" t="s">
        <v>68</v>
      </c>
      <c r="C49" s="33"/>
      <c r="D49" s="12">
        <f>C49*42</f>
        <v>0</v>
      </c>
      <c r="F49" s="232" t="s">
        <v>86</v>
      </c>
      <c r="G49" s="179">
        <f>H34+H35+H36+H37+H38+H39+H40+H41+G42+H44+H45+H46</f>
        <v>93047</v>
      </c>
      <c r="H49" s="180"/>
      <c r="I49" s="180"/>
      <c r="J49" s="181"/>
      <c r="O49" t="s">
        <v>85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211"/>
      <c r="B50" s="32" t="s">
        <v>70</v>
      </c>
      <c r="C50" s="11">
        <v>6</v>
      </c>
      <c r="D50" s="12">
        <f>C50*1.5</f>
        <v>9</v>
      </c>
      <c r="F50" s="233"/>
      <c r="G50" s="182"/>
      <c r="H50" s="183"/>
      <c r="I50" s="183"/>
      <c r="J50" s="184"/>
      <c r="P50" s="4"/>
      <c r="Q50" s="4"/>
      <c r="R50" s="5"/>
    </row>
    <row r="51" spans="1:18" ht="15" customHeight="1" x14ac:dyDescent="0.25">
      <c r="A51" s="211"/>
      <c r="B51" s="27"/>
      <c r="C51" s="10"/>
      <c r="D51" s="31"/>
      <c r="F51" s="234" t="s">
        <v>156</v>
      </c>
      <c r="G51" s="236">
        <f>G49-H29</f>
        <v>47.5</v>
      </c>
      <c r="H51" s="237"/>
      <c r="I51" s="237"/>
      <c r="J51" s="238"/>
      <c r="K51" s="21"/>
      <c r="O51" t="s">
        <v>87</v>
      </c>
      <c r="P51" s="4">
        <v>703</v>
      </c>
      <c r="Q51" s="4">
        <v>120</v>
      </c>
      <c r="R51" s="5">
        <f t="shared" si="0"/>
        <v>823</v>
      </c>
    </row>
    <row r="52" spans="1:18" ht="15.75" x14ac:dyDescent="0.25">
      <c r="A52" s="211"/>
      <c r="B52" s="29"/>
      <c r="C52" s="33"/>
      <c r="D52" s="45"/>
      <c r="F52" s="235"/>
      <c r="G52" s="239"/>
      <c r="H52" s="240"/>
      <c r="I52" s="240"/>
      <c r="J52" s="241"/>
      <c r="K52" s="21"/>
      <c r="O52" t="s">
        <v>88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212"/>
      <c r="B53" s="32"/>
      <c r="C53" s="11"/>
      <c r="D53" s="12"/>
      <c r="F53" s="35"/>
      <c r="G53" s="24"/>
      <c r="H53" s="24"/>
      <c r="I53" s="24"/>
      <c r="J53" s="17"/>
      <c r="N53" s="1"/>
      <c r="O53" t="s">
        <v>89</v>
      </c>
      <c r="P53" s="4">
        <v>1142</v>
      </c>
    </row>
    <row r="54" spans="1:18" x14ac:dyDescent="0.25">
      <c r="A54" s="175" t="s">
        <v>90</v>
      </c>
      <c r="B54" s="220"/>
      <c r="C54" s="221"/>
      <c r="D54" s="224">
        <f>SUM(D34:D53)</f>
        <v>16447.5</v>
      </c>
      <c r="F54" s="21"/>
      <c r="J54" s="34"/>
    </row>
    <row r="55" spans="1:18" x14ac:dyDescent="0.25">
      <c r="A55" s="177"/>
      <c r="B55" s="222"/>
      <c r="C55" s="223"/>
      <c r="D55" s="225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151</v>
      </c>
      <c r="D57" s="34"/>
      <c r="F57" s="36"/>
      <c r="G57" s="50"/>
      <c r="H57" s="50"/>
      <c r="I57" s="50"/>
      <c r="J57" s="43"/>
    </row>
    <row r="58" spans="1:18" x14ac:dyDescent="0.25">
      <c r="A58" s="226" t="s">
        <v>91</v>
      </c>
      <c r="B58" s="227"/>
      <c r="C58" s="227"/>
      <c r="D58" s="228"/>
      <c r="F58" s="226" t="s">
        <v>92</v>
      </c>
      <c r="G58" s="227"/>
      <c r="H58" s="227"/>
      <c r="I58" s="227"/>
      <c r="J58" s="228"/>
    </row>
    <row r="59" spans="1:18" x14ac:dyDescent="0.25">
      <c r="A59" s="229"/>
      <c r="B59" s="230"/>
      <c r="C59" s="230"/>
      <c r="D59" s="231"/>
      <c r="F59" s="229"/>
      <c r="G59" s="230"/>
      <c r="H59" s="230"/>
      <c r="I59" s="230"/>
      <c r="J59" s="231"/>
    </row>
  </sheetData>
  <mergeCells count="68"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  <mergeCell ref="H13:J13"/>
    <mergeCell ref="F14:G14"/>
    <mergeCell ref="H14:J14"/>
    <mergeCell ref="F15:G15"/>
    <mergeCell ref="H15:J15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A32:D32"/>
    <mergeCell ref="F32:J32"/>
    <mergeCell ref="H33:J33"/>
    <mergeCell ref="A34:A36"/>
    <mergeCell ref="H34:J34"/>
    <mergeCell ref="H35:J35"/>
    <mergeCell ref="H36:J36"/>
    <mergeCell ref="A37:A39"/>
    <mergeCell ref="H37:J37"/>
    <mergeCell ref="H38:J38"/>
    <mergeCell ref="H39:J39"/>
    <mergeCell ref="A40:A42"/>
    <mergeCell ref="H40:J40"/>
    <mergeCell ref="H41:J41"/>
    <mergeCell ref="G42:J42"/>
    <mergeCell ref="A43:A47"/>
    <mergeCell ref="H43:J43"/>
    <mergeCell ref="H44:J44"/>
    <mergeCell ref="H45:J45"/>
    <mergeCell ref="H46:J46"/>
    <mergeCell ref="H47:J47"/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2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8C011E6-686B-4381-9576-AD93232154A5}">
  <dimension ref="A1:R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113" t="s">
        <v>1</v>
      </c>
      <c r="O1" s="113"/>
      <c r="P1" s="90" t="s">
        <v>2</v>
      </c>
      <c r="Q1" s="90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14" t="s">
        <v>7</v>
      </c>
      <c r="B4" s="115"/>
      <c r="C4" s="115"/>
      <c r="D4" s="116"/>
      <c r="F4" s="117" t="s">
        <v>8</v>
      </c>
      <c r="G4" s="119">
        <v>3</v>
      </c>
      <c r="H4" s="121" t="s">
        <v>9</v>
      </c>
      <c r="I4" s="123">
        <v>45969</v>
      </c>
      <c r="J4" s="124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27" t="s">
        <v>7</v>
      </c>
      <c r="B5" s="15" t="s">
        <v>11</v>
      </c>
      <c r="C5" s="9" t="s">
        <v>12</v>
      </c>
      <c r="D5" s="25" t="s">
        <v>13</v>
      </c>
      <c r="F5" s="118"/>
      <c r="G5" s="120"/>
      <c r="H5" s="122"/>
      <c r="I5" s="125"/>
      <c r="J5" s="126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28"/>
      <c r="B6" s="16" t="s">
        <v>15</v>
      </c>
      <c r="C6" s="10">
        <v>313</v>
      </c>
      <c r="D6" s="13">
        <f t="shared" ref="D6:D28" si="1">C6*L6</f>
        <v>230681</v>
      </c>
      <c r="F6" s="130" t="s">
        <v>16</v>
      </c>
      <c r="G6" s="132" t="s">
        <v>111</v>
      </c>
      <c r="H6" s="133"/>
      <c r="I6" s="133"/>
      <c r="J6" s="134"/>
      <c r="K6" s="8"/>
      <c r="L6" s="6">
        <f>R42</f>
        <v>737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28"/>
      <c r="B7" s="16" t="s">
        <v>18</v>
      </c>
      <c r="C7" s="10">
        <v>18</v>
      </c>
      <c r="D7" s="13">
        <f t="shared" si="1"/>
        <v>13050</v>
      </c>
      <c r="F7" s="131"/>
      <c r="G7" s="135"/>
      <c r="H7" s="136"/>
      <c r="I7" s="136"/>
      <c r="J7" s="137"/>
      <c r="K7" s="8"/>
      <c r="L7" s="6">
        <f>R41</f>
        <v>725</v>
      </c>
      <c r="P7" s="4"/>
      <c r="Q7" s="4"/>
      <c r="R7" s="5"/>
    </row>
    <row r="8" spans="1:18" ht="14.45" customHeight="1" x14ac:dyDescent="0.25">
      <c r="A8" s="128"/>
      <c r="B8" s="16" t="s">
        <v>20</v>
      </c>
      <c r="C8" s="10"/>
      <c r="D8" s="13">
        <f t="shared" si="1"/>
        <v>0</v>
      </c>
      <c r="F8" s="138" t="s">
        <v>21</v>
      </c>
      <c r="G8" s="140" t="s">
        <v>119</v>
      </c>
      <c r="H8" s="141"/>
      <c r="I8" s="141"/>
      <c r="J8" s="142"/>
      <c r="K8" s="8"/>
      <c r="L8" s="6">
        <f>R40</f>
        <v>1033</v>
      </c>
      <c r="P8" s="4"/>
      <c r="Q8" s="4"/>
      <c r="R8" s="5"/>
    </row>
    <row r="9" spans="1:18" ht="14.45" customHeight="1" x14ac:dyDescent="0.25">
      <c r="A9" s="128"/>
      <c r="B9" s="16" t="s">
        <v>23</v>
      </c>
      <c r="C9" s="10">
        <v>40</v>
      </c>
      <c r="D9" s="13">
        <f t="shared" si="1"/>
        <v>28280</v>
      </c>
      <c r="F9" s="131"/>
      <c r="G9" s="143"/>
      <c r="H9" s="144"/>
      <c r="I9" s="144"/>
      <c r="J9" s="145"/>
      <c r="K9" s="8"/>
      <c r="L9" s="6">
        <f>R38</f>
        <v>707</v>
      </c>
      <c r="P9" s="4"/>
      <c r="Q9" s="4"/>
      <c r="R9" s="5"/>
    </row>
    <row r="10" spans="1:18" ht="14.45" customHeight="1" x14ac:dyDescent="0.25">
      <c r="A10" s="128"/>
      <c r="B10" t="s">
        <v>25</v>
      </c>
      <c r="C10" s="10"/>
      <c r="D10" s="13">
        <f t="shared" si="1"/>
        <v>0</v>
      </c>
      <c r="F10" s="130" t="s">
        <v>26</v>
      </c>
      <c r="G10" s="146" t="s">
        <v>137</v>
      </c>
      <c r="H10" s="147"/>
      <c r="I10" s="147"/>
      <c r="J10" s="148"/>
      <c r="K10" s="8"/>
      <c r="L10" s="6">
        <f>R36</f>
        <v>972</v>
      </c>
      <c r="P10" s="4"/>
      <c r="Q10" s="4"/>
      <c r="R10" s="5"/>
    </row>
    <row r="11" spans="1:18" ht="15.75" x14ac:dyDescent="0.25">
      <c r="A11" s="128"/>
      <c r="B11" s="17" t="s">
        <v>28</v>
      </c>
      <c r="C11" s="10"/>
      <c r="D11" s="13">
        <f t="shared" si="1"/>
        <v>0</v>
      </c>
      <c r="F11" s="131"/>
      <c r="G11" s="143"/>
      <c r="H11" s="144"/>
      <c r="I11" s="144"/>
      <c r="J11" s="145"/>
      <c r="K11" s="22"/>
      <c r="L11" s="6">
        <f>R32</f>
        <v>1125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28"/>
      <c r="B12" s="17" t="s">
        <v>30</v>
      </c>
      <c r="C12" s="10">
        <v>1</v>
      </c>
      <c r="D12" s="48">
        <f t="shared" si="1"/>
        <v>952</v>
      </c>
      <c r="F12" s="149" t="s">
        <v>33</v>
      </c>
      <c r="G12" s="150"/>
      <c r="H12" s="150"/>
      <c r="I12" s="150"/>
      <c r="J12" s="151"/>
      <c r="K12" s="23"/>
      <c r="L12" s="6">
        <f>R34</f>
        <v>952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28"/>
      <c r="B13" s="17" t="s">
        <v>32</v>
      </c>
      <c r="C13" s="10">
        <v>7</v>
      </c>
      <c r="D13" s="48">
        <f t="shared" si="1"/>
        <v>2149</v>
      </c>
      <c r="F13" s="152" t="s">
        <v>36</v>
      </c>
      <c r="G13" s="153"/>
      <c r="H13" s="154">
        <f>D29</f>
        <v>287432</v>
      </c>
      <c r="I13" s="155"/>
      <c r="J13" s="156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28"/>
      <c r="B14" s="14" t="s">
        <v>35</v>
      </c>
      <c r="C14" s="10"/>
      <c r="D14" s="31">
        <f t="shared" si="1"/>
        <v>0</v>
      </c>
      <c r="F14" s="157" t="s">
        <v>39</v>
      </c>
      <c r="G14" s="158"/>
      <c r="H14" s="159">
        <f>D54</f>
        <v>35280</v>
      </c>
      <c r="I14" s="160"/>
      <c r="J14" s="161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28"/>
      <c r="B15" s="14" t="s">
        <v>38</v>
      </c>
      <c r="C15" s="10"/>
      <c r="D15" s="31">
        <f t="shared" si="1"/>
        <v>0</v>
      </c>
      <c r="F15" s="162" t="s">
        <v>40</v>
      </c>
      <c r="G15" s="153"/>
      <c r="H15" s="163">
        <f>H13-H14</f>
        <v>252152</v>
      </c>
      <c r="I15" s="164"/>
      <c r="J15" s="165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28"/>
      <c r="B16" s="18" t="s">
        <v>94</v>
      </c>
      <c r="C16" s="10"/>
      <c r="D16" s="48">
        <f t="shared" si="1"/>
        <v>0</v>
      </c>
      <c r="F16" s="67" t="s">
        <v>42</v>
      </c>
      <c r="G16" s="66" t="s">
        <v>43</v>
      </c>
      <c r="H16" s="166">
        <f>690+306+1020</f>
        <v>2016</v>
      </c>
      <c r="I16" s="166"/>
      <c r="J16" s="166"/>
      <c r="L16" s="6">
        <f>R28</f>
        <v>1567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28"/>
      <c r="B17" t="s">
        <v>113</v>
      </c>
      <c r="C17" s="10"/>
      <c r="D17" s="48">
        <f t="shared" si="1"/>
        <v>0</v>
      </c>
      <c r="F17" s="56"/>
      <c r="G17" s="66" t="s">
        <v>45</v>
      </c>
      <c r="H17" s="139"/>
      <c r="I17" s="139"/>
      <c r="J17" s="139"/>
      <c r="L17" s="6">
        <v>1582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28"/>
      <c r="B18" s="19" t="s">
        <v>95</v>
      </c>
      <c r="C18" s="10"/>
      <c r="D18" s="48">
        <f t="shared" si="1"/>
        <v>0</v>
      </c>
      <c r="F18" s="56"/>
      <c r="G18" s="66" t="s">
        <v>47</v>
      </c>
      <c r="H18" s="139"/>
      <c r="I18" s="139"/>
      <c r="J18" s="139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28"/>
      <c r="B19" s="14" t="s">
        <v>117</v>
      </c>
      <c r="C19" s="10"/>
      <c r="D19" s="48">
        <f t="shared" si="1"/>
        <v>0</v>
      </c>
      <c r="F19" s="56"/>
      <c r="G19" s="68" t="s">
        <v>50</v>
      </c>
      <c r="H19" s="253"/>
      <c r="I19" s="253"/>
      <c r="J19" s="253"/>
      <c r="L19" s="6">
        <f>R35</f>
        <v>1102</v>
      </c>
      <c r="Q19" s="4"/>
      <c r="R19" s="5">
        <f t="shared" si="0"/>
        <v>0</v>
      </c>
    </row>
    <row r="20" spans="1:18" ht="15.75" x14ac:dyDescent="0.25">
      <c r="A20" s="128"/>
      <c r="B20" s="46" t="s">
        <v>108</v>
      </c>
      <c r="C20" s="10">
        <v>10</v>
      </c>
      <c r="D20" s="13">
        <f t="shared" si="1"/>
        <v>11020</v>
      </c>
      <c r="F20" s="57"/>
      <c r="G20" s="70" t="s">
        <v>120</v>
      </c>
      <c r="H20" s="166"/>
      <c r="I20" s="166"/>
      <c r="J20" s="166"/>
      <c r="L20" s="6">
        <f>1102</f>
        <v>1102</v>
      </c>
      <c r="N20" s="1" t="s">
        <v>41</v>
      </c>
      <c r="Q20" s="4"/>
      <c r="R20" s="5">
        <f t="shared" si="0"/>
        <v>0</v>
      </c>
    </row>
    <row r="21" spans="1:18" ht="15.75" x14ac:dyDescent="0.25">
      <c r="A21" s="128"/>
      <c r="B21" s="14" t="s">
        <v>126</v>
      </c>
      <c r="C21" s="10">
        <f>1+1</f>
        <v>2</v>
      </c>
      <c r="D21" s="48">
        <f t="shared" si="1"/>
        <v>1300</v>
      </c>
      <c r="F21" s="69" t="s">
        <v>99</v>
      </c>
      <c r="G21" s="82" t="s">
        <v>98</v>
      </c>
      <c r="H21" s="186" t="s">
        <v>13</v>
      </c>
      <c r="I21" s="187"/>
      <c r="J21" s="188"/>
      <c r="L21" s="7">
        <v>650</v>
      </c>
      <c r="O21" t="s">
        <v>44</v>
      </c>
      <c r="P21" s="4">
        <v>1447</v>
      </c>
      <c r="Q21" s="4">
        <v>120</v>
      </c>
      <c r="R21" s="5">
        <f t="shared" si="0"/>
        <v>1567</v>
      </c>
    </row>
    <row r="22" spans="1:18" ht="15.75" x14ac:dyDescent="0.25">
      <c r="A22" s="128"/>
      <c r="B22" s="46" t="s">
        <v>104</v>
      </c>
      <c r="C22" s="10"/>
      <c r="D22" s="48">
        <f t="shared" si="1"/>
        <v>0</v>
      </c>
      <c r="F22" s="77"/>
      <c r="G22" s="73"/>
      <c r="H22" s="189"/>
      <c r="I22" s="189"/>
      <c r="J22" s="189"/>
      <c r="L22" s="7">
        <f>559+111</f>
        <v>670</v>
      </c>
      <c r="O22" t="s">
        <v>46</v>
      </c>
      <c r="P22" s="4">
        <v>1582</v>
      </c>
      <c r="Q22" s="4"/>
      <c r="R22" s="5">
        <f t="shared" si="0"/>
        <v>1582</v>
      </c>
    </row>
    <row r="23" spans="1:18" ht="15.75" x14ac:dyDescent="0.25">
      <c r="A23" s="128"/>
      <c r="B23" s="14" t="s">
        <v>107</v>
      </c>
      <c r="C23" s="10"/>
      <c r="D23" s="48">
        <f t="shared" si="1"/>
        <v>0</v>
      </c>
      <c r="F23" s="78"/>
      <c r="G23" s="79"/>
      <c r="H23" s="190"/>
      <c r="I23" s="191"/>
      <c r="J23" s="191"/>
      <c r="L23" s="47">
        <f>R33</f>
        <v>1175</v>
      </c>
      <c r="N23" s="1"/>
      <c r="O23" t="s">
        <v>48</v>
      </c>
      <c r="P23" s="4">
        <v>1728</v>
      </c>
      <c r="Q23" s="4"/>
      <c r="R23" s="5">
        <f t="shared" si="0"/>
        <v>1728</v>
      </c>
    </row>
    <row r="24" spans="1:18" ht="15.75" x14ac:dyDescent="0.25">
      <c r="A24" s="128"/>
      <c r="B24" s="14" t="s">
        <v>101</v>
      </c>
      <c r="C24" s="10"/>
      <c r="D24" s="48">
        <f t="shared" si="1"/>
        <v>0</v>
      </c>
      <c r="F24" s="38"/>
      <c r="G24" s="37"/>
      <c r="H24" s="190"/>
      <c r="I24" s="191"/>
      <c r="J24" s="191"/>
      <c r="L24" s="47">
        <v>1667</v>
      </c>
      <c r="N24" s="1"/>
      <c r="O24" t="s">
        <v>49</v>
      </c>
      <c r="P24" s="4">
        <v>1728</v>
      </c>
      <c r="Q24" s="4"/>
      <c r="R24" s="5">
        <f t="shared" si="0"/>
        <v>1728</v>
      </c>
    </row>
    <row r="25" spans="1:18" ht="15.75" x14ac:dyDescent="0.25">
      <c r="A25" s="128"/>
      <c r="B25" s="14" t="s">
        <v>116</v>
      </c>
      <c r="C25" s="10"/>
      <c r="D25" s="48">
        <f t="shared" si="1"/>
        <v>0</v>
      </c>
      <c r="F25" s="60" t="s">
        <v>100</v>
      </c>
      <c r="G25" s="55" t="s">
        <v>98</v>
      </c>
      <c r="H25" s="192" t="s">
        <v>13</v>
      </c>
      <c r="I25" s="193"/>
      <c r="J25" s="194"/>
      <c r="L25" s="47">
        <f>1582</f>
        <v>1582</v>
      </c>
      <c r="O25" t="s">
        <v>51</v>
      </c>
      <c r="P25" s="4">
        <v>1582</v>
      </c>
      <c r="Q25" s="4"/>
      <c r="R25" s="5">
        <f t="shared" si="0"/>
        <v>1582</v>
      </c>
    </row>
    <row r="26" spans="1:18" ht="15.75" x14ac:dyDescent="0.25">
      <c r="A26" s="128"/>
      <c r="B26" s="14" t="s">
        <v>105</v>
      </c>
      <c r="C26" s="10"/>
      <c r="D26" s="48">
        <f t="shared" si="1"/>
        <v>0</v>
      </c>
      <c r="F26" s="64"/>
      <c r="G26" s="59"/>
      <c r="H26" s="195"/>
      <c r="I26" s="196"/>
      <c r="J26" s="197"/>
      <c r="L26" s="7">
        <f>832/24+1.5</f>
        <v>36.166666666666664</v>
      </c>
      <c r="O26" t="s">
        <v>52</v>
      </c>
      <c r="P26" s="4">
        <v>1447</v>
      </c>
      <c r="Q26" s="4">
        <v>120</v>
      </c>
      <c r="R26" s="5">
        <f t="shared" si="0"/>
        <v>1567</v>
      </c>
    </row>
    <row r="27" spans="1:18" ht="14.45" customHeight="1" x14ac:dyDescent="0.25">
      <c r="A27" s="128"/>
      <c r="B27" s="14" t="s">
        <v>109</v>
      </c>
      <c r="C27" s="10"/>
      <c r="D27" s="44">
        <f t="shared" si="1"/>
        <v>0</v>
      </c>
      <c r="F27" s="25"/>
      <c r="G27" s="80"/>
      <c r="H27" s="198"/>
      <c r="I27" s="199"/>
      <c r="J27" s="200"/>
      <c r="L27" s="7">
        <v>1582</v>
      </c>
      <c r="O27" t="s">
        <v>53</v>
      </c>
      <c r="P27" s="4">
        <v>1582</v>
      </c>
      <c r="Q27" s="4"/>
      <c r="R27" s="5">
        <f t="shared" si="0"/>
        <v>1582</v>
      </c>
    </row>
    <row r="28" spans="1:18" ht="15.75" x14ac:dyDescent="0.25">
      <c r="A28" s="129"/>
      <c r="B28" s="46" t="s">
        <v>97</v>
      </c>
      <c r="C28" s="10"/>
      <c r="D28" s="48">
        <f t="shared" si="1"/>
        <v>0</v>
      </c>
      <c r="F28" s="91"/>
      <c r="G28" s="61"/>
      <c r="H28" s="201"/>
      <c r="I28" s="202"/>
      <c r="J28" s="203"/>
      <c r="L28" s="7">
        <v>785</v>
      </c>
      <c r="O28" t="s">
        <v>54</v>
      </c>
      <c r="P28" s="4">
        <v>1447</v>
      </c>
      <c r="Q28" s="4">
        <v>120</v>
      </c>
      <c r="R28" s="5">
        <f t="shared" si="0"/>
        <v>1567</v>
      </c>
    </row>
    <row r="29" spans="1:18" x14ac:dyDescent="0.25">
      <c r="A29" s="167" t="s">
        <v>36</v>
      </c>
      <c r="B29" s="168"/>
      <c r="C29" s="169"/>
      <c r="D29" s="173">
        <f>SUM(D6:D28)</f>
        <v>287432</v>
      </c>
      <c r="F29" s="175" t="s">
        <v>55</v>
      </c>
      <c r="G29" s="176"/>
      <c r="H29" s="179">
        <f>H15-H16-H17-H18-H19-H20-H22-H23-H24+H26+H27</f>
        <v>250136</v>
      </c>
      <c r="I29" s="180"/>
      <c r="J29" s="181"/>
      <c r="O29" t="s">
        <v>56</v>
      </c>
      <c r="P29" s="4">
        <v>1582</v>
      </c>
      <c r="Q29" s="4"/>
      <c r="R29" s="5">
        <f t="shared" si="0"/>
        <v>1582</v>
      </c>
    </row>
    <row r="30" spans="1:18" x14ac:dyDescent="0.25">
      <c r="A30" s="170"/>
      <c r="B30" s="171"/>
      <c r="C30" s="172"/>
      <c r="D30" s="174"/>
      <c r="F30" s="177"/>
      <c r="G30" s="178"/>
      <c r="H30" s="182"/>
      <c r="I30" s="183"/>
      <c r="J30" s="184"/>
      <c r="N30" s="1"/>
      <c r="Q30" s="4"/>
      <c r="R30" s="5">
        <f t="shared" si="0"/>
        <v>0</v>
      </c>
    </row>
    <row r="31" spans="1:18" x14ac:dyDescent="0.25">
      <c r="A31" s="24"/>
      <c r="B31" s="24"/>
      <c r="C31" s="24"/>
      <c r="D31" s="24"/>
      <c r="F31" s="24"/>
      <c r="G31" s="24"/>
      <c r="O31" t="s">
        <v>57</v>
      </c>
      <c r="P31" s="4">
        <v>1052</v>
      </c>
      <c r="Q31" s="4">
        <v>120</v>
      </c>
      <c r="R31" s="5">
        <f t="shared" si="0"/>
        <v>1172</v>
      </c>
    </row>
    <row r="32" spans="1:18" x14ac:dyDescent="0.25">
      <c r="A32" s="114" t="s">
        <v>58</v>
      </c>
      <c r="B32" s="115"/>
      <c r="C32" s="115"/>
      <c r="D32" s="116"/>
      <c r="F32" s="204" t="s">
        <v>59</v>
      </c>
      <c r="G32" s="205"/>
      <c r="H32" s="205"/>
      <c r="I32" s="205"/>
      <c r="J32" s="206"/>
      <c r="O32" t="s">
        <v>60</v>
      </c>
      <c r="P32" s="4">
        <v>1005</v>
      </c>
      <c r="Q32" s="4">
        <v>120</v>
      </c>
      <c r="R32" s="5">
        <f t="shared" si="0"/>
        <v>1125</v>
      </c>
    </row>
    <row r="33" spans="1:18" x14ac:dyDescent="0.25">
      <c r="A33" s="25"/>
      <c r="B33" s="25" t="s">
        <v>11</v>
      </c>
      <c r="C33" s="25" t="s">
        <v>61</v>
      </c>
      <c r="D33" s="25" t="s">
        <v>13</v>
      </c>
      <c r="F33" s="25" t="s">
        <v>62</v>
      </c>
      <c r="G33" s="92" t="s">
        <v>63</v>
      </c>
      <c r="H33" s="204" t="s">
        <v>13</v>
      </c>
      <c r="I33" s="205"/>
      <c r="J33" s="206"/>
      <c r="O33" t="s">
        <v>64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27" t="s">
        <v>65</v>
      </c>
      <c r="B34" s="26" t="s">
        <v>66</v>
      </c>
      <c r="C34" s="51"/>
      <c r="D34" s="30">
        <f>C34*120</f>
        <v>0</v>
      </c>
      <c r="F34" s="12">
        <v>1000</v>
      </c>
      <c r="G34" s="74">
        <v>225</v>
      </c>
      <c r="H34" s="207">
        <f>F34*G34</f>
        <v>225000</v>
      </c>
      <c r="I34" s="208"/>
      <c r="J34" s="209"/>
      <c r="O34" t="s">
        <v>67</v>
      </c>
      <c r="P34" s="4">
        <v>832</v>
      </c>
      <c r="Q34" s="4">
        <v>120</v>
      </c>
      <c r="R34" s="5">
        <f t="shared" si="0"/>
        <v>952</v>
      </c>
    </row>
    <row r="35" spans="1:18" ht="15.75" x14ac:dyDescent="0.25">
      <c r="A35" s="128"/>
      <c r="B35" s="27" t="s">
        <v>68</v>
      </c>
      <c r="C35" s="52"/>
      <c r="D35" s="30">
        <f>C35*84</f>
        <v>0</v>
      </c>
      <c r="F35" s="58">
        <v>500</v>
      </c>
      <c r="G35" s="41">
        <v>49</v>
      </c>
      <c r="H35" s="207">
        <f>F35*G35</f>
        <v>24500</v>
      </c>
      <c r="I35" s="208"/>
      <c r="J35" s="209"/>
      <c r="O35" t="s">
        <v>69</v>
      </c>
      <c r="P35" s="4">
        <v>1102</v>
      </c>
      <c r="Q35" s="4"/>
      <c r="R35" s="5">
        <f t="shared" si="0"/>
        <v>1102</v>
      </c>
    </row>
    <row r="36" spans="1:18" ht="15.75" x14ac:dyDescent="0.25">
      <c r="A36" s="129"/>
      <c r="B36" s="26" t="s">
        <v>70</v>
      </c>
      <c r="C36" s="10"/>
      <c r="D36" s="12">
        <f>C36*1.5</f>
        <v>0</v>
      </c>
      <c r="F36" s="12">
        <v>200</v>
      </c>
      <c r="G36" s="37"/>
      <c r="H36" s="207">
        <f t="shared" ref="H36:H39" si="2">F36*G36</f>
        <v>0</v>
      </c>
      <c r="I36" s="208"/>
      <c r="J36" s="209"/>
      <c r="O36" t="s">
        <v>71</v>
      </c>
      <c r="P36" s="4">
        <v>852</v>
      </c>
      <c r="Q36" s="4">
        <v>120</v>
      </c>
      <c r="R36" s="5">
        <f t="shared" si="0"/>
        <v>972</v>
      </c>
    </row>
    <row r="37" spans="1:18" ht="15.75" x14ac:dyDescent="0.25">
      <c r="A37" s="127" t="s">
        <v>72</v>
      </c>
      <c r="B37" s="28" t="s">
        <v>66</v>
      </c>
      <c r="C37" s="53">
        <v>287</v>
      </c>
      <c r="D37" s="12">
        <f>C37*111</f>
        <v>31857</v>
      </c>
      <c r="F37" s="12">
        <v>100</v>
      </c>
      <c r="G37" s="39">
        <v>4</v>
      </c>
      <c r="H37" s="207">
        <f t="shared" si="2"/>
        <v>400</v>
      </c>
      <c r="I37" s="208"/>
      <c r="J37" s="209"/>
      <c r="O37" t="s">
        <v>73</v>
      </c>
      <c r="P37" s="4">
        <v>1020</v>
      </c>
      <c r="Q37" s="4">
        <v>120</v>
      </c>
      <c r="R37" s="5">
        <f t="shared" si="0"/>
        <v>1140</v>
      </c>
    </row>
    <row r="38" spans="1:18" ht="15.75" x14ac:dyDescent="0.25">
      <c r="A38" s="128"/>
      <c r="B38" s="29" t="s">
        <v>68</v>
      </c>
      <c r="C38" s="54">
        <v>12</v>
      </c>
      <c r="D38" s="12">
        <f>C38*84</f>
        <v>1008</v>
      </c>
      <c r="F38" s="30">
        <v>50</v>
      </c>
      <c r="G38" s="39">
        <v>2</v>
      </c>
      <c r="H38" s="207">
        <f t="shared" si="2"/>
        <v>100</v>
      </c>
      <c r="I38" s="208"/>
      <c r="J38" s="209"/>
      <c r="O38" t="s">
        <v>74</v>
      </c>
      <c r="P38" s="4">
        <v>596</v>
      </c>
      <c r="Q38" s="4">
        <v>111</v>
      </c>
      <c r="R38" s="5">
        <f t="shared" si="0"/>
        <v>707</v>
      </c>
    </row>
    <row r="39" spans="1:18" ht="15.75" x14ac:dyDescent="0.25">
      <c r="A39" s="129"/>
      <c r="B39" s="29" t="s">
        <v>70</v>
      </c>
      <c r="C39" s="52">
        <v>1</v>
      </c>
      <c r="D39" s="31">
        <f>C39*4.5</f>
        <v>4.5</v>
      </c>
      <c r="F39" s="12">
        <v>20</v>
      </c>
      <c r="G39" s="37"/>
      <c r="H39" s="207">
        <f t="shared" si="2"/>
        <v>0</v>
      </c>
      <c r="I39" s="208"/>
      <c r="J39" s="209"/>
      <c r="O39" t="s">
        <v>75</v>
      </c>
      <c r="P39" s="4">
        <v>1175</v>
      </c>
      <c r="Q39" s="4"/>
      <c r="R39" s="5">
        <f t="shared" si="0"/>
        <v>1175</v>
      </c>
    </row>
    <row r="40" spans="1:18" ht="15.75" x14ac:dyDescent="0.25">
      <c r="A40" s="127" t="s">
        <v>76</v>
      </c>
      <c r="B40" s="27" t="s">
        <v>66</v>
      </c>
      <c r="C40" s="63">
        <v>14</v>
      </c>
      <c r="D40" s="12">
        <f>C40*111</f>
        <v>1554</v>
      </c>
      <c r="F40" s="12">
        <v>10</v>
      </c>
      <c r="G40" s="42"/>
      <c r="H40" s="207"/>
      <c r="I40" s="208"/>
      <c r="J40" s="209"/>
      <c r="O40" t="s">
        <v>77</v>
      </c>
      <c r="P40" s="4">
        <v>913</v>
      </c>
      <c r="Q40" s="4">
        <v>120</v>
      </c>
      <c r="R40" s="5">
        <f t="shared" si="0"/>
        <v>1033</v>
      </c>
    </row>
    <row r="41" spans="1:18" ht="15.75" x14ac:dyDescent="0.25">
      <c r="A41" s="128"/>
      <c r="B41" s="27" t="s">
        <v>68</v>
      </c>
      <c r="C41" s="10">
        <v>2</v>
      </c>
      <c r="D41" s="12">
        <f>C41*84</f>
        <v>168</v>
      </c>
      <c r="F41" s="12">
        <v>5</v>
      </c>
      <c r="G41" s="42"/>
      <c r="H41" s="207"/>
      <c r="I41" s="208"/>
      <c r="J41" s="209"/>
      <c r="K41" s="21"/>
      <c r="O41" t="s">
        <v>78</v>
      </c>
      <c r="P41" s="4">
        <v>614</v>
      </c>
      <c r="Q41" s="4">
        <v>111</v>
      </c>
      <c r="R41" s="5">
        <f t="shared" si="0"/>
        <v>725</v>
      </c>
    </row>
    <row r="42" spans="1:18" ht="15.75" x14ac:dyDescent="0.25">
      <c r="A42" s="129"/>
      <c r="B42" s="27" t="s">
        <v>70</v>
      </c>
      <c r="C42" s="11">
        <v>2</v>
      </c>
      <c r="D42" s="12">
        <f>C42*2.25</f>
        <v>4.5</v>
      </c>
      <c r="F42" s="39" t="s">
        <v>79</v>
      </c>
      <c r="G42" s="207">
        <v>757</v>
      </c>
      <c r="H42" s="208"/>
      <c r="I42" s="208"/>
      <c r="J42" s="209"/>
      <c r="K42" s="36"/>
      <c r="O42" t="s">
        <v>80</v>
      </c>
      <c r="P42" s="4">
        <v>626</v>
      </c>
      <c r="Q42" s="4">
        <v>111</v>
      </c>
      <c r="R42" s="5">
        <f t="shared" si="0"/>
        <v>737</v>
      </c>
    </row>
    <row r="43" spans="1:18" ht="15.75" x14ac:dyDescent="0.25">
      <c r="A43" s="210" t="s">
        <v>81</v>
      </c>
      <c r="C43" s="11"/>
      <c r="D43" s="12"/>
      <c r="F43" s="59" t="s">
        <v>82</v>
      </c>
      <c r="G43" s="94" t="s">
        <v>83</v>
      </c>
      <c r="H43" s="213" t="s">
        <v>13</v>
      </c>
      <c r="I43" s="214"/>
      <c r="J43" s="215"/>
      <c r="K43" s="21"/>
      <c r="P43" s="4"/>
      <c r="Q43" s="4"/>
      <c r="R43" s="5"/>
    </row>
    <row r="44" spans="1:18" ht="15.75" x14ac:dyDescent="0.25">
      <c r="A44" s="211"/>
      <c r="B44" s="27" t="s">
        <v>66</v>
      </c>
      <c r="C44" s="10">
        <v>1</v>
      </c>
      <c r="D44" s="12">
        <f>C44*120</f>
        <v>120</v>
      </c>
      <c r="F44" s="37"/>
      <c r="G44" s="76"/>
      <c r="H44" s="191"/>
      <c r="I44" s="191"/>
      <c r="J44" s="191"/>
      <c r="K44" s="21"/>
      <c r="P44" s="4"/>
      <c r="Q44" s="4"/>
      <c r="R44" s="5"/>
    </row>
    <row r="45" spans="1:18" ht="15.75" x14ac:dyDescent="0.25">
      <c r="A45" s="211"/>
      <c r="B45" s="27" t="s">
        <v>68</v>
      </c>
      <c r="C45" s="33"/>
      <c r="D45" s="12">
        <f>C45*84</f>
        <v>0</v>
      </c>
      <c r="F45" s="37"/>
      <c r="G45" s="76"/>
      <c r="H45" s="191"/>
      <c r="I45" s="191"/>
      <c r="J45" s="191"/>
      <c r="K45" s="21"/>
      <c r="P45" s="4"/>
      <c r="Q45" s="4"/>
      <c r="R45" s="5"/>
    </row>
    <row r="46" spans="1:18" ht="15.75" x14ac:dyDescent="0.25">
      <c r="A46" s="211"/>
      <c r="B46" s="49" t="s">
        <v>70</v>
      </c>
      <c r="C46" s="81">
        <v>15</v>
      </c>
      <c r="D46" s="12">
        <f>C46*1.5</f>
        <v>22.5</v>
      </c>
      <c r="F46" s="37"/>
      <c r="G46" s="62"/>
      <c r="H46" s="216"/>
      <c r="I46" s="216"/>
      <c r="J46" s="216"/>
      <c r="K46" s="21"/>
      <c r="P46" s="4"/>
      <c r="Q46" s="4"/>
      <c r="R46" s="5"/>
    </row>
    <row r="47" spans="1:18" ht="15.75" x14ac:dyDescent="0.25">
      <c r="A47" s="212"/>
      <c r="B47" s="27"/>
      <c r="C47" s="11"/>
      <c r="D47" s="12"/>
      <c r="F47" s="59"/>
      <c r="G47" s="59"/>
      <c r="H47" s="217"/>
      <c r="I47" s="218"/>
      <c r="J47" s="219"/>
      <c r="K47" s="21"/>
      <c r="P47" s="4"/>
      <c r="Q47" s="4"/>
      <c r="R47" s="5"/>
    </row>
    <row r="48" spans="1:18" ht="15" customHeight="1" x14ac:dyDescent="0.25">
      <c r="A48" s="210" t="s">
        <v>32</v>
      </c>
      <c r="B48" s="27" t="s">
        <v>66</v>
      </c>
      <c r="C48" s="10">
        <v>3</v>
      </c>
      <c r="D48" s="12">
        <f>C48*78</f>
        <v>234</v>
      </c>
      <c r="F48" s="59"/>
      <c r="G48" s="59"/>
      <c r="H48" s="217"/>
      <c r="I48" s="218"/>
      <c r="J48" s="219"/>
      <c r="K48" s="35"/>
      <c r="O48" t="s">
        <v>84</v>
      </c>
      <c r="P48" s="4">
        <v>1175</v>
      </c>
      <c r="Q48" s="4"/>
      <c r="R48" s="5">
        <f t="shared" si="0"/>
        <v>1175</v>
      </c>
    </row>
    <row r="49" spans="1:18" ht="15.75" x14ac:dyDescent="0.25">
      <c r="A49" s="211"/>
      <c r="B49" s="29" t="s">
        <v>68</v>
      </c>
      <c r="C49" s="33">
        <v>7</v>
      </c>
      <c r="D49" s="12">
        <f>C49*42</f>
        <v>294</v>
      </c>
      <c r="F49" s="232" t="s">
        <v>86</v>
      </c>
      <c r="G49" s="179">
        <f>H34+H35+H36+H37+H38+H39+H40+H41+G42+H44+H45+H46</f>
        <v>250757</v>
      </c>
      <c r="H49" s="180"/>
      <c r="I49" s="180"/>
      <c r="J49" s="181"/>
      <c r="O49" t="s">
        <v>85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211"/>
      <c r="B50" s="32" t="s">
        <v>70</v>
      </c>
      <c r="C50" s="11">
        <v>9</v>
      </c>
      <c r="D50" s="12">
        <f>C50*1.5</f>
        <v>13.5</v>
      </c>
      <c r="F50" s="233"/>
      <c r="G50" s="182"/>
      <c r="H50" s="183"/>
      <c r="I50" s="183"/>
      <c r="J50" s="184"/>
      <c r="P50" s="4"/>
      <c r="Q50" s="4"/>
      <c r="R50" s="5"/>
    </row>
    <row r="51" spans="1:18" ht="15" customHeight="1" x14ac:dyDescent="0.25">
      <c r="A51" s="211"/>
      <c r="B51" s="27"/>
      <c r="C51" s="10"/>
      <c r="D51" s="31"/>
      <c r="F51" s="234" t="s">
        <v>143</v>
      </c>
      <c r="G51" s="236">
        <f>G49-H29</f>
        <v>621</v>
      </c>
      <c r="H51" s="237"/>
      <c r="I51" s="237"/>
      <c r="J51" s="238"/>
      <c r="K51" s="21"/>
      <c r="O51" t="s">
        <v>87</v>
      </c>
      <c r="P51" s="4">
        <v>703</v>
      </c>
      <c r="Q51" s="4">
        <v>120</v>
      </c>
      <c r="R51" s="5">
        <f t="shared" si="0"/>
        <v>823</v>
      </c>
    </row>
    <row r="52" spans="1:18" ht="15.75" x14ac:dyDescent="0.25">
      <c r="A52" s="211"/>
      <c r="B52" s="29"/>
      <c r="C52" s="33"/>
      <c r="D52" s="45"/>
      <c r="F52" s="235"/>
      <c r="G52" s="239"/>
      <c r="H52" s="240"/>
      <c r="I52" s="240"/>
      <c r="J52" s="241"/>
      <c r="K52" s="21"/>
      <c r="O52" t="s">
        <v>88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212"/>
      <c r="B53" s="32"/>
      <c r="C53" s="11"/>
      <c r="D53" s="12"/>
      <c r="F53" s="35"/>
      <c r="G53" s="24"/>
      <c r="H53" s="24"/>
      <c r="I53" s="24"/>
      <c r="J53" s="17"/>
      <c r="N53" s="1"/>
      <c r="O53" t="s">
        <v>89</v>
      </c>
      <c r="P53" s="4">
        <v>1142</v>
      </c>
    </row>
    <row r="54" spans="1:18" x14ac:dyDescent="0.25">
      <c r="A54" s="175" t="s">
        <v>90</v>
      </c>
      <c r="B54" s="220"/>
      <c r="C54" s="221"/>
      <c r="D54" s="224">
        <f>SUM(D34:D53)</f>
        <v>35280</v>
      </c>
      <c r="F54" s="21"/>
      <c r="J54" s="34"/>
    </row>
    <row r="55" spans="1:18" x14ac:dyDescent="0.25">
      <c r="A55" s="177"/>
      <c r="B55" s="222"/>
      <c r="C55" s="223"/>
      <c r="D55" s="225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118</v>
      </c>
      <c r="D57" s="34"/>
      <c r="F57" s="36"/>
      <c r="G57" s="50"/>
      <c r="H57" s="50"/>
      <c r="I57" s="50"/>
      <c r="J57" s="43"/>
    </row>
    <row r="58" spans="1:18" x14ac:dyDescent="0.25">
      <c r="A58" s="226" t="s">
        <v>91</v>
      </c>
      <c r="B58" s="227"/>
      <c r="C58" s="227"/>
      <c r="D58" s="228"/>
      <c r="F58" s="226" t="s">
        <v>92</v>
      </c>
      <c r="G58" s="227"/>
      <c r="H58" s="227"/>
      <c r="I58" s="227"/>
      <c r="J58" s="228"/>
    </row>
    <row r="59" spans="1:18" x14ac:dyDescent="0.25">
      <c r="A59" s="229"/>
      <c r="B59" s="230"/>
      <c r="C59" s="230"/>
      <c r="D59" s="231"/>
      <c r="F59" s="229"/>
      <c r="G59" s="230"/>
      <c r="H59" s="230"/>
      <c r="I59" s="230"/>
      <c r="J59" s="231"/>
    </row>
  </sheetData>
  <mergeCells count="68"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  <mergeCell ref="H13:J13"/>
    <mergeCell ref="F14:G14"/>
    <mergeCell ref="H14:J14"/>
    <mergeCell ref="F15:G15"/>
    <mergeCell ref="H15:J15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A32:D32"/>
    <mergeCell ref="F32:J32"/>
    <mergeCell ref="H33:J33"/>
    <mergeCell ref="A34:A36"/>
    <mergeCell ref="H34:J34"/>
    <mergeCell ref="H35:J35"/>
    <mergeCell ref="H36:J36"/>
    <mergeCell ref="A37:A39"/>
    <mergeCell ref="H37:J37"/>
    <mergeCell ref="H38:J38"/>
    <mergeCell ref="H39:J39"/>
    <mergeCell ref="A40:A42"/>
    <mergeCell ref="H40:J40"/>
    <mergeCell ref="H41:J41"/>
    <mergeCell ref="G42:J42"/>
    <mergeCell ref="A43:A47"/>
    <mergeCell ref="H43:J43"/>
    <mergeCell ref="H44:J44"/>
    <mergeCell ref="H45:J45"/>
    <mergeCell ref="H46:J46"/>
    <mergeCell ref="H47:J47"/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2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BFEFA72-AC5A-4B7E-BC00-DE5DCA4B5699}">
  <dimension ref="A1:S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9" x14ac:dyDescent="0.25">
      <c r="A1" t="s">
        <v>0</v>
      </c>
      <c r="N1" s="113" t="s">
        <v>1</v>
      </c>
      <c r="O1" s="113"/>
      <c r="P1" s="90" t="s">
        <v>2</v>
      </c>
      <c r="Q1" s="90" t="s">
        <v>3</v>
      </c>
      <c r="R1" s="2" t="s">
        <v>4</v>
      </c>
    </row>
    <row r="2" spans="1:19" x14ac:dyDescent="0.25">
      <c r="A2" t="s">
        <v>5</v>
      </c>
      <c r="N2" s="1"/>
    </row>
    <row r="3" spans="1:19" x14ac:dyDescent="0.25">
      <c r="N3" s="1" t="s">
        <v>6</v>
      </c>
      <c r="O3" s="4"/>
    </row>
    <row r="4" spans="1:19" x14ac:dyDescent="0.25">
      <c r="A4" s="114" t="s">
        <v>7</v>
      </c>
      <c r="B4" s="115"/>
      <c r="C4" s="115"/>
      <c r="D4" s="116"/>
      <c r="F4" s="117" t="s">
        <v>8</v>
      </c>
      <c r="G4" s="119"/>
      <c r="H4" s="121" t="s">
        <v>9</v>
      </c>
      <c r="I4" s="123"/>
      <c r="J4" s="124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9" x14ac:dyDescent="0.25">
      <c r="A5" s="127" t="s">
        <v>7</v>
      </c>
      <c r="B5" s="15" t="s">
        <v>11</v>
      </c>
      <c r="C5" s="9" t="s">
        <v>12</v>
      </c>
      <c r="D5" s="25" t="s">
        <v>13</v>
      </c>
      <c r="F5" s="118"/>
      <c r="G5" s="120"/>
      <c r="H5" s="122"/>
      <c r="I5" s="125"/>
      <c r="J5" s="126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9" ht="14.45" customHeight="1" x14ac:dyDescent="0.25">
      <c r="A6" s="128"/>
      <c r="B6" s="16"/>
      <c r="C6" s="10"/>
      <c r="D6" s="13">
        <f t="shared" ref="D6:D28" si="1">C6*L6</f>
        <v>0</v>
      </c>
      <c r="F6" s="130" t="s">
        <v>16</v>
      </c>
      <c r="G6" s="132"/>
      <c r="H6" s="133"/>
      <c r="I6" s="133"/>
      <c r="J6" s="134"/>
      <c r="K6" s="8"/>
      <c r="L6" s="6">
        <f>R42</f>
        <v>737</v>
      </c>
      <c r="O6" t="s">
        <v>17</v>
      </c>
      <c r="P6" s="4">
        <v>650</v>
      </c>
      <c r="Q6" s="4"/>
      <c r="R6" s="5">
        <f t="shared" si="0"/>
        <v>650</v>
      </c>
    </row>
    <row r="7" spans="1:19" ht="14.45" customHeight="1" x14ac:dyDescent="0.25">
      <c r="A7" s="128"/>
      <c r="B7" s="16"/>
      <c r="C7" s="10"/>
      <c r="D7" s="13">
        <f t="shared" si="1"/>
        <v>0</v>
      </c>
      <c r="F7" s="131"/>
      <c r="G7" s="135"/>
      <c r="H7" s="136"/>
      <c r="I7" s="136"/>
      <c r="J7" s="137"/>
      <c r="K7" s="8"/>
      <c r="L7" s="6">
        <f>R41</f>
        <v>725</v>
      </c>
      <c r="P7" s="4"/>
      <c r="Q7" s="4"/>
      <c r="R7" s="5"/>
    </row>
    <row r="8" spans="1:19" ht="14.45" customHeight="1" x14ac:dyDescent="0.25">
      <c r="A8" s="128"/>
      <c r="B8" s="16"/>
      <c r="C8" s="10"/>
      <c r="D8" s="13">
        <f t="shared" si="1"/>
        <v>0</v>
      </c>
      <c r="F8" s="138" t="s">
        <v>21</v>
      </c>
      <c r="G8" s="140"/>
      <c r="H8" s="141"/>
      <c r="I8" s="141"/>
      <c r="J8" s="142"/>
      <c r="K8" s="8"/>
      <c r="L8" s="6">
        <f>R40</f>
        <v>1033</v>
      </c>
      <c r="P8" s="4"/>
      <c r="Q8" s="4"/>
      <c r="R8" s="5"/>
    </row>
    <row r="9" spans="1:19" ht="14.45" customHeight="1" x14ac:dyDescent="0.25">
      <c r="A9" s="128"/>
      <c r="B9" s="16"/>
      <c r="C9" s="10"/>
      <c r="D9" s="13">
        <f t="shared" si="1"/>
        <v>0</v>
      </c>
      <c r="F9" s="131"/>
      <c r="G9" s="143"/>
      <c r="H9" s="144"/>
      <c r="I9" s="144"/>
      <c r="J9" s="145"/>
      <c r="K9" s="8"/>
      <c r="L9" s="6">
        <f>R38</f>
        <v>707</v>
      </c>
      <c r="P9" s="4"/>
      <c r="Q9" s="4"/>
      <c r="R9" s="5"/>
    </row>
    <row r="10" spans="1:19" ht="14.45" customHeight="1" x14ac:dyDescent="0.25">
      <c r="A10" s="128"/>
      <c r="C10" s="10"/>
      <c r="D10" s="13">
        <f t="shared" si="1"/>
        <v>0</v>
      </c>
      <c r="F10" s="130" t="s">
        <v>26</v>
      </c>
      <c r="G10" s="146"/>
      <c r="H10" s="147"/>
      <c r="I10" s="147"/>
      <c r="J10" s="148"/>
      <c r="K10" s="8"/>
      <c r="L10" s="6">
        <f>R36</f>
        <v>972</v>
      </c>
      <c r="P10" s="4"/>
      <c r="Q10" s="4"/>
      <c r="R10" s="5"/>
    </row>
    <row r="11" spans="1:19" ht="15.75" x14ac:dyDescent="0.25">
      <c r="A11" s="128"/>
      <c r="B11" s="17"/>
      <c r="C11" s="10"/>
      <c r="D11" s="13">
        <f t="shared" si="1"/>
        <v>0</v>
      </c>
      <c r="F11" s="131"/>
      <c r="G11" s="143"/>
      <c r="H11" s="144"/>
      <c r="I11" s="144"/>
      <c r="J11" s="145"/>
      <c r="K11" s="22"/>
      <c r="L11" s="6">
        <f>R32</f>
        <v>1125</v>
      </c>
      <c r="O11" t="s">
        <v>19</v>
      </c>
      <c r="P11" s="4">
        <v>650</v>
      </c>
      <c r="Q11" s="4"/>
      <c r="R11" s="5">
        <f t="shared" si="0"/>
        <v>650</v>
      </c>
    </row>
    <row r="12" spans="1:19" ht="15.75" x14ac:dyDescent="0.25">
      <c r="A12" s="128"/>
      <c r="B12" s="17"/>
      <c r="C12" s="10"/>
      <c r="D12" s="48">
        <f t="shared" si="1"/>
        <v>0</v>
      </c>
      <c r="F12" s="149" t="s">
        <v>33</v>
      </c>
      <c r="G12" s="150"/>
      <c r="H12" s="150"/>
      <c r="I12" s="150"/>
      <c r="J12" s="151"/>
      <c r="K12" s="23"/>
      <c r="L12" s="6">
        <f>R34</f>
        <v>952</v>
      </c>
      <c r="O12" t="s">
        <v>22</v>
      </c>
      <c r="P12" s="4">
        <v>650</v>
      </c>
      <c r="Q12" s="4"/>
      <c r="R12" s="5">
        <f t="shared" si="0"/>
        <v>650</v>
      </c>
    </row>
    <row r="13" spans="1:19" ht="15.75" x14ac:dyDescent="0.25">
      <c r="A13" s="128"/>
      <c r="B13" s="17"/>
      <c r="C13" s="10"/>
      <c r="D13" s="48">
        <f t="shared" si="1"/>
        <v>0</v>
      </c>
      <c r="F13" s="152" t="s">
        <v>36</v>
      </c>
      <c r="G13" s="153"/>
      <c r="H13" s="154">
        <f>D29</f>
        <v>0</v>
      </c>
      <c r="I13" s="155"/>
      <c r="J13" s="156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9" ht="15.75" x14ac:dyDescent="0.25">
      <c r="A14" s="128"/>
      <c r="B14" s="14"/>
      <c r="C14" s="10"/>
      <c r="D14" s="31">
        <f t="shared" si="1"/>
        <v>0</v>
      </c>
      <c r="F14" s="157" t="s">
        <v>39</v>
      </c>
      <c r="G14" s="158"/>
      <c r="H14" s="159">
        <f>D54</f>
        <v>0</v>
      </c>
      <c r="I14" s="160"/>
      <c r="J14" s="161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  <c r="S14">
        <f>205+78</f>
        <v>283</v>
      </c>
    </row>
    <row r="15" spans="1:19" ht="15.75" x14ac:dyDescent="0.25">
      <c r="A15" s="128"/>
      <c r="B15" s="14"/>
      <c r="C15" s="10"/>
      <c r="D15" s="31">
        <f t="shared" si="1"/>
        <v>0</v>
      </c>
      <c r="F15" s="162" t="s">
        <v>40</v>
      </c>
      <c r="G15" s="153"/>
      <c r="H15" s="163">
        <f>H13-H14</f>
        <v>0</v>
      </c>
      <c r="I15" s="164"/>
      <c r="J15" s="165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  <c r="S15">
        <f>229+78</f>
        <v>307</v>
      </c>
    </row>
    <row r="16" spans="1:19" ht="15.75" x14ac:dyDescent="0.25">
      <c r="A16" s="128"/>
      <c r="B16" s="18"/>
      <c r="C16" s="10"/>
      <c r="D16" s="48">
        <f t="shared" si="1"/>
        <v>0</v>
      </c>
      <c r="F16" s="67" t="s">
        <v>42</v>
      </c>
      <c r="G16" s="66" t="s">
        <v>43</v>
      </c>
      <c r="H16" s="166"/>
      <c r="I16" s="166"/>
      <c r="J16" s="166"/>
      <c r="L16" s="6">
        <f>R28</f>
        <v>1567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28"/>
      <c r="C17" s="10"/>
      <c r="D17" s="48">
        <f t="shared" si="1"/>
        <v>0</v>
      </c>
      <c r="F17" s="56"/>
      <c r="G17" s="66" t="s">
        <v>45</v>
      </c>
      <c r="H17" s="139"/>
      <c r="I17" s="139"/>
      <c r="J17" s="139"/>
      <c r="L17" s="6">
        <v>1582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28"/>
      <c r="B18" s="19"/>
      <c r="C18" s="10"/>
      <c r="D18" s="48">
        <f t="shared" si="1"/>
        <v>0</v>
      </c>
      <c r="F18" s="56"/>
      <c r="G18" s="66" t="s">
        <v>47</v>
      </c>
      <c r="H18" s="139"/>
      <c r="I18" s="139"/>
      <c r="J18" s="139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28"/>
      <c r="B19" s="14"/>
      <c r="C19" s="10"/>
      <c r="D19" s="48">
        <f t="shared" si="1"/>
        <v>0</v>
      </c>
      <c r="F19" s="56"/>
      <c r="G19" s="68" t="s">
        <v>50</v>
      </c>
      <c r="H19" s="185"/>
      <c r="I19" s="185"/>
      <c r="J19" s="185"/>
      <c r="L19" s="6">
        <f>R35</f>
        <v>1102</v>
      </c>
      <c r="Q19" s="4"/>
      <c r="R19" s="5">
        <f t="shared" si="0"/>
        <v>0</v>
      </c>
    </row>
    <row r="20" spans="1:18" ht="15.75" x14ac:dyDescent="0.25">
      <c r="A20" s="128"/>
      <c r="B20" s="46"/>
      <c r="C20" s="10"/>
      <c r="D20" s="13">
        <f t="shared" si="1"/>
        <v>0</v>
      </c>
      <c r="F20" s="57"/>
      <c r="G20" s="70" t="s">
        <v>120</v>
      </c>
      <c r="H20" s="166"/>
      <c r="I20" s="166"/>
      <c r="J20" s="166"/>
      <c r="L20" s="6">
        <f>1102</f>
        <v>1102</v>
      </c>
      <c r="N20" s="1" t="s">
        <v>41</v>
      </c>
      <c r="Q20" s="4"/>
      <c r="R20" s="5">
        <f t="shared" si="0"/>
        <v>0</v>
      </c>
    </row>
    <row r="21" spans="1:18" ht="15.75" x14ac:dyDescent="0.25">
      <c r="A21" s="128"/>
      <c r="B21" s="14"/>
      <c r="C21" s="10"/>
      <c r="D21" s="48">
        <f t="shared" si="1"/>
        <v>0</v>
      </c>
      <c r="F21" s="69" t="s">
        <v>99</v>
      </c>
      <c r="G21" s="82" t="s">
        <v>98</v>
      </c>
      <c r="H21" s="186" t="s">
        <v>13</v>
      </c>
      <c r="I21" s="187"/>
      <c r="J21" s="188"/>
      <c r="L21" s="7">
        <v>650</v>
      </c>
      <c r="O21" t="s">
        <v>44</v>
      </c>
      <c r="P21" s="4">
        <v>1447</v>
      </c>
      <c r="Q21" s="4">
        <v>120</v>
      </c>
      <c r="R21" s="5">
        <f t="shared" si="0"/>
        <v>1567</v>
      </c>
    </row>
    <row r="22" spans="1:18" ht="15.75" x14ac:dyDescent="0.25">
      <c r="A22" s="128"/>
      <c r="B22" s="46"/>
      <c r="C22" s="10"/>
      <c r="D22" s="48">
        <f t="shared" si="1"/>
        <v>0</v>
      </c>
      <c r="F22" s="77"/>
      <c r="G22" s="73"/>
      <c r="H22" s="189"/>
      <c r="I22" s="189"/>
      <c r="J22" s="189"/>
      <c r="L22" s="7">
        <f>559+111</f>
        <v>670</v>
      </c>
      <c r="O22" t="s">
        <v>46</v>
      </c>
      <c r="P22" s="4">
        <v>1582</v>
      </c>
      <c r="Q22" s="4"/>
      <c r="R22" s="5">
        <f t="shared" si="0"/>
        <v>1582</v>
      </c>
    </row>
    <row r="23" spans="1:18" ht="15.75" x14ac:dyDescent="0.25">
      <c r="A23" s="128"/>
      <c r="B23" s="14"/>
      <c r="C23" s="10"/>
      <c r="D23" s="48">
        <f t="shared" si="1"/>
        <v>0</v>
      </c>
      <c r="F23" s="78"/>
      <c r="G23" s="79"/>
      <c r="H23" s="190"/>
      <c r="I23" s="191"/>
      <c r="J23" s="191"/>
      <c r="L23" s="47">
        <f>R33</f>
        <v>1175</v>
      </c>
      <c r="N23" s="1"/>
      <c r="O23" t="s">
        <v>48</v>
      </c>
      <c r="P23" s="4">
        <v>1728</v>
      </c>
      <c r="Q23" s="4"/>
      <c r="R23" s="5">
        <f t="shared" si="0"/>
        <v>1728</v>
      </c>
    </row>
    <row r="24" spans="1:18" ht="15.75" x14ac:dyDescent="0.25">
      <c r="A24" s="128"/>
      <c r="B24" s="14"/>
      <c r="C24" s="10"/>
      <c r="D24" s="48">
        <f t="shared" si="1"/>
        <v>0</v>
      </c>
      <c r="F24" s="38"/>
      <c r="G24" s="37"/>
      <c r="H24" s="190"/>
      <c r="I24" s="191"/>
      <c r="J24" s="191"/>
      <c r="L24" s="47">
        <v>1667</v>
      </c>
      <c r="N24" s="1"/>
      <c r="O24" t="s">
        <v>49</v>
      </c>
      <c r="P24" s="4">
        <v>1728</v>
      </c>
      <c r="Q24" s="4"/>
      <c r="R24" s="5">
        <f t="shared" si="0"/>
        <v>1728</v>
      </c>
    </row>
    <row r="25" spans="1:18" ht="15.75" x14ac:dyDescent="0.25">
      <c r="A25" s="128"/>
      <c r="B25" s="14"/>
      <c r="C25" s="10"/>
      <c r="D25" s="48">
        <f t="shared" si="1"/>
        <v>0</v>
      </c>
      <c r="F25" s="60" t="s">
        <v>100</v>
      </c>
      <c r="G25" s="55" t="s">
        <v>98</v>
      </c>
      <c r="H25" s="192" t="s">
        <v>13</v>
      </c>
      <c r="I25" s="193"/>
      <c r="J25" s="194"/>
      <c r="L25" s="47">
        <f>1582</f>
        <v>1582</v>
      </c>
      <c r="O25" t="s">
        <v>51</v>
      </c>
      <c r="P25" s="4">
        <v>1582</v>
      </c>
      <c r="Q25" s="4"/>
      <c r="R25" s="5">
        <f t="shared" si="0"/>
        <v>1582</v>
      </c>
    </row>
    <row r="26" spans="1:18" ht="15.75" x14ac:dyDescent="0.25">
      <c r="A26" s="128"/>
      <c r="B26" s="14"/>
      <c r="C26" s="10"/>
      <c r="D26" s="48">
        <f t="shared" si="1"/>
        <v>0</v>
      </c>
      <c r="F26" s="64"/>
      <c r="G26" s="59"/>
      <c r="H26" s="195"/>
      <c r="I26" s="196"/>
      <c r="J26" s="197"/>
      <c r="L26" s="7">
        <f>832/24+1.5</f>
        <v>36.166666666666664</v>
      </c>
      <c r="O26" t="s">
        <v>52</v>
      </c>
      <c r="P26" s="4">
        <v>1447</v>
      </c>
      <c r="Q26" s="4">
        <v>120</v>
      </c>
      <c r="R26" s="5">
        <f t="shared" si="0"/>
        <v>1567</v>
      </c>
    </row>
    <row r="27" spans="1:18" ht="14.45" customHeight="1" x14ac:dyDescent="0.25">
      <c r="A27" s="128"/>
      <c r="B27" s="14"/>
      <c r="C27" s="10"/>
      <c r="D27" s="44">
        <f t="shared" si="1"/>
        <v>0</v>
      </c>
      <c r="F27" s="25"/>
      <c r="G27" s="80"/>
      <c r="H27" s="198"/>
      <c r="I27" s="199"/>
      <c r="J27" s="200"/>
      <c r="L27" s="7">
        <v>1582</v>
      </c>
      <c r="O27" t="s">
        <v>53</v>
      </c>
      <c r="P27" s="4">
        <v>1582</v>
      </c>
      <c r="Q27" s="4"/>
      <c r="R27" s="5">
        <f t="shared" si="0"/>
        <v>1582</v>
      </c>
    </row>
    <row r="28" spans="1:18" ht="15.75" x14ac:dyDescent="0.25">
      <c r="A28" s="129"/>
      <c r="B28" s="46"/>
      <c r="C28" s="10"/>
      <c r="D28" s="48">
        <f t="shared" si="1"/>
        <v>0</v>
      </c>
      <c r="F28" s="91"/>
      <c r="G28" s="61"/>
      <c r="H28" s="201"/>
      <c r="I28" s="202"/>
      <c r="J28" s="203"/>
      <c r="L28" s="7">
        <v>785</v>
      </c>
      <c r="O28" t="s">
        <v>54</v>
      </c>
      <c r="P28" s="4">
        <v>1447</v>
      </c>
      <c r="Q28" s="4">
        <v>120</v>
      </c>
      <c r="R28" s="5">
        <f t="shared" si="0"/>
        <v>1567</v>
      </c>
    </row>
    <row r="29" spans="1:18" x14ac:dyDescent="0.25">
      <c r="A29" s="167" t="s">
        <v>36</v>
      </c>
      <c r="B29" s="168"/>
      <c r="C29" s="169"/>
      <c r="D29" s="173">
        <f>SUM(D6:D28)</f>
        <v>0</v>
      </c>
      <c r="F29" s="175" t="s">
        <v>55</v>
      </c>
      <c r="G29" s="176"/>
      <c r="H29" s="179">
        <f>H15-H16-H17-H18-H19-H20-H22-H23-H24+H26+H27</f>
        <v>0</v>
      </c>
      <c r="I29" s="180"/>
      <c r="J29" s="181"/>
      <c r="O29" t="s">
        <v>56</v>
      </c>
      <c r="P29" s="4">
        <v>1582</v>
      </c>
      <c r="Q29" s="4"/>
      <c r="R29" s="5">
        <f t="shared" si="0"/>
        <v>1582</v>
      </c>
    </row>
    <row r="30" spans="1:18" x14ac:dyDescent="0.25">
      <c r="A30" s="170"/>
      <c r="B30" s="171"/>
      <c r="C30" s="172"/>
      <c r="D30" s="174"/>
      <c r="F30" s="177"/>
      <c r="G30" s="178"/>
      <c r="H30" s="182"/>
      <c r="I30" s="183"/>
      <c r="J30" s="184"/>
      <c r="N30" s="1"/>
      <c r="Q30" s="4"/>
      <c r="R30" s="5">
        <f t="shared" si="0"/>
        <v>0</v>
      </c>
    </row>
    <row r="31" spans="1:18" x14ac:dyDescent="0.25">
      <c r="A31" s="24"/>
      <c r="B31" s="24"/>
      <c r="C31" s="24"/>
      <c r="D31" s="24"/>
      <c r="F31" s="24"/>
      <c r="G31" s="24"/>
      <c r="O31" t="s">
        <v>57</v>
      </c>
      <c r="P31" s="4">
        <v>1052</v>
      </c>
      <c r="Q31" s="4">
        <v>120</v>
      </c>
      <c r="R31" s="5">
        <f t="shared" si="0"/>
        <v>1172</v>
      </c>
    </row>
    <row r="32" spans="1:18" x14ac:dyDescent="0.25">
      <c r="A32" s="114" t="s">
        <v>58</v>
      </c>
      <c r="B32" s="115"/>
      <c r="C32" s="115"/>
      <c r="D32" s="116"/>
      <c r="F32" s="204" t="s">
        <v>59</v>
      </c>
      <c r="G32" s="205"/>
      <c r="H32" s="205"/>
      <c r="I32" s="205"/>
      <c r="J32" s="206"/>
      <c r="O32" t="s">
        <v>60</v>
      </c>
      <c r="P32" s="4">
        <v>1005</v>
      </c>
      <c r="Q32" s="4">
        <v>120</v>
      </c>
      <c r="R32" s="5">
        <f t="shared" si="0"/>
        <v>1125</v>
      </c>
    </row>
    <row r="33" spans="1:18" x14ac:dyDescent="0.25">
      <c r="A33" s="25"/>
      <c r="B33" s="25" t="s">
        <v>11</v>
      </c>
      <c r="C33" s="25" t="s">
        <v>61</v>
      </c>
      <c r="D33" s="25" t="s">
        <v>13</v>
      </c>
      <c r="F33" s="25" t="s">
        <v>62</v>
      </c>
      <c r="G33" s="92" t="s">
        <v>63</v>
      </c>
      <c r="H33" s="204" t="s">
        <v>13</v>
      </c>
      <c r="I33" s="205"/>
      <c r="J33" s="206"/>
      <c r="O33" t="s">
        <v>64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27" t="s">
        <v>65</v>
      </c>
      <c r="B34" s="26" t="s">
        <v>66</v>
      </c>
      <c r="C34" s="51"/>
      <c r="D34" s="30">
        <f>C34*120</f>
        <v>0</v>
      </c>
      <c r="F34" s="12">
        <v>1000</v>
      </c>
      <c r="G34" s="74"/>
      <c r="H34" s="207"/>
      <c r="I34" s="208"/>
      <c r="J34" s="209"/>
      <c r="O34" t="s">
        <v>67</v>
      </c>
      <c r="P34" s="4">
        <v>832</v>
      </c>
      <c r="Q34" s="4">
        <v>120</v>
      </c>
      <c r="R34" s="5">
        <f t="shared" si="0"/>
        <v>952</v>
      </c>
    </row>
    <row r="35" spans="1:18" ht="15.75" x14ac:dyDescent="0.25">
      <c r="A35" s="128"/>
      <c r="B35" s="27" t="s">
        <v>68</v>
      </c>
      <c r="C35" s="52"/>
      <c r="D35" s="30">
        <f>C35*84</f>
        <v>0</v>
      </c>
      <c r="F35" s="58">
        <v>500</v>
      </c>
      <c r="G35" s="41"/>
      <c r="H35" s="207"/>
      <c r="I35" s="208"/>
      <c r="J35" s="209"/>
      <c r="O35" t="s">
        <v>69</v>
      </c>
      <c r="P35" s="4">
        <v>1102</v>
      </c>
      <c r="Q35" s="4"/>
      <c r="R35" s="5">
        <f t="shared" si="0"/>
        <v>1102</v>
      </c>
    </row>
    <row r="36" spans="1:18" ht="15.75" x14ac:dyDescent="0.25">
      <c r="A36" s="129"/>
      <c r="B36" s="26" t="s">
        <v>70</v>
      </c>
      <c r="C36" s="10"/>
      <c r="D36" s="12">
        <f>C36*1.5</f>
        <v>0</v>
      </c>
      <c r="F36" s="12">
        <v>200</v>
      </c>
      <c r="G36" s="37"/>
      <c r="H36" s="207"/>
      <c r="I36" s="208"/>
      <c r="J36" s="209"/>
      <c r="O36" t="s">
        <v>71</v>
      </c>
      <c r="P36" s="4">
        <v>852</v>
      </c>
      <c r="Q36" s="4">
        <v>120</v>
      </c>
      <c r="R36" s="5">
        <f t="shared" si="0"/>
        <v>972</v>
      </c>
    </row>
    <row r="37" spans="1:18" ht="15.75" x14ac:dyDescent="0.25">
      <c r="A37" s="127" t="s">
        <v>72</v>
      </c>
      <c r="B37" s="28" t="s">
        <v>66</v>
      </c>
      <c r="C37" s="53"/>
      <c r="D37" s="12">
        <f>C37*111</f>
        <v>0</v>
      </c>
      <c r="F37" s="12">
        <v>100</v>
      </c>
      <c r="G37" s="39"/>
      <c r="H37" s="207"/>
      <c r="I37" s="208"/>
      <c r="J37" s="209"/>
      <c r="O37" t="s">
        <v>73</v>
      </c>
      <c r="P37" s="4">
        <v>1020</v>
      </c>
      <c r="Q37" s="4">
        <v>120</v>
      </c>
      <c r="R37" s="5">
        <f t="shared" si="0"/>
        <v>1140</v>
      </c>
    </row>
    <row r="38" spans="1:18" ht="15.75" x14ac:dyDescent="0.25">
      <c r="A38" s="128"/>
      <c r="B38" s="29" t="s">
        <v>68</v>
      </c>
      <c r="C38" s="54"/>
      <c r="D38" s="12">
        <f>C38*84</f>
        <v>0</v>
      </c>
      <c r="F38" s="30">
        <v>50</v>
      </c>
      <c r="G38" s="39"/>
      <c r="H38" s="207"/>
      <c r="I38" s="208"/>
      <c r="J38" s="209"/>
      <c r="O38" t="s">
        <v>74</v>
      </c>
      <c r="P38" s="4">
        <v>596</v>
      </c>
      <c r="Q38" s="4">
        <v>111</v>
      </c>
      <c r="R38" s="5">
        <f t="shared" si="0"/>
        <v>707</v>
      </c>
    </row>
    <row r="39" spans="1:18" ht="15.75" x14ac:dyDescent="0.25">
      <c r="A39" s="129"/>
      <c r="B39" s="29" t="s">
        <v>70</v>
      </c>
      <c r="C39" s="52"/>
      <c r="D39" s="31">
        <f>C39*4.5</f>
        <v>0</v>
      </c>
      <c r="F39" s="12">
        <v>20</v>
      </c>
      <c r="G39" s="37"/>
      <c r="H39" s="207"/>
      <c r="I39" s="208"/>
      <c r="J39" s="209"/>
      <c r="O39" t="s">
        <v>75</v>
      </c>
      <c r="P39" s="4">
        <v>1175</v>
      </c>
      <c r="Q39" s="4"/>
      <c r="R39" s="5">
        <f t="shared" si="0"/>
        <v>1175</v>
      </c>
    </row>
    <row r="40" spans="1:18" ht="15.75" x14ac:dyDescent="0.25">
      <c r="A40" s="127" t="s">
        <v>76</v>
      </c>
      <c r="B40" s="27" t="s">
        <v>66</v>
      </c>
      <c r="C40" s="63"/>
      <c r="D40" s="12">
        <f>C40*111</f>
        <v>0</v>
      </c>
      <c r="F40" s="12">
        <v>10</v>
      </c>
      <c r="G40" s="42"/>
      <c r="H40" s="207"/>
      <c r="I40" s="208"/>
      <c r="J40" s="209"/>
      <c r="O40" t="s">
        <v>77</v>
      </c>
      <c r="P40" s="4">
        <v>913</v>
      </c>
      <c r="Q40" s="4">
        <v>120</v>
      </c>
      <c r="R40" s="5">
        <f t="shared" si="0"/>
        <v>1033</v>
      </c>
    </row>
    <row r="41" spans="1:18" ht="15.75" x14ac:dyDescent="0.25">
      <c r="A41" s="128"/>
      <c r="B41" s="27" t="s">
        <v>68</v>
      </c>
      <c r="C41" s="10"/>
      <c r="D41" s="12">
        <f>C41*84</f>
        <v>0</v>
      </c>
      <c r="F41" s="12">
        <v>5</v>
      </c>
      <c r="G41" s="42"/>
      <c r="H41" s="207"/>
      <c r="I41" s="208"/>
      <c r="J41" s="209"/>
      <c r="K41" s="21"/>
      <c r="O41" t="s">
        <v>78</v>
      </c>
      <c r="P41" s="4">
        <v>614</v>
      </c>
      <c r="Q41" s="4">
        <v>111</v>
      </c>
      <c r="R41" s="5">
        <f t="shared" si="0"/>
        <v>725</v>
      </c>
    </row>
    <row r="42" spans="1:18" ht="15.75" x14ac:dyDescent="0.25">
      <c r="A42" s="129"/>
      <c r="B42" s="27" t="s">
        <v>70</v>
      </c>
      <c r="C42" s="11"/>
      <c r="D42" s="12">
        <f>C42*2.25</f>
        <v>0</v>
      </c>
      <c r="F42" s="39" t="s">
        <v>79</v>
      </c>
      <c r="G42" s="207"/>
      <c r="H42" s="208"/>
      <c r="I42" s="208"/>
      <c r="J42" s="209"/>
      <c r="K42" s="36"/>
      <c r="O42" t="s">
        <v>80</v>
      </c>
      <c r="P42" s="4">
        <v>626</v>
      </c>
      <c r="Q42" s="4">
        <v>111</v>
      </c>
      <c r="R42" s="5">
        <f t="shared" si="0"/>
        <v>737</v>
      </c>
    </row>
    <row r="43" spans="1:18" ht="15.75" x14ac:dyDescent="0.25">
      <c r="A43" s="210" t="s">
        <v>81</v>
      </c>
      <c r="C43" s="11"/>
      <c r="D43" s="12"/>
      <c r="F43" s="59" t="s">
        <v>82</v>
      </c>
      <c r="G43" s="94" t="s">
        <v>83</v>
      </c>
      <c r="H43" s="213" t="s">
        <v>13</v>
      </c>
      <c r="I43" s="214"/>
      <c r="J43" s="215"/>
      <c r="K43" s="21"/>
      <c r="P43" s="4"/>
      <c r="Q43" s="4"/>
      <c r="R43" s="5"/>
    </row>
    <row r="44" spans="1:18" ht="15.75" x14ac:dyDescent="0.25">
      <c r="A44" s="211"/>
      <c r="B44" s="27" t="s">
        <v>66</v>
      </c>
      <c r="C44" s="10"/>
      <c r="D44" s="12">
        <f>C44*120</f>
        <v>0</v>
      </c>
      <c r="F44" s="37"/>
      <c r="G44" s="76"/>
      <c r="H44" s="191"/>
      <c r="I44" s="191"/>
      <c r="J44" s="191"/>
      <c r="K44" s="21"/>
      <c r="P44" s="4"/>
      <c r="Q44" s="4"/>
      <c r="R44" s="5"/>
    </row>
    <row r="45" spans="1:18" ht="15.75" x14ac:dyDescent="0.25">
      <c r="A45" s="211"/>
      <c r="B45" s="27" t="s">
        <v>68</v>
      </c>
      <c r="C45" s="33"/>
      <c r="D45" s="12">
        <f>C45*84</f>
        <v>0</v>
      </c>
      <c r="F45" s="37"/>
      <c r="G45" s="76"/>
      <c r="H45" s="191"/>
      <c r="I45" s="191"/>
      <c r="J45" s="191"/>
      <c r="K45" s="21"/>
      <c r="P45" s="4"/>
      <c r="Q45" s="4"/>
      <c r="R45" s="5"/>
    </row>
    <row r="46" spans="1:18" ht="15.75" x14ac:dyDescent="0.25">
      <c r="A46" s="211"/>
      <c r="B46" s="49" t="s">
        <v>70</v>
      </c>
      <c r="C46" s="81"/>
      <c r="D46" s="12">
        <f>C46*1.5</f>
        <v>0</v>
      </c>
      <c r="F46" s="37"/>
      <c r="G46" s="62"/>
      <c r="H46" s="216"/>
      <c r="I46" s="216"/>
      <c r="J46" s="216"/>
      <c r="K46" s="21"/>
      <c r="P46" s="4"/>
      <c r="Q46" s="4"/>
      <c r="R46" s="5"/>
    </row>
    <row r="47" spans="1:18" ht="15.75" x14ac:dyDescent="0.25">
      <c r="A47" s="212"/>
      <c r="B47" s="27"/>
      <c r="C47" s="11"/>
      <c r="D47" s="12"/>
      <c r="F47" s="59"/>
      <c r="G47" s="59"/>
      <c r="H47" s="217"/>
      <c r="I47" s="218"/>
      <c r="J47" s="219"/>
      <c r="K47" s="21"/>
      <c r="P47" s="4"/>
      <c r="Q47" s="4"/>
      <c r="R47" s="5"/>
    </row>
    <row r="48" spans="1:18" ht="15" customHeight="1" x14ac:dyDescent="0.25">
      <c r="A48" s="210" t="s">
        <v>32</v>
      </c>
      <c r="B48" s="27" t="s">
        <v>66</v>
      </c>
      <c r="C48" s="10"/>
      <c r="D48" s="12">
        <f>C48*78</f>
        <v>0</v>
      </c>
      <c r="F48" s="59"/>
      <c r="G48" s="59"/>
      <c r="H48" s="217"/>
      <c r="I48" s="218"/>
      <c r="J48" s="219"/>
      <c r="K48" s="35"/>
      <c r="O48" t="s">
        <v>84</v>
      </c>
      <c r="P48" s="4">
        <v>1175</v>
      </c>
      <c r="Q48" s="4"/>
      <c r="R48" s="5">
        <f t="shared" si="0"/>
        <v>1175</v>
      </c>
    </row>
    <row r="49" spans="1:18" ht="15.75" x14ac:dyDescent="0.25">
      <c r="A49" s="211"/>
      <c r="B49" s="29" t="s">
        <v>68</v>
      </c>
      <c r="C49" s="33"/>
      <c r="D49" s="12">
        <f>C49*42</f>
        <v>0</v>
      </c>
      <c r="F49" s="232" t="s">
        <v>86</v>
      </c>
      <c r="G49" s="179">
        <f>H34+H35+H36+H37+H38+H39+H40+H41+G42+H44+H45+H46</f>
        <v>0</v>
      </c>
      <c r="H49" s="180"/>
      <c r="I49" s="180"/>
      <c r="J49" s="181"/>
      <c r="O49" t="s">
        <v>85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211"/>
      <c r="B50" s="32" t="s">
        <v>70</v>
      </c>
      <c r="C50" s="11"/>
      <c r="D50" s="12">
        <f>C50*1.5</f>
        <v>0</v>
      </c>
      <c r="F50" s="233"/>
      <c r="G50" s="182"/>
      <c r="H50" s="183"/>
      <c r="I50" s="183"/>
      <c r="J50" s="184"/>
      <c r="P50" s="4"/>
      <c r="Q50" s="4"/>
      <c r="R50" s="5"/>
    </row>
    <row r="51" spans="1:18" ht="15" customHeight="1" x14ac:dyDescent="0.25">
      <c r="A51" s="211"/>
      <c r="B51" s="27"/>
      <c r="C51" s="10"/>
      <c r="D51" s="31"/>
      <c r="F51" s="234" t="s">
        <v>128</v>
      </c>
      <c r="G51" s="236">
        <f>G49-H29</f>
        <v>0</v>
      </c>
      <c r="H51" s="237"/>
      <c r="I51" s="237"/>
      <c r="J51" s="238"/>
      <c r="K51" s="21"/>
      <c r="O51" t="s">
        <v>87</v>
      </c>
      <c r="P51" s="4">
        <v>703</v>
      </c>
      <c r="Q51" s="4">
        <v>120</v>
      </c>
      <c r="R51" s="5">
        <f t="shared" si="0"/>
        <v>823</v>
      </c>
    </row>
    <row r="52" spans="1:18" ht="15.75" x14ac:dyDescent="0.25">
      <c r="A52" s="211"/>
      <c r="B52" s="29"/>
      <c r="C52" s="33"/>
      <c r="D52" s="45"/>
      <c r="F52" s="235"/>
      <c r="G52" s="239"/>
      <c r="H52" s="240"/>
      <c r="I52" s="240"/>
      <c r="J52" s="241"/>
      <c r="K52" s="21"/>
      <c r="O52" t="s">
        <v>88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212"/>
      <c r="B53" s="32"/>
      <c r="C53" s="11"/>
      <c r="D53" s="12"/>
      <c r="F53" s="35"/>
      <c r="G53" s="24"/>
      <c r="H53" s="24"/>
      <c r="I53" s="24"/>
      <c r="J53" s="17"/>
      <c r="N53" s="1"/>
      <c r="O53" t="s">
        <v>89</v>
      </c>
      <c r="P53" s="4">
        <v>1142</v>
      </c>
    </row>
    <row r="54" spans="1:18" x14ac:dyDescent="0.25">
      <c r="A54" s="175" t="s">
        <v>90</v>
      </c>
      <c r="B54" s="220"/>
      <c r="C54" s="221"/>
      <c r="D54" s="224">
        <f>SUM(D34:D53)</f>
        <v>0</v>
      </c>
      <c r="F54" s="21"/>
      <c r="J54" s="34"/>
    </row>
    <row r="55" spans="1:18" x14ac:dyDescent="0.25">
      <c r="A55" s="177"/>
      <c r="B55" s="222"/>
      <c r="C55" s="223"/>
      <c r="D55" s="225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D57" s="34"/>
      <c r="F57" s="36"/>
      <c r="G57" s="50"/>
      <c r="H57" s="50"/>
      <c r="I57" s="50"/>
      <c r="J57" s="43"/>
    </row>
    <row r="58" spans="1:18" x14ac:dyDescent="0.25">
      <c r="A58" s="226" t="s">
        <v>91</v>
      </c>
      <c r="B58" s="227"/>
      <c r="C58" s="227"/>
      <c r="D58" s="228"/>
      <c r="F58" s="226" t="s">
        <v>92</v>
      </c>
      <c r="G58" s="227"/>
      <c r="H58" s="227"/>
      <c r="I58" s="227"/>
      <c r="J58" s="228"/>
    </row>
    <row r="59" spans="1:18" x14ac:dyDescent="0.25">
      <c r="A59" s="229"/>
      <c r="B59" s="230"/>
      <c r="C59" s="230"/>
      <c r="D59" s="231"/>
      <c r="F59" s="229"/>
      <c r="G59" s="230"/>
      <c r="H59" s="230"/>
      <c r="I59" s="230"/>
      <c r="J59" s="231"/>
    </row>
  </sheetData>
  <mergeCells count="68"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  <mergeCell ref="H13:J13"/>
    <mergeCell ref="F14:G14"/>
    <mergeCell ref="H14:J14"/>
    <mergeCell ref="F15:G15"/>
    <mergeCell ref="H15:J15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A32:D32"/>
    <mergeCell ref="F32:J32"/>
    <mergeCell ref="H33:J33"/>
    <mergeCell ref="A34:A36"/>
    <mergeCell ref="H34:J34"/>
    <mergeCell ref="H35:J35"/>
    <mergeCell ref="H36:J36"/>
    <mergeCell ref="A37:A39"/>
    <mergeCell ref="H37:J37"/>
    <mergeCell ref="H38:J38"/>
    <mergeCell ref="H39:J39"/>
    <mergeCell ref="A40:A42"/>
    <mergeCell ref="H40:J40"/>
    <mergeCell ref="H41:J41"/>
    <mergeCell ref="G42:J42"/>
    <mergeCell ref="A43:A47"/>
    <mergeCell ref="H43:J43"/>
    <mergeCell ref="H44:J44"/>
    <mergeCell ref="H45:J45"/>
    <mergeCell ref="H46:J46"/>
    <mergeCell ref="H47:J47"/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2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74154F3-9C37-4B04-98ED-E037A93874C9}">
  <dimension ref="A1:R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bestFit="1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113" t="s">
        <v>1</v>
      </c>
      <c r="O1" s="113"/>
      <c r="P1" s="90" t="s">
        <v>2</v>
      </c>
      <c r="Q1" s="90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14" t="s">
        <v>7</v>
      </c>
      <c r="B4" s="115"/>
      <c r="C4" s="115"/>
      <c r="D4" s="116"/>
      <c r="F4" s="117" t="s">
        <v>8</v>
      </c>
      <c r="G4" s="119">
        <v>1</v>
      </c>
      <c r="H4" s="121" t="s">
        <v>9</v>
      </c>
      <c r="I4" s="123">
        <v>45971</v>
      </c>
      <c r="J4" s="124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27" t="s">
        <v>7</v>
      </c>
      <c r="B5" s="15" t="s">
        <v>11</v>
      </c>
      <c r="C5" s="9" t="s">
        <v>12</v>
      </c>
      <c r="D5" s="25" t="s">
        <v>13</v>
      </c>
      <c r="F5" s="118"/>
      <c r="G5" s="120"/>
      <c r="H5" s="122"/>
      <c r="I5" s="125"/>
      <c r="J5" s="126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28"/>
      <c r="B6" s="16" t="s">
        <v>15</v>
      </c>
      <c r="C6" s="89">
        <v>104</v>
      </c>
      <c r="D6" s="13">
        <f t="shared" ref="D6:D28" si="1">C6*L6</f>
        <v>76648</v>
      </c>
      <c r="F6" s="130" t="s">
        <v>16</v>
      </c>
      <c r="G6" s="132" t="s">
        <v>129</v>
      </c>
      <c r="H6" s="133"/>
      <c r="I6" s="133"/>
      <c r="J6" s="134"/>
      <c r="K6" s="8"/>
      <c r="L6" s="6">
        <f>R42</f>
        <v>737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28"/>
      <c r="B7" s="16" t="s">
        <v>18</v>
      </c>
      <c r="C7" s="89">
        <v>8</v>
      </c>
      <c r="D7" s="13">
        <f t="shared" si="1"/>
        <v>5800</v>
      </c>
      <c r="F7" s="131"/>
      <c r="G7" s="135"/>
      <c r="H7" s="136"/>
      <c r="I7" s="136"/>
      <c r="J7" s="137"/>
      <c r="K7" s="8"/>
      <c r="L7" s="6">
        <f>R41</f>
        <v>725</v>
      </c>
      <c r="P7" s="4"/>
      <c r="Q7" s="4"/>
      <c r="R7" s="5"/>
    </row>
    <row r="8" spans="1:18" ht="14.45" customHeight="1" x14ac:dyDescent="0.25">
      <c r="A8" s="128"/>
      <c r="B8" s="16" t="s">
        <v>20</v>
      </c>
      <c r="C8" s="89">
        <v>2</v>
      </c>
      <c r="D8" s="13">
        <f t="shared" si="1"/>
        <v>2066</v>
      </c>
      <c r="F8" s="138" t="s">
        <v>21</v>
      </c>
      <c r="G8" s="140" t="s">
        <v>112</v>
      </c>
      <c r="H8" s="141"/>
      <c r="I8" s="141"/>
      <c r="J8" s="142"/>
      <c r="K8" s="8"/>
      <c r="L8" s="6">
        <f>R40</f>
        <v>1033</v>
      </c>
      <c r="P8" s="4"/>
      <c r="Q8" s="4"/>
      <c r="R8" s="5"/>
    </row>
    <row r="9" spans="1:18" ht="14.45" customHeight="1" x14ac:dyDescent="0.25">
      <c r="A9" s="128"/>
      <c r="B9" s="16" t="s">
        <v>23</v>
      </c>
      <c r="C9" s="89">
        <v>6</v>
      </c>
      <c r="D9" s="13">
        <f t="shared" si="1"/>
        <v>4242</v>
      </c>
      <c r="F9" s="131"/>
      <c r="G9" s="143"/>
      <c r="H9" s="144"/>
      <c r="I9" s="144"/>
      <c r="J9" s="145"/>
      <c r="K9" s="8"/>
      <c r="L9" s="6">
        <f>R38</f>
        <v>707</v>
      </c>
      <c r="P9" s="4"/>
      <c r="Q9" s="4"/>
      <c r="R9" s="5"/>
    </row>
    <row r="10" spans="1:18" ht="14.45" customHeight="1" x14ac:dyDescent="0.25">
      <c r="A10" s="128"/>
      <c r="B10" t="s">
        <v>25</v>
      </c>
      <c r="C10" s="89">
        <v>2</v>
      </c>
      <c r="D10" s="13">
        <f t="shared" si="1"/>
        <v>1944</v>
      </c>
      <c r="F10" s="130" t="s">
        <v>26</v>
      </c>
      <c r="G10" s="146" t="s">
        <v>130</v>
      </c>
      <c r="H10" s="147"/>
      <c r="I10" s="147"/>
      <c r="J10" s="148"/>
      <c r="K10" s="8"/>
      <c r="L10" s="6">
        <f>R36</f>
        <v>972</v>
      </c>
      <c r="P10" s="4"/>
      <c r="Q10" s="4"/>
      <c r="R10" s="5"/>
    </row>
    <row r="11" spans="1:18" ht="15.75" x14ac:dyDescent="0.25">
      <c r="A11" s="128"/>
      <c r="B11" s="17" t="s">
        <v>28</v>
      </c>
      <c r="C11" s="89">
        <v>1</v>
      </c>
      <c r="D11" s="13">
        <f t="shared" si="1"/>
        <v>1125</v>
      </c>
      <c r="F11" s="131"/>
      <c r="G11" s="143"/>
      <c r="H11" s="144"/>
      <c r="I11" s="144"/>
      <c r="J11" s="145"/>
      <c r="K11" s="22"/>
      <c r="L11" s="6">
        <f>R32</f>
        <v>1125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28"/>
      <c r="B12" s="17" t="s">
        <v>30</v>
      </c>
      <c r="C12" s="89">
        <v>1</v>
      </c>
      <c r="D12" s="48">
        <f t="shared" si="1"/>
        <v>952</v>
      </c>
      <c r="F12" s="149" t="s">
        <v>33</v>
      </c>
      <c r="G12" s="150"/>
      <c r="H12" s="150"/>
      <c r="I12" s="150"/>
      <c r="J12" s="151"/>
      <c r="K12" s="23"/>
      <c r="L12" s="6">
        <f>R34</f>
        <v>952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28"/>
      <c r="B13" s="17" t="s">
        <v>32</v>
      </c>
      <c r="C13" s="89">
        <v>1</v>
      </c>
      <c r="D13" s="48">
        <f t="shared" si="1"/>
        <v>307</v>
      </c>
      <c r="F13" s="152" t="s">
        <v>36</v>
      </c>
      <c r="G13" s="153"/>
      <c r="H13" s="154">
        <f>D29</f>
        <v>95117</v>
      </c>
      <c r="I13" s="155"/>
      <c r="J13" s="156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28"/>
      <c r="B14" s="14" t="s">
        <v>35</v>
      </c>
      <c r="C14" s="89">
        <v>13</v>
      </c>
      <c r="D14" s="31">
        <f t="shared" si="1"/>
        <v>143</v>
      </c>
      <c r="F14" s="157" t="s">
        <v>39</v>
      </c>
      <c r="G14" s="158"/>
      <c r="H14" s="159">
        <f>D54</f>
        <v>13739.25</v>
      </c>
      <c r="I14" s="160"/>
      <c r="J14" s="161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28"/>
      <c r="B15" s="14" t="s">
        <v>38</v>
      </c>
      <c r="C15" s="89">
        <v>2</v>
      </c>
      <c r="D15" s="31">
        <f t="shared" si="1"/>
        <v>1240</v>
      </c>
      <c r="F15" s="162" t="s">
        <v>40</v>
      </c>
      <c r="G15" s="153"/>
      <c r="H15" s="163">
        <f>H13-H14</f>
        <v>81377.75</v>
      </c>
      <c r="I15" s="164"/>
      <c r="J15" s="165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28"/>
      <c r="B16" s="18" t="s">
        <v>94</v>
      </c>
      <c r="C16" s="89"/>
      <c r="D16" s="48">
        <f t="shared" si="1"/>
        <v>0</v>
      </c>
      <c r="F16" s="67" t="s">
        <v>42</v>
      </c>
      <c r="G16" s="66" t="s">
        <v>43</v>
      </c>
      <c r="H16" s="166"/>
      <c r="I16" s="166"/>
      <c r="J16" s="166"/>
      <c r="L16" s="6">
        <f>R28</f>
        <v>1567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28"/>
      <c r="B17" t="s">
        <v>140</v>
      </c>
      <c r="C17" s="89"/>
      <c r="D17" s="48">
        <f t="shared" si="1"/>
        <v>0</v>
      </c>
      <c r="F17" s="56"/>
      <c r="G17" s="66" t="s">
        <v>45</v>
      </c>
      <c r="H17" s="139"/>
      <c r="I17" s="139"/>
      <c r="J17" s="139"/>
      <c r="L17" s="6">
        <f>1582</f>
        <v>1582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28"/>
      <c r="B18" s="19" t="s">
        <v>95</v>
      </c>
      <c r="C18" s="89"/>
      <c r="D18" s="48">
        <f t="shared" si="1"/>
        <v>0</v>
      </c>
      <c r="F18" s="56"/>
      <c r="G18" s="66" t="s">
        <v>47</v>
      </c>
      <c r="H18" s="139"/>
      <c r="I18" s="139"/>
      <c r="J18" s="139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28"/>
      <c r="B19" s="14" t="s">
        <v>136</v>
      </c>
      <c r="C19" s="89"/>
      <c r="D19" s="48">
        <f t="shared" si="1"/>
        <v>0</v>
      </c>
      <c r="F19" s="56"/>
      <c r="G19" s="68" t="s">
        <v>50</v>
      </c>
      <c r="H19" s="139"/>
      <c r="I19" s="139"/>
      <c r="J19" s="139"/>
      <c r="L19" s="6">
        <v>1102</v>
      </c>
      <c r="Q19" s="4"/>
      <c r="R19" s="5">
        <f t="shared" si="0"/>
        <v>0</v>
      </c>
    </row>
    <row r="20" spans="1:18" ht="15.75" x14ac:dyDescent="0.25">
      <c r="A20" s="128"/>
      <c r="B20" s="83" t="s">
        <v>125</v>
      </c>
      <c r="C20" s="89"/>
      <c r="D20" s="13">
        <f t="shared" si="1"/>
        <v>0</v>
      </c>
      <c r="F20" s="57"/>
      <c r="G20" s="70" t="s">
        <v>120</v>
      </c>
      <c r="H20" s="166"/>
      <c r="I20" s="166"/>
      <c r="J20" s="166"/>
      <c r="L20" s="6">
        <f>R39</f>
        <v>1175</v>
      </c>
      <c r="N20" s="1" t="s">
        <v>41</v>
      </c>
      <c r="Q20" s="4"/>
      <c r="R20" s="5">
        <f t="shared" si="0"/>
        <v>0</v>
      </c>
    </row>
    <row r="21" spans="1:18" ht="15.75" x14ac:dyDescent="0.25">
      <c r="A21" s="128"/>
      <c r="B21" s="14" t="s">
        <v>138</v>
      </c>
      <c r="C21" s="89">
        <v>1</v>
      </c>
      <c r="D21" s="48">
        <f t="shared" si="1"/>
        <v>650</v>
      </c>
      <c r="F21" s="69" t="s">
        <v>99</v>
      </c>
      <c r="G21" s="82" t="s">
        <v>98</v>
      </c>
      <c r="H21" s="186" t="s">
        <v>13</v>
      </c>
      <c r="I21" s="187"/>
      <c r="J21" s="188"/>
      <c r="L21" s="7">
        <v>650</v>
      </c>
      <c r="O21" t="s">
        <v>44</v>
      </c>
      <c r="P21" s="4">
        <v>1447</v>
      </c>
      <c r="Q21" s="4">
        <v>120</v>
      </c>
      <c r="R21" s="5">
        <f t="shared" si="0"/>
        <v>1567</v>
      </c>
    </row>
    <row r="22" spans="1:18" ht="15.75" x14ac:dyDescent="0.25">
      <c r="A22" s="128"/>
      <c r="B22" s="46" t="s">
        <v>127</v>
      </c>
      <c r="C22" s="89"/>
      <c r="D22" s="48">
        <f t="shared" si="1"/>
        <v>0</v>
      </c>
      <c r="F22" s="77"/>
      <c r="G22" s="73"/>
      <c r="H22" s="189"/>
      <c r="I22" s="189"/>
      <c r="J22" s="189"/>
      <c r="L22" s="7">
        <v>1582</v>
      </c>
      <c r="O22" t="s">
        <v>46</v>
      </c>
      <c r="P22" s="4">
        <v>1582</v>
      </c>
      <c r="Q22" s="4"/>
      <c r="R22" s="5">
        <f t="shared" si="0"/>
        <v>1582</v>
      </c>
    </row>
    <row r="23" spans="1:18" ht="15.75" x14ac:dyDescent="0.25">
      <c r="A23" s="128"/>
      <c r="B23" s="14" t="s">
        <v>101</v>
      </c>
      <c r="C23" s="89"/>
      <c r="D23" s="48">
        <f t="shared" si="1"/>
        <v>0</v>
      </c>
      <c r="F23" s="77"/>
      <c r="G23" s="79"/>
      <c r="H23" s="242"/>
      <c r="I23" s="243"/>
      <c r="J23" s="243"/>
      <c r="L23" s="47">
        <v>1667</v>
      </c>
      <c r="N23" s="1"/>
      <c r="O23" t="s">
        <v>48</v>
      </c>
      <c r="P23" s="4">
        <v>1728</v>
      </c>
      <c r="Q23" s="4"/>
      <c r="R23" s="5">
        <f t="shared" si="0"/>
        <v>1728</v>
      </c>
    </row>
    <row r="24" spans="1:18" ht="15.75" x14ac:dyDescent="0.25">
      <c r="A24" s="128"/>
      <c r="B24" s="14" t="s">
        <v>121</v>
      </c>
      <c r="C24" s="89"/>
      <c r="D24" s="48">
        <f t="shared" si="1"/>
        <v>0</v>
      </c>
      <c r="F24" s="77"/>
      <c r="G24" s="79"/>
      <c r="H24" s="242"/>
      <c r="I24" s="243"/>
      <c r="J24" s="243"/>
      <c r="L24" s="47">
        <f>913/24+1.5</f>
        <v>39.541666666666664</v>
      </c>
      <c r="N24" s="1"/>
      <c r="O24" t="s">
        <v>49</v>
      </c>
      <c r="P24" s="4">
        <v>1728</v>
      </c>
      <c r="Q24" s="4"/>
      <c r="R24" s="5">
        <f t="shared" si="0"/>
        <v>1728</v>
      </c>
    </row>
    <row r="25" spans="1:18" ht="15.75" x14ac:dyDescent="0.25">
      <c r="A25" s="128"/>
      <c r="B25" s="14" t="s">
        <v>141</v>
      </c>
      <c r="C25" s="89"/>
      <c r="D25" s="48">
        <f t="shared" si="1"/>
        <v>0</v>
      </c>
      <c r="F25" s="60" t="s">
        <v>100</v>
      </c>
      <c r="G25" s="55" t="s">
        <v>98</v>
      </c>
      <c r="H25" s="192" t="s">
        <v>13</v>
      </c>
      <c r="I25" s="193"/>
      <c r="J25" s="194"/>
      <c r="L25" s="47">
        <f>1052+120</f>
        <v>1172</v>
      </c>
      <c r="O25" t="s">
        <v>51</v>
      </c>
      <c r="P25" s="4">
        <v>1582</v>
      </c>
      <c r="Q25" s="4"/>
      <c r="R25" s="5">
        <f t="shared" si="0"/>
        <v>1582</v>
      </c>
    </row>
    <row r="26" spans="1:18" ht="15.75" x14ac:dyDescent="0.25">
      <c r="A26" s="128"/>
      <c r="B26" s="14" t="s">
        <v>139</v>
      </c>
      <c r="C26" s="89"/>
      <c r="D26" s="48">
        <f t="shared" si="1"/>
        <v>0</v>
      </c>
      <c r="F26" s="75"/>
      <c r="G26" s="65"/>
      <c r="H26" s="191"/>
      <c r="I26" s="191"/>
      <c r="J26" s="191"/>
      <c r="L26" s="7">
        <f>1447+120</f>
        <v>1567</v>
      </c>
      <c r="O26" t="s">
        <v>52</v>
      </c>
      <c r="P26" s="4">
        <v>1447</v>
      </c>
      <c r="Q26" s="4">
        <v>120</v>
      </c>
      <c r="R26" s="5">
        <f t="shared" si="0"/>
        <v>1567</v>
      </c>
    </row>
    <row r="27" spans="1:18" ht="14.45" customHeight="1" x14ac:dyDescent="0.25">
      <c r="A27" s="128"/>
      <c r="B27" s="14" t="s">
        <v>110</v>
      </c>
      <c r="C27" s="89"/>
      <c r="D27" s="44">
        <f t="shared" si="1"/>
        <v>0</v>
      </c>
      <c r="F27" s="71"/>
      <c r="G27" s="94"/>
      <c r="H27" s="244"/>
      <c r="I27" s="245"/>
      <c r="J27" s="245"/>
      <c r="L27" s="7">
        <v>1142</v>
      </c>
      <c r="O27" t="s">
        <v>53</v>
      </c>
      <c r="P27" s="4">
        <v>1582</v>
      </c>
      <c r="Q27" s="4"/>
      <c r="R27" s="5">
        <f t="shared" si="0"/>
        <v>1582</v>
      </c>
    </row>
    <row r="28" spans="1:18" ht="15.75" x14ac:dyDescent="0.25">
      <c r="A28" s="129"/>
      <c r="B28" s="46" t="s">
        <v>97</v>
      </c>
      <c r="C28" s="89"/>
      <c r="D28" s="48">
        <f t="shared" si="1"/>
        <v>0</v>
      </c>
      <c r="F28" s="91"/>
      <c r="G28" s="61"/>
      <c r="H28" s="201"/>
      <c r="I28" s="202"/>
      <c r="J28" s="203"/>
      <c r="L28" s="7">
        <v>785</v>
      </c>
      <c r="O28" t="s">
        <v>54</v>
      </c>
      <c r="P28" s="4">
        <v>1447</v>
      </c>
      <c r="Q28" s="4">
        <v>120</v>
      </c>
      <c r="R28" s="5">
        <f t="shared" si="0"/>
        <v>1567</v>
      </c>
    </row>
    <row r="29" spans="1:18" x14ac:dyDescent="0.25">
      <c r="A29" s="167" t="s">
        <v>36</v>
      </c>
      <c r="B29" s="168"/>
      <c r="C29" s="169"/>
      <c r="D29" s="173">
        <f>SUM(D6:D28)</f>
        <v>95117</v>
      </c>
      <c r="F29" s="175" t="s">
        <v>55</v>
      </c>
      <c r="G29" s="176"/>
      <c r="H29" s="179">
        <f>H15-H16-H17-H18-H19-H20-H22-H23-H24+H26+H27+H28</f>
        <v>81377.75</v>
      </c>
      <c r="I29" s="180"/>
      <c r="J29" s="181"/>
      <c r="O29" t="s">
        <v>56</v>
      </c>
      <c r="P29" s="4">
        <v>1582</v>
      </c>
      <c r="Q29" s="4"/>
      <c r="R29" s="5">
        <f t="shared" si="0"/>
        <v>1582</v>
      </c>
    </row>
    <row r="30" spans="1:18" x14ac:dyDescent="0.25">
      <c r="A30" s="170"/>
      <c r="B30" s="171"/>
      <c r="C30" s="172"/>
      <c r="D30" s="174"/>
      <c r="F30" s="177"/>
      <c r="G30" s="178"/>
      <c r="H30" s="182"/>
      <c r="I30" s="183"/>
      <c r="J30" s="184"/>
      <c r="N30" s="1"/>
      <c r="Q30" s="4"/>
      <c r="R30" s="5">
        <f t="shared" si="0"/>
        <v>0</v>
      </c>
    </row>
    <row r="31" spans="1:18" x14ac:dyDescent="0.25">
      <c r="A31" s="24"/>
      <c r="B31" s="24"/>
      <c r="C31" s="24"/>
      <c r="D31" s="24"/>
      <c r="F31" s="24"/>
      <c r="G31" s="24"/>
      <c r="O31" t="s">
        <v>57</v>
      </c>
      <c r="P31" s="4">
        <v>1052</v>
      </c>
      <c r="Q31" s="4">
        <v>120</v>
      </c>
      <c r="R31" s="5">
        <f t="shared" si="0"/>
        <v>1172</v>
      </c>
    </row>
    <row r="32" spans="1:18" x14ac:dyDescent="0.25">
      <c r="A32" s="114" t="s">
        <v>58</v>
      </c>
      <c r="B32" s="115"/>
      <c r="C32" s="115"/>
      <c r="D32" s="116"/>
      <c r="F32" s="204" t="s">
        <v>59</v>
      </c>
      <c r="G32" s="205"/>
      <c r="H32" s="205"/>
      <c r="I32" s="205"/>
      <c r="J32" s="206"/>
      <c r="O32" t="s">
        <v>60</v>
      </c>
      <c r="P32" s="4">
        <v>1005</v>
      </c>
      <c r="Q32" s="4">
        <v>120</v>
      </c>
      <c r="R32" s="5">
        <f t="shared" si="0"/>
        <v>1125</v>
      </c>
    </row>
    <row r="33" spans="1:18" x14ac:dyDescent="0.25">
      <c r="A33" s="25"/>
      <c r="B33" s="25" t="s">
        <v>11</v>
      </c>
      <c r="C33" s="25" t="s">
        <v>61</v>
      </c>
      <c r="D33" s="25" t="s">
        <v>13</v>
      </c>
      <c r="F33" s="25" t="s">
        <v>62</v>
      </c>
      <c r="G33" s="92" t="s">
        <v>63</v>
      </c>
      <c r="H33" s="204" t="s">
        <v>13</v>
      </c>
      <c r="I33" s="205"/>
      <c r="J33" s="206"/>
      <c r="O33" t="s">
        <v>64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27" t="s">
        <v>65</v>
      </c>
      <c r="B34" s="26" t="s">
        <v>66</v>
      </c>
      <c r="C34" s="51">
        <v>1</v>
      </c>
      <c r="D34" s="30">
        <f>C34*120</f>
        <v>120</v>
      </c>
      <c r="F34" s="12">
        <v>1000</v>
      </c>
      <c r="G34" s="40">
        <v>49</v>
      </c>
      <c r="H34" s="207">
        <f t="shared" ref="H34:H39" si="2">F34*G34</f>
        <v>49000</v>
      </c>
      <c r="I34" s="208"/>
      <c r="J34" s="209"/>
      <c r="O34" t="s">
        <v>67</v>
      </c>
      <c r="P34" s="4">
        <v>832</v>
      </c>
      <c r="Q34" s="4">
        <v>120</v>
      </c>
      <c r="R34" s="5">
        <f t="shared" si="0"/>
        <v>952</v>
      </c>
    </row>
    <row r="35" spans="1:18" ht="15.75" x14ac:dyDescent="0.25">
      <c r="A35" s="128"/>
      <c r="B35" s="27" t="s">
        <v>68</v>
      </c>
      <c r="C35" s="52"/>
      <c r="D35" s="30">
        <f>C35*84</f>
        <v>0</v>
      </c>
      <c r="F35" s="58">
        <v>500</v>
      </c>
      <c r="G35" s="41">
        <v>14</v>
      </c>
      <c r="H35" s="207">
        <f t="shared" si="2"/>
        <v>7000</v>
      </c>
      <c r="I35" s="208"/>
      <c r="J35" s="209"/>
      <c r="O35" t="s">
        <v>69</v>
      </c>
      <c r="P35" s="4">
        <v>1102</v>
      </c>
      <c r="Q35" s="4"/>
      <c r="R35" s="5">
        <f t="shared" si="0"/>
        <v>1102</v>
      </c>
    </row>
    <row r="36" spans="1:18" ht="15.75" x14ac:dyDescent="0.25">
      <c r="A36" s="129"/>
      <c r="B36" s="26" t="s">
        <v>70</v>
      </c>
      <c r="C36" s="10">
        <v>14</v>
      </c>
      <c r="D36" s="12">
        <f>C36*1.5</f>
        <v>21</v>
      </c>
      <c r="F36" s="12">
        <v>200</v>
      </c>
      <c r="G36" s="37">
        <v>2</v>
      </c>
      <c r="H36" s="207">
        <f t="shared" si="2"/>
        <v>400</v>
      </c>
      <c r="I36" s="208"/>
      <c r="J36" s="209"/>
      <c r="O36" t="s">
        <v>71</v>
      </c>
      <c r="P36" s="4">
        <v>852</v>
      </c>
      <c r="Q36" s="4">
        <v>120</v>
      </c>
      <c r="R36" s="5">
        <f t="shared" si="0"/>
        <v>972</v>
      </c>
    </row>
    <row r="37" spans="1:18" ht="15.75" x14ac:dyDescent="0.25">
      <c r="A37" s="127" t="s">
        <v>72</v>
      </c>
      <c r="B37" s="28" t="s">
        <v>66</v>
      </c>
      <c r="C37" s="53">
        <v>99</v>
      </c>
      <c r="D37" s="12">
        <f>C37*111</f>
        <v>10989</v>
      </c>
      <c r="F37" s="12">
        <v>100</v>
      </c>
      <c r="G37" s="39">
        <v>17</v>
      </c>
      <c r="H37" s="207">
        <f t="shared" si="2"/>
        <v>1700</v>
      </c>
      <c r="I37" s="208"/>
      <c r="J37" s="209"/>
      <c r="O37" t="s">
        <v>73</v>
      </c>
      <c r="P37" s="4">
        <v>1020</v>
      </c>
      <c r="Q37" s="4">
        <v>120</v>
      </c>
      <c r="R37" s="5">
        <f t="shared" si="0"/>
        <v>1140</v>
      </c>
    </row>
    <row r="38" spans="1:18" ht="15.75" x14ac:dyDescent="0.25">
      <c r="A38" s="128"/>
      <c r="B38" s="29" t="s">
        <v>68</v>
      </c>
      <c r="C38" s="54">
        <v>13</v>
      </c>
      <c r="D38" s="12">
        <f>C38*84</f>
        <v>1092</v>
      </c>
      <c r="F38" s="30">
        <v>50</v>
      </c>
      <c r="G38" s="39">
        <v>27</v>
      </c>
      <c r="H38" s="207">
        <f t="shared" si="2"/>
        <v>1350</v>
      </c>
      <c r="I38" s="208"/>
      <c r="J38" s="209"/>
      <c r="O38" t="s">
        <v>74</v>
      </c>
      <c r="P38" s="4">
        <v>596</v>
      </c>
      <c r="Q38" s="4">
        <v>111</v>
      </c>
      <c r="R38" s="5">
        <f t="shared" si="0"/>
        <v>707</v>
      </c>
    </row>
    <row r="39" spans="1:18" ht="15.75" x14ac:dyDescent="0.25">
      <c r="A39" s="129"/>
      <c r="B39" s="29" t="s">
        <v>70</v>
      </c>
      <c r="C39" s="52">
        <v>1</v>
      </c>
      <c r="D39" s="31">
        <f>C39*4.5</f>
        <v>4.5</v>
      </c>
      <c r="F39" s="12">
        <v>20</v>
      </c>
      <c r="G39" s="37"/>
      <c r="H39" s="207">
        <f t="shared" si="2"/>
        <v>0</v>
      </c>
      <c r="I39" s="208"/>
      <c r="J39" s="209"/>
      <c r="O39" t="s">
        <v>75</v>
      </c>
      <c r="P39" s="4">
        <v>1175</v>
      </c>
      <c r="Q39" s="4"/>
      <c r="R39" s="5">
        <f t="shared" si="0"/>
        <v>1175</v>
      </c>
    </row>
    <row r="40" spans="1:18" ht="15.75" x14ac:dyDescent="0.25">
      <c r="A40" s="127" t="s">
        <v>76</v>
      </c>
      <c r="B40" s="27" t="s">
        <v>66</v>
      </c>
      <c r="C40" s="63">
        <v>5</v>
      </c>
      <c r="D40" s="12">
        <f>C40*111</f>
        <v>555</v>
      </c>
      <c r="F40" s="12">
        <v>10</v>
      </c>
      <c r="G40" s="42"/>
      <c r="H40" s="207"/>
      <c r="I40" s="208"/>
      <c r="J40" s="209"/>
      <c r="O40" t="s">
        <v>77</v>
      </c>
      <c r="P40" s="4">
        <v>913</v>
      </c>
      <c r="Q40" s="4">
        <v>120</v>
      </c>
      <c r="R40" s="5">
        <f t="shared" si="0"/>
        <v>1033</v>
      </c>
    </row>
    <row r="41" spans="1:18" ht="15.75" x14ac:dyDescent="0.25">
      <c r="A41" s="128"/>
      <c r="B41" s="27" t="s">
        <v>68</v>
      </c>
      <c r="C41" s="10">
        <v>2</v>
      </c>
      <c r="D41" s="12">
        <f>C41*84</f>
        <v>168</v>
      </c>
      <c r="F41" s="12">
        <v>5</v>
      </c>
      <c r="G41" s="42"/>
      <c r="H41" s="207"/>
      <c r="I41" s="208"/>
      <c r="J41" s="209"/>
      <c r="K41" s="21"/>
      <c r="O41" t="s">
        <v>78</v>
      </c>
      <c r="P41" s="4">
        <v>614</v>
      </c>
      <c r="Q41" s="4">
        <v>111</v>
      </c>
      <c r="R41" s="5">
        <f t="shared" si="0"/>
        <v>725</v>
      </c>
    </row>
    <row r="42" spans="1:18" ht="15.75" x14ac:dyDescent="0.25">
      <c r="A42" s="129"/>
      <c r="B42" s="27" t="s">
        <v>70</v>
      </c>
      <c r="C42" s="11">
        <v>7</v>
      </c>
      <c r="D42" s="12">
        <f>C42*2.25</f>
        <v>15.75</v>
      </c>
      <c r="F42" s="39" t="s">
        <v>79</v>
      </c>
      <c r="G42" s="207">
        <v>38</v>
      </c>
      <c r="H42" s="208"/>
      <c r="I42" s="208"/>
      <c r="J42" s="209"/>
      <c r="K42" s="36"/>
      <c r="O42" t="s">
        <v>80</v>
      </c>
      <c r="P42" s="4">
        <v>626</v>
      </c>
      <c r="Q42" s="4">
        <v>111</v>
      </c>
      <c r="R42" s="5">
        <f t="shared" si="0"/>
        <v>737</v>
      </c>
    </row>
    <row r="43" spans="1:18" ht="15.75" x14ac:dyDescent="0.25">
      <c r="A43" s="210" t="s">
        <v>81</v>
      </c>
      <c r="C43" s="11"/>
      <c r="D43" s="12"/>
      <c r="F43" s="59" t="s">
        <v>82</v>
      </c>
      <c r="G43" s="94" t="s">
        <v>83</v>
      </c>
      <c r="H43" s="213" t="s">
        <v>13</v>
      </c>
      <c r="I43" s="214"/>
      <c r="J43" s="215"/>
      <c r="K43" s="21"/>
      <c r="O43" t="s">
        <v>103</v>
      </c>
      <c r="P43" s="4">
        <v>1667</v>
      </c>
      <c r="Q43" s="4"/>
      <c r="R43" s="5"/>
    </row>
    <row r="44" spans="1:18" ht="15.75" x14ac:dyDescent="0.25">
      <c r="A44" s="211"/>
      <c r="B44" s="27" t="s">
        <v>66</v>
      </c>
      <c r="C44" s="10">
        <v>3</v>
      </c>
      <c r="D44" s="12">
        <f>C44*120</f>
        <v>360</v>
      </c>
      <c r="F44" s="37" t="s">
        <v>157</v>
      </c>
      <c r="G44" s="62"/>
      <c r="H44" s="191">
        <v>21910</v>
      </c>
      <c r="I44" s="191"/>
      <c r="J44" s="191"/>
      <c r="K44" s="21"/>
      <c r="O44" t="s">
        <v>106</v>
      </c>
      <c r="P44" s="4">
        <f>785-120</f>
        <v>665</v>
      </c>
      <c r="Q44" s="4">
        <v>120</v>
      </c>
      <c r="R44" s="5">
        <f>Q44+P44</f>
        <v>785</v>
      </c>
    </row>
    <row r="45" spans="1:18" ht="15.75" x14ac:dyDescent="0.25">
      <c r="A45" s="211"/>
      <c r="B45" s="27" t="s">
        <v>68</v>
      </c>
      <c r="C45" s="33">
        <v>3</v>
      </c>
      <c r="D45" s="12">
        <f>C45*84</f>
        <v>252</v>
      </c>
      <c r="F45" s="37"/>
      <c r="G45" s="62"/>
      <c r="H45" s="191"/>
      <c r="I45" s="191"/>
      <c r="J45" s="191"/>
      <c r="K45" s="21"/>
      <c r="P45" s="4"/>
      <c r="Q45" s="4"/>
      <c r="R45" s="5"/>
    </row>
    <row r="46" spans="1:18" ht="15.75" x14ac:dyDescent="0.25">
      <c r="A46" s="211"/>
      <c r="B46" s="49" t="s">
        <v>70</v>
      </c>
      <c r="C46" s="81">
        <v>14</v>
      </c>
      <c r="D46" s="12">
        <f>C46*1.5</f>
        <v>21</v>
      </c>
      <c r="F46" s="37"/>
      <c r="G46" s="62"/>
      <c r="H46" s="191"/>
      <c r="I46" s="191"/>
      <c r="J46" s="191"/>
      <c r="K46" s="21"/>
      <c r="P46" s="4"/>
      <c r="Q46" s="4"/>
      <c r="R46" s="5"/>
    </row>
    <row r="47" spans="1:18" ht="15.75" x14ac:dyDescent="0.25">
      <c r="A47" s="212"/>
      <c r="B47" s="27"/>
      <c r="C47" s="11"/>
      <c r="D47" s="12"/>
      <c r="F47" s="59"/>
      <c r="G47" s="59"/>
      <c r="H47" s="217"/>
      <c r="I47" s="218"/>
      <c r="J47" s="219"/>
      <c r="K47" s="21"/>
      <c r="P47" s="4"/>
      <c r="Q47" s="4"/>
      <c r="R47" s="5"/>
    </row>
    <row r="48" spans="1:18" ht="15" customHeight="1" x14ac:dyDescent="0.25">
      <c r="A48" s="210" t="s">
        <v>32</v>
      </c>
      <c r="B48" s="27" t="s">
        <v>66</v>
      </c>
      <c r="C48" s="10">
        <v>1</v>
      </c>
      <c r="D48" s="12">
        <f>C48*78</f>
        <v>78</v>
      </c>
      <c r="F48" s="59"/>
      <c r="G48" s="59"/>
      <c r="H48" s="217"/>
      <c r="I48" s="218"/>
      <c r="J48" s="219"/>
      <c r="K48" s="35"/>
      <c r="O48" t="s">
        <v>84</v>
      </c>
      <c r="P48" s="4">
        <v>1175</v>
      </c>
      <c r="Q48" s="4"/>
      <c r="R48" s="5">
        <f t="shared" si="0"/>
        <v>1175</v>
      </c>
    </row>
    <row r="49" spans="1:18" ht="15.75" x14ac:dyDescent="0.25">
      <c r="A49" s="211"/>
      <c r="B49" s="29" t="s">
        <v>68</v>
      </c>
      <c r="C49" s="33">
        <v>1</v>
      </c>
      <c r="D49" s="12">
        <f>C49*42</f>
        <v>42</v>
      </c>
      <c r="F49" s="232" t="s">
        <v>86</v>
      </c>
      <c r="G49" s="179">
        <f>H34+H35+H36+H37+H38+H39+H40+H41+G42+H44+H45+H46</f>
        <v>81398</v>
      </c>
      <c r="H49" s="180"/>
      <c r="I49" s="180"/>
      <c r="J49" s="181"/>
      <c r="O49" t="s">
        <v>85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211"/>
      <c r="B50" s="32" t="s">
        <v>70</v>
      </c>
      <c r="C50" s="11">
        <v>14</v>
      </c>
      <c r="D50" s="12">
        <f>C50*1.5</f>
        <v>21</v>
      </c>
      <c r="F50" s="233"/>
      <c r="G50" s="182"/>
      <c r="H50" s="183"/>
      <c r="I50" s="183"/>
      <c r="J50" s="184"/>
      <c r="P50" s="4"/>
      <c r="Q50" s="4"/>
      <c r="R50" s="5"/>
    </row>
    <row r="51" spans="1:18" ht="15" customHeight="1" x14ac:dyDescent="0.25">
      <c r="A51" s="211"/>
      <c r="B51" s="27"/>
      <c r="C51" s="10"/>
      <c r="D51" s="31"/>
      <c r="F51" s="234" t="s">
        <v>143</v>
      </c>
      <c r="G51" s="236">
        <f>G49-H29</f>
        <v>20.25</v>
      </c>
      <c r="H51" s="237"/>
      <c r="I51" s="237"/>
      <c r="J51" s="238"/>
      <c r="K51" s="21"/>
      <c r="O51" t="s">
        <v>87</v>
      </c>
      <c r="P51" s="4">
        <v>703</v>
      </c>
      <c r="Q51" s="4">
        <v>120</v>
      </c>
      <c r="R51" s="5">
        <f t="shared" si="0"/>
        <v>823</v>
      </c>
    </row>
    <row r="52" spans="1:18" ht="15.75" x14ac:dyDescent="0.25">
      <c r="A52" s="211"/>
      <c r="B52" s="29"/>
      <c r="C52" s="33"/>
      <c r="D52" s="45"/>
      <c r="F52" s="235"/>
      <c r="G52" s="239"/>
      <c r="H52" s="240"/>
      <c r="I52" s="240"/>
      <c r="J52" s="241"/>
      <c r="K52" s="21"/>
      <c r="O52" t="s">
        <v>88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212"/>
      <c r="B53" s="32"/>
      <c r="C53" s="11"/>
      <c r="D53" s="12"/>
      <c r="F53" s="35"/>
      <c r="G53" s="24"/>
      <c r="H53" s="24"/>
      <c r="I53" s="24"/>
      <c r="J53" s="17"/>
      <c r="N53" s="1"/>
      <c r="O53" t="s">
        <v>89</v>
      </c>
      <c r="P53" s="4">
        <v>1142</v>
      </c>
    </row>
    <row r="54" spans="1:18" x14ac:dyDescent="0.25">
      <c r="A54" s="175" t="s">
        <v>90</v>
      </c>
      <c r="B54" s="220"/>
      <c r="C54" s="221"/>
      <c r="D54" s="224">
        <f>SUM(D34:D53)</f>
        <v>13739.25</v>
      </c>
      <c r="F54" s="21"/>
      <c r="J54" s="34"/>
      <c r="O54" t="s">
        <v>102</v>
      </c>
      <c r="P54" s="4">
        <v>1582</v>
      </c>
      <c r="R54" s="3">
        <v>1582</v>
      </c>
    </row>
    <row r="55" spans="1:18" x14ac:dyDescent="0.25">
      <c r="A55" s="177"/>
      <c r="B55" s="222"/>
      <c r="C55" s="223"/>
      <c r="D55" s="225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133</v>
      </c>
      <c r="D57" s="34"/>
      <c r="F57" s="36"/>
      <c r="G57" s="50"/>
      <c r="H57" s="50"/>
      <c r="I57" s="50"/>
      <c r="J57" s="43"/>
    </row>
    <row r="58" spans="1:18" x14ac:dyDescent="0.25">
      <c r="A58" s="226" t="s">
        <v>91</v>
      </c>
      <c r="B58" s="227"/>
      <c r="C58" s="227"/>
      <c r="D58" s="228"/>
      <c r="F58" s="226" t="s">
        <v>92</v>
      </c>
      <c r="G58" s="227"/>
      <c r="H58" s="227"/>
      <c r="I58" s="227"/>
      <c r="J58" s="228"/>
    </row>
    <row r="59" spans="1:18" x14ac:dyDescent="0.25">
      <c r="A59" s="229"/>
      <c r="B59" s="230"/>
      <c r="C59" s="230"/>
      <c r="D59" s="231"/>
      <c r="F59" s="229"/>
      <c r="G59" s="230"/>
      <c r="H59" s="230"/>
      <c r="I59" s="230"/>
      <c r="J59" s="231"/>
    </row>
  </sheetData>
  <mergeCells count="68"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  <mergeCell ref="H13:J13"/>
    <mergeCell ref="F14:G14"/>
    <mergeCell ref="H14:J14"/>
    <mergeCell ref="F15:G15"/>
    <mergeCell ref="H15:J15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A32:D32"/>
    <mergeCell ref="F32:J32"/>
    <mergeCell ref="H33:J33"/>
    <mergeCell ref="A34:A36"/>
    <mergeCell ref="H34:J34"/>
    <mergeCell ref="H35:J35"/>
    <mergeCell ref="H36:J36"/>
    <mergeCell ref="A37:A39"/>
    <mergeCell ref="H37:J37"/>
    <mergeCell ref="H38:J38"/>
    <mergeCell ref="H39:J39"/>
    <mergeCell ref="A40:A42"/>
    <mergeCell ref="H40:J40"/>
    <mergeCell ref="H41:J41"/>
    <mergeCell ref="G42:J42"/>
    <mergeCell ref="A43:A47"/>
    <mergeCell ref="H43:J43"/>
    <mergeCell ref="H44:J44"/>
    <mergeCell ref="H45:J45"/>
    <mergeCell ref="H46:J46"/>
    <mergeCell ref="H47:J47"/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2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3308B07-FE9D-4D68-8214-92E1CE75A929}">
  <dimension ref="A1:R59"/>
  <sheetViews>
    <sheetView topLeftCell="A4"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113" t="s">
        <v>1</v>
      </c>
      <c r="O1" s="113"/>
      <c r="P1" s="90" t="s">
        <v>2</v>
      </c>
      <c r="Q1" s="90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14" t="s">
        <v>7</v>
      </c>
      <c r="B4" s="115"/>
      <c r="C4" s="115"/>
      <c r="D4" s="116"/>
      <c r="F4" s="117" t="s">
        <v>8</v>
      </c>
      <c r="G4" s="119">
        <v>2</v>
      </c>
      <c r="H4" s="121" t="s">
        <v>9</v>
      </c>
      <c r="I4" s="123">
        <v>45971</v>
      </c>
      <c r="J4" s="124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27" t="s">
        <v>7</v>
      </c>
      <c r="B5" s="15" t="s">
        <v>11</v>
      </c>
      <c r="C5" s="9" t="s">
        <v>12</v>
      </c>
      <c r="D5" s="25" t="s">
        <v>13</v>
      </c>
      <c r="F5" s="118"/>
      <c r="G5" s="120"/>
      <c r="H5" s="122"/>
      <c r="I5" s="125"/>
      <c r="J5" s="126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28"/>
      <c r="B6" s="16" t="s">
        <v>15</v>
      </c>
      <c r="C6" s="10">
        <v>173</v>
      </c>
      <c r="D6" s="13">
        <f t="shared" ref="D6:D28" si="1">C6*L6</f>
        <v>127501</v>
      </c>
      <c r="F6" s="130" t="s">
        <v>16</v>
      </c>
      <c r="G6" s="132" t="s">
        <v>150</v>
      </c>
      <c r="H6" s="133"/>
      <c r="I6" s="133"/>
      <c r="J6" s="134"/>
      <c r="K6" s="8"/>
      <c r="L6" s="6">
        <f>R42</f>
        <v>737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28"/>
      <c r="B7" s="16" t="s">
        <v>18</v>
      </c>
      <c r="C7" s="10">
        <v>7</v>
      </c>
      <c r="D7" s="13">
        <f t="shared" si="1"/>
        <v>5075</v>
      </c>
      <c r="F7" s="131"/>
      <c r="G7" s="135"/>
      <c r="H7" s="136"/>
      <c r="I7" s="136"/>
      <c r="J7" s="137"/>
      <c r="K7" s="8"/>
      <c r="L7" s="6">
        <f>R41</f>
        <v>725</v>
      </c>
      <c r="P7" s="4"/>
      <c r="Q7" s="4"/>
      <c r="R7" s="5"/>
    </row>
    <row r="8" spans="1:18" ht="14.45" customHeight="1" x14ac:dyDescent="0.25">
      <c r="A8" s="128"/>
      <c r="B8" s="16" t="s">
        <v>20</v>
      </c>
      <c r="C8" s="10"/>
      <c r="D8" s="13">
        <f t="shared" si="1"/>
        <v>0</v>
      </c>
      <c r="F8" s="138" t="s">
        <v>21</v>
      </c>
      <c r="G8" s="140" t="s">
        <v>114</v>
      </c>
      <c r="H8" s="141"/>
      <c r="I8" s="141"/>
      <c r="J8" s="142"/>
      <c r="K8" s="8"/>
      <c r="L8" s="6">
        <f>R40</f>
        <v>1033</v>
      </c>
      <c r="P8" s="4"/>
      <c r="Q8" s="4"/>
      <c r="R8" s="5"/>
    </row>
    <row r="9" spans="1:18" ht="14.45" customHeight="1" x14ac:dyDescent="0.25">
      <c r="A9" s="128"/>
      <c r="B9" s="16" t="s">
        <v>23</v>
      </c>
      <c r="C9" s="10">
        <v>23</v>
      </c>
      <c r="D9" s="13">
        <f t="shared" si="1"/>
        <v>16261</v>
      </c>
      <c r="F9" s="131"/>
      <c r="G9" s="143"/>
      <c r="H9" s="144"/>
      <c r="I9" s="144"/>
      <c r="J9" s="145"/>
      <c r="K9" s="8"/>
      <c r="L9" s="6">
        <f>R38</f>
        <v>707</v>
      </c>
      <c r="P9" s="4"/>
      <c r="Q9" s="4"/>
      <c r="R9" s="5"/>
    </row>
    <row r="10" spans="1:18" ht="14.45" customHeight="1" x14ac:dyDescent="0.25">
      <c r="A10" s="128"/>
      <c r="B10" t="s">
        <v>25</v>
      </c>
      <c r="C10" s="10"/>
      <c r="D10" s="13">
        <f t="shared" si="1"/>
        <v>0</v>
      </c>
      <c r="F10" s="130" t="s">
        <v>26</v>
      </c>
      <c r="G10" s="146" t="s">
        <v>115</v>
      </c>
      <c r="H10" s="147"/>
      <c r="I10" s="147"/>
      <c r="J10" s="148"/>
      <c r="K10" s="8"/>
      <c r="L10" s="6">
        <f>R36</f>
        <v>972</v>
      </c>
      <c r="P10" s="4"/>
      <c r="Q10" s="4"/>
      <c r="R10" s="5"/>
    </row>
    <row r="11" spans="1:18" ht="15.75" x14ac:dyDescent="0.25">
      <c r="A11" s="128"/>
      <c r="B11" s="17" t="s">
        <v>28</v>
      </c>
      <c r="C11" s="10"/>
      <c r="D11" s="13">
        <f t="shared" si="1"/>
        <v>0</v>
      </c>
      <c r="F11" s="131"/>
      <c r="G11" s="143"/>
      <c r="H11" s="144"/>
      <c r="I11" s="144"/>
      <c r="J11" s="145"/>
      <c r="K11" s="22"/>
      <c r="L11" s="6">
        <f>R32</f>
        <v>1125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28"/>
      <c r="B12" s="17" t="s">
        <v>30</v>
      </c>
      <c r="C12" s="10">
        <f>1+1+1</f>
        <v>3</v>
      </c>
      <c r="D12" s="48">
        <f t="shared" si="1"/>
        <v>2856</v>
      </c>
      <c r="F12" s="149" t="s">
        <v>33</v>
      </c>
      <c r="G12" s="150"/>
      <c r="H12" s="150"/>
      <c r="I12" s="150"/>
      <c r="J12" s="151"/>
      <c r="K12" s="23"/>
      <c r="L12" s="6">
        <f>R34</f>
        <v>952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28"/>
      <c r="B13" s="17" t="s">
        <v>32</v>
      </c>
      <c r="C13" s="10">
        <v>6</v>
      </c>
      <c r="D13" s="48">
        <f t="shared" si="1"/>
        <v>1842</v>
      </c>
      <c r="F13" s="152" t="s">
        <v>36</v>
      </c>
      <c r="G13" s="153"/>
      <c r="H13" s="154">
        <f>D29</f>
        <v>153590</v>
      </c>
      <c r="I13" s="155"/>
      <c r="J13" s="156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28"/>
      <c r="B14" s="14" t="s">
        <v>35</v>
      </c>
      <c r="C14" s="10">
        <v>5</v>
      </c>
      <c r="D14" s="31">
        <f t="shared" si="1"/>
        <v>55</v>
      </c>
      <c r="F14" s="157" t="s">
        <v>39</v>
      </c>
      <c r="G14" s="158"/>
      <c r="H14" s="159">
        <f>D54</f>
        <v>23355</v>
      </c>
      <c r="I14" s="160"/>
      <c r="J14" s="161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28"/>
      <c r="B15" s="14" t="s">
        <v>38</v>
      </c>
      <c r="C15" s="10"/>
      <c r="D15" s="31">
        <f t="shared" si="1"/>
        <v>0</v>
      </c>
      <c r="F15" s="162" t="s">
        <v>40</v>
      </c>
      <c r="G15" s="153"/>
      <c r="H15" s="163">
        <f>H13-H14</f>
        <v>130235</v>
      </c>
      <c r="I15" s="164"/>
      <c r="J15" s="165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28"/>
      <c r="B16" s="18" t="s">
        <v>94</v>
      </c>
      <c r="C16" s="10"/>
      <c r="D16" s="48">
        <f t="shared" si="1"/>
        <v>0</v>
      </c>
      <c r="F16" s="67" t="s">
        <v>42</v>
      </c>
      <c r="G16" s="66" t="s">
        <v>43</v>
      </c>
      <c r="H16" s="166"/>
      <c r="I16" s="166"/>
      <c r="J16" s="166"/>
      <c r="L16" s="6">
        <f>R28</f>
        <v>1567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28"/>
      <c r="B17" t="s">
        <v>93</v>
      </c>
      <c r="C17" s="10"/>
      <c r="D17" s="48">
        <f t="shared" si="1"/>
        <v>0</v>
      </c>
      <c r="F17" s="56"/>
      <c r="G17" s="66" t="s">
        <v>45</v>
      </c>
      <c r="H17" s="139"/>
      <c r="I17" s="139"/>
      <c r="J17" s="139"/>
      <c r="L17" s="6">
        <f>R21</f>
        <v>1567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28"/>
      <c r="B18" s="19" t="s">
        <v>95</v>
      </c>
      <c r="C18" s="10"/>
      <c r="D18" s="48">
        <f t="shared" si="1"/>
        <v>0</v>
      </c>
      <c r="F18" s="56"/>
      <c r="G18" s="66" t="s">
        <v>47</v>
      </c>
      <c r="H18" s="139"/>
      <c r="I18" s="139"/>
      <c r="J18" s="139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28"/>
      <c r="B19" s="14" t="s">
        <v>96</v>
      </c>
      <c r="C19" s="10"/>
      <c r="D19" s="48">
        <f t="shared" si="1"/>
        <v>0</v>
      </c>
      <c r="F19" s="56"/>
      <c r="G19" s="68" t="s">
        <v>50</v>
      </c>
      <c r="H19" s="246"/>
      <c r="I19" s="246"/>
      <c r="J19" s="246"/>
      <c r="L19" s="6">
        <f>R35</f>
        <v>1102</v>
      </c>
      <c r="Q19" s="4"/>
      <c r="R19" s="5">
        <f t="shared" si="0"/>
        <v>0</v>
      </c>
    </row>
    <row r="20" spans="1:18" ht="15.75" x14ac:dyDescent="0.25">
      <c r="A20" s="128"/>
      <c r="B20" s="46" t="s">
        <v>122</v>
      </c>
      <c r="C20" s="10"/>
      <c r="D20" s="13">
        <f t="shared" si="1"/>
        <v>0</v>
      </c>
      <c r="F20" s="57"/>
      <c r="G20" s="70" t="s">
        <v>120</v>
      </c>
      <c r="H20" s="139"/>
      <c r="I20" s="139"/>
      <c r="J20" s="139"/>
      <c r="L20" s="6">
        <f>R39</f>
        <v>1175</v>
      </c>
      <c r="N20" s="1" t="s">
        <v>41</v>
      </c>
      <c r="Q20" s="4"/>
      <c r="R20" s="5">
        <f t="shared" si="0"/>
        <v>0</v>
      </c>
    </row>
    <row r="21" spans="1:18" ht="15.75" x14ac:dyDescent="0.25">
      <c r="A21" s="128"/>
      <c r="B21" s="14" t="s">
        <v>126</v>
      </c>
      <c r="C21" s="10"/>
      <c r="D21" s="48">
        <f t="shared" si="1"/>
        <v>0</v>
      </c>
      <c r="F21" s="69" t="s">
        <v>99</v>
      </c>
      <c r="G21" s="82" t="s">
        <v>98</v>
      </c>
      <c r="H21" s="186" t="s">
        <v>13</v>
      </c>
      <c r="I21" s="187"/>
      <c r="J21" s="188"/>
      <c r="L21" s="7">
        <v>650</v>
      </c>
      <c r="O21" t="s">
        <v>44</v>
      </c>
      <c r="P21" s="4">
        <v>1447</v>
      </c>
      <c r="Q21" s="4">
        <v>120</v>
      </c>
      <c r="R21" s="5">
        <f t="shared" si="0"/>
        <v>1567</v>
      </c>
    </row>
    <row r="22" spans="1:18" ht="15.75" x14ac:dyDescent="0.25">
      <c r="A22" s="128"/>
      <c r="B22" s="46" t="s">
        <v>104</v>
      </c>
      <c r="C22" s="10"/>
      <c r="D22" s="48">
        <f t="shared" si="1"/>
        <v>0</v>
      </c>
      <c r="F22" s="72"/>
      <c r="G22" s="73"/>
      <c r="H22" s="189"/>
      <c r="I22" s="189"/>
      <c r="J22" s="189"/>
      <c r="L22" s="7">
        <f>559+111</f>
        <v>670</v>
      </c>
      <c r="O22" t="s">
        <v>46</v>
      </c>
      <c r="P22" s="4">
        <v>1582</v>
      </c>
      <c r="Q22" s="4"/>
      <c r="R22" s="5">
        <f t="shared" si="0"/>
        <v>1582</v>
      </c>
    </row>
    <row r="23" spans="1:18" ht="15.75" x14ac:dyDescent="0.25">
      <c r="A23" s="128"/>
      <c r="B23" s="14" t="s">
        <v>107</v>
      </c>
      <c r="C23" s="10"/>
      <c r="D23" s="48">
        <f t="shared" si="1"/>
        <v>0</v>
      </c>
      <c r="F23" s="25"/>
      <c r="G23" s="37"/>
      <c r="H23" s="190"/>
      <c r="I23" s="191"/>
      <c r="J23" s="191"/>
      <c r="L23" s="47">
        <f>R33</f>
        <v>1175</v>
      </c>
      <c r="N23" s="1"/>
      <c r="O23" t="s">
        <v>48</v>
      </c>
      <c r="P23" s="4">
        <v>1728</v>
      </c>
      <c r="Q23" s="4"/>
      <c r="R23" s="5">
        <f t="shared" si="0"/>
        <v>1728</v>
      </c>
    </row>
    <row r="24" spans="1:18" ht="15.75" x14ac:dyDescent="0.25">
      <c r="A24" s="128"/>
      <c r="B24" s="14" t="s">
        <v>123</v>
      </c>
      <c r="C24" s="10"/>
      <c r="D24" s="48">
        <f t="shared" si="1"/>
        <v>0</v>
      </c>
      <c r="F24" s="38"/>
      <c r="G24" s="37"/>
      <c r="H24" s="190"/>
      <c r="I24" s="191"/>
      <c r="J24" s="191"/>
      <c r="L24" s="47">
        <f>596/6</f>
        <v>99.333333333333329</v>
      </c>
      <c r="N24" s="1"/>
      <c r="O24" t="s">
        <v>49</v>
      </c>
      <c r="P24" s="4">
        <v>1728</v>
      </c>
      <c r="Q24" s="4"/>
      <c r="R24" s="5">
        <f t="shared" si="0"/>
        <v>1728</v>
      </c>
    </row>
    <row r="25" spans="1:18" ht="15.75" x14ac:dyDescent="0.25">
      <c r="A25" s="128"/>
      <c r="B25" s="14" t="s">
        <v>124</v>
      </c>
      <c r="C25" s="10"/>
      <c r="D25" s="48">
        <f t="shared" si="1"/>
        <v>0</v>
      </c>
      <c r="F25" s="60" t="s">
        <v>100</v>
      </c>
      <c r="G25" s="55" t="s">
        <v>98</v>
      </c>
      <c r="H25" s="192" t="s">
        <v>13</v>
      </c>
      <c r="I25" s="193"/>
      <c r="J25" s="194"/>
      <c r="L25" s="47">
        <f>674/6</f>
        <v>112.33333333333333</v>
      </c>
      <c r="O25" t="s">
        <v>51</v>
      </c>
      <c r="P25" s="4">
        <v>1582</v>
      </c>
      <c r="Q25" s="4"/>
      <c r="R25" s="5">
        <f t="shared" si="0"/>
        <v>1582</v>
      </c>
    </row>
    <row r="26" spans="1:18" ht="15.75" x14ac:dyDescent="0.25">
      <c r="A26" s="128"/>
      <c r="B26" s="14" t="s">
        <v>105</v>
      </c>
      <c r="C26" s="10"/>
      <c r="D26" s="48">
        <f t="shared" si="1"/>
        <v>0</v>
      </c>
      <c r="F26" s="64"/>
      <c r="G26" s="10"/>
      <c r="H26" s="195"/>
      <c r="I26" s="196"/>
      <c r="J26" s="197"/>
      <c r="L26" s="7">
        <f>832/24+1.5</f>
        <v>36.166666666666664</v>
      </c>
      <c r="O26" t="s">
        <v>52</v>
      </c>
      <c r="P26" s="4">
        <v>1447</v>
      </c>
      <c r="Q26" s="4">
        <v>120</v>
      </c>
      <c r="R26" s="5">
        <f t="shared" si="0"/>
        <v>1567</v>
      </c>
    </row>
    <row r="27" spans="1:18" ht="14.45" customHeight="1" x14ac:dyDescent="0.25">
      <c r="A27" s="128"/>
      <c r="B27" s="14" t="s">
        <v>109</v>
      </c>
      <c r="C27" s="10"/>
      <c r="D27" s="44">
        <f t="shared" si="1"/>
        <v>0</v>
      </c>
      <c r="F27" s="14"/>
      <c r="G27" s="14"/>
      <c r="H27" s="198"/>
      <c r="I27" s="199"/>
      <c r="J27" s="200"/>
      <c r="L27" s="7">
        <v>1582</v>
      </c>
      <c r="O27" t="s">
        <v>53</v>
      </c>
      <c r="P27" s="4">
        <v>1582</v>
      </c>
      <c r="Q27" s="4"/>
      <c r="R27" s="5">
        <f t="shared" si="0"/>
        <v>1582</v>
      </c>
    </row>
    <row r="28" spans="1:18" ht="15.75" x14ac:dyDescent="0.25">
      <c r="A28" s="129"/>
      <c r="B28" s="46" t="s">
        <v>97</v>
      </c>
      <c r="C28" s="10"/>
      <c r="D28" s="48">
        <f t="shared" si="1"/>
        <v>0</v>
      </c>
      <c r="F28" s="91"/>
      <c r="G28" s="61"/>
      <c r="H28" s="201"/>
      <c r="I28" s="202"/>
      <c r="J28" s="203"/>
      <c r="L28" s="7">
        <v>785</v>
      </c>
      <c r="O28" t="s">
        <v>54</v>
      </c>
      <c r="P28" s="4">
        <v>1447</v>
      </c>
      <c r="Q28" s="4">
        <v>120</v>
      </c>
      <c r="R28" s="5">
        <f t="shared" si="0"/>
        <v>1567</v>
      </c>
    </row>
    <row r="29" spans="1:18" x14ac:dyDescent="0.25">
      <c r="A29" s="167" t="s">
        <v>36</v>
      </c>
      <c r="B29" s="168"/>
      <c r="C29" s="169"/>
      <c r="D29" s="173">
        <f>SUM(D6:D28)</f>
        <v>153590</v>
      </c>
      <c r="F29" s="175" t="s">
        <v>55</v>
      </c>
      <c r="G29" s="176"/>
      <c r="H29" s="179">
        <f>H15-H16-H17-H18-H19-H20-H22-H23-H24+H26+H27</f>
        <v>130235</v>
      </c>
      <c r="I29" s="180"/>
      <c r="J29" s="181"/>
      <c r="O29" t="s">
        <v>56</v>
      </c>
      <c r="P29" s="4">
        <v>1582</v>
      </c>
      <c r="Q29" s="4"/>
      <c r="R29" s="5">
        <f t="shared" si="0"/>
        <v>1582</v>
      </c>
    </row>
    <row r="30" spans="1:18" x14ac:dyDescent="0.25">
      <c r="A30" s="170"/>
      <c r="B30" s="171"/>
      <c r="C30" s="172"/>
      <c r="D30" s="174"/>
      <c r="F30" s="177"/>
      <c r="G30" s="178"/>
      <c r="H30" s="182"/>
      <c r="I30" s="183"/>
      <c r="J30" s="184"/>
      <c r="N30" s="1"/>
      <c r="Q30" s="4"/>
      <c r="R30" s="5">
        <f t="shared" si="0"/>
        <v>0</v>
      </c>
    </row>
    <row r="31" spans="1:18" x14ac:dyDescent="0.25">
      <c r="A31" s="24"/>
      <c r="B31" s="24"/>
      <c r="C31" s="24"/>
      <c r="D31" s="24"/>
      <c r="F31" s="24"/>
      <c r="G31" s="24"/>
      <c r="O31" t="s">
        <v>57</v>
      </c>
      <c r="P31" s="4">
        <v>1052</v>
      </c>
      <c r="Q31" s="4">
        <v>120</v>
      </c>
      <c r="R31" s="5">
        <f t="shared" si="0"/>
        <v>1172</v>
      </c>
    </row>
    <row r="32" spans="1:18" x14ac:dyDescent="0.25">
      <c r="A32" s="114" t="s">
        <v>58</v>
      </c>
      <c r="B32" s="115"/>
      <c r="C32" s="115"/>
      <c r="D32" s="116"/>
      <c r="F32" s="204" t="s">
        <v>59</v>
      </c>
      <c r="G32" s="205"/>
      <c r="H32" s="205"/>
      <c r="I32" s="205"/>
      <c r="J32" s="206"/>
      <c r="O32" t="s">
        <v>60</v>
      </c>
      <c r="P32" s="4">
        <v>1005</v>
      </c>
      <c r="Q32" s="4">
        <v>120</v>
      </c>
      <c r="R32" s="5">
        <f t="shared" si="0"/>
        <v>1125</v>
      </c>
    </row>
    <row r="33" spans="1:18" x14ac:dyDescent="0.25">
      <c r="A33" s="25"/>
      <c r="B33" s="25" t="s">
        <v>11</v>
      </c>
      <c r="C33" s="25" t="s">
        <v>61</v>
      </c>
      <c r="D33" s="25" t="s">
        <v>13</v>
      </c>
      <c r="F33" s="25" t="s">
        <v>62</v>
      </c>
      <c r="G33" s="92" t="s">
        <v>63</v>
      </c>
      <c r="H33" s="204" t="s">
        <v>13</v>
      </c>
      <c r="I33" s="205"/>
      <c r="J33" s="206"/>
      <c r="O33" t="s">
        <v>64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27" t="s">
        <v>65</v>
      </c>
      <c r="B34" s="26" t="s">
        <v>66</v>
      </c>
      <c r="C34" s="51"/>
      <c r="D34" s="30">
        <f>C34*120</f>
        <v>0</v>
      </c>
      <c r="F34" s="12">
        <v>1000</v>
      </c>
      <c r="G34" s="74">
        <v>103</v>
      </c>
      <c r="H34" s="207">
        <f>F34*G34</f>
        <v>103000</v>
      </c>
      <c r="I34" s="208"/>
      <c r="J34" s="209"/>
      <c r="O34" t="s">
        <v>67</v>
      </c>
      <c r="P34" s="4">
        <v>832</v>
      </c>
      <c r="Q34" s="4">
        <v>120</v>
      </c>
      <c r="R34" s="5">
        <f t="shared" si="0"/>
        <v>952</v>
      </c>
    </row>
    <row r="35" spans="1:18" ht="15.75" x14ac:dyDescent="0.25">
      <c r="A35" s="128"/>
      <c r="B35" s="27" t="s">
        <v>68</v>
      </c>
      <c r="C35" s="52"/>
      <c r="D35" s="30">
        <f>C35*84</f>
        <v>0</v>
      </c>
      <c r="F35" s="58">
        <v>500</v>
      </c>
      <c r="G35" s="41">
        <v>38</v>
      </c>
      <c r="H35" s="207">
        <f t="shared" ref="H35:H39" si="2">F35*G35</f>
        <v>19000</v>
      </c>
      <c r="I35" s="208"/>
      <c r="J35" s="209"/>
      <c r="O35" t="s">
        <v>69</v>
      </c>
      <c r="P35" s="4">
        <v>1102</v>
      </c>
      <c r="Q35" s="4"/>
      <c r="R35" s="5">
        <f t="shared" si="0"/>
        <v>1102</v>
      </c>
    </row>
    <row r="36" spans="1:18" ht="15.75" x14ac:dyDescent="0.25">
      <c r="A36" s="129"/>
      <c r="B36" s="26" t="s">
        <v>70</v>
      </c>
      <c r="C36" s="10">
        <v>3</v>
      </c>
      <c r="D36" s="12">
        <f>C36*1.5</f>
        <v>4.5</v>
      </c>
      <c r="F36" s="12">
        <v>200</v>
      </c>
      <c r="G36" s="37">
        <v>1</v>
      </c>
      <c r="H36" s="207">
        <f>F36*G36</f>
        <v>200</v>
      </c>
      <c r="I36" s="208"/>
      <c r="J36" s="209"/>
      <c r="O36" t="s">
        <v>71</v>
      </c>
      <c r="P36" s="4">
        <v>852</v>
      </c>
      <c r="Q36" s="4">
        <v>120</v>
      </c>
      <c r="R36" s="5">
        <f t="shared" si="0"/>
        <v>972</v>
      </c>
    </row>
    <row r="37" spans="1:18" ht="15.75" x14ac:dyDescent="0.25">
      <c r="A37" s="127" t="s">
        <v>72</v>
      </c>
      <c r="B37" s="28" t="s">
        <v>66</v>
      </c>
      <c r="C37" s="53">
        <v>193</v>
      </c>
      <c r="D37" s="12">
        <f>C37*111</f>
        <v>21423</v>
      </c>
      <c r="F37" s="12">
        <v>100</v>
      </c>
      <c r="G37" s="39">
        <v>24</v>
      </c>
      <c r="H37" s="207">
        <f t="shared" si="2"/>
        <v>2400</v>
      </c>
      <c r="I37" s="208"/>
      <c r="J37" s="209"/>
      <c r="O37" t="s">
        <v>73</v>
      </c>
      <c r="P37" s="4">
        <v>1020</v>
      </c>
      <c r="Q37" s="4">
        <v>120</v>
      </c>
      <c r="R37" s="5">
        <f t="shared" si="0"/>
        <v>1140</v>
      </c>
    </row>
    <row r="38" spans="1:18" ht="15.75" x14ac:dyDescent="0.25">
      <c r="A38" s="128"/>
      <c r="B38" s="29" t="s">
        <v>68</v>
      </c>
      <c r="C38" s="54">
        <v>4</v>
      </c>
      <c r="D38" s="12">
        <f>C38*84</f>
        <v>336</v>
      </c>
      <c r="F38" s="30">
        <v>50</v>
      </c>
      <c r="G38" s="39">
        <v>22</v>
      </c>
      <c r="H38" s="207">
        <f t="shared" si="2"/>
        <v>1100</v>
      </c>
      <c r="I38" s="208"/>
      <c r="J38" s="209"/>
      <c r="O38" t="s">
        <v>74</v>
      </c>
      <c r="P38" s="4">
        <v>596</v>
      </c>
      <c r="Q38" s="4">
        <v>111</v>
      </c>
      <c r="R38" s="5">
        <f t="shared" si="0"/>
        <v>707</v>
      </c>
    </row>
    <row r="39" spans="1:18" ht="15.75" x14ac:dyDescent="0.25">
      <c r="A39" s="129"/>
      <c r="B39" s="29" t="s">
        <v>70</v>
      </c>
      <c r="C39" s="52">
        <v>1</v>
      </c>
      <c r="D39" s="31">
        <f>C39*4.5</f>
        <v>4.5</v>
      </c>
      <c r="F39" s="12">
        <v>20</v>
      </c>
      <c r="G39" s="37">
        <v>1</v>
      </c>
      <c r="H39" s="207">
        <f t="shared" si="2"/>
        <v>20</v>
      </c>
      <c r="I39" s="208"/>
      <c r="J39" s="209"/>
      <c r="O39" t="s">
        <v>75</v>
      </c>
      <c r="P39" s="4">
        <v>1175</v>
      </c>
      <c r="Q39" s="4"/>
      <c r="R39" s="5">
        <f t="shared" si="0"/>
        <v>1175</v>
      </c>
    </row>
    <row r="40" spans="1:18" ht="15.75" x14ac:dyDescent="0.25">
      <c r="A40" s="127" t="s">
        <v>76</v>
      </c>
      <c r="B40" s="27" t="s">
        <v>66</v>
      </c>
      <c r="C40" s="63">
        <v>5</v>
      </c>
      <c r="D40" s="12">
        <f>C40*111</f>
        <v>555</v>
      </c>
      <c r="F40" s="12">
        <v>10</v>
      </c>
      <c r="G40" s="42"/>
      <c r="H40" s="207"/>
      <c r="I40" s="208"/>
      <c r="J40" s="209"/>
      <c r="O40" t="s">
        <v>77</v>
      </c>
      <c r="P40" s="4">
        <v>913</v>
      </c>
      <c r="Q40" s="4">
        <v>120</v>
      </c>
      <c r="R40" s="5">
        <f t="shared" si="0"/>
        <v>1033</v>
      </c>
    </row>
    <row r="41" spans="1:18" ht="15.75" x14ac:dyDescent="0.25">
      <c r="A41" s="128"/>
      <c r="B41" s="27" t="s">
        <v>68</v>
      </c>
      <c r="C41" s="10">
        <v>1</v>
      </c>
      <c r="D41" s="12">
        <f>C41*84</f>
        <v>84</v>
      </c>
      <c r="F41" s="12">
        <v>5</v>
      </c>
      <c r="G41" s="42"/>
      <c r="H41" s="207"/>
      <c r="I41" s="208"/>
      <c r="J41" s="209"/>
      <c r="K41" s="21"/>
      <c r="O41" t="s">
        <v>78</v>
      </c>
      <c r="P41" s="4">
        <v>614</v>
      </c>
      <c r="Q41" s="4">
        <v>111</v>
      </c>
      <c r="R41" s="5">
        <f t="shared" si="0"/>
        <v>725</v>
      </c>
    </row>
    <row r="42" spans="1:18" ht="15.75" x14ac:dyDescent="0.25">
      <c r="A42" s="129"/>
      <c r="B42" s="27" t="s">
        <v>70</v>
      </c>
      <c r="C42" s="11">
        <v>4</v>
      </c>
      <c r="D42" s="12">
        <f>C42*2.25</f>
        <v>9</v>
      </c>
      <c r="F42" s="39" t="s">
        <v>79</v>
      </c>
      <c r="G42" s="207">
        <v>232</v>
      </c>
      <c r="H42" s="208"/>
      <c r="I42" s="208"/>
      <c r="J42" s="209"/>
      <c r="K42" s="36"/>
      <c r="O42" t="s">
        <v>80</v>
      </c>
      <c r="P42" s="4">
        <v>626</v>
      </c>
      <c r="Q42" s="4">
        <v>111</v>
      </c>
      <c r="R42" s="5">
        <f t="shared" si="0"/>
        <v>737</v>
      </c>
    </row>
    <row r="43" spans="1:18" ht="15.75" x14ac:dyDescent="0.25">
      <c r="A43" s="210" t="s">
        <v>81</v>
      </c>
      <c r="C43" s="11"/>
      <c r="D43" s="12"/>
      <c r="F43" s="59" t="s">
        <v>82</v>
      </c>
      <c r="G43" s="94" t="s">
        <v>83</v>
      </c>
      <c r="H43" s="213" t="s">
        <v>13</v>
      </c>
      <c r="I43" s="214"/>
      <c r="J43" s="215"/>
      <c r="K43" s="21"/>
      <c r="P43" s="4"/>
      <c r="Q43" s="4"/>
      <c r="R43" s="5"/>
    </row>
    <row r="44" spans="1:18" ht="15.75" x14ac:dyDescent="0.25">
      <c r="A44" s="211"/>
      <c r="B44" s="27" t="s">
        <v>66</v>
      </c>
      <c r="C44" s="10">
        <v>2</v>
      </c>
      <c r="D44" s="12">
        <f>C44*120</f>
        <v>240</v>
      </c>
      <c r="F44" s="37" t="s">
        <v>157</v>
      </c>
      <c r="G44" s="110" t="s">
        <v>165</v>
      </c>
      <c r="H44" s="191">
        <v>3118</v>
      </c>
      <c r="I44" s="191"/>
      <c r="J44" s="191"/>
      <c r="K44" s="21"/>
      <c r="P44" s="4"/>
      <c r="Q44" s="4"/>
      <c r="R44" s="5"/>
    </row>
    <row r="45" spans="1:18" ht="15.75" x14ac:dyDescent="0.25">
      <c r="A45" s="211"/>
      <c r="B45" s="27" t="s">
        <v>68</v>
      </c>
      <c r="C45" s="33">
        <v>1</v>
      </c>
      <c r="D45" s="12">
        <f>C45*84</f>
        <v>84</v>
      </c>
      <c r="F45" s="37"/>
      <c r="G45" s="62"/>
      <c r="H45" s="191"/>
      <c r="I45" s="191"/>
      <c r="J45" s="191"/>
      <c r="K45" s="21"/>
      <c r="P45" s="4"/>
      <c r="Q45" s="4"/>
      <c r="R45" s="5"/>
    </row>
    <row r="46" spans="1:18" ht="15.75" x14ac:dyDescent="0.25">
      <c r="A46" s="211"/>
      <c r="B46" s="49" t="s">
        <v>70</v>
      </c>
      <c r="C46" s="81">
        <v>8</v>
      </c>
      <c r="D46" s="12">
        <f>C46*1.5</f>
        <v>12</v>
      </c>
      <c r="F46" s="37"/>
      <c r="G46" s="93"/>
      <c r="H46" s="216"/>
      <c r="I46" s="216"/>
      <c r="J46" s="216"/>
      <c r="K46" s="21"/>
      <c r="P46" s="4"/>
      <c r="Q46" s="4"/>
      <c r="R46" s="5"/>
    </row>
    <row r="47" spans="1:18" ht="15.75" x14ac:dyDescent="0.25">
      <c r="A47" s="212"/>
      <c r="B47" s="27"/>
      <c r="C47" s="11"/>
      <c r="D47" s="12"/>
      <c r="F47" s="59"/>
      <c r="G47" s="59"/>
      <c r="H47" s="217"/>
      <c r="I47" s="218"/>
      <c r="J47" s="219"/>
      <c r="K47" s="21"/>
      <c r="P47" s="4"/>
      <c r="Q47" s="4"/>
      <c r="R47" s="5"/>
    </row>
    <row r="48" spans="1:18" ht="15" customHeight="1" x14ac:dyDescent="0.25">
      <c r="A48" s="210" t="s">
        <v>32</v>
      </c>
      <c r="B48" s="27" t="s">
        <v>66</v>
      </c>
      <c r="C48" s="10">
        <v>7</v>
      </c>
      <c r="D48" s="12">
        <f>C48*78</f>
        <v>546</v>
      </c>
      <c r="F48" s="59"/>
      <c r="G48" s="59"/>
      <c r="H48" s="217"/>
      <c r="I48" s="218"/>
      <c r="J48" s="219"/>
      <c r="K48" s="35"/>
      <c r="O48" t="s">
        <v>84</v>
      </c>
      <c r="P48" s="4">
        <v>1175</v>
      </c>
      <c r="Q48" s="4"/>
      <c r="R48" s="5">
        <f t="shared" si="0"/>
        <v>1175</v>
      </c>
    </row>
    <row r="49" spans="1:18" ht="15.75" x14ac:dyDescent="0.25">
      <c r="A49" s="211"/>
      <c r="B49" s="29" t="s">
        <v>68</v>
      </c>
      <c r="C49" s="33">
        <v>1</v>
      </c>
      <c r="D49" s="12">
        <f>C49*42</f>
        <v>42</v>
      </c>
      <c r="F49" s="232" t="s">
        <v>86</v>
      </c>
      <c r="G49" s="179">
        <f>H34+H35+H36+H37+H38+H39+H40+H41+G42+H44+H45+H46</f>
        <v>129070</v>
      </c>
      <c r="H49" s="180"/>
      <c r="I49" s="180"/>
      <c r="J49" s="181"/>
      <c r="O49" t="s">
        <v>85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211"/>
      <c r="B50" s="32" t="s">
        <v>70</v>
      </c>
      <c r="C50" s="11">
        <v>10</v>
      </c>
      <c r="D50" s="12">
        <f>C50*1.5</f>
        <v>15</v>
      </c>
      <c r="F50" s="233"/>
      <c r="G50" s="182"/>
      <c r="H50" s="183"/>
      <c r="I50" s="183"/>
      <c r="J50" s="184"/>
      <c r="P50" s="4"/>
      <c r="Q50" s="4"/>
      <c r="R50" s="5"/>
    </row>
    <row r="51" spans="1:18" ht="15" customHeight="1" x14ac:dyDescent="0.25">
      <c r="A51" s="211"/>
      <c r="B51" s="27"/>
      <c r="C51" s="10"/>
      <c r="D51" s="31"/>
      <c r="F51" s="234" t="s">
        <v>132</v>
      </c>
      <c r="G51" s="247">
        <f>G49-H29</f>
        <v>-1165</v>
      </c>
      <c r="H51" s="248"/>
      <c r="I51" s="248"/>
      <c r="J51" s="249"/>
      <c r="K51" s="21"/>
      <c r="O51" t="s">
        <v>87</v>
      </c>
      <c r="P51" s="4">
        <v>703</v>
      </c>
      <c r="Q51" s="4">
        <v>120</v>
      </c>
      <c r="R51" s="5">
        <f t="shared" si="0"/>
        <v>823</v>
      </c>
    </row>
    <row r="52" spans="1:18" ht="15.75" x14ac:dyDescent="0.25">
      <c r="A52" s="211"/>
      <c r="B52" s="29"/>
      <c r="C52" s="33"/>
      <c r="D52" s="45"/>
      <c r="F52" s="235"/>
      <c r="G52" s="250"/>
      <c r="H52" s="251"/>
      <c r="I52" s="251"/>
      <c r="J52" s="252"/>
      <c r="K52" s="21"/>
      <c r="O52" t="s">
        <v>88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212"/>
      <c r="B53" s="32"/>
      <c r="C53" s="11"/>
      <c r="D53" s="12"/>
      <c r="F53" s="35"/>
      <c r="G53" s="24"/>
      <c r="H53" s="24"/>
      <c r="I53" s="24"/>
      <c r="J53" s="17"/>
      <c r="N53" s="1"/>
      <c r="O53" t="s">
        <v>89</v>
      </c>
      <c r="P53" s="4">
        <v>1142</v>
      </c>
    </row>
    <row r="54" spans="1:18" x14ac:dyDescent="0.25">
      <c r="A54" s="175" t="s">
        <v>90</v>
      </c>
      <c r="B54" s="220"/>
      <c r="C54" s="221"/>
      <c r="D54" s="224">
        <f>SUM(D34:D53)</f>
        <v>23355</v>
      </c>
      <c r="F54" s="21"/>
      <c r="J54" s="34"/>
    </row>
    <row r="55" spans="1:18" x14ac:dyDescent="0.25">
      <c r="A55" s="177"/>
      <c r="B55" s="222"/>
      <c r="C55" s="223"/>
      <c r="D55" s="225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151</v>
      </c>
      <c r="D57" s="34"/>
      <c r="F57" s="36"/>
      <c r="G57" s="50"/>
      <c r="H57" s="50"/>
      <c r="I57" s="50"/>
      <c r="J57" s="43"/>
    </row>
    <row r="58" spans="1:18" x14ac:dyDescent="0.25">
      <c r="A58" s="226" t="s">
        <v>91</v>
      </c>
      <c r="B58" s="227"/>
      <c r="C58" s="227"/>
      <c r="D58" s="228"/>
      <c r="F58" s="226" t="s">
        <v>92</v>
      </c>
      <c r="G58" s="227"/>
      <c r="H58" s="227"/>
      <c r="I58" s="227"/>
      <c r="J58" s="228"/>
    </row>
    <row r="59" spans="1:18" x14ac:dyDescent="0.25">
      <c r="A59" s="229"/>
      <c r="B59" s="230"/>
      <c r="C59" s="230"/>
      <c r="D59" s="231"/>
      <c r="F59" s="229"/>
      <c r="G59" s="230"/>
      <c r="H59" s="230"/>
      <c r="I59" s="230"/>
      <c r="J59" s="231"/>
    </row>
  </sheetData>
  <mergeCells count="68"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  <mergeCell ref="H13:J13"/>
    <mergeCell ref="F14:G14"/>
    <mergeCell ref="H14:J14"/>
    <mergeCell ref="F15:G15"/>
    <mergeCell ref="H15:J15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A32:D32"/>
    <mergeCell ref="F32:J32"/>
    <mergeCell ref="H33:J33"/>
    <mergeCell ref="A34:A36"/>
    <mergeCell ref="H34:J34"/>
    <mergeCell ref="H35:J35"/>
    <mergeCell ref="H36:J36"/>
    <mergeCell ref="A37:A39"/>
    <mergeCell ref="H37:J37"/>
    <mergeCell ref="H38:J38"/>
    <mergeCell ref="H39:J39"/>
    <mergeCell ref="A40:A42"/>
    <mergeCell ref="H40:J40"/>
    <mergeCell ref="H41:J41"/>
    <mergeCell ref="G42:J42"/>
    <mergeCell ref="A43:A47"/>
    <mergeCell ref="H43:J43"/>
    <mergeCell ref="H44:J44"/>
    <mergeCell ref="H45:J45"/>
    <mergeCell ref="H46:J46"/>
    <mergeCell ref="H47:J47"/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3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8EC5632-DA67-4E27-82F5-95F137057FF1}">
  <dimension ref="A1:R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113" t="s">
        <v>1</v>
      </c>
      <c r="O1" s="113"/>
      <c r="P1" s="90" t="s">
        <v>2</v>
      </c>
      <c r="Q1" s="90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14" t="s">
        <v>7</v>
      </c>
      <c r="B4" s="115"/>
      <c r="C4" s="115"/>
      <c r="D4" s="116"/>
      <c r="F4" s="117" t="s">
        <v>8</v>
      </c>
      <c r="G4" s="119">
        <v>3</v>
      </c>
      <c r="H4" s="121" t="s">
        <v>9</v>
      </c>
      <c r="I4" s="123">
        <v>45971</v>
      </c>
      <c r="J4" s="124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27" t="s">
        <v>7</v>
      </c>
      <c r="B5" s="15" t="s">
        <v>11</v>
      </c>
      <c r="C5" s="9" t="s">
        <v>12</v>
      </c>
      <c r="D5" s="25" t="s">
        <v>13</v>
      </c>
      <c r="F5" s="118"/>
      <c r="G5" s="120"/>
      <c r="H5" s="122"/>
      <c r="I5" s="125"/>
      <c r="J5" s="126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28"/>
      <c r="B6" s="16" t="s">
        <v>15</v>
      </c>
      <c r="C6" s="10">
        <v>261</v>
      </c>
      <c r="D6" s="13">
        <f t="shared" ref="D6:D28" si="1">C6*L6</f>
        <v>192357</v>
      </c>
      <c r="F6" s="130" t="s">
        <v>16</v>
      </c>
      <c r="G6" s="132" t="s">
        <v>111</v>
      </c>
      <c r="H6" s="133"/>
      <c r="I6" s="133"/>
      <c r="J6" s="134"/>
      <c r="K6" s="8"/>
      <c r="L6" s="6">
        <f>R42</f>
        <v>737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28"/>
      <c r="B7" s="16" t="s">
        <v>18</v>
      </c>
      <c r="C7" s="10"/>
      <c r="D7" s="13">
        <f t="shared" si="1"/>
        <v>0</v>
      </c>
      <c r="F7" s="131"/>
      <c r="G7" s="135"/>
      <c r="H7" s="136"/>
      <c r="I7" s="136"/>
      <c r="J7" s="137"/>
      <c r="K7" s="8"/>
      <c r="L7" s="6">
        <f>R41</f>
        <v>725</v>
      </c>
      <c r="P7" s="4"/>
      <c r="Q7" s="4"/>
      <c r="R7" s="5"/>
    </row>
    <row r="8" spans="1:18" ht="14.45" customHeight="1" x14ac:dyDescent="0.25">
      <c r="A8" s="128"/>
      <c r="B8" s="16" t="s">
        <v>20</v>
      </c>
      <c r="C8" s="10"/>
      <c r="D8" s="13">
        <f t="shared" si="1"/>
        <v>0</v>
      </c>
      <c r="F8" s="138" t="s">
        <v>21</v>
      </c>
      <c r="G8" s="140" t="s">
        <v>119</v>
      </c>
      <c r="H8" s="141"/>
      <c r="I8" s="141"/>
      <c r="J8" s="142"/>
      <c r="K8" s="8"/>
      <c r="L8" s="6">
        <f>R40</f>
        <v>1033</v>
      </c>
      <c r="P8" s="4"/>
      <c r="Q8" s="4"/>
      <c r="R8" s="5"/>
    </row>
    <row r="9" spans="1:18" ht="14.45" customHeight="1" x14ac:dyDescent="0.25">
      <c r="A9" s="128"/>
      <c r="B9" s="16" t="s">
        <v>23</v>
      </c>
      <c r="C9" s="10">
        <v>72</v>
      </c>
      <c r="D9" s="13">
        <f t="shared" si="1"/>
        <v>50904</v>
      </c>
      <c r="F9" s="131"/>
      <c r="G9" s="143"/>
      <c r="H9" s="144"/>
      <c r="I9" s="144"/>
      <c r="J9" s="145"/>
      <c r="K9" s="8"/>
      <c r="L9" s="6">
        <f>R38</f>
        <v>707</v>
      </c>
      <c r="P9" s="4"/>
      <c r="Q9" s="4"/>
      <c r="R9" s="5"/>
    </row>
    <row r="10" spans="1:18" ht="14.45" customHeight="1" x14ac:dyDescent="0.25">
      <c r="A10" s="128"/>
      <c r="B10" t="s">
        <v>25</v>
      </c>
      <c r="C10" s="10"/>
      <c r="D10" s="13">
        <f t="shared" si="1"/>
        <v>0</v>
      </c>
      <c r="F10" s="130" t="s">
        <v>26</v>
      </c>
      <c r="G10" s="146" t="s">
        <v>137</v>
      </c>
      <c r="H10" s="147"/>
      <c r="I10" s="147"/>
      <c r="J10" s="148"/>
      <c r="K10" s="8"/>
      <c r="L10" s="6">
        <f>R36</f>
        <v>972</v>
      </c>
      <c r="P10" s="4"/>
      <c r="Q10" s="4"/>
      <c r="R10" s="5"/>
    </row>
    <row r="11" spans="1:18" ht="15.75" x14ac:dyDescent="0.25">
      <c r="A11" s="128"/>
      <c r="B11" s="17" t="s">
        <v>28</v>
      </c>
      <c r="C11" s="10">
        <v>3</v>
      </c>
      <c r="D11" s="13">
        <f t="shared" si="1"/>
        <v>3375</v>
      </c>
      <c r="F11" s="131"/>
      <c r="G11" s="143"/>
      <c r="H11" s="144"/>
      <c r="I11" s="144"/>
      <c r="J11" s="145"/>
      <c r="K11" s="22"/>
      <c r="L11" s="6">
        <f>R32</f>
        <v>1125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28"/>
      <c r="B12" s="17" t="s">
        <v>30</v>
      </c>
      <c r="C12" s="10">
        <f>5+3</f>
        <v>8</v>
      </c>
      <c r="D12" s="48">
        <f t="shared" si="1"/>
        <v>7616</v>
      </c>
      <c r="F12" s="149" t="s">
        <v>33</v>
      </c>
      <c r="G12" s="150"/>
      <c r="H12" s="150"/>
      <c r="I12" s="150"/>
      <c r="J12" s="151"/>
      <c r="K12" s="23"/>
      <c r="L12" s="6">
        <f>R34</f>
        <v>952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28"/>
      <c r="B13" s="17" t="s">
        <v>32</v>
      </c>
      <c r="C13" s="10">
        <v>12</v>
      </c>
      <c r="D13" s="48">
        <f t="shared" si="1"/>
        <v>3684</v>
      </c>
      <c r="F13" s="152" t="s">
        <v>36</v>
      </c>
      <c r="G13" s="153"/>
      <c r="H13" s="154">
        <f>D29</f>
        <v>259983</v>
      </c>
      <c r="I13" s="155"/>
      <c r="J13" s="156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28"/>
      <c r="B14" s="14" t="s">
        <v>35</v>
      </c>
      <c r="C14" s="10">
        <v>17</v>
      </c>
      <c r="D14" s="31">
        <f t="shared" si="1"/>
        <v>187</v>
      </c>
      <c r="F14" s="157" t="s">
        <v>39</v>
      </c>
      <c r="G14" s="158"/>
      <c r="H14" s="159">
        <f>D54</f>
        <v>44370</v>
      </c>
      <c r="I14" s="160"/>
      <c r="J14" s="161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28"/>
      <c r="B15" s="14" t="s">
        <v>38</v>
      </c>
      <c r="C15" s="10">
        <v>3</v>
      </c>
      <c r="D15" s="31">
        <f t="shared" si="1"/>
        <v>1860</v>
      </c>
      <c r="F15" s="162" t="s">
        <v>40</v>
      </c>
      <c r="G15" s="153"/>
      <c r="H15" s="163">
        <f>H13-H14</f>
        <v>215613</v>
      </c>
      <c r="I15" s="164"/>
      <c r="J15" s="165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28"/>
      <c r="B16" s="18" t="s">
        <v>94</v>
      </c>
      <c r="C16" s="10"/>
      <c r="D16" s="48">
        <f t="shared" si="1"/>
        <v>0</v>
      </c>
      <c r="F16" s="67" t="s">
        <v>42</v>
      </c>
      <c r="G16" s="66" t="s">
        <v>43</v>
      </c>
      <c r="H16" s="166">
        <f>1248</f>
        <v>1248</v>
      </c>
      <c r="I16" s="166"/>
      <c r="J16" s="166"/>
      <c r="L16" s="6">
        <f>R28</f>
        <v>1567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28"/>
      <c r="B17" t="s">
        <v>113</v>
      </c>
      <c r="C17" s="10"/>
      <c r="D17" s="48">
        <f t="shared" si="1"/>
        <v>0</v>
      </c>
      <c r="F17" s="56"/>
      <c r="G17" s="66" t="s">
        <v>45</v>
      </c>
      <c r="H17" s="139"/>
      <c r="I17" s="139"/>
      <c r="J17" s="139"/>
      <c r="L17" s="6">
        <v>1582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28"/>
      <c r="B18" s="19" t="s">
        <v>95</v>
      </c>
      <c r="C18" s="10"/>
      <c r="D18" s="48">
        <f t="shared" si="1"/>
        <v>0</v>
      </c>
      <c r="F18" s="56"/>
      <c r="G18" s="66" t="s">
        <v>47</v>
      </c>
      <c r="H18" s="139"/>
      <c r="I18" s="139"/>
      <c r="J18" s="139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28"/>
      <c r="B19" s="14" t="s">
        <v>117</v>
      </c>
      <c r="C19" s="10"/>
      <c r="D19" s="48">
        <f t="shared" si="1"/>
        <v>0</v>
      </c>
      <c r="F19" s="56"/>
      <c r="G19" s="68" t="s">
        <v>50</v>
      </c>
      <c r="H19" s="253"/>
      <c r="I19" s="253"/>
      <c r="J19" s="253"/>
      <c r="L19" s="6">
        <f>R35</f>
        <v>1102</v>
      </c>
      <c r="Q19" s="4"/>
      <c r="R19" s="5">
        <f t="shared" si="0"/>
        <v>0</v>
      </c>
    </row>
    <row r="20" spans="1:18" ht="15.75" x14ac:dyDescent="0.25">
      <c r="A20" s="128"/>
      <c r="B20" s="46" t="s">
        <v>108</v>
      </c>
      <c r="C20" s="10"/>
      <c r="D20" s="13">
        <f t="shared" si="1"/>
        <v>0</v>
      </c>
      <c r="F20" s="57"/>
      <c r="G20" s="70" t="s">
        <v>120</v>
      </c>
      <c r="H20" s="166"/>
      <c r="I20" s="166"/>
      <c r="J20" s="166"/>
      <c r="L20" s="6">
        <f>1102</f>
        <v>1102</v>
      </c>
      <c r="N20" s="1" t="s">
        <v>41</v>
      </c>
      <c r="Q20" s="4"/>
      <c r="R20" s="5">
        <f t="shared" si="0"/>
        <v>0</v>
      </c>
    </row>
    <row r="21" spans="1:18" ht="15.75" x14ac:dyDescent="0.25">
      <c r="A21" s="128"/>
      <c r="B21" s="14" t="s">
        <v>126</v>
      </c>
      <c r="C21" s="10"/>
      <c r="D21" s="48">
        <f t="shared" si="1"/>
        <v>0</v>
      </c>
      <c r="F21" s="69" t="s">
        <v>99</v>
      </c>
      <c r="G21" s="82" t="s">
        <v>98</v>
      </c>
      <c r="H21" s="186" t="s">
        <v>13</v>
      </c>
      <c r="I21" s="187"/>
      <c r="J21" s="188"/>
      <c r="L21" s="7">
        <v>650</v>
      </c>
      <c r="O21" t="s">
        <v>44</v>
      </c>
      <c r="P21" s="4">
        <v>1447</v>
      </c>
      <c r="Q21" s="4">
        <v>120</v>
      </c>
      <c r="R21" s="5">
        <f t="shared" si="0"/>
        <v>1567</v>
      </c>
    </row>
    <row r="22" spans="1:18" ht="15.75" x14ac:dyDescent="0.25">
      <c r="A22" s="128"/>
      <c r="B22" s="46" t="s">
        <v>104</v>
      </c>
      <c r="C22" s="10"/>
      <c r="D22" s="48">
        <f t="shared" si="1"/>
        <v>0</v>
      </c>
      <c r="F22" s="77"/>
      <c r="G22" s="73"/>
      <c r="H22" s="189"/>
      <c r="I22" s="189"/>
      <c r="J22" s="189"/>
      <c r="L22" s="7">
        <f>559+111</f>
        <v>670</v>
      </c>
      <c r="O22" t="s">
        <v>46</v>
      </c>
      <c r="P22" s="4">
        <v>1582</v>
      </c>
      <c r="Q22" s="4"/>
      <c r="R22" s="5">
        <f t="shared" si="0"/>
        <v>1582</v>
      </c>
    </row>
    <row r="23" spans="1:18" ht="15.75" x14ac:dyDescent="0.25">
      <c r="A23" s="128"/>
      <c r="B23" s="14" t="s">
        <v>107</v>
      </c>
      <c r="C23" s="10"/>
      <c r="D23" s="48">
        <f t="shared" si="1"/>
        <v>0</v>
      </c>
      <c r="F23" s="78"/>
      <c r="G23" s="79"/>
      <c r="H23" s="190"/>
      <c r="I23" s="191"/>
      <c r="J23" s="191"/>
      <c r="L23" s="47">
        <f>R33</f>
        <v>1175</v>
      </c>
      <c r="N23" s="1"/>
      <c r="O23" t="s">
        <v>48</v>
      </c>
      <c r="P23" s="4">
        <v>1728</v>
      </c>
      <c r="Q23" s="4"/>
      <c r="R23" s="5">
        <f t="shared" si="0"/>
        <v>1728</v>
      </c>
    </row>
    <row r="24" spans="1:18" ht="15.75" x14ac:dyDescent="0.25">
      <c r="A24" s="128"/>
      <c r="B24" s="14" t="s">
        <v>101</v>
      </c>
      <c r="C24" s="10"/>
      <c r="D24" s="48">
        <f t="shared" si="1"/>
        <v>0</v>
      </c>
      <c r="F24" s="38"/>
      <c r="G24" s="37"/>
      <c r="H24" s="190"/>
      <c r="I24" s="191"/>
      <c r="J24" s="191"/>
      <c r="L24" s="47">
        <v>1667</v>
      </c>
      <c r="N24" s="1"/>
      <c r="O24" t="s">
        <v>49</v>
      </c>
      <c r="P24" s="4">
        <v>1728</v>
      </c>
      <c r="Q24" s="4"/>
      <c r="R24" s="5">
        <f t="shared" si="0"/>
        <v>1728</v>
      </c>
    </row>
    <row r="25" spans="1:18" ht="15.75" x14ac:dyDescent="0.25">
      <c r="A25" s="128"/>
      <c r="B25" s="14" t="s">
        <v>116</v>
      </c>
      <c r="C25" s="10"/>
      <c r="D25" s="48">
        <f t="shared" si="1"/>
        <v>0</v>
      </c>
      <c r="F25" s="60" t="s">
        <v>100</v>
      </c>
      <c r="G25" s="55" t="s">
        <v>98</v>
      </c>
      <c r="H25" s="192" t="s">
        <v>13</v>
      </c>
      <c r="I25" s="193"/>
      <c r="J25" s="194"/>
      <c r="L25" s="47">
        <f>1582</f>
        <v>1582</v>
      </c>
      <c r="O25" t="s">
        <v>51</v>
      </c>
      <c r="P25" s="4">
        <v>1582</v>
      </c>
      <c r="Q25" s="4"/>
      <c r="R25" s="5">
        <f t="shared" si="0"/>
        <v>1582</v>
      </c>
    </row>
    <row r="26" spans="1:18" ht="15.75" x14ac:dyDescent="0.25">
      <c r="A26" s="128"/>
      <c r="B26" s="14" t="s">
        <v>105</v>
      </c>
      <c r="C26" s="10"/>
      <c r="D26" s="48">
        <f t="shared" si="1"/>
        <v>0</v>
      </c>
      <c r="F26" s="64"/>
      <c r="G26" s="59"/>
      <c r="H26" s="195"/>
      <c r="I26" s="196"/>
      <c r="J26" s="197"/>
      <c r="L26" s="7">
        <f>832/24+1.5</f>
        <v>36.166666666666664</v>
      </c>
      <c r="O26" t="s">
        <v>52</v>
      </c>
      <c r="P26" s="4">
        <v>1447</v>
      </c>
      <c r="Q26" s="4">
        <v>120</v>
      </c>
      <c r="R26" s="5">
        <f t="shared" si="0"/>
        <v>1567</v>
      </c>
    </row>
    <row r="27" spans="1:18" ht="14.45" customHeight="1" x14ac:dyDescent="0.25">
      <c r="A27" s="128"/>
      <c r="B27" s="14" t="s">
        <v>109</v>
      </c>
      <c r="C27" s="10"/>
      <c r="D27" s="44">
        <f t="shared" si="1"/>
        <v>0</v>
      </c>
      <c r="F27" s="25"/>
      <c r="G27" s="80"/>
      <c r="H27" s="198"/>
      <c r="I27" s="199"/>
      <c r="J27" s="200"/>
      <c r="L27" s="7">
        <v>1582</v>
      </c>
      <c r="O27" t="s">
        <v>53</v>
      </c>
      <c r="P27" s="4">
        <v>1582</v>
      </c>
      <c r="Q27" s="4"/>
      <c r="R27" s="5">
        <f t="shared" si="0"/>
        <v>1582</v>
      </c>
    </row>
    <row r="28" spans="1:18" ht="15.75" x14ac:dyDescent="0.25">
      <c r="A28" s="129"/>
      <c r="B28" s="46" t="s">
        <v>97</v>
      </c>
      <c r="C28" s="10"/>
      <c r="D28" s="48">
        <f t="shared" si="1"/>
        <v>0</v>
      </c>
      <c r="F28" s="91"/>
      <c r="G28" s="61"/>
      <c r="H28" s="201"/>
      <c r="I28" s="202"/>
      <c r="J28" s="203"/>
      <c r="L28" s="7">
        <v>785</v>
      </c>
      <c r="O28" t="s">
        <v>54</v>
      </c>
      <c r="P28" s="4">
        <v>1447</v>
      </c>
      <c r="Q28" s="4">
        <v>120</v>
      </c>
      <c r="R28" s="5">
        <f t="shared" si="0"/>
        <v>1567</v>
      </c>
    </row>
    <row r="29" spans="1:18" x14ac:dyDescent="0.25">
      <c r="A29" s="167" t="s">
        <v>36</v>
      </c>
      <c r="B29" s="168"/>
      <c r="C29" s="169"/>
      <c r="D29" s="173">
        <f>SUM(D6:D28)</f>
        <v>259983</v>
      </c>
      <c r="F29" s="175" t="s">
        <v>55</v>
      </c>
      <c r="G29" s="176"/>
      <c r="H29" s="179">
        <f>H15-H16-H17-H18-H19-H20-H22-H23-H24+H26+H27</f>
        <v>214365</v>
      </c>
      <c r="I29" s="180"/>
      <c r="J29" s="181"/>
      <c r="O29" t="s">
        <v>56</v>
      </c>
      <c r="P29" s="4">
        <v>1582</v>
      </c>
      <c r="Q29" s="4"/>
      <c r="R29" s="5">
        <f t="shared" si="0"/>
        <v>1582</v>
      </c>
    </row>
    <row r="30" spans="1:18" x14ac:dyDescent="0.25">
      <c r="A30" s="170"/>
      <c r="B30" s="171"/>
      <c r="C30" s="172"/>
      <c r="D30" s="174"/>
      <c r="F30" s="177"/>
      <c r="G30" s="178"/>
      <c r="H30" s="182"/>
      <c r="I30" s="183"/>
      <c r="J30" s="184"/>
      <c r="N30" s="1"/>
      <c r="Q30" s="4"/>
      <c r="R30" s="5">
        <f t="shared" si="0"/>
        <v>0</v>
      </c>
    </row>
    <row r="31" spans="1:18" x14ac:dyDescent="0.25">
      <c r="A31" s="24"/>
      <c r="B31" s="24"/>
      <c r="C31" s="24"/>
      <c r="D31" s="24"/>
      <c r="F31" s="24"/>
      <c r="G31" s="24"/>
      <c r="O31" t="s">
        <v>57</v>
      </c>
      <c r="P31" s="4">
        <v>1052</v>
      </c>
      <c r="Q31" s="4">
        <v>120</v>
      </c>
      <c r="R31" s="5">
        <f t="shared" si="0"/>
        <v>1172</v>
      </c>
    </row>
    <row r="32" spans="1:18" x14ac:dyDescent="0.25">
      <c r="A32" s="114" t="s">
        <v>58</v>
      </c>
      <c r="B32" s="115"/>
      <c r="C32" s="115"/>
      <c r="D32" s="116"/>
      <c r="F32" s="204" t="s">
        <v>59</v>
      </c>
      <c r="G32" s="205"/>
      <c r="H32" s="205"/>
      <c r="I32" s="205"/>
      <c r="J32" s="206"/>
      <c r="O32" t="s">
        <v>60</v>
      </c>
      <c r="P32" s="4">
        <v>1005</v>
      </c>
      <c r="Q32" s="4">
        <v>120</v>
      </c>
      <c r="R32" s="5">
        <f t="shared" si="0"/>
        <v>1125</v>
      </c>
    </row>
    <row r="33" spans="1:18" x14ac:dyDescent="0.25">
      <c r="A33" s="25"/>
      <c r="B33" s="25" t="s">
        <v>11</v>
      </c>
      <c r="C33" s="25" t="s">
        <v>61</v>
      </c>
      <c r="D33" s="25" t="s">
        <v>13</v>
      </c>
      <c r="F33" s="25" t="s">
        <v>62</v>
      </c>
      <c r="G33" s="92" t="s">
        <v>63</v>
      </c>
      <c r="H33" s="204" t="s">
        <v>13</v>
      </c>
      <c r="I33" s="205"/>
      <c r="J33" s="206"/>
      <c r="O33" t="s">
        <v>64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27" t="s">
        <v>65</v>
      </c>
      <c r="B34" s="26" t="s">
        <v>66</v>
      </c>
      <c r="C34" s="51"/>
      <c r="D34" s="30">
        <f>C34*120</f>
        <v>0</v>
      </c>
      <c r="F34" s="12">
        <v>1000</v>
      </c>
      <c r="G34" s="74">
        <v>25</v>
      </c>
      <c r="H34" s="207">
        <f>F34*G34</f>
        <v>25000</v>
      </c>
      <c r="I34" s="208"/>
      <c r="J34" s="209"/>
      <c r="O34" t="s">
        <v>67</v>
      </c>
      <c r="P34" s="4">
        <v>832</v>
      </c>
      <c r="Q34" s="4">
        <v>120</v>
      </c>
      <c r="R34" s="5">
        <f t="shared" si="0"/>
        <v>952</v>
      </c>
    </row>
    <row r="35" spans="1:18" ht="15.75" x14ac:dyDescent="0.25">
      <c r="A35" s="128"/>
      <c r="B35" s="27" t="s">
        <v>68</v>
      </c>
      <c r="C35" s="52"/>
      <c r="D35" s="30">
        <f>C35*84</f>
        <v>0</v>
      </c>
      <c r="F35" s="58">
        <v>500</v>
      </c>
      <c r="G35" s="41">
        <v>14</v>
      </c>
      <c r="H35" s="207">
        <f>F35*G35</f>
        <v>7000</v>
      </c>
      <c r="I35" s="208"/>
      <c r="J35" s="209"/>
      <c r="O35" t="s">
        <v>69</v>
      </c>
      <c r="P35" s="4">
        <v>1102</v>
      </c>
      <c r="Q35" s="4"/>
      <c r="R35" s="5">
        <f t="shared" si="0"/>
        <v>1102</v>
      </c>
    </row>
    <row r="36" spans="1:18" ht="15.75" x14ac:dyDescent="0.25">
      <c r="A36" s="129"/>
      <c r="B36" s="26" t="s">
        <v>70</v>
      </c>
      <c r="C36" s="10"/>
      <c r="D36" s="12">
        <f>C36*1.5</f>
        <v>0</v>
      </c>
      <c r="F36" s="12">
        <v>200</v>
      </c>
      <c r="G36" s="37"/>
      <c r="H36" s="207">
        <f t="shared" ref="H36:H39" si="2">F36*G36</f>
        <v>0</v>
      </c>
      <c r="I36" s="208"/>
      <c r="J36" s="209"/>
      <c r="O36" t="s">
        <v>71</v>
      </c>
      <c r="P36" s="4">
        <v>852</v>
      </c>
      <c r="Q36" s="4">
        <v>120</v>
      </c>
      <c r="R36" s="5">
        <f t="shared" si="0"/>
        <v>972</v>
      </c>
    </row>
    <row r="37" spans="1:18" ht="15.75" x14ac:dyDescent="0.25">
      <c r="A37" s="127" t="s">
        <v>72</v>
      </c>
      <c r="B37" s="28" t="s">
        <v>66</v>
      </c>
      <c r="C37" s="53">
        <v>380</v>
      </c>
      <c r="D37" s="12">
        <f>C37*111</f>
        <v>42180</v>
      </c>
      <c r="F37" s="12">
        <v>100</v>
      </c>
      <c r="G37" s="39">
        <v>3</v>
      </c>
      <c r="H37" s="207">
        <f t="shared" si="2"/>
        <v>300</v>
      </c>
      <c r="I37" s="208"/>
      <c r="J37" s="209"/>
      <c r="O37" t="s">
        <v>73</v>
      </c>
      <c r="P37" s="4">
        <v>1020</v>
      </c>
      <c r="Q37" s="4">
        <v>120</v>
      </c>
      <c r="R37" s="5">
        <f t="shared" si="0"/>
        <v>1140</v>
      </c>
    </row>
    <row r="38" spans="1:18" ht="15.75" x14ac:dyDescent="0.25">
      <c r="A38" s="128"/>
      <c r="B38" s="29" t="s">
        <v>68</v>
      </c>
      <c r="C38" s="54">
        <v>6</v>
      </c>
      <c r="D38" s="12">
        <f>C38*84</f>
        <v>504</v>
      </c>
      <c r="F38" s="30">
        <v>50</v>
      </c>
      <c r="G38" s="39">
        <v>2</v>
      </c>
      <c r="H38" s="207">
        <f t="shared" si="2"/>
        <v>100</v>
      </c>
      <c r="I38" s="208"/>
      <c r="J38" s="209"/>
      <c r="O38" t="s">
        <v>74</v>
      </c>
      <c r="P38" s="4">
        <v>596</v>
      </c>
      <c r="Q38" s="4">
        <v>111</v>
      </c>
      <c r="R38" s="5">
        <f t="shared" si="0"/>
        <v>707</v>
      </c>
    </row>
    <row r="39" spans="1:18" ht="15.75" x14ac:dyDescent="0.25">
      <c r="A39" s="129"/>
      <c r="B39" s="29" t="s">
        <v>70</v>
      </c>
      <c r="C39" s="52">
        <v>5</v>
      </c>
      <c r="D39" s="31">
        <f>C39*4.5</f>
        <v>22.5</v>
      </c>
      <c r="F39" s="12">
        <v>20</v>
      </c>
      <c r="G39" s="37"/>
      <c r="H39" s="207">
        <f t="shared" si="2"/>
        <v>0</v>
      </c>
      <c r="I39" s="208"/>
      <c r="J39" s="209"/>
      <c r="O39" t="s">
        <v>75</v>
      </c>
      <c r="P39" s="4">
        <v>1175</v>
      </c>
      <c r="Q39" s="4"/>
      <c r="R39" s="5">
        <f t="shared" si="0"/>
        <v>1175</v>
      </c>
    </row>
    <row r="40" spans="1:18" ht="15.75" x14ac:dyDescent="0.25">
      <c r="A40" s="127" t="s">
        <v>76</v>
      </c>
      <c r="B40" s="27" t="s">
        <v>66</v>
      </c>
      <c r="C40" s="63"/>
      <c r="D40" s="12">
        <f>C40*111</f>
        <v>0</v>
      </c>
      <c r="F40" s="12">
        <v>10</v>
      </c>
      <c r="G40" s="42"/>
      <c r="H40" s="207"/>
      <c r="I40" s="208"/>
      <c r="J40" s="209"/>
      <c r="O40" t="s">
        <v>77</v>
      </c>
      <c r="P40" s="4">
        <v>913</v>
      </c>
      <c r="Q40" s="4">
        <v>120</v>
      </c>
      <c r="R40" s="5">
        <f t="shared" si="0"/>
        <v>1033</v>
      </c>
    </row>
    <row r="41" spans="1:18" ht="15.75" x14ac:dyDescent="0.25">
      <c r="A41" s="128"/>
      <c r="B41" s="27" t="s">
        <v>68</v>
      </c>
      <c r="C41" s="10"/>
      <c r="D41" s="12">
        <f>C41*84</f>
        <v>0</v>
      </c>
      <c r="F41" s="12">
        <v>5</v>
      </c>
      <c r="G41" s="42"/>
      <c r="H41" s="207"/>
      <c r="I41" s="208"/>
      <c r="J41" s="209"/>
      <c r="K41" s="21"/>
      <c r="O41" t="s">
        <v>78</v>
      </c>
      <c r="P41" s="4">
        <v>614</v>
      </c>
      <c r="Q41" s="4">
        <v>111</v>
      </c>
      <c r="R41" s="5">
        <f t="shared" si="0"/>
        <v>725</v>
      </c>
    </row>
    <row r="42" spans="1:18" ht="15.75" x14ac:dyDescent="0.25">
      <c r="A42" s="129"/>
      <c r="B42" s="27" t="s">
        <v>70</v>
      </c>
      <c r="C42" s="11"/>
      <c r="D42" s="12">
        <f>C42*2.25</f>
        <v>0</v>
      </c>
      <c r="F42" s="39" t="s">
        <v>79</v>
      </c>
      <c r="G42" s="207">
        <v>97</v>
      </c>
      <c r="H42" s="208"/>
      <c r="I42" s="208"/>
      <c r="J42" s="209"/>
      <c r="K42" s="36"/>
      <c r="O42" t="s">
        <v>80</v>
      </c>
      <c r="P42" s="4">
        <v>626</v>
      </c>
      <c r="Q42" s="4">
        <v>111</v>
      </c>
      <c r="R42" s="5">
        <f t="shared" si="0"/>
        <v>737</v>
      </c>
    </row>
    <row r="43" spans="1:18" ht="15.75" x14ac:dyDescent="0.25">
      <c r="A43" s="210" t="s">
        <v>81</v>
      </c>
      <c r="C43" s="11"/>
      <c r="D43" s="12"/>
      <c r="F43" s="59" t="s">
        <v>82</v>
      </c>
      <c r="G43" s="94" t="s">
        <v>83</v>
      </c>
      <c r="H43" s="213" t="s">
        <v>13</v>
      </c>
      <c r="I43" s="214"/>
      <c r="J43" s="215"/>
      <c r="K43" s="21"/>
      <c r="P43" s="4"/>
      <c r="Q43" s="4"/>
      <c r="R43" s="5"/>
    </row>
    <row r="44" spans="1:18" ht="15.75" x14ac:dyDescent="0.25">
      <c r="A44" s="211"/>
      <c r="B44" s="27" t="s">
        <v>66</v>
      </c>
      <c r="C44" s="10"/>
      <c r="D44" s="12">
        <f>C44*120</f>
        <v>0</v>
      </c>
      <c r="F44" s="37" t="s">
        <v>144</v>
      </c>
      <c r="G44" s="76" t="s">
        <v>166</v>
      </c>
      <c r="H44" s="191">
        <v>125184</v>
      </c>
      <c r="I44" s="191"/>
      <c r="J44" s="191"/>
      <c r="K44" s="21"/>
      <c r="P44" s="4"/>
      <c r="Q44" s="4"/>
      <c r="R44" s="5"/>
    </row>
    <row r="45" spans="1:18" ht="15.75" x14ac:dyDescent="0.25">
      <c r="A45" s="211"/>
      <c r="B45" s="27" t="s">
        <v>68</v>
      </c>
      <c r="C45" s="33">
        <v>12</v>
      </c>
      <c r="D45" s="12">
        <f>C45*84</f>
        <v>1008</v>
      </c>
      <c r="F45" s="37" t="s">
        <v>167</v>
      </c>
      <c r="G45" s="76" t="s">
        <v>168</v>
      </c>
      <c r="H45" s="191">
        <v>56466</v>
      </c>
      <c r="I45" s="191"/>
      <c r="J45" s="191"/>
      <c r="K45" s="21"/>
      <c r="P45" s="4"/>
      <c r="Q45" s="4"/>
      <c r="R45" s="5"/>
    </row>
    <row r="46" spans="1:18" ht="15.75" x14ac:dyDescent="0.25">
      <c r="A46" s="211"/>
      <c r="B46" s="49" t="s">
        <v>70</v>
      </c>
      <c r="C46" s="81"/>
      <c r="D46" s="12">
        <f>C46*1.5</f>
        <v>0</v>
      </c>
      <c r="F46" s="37"/>
      <c r="G46" s="62"/>
      <c r="H46" s="216"/>
      <c r="I46" s="216"/>
      <c r="J46" s="216"/>
      <c r="K46" s="21"/>
      <c r="P46" s="4"/>
      <c r="Q46" s="4"/>
      <c r="R46" s="5"/>
    </row>
    <row r="47" spans="1:18" ht="15.75" x14ac:dyDescent="0.25">
      <c r="A47" s="212"/>
      <c r="B47" s="27"/>
      <c r="C47" s="11"/>
      <c r="D47" s="12"/>
      <c r="F47" s="59"/>
      <c r="G47" s="59"/>
      <c r="H47" s="217"/>
      <c r="I47" s="218"/>
      <c r="J47" s="219"/>
      <c r="K47" s="21"/>
      <c r="P47" s="4"/>
      <c r="Q47" s="4"/>
      <c r="R47" s="5"/>
    </row>
    <row r="48" spans="1:18" ht="15" customHeight="1" x14ac:dyDescent="0.25">
      <c r="A48" s="210" t="s">
        <v>32</v>
      </c>
      <c r="B48" s="27" t="s">
        <v>66</v>
      </c>
      <c r="C48" s="10">
        <v>5</v>
      </c>
      <c r="D48" s="12">
        <f>C48*78</f>
        <v>390</v>
      </c>
      <c r="F48" s="59"/>
      <c r="G48" s="59"/>
      <c r="H48" s="217"/>
      <c r="I48" s="218"/>
      <c r="J48" s="219"/>
      <c r="K48" s="35"/>
      <c r="O48" t="s">
        <v>84</v>
      </c>
      <c r="P48" s="4">
        <v>1175</v>
      </c>
      <c r="Q48" s="4"/>
      <c r="R48" s="5">
        <f t="shared" si="0"/>
        <v>1175</v>
      </c>
    </row>
    <row r="49" spans="1:18" ht="15.75" x14ac:dyDescent="0.25">
      <c r="A49" s="211"/>
      <c r="B49" s="29" t="s">
        <v>68</v>
      </c>
      <c r="C49" s="33">
        <v>6</v>
      </c>
      <c r="D49" s="12">
        <f>C49*42</f>
        <v>252</v>
      </c>
      <c r="F49" s="232" t="s">
        <v>86</v>
      </c>
      <c r="G49" s="179">
        <f>H34+H35+H36+H37+H38+H39+H40+H41+G42+H44+H45+H46</f>
        <v>214147</v>
      </c>
      <c r="H49" s="180"/>
      <c r="I49" s="180"/>
      <c r="J49" s="181"/>
      <c r="O49" t="s">
        <v>85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211"/>
      <c r="B50" s="32" t="s">
        <v>70</v>
      </c>
      <c r="C50" s="11">
        <v>9</v>
      </c>
      <c r="D50" s="12">
        <f>C50*1.5</f>
        <v>13.5</v>
      </c>
      <c r="F50" s="233"/>
      <c r="G50" s="182"/>
      <c r="H50" s="183"/>
      <c r="I50" s="183"/>
      <c r="J50" s="184"/>
      <c r="P50" s="4"/>
      <c r="Q50" s="4"/>
      <c r="R50" s="5"/>
    </row>
    <row r="51" spans="1:18" ht="15" customHeight="1" x14ac:dyDescent="0.25">
      <c r="A51" s="211"/>
      <c r="B51" s="27"/>
      <c r="C51" s="10"/>
      <c r="D51" s="31"/>
      <c r="F51" s="234" t="s">
        <v>142</v>
      </c>
      <c r="G51" s="247">
        <f>G49-H29</f>
        <v>-218</v>
      </c>
      <c r="H51" s="248"/>
      <c r="I51" s="248"/>
      <c r="J51" s="249"/>
      <c r="K51" s="21"/>
      <c r="O51" t="s">
        <v>87</v>
      </c>
      <c r="P51" s="4">
        <v>703</v>
      </c>
      <c r="Q51" s="4">
        <v>120</v>
      </c>
      <c r="R51" s="5">
        <f t="shared" si="0"/>
        <v>823</v>
      </c>
    </row>
    <row r="52" spans="1:18" ht="15.75" x14ac:dyDescent="0.25">
      <c r="A52" s="211"/>
      <c r="B52" s="29"/>
      <c r="C52" s="33"/>
      <c r="D52" s="45"/>
      <c r="F52" s="235"/>
      <c r="G52" s="250"/>
      <c r="H52" s="251"/>
      <c r="I52" s="251"/>
      <c r="J52" s="252"/>
      <c r="K52" s="21"/>
      <c r="O52" t="s">
        <v>88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212"/>
      <c r="B53" s="32"/>
      <c r="C53" s="11"/>
      <c r="D53" s="12"/>
      <c r="F53" s="35"/>
      <c r="G53" s="24"/>
      <c r="H53" s="24"/>
      <c r="I53" s="24"/>
      <c r="J53" s="17"/>
      <c r="N53" s="1"/>
      <c r="O53" t="s">
        <v>89</v>
      </c>
      <c r="P53" s="4">
        <v>1142</v>
      </c>
    </row>
    <row r="54" spans="1:18" x14ac:dyDescent="0.25">
      <c r="A54" s="175" t="s">
        <v>90</v>
      </c>
      <c r="B54" s="220"/>
      <c r="C54" s="221"/>
      <c r="D54" s="224">
        <f>SUM(D34:D53)</f>
        <v>44370</v>
      </c>
      <c r="F54" s="21"/>
      <c r="J54" s="34"/>
    </row>
    <row r="55" spans="1:18" x14ac:dyDescent="0.25">
      <c r="A55" s="177"/>
      <c r="B55" s="222"/>
      <c r="C55" s="223"/>
      <c r="D55" s="225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118</v>
      </c>
      <c r="D57" s="34"/>
      <c r="F57" s="36"/>
      <c r="G57" s="50"/>
      <c r="H57" s="50"/>
      <c r="I57" s="50"/>
      <c r="J57" s="43"/>
    </row>
    <row r="58" spans="1:18" x14ac:dyDescent="0.25">
      <c r="A58" s="226" t="s">
        <v>91</v>
      </c>
      <c r="B58" s="227"/>
      <c r="C58" s="227"/>
      <c r="D58" s="228"/>
      <c r="F58" s="226" t="s">
        <v>92</v>
      </c>
      <c r="G58" s="227"/>
      <c r="H58" s="227"/>
      <c r="I58" s="227"/>
      <c r="J58" s="228"/>
    </row>
    <row r="59" spans="1:18" x14ac:dyDescent="0.25">
      <c r="A59" s="229"/>
      <c r="B59" s="230"/>
      <c r="C59" s="230"/>
      <c r="D59" s="231"/>
      <c r="F59" s="229"/>
      <c r="G59" s="230"/>
      <c r="H59" s="230"/>
      <c r="I59" s="230"/>
      <c r="J59" s="231"/>
    </row>
  </sheetData>
  <mergeCells count="68"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  <mergeCell ref="H13:J13"/>
    <mergeCell ref="F14:G14"/>
    <mergeCell ref="H14:J14"/>
    <mergeCell ref="F15:G15"/>
    <mergeCell ref="H15:J15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A32:D32"/>
    <mergeCell ref="F32:J32"/>
    <mergeCell ref="H33:J33"/>
    <mergeCell ref="A34:A36"/>
    <mergeCell ref="H34:J34"/>
    <mergeCell ref="H35:J35"/>
    <mergeCell ref="H36:J36"/>
    <mergeCell ref="A37:A39"/>
    <mergeCell ref="H37:J37"/>
    <mergeCell ref="H38:J38"/>
    <mergeCell ref="H39:J39"/>
    <mergeCell ref="A40:A42"/>
    <mergeCell ref="H40:J40"/>
    <mergeCell ref="H41:J41"/>
    <mergeCell ref="G42:J42"/>
    <mergeCell ref="A43:A47"/>
    <mergeCell ref="H43:J43"/>
    <mergeCell ref="H44:J44"/>
    <mergeCell ref="H45:J45"/>
    <mergeCell ref="H46:J46"/>
    <mergeCell ref="H47:J47"/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3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EE1D02E-39E1-47AB-96A9-A4A4C43822AE}">
  <dimension ref="A1:S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9" x14ac:dyDescent="0.25">
      <c r="A1" t="s">
        <v>0</v>
      </c>
      <c r="N1" s="113" t="s">
        <v>1</v>
      </c>
      <c r="O1" s="113"/>
      <c r="P1" s="100" t="s">
        <v>2</v>
      </c>
      <c r="Q1" s="100" t="s">
        <v>3</v>
      </c>
      <c r="R1" s="2" t="s">
        <v>4</v>
      </c>
    </row>
    <row r="2" spans="1:19" x14ac:dyDescent="0.25">
      <c r="A2" t="s">
        <v>5</v>
      </c>
      <c r="N2" s="1"/>
    </row>
    <row r="3" spans="1:19" x14ac:dyDescent="0.25">
      <c r="N3" s="1" t="s">
        <v>6</v>
      </c>
      <c r="O3" s="4"/>
    </row>
    <row r="4" spans="1:19" x14ac:dyDescent="0.25">
      <c r="A4" s="114" t="s">
        <v>7</v>
      </c>
      <c r="B4" s="115"/>
      <c r="C4" s="115"/>
      <c r="D4" s="116"/>
      <c r="F4" s="117" t="s">
        <v>8</v>
      </c>
      <c r="G4" s="119"/>
      <c r="H4" s="121" t="s">
        <v>9</v>
      </c>
      <c r="I4" s="123"/>
      <c r="J4" s="124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9" x14ac:dyDescent="0.25">
      <c r="A5" s="127" t="s">
        <v>7</v>
      </c>
      <c r="B5" s="15" t="s">
        <v>11</v>
      </c>
      <c r="C5" s="9" t="s">
        <v>12</v>
      </c>
      <c r="D5" s="25" t="s">
        <v>13</v>
      </c>
      <c r="F5" s="118"/>
      <c r="G5" s="120"/>
      <c r="H5" s="122"/>
      <c r="I5" s="125"/>
      <c r="J5" s="126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9" ht="14.45" customHeight="1" x14ac:dyDescent="0.25">
      <c r="A6" s="128"/>
      <c r="B6" s="16"/>
      <c r="C6" s="10"/>
      <c r="D6" s="13">
        <f t="shared" ref="D6:D28" si="1">C6*L6</f>
        <v>0</v>
      </c>
      <c r="F6" s="130" t="s">
        <v>16</v>
      </c>
      <c r="G6" s="132"/>
      <c r="H6" s="133"/>
      <c r="I6" s="133"/>
      <c r="J6" s="134"/>
      <c r="K6" s="8"/>
      <c r="L6" s="6">
        <f>R42</f>
        <v>737</v>
      </c>
      <c r="O6" t="s">
        <v>17</v>
      </c>
      <c r="P6" s="4">
        <v>650</v>
      </c>
      <c r="Q6" s="4"/>
      <c r="R6" s="5">
        <f t="shared" si="0"/>
        <v>650</v>
      </c>
    </row>
    <row r="7" spans="1:19" ht="14.45" customHeight="1" x14ac:dyDescent="0.25">
      <c r="A7" s="128"/>
      <c r="B7" s="16"/>
      <c r="C7" s="10"/>
      <c r="D7" s="13">
        <f t="shared" si="1"/>
        <v>0</v>
      </c>
      <c r="F7" s="131"/>
      <c r="G7" s="135"/>
      <c r="H7" s="136"/>
      <c r="I7" s="136"/>
      <c r="J7" s="137"/>
      <c r="K7" s="8"/>
      <c r="L7" s="6">
        <f>R41</f>
        <v>725</v>
      </c>
      <c r="P7" s="4"/>
      <c r="Q7" s="4"/>
      <c r="R7" s="5"/>
    </row>
    <row r="8" spans="1:19" ht="14.45" customHeight="1" x14ac:dyDescent="0.25">
      <c r="A8" s="128"/>
      <c r="B8" s="16"/>
      <c r="C8" s="10"/>
      <c r="D8" s="13">
        <f t="shared" si="1"/>
        <v>0</v>
      </c>
      <c r="F8" s="138" t="s">
        <v>21</v>
      </c>
      <c r="G8" s="140"/>
      <c r="H8" s="141"/>
      <c r="I8" s="141"/>
      <c r="J8" s="142"/>
      <c r="K8" s="8"/>
      <c r="L8" s="6">
        <f>R40</f>
        <v>1033</v>
      </c>
      <c r="P8" s="4"/>
      <c r="Q8" s="4"/>
      <c r="R8" s="5"/>
    </row>
    <row r="9" spans="1:19" ht="14.45" customHeight="1" x14ac:dyDescent="0.25">
      <c r="A9" s="128"/>
      <c r="B9" s="16"/>
      <c r="C9" s="10"/>
      <c r="D9" s="13">
        <f t="shared" si="1"/>
        <v>0</v>
      </c>
      <c r="F9" s="131"/>
      <c r="G9" s="143"/>
      <c r="H9" s="144"/>
      <c r="I9" s="144"/>
      <c r="J9" s="145"/>
      <c r="K9" s="8"/>
      <c r="L9" s="6">
        <f>R38</f>
        <v>707</v>
      </c>
      <c r="P9" s="4"/>
      <c r="Q9" s="4"/>
      <c r="R9" s="5"/>
    </row>
    <row r="10" spans="1:19" ht="14.45" customHeight="1" x14ac:dyDescent="0.25">
      <c r="A10" s="128"/>
      <c r="C10" s="10"/>
      <c r="D10" s="13">
        <f t="shared" si="1"/>
        <v>0</v>
      </c>
      <c r="F10" s="130" t="s">
        <v>26</v>
      </c>
      <c r="G10" s="146"/>
      <c r="H10" s="147"/>
      <c r="I10" s="147"/>
      <c r="J10" s="148"/>
      <c r="K10" s="8"/>
      <c r="L10" s="6">
        <f>R36</f>
        <v>972</v>
      </c>
      <c r="P10" s="4"/>
      <c r="Q10" s="4"/>
      <c r="R10" s="5"/>
    </row>
    <row r="11" spans="1:19" ht="15.75" x14ac:dyDescent="0.25">
      <c r="A11" s="128"/>
      <c r="B11" s="17"/>
      <c r="C11" s="10"/>
      <c r="D11" s="13">
        <f t="shared" si="1"/>
        <v>0</v>
      </c>
      <c r="F11" s="131"/>
      <c r="G11" s="143"/>
      <c r="H11" s="144"/>
      <c r="I11" s="144"/>
      <c r="J11" s="145"/>
      <c r="K11" s="22"/>
      <c r="L11" s="6">
        <f>R32</f>
        <v>1125</v>
      </c>
      <c r="O11" t="s">
        <v>19</v>
      </c>
      <c r="P11" s="4">
        <v>650</v>
      </c>
      <c r="Q11" s="4"/>
      <c r="R11" s="5">
        <f t="shared" si="0"/>
        <v>650</v>
      </c>
    </row>
    <row r="12" spans="1:19" ht="15.75" x14ac:dyDescent="0.25">
      <c r="A12" s="128"/>
      <c r="B12" s="17"/>
      <c r="C12" s="10"/>
      <c r="D12" s="48">
        <f t="shared" si="1"/>
        <v>0</v>
      </c>
      <c r="F12" s="149" t="s">
        <v>33</v>
      </c>
      <c r="G12" s="150"/>
      <c r="H12" s="150"/>
      <c r="I12" s="150"/>
      <c r="J12" s="151"/>
      <c r="K12" s="23"/>
      <c r="L12" s="6">
        <f>R34</f>
        <v>952</v>
      </c>
      <c r="O12" t="s">
        <v>22</v>
      </c>
      <c r="P12" s="4">
        <v>650</v>
      </c>
      <c r="Q12" s="4"/>
      <c r="R12" s="5">
        <f t="shared" si="0"/>
        <v>650</v>
      </c>
    </row>
    <row r="13" spans="1:19" ht="15.75" x14ac:dyDescent="0.25">
      <c r="A13" s="128"/>
      <c r="B13" s="17"/>
      <c r="C13" s="10"/>
      <c r="D13" s="48">
        <f t="shared" si="1"/>
        <v>0</v>
      </c>
      <c r="F13" s="152" t="s">
        <v>36</v>
      </c>
      <c r="G13" s="153"/>
      <c r="H13" s="154">
        <f>D29</f>
        <v>0</v>
      </c>
      <c r="I13" s="155"/>
      <c r="J13" s="156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9" ht="15.75" x14ac:dyDescent="0.25">
      <c r="A14" s="128"/>
      <c r="B14" s="14"/>
      <c r="C14" s="10"/>
      <c r="D14" s="31">
        <f t="shared" si="1"/>
        <v>0</v>
      </c>
      <c r="F14" s="157" t="s">
        <v>39</v>
      </c>
      <c r="G14" s="158"/>
      <c r="H14" s="159">
        <f>D54</f>
        <v>0</v>
      </c>
      <c r="I14" s="160"/>
      <c r="J14" s="161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  <c r="S14">
        <f>205+78</f>
        <v>283</v>
      </c>
    </row>
    <row r="15" spans="1:19" ht="15.75" x14ac:dyDescent="0.25">
      <c r="A15" s="128"/>
      <c r="B15" s="14"/>
      <c r="C15" s="10"/>
      <c r="D15" s="31">
        <f t="shared" si="1"/>
        <v>0</v>
      </c>
      <c r="F15" s="162" t="s">
        <v>40</v>
      </c>
      <c r="G15" s="153"/>
      <c r="H15" s="163">
        <f>H13-H14</f>
        <v>0</v>
      </c>
      <c r="I15" s="164"/>
      <c r="J15" s="165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  <c r="S15">
        <f>229+78</f>
        <v>307</v>
      </c>
    </row>
    <row r="16" spans="1:19" ht="15.75" x14ac:dyDescent="0.25">
      <c r="A16" s="128"/>
      <c r="B16" s="18"/>
      <c r="C16" s="10"/>
      <c r="D16" s="48">
        <f t="shared" si="1"/>
        <v>0</v>
      </c>
      <c r="F16" s="67" t="s">
        <v>42</v>
      </c>
      <c r="G16" s="66" t="s">
        <v>43</v>
      </c>
      <c r="H16" s="166"/>
      <c r="I16" s="166"/>
      <c r="J16" s="166"/>
      <c r="L16" s="6">
        <f>R28</f>
        <v>1567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28"/>
      <c r="C17" s="10"/>
      <c r="D17" s="48">
        <f t="shared" si="1"/>
        <v>0</v>
      </c>
      <c r="F17" s="56"/>
      <c r="G17" s="66" t="s">
        <v>45</v>
      </c>
      <c r="H17" s="139"/>
      <c r="I17" s="139"/>
      <c r="J17" s="139"/>
      <c r="L17" s="6">
        <v>1582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28"/>
      <c r="B18" s="19"/>
      <c r="C18" s="10"/>
      <c r="D18" s="48">
        <f t="shared" si="1"/>
        <v>0</v>
      </c>
      <c r="F18" s="56"/>
      <c r="G18" s="66" t="s">
        <v>47</v>
      </c>
      <c r="H18" s="139"/>
      <c r="I18" s="139"/>
      <c r="J18" s="139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28"/>
      <c r="B19" s="14"/>
      <c r="C19" s="10"/>
      <c r="D19" s="48">
        <f t="shared" si="1"/>
        <v>0</v>
      </c>
      <c r="F19" s="56"/>
      <c r="G19" s="68" t="s">
        <v>50</v>
      </c>
      <c r="H19" s="185"/>
      <c r="I19" s="185"/>
      <c r="J19" s="185"/>
      <c r="L19" s="6">
        <f>R35</f>
        <v>1102</v>
      </c>
      <c r="Q19" s="4"/>
      <c r="R19" s="5">
        <f t="shared" si="0"/>
        <v>0</v>
      </c>
    </row>
    <row r="20" spans="1:18" ht="15.75" x14ac:dyDescent="0.25">
      <c r="A20" s="128"/>
      <c r="B20" s="46"/>
      <c r="C20" s="10"/>
      <c r="D20" s="13">
        <f t="shared" si="1"/>
        <v>0</v>
      </c>
      <c r="F20" s="57"/>
      <c r="G20" s="70" t="s">
        <v>120</v>
      </c>
      <c r="H20" s="166"/>
      <c r="I20" s="166"/>
      <c r="J20" s="166"/>
      <c r="L20" s="6">
        <f>1102</f>
        <v>1102</v>
      </c>
      <c r="N20" s="1" t="s">
        <v>41</v>
      </c>
      <c r="Q20" s="4"/>
      <c r="R20" s="5">
        <f t="shared" si="0"/>
        <v>0</v>
      </c>
    </row>
    <row r="21" spans="1:18" ht="15.75" x14ac:dyDescent="0.25">
      <c r="A21" s="128"/>
      <c r="B21" s="14"/>
      <c r="C21" s="10"/>
      <c r="D21" s="48">
        <f t="shared" si="1"/>
        <v>0</v>
      </c>
      <c r="F21" s="69" t="s">
        <v>99</v>
      </c>
      <c r="G21" s="82" t="s">
        <v>98</v>
      </c>
      <c r="H21" s="186" t="s">
        <v>13</v>
      </c>
      <c r="I21" s="187"/>
      <c r="J21" s="188"/>
      <c r="L21" s="7">
        <v>650</v>
      </c>
      <c r="O21" t="s">
        <v>44</v>
      </c>
      <c r="P21" s="4">
        <v>1447</v>
      </c>
      <c r="Q21" s="4">
        <v>120</v>
      </c>
      <c r="R21" s="5">
        <f t="shared" si="0"/>
        <v>1567</v>
      </c>
    </row>
    <row r="22" spans="1:18" ht="15.75" x14ac:dyDescent="0.25">
      <c r="A22" s="128"/>
      <c r="B22" s="46"/>
      <c r="C22" s="10"/>
      <c r="D22" s="48">
        <f t="shared" si="1"/>
        <v>0</v>
      </c>
      <c r="F22" s="77"/>
      <c r="G22" s="73"/>
      <c r="H22" s="189"/>
      <c r="I22" s="189"/>
      <c r="J22" s="189"/>
      <c r="L22" s="7">
        <f>559+111</f>
        <v>670</v>
      </c>
      <c r="O22" t="s">
        <v>46</v>
      </c>
      <c r="P22" s="4">
        <v>1582</v>
      </c>
      <c r="Q22" s="4"/>
      <c r="R22" s="5">
        <f t="shared" si="0"/>
        <v>1582</v>
      </c>
    </row>
    <row r="23" spans="1:18" ht="15.75" x14ac:dyDescent="0.25">
      <c r="A23" s="128"/>
      <c r="B23" s="14"/>
      <c r="C23" s="10"/>
      <c r="D23" s="48">
        <f t="shared" si="1"/>
        <v>0</v>
      </c>
      <c r="F23" s="78"/>
      <c r="G23" s="79"/>
      <c r="H23" s="190"/>
      <c r="I23" s="191"/>
      <c r="J23" s="191"/>
      <c r="L23" s="47">
        <f>R33</f>
        <v>1175</v>
      </c>
      <c r="N23" s="1"/>
      <c r="O23" t="s">
        <v>48</v>
      </c>
      <c r="P23" s="4">
        <v>1728</v>
      </c>
      <c r="Q23" s="4"/>
      <c r="R23" s="5">
        <f t="shared" si="0"/>
        <v>1728</v>
      </c>
    </row>
    <row r="24" spans="1:18" ht="15.75" x14ac:dyDescent="0.25">
      <c r="A24" s="128"/>
      <c r="B24" s="14"/>
      <c r="C24" s="10"/>
      <c r="D24" s="48">
        <f t="shared" si="1"/>
        <v>0</v>
      </c>
      <c r="F24" s="38"/>
      <c r="G24" s="37"/>
      <c r="H24" s="190"/>
      <c r="I24" s="191"/>
      <c r="J24" s="191"/>
      <c r="L24" s="47">
        <v>1667</v>
      </c>
      <c r="N24" s="1"/>
      <c r="O24" t="s">
        <v>49</v>
      </c>
      <c r="P24" s="4">
        <v>1728</v>
      </c>
      <c r="Q24" s="4"/>
      <c r="R24" s="5">
        <f t="shared" si="0"/>
        <v>1728</v>
      </c>
    </row>
    <row r="25" spans="1:18" ht="15.75" x14ac:dyDescent="0.25">
      <c r="A25" s="128"/>
      <c r="B25" s="14"/>
      <c r="C25" s="10"/>
      <c r="D25" s="48">
        <f t="shared" si="1"/>
        <v>0</v>
      </c>
      <c r="F25" s="60" t="s">
        <v>100</v>
      </c>
      <c r="G25" s="55" t="s">
        <v>98</v>
      </c>
      <c r="H25" s="192" t="s">
        <v>13</v>
      </c>
      <c r="I25" s="193"/>
      <c r="J25" s="194"/>
      <c r="L25" s="47">
        <f>1582</f>
        <v>1582</v>
      </c>
      <c r="O25" t="s">
        <v>51</v>
      </c>
      <c r="P25" s="4">
        <v>1582</v>
      </c>
      <c r="Q25" s="4"/>
      <c r="R25" s="5">
        <f t="shared" si="0"/>
        <v>1582</v>
      </c>
    </row>
    <row r="26" spans="1:18" ht="15.75" x14ac:dyDescent="0.25">
      <c r="A26" s="128"/>
      <c r="B26" s="14"/>
      <c r="C26" s="10"/>
      <c r="D26" s="48">
        <f t="shared" si="1"/>
        <v>0</v>
      </c>
      <c r="F26" s="64"/>
      <c r="G26" s="59"/>
      <c r="H26" s="195"/>
      <c r="I26" s="196"/>
      <c r="J26" s="197"/>
      <c r="L26" s="7">
        <f>832/24+1.5</f>
        <v>36.166666666666664</v>
      </c>
      <c r="O26" t="s">
        <v>52</v>
      </c>
      <c r="P26" s="4">
        <v>1447</v>
      </c>
      <c r="Q26" s="4">
        <v>120</v>
      </c>
      <c r="R26" s="5">
        <f t="shared" si="0"/>
        <v>1567</v>
      </c>
    </row>
    <row r="27" spans="1:18" ht="14.45" customHeight="1" x14ac:dyDescent="0.25">
      <c r="A27" s="128"/>
      <c r="B27" s="14"/>
      <c r="C27" s="10"/>
      <c r="D27" s="44">
        <f t="shared" si="1"/>
        <v>0</v>
      </c>
      <c r="F27" s="25"/>
      <c r="G27" s="80"/>
      <c r="H27" s="198"/>
      <c r="I27" s="199"/>
      <c r="J27" s="200"/>
      <c r="L27" s="7">
        <v>1582</v>
      </c>
      <c r="O27" t="s">
        <v>53</v>
      </c>
      <c r="P27" s="4">
        <v>1582</v>
      </c>
      <c r="Q27" s="4"/>
      <c r="R27" s="5">
        <f t="shared" si="0"/>
        <v>1582</v>
      </c>
    </row>
    <row r="28" spans="1:18" ht="15.75" x14ac:dyDescent="0.25">
      <c r="A28" s="129"/>
      <c r="B28" s="46"/>
      <c r="C28" s="10"/>
      <c r="D28" s="48">
        <f t="shared" si="1"/>
        <v>0</v>
      </c>
      <c r="F28" s="101"/>
      <c r="G28" s="61"/>
      <c r="H28" s="201"/>
      <c r="I28" s="202"/>
      <c r="J28" s="203"/>
      <c r="L28" s="7">
        <v>785</v>
      </c>
      <c r="O28" t="s">
        <v>54</v>
      </c>
      <c r="P28" s="4">
        <v>1447</v>
      </c>
      <c r="Q28" s="4">
        <v>120</v>
      </c>
      <c r="R28" s="5">
        <f t="shared" si="0"/>
        <v>1567</v>
      </c>
    </row>
    <row r="29" spans="1:18" x14ac:dyDescent="0.25">
      <c r="A29" s="167" t="s">
        <v>36</v>
      </c>
      <c r="B29" s="168"/>
      <c r="C29" s="169"/>
      <c r="D29" s="173">
        <f>SUM(D6:D28)</f>
        <v>0</v>
      </c>
      <c r="F29" s="175" t="s">
        <v>55</v>
      </c>
      <c r="G29" s="176"/>
      <c r="H29" s="179">
        <f>H15-H16-H17-H18-H19-H20-H22-H23-H24+H26+H27</f>
        <v>0</v>
      </c>
      <c r="I29" s="180"/>
      <c r="J29" s="181"/>
      <c r="O29" t="s">
        <v>56</v>
      </c>
      <c r="P29" s="4">
        <v>1582</v>
      </c>
      <c r="Q29" s="4"/>
      <c r="R29" s="5">
        <f t="shared" si="0"/>
        <v>1582</v>
      </c>
    </row>
    <row r="30" spans="1:18" x14ac:dyDescent="0.25">
      <c r="A30" s="170"/>
      <c r="B30" s="171"/>
      <c r="C30" s="172"/>
      <c r="D30" s="174"/>
      <c r="F30" s="177"/>
      <c r="G30" s="178"/>
      <c r="H30" s="182"/>
      <c r="I30" s="183"/>
      <c r="J30" s="184"/>
      <c r="N30" s="1"/>
      <c r="Q30" s="4"/>
      <c r="R30" s="5">
        <f t="shared" si="0"/>
        <v>0</v>
      </c>
    </row>
    <row r="31" spans="1:18" x14ac:dyDescent="0.25">
      <c r="A31" s="24"/>
      <c r="B31" s="24"/>
      <c r="C31" s="24"/>
      <c r="D31" s="24"/>
      <c r="F31" s="24"/>
      <c r="G31" s="24"/>
      <c r="O31" t="s">
        <v>57</v>
      </c>
      <c r="P31" s="4">
        <v>1052</v>
      </c>
      <c r="Q31" s="4">
        <v>120</v>
      </c>
      <c r="R31" s="5">
        <f t="shared" si="0"/>
        <v>1172</v>
      </c>
    </row>
    <row r="32" spans="1:18" x14ac:dyDescent="0.25">
      <c r="A32" s="114" t="s">
        <v>58</v>
      </c>
      <c r="B32" s="115"/>
      <c r="C32" s="115"/>
      <c r="D32" s="116"/>
      <c r="F32" s="204" t="s">
        <v>59</v>
      </c>
      <c r="G32" s="205"/>
      <c r="H32" s="205"/>
      <c r="I32" s="205"/>
      <c r="J32" s="206"/>
      <c r="O32" t="s">
        <v>60</v>
      </c>
      <c r="P32" s="4">
        <v>1005</v>
      </c>
      <c r="Q32" s="4">
        <v>120</v>
      </c>
      <c r="R32" s="5">
        <f t="shared" si="0"/>
        <v>1125</v>
      </c>
    </row>
    <row r="33" spans="1:18" x14ac:dyDescent="0.25">
      <c r="A33" s="25"/>
      <c r="B33" s="25" t="s">
        <v>11</v>
      </c>
      <c r="C33" s="25" t="s">
        <v>61</v>
      </c>
      <c r="D33" s="25" t="s">
        <v>13</v>
      </c>
      <c r="F33" s="25" t="s">
        <v>62</v>
      </c>
      <c r="G33" s="102" t="s">
        <v>63</v>
      </c>
      <c r="H33" s="204" t="s">
        <v>13</v>
      </c>
      <c r="I33" s="205"/>
      <c r="J33" s="206"/>
      <c r="O33" t="s">
        <v>64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27" t="s">
        <v>65</v>
      </c>
      <c r="B34" s="26" t="s">
        <v>66</v>
      </c>
      <c r="C34" s="51"/>
      <c r="D34" s="30">
        <f>C34*120</f>
        <v>0</v>
      </c>
      <c r="F34" s="12">
        <v>1000</v>
      </c>
      <c r="G34" s="74"/>
      <c r="H34" s="207"/>
      <c r="I34" s="208"/>
      <c r="J34" s="209"/>
      <c r="O34" t="s">
        <v>67</v>
      </c>
      <c r="P34" s="4">
        <v>832</v>
      </c>
      <c r="Q34" s="4">
        <v>120</v>
      </c>
      <c r="R34" s="5">
        <f t="shared" si="0"/>
        <v>952</v>
      </c>
    </row>
    <row r="35" spans="1:18" ht="15.75" x14ac:dyDescent="0.25">
      <c r="A35" s="128"/>
      <c r="B35" s="27" t="s">
        <v>68</v>
      </c>
      <c r="C35" s="52"/>
      <c r="D35" s="30">
        <f>C35*84</f>
        <v>0</v>
      </c>
      <c r="F35" s="58">
        <v>500</v>
      </c>
      <c r="G35" s="41"/>
      <c r="H35" s="207"/>
      <c r="I35" s="208"/>
      <c r="J35" s="209"/>
      <c r="O35" t="s">
        <v>69</v>
      </c>
      <c r="P35" s="4">
        <v>1102</v>
      </c>
      <c r="Q35" s="4"/>
      <c r="R35" s="5">
        <f t="shared" si="0"/>
        <v>1102</v>
      </c>
    </row>
    <row r="36" spans="1:18" ht="15.75" x14ac:dyDescent="0.25">
      <c r="A36" s="129"/>
      <c r="B36" s="26" t="s">
        <v>70</v>
      </c>
      <c r="C36" s="10"/>
      <c r="D36" s="12">
        <f>C36*1.5</f>
        <v>0</v>
      </c>
      <c r="F36" s="12">
        <v>200</v>
      </c>
      <c r="G36" s="37"/>
      <c r="H36" s="207"/>
      <c r="I36" s="208"/>
      <c r="J36" s="209"/>
      <c r="O36" t="s">
        <v>71</v>
      </c>
      <c r="P36" s="4">
        <v>852</v>
      </c>
      <c r="Q36" s="4">
        <v>120</v>
      </c>
      <c r="R36" s="5">
        <f t="shared" si="0"/>
        <v>972</v>
      </c>
    </row>
    <row r="37" spans="1:18" ht="15.75" x14ac:dyDescent="0.25">
      <c r="A37" s="127" t="s">
        <v>72</v>
      </c>
      <c r="B37" s="28" t="s">
        <v>66</v>
      </c>
      <c r="C37" s="53"/>
      <c r="D37" s="12">
        <f>C37*111</f>
        <v>0</v>
      </c>
      <c r="F37" s="12">
        <v>100</v>
      </c>
      <c r="G37" s="39"/>
      <c r="H37" s="207"/>
      <c r="I37" s="208"/>
      <c r="J37" s="209"/>
      <c r="O37" t="s">
        <v>73</v>
      </c>
      <c r="P37" s="4">
        <v>1020</v>
      </c>
      <c r="Q37" s="4">
        <v>120</v>
      </c>
      <c r="R37" s="5">
        <f t="shared" si="0"/>
        <v>1140</v>
      </c>
    </row>
    <row r="38" spans="1:18" ht="15.75" x14ac:dyDescent="0.25">
      <c r="A38" s="128"/>
      <c r="B38" s="29" t="s">
        <v>68</v>
      </c>
      <c r="C38" s="54"/>
      <c r="D38" s="12">
        <f>C38*84</f>
        <v>0</v>
      </c>
      <c r="F38" s="30">
        <v>50</v>
      </c>
      <c r="G38" s="39"/>
      <c r="H38" s="207"/>
      <c r="I38" s="208"/>
      <c r="J38" s="209"/>
      <c r="O38" t="s">
        <v>74</v>
      </c>
      <c r="P38" s="4">
        <v>596</v>
      </c>
      <c r="Q38" s="4">
        <v>111</v>
      </c>
      <c r="R38" s="5">
        <f t="shared" si="0"/>
        <v>707</v>
      </c>
    </row>
    <row r="39" spans="1:18" ht="15.75" x14ac:dyDescent="0.25">
      <c r="A39" s="129"/>
      <c r="B39" s="29" t="s">
        <v>70</v>
      </c>
      <c r="C39" s="52"/>
      <c r="D39" s="31">
        <f>C39*4.5</f>
        <v>0</v>
      </c>
      <c r="F39" s="12">
        <v>20</v>
      </c>
      <c r="G39" s="37"/>
      <c r="H39" s="207"/>
      <c r="I39" s="208"/>
      <c r="J39" s="209"/>
      <c r="O39" t="s">
        <v>75</v>
      </c>
      <c r="P39" s="4">
        <v>1175</v>
      </c>
      <c r="Q39" s="4"/>
      <c r="R39" s="5">
        <f t="shared" si="0"/>
        <v>1175</v>
      </c>
    </row>
    <row r="40" spans="1:18" ht="15.75" x14ac:dyDescent="0.25">
      <c r="A40" s="127" t="s">
        <v>76</v>
      </c>
      <c r="B40" s="27" t="s">
        <v>66</v>
      </c>
      <c r="C40" s="63"/>
      <c r="D40" s="12">
        <f>C40*111</f>
        <v>0</v>
      </c>
      <c r="F40" s="12">
        <v>10</v>
      </c>
      <c r="G40" s="42"/>
      <c r="H40" s="207"/>
      <c r="I40" s="208"/>
      <c r="J40" s="209"/>
      <c r="O40" t="s">
        <v>77</v>
      </c>
      <c r="P40" s="4">
        <v>913</v>
      </c>
      <c r="Q40" s="4">
        <v>120</v>
      </c>
      <c r="R40" s="5">
        <f t="shared" si="0"/>
        <v>1033</v>
      </c>
    </row>
    <row r="41" spans="1:18" ht="15.75" x14ac:dyDescent="0.25">
      <c r="A41" s="128"/>
      <c r="B41" s="27" t="s">
        <v>68</v>
      </c>
      <c r="C41" s="10"/>
      <c r="D41" s="12">
        <f>C41*84</f>
        <v>0</v>
      </c>
      <c r="F41" s="12">
        <v>5</v>
      </c>
      <c r="G41" s="42"/>
      <c r="H41" s="207"/>
      <c r="I41" s="208"/>
      <c r="J41" s="209"/>
      <c r="K41" s="21"/>
      <c r="O41" t="s">
        <v>78</v>
      </c>
      <c r="P41" s="4">
        <v>614</v>
      </c>
      <c r="Q41" s="4">
        <v>111</v>
      </c>
      <c r="R41" s="5">
        <f t="shared" si="0"/>
        <v>725</v>
      </c>
    </row>
    <row r="42" spans="1:18" ht="15.75" x14ac:dyDescent="0.25">
      <c r="A42" s="129"/>
      <c r="B42" s="27" t="s">
        <v>70</v>
      </c>
      <c r="C42" s="11"/>
      <c r="D42" s="12">
        <f>C42*2.25</f>
        <v>0</v>
      </c>
      <c r="F42" s="39" t="s">
        <v>79</v>
      </c>
      <c r="G42" s="207"/>
      <c r="H42" s="208"/>
      <c r="I42" s="208"/>
      <c r="J42" s="209"/>
      <c r="K42" s="36"/>
      <c r="O42" t="s">
        <v>80</v>
      </c>
      <c r="P42" s="4">
        <v>626</v>
      </c>
      <c r="Q42" s="4">
        <v>111</v>
      </c>
      <c r="R42" s="5">
        <f t="shared" si="0"/>
        <v>737</v>
      </c>
    </row>
    <row r="43" spans="1:18" ht="15.75" x14ac:dyDescent="0.25">
      <c r="A43" s="210" t="s">
        <v>81</v>
      </c>
      <c r="C43" s="11"/>
      <c r="D43" s="12"/>
      <c r="F43" s="59" t="s">
        <v>82</v>
      </c>
      <c r="G43" s="104" t="s">
        <v>83</v>
      </c>
      <c r="H43" s="213" t="s">
        <v>13</v>
      </c>
      <c r="I43" s="214"/>
      <c r="J43" s="215"/>
      <c r="K43" s="21"/>
      <c r="P43" s="4"/>
      <c r="Q43" s="4"/>
      <c r="R43" s="5"/>
    </row>
    <row r="44" spans="1:18" ht="15.75" x14ac:dyDescent="0.25">
      <c r="A44" s="211"/>
      <c r="B44" s="27" t="s">
        <v>66</v>
      </c>
      <c r="C44" s="10"/>
      <c r="D44" s="12">
        <f>C44*120</f>
        <v>0</v>
      </c>
      <c r="F44" s="37"/>
      <c r="G44" s="76"/>
      <c r="H44" s="191"/>
      <c r="I44" s="191"/>
      <c r="J44" s="191"/>
      <c r="K44" s="21"/>
      <c r="P44" s="4"/>
      <c r="Q44" s="4"/>
      <c r="R44" s="5"/>
    </row>
    <row r="45" spans="1:18" ht="15.75" x14ac:dyDescent="0.25">
      <c r="A45" s="211"/>
      <c r="B45" s="27" t="s">
        <v>68</v>
      </c>
      <c r="C45" s="33"/>
      <c r="D45" s="12">
        <f>C45*84</f>
        <v>0</v>
      </c>
      <c r="F45" s="37"/>
      <c r="G45" s="76"/>
      <c r="H45" s="191"/>
      <c r="I45" s="191"/>
      <c r="J45" s="191"/>
      <c r="K45" s="21"/>
      <c r="P45" s="4"/>
      <c r="Q45" s="4"/>
      <c r="R45" s="5"/>
    </row>
    <row r="46" spans="1:18" ht="15.75" x14ac:dyDescent="0.25">
      <c r="A46" s="211"/>
      <c r="B46" s="49" t="s">
        <v>70</v>
      </c>
      <c r="C46" s="81"/>
      <c r="D46" s="12">
        <f>C46*1.5</f>
        <v>0</v>
      </c>
      <c r="F46" s="37"/>
      <c r="G46" s="62"/>
      <c r="H46" s="216"/>
      <c r="I46" s="216"/>
      <c r="J46" s="216"/>
      <c r="K46" s="21"/>
      <c r="P46" s="4"/>
      <c r="Q46" s="4"/>
      <c r="R46" s="5"/>
    </row>
    <row r="47" spans="1:18" ht="15.75" x14ac:dyDescent="0.25">
      <c r="A47" s="212"/>
      <c r="B47" s="27"/>
      <c r="C47" s="11"/>
      <c r="D47" s="12"/>
      <c r="F47" s="59"/>
      <c r="G47" s="59"/>
      <c r="H47" s="217"/>
      <c r="I47" s="218"/>
      <c r="J47" s="219"/>
      <c r="K47" s="21"/>
      <c r="P47" s="4"/>
      <c r="Q47" s="4"/>
      <c r="R47" s="5"/>
    </row>
    <row r="48" spans="1:18" ht="15" customHeight="1" x14ac:dyDescent="0.25">
      <c r="A48" s="210" t="s">
        <v>32</v>
      </c>
      <c r="B48" s="27" t="s">
        <v>66</v>
      </c>
      <c r="C48" s="10"/>
      <c r="D48" s="12">
        <f>C48*78</f>
        <v>0</v>
      </c>
      <c r="F48" s="59"/>
      <c r="G48" s="59"/>
      <c r="H48" s="217"/>
      <c r="I48" s="218"/>
      <c r="J48" s="219"/>
      <c r="K48" s="35"/>
      <c r="O48" t="s">
        <v>84</v>
      </c>
      <c r="P48" s="4">
        <v>1175</v>
      </c>
      <c r="Q48" s="4"/>
      <c r="R48" s="5">
        <f t="shared" si="0"/>
        <v>1175</v>
      </c>
    </row>
    <row r="49" spans="1:18" ht="15.75" x14ac:dyDescent="0.25">
      <c r="A49" s="211"/>
      <c r="B49" s="29" t="s">
        <v>68</v>
      </c>
      <c r="C49" s="33"/>
      <c r="D49" s="12">
        <f>C49*42</f>
        <v>0</v>
      </c>
      <c r="F49" s="232" t="s">
        <v>86</v>
      </c>
      <c r="G49" s="179">
        <f>H34+H35+H36+H37+H38+H39+H40+H41+G42+H44+H45+H46</f>
        <v>0</v>
      </c>
      <c r="H49" s="180"/>
      <c r="I49" s="180"/>
      <c r="J49" s="181"/>
      <c r="O49" t="s">
        <v>85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211"/>
      <c r="B50" s="32" t="s">
        <v>70</v>
      </c>
      <c r="C50" s="11"/>
      <c r="D50" s="12">
        <f>C50*1.5</f>
        <v>0</v>
      </c>
      <c r="F50" s="233"/>
      <c r="G50" s="182"/>
      <c r="H50" s="183"/>
      <c r="I50" s="183"/>
      <c r="J50" s="184"/>
      <c r="P50" s="4"/>
      <c r="Q50" s="4"/>
      <c r="R50" s="5"/>
    </row>
    <row r="51" spans="1:18" ht="15" customHeight="1" x14ac:dyDescent="0.25">
      <c r="A51" s="211"/>
      <c r="B51" s="27"/>
      <c r="C51" s="10"/>
      <c r="D51" s="31"/>
      <c r="F51" s="234" t="s">
        <v>128</v>
      </c>
      <c r="G51" s="236">
        <f>G49-H29</f>
        <v>0</v>
      </c>
      <c r="H51" s="237"/>
      <c r="I51" s="237"/>
      <c r="J51" s="238"/>
      <c r="K51" s="21"/>
      <c r="O51" t="s">
        <v>87</v>
      </c>
      <c r="P51" s="4">
        <v>703</v>
      </c>
      <c r="Q51" s="4">
        <v>120</v>
      </c>
      <c r="R51" s="5">
        <f t="shared" si="0"/>
        <v>823</v>
      </c>
    </row>
    <row r="52" spans="1:18" ht="15.75" x14ac:dyDescent="0.25">
      <c r="A52" s="211"/>
      <c r="B52" s="29"/>
      <c r="C52" s="33"/>
      <c r="D52" s="45"/>
      <c r="F52" s="235"/>
      <c r="G52" s="239"/>
      <c r="H52" s="240"/>
      <c r="I52" s="240"/>
      <c r="J52" s="241"/>
      <c r="K52" s="21"/>
      <c r="O52" t="s">
        <v>88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212"/>
      <c r="B53" s="32"/>
      <c r="C53" s="11"/>
      <c r="D53" s="12"/>
      <c r="F53" s="35"/>
      <c r="G53" s="24"/>
      <c r="H53" s="24"/>
      <c r="I53" s="24"/>
      <c r="J53" s="17"/>
      <c r="N53" s="1"/>
      <c r="O53" t="s">
        <v>89</v>
      </c>
      <c r="P53" s="4">
        <v>1142</v>
      </c>
    </row>
    <row r="54" spans="1:18" x14ac:dyDescent="0.25">
      <c r="A54" s="175" t="s">
        <v>90</v>
      </c>
      <c r="B54" s="220"/>
      <c r="C54" s="221"/>
      <c r="D54" s="224">
        <f>SUM(D34:D53)</f>
        <v>0</v>
      </c>
      <c r="F54" s="21"/>
      <c r="J54" s="34"/>
    </row>
    <row r="55" spans="1:18" x14ac:dyDescent="0.25">
      <c r="A55" s="177"/>
      <c r="B55" s="222"/>
      <c r="C55" s="223"/>
      <c r="D55" s="225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D57" s="34"/>
      <c r="F57" s="36"/>
      <c r="G57" s="50"/>
      <c r="H57" s="50"/>
      <c r="I57" s="50"/>
      <c r="J57" s="43"/>
    </row>
    <row r="58" spans="1:18" x14ac:dyDescent="0.25">
      <c r="A58" s="226" t="s">
        <v>91</v>
      </c>
      <c r="B58" s="227"/>
      <c r="C58" s="227"/>
      <c r="D58" s="228"/>
      <c r="F58" s="226" t="s">
        <v>92</v>
      </c>
      <c r="G58" s="227"/>
      <c r="H58" s="227"/>
      <c r="I58" s="227"/>
      <c r="J58" s="228"/>
    </row>
    <row r="59" spans="1:18" x14ac:dyDescent="0.25">
      <c r="A59" s="229"/>
      <c r="B59" s="230"/>
      <c r="C59" s="230"/>
      <c r="D59" s="231"/>
      <c r="F59" s="229"/>
      <c r="G59" s="230"/>
      <c r="H59" s="230"/>
      <c r="I59" s="230"/>
      <c r="J59" s="231"/>
    </row>
  </sheetData>
  <mergeCells count="68"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  <mergeCell ref="H13:J13"/>
    <mergeCell ref="F14:G14"/>
    <mergeCell ref="H14:J14"/>
    <mergeCell ref="F15:G15"/>
    <mergeCell ref="H15:J15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A32:D32"/>
    <mergeCell ref="F32:J32"/>
    <mergeCell ref="H33:J33"/>
    <mergeCell ref="A34:A36"/>
    <mergeCell ref="H34:J34"/>
    <mergeCell ref="H35:J35"/>
    <mergeCell ref="H36:J36"/>
    <mergeCell ref="A37:A39"/>
    <mergeCell ref="H37:J37"/>
    <mergeCell ref="H38:J38"/>
    <mergeCell ref="H39:J39"/>
    <mergeCell ref="A40:A42"/>
    <mergeCell ref="H40:J40"/>
    <mergeCell ref="H41:J41"/>
    <mergeCell ref="G42:J42"/>
    <mergeCell ref="A43:A47"/>
    <mergeCell ref="H43:J43"/>
    <mergeCell ref="H44:J44"/>
    <mergeCell ref="H45:J45"/>
    <mergeCell ref="H46:J46"/>
    <mergeCell ref="H47:J47"/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3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B96AAE1-5101-4C06-9DEE-A2A9A4D27B4E}">
  <dimension ref="A1:R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bestFit="1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113" t="s">
        <v>1</v>
      </c>
      <c r="O1" s="113"/>
      <c r="P1" s="100" t="s">
        <v>2</v>
      </c>
      <c r="Q1" s="100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14" t="s">
        <v>7</v>
      </c>
      <c r="B4" s="115"/>
      <c r="C4" s="115"/>
      <c r="D4" s="116"/>
      <c r="F4" s="117" t="s">
        <v>8</v>
      </c>
      <c r="G4" s="119">
        <v>1</v>
      </c>
      <c r="H4" s="121" t="s">
        <v>9</v>
      </c>
      <c r="I4" s="123">
        <v>45972</v>
      </c>
      <c r="J4" s="124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27" t="s">
        <v>7</v>
      </c>
      <c r="B5" s="15" t="s">
        <v>11</v>
      </c>
      <c r="C5" s="9" t="s">
        <v>12</v>
      </c>
      <c r="D5" s="25" t="s">
        <v>13</v>
      </c>
      <c r="F5" s="118"/>
      <c r="G5" s="120"/>
      <c r="H5" s="122"/>
      <c r="I5" s="125"/>
      <c r="J5" s="126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28"/>
      <c r="B6" s="16" t="s">
        <v>15</v>
      </c>
      <c r="C6" s="89">
        <v>301</v>
      </c>
      <c r="D6" s="13">
        <f t="shared" ref="D6:D28" si="1">C6*L6</f>
        <v>221837</v>
      </c>
      <c r="F6" s="130" t="s">
        <v>16</v>
      </c>
      <c r="G6" s="132" t="s">
        <v>129</v>
      </c>
      <c r="H6" s="133"/>
      <c r="I6" s="133"/>
      <c r="J6" s="134"/>
      <c r="K6" s="8"/>
      <c r="L6" s="6">
        <f>R42</f>
        <v>737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28"/>
      <c r="B7" s="16" t="s">
        <v>18</v>
      </c>
      <c r="C7" s="89">
        <v>12</v>
      </c>
      <c r="D7" s="13">
        <f t="shared" si="1"/>
        <v>8700</v>
      </c>
      <c r="F7" s="131"/>
      <c r="G7" s="135"/>
      <c r="H7" s="136"/>
      <c r="I7" s="136"/>
      <c r="J7" s="137"/>
      <c r="K7" s="8"/>
      <c r="L7" s="6">
        <f>R41</f>
        <v>725</v>
      </c>
      <c r="P7" s="4"/>
      <c r="Q7" s="4"/>
      <c r="R7" s="5"/>
    </row>
    <row r="8" spans="1:18" ht="14.45" customHeight="1" x14ac:dyDescent="0.25">
      <c r="A8" s="128"/>
      <c r="B8" s="16" t="s">
        <v>20</v>
      </c>
      <c r="C8" s="89"/>
      <c r="D8" s="13">
        <f t="shared" si="1"/>
        <v>0</v>
      </c>
      <c r="F8" s="138" t="s">
        <v>21</v>
      </c>
      <c r="G8" s="140" t="s">
        <v>112</v>
      </c>
      <c r="H8" s="141"/>
      <c r="I8" s="141"/>
      <c r="J8" s="142"/>
      <c r="K8" s="8"/>
      <c r="L8" s="6">
        <f>R40</f>
        <v>1033</v>
      </c>
      <c r="P8" s="4"/>
      <c r="Q8" s="4"/>
      <c r="R8" s="5"/>
    </row>
    <row r="9" spans="1:18" ht="14.45" customHeight="1" x14ac:dyDescent="0.25">
      <c r="A9" s="128"/>
      <c r="B9" s="16" t="s">
        <v>23</v>
      </c>
      <c r="C9" s="89">
        <v>21</v>
      </c>
      <c r="D9" s="13">
        <f t="shared" si="1"/>
        <v>14847</v>
      </c>
      <c r="F9" s="131"/>
      <c r="G9" s="143"/>
      <c r="H9" s="144"/>
      <c r="I9" s="144"/>
      <c r="J9" s="145"/>
      <c r="K9" s="8"/>
      <c r="L9" s="6">
        <f>R38</f>
        <v>707</v>
      </c>
      <c r="P9" s="4"/>
      <c r="Q9" s="4"/>
      <c r="R9" s="5"/>
    </row>
    <row r="10" spans="1:18" ht="14.45" customHeight="1" x14ac:dyDescent="0.25">
      <c r="A10" s="128"/>
      <c r="B10" t="s">
        <v>25</v>
      </c>
      <c r="C10" s="89"/>
      <c r="D10" s="13">
        <f t="shared" si="1"/>
        <v>0</v>
      </c>
      <c r="F10" s="130" t="s">
        <v>26</v>
      </c>
      <c r="G10" s="146" t="s">
        <v>130</v>
      </c>
      <c r="H10" s="147"/>
      <c r="I10" s="147"/>
      <c r="J10" s="148"/>
      <c r="K10" s="8"/>
      <c r="L10" s="6">
        <f>R36</f>
        <v>972</v>
      </c>
      <c r="P10" s="4"/>
      <c r="Q10" s="4"/>
      <c r="R10" s="5"/>
    </row>
    <row r="11" spans="1:18" ht="15.75" x14ac:dyDescent="0.25">
      <c r="A11" s="128"/>
      <c r="B11" s="17" t="s">
        <v>28</v>
      </c>
      <c r="C11" s="89">
        <v>2</v>
      </c>
      <c r="D11" s="13">
        <f t="shared" si="1"/>
        <v>2250</v>
      </c>
      <c r="F11" s="131"/>
      <c r="G11" s="143"/>
      <c r="H11" s="144"/>
      <c r="I11" s="144"/>
      <c r="J11" s="145"/>
      <c r="K11" s="22"/>
      <c r="L11" s="6">
        <f>R32</f>
        <v>1125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28"/>
      <c r="B12" s="17" t="s">
        <v>30</v>
      </c>
      <c r="C12" s="89">
        <f>2+1</f>
        <v>3</v>
      </c>
      <c r="D12" s="48">
        <f t="shared" si="1"/>
        <v>2856</v>
      </c>
      <c r="F12" s="149" t="s">
        <v>33</v>
      </c>
      <c r="G12" s="150"/>
      <c r="H12" s="150"/>
      <c r="I12" s="150"/>
      <c r="J12" s="151"/>
      <c r="K12" s="23"/>
      <c r="L12" s="6">
        <f>R34</f>
        <v>952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28"/>
      <c r="B13" s="17" t="s">
        <v>32</v>
      </c>
      <c r="C13" s="89">
        <v>5</v>
      </c>
      <c r="D13" s="48">
        <f t="shared" si="1"/>
        <v>1535</v>
      </c>
      <c r="F13" s="152" t="s">
        <v>36</v>
      </c>
      <c r="G13" s="153"/>
      <c r="H13" s="154">
        <f>D29</f>
        <v>256893</v>
      </c>
      <c r="I13" s="155"/>
      <c r="J13" s="156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28"/>
      <c r="B14" s="14" t="s">
        <v>35</v>
      </c>
      <c r="C14" s="89">
        <v>19</v>
      </c>
      <c r="D14" s="31">
        <f t="shared" si="1"/>
        <v>209</v>
      </c>
      <c r="F14" s="157" t="s">
        <v>39</v>
      </c>
      <c r="G14" s="158"/>
      <c r="H14" s="159">
        <f>D54</f>
        <v>38674.5</v>
      </c>
      <c r="I14" s="160"/>
      <c r="J14" s="161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28"/>
      <c r="B15" s="14" t="s">
        <v>38</v>
      </c>
      <c r="C15" s="89"/>
      <c r="D15" s="31">
        <f t="shared" si="1"/>
        <v>0</v>
      </c>
      <c r="F15" s="162" t="s">
        <v>40</v>
      </c>
      <c r="G15" s="153"/>
      <c r="H15" s="163">
        <f>H13-H14</f>
        <v>218218.5</v>
      </c>
      <c r="I15" s="164"/>
      <c r="J15" s="165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28"/>
      <c r="B16" s="18" t="s">
        <v>94</v>
      </c>
      <c r="C16" s="89"/>
      <c r="D16" s="48">
        <f t="shared" si="1"/>
        <v>0</v>
      </c>
      <c r="F16" s="67" t="s">
        <v>42</v>
      </c>
      <c r="G16" s="66" t="s">
        <v>43</v>
      </c>
      <c r="H16" s="166"/>
      <c r="I16" s="166"/>
      <c r="J16" s="166"/>
      <c r="L16" s="6">
        <f>R28</f>
        <v>1567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28"/>
      <c r="B17" t="s">
        <v>140</v>
      </c>
      <c r="C17" s="89"/>
      <c r="D17" s="48">
        <f t="shared" si="1"/>
        <v>0</v>
      </c>
      <c r="F17" s="56"/>
      <c r="G17" s="66" t="s">
        <v>45</v>
      </c>
      <c r="H17" s="139"/>
      <c r="I17" s="139"/>
      <c r="J17" s="139"/>
      <c r="L17" s="6">
        <f>1582</f>
        <v>1582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28"/>
      <c r="B18" s="19" t="s">
        <v>95</v>
      </c>
      <c r="C18" s="89">
        <v>3</v>
      </c>
      <c r="D18" s="48">
        <f t="shared" si="1"/>
        <v>1860</v>
      </c>
      <c r="F18" s="56"/>
      <c r="G18" s="66" t="s">
        <v>47</v>
      </c>
      <c r="H18" s="139"/>
      <c r="I18" s="139"/>
      <c r="J18" s="139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28"/>
      <c r="B19" s="14" t="s">
        <v>136</v>
      </c>
      <c r="C19" s="89"/>
      <c r="D19" s="48">
        <f t="shared" si="1"/>
        <v>0</v>
      </c>
      <c r="F19" s="56"/>
      <c r="G19" s="68" t="s">
        <v>50</v>
      </c>
      <c r="H19" s="139"/>
      <c r="I19" s="139"/>
      <c r="J19" s="139"/>
      <c r="L19" s="6">
        <v>1102</v>
      </c>
      <c r="Q19" s="4"/>
      <c r="R19" s="5">
        <f t="shared" si="0"/>
        <v>0</v>
      </c>
    </row>
    <row r="20" spans="1:18" ht="15.75" x14ac:dyDescent="0.25">
      <c r="A20" s="128"/>
      <c r="B20" s="83" t="s">
        <v>125</v>
      </c>
      <c r="C20" s="89"/>
      <c r="D20" s="13">
        <f t="shared" si="1"/>
        <v>0</v>
      </c>
      <c r="F20" s="57"/>
      <c r="G20" s="70" t="s">
        <v>120</v>
      </c>
      <c r="H20" s="166"/>
      <c r="I20" s="166"/>
      <c r="J20" s="166"/>
      <c r="L20" s="6">
        <f>R39</f>
        <v>1175</v>
      </c>
      <c r="N20" s="1" t="s">
        <v>41</v>
      </c>
      <c r="Q20" s="4"/>
      <c r="R20" s="5">
        <f t="shared" si="0"/>
        <v>0</v>
      </c>
    </row>
    <row r="21" spans="1:18" ht="15.75" x14ac:dyDescent="0.25">
      <c r="A21" s="128"/>
      <c r="B21" s="14" t="s">
        <v>138</v>
      </c>
      <c r="C21" s="89"/>
      <c r="D21" s="48">
        <f t="shared" si="1"/>
        <v>0</v>
      </c>
      <c r="F21" s="69" t="s">
        <v>99</v>
      </c>
      <c r="G21" s="82" t="s">
        <v>98</v>
      </c>
      <c r="H21" s="186" t="s">
        <v>13</v>
      </c>
      <c r="I21" s="187"/>
      <c r="J21" s="188"/>
      <c r="L21" s="7">
        <v>650</v>
      </c>
      <c r="O21" t="s">
        <v>44</v>
      </c>
      <c r="P21" s="4">
        <v>1447</v>
      </c>
      <c r="Q21" s="4">
        <v>120</v>
      </c>
      <c r="R21" s="5">
        <f t="shared" si="0"/>
        <v>1567</v>
      </c>
    </row>
    <row r="22" spans="1:18" ht="15.75" x14ac:dyDescent="0.25">
      <c r="A22" s="128"/>
      <c r="B22" s="46" t="s">
        <v>127</v>
      </c>
      <c r="C22" s="89"/>
      <c r="D22" s="48">
        <f t="shared" si="1"/>
        <v>0</v>
      </c>
      <c r="F22" s="77"/>
      <c r="G22" s="73"/>
      <c r="H22" s="189"/>
      <c r="I22" s="189"/>
      <c r="J22" s="189"/>
      <c r="L22" s="7">
        <v>1582</v>
      </c>
      <c r="O22" t="s">
        <v>46</v>
      </c>
      <c r="P22" s="4">
        <v>1582</v>
      </c>
      <c r="Q22" s="4"/>
      <c r="R22" s="5">
        <f t="shared" si="0"/>
        <v>1582</v>
      </c>
    </row>
    <row r="23" spans="1:18" ht="15.75" x14ac:dyDescent="0.25">
      <c r="A23" s="128"/>
      <c r="B23" s="14" t="s">
        <v>101</v>
      </c>
      <c r="C23" s="89"/>
      <c r="D23" s="48">
        <f t="shared" si="1"/>
        <v>0</v>
      </c>
      <c r="F23" s="77"/>
      <c r="G23" s="79"/>
      <c r="H23" s="242"/>
      <c r="I23" s="243"/>
      <c r="J23" s="243"/>
      <c r="L23" s="47">
        <v>1667</v>
      </c>
      <c r="N23" s="1"/>
      <c r="O23" t="s">
        <v>48</v>
      </c>
      <c r="P23" s="4">
        <v>1728</v>
      </c>
      <c r="Q23" s="4"/>
      <c r="R23" s="5">
        <f t="shared" si="0"/>
        <v>1728</v>
      </c>
    </row>
    <row r="24" spans="1:18" ht="15.75" x14ac:dyDescent="0.25">
      <c r="A24" s="128"/>
      <c r="B24" s="14" t="s">
        <v>121</v>
      </c>
      <c r="C24" s="89"/>
      <c r="D24" s="48">
        <f t="shared" si="1"/>
        <v>0</v>
      </c>
      <c r="F24" s="77"/>
      <c r="G24" s="79"/>
      <c r="H24" s="242"/>
      <c r="I24" s="243"/>
      <c r="J24" s="243"/>
      <c r="L24" s="47">
        <f>913/24+1.5</f>
        <v>39.541666666666664</v>
      </c>
      <c r="N24" s="1"/>
      <c r="O24" t="s">
        <v>49</v>
      </c>
      <c r="P24" s="4">
        <v>1728</v>
      </c>
      <c r="Q24" s="4"/>
      <c r="R24" s="5">
        <f t="shared" si="0"/>
        <v>1728</v>
      </c>
    </row>
    <row r="25" spans="1:18" ht="15.75" x14ac:dyDescent="0.25">
      <c r="A25" s="128"/>
      <c r="B25" s="14" t="s">
        <v>141</v>
      </c>
      <c r="C25" s="89"/>
      <c r="D25" s="48">
        <f t="shared" si="1"/>
        <v>0</v>
      </c>
      <c r="F25" s="60" t="s">
        <v>100</v>
      </c>
      <c r="G25" s="55" t="s">
        <v>98</v>
      </c>
      <c r="H25" s="192" t="s">
        <v>13</v>
      </c>
      <c r="I25" s="193"/>
      <c r="J25" s="194"/>
      <c r="L25" s="47">
        <f>1052+120</f>
        <v>1172</v>
      </c>
      <c r="O25" t="s">
        <v>51</v>
      </c>
      <c r="P25" s="4">
        <v>1582</v>
      </c>
      <c r="Q25" s="4"/>
      <c r="R25" s="5">
        <f t="shared" si="0"/>
        <v>1582</v>
      </c>
    </row>
    <row r="26" spans="1:18" ht="15.75" x14ac:dyDescent="0.25">
      <c r="A26" s="128"/>
      <c r="B26" s="14" t="s">
        <v>169</v>
      </c>
      <c r="C26" s="89">
        <v>12</v>
      </c>
      <c r="D26" s="48">
        <f t="shared" si="1"/>
        <v>444</v>
      </c>
      <c r="F26" s="75"/>
      <c r="G26" s="65"/>
      <c r="H26" s="191"/>
      <c r="I26" s="191"/>
      <c r="J26" s="191"/>
      <c r="L26" s="7">
        <f>852/24+1.5</f>
        <v>37</v>
      </c>
      <c r="O26" t="s">
        <v>52</v>
      </c>
      <c r="P26" s="4">
        <v>1447</v>
      </c>
      <c r="Q26" s="4">
        <v>120</v>
      </c>
      <c r="R26" s="5">
        <f t="shared" si="0"/>
        <v>1567</v>
      </c>
    </row>
    <row r="27" spans="1:18" ht="14.45" customHeight="1" x14ac:dyDescent="0.25">
      <c r="A27" s="128"/>
      <c r="B27" s="14" t="s">
        <v>110</v>
      </c>
      <c r="C27" s="89"/>
      <c r="D27" s="44">
        <f t="shared" si="1"/>
        <v>0</v>
      </c>
      <c r="F27" s="71"/>
      <c r="G27" s="104"/>
      <c r="H27" s="244"/>
      <c r="I27" s="245"/>
      <c r="J27" s="245"/>
      <c r="L27" s="7">
        <v>1142</v>
      </c>
      <c r="O27" t="s">
        <v>53</v>
      </c>
      <c r="P27" s="4">
        <v>1582</v>
      </c>
      <c r="Q27" s="4"/>
      <c r="R27" s="5">
        <f t="shared" si="0"/>
        <v>1582</v>
      </c>
    </row>
    <row r="28" spans="1:18" ht="15.75" x14ac:dyDescent="0.25">
      <c r="A28" s="129"/>
      <c r="B28" s="46" t="s">
        <v>97</v>
      </c>
      <c r="C28" s="89">
        <v>3</v>
      </c>
      <c r="D28" s="48">
        <f t="shared" si="1"/>
        <v>2355</v>
      </c>
      <c r="F28" s="101"/>
      <c r="G28" s="61"/>
      <c r="H28" s="201"/>
      <c r="I28" s="202"/>
      <c r="J28" s="203"/>
      <c r="L28" s="7">
        <v>785</v>
      </c>
      <c r="O28" t="s">
        <v>54</v>
      </c>
      <c r="P28" s="4">
        <v>1447</v>
      </c>
      <c r="Q28" s="4">
        <v>120</v>
      </c>
      <c r="R28" s="5">
        <f t="shared" si="0"/>
        <v>1567</v>
      </c>
    </row>
    <row r="29" spans="1:18" x14ac:dyDescent="0.25">
      <c r="A29" s="167" t="s">
        <v>36</v>
      </c>
      <c r="B29" s="168"/>
      <c r="C29" s="169"/>
      <c r="D29" s="173">
        <f>SUM(D6:D28)</f>
        <v>256893</v>
      </c>
      <c r="F29" s="175" t="s">
        <v>55</v>
      </c>
      <c r="G29" s="176"/>
      <c r="H29" s="179">
        <f>H15-H16-H17-H18-H19-H20-H22-H23-H24+H26+H27+H28</f>
        <v>218218.5</v>
      </c>
      <c r="I29" s="180"/>
      <c r="J29" s="181"/>
      <c r="O29" t="s">
        <v>56</v>
      </c>
      <c r="P29" s="4">
        <v>1582</v>
      </c>
      <c r="Q29" s="4"/>
      <c r="R29" s="5">
        <f t="shared" si="0"/>
        <v>1582</v>
      </c>
    </row>
    <row r="30" spans="1:18" x14ac:dyDescent="0.25">
      <c r="A30" s="170"/>
      <c r="B30" s="171"/>
      <c r="C30" s="172"/>
      <c r="D30" s="174"/>
      <c r="F30" s="177"/>
      <c r="G30" s="178"/>
      <c r="H30" s="182"/>
      <c r="I30" s="183"/>
      <c r="J30" s="184"/>
      <c r="N30" s="1"/>
      <c r="Q30" s="4"/>
      <c r="R30" s="5">
        <f t="shared" si="0"/>
        <v>0</v>
      </c>
    </row>
    <row r="31" spans="1:18" x14ac:dyDescent="0.25">
      <c r="A31" s="24"/>
      <c r="B31" s="24"/>
      <c r="C31" s="24"/>
      <c r="D31" s="24"/>
      <c r="F31" s="24"/>
      <c r="G31" s="24"/>
      <c r="O31" t="s">
        <v>57</v>
      </c>
      <c r="P31" s="4">
        <v>1052</v>
      </c>
      <c r="Q31" s="4">
        <v>120</v>
      </c>
      <c r="R31" s="5">
        <f t="shared" si="0"/>
        <v>1172</v>
      </c>
    </row>
    <row r="32" spans="1:18" x14ac:dyDescent="0.25">
      <c r="A32" s="114" t="s">
        <v>58</v>
      </c>
      <c r="B32" s="115"/>
      <c r="C32" s="115"/>
      <c r="D32" s="116"/>
      <c r="F32" s="204" t="s">
        <v>59</v>
      </c>
      <c r="G32" s="205"/>
      <c r="H32" s="205"/>
      <c r="I32" s="205"/>
      <c r="J32" s="206"/>
      <c r="O32" t="s">
        <v>60</v>
      </c>
      <c r="P32" s="4">
        <v>1005</v>
      </c>
      <c r="Q32" s="4">
        <v>120</v>
      </c>
      <c r="R32" s="5">
        <f t="shared" si="0"/>
        <v>1125</v>
      </c>
    </row>
    <row r="33" spans="1:18" x14ac:dyDescent="0.25">
      <c r="A33" s="25"/>
      <c r="B33" s="25" t="s">
        <v>11</v>
      </c>
      <c r="C33" s="25" t="s">
        <v>61</v>
      </c>
      <c r="D33" s="25" t="s">
        <v>13</v>
      </c>
      <c r="F33" s="25" t="s">
        <v>62</v>
      </c>
      <c r="G33" s="102" t="s">
        <v>63</v>
      </c>
      <c r="H33" s="204" t="s">
        <v>13</v>
      </c>
      <c r="I33" s="205"/>
      <c r="J33" s="206"/>
      <c r="O33" t="s">
        <v>64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27" t="s">
        <v>65</v>
      </c>
      <c r="B34" s="26" t="s">
        <v>66</v>
      </c>
      <c r="C34" s="51"/>
      <c r="D34" s="30">
        <f>C34*120</f>
        <v>0</v>
      </c>
      <c r="F34" s="12">
        <v>1000</v>
      </c>
      <c r="G34" s="40">
        <v>176</v>
      </c>
      <c r="H34" s="207">
        <f t="shared" ref="H34:H39" si="2">F34*G34</f>
        <v>176000</v>
      </c>
      <c r="I34" s="208"/>
      <c r="J34" s="209"/>
      <c r="O34" t="s">
        <v>67</v>
      </c>
      <c r="P34" s="4">
        <v>832</v>
      </c>
      <c r="Q34" s="4">
        <v>120</v>
      </c>
      <c r="R34" s="5">
        <f t="shared" si="0"/>
        <v>952</v>
      </c>
    </row>
    <row r="35" spans="1:18" ht="15.75" x14ac:dyDescent="0.25">
      <c r="A35" s="128"/>
      <c r="B35" s="27" t="s">
        <v>68</v>
      </c>
      <c r="C35" s="52">
        <v>1</v>
      </c>
      <c r="D35" s="30">
        <f>C35*84</f>
        <v>84</v>
      </c>
      <c r="F35" s="58">
        <v>500</v>
      </c>
      <c r="G35" s="41">
        <v>49</v>
      </c>
      <c r="H35" s="207">
        <f t="shared" si="2"/>
        <v>24500</v>
      </c>
      <c r="I35" s="208"/>
      <c r="J35" s="209"/>
      <c r="O35" t="s">
        <v>69</v>
      </c>
      <c r="P35" s="4">
        <v>1102</v>
      </c>
      <c r="Q35" s="4"/>
      <c r="R35" s="5">
        <f t="shared" si="0"/>
        <v>1102</v>
      </c>
    </row>
    <row r="36" spans="1:18" ht="15.75" x14ac:dyDescent="0.25">
      <c r="A36" s="129"/>
      <c r="B36" s="26" t="s">
        <v>70</v>
      </c>
      <c r="C36" s="10">
        <v>15</v>
      </c>
      <c r="D36" s="12">
        <f>C36*1.5</f>
        <v>22.5</v>
      </c>
      <c r="F36" s="12">
        <v>200</v>
      </c>
      <c r="G36" s="37">
        <v>3</v>
      </c>
      <c r="H36" s="207">
        <f t="shared" si="2"/>
        <v>600</v>
      </c>
      <c r="I36" s="208"/>
      <c r="J36" s="209"/>
      <c r="O36" t="s">
        <v>71</v>
      </c>
      <c r="P36" s="4">
        <v>852</v>
      </c>
      <c r="Q36" s="4">
        <v>120</v>
      </c>
      <c r="R36" s="5">
        <f t="shared" si="0"/>
        <v>972</v>
      </c>
    </row>
    <row r="37" spans="1:18" ht="15.75" x14ac:dyDescent="0.25">
      <c r="A37" s="127" t="s">
        <v>72</v>
      </c>
      <c r="B37" s="28" t="s">
        <v>66</v>
      </c>
      <c r="C37" s="53">
        <v>327</v>
      </c>
      <c r="D37" s="12">
        <f>C37*111</f>
        <v>36297</v>
      </c>
      <c r="F37" s="12">
        <v>100</v>
      </c>
      <c r="G37" s="39">
        <v>61</v>
      </c>
      <c r="H37" s="207">
        <f t="shared" si="2"/>
        <v>6100</v>
      </c>
      <c r="I37" s="208"/>
      <c r="J37" s="209"/>
      <c r="O37" t="s">
        <v>73</v>
      </c>
      <c r="P37" s="4">
        <v>1020</v>
      </c>
      <c r="Q37" s="4">
        <v>120</v>
      </c>
      <c r="R37" s="5">
        <f t="shared" si="0"/>
        <v>1140</v>
      </c>
    </row>
    <row r="38" spans="1:18" ht="15.75" x14ac:dyDescent="0.25">
      <c r="A38" s="128"/>
      <c r="B38" s="29" t="s">
        <v>68</v>
      </c>
      <c r="C38" s="54">
        <v>2</v>
      </c>
      <c r="D38" s="12">
        <f>C38*84</f>
        <v>168</v>
      </c>
      <c r="F38" s="30">
        <v>50</v>
      </c>
      <c r="G38" s="39">
        <v>20</v>
      </c>
      <c r="H38" s="207">
        <f t="shared" si="2"/>
        <v>1000</v>
      </c>
      <c r="I38" s="208"/>
      <c r="J38" s="209"/>
      <c r="O38" t="s">
        <v>74</v>
      </c>
      <c r="P38" s="4">
        <v>596</v>
      </c>
      <c r="Q38" s="4">
        <v>111</v>
      </c>
      <c r="R38" s="5">
        <f t="shared" si="0"/>
        <v>707</v>
      </c>
    </row>
    <row r="39" spans="1:18" ht="15.75" x14ac:dyDescent="0.25">
      <c r="A39" s="129"/>
      <c r="B39" s="29" t="s">
        <v>70</v>
      </c>
      <c r="C39" s="52">
        <v>1</v>
      </c>
      <c r="D39" s="31">
        <f>C39*4.5</f>
        <v>4.5</v>
      </c>
      <c r="F39" s="12">
        <v>20</v>
      </c>
      <c r="G39" s="37"/>
      <c r="H39" s="207">
        <f t="shared" si="2"/>
        <v>0</v>
      </c>
      <c r="I39" s="208"/>
      <c r="J39" s="209"/>
      <c r="O39" t="s">
        <v>75</v>
      </c>
      <c r="P39" s="4">
        <v>1175</v>
      </c>
      <c r="Q39" s="4"/>
      <c r="R39" s="5">
        <f t="shared" si="0"/>
        <v>1175</v>
      </c>
    </row>
    <row r="40" spans="1:18" ht="15.75" x14ac:dyDescent="0.25">
      <c r="A40" s="127" t="s">
        <v>76</v>
      </c>
      <c r="B40" s="27" t="s">
        <v>66</v>
      </c>
      <c r="C40" s="63">
        <v>6</v>
      </c>
      <c r="D40" s="12">
        <f>C40*111</f>
        <v>666</v>
      </c>
      <c r="F40" s="12">
        <v>10</v>
      </c>
      <c r="G40" s="42"/>
      <c r="H40" s="207"/>
      <c r="I40" s="208"/>
      <c r="J40" s="209"/>
      <c r="O40" t="s">
        <v>77</v>
      </c>
      <c r="P40" s="4">
        <v>913</v>
      </c>
      <c r="Q40" s="4">
        <v>120</v>
      </c>
      <c r="R40" s="5">
        <f t="shared" si="0"/>
        <v>1033</v>
      </c>
    </row>
    <row r="41" spans="1:18" ht="15.75" x14ac:dyDescent="0.25">
      <c r="A41" s="128"/>
      <c r="B41" s="27" t="s">
        <v>68</v>
      </c>
      <c r="C41" s="10">
        <v>1</v>
      </c>
      <c r="D41" s="12">
        <f>C41*84</f>
        <v>84</v>
      </c>
      <c r="F41" s="12">
        <v>5</v>
      </c>
      <c r="G41" s="42"/>
      <c r="H41" s="207"/>
      <c r="I41" s="208"/>
      <c r="J41" s="209"/>
      <c r="K41" s="21"/>
      <c r="O41" t="s">
        <v>78</v>
      </c>
      <c r="P41" s="4">
        <v>614</v>
      </c>
      <c r="Q41" s="4">
        <v>111</v>
      </c>
      <c r="R41" s="5">
        <f t="shared" si="0"/>
        <v>725</v>
      </c>
    </row>
    <row r="42" spans="1:18" ht="15.75" x14ac:dyDescent="0.25">
      <c r="A42" s="129"/>
      <c r="B42" s="27" t="s">
        <v>70</v>
      </c>
      <c r="C42" s="11">
        <v>8</v>
      </c>
      <c r="D42" s="12">
        <f>C42*2.25</f>
        <v>18</v>
      </c>
      <c r="F42" s="39" t="s">
        <v>79</v>
      </c>
      <c r="G42" s="207">
        <v>2146</v>
      </c>
      <c r="H42" s="208"/>
      <c r="I42" s="208"/>
      <c r="J42" s="209"/>
      <c r="K42" s="36"/>
      <c r="O42" t="s">
        <v>80</v>
      </c>
      <c r="P42" s="4">
        <v>626</v>
      </c>
      <c r="Q42" s="4">
        <v>111</v>
      </c>
      <c r="R42" s="5">
        <f t="shared" si="0"/>
        <v>737</v>
      </c>
    </row>
    <row r="43" spans="1:18" ht="15.75" x14ac:dyDescent="0.25">
      <c r="A43" s="210" t="s">
        <v>81</v>
      </c>
      <c r="C43" s="11"/>
      <c r="D43" s="12"/>
      <c r="F43" s="59" t="s">
        <v>82</v>
      </c>
      <c r="G43" s="104" t="s">
        <v>83</v>
      </c>
      <c r="H43" s="213" t="s">
        <v>13</v>
      </c>
      <c r="I43" s="214"/>
      <c r="J43" s="215"/>
      <c r="K43" s="21"/>
      <c r="O43" t="s">
        <v>103</v>
      </c>
      <c r="P43" s="4">
        <v>1667</v>
      </c>
      <c r="Q43" s="4"/>
      <c r="R43" s="5"/>
    </row>
    <row r="44" spans="1:18" ht="15.75" x14ac:dyDescent="0.25">
      <c r="A44" s="211"/>
      <c r="B44" s="27" t="s">
        <v>66</v>
      </c>
      <c r="C44" s="10">
        <v>6</v>
      </c>
      <c r="D44" s="12">
        <f>C44*120</f>
        <v>720</v>
      </c>
      <c r="F44" s="37" t="s">
        <v>157</v>
      </c>
      <c r="G44" s="62"/>
      <c r="H44" s="191">
        <v>3177</v>
      </c>
      <c r="I44" s="191"/>
      <c r="J44" s="191"/>
      <c r="K44" s="21"/>
      <c r="O44" t="s">
        <v>106</v>
      </c>
      <c r="P44" s="4">
        <f>785-120</f>
        <v>665</v>
      </c>
      <c r="Q44" s="4">
        <v>120</v>
      </c>
      <c r="R44" s="5">
        <f>Q44+P44</f>
        <v>785</v>
      </c>
    </row>
    <row r="45" spans="1:18" ht="15.75" x14ac:dyDescent="0.25">
      <c r="A45" s="211"/>
      <c r="B45" s="27" t="s">
        <v>68</v>
      </c>
      <c r="C45" s="33">
        <v>1</v>
      </c>
      <c r="D45" s="12">
        <f>C45*84</f>
        <v>84</v>
      </c>
      <c r="F45" s="37" t="s">
        <v>157</v>
      </c>
      <c r="G45" s="62"/>
      <c r="H45" s="191">
        <v>3756</v>
      </c>
      <c r="I45" s="191"/>
      <c r="J45" s="191"/>
      <c r="K45" s="21"/>
      <c r="P45" s="4"/>
      <c r="Q45" s="4"/>
      <c r="R45" s="5"/>
    </row>
    <row r="46" spans="1:18" ht="15.75" x14ac:dyDescent="0.25">
      <c r="A46" s="211"/>
      <c r="B46" s="49" t="s">
        <v>70</v>
      </c>
      <c r="C46" s="81"/>
      <c r="D46" s="12">
        <f>C46*1.5</f>
        <v>0</v>
      </c>
      <c r="F46" s="37"/>
      <c r="G46" s="62"/>
      <c r="H46" s="191"/>
      <c r="I46" s="191"/>
      <c r="J46" s="191"/>
      <c r="K46" s="21"/>
      <c r="P46" s="4"/>
      <c r="Q46" s="4"/>
      <c r="R46" s="5"/>
    </row>
    <row r="47" spans="1:18" ht="15.75" x14ac:dyDescent="0.25">
      <c r="A47" s="212"/>
      <c r="B47" s="27"/>
      <c r="C47" s="11"/>
      <c r="D47" s="12"/>
      <c r="F47" s="59"/>
      <c r="G47" s="59"/>
      <c r="H47" s="217"/>
      <c r="I47" s="218"/>
      <c r="J47" s="219"/>
      <c r="K47" s="21"/>
      <c r="P47" s="4"/>
      <c r="Q47" s="4"/>
      <c r="R47" s="5"/>
    </row>
    <row r="48" spans="1:18" ht="15" customHeight="1" x14ac:dyDescent="0.25">
      <c r="A48" s="210" t="s">
        <v>32</v>
      </c>
      <c r="B48" s="27" t="s">
        <v>66</v>
      </c>
      <c r="C48" s="10">
        <v>6</v>
      </c>
      <c r="D48" s="12">
        <f>C48*78</f>
        <v>468</v>
      </c>
      <c r="F48" s="59"/>
      <c r="G48" s="59"/>
      <c r="H48" s="217"/>
      <c r="I48" s="218"/>
      <c r="J48" s="219"/>
      <c r="K48" s="35"/>
      <c r="O48" t="s">
        <v>84</v>
      </c>
      <c r="P48" s="4">
        <v>1175</v>
      </c>
      <c r="Q48" s="4"/>
      <c r="R48" s="5">
        <f t="shared" si="0"/>
        <v>1175</v>
      </c>
    </row>
    <row r="49" spans="1:18" ht="15.75" x14ac:dyDescent="0.25">
      <c r="A49" s="211"/>
      <c r="B49" s="29" t="s">
        <v>68</v>
      </c>
      <c r="C49" s="33"/>
      <c r="D49" s="12">
        <f>C49*42</f>
        <v>0</v>
      </c>
      <c r="F49" s="232" t="s">
        <v>86</v>
      </c>
      <c r="G49" s="179">
        <f>H34+H35+H36+H37+H38+H39+H40+H41+G42+H44+H45+H46</f>
        <v>217279</v>
      </c>
      <c r="H49" s="180"/>
      <c r="I49" s="180"/>
      <c r="J49" s="181"/>
      <c r="O49" t="s">
        <v>85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211"/>
      <c r="B50" s="32" t="s">
        <v>70</v>
      </c>
      <c r="C50" s="11">
        <v>39</v>
      </c>
      <c r="D50" s="12">
        <f>C50*1.5</f>
        <v>58.5</v>
      </c>
      <c r="F50" s="233"/>
      <c r="G50" s="182"/>
      <c r="H50" s="183"/>
      <c r="I50" s="183"/>
      <c r="J50" s="184"/>
      <c r="P50" s="4"/>
      <c r="Q50" s="4"/>
      <c r="R50" s="5"/>
    </row>
    <row r="51" spans="1:18" ht="15" customHeight="1" x14ac:dyDescent="0.25">
      <c r="A51" s="211"/>
      <c r="B51" s="27"/>
      <c r="C51" s="10"/>
      <c r="D51" s="31"/>
      <c r="F51" s="234" t="s">
        <v>131</v>
      </c>
      <c r="G51" s="247">
        <f>G49-H29</f>
        <v>-939.5</v>
      </c>
      <c r="H51" s="248"/>
      <c r="I51" s="248"/>
      <c r="J51" s="249"/>
      <c r="K51" s="21"/>
      <c r="O51" t="s">
        <v>87</v>
      </c>
      <c r="P51" s="4">
        <v>703</v>
      </c>
      <c r="Q51" s="4">
        <v>120</v>
      </c>
      <c r="R51" s="5">
        <f t="shared" si="0"/>
        <v>823</v>
      </c>
    </row>
    <row r="52" spans="1:18" ht="15.75" x14ac:dyDescent="0.25">
      <c r="A52" s="211"/>
      <c r="B52" s="29"/>
      <c r="C52" s="33"/>
      <c r="D52" s="45"/>
      <c r="F52" s="235"/>
      <c r="G52" s="250"/>
      <c r="H52" s="251"/>
      <c r="I52" s="251"/>
      <c r="J52" s="252"/>
      <c r="K52" s="21"/>
      <c r="O52" t="s">
        <v>88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212"/>
      <c r="B53" s="32"/>
      <c r="C53" s="11"/>
      <c r="D53" s="12"/>
      <c r="F53" s="35"/>
      <c r="G53" s="24"/>
      <c r="H53" s="24"/>
      <c r="I53" s="24"/>
      <c r="J53" s="17"/>
      <c r="N53" s="1"/>
      <c r="O53" t="s">
        <v>89</v>
      </c>
      <c r="P53" s="4">
        <v>1142</v>
      </c>
    </row>
    <row r="54" spans="1:18" x14ac:dyDescent="0.25">
      <c r="A54" s="175" t="s">
        <v>90</v>
      </c>
      <c r="B54" s="220"/>
      <c r="C54" s="221"/>
      <c r="D54" s="224">
        <f>SUM(D34:D53)</f>
        <v>38674.5</v>
      </c>
      <c r="F54" s="21"/>
      <c r="J54" s="34"/>
      <c r="O54" t="s">
        <v>102</v>
      </c>
      <c r="P54" s="4">
        <v>1582</v>
      </c>
      <c r="R54" s="3">
        <v>1582</v>
      </c>
    </row>
    <row r="55" spans="1:18" x14ac:dyDescent="0.25">
      <c r="A55" s="177"/>
      <c r="B55" s="222"/>
      <c r="C55" s="223"/>
      <c r="D55" s="225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133</v>
      </c>
      <c r="D57" s="34"/>
      <c r="F57" s="36"/>
      <c r="G57" s="50"/>
      <c r="H57" s="50"/>
      <c r="I57" s="50"/>
      <c r="J57" s="43"/>
    </row>
    <row r="58" spans="1:18" x14ac:dyDescent="0.25">
      <c r="A58" s="226" t="s">
        <v>91</v>
      </c>
      <c r="B58" s="227"/>
      <c r="C58" s="227"/>
      <c r="D58" s="228"/>
      <c r="F58" s="226" t="s">
        <v>92</v>
      </c>
      <c r="G58" s="227"/>
      <c r="H58" s="227"/>
      <c r="I58" s="227"/>
      <c r="J58" s="228"/>
    </row>
    <row r="59" spans="1:18" x14ac:dyDescent="0.25">
      <c r="A59" s="229"/>
      <c r="B59" s="230"/>
      <c r="C59" s="230"/>
      <c r="D59" s="231"/>
      <c r="F59" s="229"/>
      <c r="G59" s="230"/>
      <c r="H59" s="230"/>
      <c r="I59" s="230"/>
      <c r="J59" s="231"/>
    </row>
  </sheetData>
  <mergeCells count="68"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  <mergeCell ref="H13:J13"/>
    <mergeCell ref="F14:G14"/>
    <mergeCell ref="H14:J14"/>
    <mergeCell ref="F15:G15"/>
    <mergeCell ref="H15:J15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A32:D32"/>
    <mergeCell ref="F32:J32"/>
    <mergeCell ref="H33:J33"/>
    <mergeCell ref="A34:A36"/>
    <mergeCell ref="H34:J34"/>
    <mergeCell ref="H35:J35"/>
    <mergeCell ref="H36:J36"/>
    <mergeCell ref="A37:A39"/>
    <mergeCell ref="H37:J37"/>
    <mergeCell ref="H38:J38"/>
    <mergeCell ref="H39:J39"/>
    <mergeCell ref="A40:A42"/>
    <mergeCell ref="H40:J40"/>
    <mergeCell ref="H41:J41"/>
    <mergeCell ref="G42:J42"/>
    <mergeCell ref="A43:A47"/>
    <mergeCell ref="H43:J43"/>
    <mergeCell ref="H44:J44"/>
    <mergeCell ref="H45:J45"/>
    <mergeCell ref="H46:J46"/>
    <mergeCell ref="H47:J47"/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3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8DF837A-931D-4366-87C4-7EB54B685CAA}">
  <dimension ref="A1:R59"/>
  <sheetViews>
    <sheetView topLeftCell="A4"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113" t="s">
        <v>1</v>
      </c>
      <c r="O1" s="113"/>
      <c r="P1" s="100" t="s">
        <v>2</v>
      </c>
      <c r="Q1" s="100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14" t="s">
        <v>7</v>
      </c>
      <c r="B4" s="115"/>
      <c r="C4" s="115"/>
      <c r="D4" s="116"/>
      <c r="F4" s="117" t="s">
        <v>8</v>
      </c>
      <c r="G4" s="119">
        <v>2</v>
      </c>
      <c r="H4" s="121" t="s">
        <v>9</v>
      </c>
      <c r="I4" s="123">
        <v>45972</v>
      </c>
      <c r="J4" s="124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27" t="s">
        <v>7</v>
      </c>
      <c r="B5" s="15" t="s">
        <v>11</v>
      </c>
      <c r="C5" s="9" t="s">
        <v>12</v>
      </c>
      <c r="D5" s="25" t="s">
        <v>13</v>
      </c>
      <c r="F5" s="118"/>
      <c r="G5" s="120"/>
      <c r="H5" s="122"/>
      <c r="I5" s="125"/>
      <c r="J5" s="126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28"/>
      <c r="B6" s="16" t="s">
        <v>15</v>
      </c>
      <c r="C6" s="10">
        <v>539</v>
      </c>
      <c r="D6" s="13">
        <f t="shared" ref="D6:D28" si="1">C6*L6</f>
        <v>397243</v>
      </c>
      <c r="F6" s="130" t="s">
        <v>16</v>
      </c>
      <c r="G6" s="132" t="s">
        <v>150</v>
      </c>
      <c r="H6" s="133"/>
      <c r="I6" s="133"/>
      <c r="J6" s="134"/>
      <c r="K6" s="8"/>
      <c r="L6" s="6">
        <f>R42</f>
        <v>737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28"/>
      <c r="B7" s="16" t="s">
        <v>18</v>
      </c>
      <c r="C7" s="10"/>
      <c r="D7" s="13">
        <f t="shared" si="1"/>
        <v>0</v>
      </c>
      <c r="F7" s="131"/>
      <c r="G7" s="135"/>
      <c r="H7" s="136"/>
      <c r="I7" s="136"/>
      <c r="J7" s="137"/>
      <c r="K7" s="8"/>
      <c r="L7" s="6">
        <f>R41</f>
        <v>725</v>
      </c>
      <c r="P7" s="4"/>
      <c r="Q7" s="4"/>
      <c r="R7" s="5"/>
    </row>
    <row r="8" spans="1:18" ht="14.45" customHeight="1" x14ac:dyDescent="0.25">
      <c r="A8" s="128"/>
      <c r="B8" s="16" t="s">
        <v>20</v>
      </c>
      <c r="C8" s="10"/>
      <c r="D8" s="13">
        <f t="shared" si="1"/>
        <v>0</v>
      </c>
      <c r="F8" s="138" t="s">
        <v>21</v>
      </c>
      <c r="G8" s="140" t="s">
        <v>114</v>
      </c>
      <c r="H8" s="141"/>
      <c r="I8" s="141"/>
      <c r="J8" s="142"/>
      <c r="K8" s="8"/>
      <c r="L8" s="6">
        <f>R40</f>
        <v>1033</v>
      </c>
      <c r="P8" s="4"/>
      <c r="Q8" s="4"/>
      <c r="R8" s="5"/>
    </row>
    <row r="9" spans="1:18" ht="14.45" customHeight="1" x14ac:dyDescent="0.25">
      <c r="A9" s="128"/>
      <c r="B9" s="16" t="s">
        <v>23</v>
      </c>
      <c r="C9" s="10">
        <v>50</v>
      </c>
      <c r="D9" s="13">
        <f t="shared" si="1"/>
        <v>35350</v>
      </c>
      <c r="F9" s="131"/>
      <c r="G9" s="143"/>
      <c r="H9" s="144"/>
      <c r="I9" s="144"/>
      <c r="J9" s="145"/>
      <c r="K9" s="8"/>
      <c r="L9" s="6">
        <f>R38</f>
        <v>707</v>
      </c>
      <c r="P9" s="4"/>
      <c r="Q9" s="4"/>
      <c r="R9" s="5"/>
    </row>
    <row r="10" spans="1:18" ht="14.45" customHeight="1" x14ac:dyDescent="0.25">
      <c r="A10" s="128"/>
      <c r="B10" t="s">
        <v>25</v>
      </c>
      <c r="C10" s="10"/>
      <c r="D10" s="13">
        <f t="shared" si="1"/>
        <v>0</v>
      </c>
      <c r="F10" s="130" t="s">
        <v>26</v>
      </c>
      <c r="G10" s="146" t="s">
        <v>115</v>
      </c>
      <c r="H10" s="147"/>
      <c r="I10" s="147"/>
      <c r="J10" s="148"/>
      <c r="K10" s="8"/>
      <c r="L10" s="6">
        <f>R36</f>
        <v>972</v>
      </c>
      <c r="P10" s="4"/>
      <c r="Q10" s="4"/>
      <c r="R10" s="5"/>
    </row>
    <row r="11" spans="1:18" ht="15.75" x14ac:dyDescent="0.25">
      <c r="A11" s="128"/>
      <c r="B11" s="17" t="s">
        <v>28</v>
      </c>
      <c r="C11" s="10"/>
      <c r="D11" s="13">
        <f t="shared" si="1"/>
        <v>0</v>
      </c>
      <c r="F11" s="131"/>
      <c r="G11" s="143"/>
      <c r="H11" s="144"/>
      <c r="I11" s="144"/>
      <c r="J11" s="145"/>
      <c r="K11" s="22"/>
      <c r="L11" s="6">
        <f>R32</f>
        <v>1125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28"/>
      <c r="B12" s="17" t="s">
        <v>30</v>
      </c>
      <c r="C12" s="10"/>
      <c r="D12" s="48">
        <f t="shared" si="1"/>
        <v>0</v>
      </c>
      <c r="F12" s="149" t="s">
        <v>33</v>
      </c>
      <c r="G12" s="150"/>
      <c r="H12" s="150"/>
      <c r="I12" s="150"/>
      <c r="J12" s="151"/>
      <c r="K12" s="23"/>
      <c r="L12" s="6">
        <f>R34</f>
        <v>952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28"/>
      <c r="B13" s="17" t="s">
        <v>32</v>
      </c>
      <c r="C13" s="10">
        <v>24</v>
      </c>
      <c r="D13" s="48">
        <f t="shared" si="1"/>
        <v>7368</v>
      </c>
      <c r="F13" s="152" t="s">
        <v>36</v>
      </c>
      <c r="G13" s="153"/>
      <c r="H13" s="154">
        <f>D29</f>
        <v>440093</v>
      </c>
      <c r="I13" s="155"/>
      <c r="J13" s="156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28"/>
      <c r="B14" s="14" t="s">
        <v>35</v>
      </c>
      <c r="C14" s="10">
        <v>12</v>
      </c>
      <c r="D14" s="31">
        <f t="shared" si="1"/>
        <v>132</v>
      </c>
      <c r="F14" s="157" t="s">
        <v>39</v>
      </c>
      <c r="G14" s="158"/>
      <c r="H14" s="159">
        <f>D54</f>
        <v>61989.75</v>
      </c>
      <c r="I14" s="160"/>
      <c r="J14" s="161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28"/>
      <c r="B15" s="14" t="s">
        <v>38</v>
      </c>
      <c r="C15" s="10"/>
      <c r="D15" s="31">
        <f t="shared" si="1"/>
        <v>0</v>
      </c>
      <c r="F15" s="162" t="s">
        <v>40</v>
      </c>
      <c r="G15" s="153"/>
      <c r="H15" s="163">
        <f>H13-H14</f>
        <v>378103.25</v>
      </c>
      <c r="I15" s="164"/>
      <c r="J15" s="165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28"/>
      <c r="B16" s="18" t="s">
        <v>94</v>
      </c>
      <c r="C16" s="10"/>
      <c r="D16" s="48">
        <f t="shared" si="1"/>
        <v>0</v>
      </c>
      <c r="F16" s="67" t="s">
        <v>42</v>
      </c>
      <c r="G16" s="66" t="s">
        <v>43</v>
      </c>
      <c r="H16" s="166">
        <v>5517</v>
      </c>
      <c r="I16" s="166"/>
      <c r="J16" s="166"/>
      <c r="L16" s="6">
        <f>R28</f>
        <v>1567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28"/>
      <c r="B17" t="s">
        <v>93</v>
      </c>
      <c r="C17" s="10"/>
      <c r="D17" s="48">
        <f t="shared" si="1"/>
        <v>0</v>
      </c>
      <c r="F17" s="56"/>
      <c r="G17" s="66" t="s">
        <v>45</v>
      </c>
      <c r="H17" s="139"/>
      <c r="I17" s="139"/>
      <c r="J17" s="139"/>
      <c r="L17" s="6">
        <f>R21</f>
        <v>1567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28"/>
      <c r="B18" s="19" t="s">
        <v>95</v>
      </c>
      <c r="C18" s="10"/>
      <c r="D18" s="48">
        <f t="shared" si="1"/>
        <v>0</v>
      </c>
      <c r="F18" s="56"/>
      <c r="G18" s="66" t="s">
        <v>47</v>
      </c>
      <c r="H18" s="139"/>
      <c r="I18" s="139"/>
      <c r="J18" s="139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28"/>
      <c r="B19" s="14" t="s">
        <v>96</v>
      </c>
      <c r="C19" s="10"/>
      <c r="D19" s="48">
        <f t="shared" si="1"/>
        <v>0</v>
      </c>
      <c r="F19" s="56"/>
      <c r="G19" s="68" t="s">
        <v>50</v>
      </c>
      <c r="H19" s="246"/>
      <c r="I19" s="246"/>
      <c r="J19" s="246"/>
      <c r="L19" s="6">
        <f>R35</f>
        <v>1102</v>
      </c>
      <c r="Q19" s="4"/>
      <c r="R19" s="5">
        <f t="shared" si="0"/>
        <v>0</v>
      </c>
    </row>
    <row r="20" spans="1:18" ht="15.75" x14ac:dyDescent="0.25">
      <c r="A20" s="128"/>
      <c r="B20" s="46" t="s">
        <v>122</v>
      </c>
      <c r="C20" s="10"/>
      <c r="D20" s="13">
        <f t="shared" si="1"/>
        <v>0</v>
      </c>
      <c r="F20" s="57"/>
      <c r="G20" s="70" t="s">
        <v>120</v>
      </c>
      <c r="H20" s="139"/>
      <c r="I20" s="139"/>
      <c r="J20" s="139"/>
      <c r="L20" s="6">
        <f>R39</f>
        <v>1175</v>
      </c>
      <c r="N20" s="1" t="s">
        <v>41</v>
      </c>
      <c r="Q20" s="4"/>
      <c r="R20" s="5">
        <f t="shared" si="0"/>
        <v>0</v>
      </c>
    </row>
    <row r="21" spans="1:18" ht="15.75" x14ac:dyDescent="0.25">
      <c r="A21" s="128"/>
      <c r="B21" s="14" t="s">
        <v>126</v>
      </c>
      <c r="C21" s="10"/>
      <c r="D21" s="48">
        <f t="shared" si="1"/>
        <v>0</v>
      </c>
      <c r="F21" s="69" t="s">
        <v>99</v>
      </c>
      <c r="G21" s="82" t="s">
        <v>98</v>
      </c>
      <c r="H21" s="186" t="s">
        <v>13</v>
      </c>
      <c r="I21" s="187"/>
      <c r="J21" s="188"/>
      <c r="L21" s="7">
        <v>650</v>
      </c>
      <c r="O21" t="s">
        <v>44</v>
      </c>
      <c r="P21" s="4">
        <v>1447</v>
      </c>
      <c r="Q21" s="4">
        <v>120</v>
      </c>
      <c r="R21" s="5">
        <f t="shared" si="0"/>
        <v>1567</v>
      </c>
    </row>
    <row r="22" spans="1:18" ht="15.75" x14ac:dyDescent="0.25">
      <c r="A22" s="128"/>
      <c r="B22" s="46" t="s">
        <v>104</v>
      </c>
      <c r="C22" s="10"/>
      <c r="D22" s="48">
        <f t="shared" si="1"/>
        <v>0</v>
      </c>
      <c r="F22" s="72"/>
      <c r="G22" s="73"/>
      <c r="H22" s="189"/>
      <c r="I22" s="189"/>
      <c r="J22" s="189"/>
      <c r="L22" s="7">
        <f>559+111</f>
        <v>670</v>
      </c>
      <c r="O22" t="s">
        <v>46</v>
      </c>
      <c r="P22" s="4">
        <v>1582</v>
      </c>
      <c r="Q22" s="4"/>
      <c r="R22" s="5">
        <f t="shared" si="0"/>
        <v>1582</v>
      </c>
    </row>
    <row r="23" spans="1:18" ht="15.75" x14ac:dyDescent="0.25">
      <c r="A23" s="128"/>
      <c r="B23" s="14" t="s">
        <v>107</v>
      </c>
      <c r="C23" s="10"/>
      <c r="D23" s="48">
        <f t="shared" si="1"/>
        <v>0</v>
      </c>
      <c r="F23" s="25"/>
      <c r="G23" s="37"/>
      <c r="H23" s="190"/>
      <c r="I23" s="191"/>
      <c r="J23" s="191"/>
      <c r="L23" s="47">
        <f>R33</f>
        <v>1175</v>
      </c>
      <c r="N23" s="1"/>
      <c r="O23" t="s">
        <v>48</v>
      </c>
      <c r="P23" s="4">
        <v>1728</v>
      </c>
      <c r="Q23" s="4"/>
      <c r="R23" s="5">
        <f t="shared" si="0"/>
        <v>1728</v>
      </c>
    </row>
    <row r="24" spans="1:18" ht="15.75" x14ac:dyDescent="0.25">
      <c r="A24" s="128"/>
      <c r="B24" s="14" t="s">
        <v>123</v>
      </c>
      <c r="C24" s="10"/>
      <c r="D24" s="48">
        <f t="shared" si="1"/>
        <v>0</v>
      </c>
      <c r="F24" s="38"/>
      <c r="G24" s="37"/>
      <c r="H24" s="190"/>
      <c r="I24" s="191"/>
      <c r="J24" s="191"/>
      <c r="L24" s="47">
        <f>596/6</f>
        <v>99.333333333333329</v>
      </c>
      <c r="N24" s="1"/>
      <c r="O24" t="s">
        <v>49</v>
      </c>
      <c r="P24" s="4">
        <v>1728</v>
      </c>
      <c r="Q24" s="4"/>
      <c r="R24" s="5">
        <f t="shared" si="0"/>
        <v>1728</v>
      </c>
    </row>
    <row r="25" spans="1:18" ht="15.75" x14ac:dyDescent="0.25">
      <c r="A25" s="128"/>
      <c r="B25" s="14" t="s">
        <v>124</v>
      </c>
      <c r="C25" s="10"/>
      <c r="D25" s="48">
        <f t="shared" si="1"/>
        <v>0</v>
      </c>
      <c r="F25" s="60" t="s">
        <v>100</v>
      </c>
      <c r="G25" s="55" t="s">
        <v>98</v>
      </c>
      <c r="H25" s="192" t="s">
        <v>13</v>
      </c>
      <c r="I25" s="193"/>
      <c r="J25" s="194"/>
      <c r="L25" s="47">
        <f>674/6</f>
        <v>112.33333333333333</v>
      </c>
      <c r="O25" t="s">
        <v>51</v>
      </c>
      <c r="P25" s="4">
        <v>1582</v>
      </c>
      <c r="Q25" s="4"/>
      <c r="R25" s="5">
        <f t="shared" si="0"/>
        <v>1582</v>
      </c>
    </row>
    <row r="26" spans="1:18" ht="15.75" x14ac:dyDescent="0.25">
      <c r="A26" s="128"/>
      <c r="B26" s="14" t="s">
        <v>105</v>
      </c>
      <c r="C26" s="10"/>
      <c r="D26" s="48">
        <f t="shared" si="1"/>
        <v>0</v>
      </c>
      <c r="F26" s="64"/>
      <c r="G26" s="10"/>
      <c r="H26" s="195"/>
      <c r="I26" s="196"/>
      <c r="J26" s="197"/>
      <c r="L26" s="7">
        <f>832/24+1.5</f>
        <v>36.166666666666664</v>
      </c>
      <c r="O26" t="s">
        <v>52</v>
      </c>
      <c r="P26" s="4">
        <v>1447</v>
      </c>
      <c r="Q26" s="4">
        <v>120</v>
      </c>
      <c r="R26" s="5">
        <f t="shared" si="0"/>
        <v>1567</v>
      </c>
    </row>
    <row r="27" spans="1:18" ht="14.45" customHeight="1" x14ac:dyDescent="0.25">
      <c r="A27" s="128"/>
      <c r="B27" s="14" t="s">
        <v>109</v>
      </c>
      <c r="C27" s="10"/>
      <c r="D27" s="44">
        <f t="shared" si="1"/>
        <v>0</v>
      </c>
      <c r="F27" s="14"/>
      <c r="G27" s="14"/>
      <c r="H27" s="198"/>
      <c r="I27" s="199"/>
      <c r="J27" s="200"/>
      <c r="L27" s="7">
        <v>1582</v>
      </c>
      <c r="O27" t="s">
        <v>53</v>
      </c>
      <c r="P27" s="4">
        <v>1582</v>
      </c>
      <c r="Q27" s="4"/>
      <c r="R27" s="5">
        <f t="shared" si="0"/>
        <v>1582</v>
      </c>
    </row>
    <row r="28" spans="1:18" ht="15.75" x14ac:dyDescent="0.25">
      <c r="A28" s="129"/>
      <c r="B28" s="46" t="s">
        <v>97</v>
      </c>
      <c r="C28" s="10"/>
      <c r="D28" s="48">
        <f t="shared" si="1"/>
        <v>0</v>
      </c>
      <c r="F28" s="101"/>
      <c r="G28" s="61"/>
      <c r="H28" s="201"/>
      <c r="I28" s="202"/>
      <c r="J28" s="203"/>
      <c r="L28" s="7">
        <v>785</v>
      </c>
      <c r="O28" t="s">
        <v>54</v>
      </c>
      <c r="P28" s="4">
        <v>1447</v>
      </c>
      <c r="Q28" s="4">
        <v>120</v>
      </c>
      <c r="R28" s="5">
        <f t="shared" si="0"/>
        <v>1567</v>
      </c>
    </row>
    <row r="29" spans="1:18" x14ac:dyDescent="0.25">
      <c r="A29" s="167" t="s">
        <v>36</v>
      </c>
      <c r="B29" s="168"/>
      <c r="C29" s="169"/>
      <c r="D29" s="173">
        <f>SUM(D6:D28)</f>
        <v>440093</v>
      </c>
      <c r="F29" s="175" t="s">
        <v>55</v>
      </c>
      <c r="G29" s="176"/>
      <c r="H29" s="179">
        <f>H15-H16-H17-H18-H19-H20-H22-H23-H24+H26+H27</f>
        <v>372586.25</v>
      </c>
      <c r="I29" s="180"/>
      <c r="J29" s="181"/>
      <c r="O29" t="s">
        <v>56</v>
      </c>
      <c r="P29" s="4">
        <v>1582</v>
      </c>
      <c r="Q29" s="4"/>
      <c r="R29" s="5">
        <f t="shared" si="0"/>
        <v>1582</v>
      </c>
    </row>
    <row r="30" spans="1:18" x14ac:dyDescent="0.25">
      <c r="A30" s="170"/>
      <c r="B30" s="171"/>
      <c r="C30" s="172"/>
      <c r="D30" s="174"/>
      <c r="F30" s="177"/>
      <c r="G30" s="178"/>
      <c r="H30" s="182"/>
      <c r="I30" s="183"/>
      <c r="J30" s="184"/>
      <c r="N30" s="1"/>
      <c r="Q30" s="4"/>
      <c r="R30" s="5">
        <f t="shared" si="0"/>
        <v>0</v>
      </c>
    </row>
    <row r="31" spans="1:18" x14ac:dyDescent="0.25">
      <c r="A31" s="24"/>
      <c r="B31" s="24"/>
      <c r="C31" s="24"/>
      <c r="D31" s="24"/>
      <c r="F31" s="24"/>
      <c r="G31" s="24"/>
      <c r="O31" t="s">
        <v>57</v>
      </c>
      <c r="P31" s="4">
        <v>1052</v>
      </c>
      <c r="Q31" s="4">
        <v>120</v>
      </c>
      <c r="R31" s="5">
        <f t="shared" si="0"/>
        <v>1172</v>
      </c>
    </row>
    <row r="32" spans="1:18" x14ac:dyDescent="0.25">
      <c r="A32" s="114" t="s">
        <v>58</v>
      </c>
      <c r="B32" s="115"/>
      <c r="C32" s="115"/>
      <c r="D32" s="116"/>
      <c r="F32" s="204" t="s">
        <v>59</v>
      </c>
      <c r="G32" s="205"/>
      <c r="H32" s="205"/>
      <c r="I32" s="205"/>
      <c r="J32" s="206"/>
      <c r="O32" t="s">
        <v>60</v>
      </c>
      <c r="P32" s="4">
        <v>1005</v>
      </c>
      <c r="Q32" s="4">
        <v>120</v>
      </c>
      <c r="R32" s="5">
        <f t="shared" si="0"/>
        <v>1125</v>
      </c>
    </row>
    <row r="33" spans="1:18" x14ac:dyDescent="0.25">
      <c r="A33" s="25"/>
      <c r="B33" s="25" t="s">
        <v>11</v>
      </c>
      <c r="C33" s="25" t="s">
        <v>61</v>
      </c>
      <c r="D33" s="25" t="s">
        <v>13</v>
      </c>
      <c r="F33" s="25" t="s">
        <v>62</v>
      </c>
      <c r="G33" s="102" t="s">
        <v>63</v>
      </c>
      <c r="H33" s="204" t="s">
        <v>13</v>
      </c>
      <c r="I33" s="205"/>
      <c r="J33" s="206"/>
      <c r="O33" t="s">
        <v>64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27" t="s">
        <v>65</v>
      </c>
      <c r="B34" s="26" t="s">
        <v>66</v>
      </c>
      <c r="C34" s="51"/>
      <c r="D34" s="30">
        <f>C34*120</f>
        <v>0</v>
      </c>
      <c r="F34" s="12">
        <v>1000</v>
      </c>
      <c r="G34" s="74">
        <v>104</v>
      </c>
      <c r="H34" s="207">
        <f>F34*G34</f>
        <v>104000</v>
      </c>
      <c r="I34" s="208"/>
      <c r="J34" s="209"/>
      <c r="O34" t="s">
        <v>67</v>
      </c>
      <c r="P34" s="4">
        <v>832</v>
      </c>
      <c r="Q34" s="4">
        <v>120</v>
      </c>
      <c r="R34" s="5">
        <f t="shared" si="0"/>
        <v>952</v>
      </c>
    </row>
    <row r="35" spans="1:18" ht="15.75" x14ac:dyDescent="0.25">
      <c r="A35" s="128"/>
      <c r="B35" s="27" t="s">
        <v>68</v>
      </c>
      <c r="C35" s="52"/>
      <c r="D35" s="30">
        <f>C35*84</f>
        <v>0</v>
      </c>
      <c r="F35" s="58">
        <v>500</v>
      </c>
      <c r="G35" s="41">
        <v>539</v>
      </c>
      <c r="H35" s="207">
        <f t="shared" ref="H35:H39" si="2">F35*G35</f>
        <v>269500</v>
      </c>
      <c r="I35" s="208"/>
      <c r="J35" s="209"/>
      <c r="O35" t="s">
        <v>69</v>
      </c>
      <c r="P35" s="4">
        <v>1102</v>
      </c>
      <c r="Q35" s="4"/>
      <c r="R35" s="5">
        <f t="shared" si="0"/>
        <v>1102</v>
      </c>
    </row>
    <row r="36" spans="1:18" ht="15.75" x14ac:dyDescent="0.25">
      <c r="A36" s="129"/>
      <c r="B36" s="26" t="s">
        <v>70</v>
      </c>
      <c r="C36" s="10"/>
      <c r="D36" s="12">
        <f>C36*1.5</f>
        <v>0</v>
      </c>
      <c r="F36" s="12">
        <v>200</v>
      </c>
      <c r="G36" s="37"/>
      <c r="H36" s="207">
        <f>F36*G36</f>
        <v>0</v>
      </c>
      <c r="I36" s="208"/>
      <c r="J36" s="209"/>
      <c r="O36" t="s">
        <v>71</v>
      </c>
      <c r="P36" s="4">
        <v>852</v>
      </c>
      <c r="Q36" s="4">
        <v>120</v>
      </c>
      <c r="R36" s="5">
        <f t="shared" si="0"/>
        <v>972</v>
      </c>
    </row>
    <row r="37" spans="1:18" ht="15.75" x14ac:dyDescent="0.25">
      <c r="A37" s="127" t="s">
        <v>72</v>
      </c>
      <c r="B37" s="28" t="s">
        <v>66</v>
      </c>
      <c r="C37" s="53">
        <v>543</v>
      </c>
      <c r="D37" s="12">
        <f>C37*111</f>
        <v>60273</v>
      </c>
      <c r="F37" s="12">
        <v>100</v>
      </c>
      <c r="G37" s="39">
        <v>1</v>
      </c>
      <c r="H37" s="207">
        <f t="shared" si="2"/>
        <v>100</v>
      </c>
      <c r="I37" s="208"/>
      <c r="J37" s="209"/>
      <c r="O37" t="s">
        <v>73</v>
      </c>
      <c r="P37" s="4">
        <v>1020</v>
      </c>
      <c r="Q37" s="4">
        <v>120</v>
      </c>
      <c r="R37" s="5">
        <f t="shared" si="0"/>
        <v>1140</v>
      </c>
    </row>
    <row r="38" spans="1:18" ht="15.75" x14ac:dyDescent="0.25">
      <c r="A38" s="128"/>
      <c r="B38" s="29" t="s">
        <v>68</v>
      </c>
      <c r="C38" s="54">
        <v>4</v>
      </c>
      <c r="D38" s="12">
        <f>C38*84</f>
        <v>336</v>
      </c>
      <c r="F38" s="30">
        <v>50</v>
      </c>
      <c r="G38" s="39">
        <v>5</v>
      </c>
      <c r="H38" s="207">
        <f t="shared" si="2"/>
        <v>250</v>
      </c>
      <c r="I38" s="208"/>
      <c r="J38" s="209"/>
      <c r="O38" t="s">
        <v>74</v>
      </c>
      <c r="P38" s="4">
        <v>596</v>
      </c>
      <c r="Q38" s="4">
        <v>111</v>
      </c>
      <c r="R38" s="5">
        <f t="shared" si="0"/>
        <v>707</v>
      </c>
    </row>
    <row r="39" spans="1:18" ht="15.75" x14ac:dyDescent="0.25">
      <c r="A39" s="129"/>
      <c r="B39" s="29" t="s">
        <v>70</v>
      </c>
      <c r="C39" s="52">
        <v>5</v>
      </c>
      <c r="D39" s="31">
        <f>C39*4.5</f>
        <v>22.5</v>
      </c>
      <c r="F39" s="12">
        <v>20</v>
      </c>
      <c r="G39" s="37">
        <v>1</v>
      </c>
      <c r="H39" s="207">
        <f t="shared" si="2"/>
        <v>20</v>
      </c>
      <c r="I39" s="208"/>
      <c r="J39" s="209"/>
      <c r="O39" t="s">
        <v>75</v>
      </c>
      <c r="P39" s="4">
        <v>1175</v>
      </c>
      <c r="Q39" s="4"/>
      <c r="R39" s="5">
        <f t="shared" si="0"/>
        <v>1175</v>
      </c>
    </row>
    <row r="40" spans="1:18" ht="15.75" x14ac:dyDescent="0.25">
      <c r="A40" s="127" t="s">
        <v>76</v>
      </c>
      <c r="B40" s="27" t="s">
        <v>66</v>
      </c>
      <c r="C40" s="63">
        <v>3</v>
      </c>
      <c r="D40" s="12">
        <f>C40*111</f>
        <v>333</v>
      </c>
      <c r="F40" s="12">
        <v>10</v>
      </c>
      <c r="G40" s="42"/>
      <c r="H40" s="207"/>
      <c r="I40" s="208"/>
      <c r="J40" s="209"/>
      <c r="O40" t="s">
        <v>77</v>
      </c>
      <c r="P40" s="4">
        <v>913</v>
      </c>
      <c r="Q40" s="4">
        <v>120</v>
      </c>
      <c r="R40" s="5">
        <f t="shared" si="0"/>
        <v>1033</v>
      </c>
    </row>
    <row r="41" spans="1:18" ht="15.75" x14ac:dyDescent="0.25">
      <c r="A41" s="128"/>
      <c r="B41" s="27" t="s">
        <v>68</v>
      </c>
      <c r="C41" s="10">
        <v>2</v>
      </c>
      <c r="D41" s="12">
        <f>C41*84</f>
        <v>168</v>
      </c>
      <c r="F41" s="12">
        <v>5</v>
      </c>
      <c r="G41" s="42"/>
      <c r="H41" s="207"/>
      <c r="I41" s="208"/>
      <c r="J41" s="209"/>
      <c r="K41" s="21"/>
      <c r="O41" t="s">
        <v>78</v>
      </c>
      <c r="P41" s="4">
        <v>614</v>
      </c>
      <c r="Q41" s="4">
        <v>111</v>
      </c>
      <c r="R41" s="5">
        <f t="shared" si="0"/>
        <v>725</v>
      </c>
    </row>
    <row r="42" spans="1:18" ht="15.75" x14ac:dyDescent="0.25">
      <c r="A42" s="129"/>
      <c r="B42" s="27" t="s">
        <v>70</v>
      </c>
      <c r="C42" s="11">
        <v>9</v>
      </c>
      <c r="D42" s="12">
        <f>C42*2.25</f>
        <v>20.25</v>
      </c>
      <c r="F42" s="39" t="s">
        <v>79</v>
      </c>
      <c r="G42" s="207">
        <v>50</v>
      </c>
      <c r="H42" s="208"/>
      <c r="I42" s="208"/>
      <c r="J42" s="209"/>
      <c r="K42" s="36"/>
      <c r="O42" t="s">
        <v>80</v>
      </c>
      <c r="P42" s="4">
        <v>626</v>
      </c>
      <c r="Q42" s="4">
        <v>111</v>
      </c>
      <c r="R42" s="5">
        <f t="shared" si="0"/>
        <v>737</v>
      </c>
    </row>
    <row r="43" spans="1:18" ht="15.75" x14ac:dyDescent="0.25">
      <c r="A43" s="210" t="s">
        <v>81</v>
      </c>
      <c r="C43" s="11"/>
      <c r="D43" s="12"/>
      <c r="F43" s="59" t="s">
        <v>82</v>
      </c>
      <c r="G43" s="104" t="s">
        <v>83</v>
      </c>
      <c r="H43" s="213" t="s">
        <v>13</v>
      </c>
      <c r="I43" s="214"/>
      <c r="J43" s="215"/>
      <c r="K43" s="21"/>
      <c r="P43" s="4"/>
      <c r="Q43" s="4"/>
      <c r="R43" s="5"/>
    </row>
    <row r="44" spans="1:18" ht="15.75" x14ac:dyDescent="0.25">
      <c r="A44" s="211"/>
      <c r="B44" s="27" t="s">
        <v>66</v>
      </c>
      <c r="C44" s="10">
        <v>1</v>
      </c>
      <c r="D44" s="12">
        <f>C44*120</f>
        <v>120</v>
      </c>
      <c r="F44" s="37"/>
      <c r="G44" s="62"/>
      <c r="H44" s="191"/>
      <c r="I44" s="191"/>
      <c r="J44" s="191"/>
      <c r="K44" s="21"/>
      <c r="P44" s="4"/>
      <c r="Q44" s="4"/>
      <c r="R44" s="5"/>
    </row>
    <row r="45" spans="1:18" ht="15.75" x14ac:dyDescent="0.25">
      <c r="A45" s="211"/>
      <c r="B45" s="27" t="s">
        <v>68</v>
      </c>
      <c r="C45" s="33">
        <v>1</v>
      </c>
      <c r="D45" s="12">
        <f>C45*84</f>
        <v>84</v>
      </c>
      <c r="F45" s="37"/>
      <c r="G45" s="62"/>
      <c r="H45" s="191"/>
      <c r="I45" s="191"/>
      <c r="J45" s="191"/>
      <c r="K45" s="21"/>
      <c r="P45" s="4"/>
      <c r="Q45" s="4"/>
      <c r="R45" s="5"/>
    </row>
    <row r="46" spans="1:18" ht="15.75" x14ac:dyDescent="0.25">
      <c r="A46" s="211"/>
      <c r="B46" s="49" t="s">
        <v>70</v>
      </c>
      <c r="C46" s="81">
        <v>13</v>
      </c>
      <c r="D46" s="12">
        <f>C46*1.5</f>
        <v>19.5</v>
      </c>
      <c r="F46" s="37"/>
      <c r="G46" s="103"/>
      <c r="H46" s="216"/>
      <c r="I46" s="216"/>
      <c r="J46" s="216"/>
      <c r="K46" s="21"/>
      <c r="P46" s="4"/>
      <c r="Q46" s="4"/>
      <c r="R46" s="5"/>
    </row>
    <row r="47" spans="1:18" ht="15.75" x14ac:dyDescent="0.25">
      <c r="A47" s="212"/>
      <c r="B47" s="27"/>
      <c r="C47" s="11"/>
      <c r="D47" s="12"/>
      <c r="F47" s="59"/>
      <c r="G47" s="59"/>
      <c r="H47" s="217"/>
      <c r="I47" s="218"/>
      <c r="J47" s="219"/>
      <c r="K47" s="21"/>
      <c r="P47" s="4"/>
      <c r="Q47" s="4"/>
      <c r="R47" s="5"/>
    </row>
    <row r="48" spans="1:18" ht="15" customHeight="1" x14ac:dyDescent="0.25">
      <c r="A48" s="210" t="s">
        <v>32</v>
      </c>
      <c r="B48" s="27" t="s">
        <v>66</v>
      </c>
      <c r="C48" s="10">
        <v>3</v>
      </c>
      <c r="D48" s="12">
        <f>C48*78</f>
        <v>234</v>
      </c>
      <c r="F48" s="59"/>
      <c r="G48" s="59"/>
      <c r="H48" s="217"/>
      <c r="I48" s="218"/>
      <c r="J48" s="219"/>
      <c r="K48" s="35"/>
      <c r="O48" t="s">
        <v>84</v>
      </c>
      <c r="P48" s="4">
        <v>1175</v>
      </c>
      <c r="Q48" s="4"/>
      <c r="R48" s="5">
        <f t="shared" si="0"/>
        <v>1175</v>
      </c>
    </row>
    <row r="49" spans="1:18" ht="15.75" x14ac:dyDescent="0.25">
      <c r="A49" s="211"/>
      <c r="B49" s="29" t="s">
        <v>68</v>
      </c>
      <c r="C49" s="33">
        <v>9</v>
      </c>
      <c r="D49" s="12">
        <f>C49*42</f>
        <v>378</v>
      </c>
      <c r="F49" s="232" t="s">
        <v>86</v>
      </c>
      <c r="G49" s="179">
        <f>H34+H35+H36+H37+H38+H39+H40+H41+G42+H44+H45+H46</f>
        <v>373920</v>
      </c>
      <c r="H49" s="180"/>
      <c r="I49" s="180"/>
      <c r="J49" s="181"/>
      <c r="O49" t="s">
        <v>85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211"/>
      <c r="B50" s="32" t="s">
        <v>70</v>
      </c>
      <c r="C50" s="11">
        <v>1</v>
      </c>
      <c r="D50" s="12">
        <f>C50*1.5</f>
        <v>1.5</v>
      </c>
      <c r="F50" s="233"/>
      <c r="G50" s="182"/>
      <c r="H50" s="183"/>
      <c r="I50" s="183"/>
      <c r="J50" s="184"/>
      <c r="P50" s="4"/>
      <c r="Q50" s="4"/>
      <c r="R50" s="5"/>
    </row>
    <row r="51" spans="1:18" ht="15" customHeight="1" x14ac:dyDescent="0.25">
      <c r="A51" s="211"/>
      <c r="B51" s="27"/>
      <c r="C51" s="10"/>
      <c r="D51" s="31"/>
      <c r="F51" s="234" t="s">
        <v>156</v>
      </c>
      <c r="G51" s="236">
        <f>G49-H29</f>
        <v>1333.75</v>
      </c>
      <c r="H51" s="237"/>
      <c r="I51" s="237"/>
      <c r="J51" s="238"/>
      <c r="K51" s="21"/>
      <c r="O51" t="s">
        <v>87</v>
      </c>
      <c r="P51" s="4">
        <v>703</v>
      </c>
      <c r="Q51" s="4">
        <v>120</v>
      </c>
      <c r="R51" s="5">
        <f t="shared" si="0"/>
        <v>823</v>
      </c>
    </row>
    <row r="52" spans="1:18" ht="15.75" x14ac:dyDescent="0.25">
      <c r="A52" s="211"/>
      <c r="B52" s="29"/>
      <c r="C52" s="33"/>
      <c r="D52" s="45"/>
      <c r="F52" s="235"/>
      <c r="G52" s="239"/>
      <c r="H52" s="240"/>
      <c r="I52" s="240"/>
      <c r="J52" s="241"/>
      <c r="K52" s="21"/>
      <c r="O52" t="s">
        <v>88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212"/>
      <c r="B53" s="32"/>
      <c r="C53" s="11"/>
      <c r="D53" s="12"/>
      <c r="F53" s="35"/>
      <c r="G53" s="24"/>
      <c r="H53" s="24"/>
      <c r="I53" s="24"/>
      <c r="J53" s="17"/>
      <c r="N53" s="1"/>
      <c r="O53" t="s">
        <v>89</v>
      </c>
      <c r="P53" s="4">
        <v>1142</v>
      </c>
    </row>
    <row r="54" spans="1:18" x14ac:dyDescent="0.25">
      <c r="A54" s="175" t="s">
        <v>90</v>
      </c>
      <c r="B54" s="220"/>
      <c r="C54" s="221"/>
      <c r="D54" s="224">
        <f>SUM(D34:D53)</f>
        <v>61989.75</v>
      </c>
      <c r="F54" s="21"/>
      <c r="J54" s="34"/>
    </row>
    <row r="55" spans="1:18" x14ac:dyDescent="0.25">
      <c r="A55" s="177"/>
      <c r="B55" s="222"/>
      <c r="C55" s="223"/>
      <c r="D55" s="225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151</v>
      </c>
      <c r="D57" s="34"/>
      <c r="F57" s="36"/>
      <c r="G57" s="50"/>
      <c r="H57" s="50"/>
      <c r="I57" s="50"/>
      <c r="J57" s="43"/>
    </row>
    <row r="58" spans="1:18" x14ac:dyDescent="0.25">
      <c r="A58" s="226" t="s">
        <v>91</v>
      </c>
      <c r="B58" s="227"/>
      <c r="C58" s="227"/>
      <c r="D58" s="228"/>
      <c r="F58" s="226" t="s">
        <v>92</v>
      </c>
      <c r="G58" s="227"/>
      <c r="H58" s="227"/>
      <c r="I58" s="227"/>
      <c r="J58" s="228"/>
    </row>
    <row r="59" spans="1:18" x14ac:dyDescent="0.25">
      <c r="A59" s="229"/>
      <c r="B59" s="230"/>
      <c r="C59" s="230"/>
      <c r="D59" s="231"/>
      <c r="F59" s="229"/>
      <c r="G59" s="230"/>
      <c r="H59" s="230"/>
      <c r="I59" s="230"/>
      <c r="J59" s="231"/>
    </row>
  </sheetData>
  <mergeCells count="68"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  <mergeCell ref="H13:J13"/>
    <mergeCell ref="F14:G14"/>
    <mergeCell ref="H14:J14"/>
    <mergeCell ref="F15:G15"/>
    <mergeCell ref="H15:J15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A32:D32"/>
    <mergeCell ref="F32:J32"/>
    <mergeCell ref="H33:J33"/>
    <mergeCell ref="A34:A36"/>
    <mergeCell ref="H34:J34"/>
    <mergeCell ref="H35:J35"/>
    <mergeCell ref="H36:J36"/>
    <mergeCell ref="A37:A39"/>
    <mergeCell ref="H37:J37"/>
    <mergeCell ref="H38:J38"/>
    <mergeCell ref="H39:J39"/>
    <mergeCell ref="A40:A42"/>
    <mergeCell ref="H40:J40"/>
    <mergeCell ref="H41:J41"/>
    <mergeCell ref="G42:J42"/>
    <mergeCell ref="A43:A47"/>
    <mergeCell ref="H43:J43"/>
    <mergeCell ref="H44:J44"/>
    <mergeCell ref="H45:J45"/>
    <mergeCell ref="H46:J46"/>
    <mergeCell ref="H47:J47"/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3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2E335FA-5799-4361-87DB-ED7AFDEE32F9}">
  <dimension ref="A1:R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113" t="s">
        <v>1</v>
      </c>
      <c r="O1" s="113"/>
      <c r="P1" s="100" t="s">
        <v>2</v>
      </c>
      <c r="Q1" s="100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14" t="s">
        <v>7</v>
      </c>
      <c r="B4" s="115"/>
      <c r="C4" s="115"/>
      <c r="D4" s="116"/>
      <c r="F4" s="117" t="s">
        <v>8</v>
      </c>
      <c r="G4" s="119">
        <v>3</v>
      </c>
      <c r="H4" s="121" t="s">
        <v>9</v>
      </c>
      <c r="I4" s="123">
        <v>45972</v>
      </c>
      <c r="J4" s="124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27" t="s">
        <v>7</v>
      </c>
      <c r="B5" s="15" t="s">
        <v>11</v>
      </c>
      <c r="C5" s="9" t="s">
        <v>12</v>
      </c>
      <c r="D5" s="25" t="s">
        <v>13</v>
      </c>
      <c r="F5" s="118"/>
      <c r="G5" s="120"/>
      <c r="H5" s="122"/>
      <c r="I5" s="125"/>
      <c r="J5" s="126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28"/>
      <c r="B6" s="16" t="s">
        <v>15</v>
      </c>
      <c r="C6" s="10">
        <v>247</v>
      </c>
      <c r="D6" s="13">
        <f t="shared" ref="D6:D28" si="1">C6*L6</f>
        <v>182039</v>
      </c>
      <c r="F6" s="130" t="s">
        <v>16</v>
      </c>
      <c r="G6" s="132" t="s">
        <v>111</v>
      </c>
      <c r="H6" s="133"/>
      <c r="I6" s="133"/>
      <c r="J6" s="134"/>
      <c r="K6" s="8"/>
      <c r="L6" s="6">
        <f>R42</f>
        <v>737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28"/>
      <c r="B7" s="16" t="s">
        <v>18</v>
      </c>
      <c r="C7" s="10">
        <v>16</v>
      </c>
      <c r="D7" s="13">
        <f t="shared" si="1"/>
        <v>11600</v>
      </c>
      <c r="F7" s="131"/>
      <c r="G7" s="135"/>
      <c r="H7" s="136"/>
      <c r="I7" s="136"/>
      <c r="J7" s="137"/>
      <c r="K7" s="8"/>
      <c r="L7" s="6">
        <f>R41</f>
        <v>725</v>
      </c>
      <c r="P7" s="4"/>
      <c r="Q7" s="4"/>
      <c r="R7" s="5"/>
    </row>
    <row r="8" spans="1:18" ht="14.45" customHeight="1" x14ac:dyDescent="0.25">
      <c r="A8" s="128"/>
      <c r="B8" s="16" t="s">
        <v>20</v>
      </c>
      <c r="C8" s="10"/>
      <c r="D8" s="13">
        <f t="shared" si="1"/>
        <v>0</v>
      </c>
      <c r="F8" s="138" t="s">
        <v>21</v>
      </c>
      <c r="G8" s="140" t="s">
        <v>119</v>
      </c>
      <c r="H8" s="141"/>
      <c r="I8" s="141"/>
      <c r="J8" s="142"/>
      <c r="K8" s="8"/>
      <c r="L8" s="6">
        <f>R40</f>
        <v>1033</v>
      </c>
      <c r="P8" s="4"/>
      <c r="Q8" s="4"/>
      <c r="R8" s="5"/>
    </row>
    <row r="9" spans="1:18" ht="14.45" customHeight="1" x14ac:dyDescent="0.25">
      <c r="A9" s="128"/>
      <c r="B9" s="16" t="s">
        <v>23</v>
      </c>
      <c r="C9" s="10">
        <v>30</v>
      </c>
      <c r="D9" s="13">
        <f t="shared" si="1"/>
        <v>21210</v>
      </c>
      <c r="F9" s="131"/>
      <c r="G9" s="143"/>
      <c r="H9" s="144"/>
      <c r="I9" s="144"/>
      <c r="J9" s="145"/>
      <c r="K9" s="8"/>
      <c r="L9" s="6">
        <f>R38</f>
        <v>707</v>
      </c>
      <c r="P9" s="4"/>
      <c r="Q9" s="4"/>
      <c r="R9" s="5"/>
    </row>
    <row r="10" spans="1:18" ht="14.45" customHeight="1" x14ac:dyDescent="0.25">
      <c r="A10" s="128"/>
      <c r="B10" t="s">
        <v>25</v>
      </c>
      <c r="C10" s="10"/>
      <c r="D10" s="13">
        <f t="shared" si="1"/>
        <v>0</v>
      </c>
      <c r="F10" s="130" t="s">
        <v>26</v>
      </c>
      <c r="G10" s="146" t="s">
        <v>137</v>
      </c>
      <c r="H10" s="147"/>
      <c r="I10" s="147"/>
      <c r="J10" s="148"/>
      <c r="K10" s="8"/>
      <c r="L10" s="6">
        <f>R36</f>
        <v>972</v>
      </c>
      <c r="P10" s="4"/>
      <c r="Q10" s="4"/>
      <c r="R10" s="5"/>
    </row>
    <row r="11" spans="1:18" ht="15.75" x14ac:dyDescent="0.25">
      <c r="A11" s="128"/>
      <c r="B11" s="17" t="s">
        <v>28</v>
      </c>
      <c r="C11" s="10"/>
      <c r="D11" s="13">
        <f t="shared" si="1"/>
        <v>0</v>
      </c>
      <c r="F11" s="131"/>
      <c r="G11" s="143"/>
      <c r="H11" s="144"/>
      <c r="I11" s="144"/>
      <c r="J11" s="145"/>
      <c r="K11" s="22"/>
      <c r="L11" s="6">
        <f>R32</f>
        <v>1125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28"/>
      <c r="B12" s="17" t="s">
        <v>30</v>
      </c>
      <c r="C12" s="10"/>
      <c r="D12" s="48">
        <f t="shared" si="1"/>
        <v>0</v>
      </c>
      <c r="F12" s="149" t="s">
        <v>33</v>
      </c>
      <c r="G12" s="150"/>
      <c r="H12" s="150"/>
      <c r="I12" s="150"/>
      <c r="J12" s="151"/>
      <c r="K12" s="23"/>
      <c r="L12" s="6">
        <f>R34</f>
        <v>952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28"/>
      <c r="B13" s="17" t="s">
        <v>32</v>
      </c>
      <c r="C13" s="10">
        <v>12</v>
      </c>
      <c r="D13" s="48">
        <f t="shared" si="1"/>
        <v>3684</v>
      </c>
      <c r="F13" s="152" t="s">
        <v>36</v>
      </c>
      <c r="G13" s="153"/>
      <c r="H13" s="154">
        <f>D29</f>
        <v>218610</v>
      </c>
      <c r="I13" s="155"/>
      <c r="J13" s="156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28"/>
      <c r="B14" s="14" t="s">
        <v>35</v>
      </c>
      <c r="C14" s="10">
        <v>7</v>
      </c>
      <c r="D14" s="31">
        <f t="shared" si="1"/>
        <v>77</v>
      </c>
      <c r="F14" s="157" t="s">
        <v>39</v>
      </c>
      <c r="G14" s="158"/>
      <c r="H14" s="159">
        <f>D54</f>
        <v>20649</v>
      </c>
      <c r="I14" s="160"/>
      <c r="J14" s="161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28"/>
      <c r="B15" s="14" t="s">
        <v>38</v>
      </c>
      <c r="C15" s="10"/>
      <c r="D15" s="31">
        <f t="shared" si="1"/>
        <v>0</v>
      </c>
      <c r="F15" s="162" t="s">
        <v>40</v>
      </c>
      <c r="G15" s="153"/>
      <c r="H15" s="163">
        <f>H13-H14</f>
        <v>197961</v>
      </c>
      <c r="I15" s="164"/>
      <c r="J15" s="165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28"/>
      <c r="B16" s="18" t="s">
        <v>94</v>
      </c>
      <c r="C16" s="10"/>
      <c r="D16" s="48">
        <f t="shared" si="1"/>
        <v>0</v>
      </c>
      <c r="F16" s="67" t="s">
        <v>42</v>
      </c>
      <c r="G16" s="66" t="s">
        <v>43</v>
      </c>
      <c r="H16" s="166">
        <f>960+402+282</f>
        <v>1644</v>
      </c>
      <c r="I16" s="166"/>
      <c r="J16" s="166"/>
      <c r="L16" s="6">
        <f>R28</f>
        <v>1567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28"/>
      <c r="B17" t="s">
        <v>113</v>
      </c>
      <c r="C17" s="10"/>
      <c r="D17" s="48">
        <f t="shared" si="1"/>
        <v>0</v>
      </c>
      <c r="F17" s="56"/>
      <c r="G17" s="66" t="s">
        <v>45</v>
      </c>
      <c r="H17" s="139"/>
      <c r="I17" s="139"/>
      <c r="J17" s="139"/>
      <c r="L17" s="6">
        <v>1582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28"/>
      <c r="B18" s="19" t="s">
        <v>95</v>
      </c>
      <c r="C18" s="10"/>
      <c r="D18" s="48">
        <f t="shared" si="1"/>
        <v>0</v>
      </c>
      <c r="F18" s="56"/>
      <c r="G18" s="66" t="s">
        <v>47</v>
      </c>
      <c r="H18" s="139"/>
      <c r="I18" s="139"/>
      <c r="J18" s="139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28"/>
      <c r="B19" s="14" t="s">
        <v>117</v>
      </c>
      <c r="C19" s="10"/>
      <c r="D19" s="48">
        <f t="shared" si="1"/>
        <v>0</v>
      </c>
      <c r="F19" s="56"/>
      <c r="G19" s="68" t="s">
        <v>50</v>
      </c>
      <c r="H19" s="253">
        <f>50+50</f>
        <v>100</v>
      </c>
      <c r="I19" s="253"/>
      <c r="J19" s="253"/>
      <c r="L19" s="6">
        <f>R35</f>
        <v>1102</v>
      </c>
      <c r="Q19" s="4"/>
      <c r="R19" s="5">
        <f t="shared" si="0"/>
        <v>0</v>
      </c>
    </row>
    <row r="20" spans="1:18" ht="15.75" x14ac:dyDescent="0.25">
      <c r="A20" s="128"/>
      <c r="B20" s="46" t="s">
        <v>108</v>
      </c>
      <c r="C20" s="10"/>
      <c r="D20" s="13">
        <f t="shared" si="1"/>
        <v>0</v>
      </c>
      <c r="F20" s="57"/>
      <c r="G20" s="70" t="s">
        <v>120</v>
      </c>
      <c r="H20" s="166"/>
      <c r="I20" s="166"/>
      <c r="J20" s="166"/>
      <c r="L20" s="6">
        <f>1102</f>
        <v>1102</v>
      </c>
      <c r="N20" s="1" t="s">
        <v>41</v>
      </c>
      <c r="Q20" s="4"/>
      <c r="R20" s="5">
        <f t="shared" si="0"/>
        <v>0</v>
      </c>
    </row>
    <row r="21" spans="1:18" ht="15.75" x14ac:dyDescent="0.25">
      <c r="A21" s="128"/>
      <c r="B21" s="14" t="s">
        <v>126</v>
      </c>
      <c r="C21" s="10"/>
      <c r="D21" s="48">
        <f t="shared" si="1"/>
        <v>0</v>
      </c>
      <c r="F21" s="69" t="s">
        <v>99</v>
      </c>
      <c r="G21" s="82" t="s">
        <v>98</v>
      </c>
      <c r="H21" s="186" t="s">
        <v>13</v>
      </c>
      <c r="I21" s="187"/>
      <c r="J21" s="188"/>
      <c r="L21" s="7">
        <v>650</v>
      </c>
      <c r="O21" t="s">
        <v>44</v>
      </c>
      <c r="P21" s="4">
        <v>1447</v>
      </c>
      <c r="Q21" s="4">
        <v>120</v>
      </c>
      <c r="R21" s="5">
        <f t="shared" si="0"/>
        <v>1567</v>
      </c>
    </row>
    <row r="22" spans="1:18" ht="15.75" x14ac:dyDescent="0.25">
      <c r="A22" s="128"/>
      <c r="B22" s="46" t="s">
        <v>104</v>
      </c>
      <c r="C22" s="10"/>
      <c r="D22" s="48">
        <f t="shared" si="1"/>
        <v>0</v>
      </c>
      <c r="F22" s="77"/>
      <c r="G22" s="73"/>
      <c r="H22" s="189"/>
      <c r="I22" s="189"/>
      <c r="J22" s="189"/>
      <c r="L22" s="7">
        <f>559+111</f>
        <v>670</v>
      </c>
      <c r="O22" t="s">
        <v>46</v>
      </c>
      <c r="P22" s="4">
        <v>1582</v>
      </c>
      <c r="Q22" s="4"/>
      <c r="R22" s="5">
        <f t="shared" si="0"/>
        <v>1582</v>
      </c>
    </row>
    <row r="23" spans="1:18" ht="15.75" x14ac:dyDescent="0.25">
      <c r="A23" s="128"/>
      <c r="B23" s="14" t="s">
        <v>107</v>
      </c>
      <c r="C23" s="10"/>
      <c r="D23" s="48">
        <f t="shared" si="1"/>
        <v>0</v>
      </c>
      <c r="F23" s="78"/>
      <c r="G23" s="79"/>
      <c r="H23" s="190"/>
      <c r="I23" s="191"/>
      <c r="J23" s="191"/>
      <c r="L23" s="47">
        <f>R33</f>
        <v>1175</v>
      </c>
      <c r="N23" s="1"/>
      <c r="O23" t="s">
        <v>48</v>
      </c>
      <c r="P23" s="4">
        <v>1728</v>
      </c>
      <c r="Q23" s="4"/>
      <c r="R23" s="5">
        <f t="shared" si="0"/>
        <v>1728</v>
      </c>
    </row>
    <row r="24" spans="1:18" ht="15.75" x14ac:dyDescent="0.25">
      <c r="A24" s="128"/>
      <c r="B24" s="14" t="s">
        <v>101</v>
      </c>
      <c r="C24" s="10"/>
      <c r="D24" s="48">
        <f t="shared" si="1"/>
        <v>0</v>
      </c>
      <c r="F24" s="38"/>
      <c r="G24" s="37"/>
      <c r="H24" s="190"/>
      <c r="I24" s="191"/>
      <c r="J24" s="191"/>
      <c r="L24" s="47">
        <v>1667</v>
      </c>
      <c r="N24" s="1"/>
      <c r="O24" t="s">
        <v>49</v>
      </c>
      <c r="P24" s="4">
        <v>1728</v>
      </c>
      <c r="Q24" s="4"/>
      <c r="R24" s="5">
        <f t="shared" si="0"/>
        <v>1728</v>
      </c>
    </row>
    <row r="25" spans="1:18" ht="15.75" x14ac:dyDescent="0.25">
      <c r="A25" s="128"/>
      <c r="B25" s="14" t="s">
        <v>116</v>
      </c>
      <c r="C25" s="10"/>
      <c r="D25" s="48">
        <f t="shared" si="1"/>
        <v>0</v>
      </c>
      <c r="F25" s="60" t="s">
        <v>100</v>
      </c>
      <c r="G25" s="55" t="s">
        <v>98</v>
      </c>
      <c r="H25" s="192" t="s">
        <v>13</v>
      </c>
      <c r="I25" s="193"/>
      <c r="J25" s="194"/>
      <c r="L25" s="47">
        <f>1582</f>
        <v>1582</v>
      </c>
      <c r="O25" t="s">
        <v>51</v>
      </c>
      <c r="P25" s="4">
        <v>1582</v>
      </c>
      <c r="Q25" s="4"/>
      <c r="R25" s="5">
        <f t="shared" si="0"/>
        <v>1582</v>
      </c>
    </row>
    <row r="26" spans="1:18" ht="15.75" x14ac:dyDescent="0.25">
      <c r="A26" s="128"/>
      <c r="B26" s="14" t="s">
        <v>105</v>
      </c>
      <c r="C26" s="10"/>
      <c r="D26" s="48">
        <f t="shared" si="1"/>
        <v>0</v>
      </c>
      <c r="F26" s="64"/>
      <c r="G26" s="59"/>
      <c r="H26" s="195"/>
      <c r="I26" s="196"/>
      <c r="J26" s="197"/>
      <c r="L26" s="7">
        <f>832/24+1.5</f>
        <v>36.166666666666664</v>
      </c>
      <c r="O26" t="s">
        <v>52</v>
      </c>
      <c r="P26" s="4">
        <v>1447</v>
      </c>
      <c r="Q26" s="4">
        <v>120</v>
      </c>
      <c r="R26" s="5">
        <f t="shared" si="0"/>
        <v>1567</v>
      </c>
    </row>
    <row r="27" spans="1:18" ht="14.45" customHeight="1" x14ac:dyDescent="0.25">
      <c r="A27" s="128"/>
      <c r="B27" s="14" t="s">
        <v>109</v>
      </c>
      <c r="C27" s="10"/>
      <c r="D27" s="44">
        <f t="shared" si="1"/>
        <v>0</v>
      </c>
      <c r="F27" s="25"/>
      <c r="G27" s="80"/>
      <c r="H27" s="198"/>
      <c r="I27" s="199"/>
      <c r="J27" s="200"/>
      <c r="L27" s="7">
        <v>1582</v>
      </c>
      <c r="O27" t="s">
        <v>53</v>
      </c>
      <c r="P27" s="4">
        <v>1582</v>
      </c>
      <c r="Q27" s="4"/>
      <c r="R27" s="5">
        <f t="shared" si="0"/>
        <v>1582</v>
      </c>
    </row>
    <row r="28" spans="1:18" ht="15.75" x14ac:dyDescent="0.25">
      <c r="A28" s="129"/>
      <c r="B28" s="46" t="s">
        <v>97</v>
      </c>
      <c r="C28" s="10"/>
      <c r="D28" s="48">
        <f t="shared" si="1"/>
        <v>0</v>
      </c>
      <c r="F28" s="101"/>
      <c r="G28" s="61"/>
      <c r="H28" s="201"/>
      <c r="I28" s="202"/>
      <c r="J28" s="203"/>
      <c r="L28" s="7">
        <v>785</v>
      </c>
      <c r="O28" t="s">
        <v>54</v>
      </c>
      <c r="P28" s="4">
        <v>1447</v>
      </c>
      <c r="Q28" s="4">
        <v>120</v>
      </c>
      <c r="R28" s="5">
        <f t="shared" si="0"/>
        <v>1567</v>
      </c>
    </row>
    <row r="29" spans="1:18" x14ac:dyDescent="0.25">
      <c r="A29" s="167" t="s">
        <v>36</v>
      </c>
      <c r="B29" s="168"/>
      <c r="C29" s="169"/>
      <c r="D29" s="173">
        <f>SUM(D6:D28)</f>
        <v>218610</v>
      </c>
      <c r="F29" s="175" t="s">
        <v>55</v>
      </c>
      <c r="G29" s="176"/>
      <c r="H29" s="179">
        <f>H15-H16-H17-H18-H19-H20-H22-H23-H24+H26+H27</f>
        <v>196217</v>
      </c>
      <c r="I29" s="180"/>
      <c r="J29" s="181"/>
      <c r="O29" t="s">
        <v>56</v>
      </c>
      <c r="P29" s="4">
        <v>1582</v>
      </c>
      <c r="Q29" s="4"/>
      <c r="R29" s="5">
        <f t="shared" si="0"/>
        <v>1582</v>
      </c>
    </row>
    <row r="30" spans="1:18" x14ac:dyDescent="0.25">
      <c r="A30" s="170"/>
      <c r="B30" s="171"/>
      <c r="C30" s="172"/>
      <c r="D30" s="174"/>
      <c r="F30" s="177"/>
      <c r="G30" s="178"/>
      <c r="H30" s="182"/>
      <c r="I30" s="183"/>
      <c r="J30" s="184"/>
      <c r="N30" s="1"/>
      <c r="Q30" s="4"/>
      <c r="R30" s="5">
        <f t="shared" si="0"/>
        <v>0</v>
      </c>
    </row>
    <row r="31" spans="1:18" x14ac:dyDescent="0.25">
      <c r="A31" s="24"/>
      <c r="B31" s="24"/>
      <c r="C31" s="24"/>
      <c r="D31" s="24"/>
      <c r="F31" s="24"/>
      <c r="G31" s="24"/>
      <c r="O31" t="s">
        <v>57</v>
      </c>
      <c r="P31" s="4">
        <v>1052</v>
      </c>
      <c r="Q31" s="4">
        <v>120</v>
      </c>
      <c r="R31" s="5">
        <f t="shared" si="0"/>
        <v>1172</v>
      </c>
    </row>
    <row r="32" spans="1:18" x14ac:dyDescent="0.25">
      <c r="A32" s="114" t="s">
        <v>58</v>
      </c>
      <c r="B32" s="115"/>
      <c r="C32" s="115"/>
      <c r="D32" s="116"/>
      <c r="F32" s="204" t="s">
        <v>59</v>
      </c>
      <c r="G32" s="205"/>
      <c r="H32" s="205"/>
      <c r="I32" s="205"/>
      <c r="J32" s="206"/>
      <c r="O32" t="s">
        <v>60</v>
      </c>
      <c r="P32" s="4">
        <v>1005</v>
      </c>
      <c r="Q32" s="4">
        <v>120</v>
      </c>
      <c r="R32" s="5">
        <f t="shared" si="0"/>
        <v>1125</v>
      </c>
    </row>
    <row r="33" spans="1:18" x14ac:dyDescent="0.25">
      <c r="A33" s="25"/>
      <c r="B33" s="25" t="s">
        <v>11</v>
      </c>
      <c r="C33" s="25" t="s">
        <v>61</v>
      </c>
      <c r="D33" s="25" t="s">
        <v>13</v>
      </c>
      <c r="F33" s="25" t="s">
        <v>62</v>
      </c>
      <c r="G33" s="102" t="s">
        <v>63</v>
      </c>
      <c r="H33" s="204" t="s">
        <v>13</v>
      </c>
      <c r="I33" s="205"/>
      <c r="J33" s="206"/>
      <c r="O33" t="s">
        <v>64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27" t="s">
        <v>65</v>
      </c>
      <c r="B34" s="26" t="s">
        <v>66</v>
      </c>
      <c r="C34" s="51"/>
      <c r="D34" s="30">
        <f>C34*120</f>
        <v>0</v>
      </c>
      <c r="F34" s="12">
        <v>1000</v>
      </c>
      <c r="G34" s="74">
        <v>180</v>
      </c>
      <c r="H34" s="207">
        <f>F34*G34</f>
        <v>180000</v>
      </c>
      <c r="I34" s="208"/>
      <c r="J34" s="209"/>
      <c r="O34" t="s">
        <v>67</v>
      </c>
      <c r="P34" s="4">
        <v>832</v>
      </c>
      <c r="Q34" s="4">
        <v>120</v>
      </c>
      <c r="R34" s="5">
        <f t="shared" si="0"/>
        <v>952</v>
      </c>
    </row>
    <row r="35" spans="1:18" ht="15.75" x14ac:dyDescent="0.25">
      <c r="A35" s="128"/>
      <c r="B35" s="27" t="s">
        <v>68</v>
      </c>
      <c r="C35" s="52">
        <v>1</v>
      </c>
      <c r="D35" s="30">
        <f>C35*84</f>
        <v>84</v>
      </c>
      <c r="F35" s="58">
        <v>500</v>
      </c>
      <c r="G35" s="41">
        <v>3</v>
      </c>
      <c r="H35" s="207">
        <f>F35*G35</f>
        <v>1500</v>
      </c>
      <c r="I35" s="208"/>
      <c r="J35" s="209"/>
      <c r="O35" t="s">
        <v>69</v>
      </c>
      <c r="P35" s="4">
        <v>1102</v>
      </c>
      <c r="Q35" s="4"/>
      <c r="R35" s="5">
        <f t="shared" si="0"/>
        <v>1102</v>
      </c>
    </row>
    <row r="36" spans="1:18" ht="15.75" x14ac:dyDescent="0.25">
      <c r="A36" s="129"/>
      <c r="B36" s="26" t="s">
        <v>70</v>
      </c>
      <c r="C36" s="10"/>
      <c r="D36" s="12">
        <f>C36*1.5</f>
        <v>0</v>
      </c>
      <c r="F36" s="12">
        <v>200</v>
      </c>
      <c r="G36" s="37">
        <v>4</v>
      </c>
      <c r="H36" s="207">
        <f t="shared" ref="H36:H39" si="2">F36*G36</f>
        <v>800</v>
      </c>
      <c r="I36" s="208"/>
      <c r="J36" s="209"/>
      <c r="O36" t="s">
        <v>71</v>
      </c>
      <c r="P36" s="4">
        <v>852</v>
      </c>
      <c r="Q36" s="4">
        <v>120</v>
      </c>
      <c r="R36" s="5">
        <f t="shared" si="0"/>
        <v>972</v>
      </c>
    </row>
    <row r="37" spans="1:18" ht="15.75" x14ac:dyDescent="0.25">
      <c r="A37" s="127" t="s">
        <v>72</v>
      </c>
      <c r="B37" s="28" t="s">
        <v>66</v>
      </c>
      <c r="C37" s="53">
        <v>166</v>
      </c>
      <c r="D37" s="12">
        <f>C37*111</f>
        <v>18426</v>
      </c>
      <c r="F37" s="12">
        <v>100</v>
      </c>
      <c r="G37" s="39">
        <v>106</v>
      </c>
      <c r="H37" s="207">
        <f t="shared" si="2"/>
        <v>10600</v>
      </c>
      <c r="I37" s="208"/>
      <c r="J37" s="209"/>
      <c r="O37" t="s">
        <v>73</v>
      </c>
      <c r="P37" s="4">
        <v>1020</v>
      </c>
      <c r="Q37" s="4">
        <v>120</v>
      </c>
      <c r="R37" s="5">
        <f t="shared" si="0"/>
        <v>1140</v>
      </c>
    </row>
    <row r="38" spans="1:18" ht="15.75" x14ac:dyDescent="0.25">
      <c r="A38" s="128"/>
      <c r="B38" s="29" t="s">
        <v>68</v>
      </c>
      <c r="C38" s="54">
        <v>4</v>
      </c>
      <c r="D38" s="12">
        <f>C38*84</f>
        <v>336</v>
      </c>
      <c r="F38" s="30">
        <v>50</v>
      </c>
      <c r="G38" s="39">
        <v>61</v>
      </c>
      <c r="H38" s="207">
        <f t="shared" si="2"/>
        <v>3050</v>
      </c>
      <c r="I38" s="208"/>
      <c r="J38" s="209"/>
      <c r="O38" t="s">
        <v>74</v>
      </c>
      <c r="P38" s="4">
        <v>596</v>
      </c>
      <c r="Q38" s="4">
        <v>111</v>
      </c>
      <c r="R38" s="5">
        <f t="shared" si="0"/>
        <v>707</v>
      </c>
    </row>
    <row r="39" spans="1:18" ht="15.75" x14ac:dyDescent="0.25">
      <c r="A39" s="129"/>
      <c r="B39" s="29" t="s">
        <v>70</v>
      </c>
      <c r="C39" s="52">
        <v>3</v>
      </c>
      <c r="D39" s="31">
        <f>C39*4.5</f>
        <v>13.5</v>
      </c>
      <c r="F39" s="12">
        <v>20</v>
      </c>
      <c r="G39" s="37">
        <v>1</v>
      </c>
      <c r="H39" s="207">
        <f t="shared" si="2"/>
        <v>20</v>
      </c>
      <c r="I39" s="208"/>
      <c r="J39" s="209"/>
      <c r="O39" t="s">
        <v>75</v>
      </c>
      <c r="P39" s="4">
        <v>1175</v>
      </c>
      <c r="Q39" s="4"/>
      <c r="R39" s="5">
        <f t="shared" si="0"/>
        <v>1175</v>
      </c>
    </row>
    <row r="40" spans="1:18" ht="15.75" x14ac:dyDescent="0.25">
      <c r="A40" s="127" t="s">
        <v>76</v>
      </c>
      <c r="B40" s="27" t="s">
        <v>66</v>
      </c>
      <c r="C40" s="63">
        <v>9</v>
      </c>
      <c r="D40" s="12">
        <f>C40*111</f>
        <v>999</v>
      </c>
      <c r="F40" s="12">
        <v>10</v>
      </c>
      <c r="G40" s="42"/>
      <c r="H40" s="207"/>
      <c r="I40" s="208"/>
      <c r="J40" s="209"/>
      <c r="O40" t="s">
        <v>77</v>
      </c>
      <c r="P40" s="4">
        <v>913</v>
      </c>
      <c r="Q40" s="4">
        <v>120</v>
      </c>
      <c r="R40" s="5">
        <f t="shared" si="0"/>
        <v>1033</v>
      </c>
    </row>
    <row r="41" spans="1:18" ht="15.75" x14ac:dyDescent="0.25">
      <c r="A41" s="128"/>
      <c r="B41" s="27" t="s">
        <v>68</v>
      </c>
      <c r="C41" s="10">
        <v>1</v>
      </c>
      <c r="D41" s="12">
        <f>C41*84</f>
        <v>84</v>
      </c>
      <c r="F41" s="12">
        <v>5</v>
      </c>
      <c r="G41" s="42"/>
      <c r="H41" s="207"/>
      <c r="I41" s="208"/>
      <c r="J41" s="209"/>
      <c r="K41" s="21"/>
      <c r="O41" t="s">
        <v>78</v>
      </c>
      <c r="P41" s="4">
        <v>614</v>
      </c>
      <c r="Q41" s="4">
        <v>111</v>
      </c>
      <c r="R41" s="5">
        <f t="shared" si="0"/>
        <v>725</v>
      </c>
    </row>
    <row r="42" spans="1:18" ht="15.75" x14ac:dyDescent="0.25">
      <c r="A42" s="129"/>
      <c r="B42" s="27" t="s">
        <v>70</v>
      </c>
      <c r="C42" s="11">
        <v>6</v>
      </c>
      <c r="D42" s="12">
        <f>C42*2.25</f>
        <v>13.5</v>
      </c>
      <c r="F42" s="39" t="s">
        <v>79</v>
      </c>
      <c r="G42" s="207">
        <v>73</v>
      </c>
      <c r="H42" s="208"/>
      <c r="I42" s="208"/>
      <c r="J42" s="209"/>
      <c r="K42" s="36"/>
      <c r="O42" t="s">
        <v>80</v>
      </c>
      <c r="P42" s="4">
        <v>626</v>
      </c>
      <c r="Q42" s="4">
        <v>111</v>
      </c>
      <c r="R42" s="5">
        <f t="shared" si="0"/>
        <v>737</v>
      </c>
    </row>
    <row r="43" spans="1:18" ht="15.75" x14ac:dyDescent="0.25">
      <c r="A43" s="210" t="s">
        <v>81</v>
      </c>
      <c r="C43" s="11"/>
      <c r="D43" s="12"/>
      <c r="F43" s="59" t="s">
        <v>82</v>
      </c>
      <c r="G43" s="104" t="s">
        <v>83</v>
      </c>
      <c r="H43" s="213" t="s">
        <v>13</v>
      </c>
      <c r="I43" s="214"/>
      <c r="J43" s="215"/>
      <c r="K43" s="21"/>
      <c r="P43" s="4"/>
      <c r="Q43" s="4"/>
      <c r="R43" s="5"/>
    </row>
    <row r="44" spans="1:18" ht="15.75" x14ac:dyDescent="0.25">
      <c r="A44" s="211"/>
      <c r="B44" s="27" t="s">
        <v>66</v>
      </c>
      <c r="C44" s="10">
        <v>1</v>
      </c>
      <c r="D44" s="12">
        <f>C44*120</f>
        <v>120</v>
      </c>
      <c r="F44" s="37"/>
      <c r="G44" s="76"/>
      <c r="H44" s="191"/>
      <c r="I44" s="191"/>
      <c r="J44" s="191"/>
      <c r="K44" s="21"/>
      <c r="P44" s="4"/>
      <c r="Q44" s="4"/>
      <c r="R44" s="5"/>
    </row>
    <row r="45" spans="1:18" ht="15.75" x14ac:dyDescent="0.25">
      <c r="A45" s="211"/>
      <c r="B45" s="27" t="s">
        <v>68</v>
      </c>
      <c r="C45" s="33"/>
      <c r="D45" s="12">
        <f>C45*84</f>
        <v>0</v>
      </c>
      <c r="F45" s="37"/>
      <c r="G45" s="76"/>
      <c r="H45" s="191"/>
      <c r="I45" s="191"/>
      <c r="J45" s="191"/>
      <c r="K45" s="21"/>
      <c r="P45" s="4"/>
      <c r="Q45" s="4"/>
      <c r="R45" s="5"/>
    </row>
    <row r="46" spans="1:18" ht="15.75" x14ac:dyDescent="0.25">
      <c r="A46" s="211"/>
      <c r="B46" s="49" t="s">
        <v>70</v>
      </c>
      <c r="C46" s="81">
        <v>1</v>
      </c>
      <c r="D46" s="12">
        <f>C46*1.5</f>
        <v>1.5</v>
      </c>
      <c r="F46" s="37"/>
      <c r="G46" s="62"/>
      <c r="H46" s="216"/>
      <c r="I46" s="216"/>
      <c r="J46" s="216"/>
      <c r="K46" s="21"/>
      <c r="P46" s="4"/>
      <c r="Q46" s="4"/>
      <c r="R46" s="5"/>
    </row>
    <row r="47" spans="1:18" ht="15.75" x14ac:dyDescent="0.25">
      <c r="A47" s="212"/>
      <c r="B47" s="27"/>
      <c r="C47" s="11"/>
      <c r="D47" s="12"/>
      <c r="F47" s="59"/>
      <c r="G47" s="59"/>
      <c r="H47" s="217"/>
      <c r="I47" s="218"/>
      <c r="J47" s="219"/>
      <c r="K47" s="21"/>
      <c r="P47" s="4"/>
      <c r="Q47" s="4"/>
      <c r="R47" s="5"/>
    </row>
    <row r="48" spans="1:18" ht="15" customHeight="1" x14ac:dyDescent="0.25">
      <c r="A48" s="210" t="s">
        <v>32</v>
      </c>
      <c r="B48" s="27" t="s">
        <v>66</v>
      </c>
      <c r="C48" s="10">
        <v>5</v>
      </c>
      <c r="D48" s="12">
        <f>C48*78</f>
        <v>390</v>
      </c>
      <c r="F48" s="59"/>
      <c r="G48" s="59"/>
      <c r="H48" s="217"/>
      <c r="I48" s="218"/>
      <c r="J48" s="219"/>
      <c r="K48" s="35"/>
      <c r="O48" t="s">
        <v>84</v>
      </c>
      <c r="P48" s="4">
        <v>1175</v>
      </c>
      <c r="Q48" s="4"/>
      <c r="R48" s="5">
        <f t="shared" si="0"/>
        <v>1175</v>
      </c>
    </row>
    <row r="49" spans="1:18" ht="15.75" x14ac:dyDescent="0.25">
      <c r="A49" s="211"/>
      <c r="B49" s="29" t="s">
        <v>68</v>
      </c>
      <c r="C49" s="33">
        <v>4</v>
      </c>
      <c r="D49" s="12">
        <f>C49*42</f>
        <v>168</v>
      </c>
      <c r="F49" s="232" t="s">
        <v>86</v>
      </c>
      <c r="G49" s="179">
        <f>H34+H35+H36+H37+H38+H39+H40+H41+G42+H44+H45+H46</f>
        <v>196043</v>
      </c>
      <c r="H49" s="180"/>
      <c r="I49" s="180"/>
      <c r="J49" s="181"/>
      <c r="O49" t="s">
        <v>85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211"/>
      <c r="B50" s="32" t="s">
        <v>70</v>
      </c>
      <c r="C50" s="11">
        <v>9</v>
      </c>
      <c r="D50" s="12">
        <f>C50*1.5</f>
        <v>13.5</v>
      </c>
      <c r="F50" s="233"/>
      <c r="G50" s="182"/>
      <c r="H50" s="183"/>
      <c r="I50" s="183"/>
      <c r="J50" s="184"/>
      <c r="P50" s="4"/>
      <c r="Q50" s="4"/>
      <c r="R50" s="5"/>
    </row>
    <row r="51" spans="1:18" ht="15" customHeight="1" x14ac:dyDescent="0.25">
      <c r="A51" s="211"/>
      <c r="B51" s="27"/>
      <c r="C51" s="10"/>
      <c r="D51" s="31"/>
      <c r="F51" s="234" t="s">
        <v>142</v>
      </c>
      <c r="G51" s="247">
        <f>G49-H29</f>
        <v>-174</v>
      </c>
      <c r="H51" s="248"/>
      <c r="I51" s="248"/>
      <c r="J51" s="249"/>
      <c r="K51" s="21"/>
      <c r="O51" t="s">
        <v>87</v>
      </c>
      <c r="P51" s="4">
        <v>703</v>
      </c>
      <c r="Q51" s="4">
        <v>120</v>
      </c>
      <c r="R51" s="5">
        <f t="shared" si="0"/>
        <v>823</v>
      </c>
    </row>
    <row r="52" spans="1:18" ht="15.75" x14ac:dyDescent="0.25">
      <c r="A52" s="211"/>
      <c r="B52" s="29"/>
      <c r="C52" s="33"/>
      <c r="D52" s="45"/>
      <c r="F52" s="235"/>
      <c r="G52" s="250"/>
      <c r="H52" s="251"/>
      <c r="I52" s="251"/>
      <c r="J52" s="252"/>
      <c r="K52" s="21"/>
      <c r="O52" t="s">
        <v>88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212"/>
      <c r="B53" s="32"/>
      <c r="C53" s="11"/>
      <c r="D53" s="12"/>
      <c r="F53" s="35"/>
      <c r="G53" s="24"/>
      <c r="H53" s="24"/>
      <c r="I53" s="24"/>
      <c r="J53" s="17"/>
      <c r="N53" s="1"/>
      <c r="O53" t="s">
        <v>89</v>
      </c>
      <c r="P53" s="4">
        <v>1142</v>
      </c>
    </row>
    <row r="54" spans="1:18" x14ac:dyDescent="0.25">
      <c r="A54" s="175" t="s">
        <v>90</v>
      </c>
      <c r="B54" s="220"/>
      <c r="C54" s="221"/>
      <c r="D54" s="224">
        <f>SUM(D34:D53)</f>
        <v>20649</v>
      </c>
      <c r="F54" s="21"/>
      <c r="J54" s="34"/>
    </row>
    <row r="55" spans="1:18" x14ac:dyDescent="0.25">
      <c r="A55" s="177"/>
      <c r="B55" s="222"/>
      <c r="C55" s="223"/>
      <c r="D55" s="225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118</v>
      </c>
      <c r="D57" s="34"/>
      <c r="F57" s="36"/>
      <c r="G57" s="50"/>
      <c r="H57" s="50"/>
      <c r="I57" s="50"/>
      <c r="J57" s="43"/>
    </row>
    <row r="58" spans="1:18" x14ac:dyDescent="0.25">
      <c r="A58" s="226" t="s">
        <v>91</v>
      </c>
      <c r="B58" s="227"/>
      <c r="C58" s="227"/>
      <c r="D58" s="228"/>
      <c r="F58" s="226" t="s">
        <v>92</v>
      </c>
      <c r="G58" s="227"/>
      <c r="H58" s="227"/>
      <c r="I58" s="227"/>
      <c r="J58" s="228"/>
    </row>
    <row r="59" spans="1:18" x14ac:dyDescent="0.25">
      <c r="A59" s="229"/>
      <c r="B59" s="230"/>
      <c r="C59" s="230"/>
      <c r="D59" s="231"/>
      <c r="F59" s="229"/>
      <c r="G59" s="230"/>
      <c r="H59" s="230"/>
      <c r="I59" s="230"/>
      <c r="J59" s="231"/>
    </row>
  </sheetData>
  <mergeCells count="68"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  <mergeCell ref="H13:J13"/>
    <mergeCell ref="F14:G14"/>
    <mergeCell ref="H14:J14"/>
    <mergeCell ref="F15:G15"/>
    <mergeCell ref="H15:J15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A32:D32"/>
    <mergeCell ref="F32:J32"/>
    <mergeCell ref="H33:J33"/>
    <mergeCell ref="A34:A36"/>
    <mergeCell ref="H34:J34"/>
    <mergeCell ref="H35:J35"/>
    <mergeCell ref="H36:J36"/>
    <mergeCell ref="A37:A39"/>
    <mergeCell ref="H37:J37"/>
    <mergeCell ref="H38:J38"/>
    <mergeCell ref="H39:J39"/>
    <mergeCell ref="A40:A42"/>
    <mergeCell ref="H40:J40"/>
    <mergeCell ref="H41:J41"/>
    <mergeCell ref="G42:J42"/>
    <mergeCell ref="A43:A47"/>
    <mergeCell ref="H43:J43"/>
    <mergeCell ref="H44:J44"/>
    <mergeCell ref="H45:J45"/>
    <mergeCell ref="H46:J46"/>
    <mergeCell ref="H47:J47"/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3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6B4C9E6-31EF-4A0D-9F45-992573134900}">
  <dimension ref="A1:S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9" x14ac:dyDescent="0.25">
      <c r="A1" t="s">
        <v>0</v>
      </c>
      <c r="N1" s="113" t="s">
        <v>1</v>
      </c>
      <c r="O1" s="113"/>
      <c r="P1" s="100" t="s">
        <v>2</v>
      </c>
      <c r="Q1" s="100" t="s">
        <v>3</v>
      </c>
      <c r="R1" s="2" t="s">
        <v>4</v>
      </c>
    </row>
    <row r="2" spans="1:19" x14ac:dyDescent="0.25">
      <c r="A2" t="s">
        <v>5</v>
      </c>
      <c r="N2" s="1"/>
    </row>
    <row r="3" spans="1:19" x14ac:dyDescent="0.25">
      <c r="N3" s="1" t="s">
        <v>6</v>
      </c>
      <c r="O3" s="4"/>
    </row>
    <row r="4" spans="1:19" x14ac:dyDescent="0.25">
      <c r="A4" s="114" t="s">
        <v>7</v>
      </c>
      <c r="B4" s="115"/>
      <c r="C4" s="115"/>
      <c r="D4" s="116"/>
      <c r="F4" s="117" t="s">
        <v>8</v>
      </c>
      <c r="G4" s="119"/>
      <c r="H4" s="121" t="s">
        <v>9</v>
      </c>
      <c r="I4" s="123"/>
      <c r="J4" s="124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9" x14ac:dyDescent="0.25">
      <c r="A5" s="127" t="s">
        <v>7</v>
      </c>
      <c r="B5" s="15" t="s">
        <v>11</v>
      </c>
      <c r="C5" s="9" t="s">
        <v>12</v>
      </c>
      <c r="D5" s="25" t="s">
        <v>13</v>
      </c>
      <c r="F5" s="118"/>
      <c r="G5" s="120"/>
      <c r="H5" s="122"/>
      <c r="I5" s="125"/>
      <c r="J5" s="126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9" ht="14.45" customHeight="1" x14ac:dyDescent="0.25">
      <c r="A6" s="128"/>
      <c r="B6" s="16"/>
      <c r="C6" s="10"/>
      <c r="D6" s="13">
        <f t="shared" ref="D6:D28" si="1">C6*L6</f>
        <v>0</v>
      </c>
      <c r="F6" s="130" t="s">
        <v>16</v>
      </c>
      <c r="G6" s="132"/>
      <c r="H6" s="133"/>
      <c r="I6" s="133"/>
      <c r="J6" s="134"/>
      <c r="K6" s="8"/>
      <c r="L6" s="6">
        <f>R42</f>
        <v>737</v>
      </c>
      <c r="O6" t="s">
        <v>17</v>
      </c>
      <c r="P6" s="4">
        <v>650</v>
      </c>
      <c r="Q6" s="4"/>
      <c r="R6" s="5">
        <f t="shared" si="0"/>
        <v>650</v>
      </c>
    </row>
    <row r="7" spans="1:19" ht="14.45" customHeight="1" x14ac:dyDescent="0.25">
      <c r="A7" s="128"/>
      <c r="B7" s="16"/>
      <c r="C7" s="10"/>
      <c r="D7" s="13">
        <f t="shared" si="1"/>
        <v>0</v>
      </c>
      <c r="F7" s="131"/>
      <c r="G7" s="135"/>
      <c r="H7" s="136"/>
      <c r="I7" s="136"/>
      <c r="J7" s="137"/>
      <c r="K7" s="8"/>
      <c r="L7" s="6">
        <f>R41</f>
        <v>725</v>
      </c>
      <c r="P7" s="4"/>
      <c r="Q7" s="4"/>
      <c r="R7" s="5"/>
    </row>
    <row r="8" spans="1:19" ht="14.45" customHeight="1" x14ac:dyDescent="0.25">
      <c r="A8" s="128"/>
      <c r="B8" s="16"/>
      <c r="C8" s="10"/>
      <c r="D8" s="13">
        <f t="shared" si="1"/>
        <v>0</v>
      </c>
      <c r="F8" s="138" t="s">
        <v>21</v>
      </c>
      <c r="G8" s="140"/>
      <c r="H8" s="141"/>
      <c r="I8" s="141"/>
      <c r="J8" s="142"/>
      <c r="K8" s="8"/>
      <c r="L8" s="6">
        <f>R40</f>
        <v>1033</v>
      </c>
      <c r="P8" s="4"/>
      <c r="Q8" s="4"/>
      <c r="R8" s="5"/>
    </row>
    <row r="9" spans="1:19" ht="14.45" customHeight="1" x14ac:dyDescent="0.25">
      <c r="A9" s="128"/>
      <c r="B9" s="16"/>
      <c r="C9" s="10"/>
      <c r="D9" s="13">
        <f t="shared" si="1"/>
        <v>0</v>
      </c>
      <c r="F9" s="131"/>
      <c r="G9" s="143"/>
      <c r="H9" s="144"/>
      <c r="I9" s="144"/>
      <c r="J9" s="145"/>
      <c r="K9" s="8"/>
      <c r="L9" s="6">
        <f>R38</f>
        <v>707</v>
      </c>
      <c r="P9" s="4"/>
      <c r="Q9" s="4"/>
      <c r="R9" s="5"/>
    </row>
    <row r="10" spans="1:19" ht="14.45" customHeight="1" x14ac:dyDescent="0.25">
      <c r="A10" s="128"/>
      <c r="C10" s="10"/>
      <c r="D10" s="13">
        <f t="shared" si="1"/>
        <v>0</v>
      </c>
      <c r="F10" s="130" t="s">
        <v>26</v>
      </c>
      <c r="G10" s="146"/>
      <c r="H10" s="147"/>
      <c r="I10" s="147"/>
      <c r="J10" s="148"/>
      <c r="K10" s="8"/>
      <c r="L10" s="6">
        <f>R36</f>
        <v>972</v>
      </c>
      <c r="P10" s="4"/>
      <c r="Q10" s="4"/>
      <c r="R10" s="5"/>
    </row>
    <row r="11" spans="1:19" ht="15.75" x14ac:dyDescent="0.25">
      <c r="A11" s="128"/>
      <c r="B11" s="17"/>
      <c r="C11" s="10"/>
      <c r="D11" s="13">
        <f t="shared" si="1"/>
        <v>0</v>
      </c>
      <c r="F11" s="131"/>
      <c r="G11" s="143"/>
      <c r="H11" s="144"/>
      <c r="I11" s="144"/>
      <c r="J11" s="145"/>
      <c r="K11" s="22"/>
      <c r="L11" s="6">
        <f>R32</f>
        <v>1125</v>
      </c>
      <c r="O11" t="s">
        <v>19</v>
      </c>
      <c r="P11" s="4">
        <v>650</v>
      </c>
      <c r="Q11" s="4"/>
      <c r="R11" s="5">
        <f t="shared" si="0"/>
        <v>650</v>
      </c>
    </row>
    <row r="12" spans="1:19" ht="15.75" x14ac:dyDescent="0.25">
      <c r="A12" s="128"/>
      <c r="B12" s="17"/>
      <c r="C12" s="10"/>
      <c r="D12" s="48">
        <f t="shared" si="1"/>
        <v>0</v>
      </c>
      <c r="F12" s="149" t="s">
        <v>33</v>
      </c>
      <c r="G12" s="150"/>
      <c r="H12" s="150"/>
      <c r="I12" s="150"/>
      <c r="J12" s="151"/>
      <c r="K12" s="23"/>
      <c r="L12" s="6">
        <f>R34</f>
        <v>952</v>
      </c>
      <c r="O12" t="s">
        <v>22</v>
      </c>
      <c r="P12" s="4">
        <v>650</v>
      </c>
      <c r="Q12" s="4"/>
      <c r="R12" s="5">
        <f t="shared" si="0"/>
        <v>650</v>
      </c>
    </row>
    <row r="13" spans="1:19" ht="15.75" x14ac:dyDescent="0.25">
      <c r="A13" s="128"/>
      <c r="B13" s="17"/>
      <c r="C13" s="10"/>
      <c r="D13" s="48">
        <f t="shared" si="1"/>
        <v>0</v>
      </c>
      <c r="F13" s="152" t="s">
        <v>36</v>
      </c>
      <c r="G13" s="153"/>
      <c r="H13" s="154">
        <f>D29</f>
        <v>0</v>
      </c>
      <c r="I13" s="155"/>
      <c r="J13" s="156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9" ht="15.75" x14ac:dyDescent="0.25">
      <c r="A14" s="128"/>
      <c r="B14" s="14"/>
      <c r="C14" s="10"/>
      <c r="D14" s="31">
        <f t="shared" si="1"/>
        <v>0</v>
      </c>
      <c r="F14" s="157" t="s">
        <v>39</v>
      </c>
      <c r="G14" s="158"/>
      <c r="H14" s="159">
        <f>D54</f>
        <v>0</v>
      </c>
      <c r="I14" s="160"/>
      <c r="J14" s="161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  <c r="S14">
        <f>205+78</f>
        <v>283</v>
      </c>
    </row>
    <row r="15" spans="1:19" ht="15.75" x14ac:dyDescent="0.25">
      <c r="A15" s="128"/>
      <c r="B15" s="14"/>
      <c r="C15" s="10"/>
      <c r="D15" s="31">
        <f t="shared" si="1"/>
        <v>0</v>
      </c>
      <c r="F15" s="162" t="s">
        <v>40</v>
      </c>
      <c r="G15" s="153"/>
      <c r="H15" s="163">
        <f>H13-H14</f>
        <v>0</v>
      </c>
      <c r="I15" s="164"/>
      <c r="J15" s="165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  <c r="S15">
        <f>229+78</f>
        <v>307</v>
      </c>
    </row>
    <row r="16" spans="1:19" ht="15.75" x14ac:dyDescent="0.25">
      <c r="A16" s="128"/>
      <c r="B16" s="18"/>
      <c r="C16" s="10"/>
      <c r="D16" s="48">
        <f t="shared" si="1"/>
        <v>0</v>
      </c>
      <c r="F16" s="67" t="s">
        <v>42</v>
      </c>
      <c r="G16" s="66" t="s">
        <v>43</v>
      </c>
      <c r="H16" s="166"/>
      <c r="I16" s="166"/>
      <c r="J16" s="166"/>
      <c r="L16" s="6">
        <f>R28</f>
        <v>1567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28"/>
      <c r="C17" s="10"/>
      <c r="D17" s="48">
        <f t="shared" si="1"/>
        <v>0</v>
      </c>
      <c r="F17" s="56"/>
      <c r="G17" s="66" t="s">
        <v>45</v>
      </c>
      <c r="H17" s="139"/>
      <c r="I17" s="139"/>
      <c r="J17" s="139"/>
      <c r="L17" s="6">
        <v>1582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28"/>
      <c r="B18" s="19"/>
      <c r="C18" s="10"/>
      <c r="D18" s="48">
        <f t="shared" si="1"/>
        <v>0</v>
      </c>
      <c r="F18" s="56"/>
      <c r="G18" s="66" t="s">
        <v>47</v>
      </c>
      <c r="H18" s="139"/>
      <c r="I18" s="139"/>
      <c r="J18" s="139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28"/>
      <c r="B19" s="14"/>
      <c r="C19" s="10"/>
      <c r="D19" s="48">
        <f t="shared" si="1"/>
        <v>0</v>
      </c>
      <c r="F19" s="56"/>
      <c r="G19" s="68" t="s">
        <v>50</v>
      </c>
      <c r="H19" s="185"/>
      <c r="I19" s="185"/>
      <c r="J19" s="185"/>
      <c r="L19" s="6">
        <f>R35</f>
        <v>1102</v>
      </c>
      <c r="Q19" s="4"/>
      <c r="R19" s="5">
        <f t="shared" si="0"/>
        <v>0</v>
      </c>
    </row>
    <row r="20" spans="1:18" ht="15.75" x14ac:dyDescent="0.25">
      <c r="A20" s="128"/>
      <c r="B20" s="46"/>
      <c r="C20" s="10"/>
      <c r="D20" s="13">
        <f t="shared" si="1"/>
        <v>0</v>
      </c>
      <c r="F20" s="57"/>
      <c r="G20" s="70" t="s">
        <v>120</v>
      </c>
      <c r="H20" s="166"/>
      <c r="I20" s="166"/>
      <c r="J20" s="166"/>
      <c r="L20" s="6">
        <f>1102</f>
        <v>1102</v>
      </c>
      <c r="N20" s="1" t="s">
        <v>41</v>
      </c>
      <c r="Q20" s="4"/>
      <c r="R20" s="5">
        <f t="shared" si="0"/>
        <v>0</v>
      </c>
    </row>
    <row r="21" spans="1:18" ht="15.75" x14ac:dyDescent="0.25">
      <c r="A21" s="128"/>
      <c r="B21" s="14"/>
      <c r="C21" s="10"/>
      <c r="D21" s="48">
        <f t="shared" si="1"/>
        <v>0</v>
      </c>
      <c r="F21" s="69" t="s">
        <v>99</v>
      </c>
      <c r="G21" s="82" t="s">
        <v>98</v>
      </c>
      <c r="H21" s="186" t="s">
        <v>13</v>
      </c>
      <c r="I21" s="187"/>
      <c r="J21" s="188"/>
      <c r="L21" s="7">
        <v>650</v>
      </c>
      <c r="O21" t="s">
        <v>44</v>
      </c>
      <c r="P21" s="4">
        <v>1447</v>
      </c>
      <c r="Q21" s="4">
        <v>120</v>
      </c>
      <c r="R21" s="5">
        <f t="shared" si="0"/>
        <v>1567</v>
      </c>
    </row>
    <row r="22" spans="1:18" ht="15.75" x14ac:dyDescent="0.25">
      <c r="A22" s="128"/>
      <c r="B22" s="46"/>
      <c r="C22" s="10"/>
      <c r="D22" s="48">
        <f t="shared" si="1"/>
        <v>0</v>
      </c>
      <c r="F22" s="77"/>
      <c r="G22" s="73"/>
      <c r="H22" s="189"/>
      <c r="I22" s="189"/>
      <c r="J22" s="189"/>
      <c r="L22" s="7">
        <f>559+111</f>
        <v>670</v>
      </c>
      <c r="O22" t="s">
        <v>46</v>
      </c>
      <c r="P22" s="4">
        <v>1582</v>
      </c>
      <c r="Q22" s="4"/>
      <c r="R22" s="5">
        <f t="shared" si="0"/>
        <v>1582</v>
      </c>
    </row>
    <row r="23" spans="1:18" ht="15.75" x14ac:dyDescent="0.25">
      <c r="A23" s="128"/>
      <c r="B23" s="14"/>
      <c r="C23" s="10"/>
      <c r="D23" s="48">
        <f t="shared" si="1"/>
        <v>0</v>
      </c>
      <c r="F23" s="78"/>
      <c r="G23" s="79"/>
      <c r="H23" s="190"/>
      <c r="I23" s="191"/>
      <c r="J23" s="191"/>
      <c r="L23" s="47">
        <f>R33</f>
        <v>1175</v>
      </c>
      <c r="N23" s="1"/>
      <c r="O23" t="s">
        <v>48</v>
      </c>
      <c r="P23" s="4">
        <v>1728</v>
      </c>
      <c r="Q23" s="4"/>
      <c r="R23" s="5">
        <f t="shared" si="0"/>
        <v>1728</v>
      </c>
    </row>
    <row r="24" spans="1:18" ht="15.75" x14ac:dyDescent="0.25">
      <c r="A24" s="128"/>
      <c r="B24" s="14"/>
      <c r="C24" s="10"/>
      <c r="D24" s="48">
        <f t="shared" si="1"/>
        <v>0</v>
      </c>
      <c r="F24" s="38"/>
      <c r="G24" s="37"/>
      <c r="H24" s="190"/>
      <c r="I24" s="191"/>
      <c r="J24" s="191"/>
      <c r="L24" s="47">
        <v>1667</v>
      </c>
      <c r="N24" s="1"/>
      <c r="O24" t="s">
        <v>49</v>
      </c>
      <c r="P24" s="4">
        <v>1728</v>
      </c>
      <c r="Q24" s="4"/>
      <c r="R24" s="5">
        <f t="shared" si="0"/>
        <v>1728</v>
      </c>
    </row>
    <row r="25" spans="1:18" ht="15.75" x14ac:dyDescent="0.25">
      <c r="A25" s="128"/>
      <c r="B25" s="14"/>
      <c r="C25" s="10"/>
      <c r="D25" s="48">
        <f t="shared" si="1"/>
        <v>0</v>
      </c>
      <c r="F25" s="60" t="s">
        <v>100</v>
      </c>
      <c r="G25" s="55" t="s">
        <v>98</v>
      </c>
      <c r="H25" s="192" t="s">
        <v>13</v>
      </c>
      <c r="I25" s="193"/>
      <c r="J25" s="194"/>
      <c r="L25" s="47">
        <f>1582</f>
        <v>1582</v>
      </c>
      <c r="O25" t="s">
        <v>51</v>
      </c>
      <c r="P25" s="4">
        <v>1582</v>
      </c>
      <c r="Q25" s="4"/>
      <c r="R25" s="5">
        <f t="shared" si="0"/>
        <v>1582</v>
      </c>
    </row>
    <row r="26" spans="1:18" ht="15.75" x14ac:dyDescent="0.25">
      <c r="A26" s="128"/>
      <c r="B26" s="14"/>
      <c r="C26" s="10"/>
      <c r="D26" s="48">
        <f t="shared" si="1"/>
        <v>0</v>
      </c>
      <c r="F26" s="64"/>
      <c r="G26" s="59"/>
      <c r="H26" s="195"/>
      <c r="I26" s="196"/>
      <c r="J26" s="197"/>
      <c r="L26" s="7">
        <f>832/24+1.5</f>
        <v>36.166666666666664</v>
      </c>
      <c r="O26" t="s">
        <v>52</v>
      </c>
      <c r="P26" s="4">
        <v>1447</v>
      </c>
      <c r="Q26" s="4">
        <v>120</v>
      </c>
      <c r="R26" s="5">
        <f t="shared" si="0"/>
        <v>1567</v>
      </c>
    </row>
    <row r="27" spans="1:18" ht="14.45" customHeight="1" x14ac:dyDescent="0.25">
      <c r="A27" s="128"/>
      <c r="B27" s="14"/>
      <c r="C27" s="10"/>
      <c r="D27" s="44">
        <f t="shared" si="1"/>
        <v>0</v>
      </c>
      <c r="F27" s="25"/>
      <c r="G27" s="80"/>
      <c r="H27" s="198"/>
      <c r="I27" s="199"/>
      <c r="J27" s="200"/>
      <c r="L27" s="7">
        <v>1582</v>
      </c>
      <c r="O27" t="s">
        <v>53</v>
      </c>
      <c r="P27" s="4">
        <v>1582</v>
      </c>
      <c r="Q27" s="4"/>
      <c r="R27" s="5">
        <f t="shared" si="0"/>
        <v>1582</v>
      </c>
    </row>
    <row r="28" spans="1:18" ht="15.75" x14ac:dyDescent="0.25">
      <c r="A28" s="129"/>
      <c r="B28" s="46"/>
      <c r="C28" s="10"/>
      <c r="D28" s="48">
        <f t="shared" si="1"/>
        <v>0</v>
      </c>
      <c r="F28" s="101"/>
      <c r="G28" s="61"/>
      <c r="H28" s="201"/>
      <c r="I28" s="202"/>
      <c r="J28" s="203"/>
      <c r="L28" s="7">
        <v>785</v>
      </c>
      <c r="O28" t="s">
        <v>54</v>
      </c>
      <c r="P28" s="4">
        <v>1447</v>
      </c>
      <c r="Q28" s="4">
        <v>120</v>
      </c>
      <c r="R28" s="5">
        <f t="shared" si="0"/>
        <v>1567</v>
      </c>
    </row>
    <row r="29" spans="1:18" x14ac:dyDescent="0.25">
      <c r="A29" s="167" t="s">
        <v>36</v>
      </c>
      <c r="B29" s="168"/>
      <c r="C29" s="169"/>
      <c r="D29" s="173">
        <f>SUM(D6:D28)</f>
        <v>0</v>
      </c>
      <c r="F29" s="175" t="s">
        <v>55</v>
      </c>
      <c r="G29" s="176"/>
      <c r="H29" s="179">
        <f>H15-H16-H17-H18-H19-H20-H22-H23-H24+H26+H27</f>
        <v>0</v>
      </c>
      <c r="I29" s="180"/>
      <c r="J29" s="181"/>
      <c r="O29" t="s">
        <v>56</v>
      </c>
      <c r="P29" s="4">
        <v>1582</v>
      </c>
      <c r="Q29" s="4"/>
      <c r="R29" s="5">
        <f t="shared" si="0"/>
        <v>1582</v>
      </c>
    </row>
    <row r="30" spans="1:18" x14ac:dyDescent="0.25">
      <c r="A30" s="170"/>
      <c r="B30" s="171"/>
      <c r="C30" s="172"/>
      <c r="D30" s="174"/>
      <c r="F30" s="177"/>
      <c r="G30" s="178"/>
      <c r="H30" s="182"/>
      <c r="I30" s="183"/>
      <c r="J30" s="184"/>
      <c r="N30" s="1"/>
      <c r="Q30" s="4"/>
      <c r="R30" s="5">
        <f t="shared" si="0"/>
        <v>0</v>
      </c>
    </row>
    <row r="31" spans="1:18" x14ac:dyDescent="0.25">
      <c r="A31" s="24"/>
      <c r="B31" s="24"/>
      <c r="C31" s="24"/>
      <c r="D31" s="24"/>
      <c r="F31" s="24"/>
      <c r="G31" s="24"/>
      <c r="O31" t="s">
        <v>57</v>
      </c>
      <c r="P31" s="4">
        <v>1052</v>
      </c>
      <c r="Q31" s="4">
        <v>120</v>
      </c>
      <c r="R31" s="5">
        <f t="shared" si="0"/>
        <v>1172</v>
      </c>
    </row>
    <row r="32" spans="1:18" x14ac:dyDescent="0.25">
      <c r="A32" s="114" t="s">
        <v>58</v>
      </c>
      <c r="B32" s="115"/>
      <c r="C32" s="115"/>
      <c r="D32" s="116"/>
      <c r="F32" s="204" t="s">
        <v>59</v>
      </c>
      <c r="G32" s="205"/>
      <c r="H32" s="205"/>
      <c r="I32" s="205"/>
      <c r="J32" s="206"/>
      <c r="O32" t="s">
        <v>60</v>
      </c>
      <c r="P32" s="4">
        <v>1005</v>
      </c>
      <c r="Q32" s="4">
        <v>120</v>
      </c>
      <c r="R32" s="5">
        <f t="shared" si="0"/>
        <v>1125</v>
      </c>
    </row>
    <row r="33" spans="1:18" x14ac:dyDescent="0.25">
      <c r="A33" s="25"/>
      <c r="B33" s="25" t="s">
        <v>11</v>
      </c>
      <c r="C33" s="25" t="s">
        <v>61</v>
      </c>
      <c r="D33" s="25" t="s">
        <v>13</v>
      </c>
      <c r="F33" s="25" t="s">
        <v>62</v>
      </c>
      <c r="G33" s="102" t="s">
        <v>63</v>
      </c>
      <c r="H33" s="204" t="s">
        <v>13</v>
      </c>
      <c r="I33" s="205"/>
      <c r="J33" s="206"/>
      <c r="O33" t="s">
        <v>64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27" t="s">
        <v>65</v>
      </c>
      <c r="B34" s="26" t="s">
        <v>66</v>
      </c>
      <c r="C34" s="51"/>
      <c r="D34" s="30">
        <f>C34*120</f>
        <v>0</v>
      </c>
      <c r="F34" s="12">
        <v>1000</v>
      </c>
      <c r="G34" s="74"/>
      <c r="H34" s="207"/>
      <c r="I34" s="208"/>
      <c r="J34" s="209"/>
      <c r="O34" t="s">
        <v>67</v>
      </c>
      <c r="P34" s="4">
        <v>832</v>
      </c>
      <c r="Q34" s="4">
        <v>120</v>
      </c>
      <c r="R34" s="5">
        <f t="shared" si="0"/>
        <v>952</v>
      </c>
    </row>
    <row r="35" spans="1:18" ht="15.75" x14ac:dyDescent="0.25">
      <c r="A35" s="128"/>
      <c r="B35" s="27" t="s">
        <v>68</v>
      </c>
      <c r="C35" s="52"/>
      <c r="D35" s="30">
        <f>C35*84</f>
        <v>0</v>
      </c>
      <c r="F35" s="58">
        <v>500</v>
      </c>
      <c r="G35" s="41"/>
      <c r="H35" s="207"/>
      <c r="I35" s="208"/>
      <c r="J35" s="209"/>
      <c r="O35" t="s">
        <v>69</v>
      </c>
      <c r="P35" s="4">
        <v>1102</v>
      </c>
      <c r="Q35" s="4"/>
      <c r="R35" s="5">
        <f t="shared" si="0"/>
        <v>1102</v>
      </c>
    </row>
    <row r="36" spans="1:18" ht="15.75" x14ac:dyDescent="0.25">
      <c r="A36" s="129"/>
      <c r="B36" s="26" t="s">
        <v>70</v>
      </c>
      <c r="C36" s="10"/>
      <c r="D36" s="12">
        <f>C36*1.5</f>
        <v>0</v>
      </c>
      <c r="F36" s="12">
        <v>200</v>
      </c>
      <c r="G36" s="37"/>
      <c r="H36" s="207"/>
      <c r="I36" s="208"/>
      <c r="J36" s="209"/>
      <c r="O36" t="s">
        <v>71</v>
      </c>
      <c r="P36" s="4">
        <v>852</v>
      </c>
      <c r="Q36" s="4">
        <v>120</v>
      </c>
      <c r="R36" s="5">
        <f t="shared" si="0"/>
        <v>972</v>
      </c>
    </row>
    <row r="37" spans="1:18" ht="15.75" x14ac:dyDescent="0.25">
      <c r="A37" s="127" t="s">
        <v>72</v>
      </c>
      <c r="B37" s="28" t="s">
        <v>66</v>
      </c>
      <c r="C37" s="53"/>
      <c r="D37" s="12">
        <f>C37*111</f>
        <v>0</v>
      </c>
      <c r="F37" s="12">
        <v>100</v>
      </c>
      <c r="G37" s="39"/>
      <c r="H37" s="207"/>
      <c r="I37" s="208"/>
      <c r="J37" s="209"/>
      <c r="O37" t="s">
        <v>73</v>
      </c>
      <c r="P37" s="4">
        <v>1020</v>
      </c>
      <c r="Q37" s="4">
        <v>120</v>
      </c>
      <c r="R37" s="5">
        <f t="shared" si="0"/>
        <v>1140</v>
      </c>
    </row>
    <row r="38" spans="1:18" ht="15.75" x14ac:dyDescent="0.25">
      <c r="A38" s="128"/>
      <c r="B38" s="29" t="s">
        <v>68</v>
      </c>
      <c r="C38" s="54"/>
      <c r="D38" s="12">
        <f>C38*84</f>
        <v>0</v>
      </c>
      <c r="F38" s="30">
        <v>50</v>
      </c>
      <c r="G38" s="39"/>
      <c r="H38" s="207"/>
      <c r="I38" s="208"/>
      <c r="J38" s="209"/>
      <c r="O38" t="s">
        <v>74</v>
      </c>
      <c r="P38" s="4">
        <v>596</v>
      </c>
      <c r="Q38" s="4">
        <v>111</v>
      </c>
      <c r="R38" s="5">
        <f t="shared" si="0"/>
        <v>707</v>
      </c>
    </row>
    <row r="39" spans="1:18" ht="15.75" x14ac:dyDescent="0.25">
      <c r="A39" s="129"/>
      <c r="B39" s="29" t="s">
        <v>70</v>
      </c>
      <c r="C39" s="52"/>
      <c r="D39" s="31">
        <f>C39*4.5</f>
        <v>0</v>
      </c>
      <c r="F39" s="12">
        <v>20</v>
      </c>
      <c r="G39" s="37"/>
      <c r="H39" s="207"/>
      <c r="I39" s="208"/>
      <c r="J39" s="209"/>
      <c r="O39" t="s">
        <v>75</v>
      </c>
      <c r="P39" s="4">
        <v>1175</v>
      </c>
      <c r="Q39" s="4"/>
      <c r="R39" s="5">
        <f t="shared" si="0"/>
        <v>1175</v>
      </c>
    </row>
    <row r="40" spans="1:18" ht="15.75" x14ac:dyDescent="0.25">
      <c r="A40" s="127" t="s">
        <v>76</v>
      </c>
      <c r="B40" s="27" t="s">
        <v>66</v>
      </c>
      <c r="C40" s="63"/>
      <c r="D40" s="12">
        <f>C40*111</f>
        <v>0</v>
      </c>
      <c r="F40" s="12">
        <v>10</v>
      </c>
      <c r="G40" s="42"/>
      <c r="H40" s="207"/>
      <c r="I40" s="208"/>
      <c r="J40" s="209"/>
      <c r="O40" t="s">
        <v>77</v>
      </c>
      <c r="P40" s="4">
        <v>913</v>
      </c>
      <c r="Q40" s="4">
        <v>120</v>
      </c>
      <c r="R40" s="5">
        <f t="shared" si="0"/>
        <v>1033</v>
      </c>
    </row>
    <row r="41" spans="1:18" ht="15.75" x14ac:dyDescent="0.25">
      <c r="A41" s="128"/>
      <c r="B41" s="27" t="s">
        <v>68</v>
      </c>
      <c r="C41" s="10"/>
      <c r="D41" s="12">
        <f>C41*84</f>
        <v>0</v>
      </c>
      <c r="F41" s="12">
        <v>5</v>
      </c>
      <c r="G41" s="42"/>
      <c r="H41" s="207"/>
      <c r="I41" s="208"/>
      <c r="J41" s="209"/>
      <c r="K41" s="21"/>
      <c r="O41" t="s">
        <v>78</v>
      </c>
      <c r="P41" s="4">
        <v>614</v>
      </c>
      <c r="Q41" s="4">
        <v>111</v>
      </c>
      <c r="R41" s="5">
        <f t="shared" si="0"/>
        <v>725</v>
      </c>
    </row>
    <row r="42" spans="1:18" ht="15.75" x14ac:dyDescent="0.25">
      <c r="A42" s="129"/>
      <c r="B42" s="27" t="s">
        <v>70</v>
      </c>
      <c r="C42" s="11"/>
      <c r="D42" s="12">
        <f>C42*2.25</f>
        <v>0</v>
      </c>
      <c r="F42" s="39" t="s">
        <v>79</v>
      </c>
      <c r="G42" s="207"/>
      <c r="H42" s="208"/>
      <c r="I42" s="208"/>
      <c r="J42" s="209"/>
      <c r="K42" s="36"/>
      <c r="O42" t="s">
        <v>80</v>
      </c>
      <c r="P42" s="4">
        <v>626</v>
      </c>
      <c r="Q42" s="4">
        <v>111</v>
      </c>
      <c r="R42" s="5">
        <f t="shared" si="0"/>
        <v>737</v>
      </c>
    </row>
    <row r="43" spans="1:18" ht="15.75" x14ac:dyDescent="0.25">
      <c r="A43" s="210" t="s">
        <v>81</v>
      </c>
      <c r="C43" s="11"/>
      <c r="D43" s="12"/>
      <c r="F43" s="59" t="s">
        <v>82</v>
      </c>
      <c r="G43" s="104" t="s">
        <v>83</v>
      </c>
      <c r="H43" s="213" t="s">
        <v>13</v>
      </c>
      <c r="I43" s="214"/>
      <c r="J43" s="215"/>
      <c r="K43" s="21"/>
      <c r="P43" s="4"/>
      <c r="Q43" s="4"/>
      <c r="R43" s="5"/>
    </row>
    <row r="44" spans="1:18" ht="15.75" x14ac:dyDescent="0.25">
      <c r="A44" s="211"/>
      <c r="B44" s="27" t="s">
        <v>66</v>
      </c>
      <c r="C44" s="10"/>
      <c r="D44" s="12">
        <f>C44*120</f>
        <v>0</v>
      </c>
      <c r="F44" s="37"/>
      <c r="G44" s="76"/>
      <c r="H44" s="191"/>
      <c r="I44" s="191"/>
      <c r="J44" s="191"/>
      <c r="K44" s="21"/>
      <c r="P44" s="4"/>
      <c r="Q44" s="4"/>
      <c r="R44" s="5"/>
    </row>
    <row r="45" spans="1:18" ht="15.75" x14ac:dyDescent="0.25">
      <c r="A45" s="211"/>
      <c r="B45" s="27" t="s">
        <v>68</v>
      </c>
      <c r="C45" s="33"/>
      <c r="D45" s="12">
        <f>C45*84</f>
        <v>0</v>
      </c>
      <c r="F45" s="37"/>
      <c r="G45" s="76"/>
      <c r="H45" s="191"/>
      <c r="I45" s="191"/>
      <c r="J45" s="191"/>
      <c r="K45" s="21"/>
      <c r="P45" s="4"/>
      <c r="Q45" s="4"/>
      <c r="R45" s="5"/>
    </row>
    <row r="46" spans="1:18" ht="15.75" x14ac:dyDescent="0.25">
      <c r="A46" s="211"/>
      <c r="B46" s="49" t="s">
        <v>70</v>
      </c>
      <c r="C46" s="81"/>
      <c r="D46" s="12">
        <f>C46*1.5</f>
        <v>0</v>
      </c>
      <c r="F46" s="37"/>
      <c r="G46" s="62"/>
      <c r="H46" s="216"/>
      <c r="I46" s="216"/>
      <c r="J46" s="216"/>
      <c r="K46" s="21"/>
      <c r="P46" s="4"/>
      <c r="Q46" s="4"/>
      <c r="R46" s="5"/>
    </row>
    <row r="47" spans="1:18" ht="15.75" x14ac:dyDescent="0.25">
      <c r="A47" s="212"/>
      <c r="B47" s="27"/>
      <c r="C47" s="11"/>
      <c r="D47" s="12"/>
      <c r="F47" s="59"/>
      <c r="G47" s="59"/>
      <c r="H47" s="217"/>
      <c r="I47" s="218"/>
      <c r="J47" s="219"/>
      <c r="K47" s="21"/>
      <c r="P47" s="4"/>
      <c r="Q47" s="4"/>
      <c r="R47" s="5"/>
    </row>
    <row r="48" spans="1:18" ht="15" customHeight="1" x14ac:dyDescent="0.25">
      <c r="A48" s="210" t="s">
        <v>32</v>
      </c>
      <c r="B48" s="27" t="s">
        <v>66</v>
      </c>
      <c r="C48" s="10"/>
      <c r="D48" s="12">
        <f>C48*78</f>
        <v>0</v>
      </c>
      <c r="F48" s="59"/>
      <c r="G48" s="59"/>
      <c r="H48" s="217"/>
      <c r="I48" s="218"/>
      <c r="J48" s="219"/>
      <c r="K48" s="35"/>
      <c r="O48" t="s">
        <v>84</v>
      </c>
      <c r="P48" s="4">
        <v>1175</v>
      </c>
      <c r="Q48" s="4"/>
      <c r="R48" s="5">
        <f t="shared" si="0"/>
        <v>1175</v>
      </c>
    </row>
    <row r="49" spans="1:18" ht="15.75" x14ac:dyDescent="0.25">
      <c r="A49" s="211"/>
      <c r="B49" s="29" t="s">
        <v>68</v>
      </c>
      <c r="C49" s="33"/>
      <c r="D49" s="12">
        <f>C49*42</f>
        <v>0</v>
      </c>
      <c r="F49" s="232" t="s">
        <v>86</v>
      </c>
      <c r="G49" s="179">
        <f>H34+H35+H36+H37+H38+H39+H40+H41+G42+H44+H45+H46</f>
        <v>0</v>
      </c>
      <c r="H49" s="180"/>
      <c r="I49" s="180"/>
      <c r="J49" s="181"/>
      <c r="O49" t="s">
        <v>85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211"/>
      <c r="B50" s="32" t="s">
        <v>70</v>
      </c>
      <c r="C50" s="11"/>
      <c r="D50" s="12">
        <f>C50*1.5</f>
        <v>0</v>
      </c>
      <c r="F50" s="233"/>
      <c r="G50" s="182"/>
      <c r="H50" s="183"/>
      <c r="I50" s="183"/>
      <c r="J50" s="184"/>
      <c r="P50" s="4"/>
      <c r="Q50" s="4"/>
      <c r="R50" s="5"/>
    </row>
    <row r="51" spans="1:18" ht="15" customHeight="1" x14ac:dyDescent="0.25">
      <c r="A51" s="211"/>
      <c r="B51" s="27"/>
      <c r="C51" s="10"/>
      <c r="D51" s="31"/>
      <c r="F51" s="234" t="s">
        <v>128</v>
      </c>
      <c r="G51" s="236">
        <f>G49-H29</f>
        <v>0</v>
      </c>
      <c r="H51" s="237"/>
      <c r="I51" s="237"/>
      <c r="J51" s="238"/>
      <c r="K51" s="21"/>
      <c r="O51" t="s">
        <v>87</v>
      </c>
      <c r="P51" s="4">
        <v>703</v>
      </c>
      <c r="Q51" s="4">
        <v>120</v>
      </c>
      <c r="R51" s="5">
        <f t="shared" si="0"/>
        <v>823</v>
      </c>
    </row>
    <row r="52" spans="1:18" ht="15.75" x14ac:dyDescent="0.25">
      <c r="A52" s="211"/>
      <c r="B52" s="29"/>
      <c r="C52" s="33"/>
      <c r="D52" s="45"/>
      <c r="F52" s="235"/>
      <c r="G52" s="239"/>
      <c r="H52" s="240"/>
      <c r="I52" s="240"/>
      <c r="J52" s="241"/>
      <c r="K52" s="21"/>
      <c r="O52" t="s">
        <v>88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212"/>
      <c r="B53" s="32"/>
      <c r="C53" s="11"/>
      <c r="D53" s="12"/>
      <c r="F53" s="35"/>
      <c r="G53" s="24"/>
      <c r="H53" s="24"/>
      <c r="I53" s="24"/>
      <c r="J53" s="17"/>
      <c r="N53" s="1"/>
      <c r="O53" t="s">
        <v>89</v>
      </c>
      <c r="P53" s="4">
        <v>1142</v>
      </c>
    </row>
    <row r="54" spans="1:18" x14ac:dyDescent="0.25">
      <c r="A54" s="175" t="s">
        <v>90</v>
      </c>
      <c r="B54" s="220"/>
      <c r="C54" s="221"/>
      <c r="D54" s="224">
        <f>SUM(D34:D53)</f>
        <v>0</v>
      </c>
      <c r="F54" s="21"/>
      <c r="J54" s="34"/>
    </row>
    <row r="55" spans="1:18" x14ac:dyDescent="0.25">
      <c r="A55" s="177"/>
      <c r="B55" s="222"/>
      <c r="C55" s="223"/>
      <c r="D55" s="225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D57" s="34"/>
      <c r="F57" s="36"/>
      <c r="G57" s="50"/>
      <c r="H57" s="50"/>
      <c r="I57" s="50"/>
      <c r="J57" s="43"/>
    </row>
    <row r="58" spans="1:18" x14ac:dyDescent="0.25">
      <c r="A58" s="226" t="s">
        <v>91</v>
      </c>
      <c r="B58" s="227"/>
      <c r="C58" s="227"/>
      <c r="D58" s="228"/>
      <c r="F58" s="226" t="s">
        <v>92</v>
      </c>
      <c r="G58" s="227"/>
      <c r="H58" s="227"/>
      <c r="I58" s="227"/>
      <c r="J58" s="228"/>
    </row>
    <row r="59" spans="1:18" x14ac:dyDescent="0.25">
      <c r="A59" s="229"/>
      <c r="B59" s="230"/>
      <c r="C59" s="230"/>
      <c r="D59" s="231"/>
      <c r="F59" s="229"/>
      <c r="G59" s="230"/>
      <c r="H59" s="230"/>
      <c r="I59" s="230"/>
      <c r="J59" s="231"/>
    </row>
  </sheetData>
  <mergeCells count="68"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  <mergeCell ref="H13:J13"/>
    <mergeCell ref="F14:G14"/>
    <mergeCell ref="H14:J14"/>
    <mergeCell ref="F15:G15"/>
    <mergeCell ref="H15:J15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A32:D32"/>
    <mergeCell ref="F32:J32"/>
    <mergeCell ref="H33:J33"/>
    <mergeCell ref="A34:A36"/>
    <mergeCell ref="H34:J34"/>
    <mergeCell ref="H35:J35"/>
    <mergeCell ref="H36:J36"/>
    <mergeCell ref="A37:A39"/>
    <mergeCell ref="H37:J37"/>
    <mergeCell ref="H38:J38"/>
    <mergeCell ref="H39:J39"/>
    <mergeCell ref="A40:A42"/>
    <mergeCell ref="H40:J40"/>
    <mergeCell ref="H41:J41"/>
    <mergeCell ref="G42:J42"/>
    <mergeCell ref="A43:A47"/>
    <mergeCell ref="H43:J43"/>
    <mergeCell ref="H44:J44"/>
    <mergeCell ref="H45:J45"/>
    <mergeCell ref="H46:J46"/>
    <mergeCell ref="H47:J47"/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3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7AA6101-0BB5-45B7-98E7-8F129D91F3B7}">
  <dimension ref="A1:R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bestFit="1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113" t="s">
        <v>1</v>
      </c>
      <c r="O1" s="113"/>
      <c r="P1" s="100" t="s">
        <v>2</v>
      </c>
      <c r="Q1" s="100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14" t="s">
        <v>7</v>
      </c>
      <c r="B4" s="115"/>
      <c r="C4" s="115"/>
      <c r="D4" s="116"/>
      <c r="F4" s="117" t="s">
        <v>8</v>
      </c>
      <c r="G4" s="119">
        <v>1</v>
      </c>
      <c r="H4" s="121" t="s">
        <v>9</v>
      </c>
      <c r="I4" s="123">
        <v>45973</v>
      </c>
      <c r="J4" s="124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27" t="s">
        <v>7</v>
      </c>
      <c r="B5" s="15" t="s">
        <v>11</v>
      </c>
      <c r="C5" s="9" t="s">
        <v>12</v>
      </c>
      <c r="D5" s="25" t="s">
        <v>13</v>
      </c>
      <c r="F5" s="118"/>
      <c r="G5" s="120"/>
      <c r="H5" s="122"/>
      <c r="I5" s="125"/>
      <c r="J5" s="126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28"/>
      <c r="B6" s="16" t="s">
        <v>15</v>
      </c>
      <c r="C6" s="89">
        <v>215</v>
      </c>
      <c r="D6" s="13">
        <f t="shared" ref="D6:D28" si="1">C6*L6</f>
        <v>158455</v>
      </c>
      <c r="F6" s="130" t="s">
        <v>16</v>
      </c>
      <c r="G6" s="132" t="s">
        <v>129</v>
      </c>
      <c r="H6" s="133"/>
      <c r="I6" s="133"/>
      <c r="J6" s="134"/>
      <c r="K6" s="8"/>
      <c r="L6" s="6">
        <f>R42</f>
        <v>737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28"/>
      <c r="B7" s="16" t="s">
        <v>18</v>
      </c>
      <c r="C7" s="89">
        <v>10</v>
      </c>
      <c r="D7" s="13">
        <f t="shared" si="1"/>
        <v>7250</v>
      </c>
      <c r="F7" s="131"/>
      <c r="G7" s="135"/>
      <c r="H7" s="136"/>
      <c r="I7" s="136"/>
      <c r="J7" s="137"/>
      <c r="K7" s="8"/>
      <c r="L7" s="6">
        <f>R41</f>
        <v>725</v>
      </c>
      <c r="P7" s="4"/>
      <c r="Q7" s="4"/>
      <c r="R7" s="5"/>
    </row>
    <row r="8" spans="1:18" ht="14.45" customHeight="1" x14ac:dyDescent="0.25">
      <c r="A8" s="128"/>
      <c r="B8" s="16" t="s">
        <v>20</v>
      </c>
      <c r="C8" s="89">
        <v>1</v>
      </c>
      <c r="D8" s="13">
        <f t="shared" si="1"/>
        <v>1033</v>
      </c>
      <c r="F8" s="138" t="s">
        <v>21</v>
      </c>
      <c r="G8" s="140" t="s">
        <v>112</v>
      </c>
      <c r="H8" s="141"/>
      <c r="I8" s="141"/>
      <c r="J8" s="142"/>
      <c r="K8" s="8"/>
      <c r="L8" s="6">
        <f>R40</f>
        <v>1033</v>
      </c>
      <c r="P8" s="4"/>
      <c r="Q8" s="4"/>
      <c r="R8" s="5"/>
    </row>
    <row r="9" spans="1:18" ht="14.45" customHeight="1" x14ac:dyDescent="0.25">
      <c r="A9" s="128"/>
      <c r="B9" s="16" t="s">
        <v>23</v>
      </c>
      <c r="C9" s="89">
        <v>21</v>
      </c>
      <c r="D9" s="13">
        <f t="shared" si="1"/>
        <v>14847</v>
      </c>
      <c r="F9" s="131"/>
      <c r="G9" s="143"/>
      <c r="H9" s="144"/>
      <c r="I9" s="144"/>
      <c r="J9" s="145"/>
      <c r="K9" s="8"/>
      <c r="L9" s="6">
        <f>R38</f>
        <v>707</v>
      </c>
      <c r="P9" s="4"/>
      <c r="Q9" s="4"/>
      <c r="R9" s="5"/>
    </row>
    <row r="10" spans="1:18" ht="14.45" customHeight="1" x14ac:dyDescent="0.25">
      <c r="A10" s="128"/>
      <c r="B10" t="s">
        <v>25</v>
      </c>
      <c r="C10" s="89">
        <v>1</v>
      </c>
      <c r="D10" s="13">
        <f t="shared" si="1"/>
        <v>972</v>
      </c>
      <c r="F10" s="130" t="s">
        <v>26</v>
      </c>
      <c r="G10" s="146" t="s">
        <v>130</v>
      </c>
      <c r="H10" s="147"/>
      <c r="I10" s="147"/>
      <c r="J10" s="148"/>
      <c r="K10" s="8"/>
      <c r="L10" s="6">
        <f>R36</f>
        <v>972</v>
      </c>
      <c r="P10" s="4"/>
      <c r="Q10" s="4"/>
      <c r="R10" s="5"/>
    </row>
    <row r="11" spans="1:18" ht="15.75" x14ac:dyDescent="0.25">
      <c r="A11" s="128"/>
      <c r="B11" s="17" t="s">
        <v>28</v>
      </c>
      <c r="C11" s="89">
        <v>1</v>
      </c>
      <c r="D11" s="13">
        <f t="shared" si="1"/>
        <v>1125</v>
      </c>
      <c r="F11" s="131"/>
      <c r="G11" s="143"/>
      <c r="H11" s="144"/>
      <c r="I11" s="144"/>
      <c r="J11" s="145"/>
      <c r="K11" s="22"/>
      <c r="L11" s="6">
        <f>R32</f>
        <v>1125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28"/>
      <c r="B12" s="17" t="s">
        <v>30</v>
      </c>
      <c r="C12" s="89"/>
      <c r="D12" s="48">
        <f t="shared" si="1"/>
        <v>0</v>
      </c>
      <c r="F12" s="149" t="s">
        <v>33</v>
      </c>
      <c r="G12" s="150"/>
      <c r="H12" s="150"/>
      <c r="I12" s="150"/>
      <c r="J12" s="151"/>
      <c r="K12" s="23"/>
      <c r="L12" s="6">
        <f>R34</f>
        <v>952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28"/>
      <c r="B13" s="17" t="s">
        <v>32</v>
      </c>
      <c r="C13" s="89">
        <v>11</v>
      </c>
      <c r="D13" s="48">
        <f t="shared" si="1"/>
        <v>3377</v>
      </c>
      <c r="F13" s="152" t="s">
        <v>36</v>
      </c>
      <c r="G13" s="153"/>
      <c r="H13" s="154">
        <f>D29</f>
        <v>189411</v>
      </c>
      <c r="I13" s="155"/>
      <c r="J13" s="156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28"/>
      <c r="B14" s="14" t="s">
        <v>35</v>
      </c>
      <c r="C14" s="89">
        <v>12</v>
      </c>
      <c r="D14" s="31">
        <f t="shared" si="1"/>
        <v>132</v>
      </c>
      <c r="F14" s="157" t="s">
        <v>39</v>
      </c>
      <c r="G14" s="158"/>
      <c r="H14" s="159">
        <f>D54</f>
        <v>29274</v>
      </c>
      <c r="I14" s="160"/>
      <c r="J14" s="161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28"/>
      <c r="B15" s="14" t="s">
        <v>38</v>
      </c>
      <c r="C15" s="89"/>
      <c r="D15" s="31">
        <f t="shared" si="1"/>
        <v>0</v>
      </c>
      <c r="F15" s="162" t="s">
        <v>40</v>
      </c>
      <c r="G15" s="153"/>
      <c r="H15" s="163">
        <f>H13-H14</f>
        <v>160137</v>
      </c>
      <c r="I15" s="164"/>
      <c r="J15" s="165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28"/>
      <c r="B16" s="18" t="s">
        <v>94</v>
      </c>
      <c r="C16" s="89"/>
      <c r="D16" s="48">
        <f t="shared" si="1"/>
        <v>0</v>
      </c>
      <c r="F16" s="67" t="s">
        <v>42</v>
      </c>
      <c r="G16" s="66" t="s">
        <v>43</v>
      </c>
      <c r="H16" s="166"/>
      <c r="I16" s="166"/>
      <c r="J16" s="166"/>
      <c r="L16" s="6">
        <f>R28</f>
        <v>1567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28"/>
      <c r="B17" t="s">
        <v>140</v>
      </c>
      <c r="C17" s="89"/>
      <c r="D17" s="48">
        <f t="shared" si="1"/>
        <v>0</v>
      </c>
      <c r="F17" s="56"/>
      <c r="G17" s="66" t="s">
        <v>45</v>
      </c>
      <c r="H17" s="139"/>
      <c r="I17" s="139"/>
      <c r="J17" s="139"/>
      <c r="L17" s="6">
        <f>1582</f>
        <v>1582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28"/>
      <c r="B18" s="19" t="s">
        <v>95</v>
      </c>
      <c r="C18" s="89"/>
      <c r="D18" s="48">
        <f t="shared" si="1"/>
        <v>0</v>
      </c>
      <c r="F18" s="56"/>
      <c r="G18" s="66" t="s">
        <v>47</v>
      </c>
      <c r="H18" s="139"/>
      <c r="I18" s="139"/>
      <c r="J18" s="139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28"/>
      <c r="B19" s="14" t="s">
        <v>136</v>
      </c>
      <c r="C19" s="89"/>
      <c r="D19" s="48">
        <f t="shared" si="1"/>
        <v>0</v>
      </c>
      <c r="F19" s="56"/>
      <c r="G19" s="68" t="s">
        <v>50</v>
      </c>
      <c r="H19" s="139"/>
      <c r="I19" s="139"/>
      <c r="J19" s="139"/>
      <c r="L19" s="6">
        <v>1102</v>
      </c>
      <c r="Q19" s="4"/>
      <c r="R19" s="5">
        <f t="shared" si="0"/>
        <v>0</v>
      </c>
    </row>
    <row r="20" spans="1:18" ht="15.75" x14ac:dyDescent="0.25">
      <c r="A20" s="128"/>
      <c r="B20" s="83" t="s">
        <v>125</v>
      </c>
      <c r="C20" s="89"/>
      <c r="D20" s="13">
        <f t="shared" si="1"/>
        <v>0</v>
      </c>
      <c r="F20" s="57"/>
      <c r="G20" s="70" t="s">
        <v>120</v>
      </c>
      <c r="H20" s="166"/>
      <c r="I20" s="166"/>
      <c r="J20" s="166"/>
      <c r="L20" s="6">
        <f>R39</f>
        <v>1175</v>
      </c>
      <c r="N20" s="1" t="s">
        <v>41</v>
      </c>
      <c r="Q20" s="4"/>
      <c r="R20" s="5">
        <f t="shared" si="0"/>
        <v>0</v>
      </c>
    </row>
    <row r="21" spans="1:18" ht="15.75" x14ac:dyDescent="0.25">
      <c r="A21" s="128"/>
      <c r="B21" s="14" t="s">
        <v>138</v>
      </c>
      <c r="C21" s="89">
        <v>1</v>
      </c>
      <c r="D21" s="48">
        <f t="shared" si="1"/>
        <v>650</v>
      </c>
      <c r="F21" s="69" t="s">
        <v>99</v>
      </c>
      <c r="G21" s="82" t="s">
        <v>98</v>
      </c>
      <c r="H21" s="186" t="s">
        <v>13</v>
      </c>
      <c r="I21" s="187"/>
      <c r="J21" s="188"/>
      <c r="L21" s="7">
        <v>650</v>
      </c>
      <c r="O21" t="s">
        <v>44</v>
      </c>
      <c r="P21" s="4">
        <v>1447</v>
      </c>
      <c r="Q21" s="4">
        <v>120</v>
      </c>
      <c r="R21" s="5">
        <f t="shared" si="0"/>
        <v>1567</v>
      </c>
    </row>
    <row r="22" spans="1:18" ht="15.75" x14ac:dyDescent="0.25">
      <c r="A22" s="128"/>
      <c r="B22" s="46" t="s">
        <v>127</v>
      </c>
      <c r="C22" s="89"/>
      <c r="D22" s="48">
        <f t="shared" si="1"/>
        <v>0</v>
      </c>
      <c r="F22" s="72" t="s">
        <v>147</v>
      </c>
      <c r="G22" s="73">
        <v>7074</v>
      </c>
      <c r="H22" s="189">
        <v>66744</v>
      </c>
      <c r="I22" s="189"/>
      <c r="J22" s="189"/>
      <c r="L22" s="7">
        <v>1582</v>
      </c>
      <c r="O22" t="s">
        <v>46</v>
      </c>
      <c r="P22" s="4">
        <v>1582</v>
      </c>
      <c r="Q22" s="4"/>
      <c r="R22" s="5">
        <f t="shared" si="0"/>
        <v>1582</v>
      </c>
    </row>
    <row r="23" spans="1:18" ht="15.75" x14ac:dyDescent="0.25">
      <c r="A23" s="128"/>
      <c r="B23" s="14" t="s">
        <v>101</v>
      </c>
      <c r="C23" s="89"/>
      <c r="D23" s="48">
        <f t="shared" si="1"/>
        <v>0</v>
      </c>
      <c r="F23" s="77"/>
      <c r="G23" s="79"/>
      <c r="H23" s="242"/>
      <c r="I23" s="243"/>
      <c r="J23" s="243"/>
      <c r="L23" s="47">
        <v>1667</v>
      </c>
      <c r="N23" s="1"/>
      <c r="O23" t="s">
        <v>48</v>
      </c>
      <c r="P23" s="4">
        <v>1728</v>
      </c>
      <c r="Q23" s="4"/>
      <c r="R23" s="5">
        <f t="shared" si="0"/>
        <v>1728</v>
      </c>
    </row>
    <row r="24" spans="1:18" ht="15.75" x14ac:dyDescent="0.25">
      <c r="A24" s="128"/>
      <c r="B24" s="14" t="s">
        <v>121</v>
      </c>
      <c r="C24" s="89"/>
      <c r="D24" s="48">
        <f t="shared" si="1"/>
        <v>0</v>
      </c>
      <c r="F24" s="77"/>
      <c r="G24" s="79"/>
      <c r="H24" s="242"/>
      <c r="I24" s="243"/>
      <c r="J24" s="243"/>
      <c r="L24" s="47">
        <f>913/24+1.5</f>
        <v>39.541666666666664</v>
      </c>
      <c r="N24" s="1"/>
      <c r="O24" t="s">
        <v>49</v>
      </c>
      <c r="P24" s="4">
        <v>1728</v>
      </c>
      <c r="Q24" s="4"/>
      <c r="R24" s="5">
        <f t="shared" si="0"/>
        <v>1728</v>
      </c>
    </row>
    <row r="25" spans="1:18" ht="15.75" x14ac:dyDescent="0.25">
      <c r="A25" s="128"/>
      <c r="B25" s="14" t="s">
        <v>141</v>
      </c>
      <c r="C25" s="89"/>
      <c r="D25" s="48">
        <f t="shared" si="1"/>
        <v>0</v>
      </c>
      <c r="F25" s="60" t="s">
        <v>100</v>
      </c>
      <c r="G25" s="55" t="s">
        <v>98</v>
      </c>
      <c r="H25" s="192" t="s">
        <v>13</v>
      </c>
      <c r="I25" s="193"/>
      <c r="J25" s="194"/>
      <c r="L25" s="47">
        <f>1052+120</f>
        <v>1172</v>
      </c>
      <c r="O25" t="s">
        <v>51</v>
      </c>
      <c r="P25" s="4">
        <v>1582</v>
      </c>
      <c r="Q25" s="4"/>
      <c r="R25" s="5">
        <f t="shared" si="0"/>
        <v>1582</v>
      </c>
    </row>
    <row r="26" spans="1:18" ht="15.75" x14ac:dyDescent="0.25">
      <c r="A26" s="128"/>
      <c r="B26" s="14" t="s">
        <v>139</v>
      </c>
      <c r="C26" s="89"/>
      <c r="D26" s="48">
        <f t="shared" si="1"/>
        <v>0</v>
      </c>
      <c r="F26" s="111" t="s">
        <v>147</v>
      </c>
      <c r="G26" s="65">
        <v>6965</v>
      </c>
      <c r="H26" s="191">
        <v>62969</v>
      </c>
      <c r="I26" s="191"/>
      <c r="J26" s="191"/>
      <c r="L26" s="7">
        <f>1447+120</f>
        <v>1567</v>
      </c>
      <c r="O26" t="s">
        <v>52</v>
      </c>
      <c r="P26" s="4">
        <v>1447</v>
      </c>
      <c r="Q26" s="4">
        <v>120</v>
      </c>
      <c r="R26" s="5">
        <f t="shared" si="0"/>
        <v>1567</v>
      </c>
    </row>
    <row r="27" spans="1:18" ht="14.45" customHeight="1" x14ac:dyDescent="0.25">
      <c r="A27" s="128"/>
      <c r="B27" s="14" t="s">
        <v>110</v>
      </c>
      <c r="C27" s="89"/>
      <c r="D27" s="44">
        <f t="shared" si="1"/>
        <v>0</v>
      </c>
      <c r="F27" s="112" t="s">
        <v>147</v>
      </c>
      <c r="G27" s="104">
        <v>6969</v>
      </c>
      <c r="H27" s="244">
        <v>2504</v>
      </c>
      <c r="I27" s="245"/>
      <c r="J27" s="245"/>
      <c r="L27" s="7">
        <v>1142</v>
      </c>
      <c r="O27" t="s">
        <v>53</v>
      </c>
      <c r="P27" s="4">
        <v>1582</v>
      </c>
      <c r="Q27" s="4"/>
      <c r="R27" s="5">
        <f t="shared" si="0"/>
        <v>1582</v>
      </c>
    </row>
    <row r="28" spans="1:18" ht="15.75" x14ac:dyDescent="0.25">
      <c r="A28" s="129"/>
      <c r="B28" s="46" t="s">
        <v>97</v>
      </c>
      <c r="C28" s="89">
        <v>2</v>
      </c>
      <c r="D28" s="48">
        <f t="shared" si="1"/>
        <v>1570</v>
      </c>
      <c r="F28" s="101"/>
      <c r="G28" s="61"/>
      <c r="H28" s="201"/>
      <c r="I28" s="202"/>
      <c r="J28" s="203"/>
      <c r="L28" s="7">
        <v>785</v>
      </c>
      <c r="O28" t="s">
        <v>54</v>
      </c>
      <c r="P28" s="4">
        <v>1447</v>
      </c>
      <c r="Q28" s="4">
        <v>120</v>
      </c>
      <c r="R28" s="5">
        <f t="shared" si="0"/>
        <v>1567</v>
      </c>
    </row>
    <row r="29" spans="1:18" x14ac:dyDescent="0.25">
      <c r="A29" s="167" t="s">
        <v>36</v>
      </c>
      <c r="B29" s="168"/>
      <c r="C29" s="169"/>
      <c r="D29" s="173">
        <f>SUM(D6:D28)</f>
        <v>189411</v>
      </c>
      <c r="F29" s="175" t="s">
        <v>55</v>
      </c>
      <c r="G29" s="176"/>
      <c r="H29" s="179">
        <f>H15-H16-H17-H18-H19-H20-H22-H23-H24+H26+H27+H28</f>
        <v>158866</v>
      </c>
      <c r="I29" s="180"/>
      <c r="J29" s="181"/>
      <c r="O29" t="s">
        <v>56</v>
      </c>
      <c r="P29" s="4">
        <v>1582</v>
      </c>
      <c r="Q29" s="4"/>
      <c r="R29" s="5">
        <f t="shared" si="0"/>
        <v>1582</v>
      </c>
    </row>
    <row r="30" spans="1:18" x14ac:dyDescent="0.25">
      <c r="A30" s="170"/>
      <c r="B30" s="171"/>
      <c r="C30" s="172"/>
      <c r="D30" s="174"/>
      <c r="F30" s="177"/>
      <c r="G30" s="178"/>
      <c r="H30" s="182"/>
      <c r="I30" s="183"/>
      <c r="J30" s="184"/>
      <c r="N30" s="1"/>
      <c r="Q30" s="4"/>
      <c r="R30" s="5">
        <f t="shared" si="0"/>
        <v>0</v>
      </c>
    </row>
    <row r="31" spans="1:18" x14ac:dyDescent="0.25">
      <c r="A31" s="24"/>
      <c r="B31" s="24"/>
      <c r="C31" s="24"/>
      <c r="D31" s="24"/>
      <c r="F31" s="24"/>
      <c r="G31" s="24"/>
      <c r="O31" t="s">
        <v>57</v>
      </c>
      <c r="P31" s="4">
        <v>1052</v>
      </c>
      <c r="Q31" s="4">
        <v>120</v>
      </c>
      <c r="R31" s="5">
        <f t="shared" si="0"/>
        <v>1172</v>
      </c>
    </row>
    <row r="32" spans="1:18" x14ac:dyDescent="0.25">
      <c r="A32" s="114" t="s">
        <v>58</v>
      </c>
      <c r="B32" s="115"/>
      <c r="C32" s="115"/>
      <c r="D32" s="116"/>
      <c r="F32" s="204" t="s">
        <v>59</v>
      </c>
      <c r="G32" s="205"/>
      <c r="H32" s="205"/>
      <c r="I32" s="205"/>
      <c r="J32" s="206"/>
      <c r="O32" t="s">
        <v>60</v>
      </c>
      <c r="P32" s="4">
        <v>1005</v>
      </c>
      <c r="Q32" s="4">
        <v>120</v>
      </c>
      <c r="R32" s="5">
        <f t="shared" si="0"/>
        <v>1125</v>
      </c>
    </row>
    <row r="33" spans="1:18" x14ac:dyDescent="0.25">
      <c r="A33" s="25"/>
      <c r="B33" s="25" t="s">
        <v>11</v>
      </c>
      <c r="C33" s="25" t="s">
        <v>61</v>
      </c>
      <c r="D33" s="25" t="s">
        <v>13</v>
      </c>
      <c r="F33" s="25" t="s">
        <v>62</v>
      </c>
      <c r="G33" s="102" t="s">
        <v>63</v>
      </c>
      <c r="H33" s="204" t="s">
        <v>13</v>
      </c>
      <c r="I33" s="205"/>
      <c r="J33" s="206"/>
      <c r="O33" t="s">
        <v>64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27" t="s">
        <v>65</v>
      </c>
      <c r="B34" s="26" t="s">
        <v>66</v>
      </c>
      <c r="C34" s="51"/>
      <c r="D34" s="30">
        <f>C34*120</f>
        <v>0</v>
      </c>
      <c r="F34" s="12">
        <v>1000</v>
      </c>
      <c r="G34" s="40">
        <v>71</v>
      </c>
      <c r="H34" s="207">
        <f t="shared" ref="H34:H39" si="2">F34*G34</f>
        <v>71000</v>
      </c>
      <c r="I34" s="208"/>
      <c r="J34" s="209"/>
      <c r="O34" t="s">
        <v>67</v>
      </c>
      <c r="P34" s="4">
        <v>832</v>
      </c>
      <c r="Q34" s="4">
        <v>120</v>
      </c>
      <c r="R34" s="5">
        <f t="shared" si="0"/>
        <v>952</v>
      </c>
    </row>
    <row r="35" spans="1:18" ht="15.75" x14ac:dyDescent="0.25">
      <c r="A35" s="128"/>
      <c r="B35" s="27" t="s">
        <v>68</v>
      </c>
      <c r="C35" s="52"/>
      <c r="D35" s="30">
        <f>C35*84</f>
        <v>0</v>
      </c>
      <c r="F35" s="58">
        <v>500</v>
      </c>
      <c r="G35" s="41">
        <v>18</v>
      </c>
      <c r="H35" s="207">
        <f t="shared" si="2"/>
        <v>9000</v>
      </c>
      <c r="I35" s="208"/>
      <c r="J35" s="209"/>
      <c r="O35" t="s">
        <v>69</v>
      </c>
      <c r="P35" s="4">
        <v>1102</v>
      </c>
      <c r="Q35" s="4"/>
      <c r="R35" s="5">
        <f t="shared" si="0"/>
        <v>1102</v>
      </c>
    </row>
    <row r="36" spans="1:18" ht="15.75" x14ac:dyDescent="0.25">
      <c r="A36" s="129"/>
      <c r="B36" s="26" t="s">
        <v>70</v>
      </c>
      <c r="C36" s="10">
        <v>7</v>
      </c>
      <c r="D36" s="12">
        <f>C36*1.5</f>
        <v>10.5</v>
      </c>
      <c r="F36" s="12">
        <v>200</v>
      </c>
      <c r="G36" s="37"/>
      <c r="H36" s="207">
        <f t="shared" si="2"/>
        <v>0</v>
      </c>
      <c r="I36" s="208"/>
      <c r="J36" s="209"/>
      <c r="O36" t="s">
        <v>71</v>
      </c>
      <c r="P36" s="4">
        <v>852</v>
      </c>
      <c r="Q36" s="4">
        <v>120</v>
      </c>
      <c r="R36" s="5">
        <f t="shared" si="0"/>
        <v>972</v>
      </c>
    </row>
    <row r="37" spans="1:18" ht="15.75" x14ac:dyDescent="0.25">
      <c r="A37" s="127" t="s">
        <v>72</v>
      </c>
      <c r="B37" s="28" t="s">
        <v>66</v>
      </c>
      <c r="C37" s="53">
        <v>239</v>
      </c>
      <c r="D37" s="12">
        <f>C37*111</f>
        <v>26529</v>
      </c>
      <c r="F37" s="12">
        <v>100</v>
      </c>
      <c r="G37" s="39">
        <v>86</v>
      </c>
      <c r="H37" s="207">
        <f t="shared" si="2"/>
        <v>8600</v>
      </c>
      <c r="I37" s="208"/>
      <c r="J37" s="209"/>
      <c r="O37" t="s">
        <v>73</v>
      </c>
      <c r="P37" s="4">
        <v>1020</v>
      </c>
      <c r="Q37" s="4">
        <v>120</v>
      </c>
      <c r="R37" s="5">
        <f t="shared" si="0"/>
        <v>1140</v>
      </c>
    </row>
    <row r="38" spans="1:18" ht="15.75" x14ac:dyDescent="0.25">
      <c r="A38" s="128"/>
      <c r="B38" s="29" t="s">
        <v>68</v>
      </c>
      <c r="C38" s="54">
        <v>5</v>
      </c>
      <c r="D38" s="12">
        <f>C38*84</f>
        <v>420</v>
      </c>
      <c r="F38" s="30">
        <v>50</v>
      </c>
      <c r="G38" s="39">
        <v>38</v>
      </c>
      <c r="H38" s="207">
        <f t="shared" si="2"/>
        <v>1900</v>
      </c>
      <c r="I38" s="208"/>
      <c r="J38" s="209"/>
      <c r="O38" t="s">
        <v>74</v>
      </c>
      <c r="P38" s="4">
        <v>596</v>
      </c>
      <c r="Q38" s="4">
        <v>111</v>
      </c>
      <c r="R38" s="5">
        <f t="shared" si="0"/>
        <v>707</v>
      </c>
    </row>
    <row r="39" spans="1:18" ht="15.75" x14ac:dyDescent="0.25">
      <c r="A39" s="129"/>
      <c r="B39" s="29" t="s">
        <v>70</v>
      </c>
      <c r="C39" s="52">
        <v>3</v>
      </c>
      <c r="D39" s="31">
        <f>C39*4.5</f>
        <v>13.5</v>
      </c>
      <c r="F39" s="12">
        <v>20</v>
      </c>
      <c r="G39" s="37"/>
      <c r="H39" s="207">
        <f t="shared" si="2"/>
        <v>0</v>
      </c>
      <c r="I39" s="208"/>
      <c r="J39" s="209"/>
      <c r="O39" t="s">
        <v>75</v>
      </c>
      <c r="P39" s="4">
        <v>1175</v>
      </c>
      <c r="Q39" s="4"/>
      <c r="R39" s="5">
        <f t="shared" si="0"/>
        <v>1175</v>
      </c>
    </row>
    <row r="40" spans="1:18" ht="15.75" x14ac:dyDescent="0.25">
      <c r="A40" s="127" t="s">
        <v>76</v>
      </c>
      <c r="B40" s="27" t="s">
        <v>66</v>
      </c>
      <c r="C40" s="63">
        <v>8</v>
      </c>
      <c r="D40" s="12">
        <f>C40*111</f>
        <v>888</v>
      </c>
      <c r="F40" s="12">
        <v>10</v>
      </c>
      <c r="G40" s="42"/>
      <c r="H40" s="207"/>
      <c r="I40" s="208"/>
      <c r="J40" s="209"/>
      <c r="O40" t="s">
        <v>77</v>
      </c>
      <c r="P40" s="4">
        <v>913</v>
      </c>
      <c r="Q40" s="4">
        <v>120</v>
      </c>
      <c r="R40" s="5">
        <f t="shared" si="0"/>
        <v>1033</v>
      </c>
    </row>
    <row r="41" spans="1:18" ht="15.75" x14ac:dyDescent="0.25">
      <c r="A41" s="128"/>
      <c r="B41" s="27" t="s">
        <v>68</v>
      </c>
      <c r="C41" s="10">
        <v>3</v>
      </c>
      <c r="D41" s="12">
        <f>C41*84</f>
        <v>252</v>
      </c>
      <c r="F41" s="12">
        <v>5</v>
      </c>
      <c r="G41" s="42"/>
      <c r="H41" s="207"/>
      <c r="I41" s="208"/>
      <c r="J41" s="209"/>
      <c r="K41" s="21"/>
      <c r="O41" t="s">
        <v>78</v>
      </c>
      <c r="P41" s="4">
        <v>614</v>
      </c>
      <c r="Q41" s="4">
        <v>111</v>
      </c>
      <c r="R41" s="5">
        <f t="shared" si="0"/>
        <v>725</v>
      </c>
    </row>
    <row r="42" spans="1:18" ht="15.75" x14ac:dyDescent="0.25">
      <c r="A42" s="129"/>
      <c r="B42" s="27" t="s">
        <v>70</v>
      </c>
      <c r="C42" s="11">
        <v>14</v>
      </c>
      <c r="D42" s="12">
        <f>C42*2.25</f>
        <v>31.5</v>
      </c>
      <c r="F42" s="39" t="s">
        <v>79</v>
      </c>
      <c r="G42" s="207">
        <v>38</v>
      </c>
      <c r="H42" s="208"/>
      <c r="I42" s="208"/>
      <c r="J42" s="209"/>
      <c r="K42" s="36"/>
      <c r="O42" t="s">
        <v>80</v>
      </c>
      <c r="P42" s="4">
        <v>626</v>
      </c>
      <c r="Q42" s="4">
        <v>111</v>
      </c>
      <c r="R42" s="5">
        <f t="shared" si="0"/>
        <v>737</v>
      </c>
    </row>
    <row r="43" spans="1:18" ht="15.75" x14ac:dyDescent="0.25">
      <c r="A43" s="210" t="s">
        <v>81</v>
      </c>
      <c r="C43" s="11"/>
      <c r="D43" s="12"/>
      <c r="F43" s="59" t="s">
        <v>82</v>
      </c>
      <c r="G43" s="104" t="s">
        <v>83</v>
      </c>
      <c r="H43" s="213" t="s">
        <v>13</v>
      </c>
      <c r="I43" s="214"/>
      <c r="J43" s="215"/>
      <c r="K43" s="21"/>
      <c r="O43" t="s">
        <v>103</v>
      </c>
      <c r="P43" s="4">
        <v>1667</v>
      </c>
      <c r="Q43" s="4"/>
      <c r="R43" s="5"/>
    </row>
    <row r="44" spans="1:18" ht="15.75" x14ac:dyDescent="0.25">
      <c r="A44" s="211"/>
      <c r="B44" s="27" t="s">
        <v>66</v>
      </c>
      <c r="C44" s="10">
        <v>1</v>
      </c>
      <c r="D44" s="12">
        <f>C44*120</f>
        <v>120</v>
      </c>
      <c r="F44" s="37" t="s">
        <v>157</v>
      </c>
      <c r="G44" s="62"/>
      <c r="H44" s="191">
        <v>3804</v>
      </c>
      <c r="I44" s="191"/>
      <c r="J44" s="191"/>
      <c r="K44" s="21"/>
      <c r="O44" t="s">
        <v>106</v>
      </c>
      <c r="P44" s="4">
        <f>785-120</f>
        <v>665</v>
      </c>
      <c r="Q44" s="4">
        <v>120</v>
      </c>
      <c r="R44" s="5">
        <f>Q44+P44</f>
        <v>785</v>
      </c>
    </row>
    <row r="45" spans="1:18" ht="15.75" x14ac:dyDescent="0.25">
      <c r="A45" s="211"/>
      <c r="B45" s="27" t="s">
        <v>68</v>
      </c>
      <c r="C45" s="33">
        <v>1</v>
      </c>
      <c r="D45" s="12">
        <f>C45*84</f>
        <v>84</v>
      </c>
      <c r="F45" s="37" t="s">
        <v>148</v>
      </c>
      <c r="G45" s="99" t="s">
        <v>149</v>
      </c>
      <c r="H45" s="191">
        <v>62969</v>
      </c>
      <c r="I45" s="191"/>
      <c r="J45" s="191"/>
      <c r="K45" s="21"/>
      <c r="P45" s="4"/>
      <c r="Q45" s="4"/>
      <c r="R45" s="5"/>
    </row>
    <row r="46" spans="1:18" ht="15.75" x14ac:dyDescent="0.25">
      <c r="A46" s="211"/>
      <c r="B46" s="49" t="s">
        <v>70</v>
      </c>
      <c r="C46" s="81">
        <v>12</v>
      </c>
      <c r="D46" s="12">
        <f>C46*1.5</f>
        <v>18</v>
      </c>
      <c r="F46" s="37" t="s">
        <v>148</v>
      </c>
      <c r="G46" s="99" t="s">
        <v>149</v>
      </c>
      <c r="H46" s="191">
        <v>2504</v>
      </c>
      <c r="I46" s="191"/>
      <c r="J46" s="191"/>
      <c r="K46" s="21"/>
      <c r="P46" s="4"/>
      <c r="Q46" s="4"/>
      <c r="R46" s="5"/>
    </row>
    <row r="47" spans="1:18" ht="15.75" x14ac:dyDescent="0.25">
      <c r="A47" s="212"/>
      <c r="B47" s="27"/>
      <c r="C47" s="11"/>
      <c r="D47" s="12"/>
      <c r="F47" s="59"/>
      <c r="G47" s="59"/>
      <c r="H47" s="217"/>
      <c r="I47" s="218"/>
      <c r="J47" s="219"/>
      <c r="K47" s="21"/>
      <c r="P47" s="4"/>
      <c r="Q47" s="4"/>
      <c r="R47" s="5"/>
    </row>
    <row r="48" spans="1:18" ht="15" customHeight="1" x14ac:dyDescent="0.25">
      <c r="A48" s="210" t="s">
        <v>32</v>
      </c>
      <c r="B48" s="27" t="s">
        <v>66</v>
      </c>
      <c r="C48" s="10">
        <v>11</v>
      </c>
      <c r="D48" s="12">
        <f>C48*78</f>
        <v>858</v>
      </c>
      <c r="F48" s="59"/>
      <c r="G48" s="59"/>
      <c r="H48" s="217"/>
      <c r="I48" s="218"/>
      <c r="J48" s="219"/>
      <c r="K48" s="35"/>
      <c r="O48" t="s">
        <v>84</v>
      </c>
      <c r="P48" s="4">
        <v>1175</v>
      </c>
      <c r="Q48" s="4"/>
      <c r="R48" s="5">
        <f t="shared" si="0"/>
        <v>1175</v>
      </c>
    </row>
    <row r="49" spans="1:18" ht="15.75" x14ac:dyDescent="0.25">
      <c r="A49" s="211"/>
      <c r="B49" s="29" t="s">
        <v>68</v>
      </c>
      <c r="C49" s="33">
        <v>1</v>
      </c>
      <c r="D49" s="12">
        <f>C49*42</f>
        <v>42</v>
      </c>
      <c r="F49" s="232" t="s">
        <v>86</v>
      </c>
      <c r="G49" s="179">
        <f>H34+H35+H36+H37+H38+H39+H40+H41+G42+H44+H45+H46</f>
        <v>159815</v>
      </c>
      <c r="H49" s="180"/>
      <c r="I49" s="180"/>
      <c r="J49" s="181"/>
      <c r="O49" t="s">
        <v>85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211"/>
      <c r="B50" s="32" t="s">
        <v>70</v>
      </c>
      <c r="C50" s="11">
        <v>5</v>
      </c>
      <c r="D50" s="12">
        <f>C50*1.5</f>
        <v>7.5</v>
      </c>
      <c r="F50" s="233"/>
      <c r="G50" s="182"/>
      <c r="H50" s="183"/>
      <c r="I50" s="183"/>
      <c r="J50" s="184"/>
      <c r="P50" s="4"/>
      <c r="Q50" s="4"/>
      <c r="R50" s="5"/>
    </row>
    <row r="51" spans="1:18" ht="15" customHeight="1" x14ac:dyDescent="0.25">
      <c r="A51" s="211"/>
      <c r="B51" s="27"/>
      <c r="C51" s="10"/>
      <c r="D51" s="31"/>
      <c r="F51" s="234" t="s">
        <v>143</v>
      </c>
      <c r="G51" s="236">
        <f>G49-H29</f>
        <v>949</v>
      </c>
      <c r="H51" s="237"/>
      <c r="I51" s="237"/>
      <c r="J51" s="238"/>
      <c r="K51" s="21"/>
      <c r="O51" t="s">
        <v>87</v>
      </c>
      <c r="P51" s="4">
        <v>703</v>
      </c>
      <c r="Q51" s="4">
        <v>120</v>
      </c>
      <c r="R51" s="5">
        <f t="shared" si="0"/>
        <v>823</v>
      </c>
    </row>
    <row r="52" spans="1:18" ht="15.75" x14ac:dyDescent="0.25">
      <c r="A52" s="211"/>
      <c r="B52" s="29"/>
      <c r="C52" s="33"/>
      <c r="D52" s="45"/>
      <c r="F52" s="235"/>
      <c r="G52" s="239"/>
      <c r="H52" s="240"/>
      <c r="I52" s="240"/>
      <c r="J52" s="241"/>
      <c r="K52" s="21"/>
      <c r="O52" t="s">
        <v>88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212"/>
      <c r="B53" s="32"/>
      <c r="C53" s="11"/>
      <c r="D53" s="12"/>
      <c r="F53" s="35"/>
      <c r="G53" s="24"/>
      <c r="H53" s="24"/>
      <c r="I53" s="24"/>
      <c r="J53" s="17"/>
      <c r="N53" s="1"/>
      <c r="O53" t="s">
        <v>89</v>
      </c>
      <c r="P53" s="4">
        <v>1142</v>
      </c>
    </row>
    <row r="54" spans="1:18" x14ac:dyDescent="0.25">
      <c r="A54" s="175" t="s">
        <v>90</v>
      </c>
      <c r="B54" s="220"/>
      <c r="C54" s="221"/>
      <c r="D54" s="224">
        <f>SUM(D34:D53)</f>
        <v>29274</v>
      </c>
      <c r="F54" s="21"/>
      <c r="J54" s="34"/>
      <c r="O54" t="s">
        <v>102</v>
      </c>
      <c r="P54" s="4">
        <v>1582</v>
      </c>
      <c r="R54" s="3">
        <v>1582</v>
      </c>
    </row>
    <row r="55" spans="1:18" x14ac:dyDescent="0.25">
      <c r="A55" s="177"/>
      <c r="B55" s="222"/>
      <c r="C55" s="223"/>
      <c r="D55" s="225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133</v>
      </c>
      <c r="D57" s="34"/>
      <c r="F57" s="36"/>
      <c r="G57" s="50"/>
      <c r="H57" s="50"/>
      <c r="I57" s="50"/>
      <c r="J57" s="43"/>
    </row>
    <row r="58" spans="1:18" x14ac:dyDescent="0.25">
      <c r="A58" s="226" t="s">
        <v>91</v>
      </c>
      <c r="B58" s="227"/>
      <c r="C58" s="227"/>
      <c r="D58" s="228"/>
      <c r="F58" s="226" t="s">
        <v>92</v>
      </c>
      <c r="G58" s="227"/>
      <c r="H58" s="227"/>
      <c r="I58" s="227"/>
      <c r="J58" s="228"/>
    </row>
    <row r="59" spans="1:18" x14ac:dyDescent="0.25">
      <c r="A59" s="229"/>
      <c r="B59" s="230"/>
      <c r="C59" s="230"/>
      <c r="D59" s="231"/>
      <c r="F59" s="229"/>
      <c r="G59" s="230"/>
      <c r="H59" s="230"/>
      <c r="I59" s="230"/>
      <c r="J59" s="231"/>
    </row>
  </sheetData>
  <mergeCells count="68"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  <mergeCell ref="H13:J13"/>
    <mergeCell ref="F14:G14"/>
    <mergeCell ref="H14:J14"/>
    <mergeCell ref="F15:G15"/>
    <mergeCell ref="H15:J15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A32:D32"/>
    <mergeCell ref="F32:J32"/>
    <mergeCell ref="H33:J33"/>
    <mergeCell ref="A34:A36"/>
    <mergeCell ref="H34:J34"/>
    <mergeCell ref="H35:J35"/>
    <mergeCell ref="H36:J36"/>
    <mergeCell ref="A37:A39"/>
    <mergeCell ref="H37:J37"/>
    <mergeCell ref="H38:J38"/>
    <mergeCell ref="H39:J39"/>
    <mergeCell ref="A40:A42"/>
    <mergeCell ref="H40:J40"/>
    <mergeCell ref="H41:J41"/>
    <mergeCell ref="G42:J42"/>
    <mergeCell ref="A43:A47"/>
    <mergeCell ref="H43:J43"/>
    <mergeCell ref="H44:J44"/>
    <mergeCell ref="H45:J45"/>
    <mergeCell ref="H46:J46"/>
    <mergeCell ref="H47:J47"/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3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146E853-934C-4E78-B803-F1ACEB4F5707}">
  <dimension ref="A1:R59"/>
  <sheetViews>
    <sheetView topLeftCell="A22"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113" t="s">
        <v>1</v>
      </c>
      <c r="O1" s="113"/>
      <c r="P1" s="100" t="s">
        <v>2</v>
      </c>
      <c r="Q1" s="100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14" t="s">
        <v>7</v>
      </c>
      <c r="B4" s="115"/>
      <c r="C4" s="115"/>
      <c r="D4" s="116"/>
      <c r="F4" s="117" t="s">
        <v>8</v>
      </c>
      <c r="G4" s="119">
        <v>2</v>
      </c>
      <c r="H4" s="121" t="s">
        <v>9</v>
      </c>
      <c r="I4" s="123">
        <v>45973</v>
      </c>
      <c r="J4" s="124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27" t="s">
        <v>7</v>
      </c>
      <c r="B5" s="15" t="s">
        <v>11</v>
      </c>
      <c r="C5" s="9" t="s">
        <v>12</v>
      </c>
      <c r="D5" s="25" t="s">
        <v>13</v>
      </c>
      <c r="F5" s="118"/>
      <c r="G5" s="120"/>
      <c r="H5" s="122"/>
      <c r="I5" s="125"/>
      <c r="J5" s="126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28"/>
      <c r="B6" s="16" t="s">
        <v>15</v>
      </c>
      <c r="C6" s="10">
        <v>207</v>
      </c>
      <c r="D6" s="13">
        <f t="shared" ref="D6:D28" si="1">C6*L6</f>
        <v>152559</v>
      </c>
      <c r="F6" s="130" t="s">
        <v>16</v>
      </c>
      <c r="G6" s="132" t="s">
        <v>150</v>
      </c>
      <c r="H6" s="133"/>
      <c r="I6" s="133"/>
      <c r="J6" s="134"/>
      <c r="K6" s="8"/>
      <c r="L6" s="6">
        <f>R42</f>
        <v>737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28"/>
      <c r="B7" s="16" t="s">
        <v>18</v>
      </c>
      <c r="C7" s="10"/>
      <c r="D7" s="13">
        <f t="shared" si="1"/>
        <v>0</v>
      </c>
      <c r="F7" s="131"/>
      <c r="G7" s="135"/>
      <c r="H7" s="136"/>
      <c r="I7" s="136"/>
      <c r="J7" s="137"/>
      <c r="K7" s="8"/>
      <c r="L7" s="6">
        <f>R41</f>
        <v>725</v>
      </c>
      <c r="P7" s="4"/>
      <c r="Q7" s="4"/>
      <c r="R7" s="5"/>
    </row>
    <row r="8" spans="1:18" ht="14.45" customHeight="1" x14ac:dyDescent="0.25">
      <c r="A8" s="128"/>
      <c r="B8" s="16" t="s">
        <v>20</v>
      </c>
      <c r="C8" s="10"/>
      <c r="D8" s="13">
        <f t="shared" si="1"/>
        <v>0</v>
      </c>
      <c r="F8" s="138" t="s">
        <v>21</v>
      </c>
      <c r="G8" s="140" t="s">
        <v>114</v>
      </c>
      <c r="H8" s="141"/>
      <c r="I8" s="141"/>
      <c r="J8" s="142"/>
      <c r="K8" s="8"/>
      <c r="L8" s="6">
        <f>R40</f>
        <v>1033</v>
      </c>
      <c r="P8" s="4"/>
      <c r="Q8" s="4"/>
      <c r="R8" s="5"/>
    </row>
    <row r="9" spans="1:18" ht="14.45" customHeight="1" x14ac:dyDescent="0.25">
      <c r="A9" s="128"/>
      <c r="B9" s="16" t="s">
        <v>23</v>
      </c>
      <c r="C9" s="10">
        <v>10</v>
      </c>
      <c r="D9" s="13">
        <f t="shared" si="1"/>
        <v>7070</v>
      </c>
      <c r="F9" s="131"/>
      <c r="G9" s="143"/>
      <c r="H9" s="144"/>
      <c r="I9" s="144"/>
      <c r="J9" s="145"/>
      <c r="K9" s="8"/>
      <c r="L9" s="6">
        <f>R38</f>
        <v>707</v>
      </c>
      <c r="P9" s="4"/>
      <c r="Q9" s="4"/>
      <c r="R9" s="5"/>
    </row>
    <row r="10" spans="1:18" ht="14.45" customHeight="1" x14ac:dyDescent="0.25">
      <c r="A10" s="128"/>
      <c r="B10" t="s">
        <v>25</v>
      </c>
      <c r="C10" s="10"/>
      <c r="D10" s="13">
        <f t="shared" si="1"/>
        <v>0</v>
      </c>
      <c r="F10" s="130" t="s">
        <v>26</v>
      </c>
      <c r="G10" s="146" t="s">
        <v>115</v>
      </c>
      <c r="H10" s="147"/>
      <c r="I10" s="147"/>
      <c r="J10" s="148"/>
      <c r="K10" s="8"/>
      <c r="L10" s="6">
        <f>R36</f>
        <v>972</v>
      </c>
      <c r="P10" s="4"/>
      <c r="Q10" s="4"/>
      <c r="R10" s="5"/>
    </row>
    <row r="11" spans="1:18" ht="15.75" x14ac:dyDescent="0.25">
      <c r="A11" s="128"/>
      <c r="B11" s="17" t="s">
        <v>28</v>
      </c>
      <c r="C11" s="10"/>
      <c r="D11" s="13">
        <f t="shared" si="1"/>
        <v>0</v>
      </c>
      <c r="F11" s="131"/>
      <c r="G11" s="143"/>
      <c r="H11" s="144"/>
      <c r="I11" s="144"/>
      <c r="J11" s="145"/>
      <c r="K11" s="22"/>
      <c r="L11" s="6">
        <f>R32</f>
        <v>1125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28"/>
      <c r="B12" s="17" t="s">
        <v>30</v>
      </c>
      <c r="C12" s="10"/>
      <c r="D12" s="48">
        <f t="shared" si="1"/>
        <v>0</v>
      </c>
      <c r="F12" s="149" t="s">
        <v>33</v>
      </c>
      <c r="G12" s="150"/>
      <c r="H12" s="150"/>
      <c r="I12" s="150"/>
      <c r="J12" s="151"/>
      <c r="K12" s="23"/>
      <c r="L12" s="6">
        <f>R34</f>
        <v>952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28"/>
      <c r="B13" s="17" t="s">
        <v>32</v>
      </c>
      <c r="C13" s="10">
        <v>8</v>
      </c>
      <c r="D13" s="48">
        <f t="shared" si="1"/>
        <v>2456</v>
      </c>
      <c r="F13" s="152" t="s">
        <v>36</v>
      </c>
      <c r="G13" s="153"/>
      <c r="H13" s="154">
        <f>D29</f>
        <v>162338</v>
      </c>
      <c r="I13" s="155"/>
      <c r="J13" s="156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28"/>
      <c r="B14" s="14" t="s">
        <v>35</v>
      </c>
      <c r="C14" s="10">
        <v>23</v>
      </c>
      <c r="D14" s="31">
        <f t="shared" si="1"/>
        <v>253</v>
      </c>
      <c r="F14" s="157" t="s">
        <v>39</v>
      </c>
      <c r="G14" s="158"/>
      <c r="H14" s="159">
        <f>D54</f>
        <v>21364.5</v>
      </c>
      <c r="I14" s="160"/>
      <c r="J14" s="161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28"/>
      <c r="B15" s="14" t="s">
        <v>38</v>
      </c>
      <c r="C15" s="10"/>
      <c r="D15" s="31">
        <f t="shared" si="1"/>
        <v>0</v>
      </c>
      <c r="F15" s="162" t="s">
        <v>40</v>
      </c>
      <c r="G15" s="153"/>
      <c r="H15" s="163">
        <f>H13-H14</f>
        <v>140973.5</v>
      </c>
      <c r="I15" s="164"/>
      <c r="J15" s="165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28"/>
      <c r="B16" s="18" t="s">
        <v>94</v>
      </c>
      <c r="C16" s="10"/>
      <c r="D16" s="48">
        <f t="shared" si="1"/>
        <v>0</v>
      </c>
      <c r="F16" s="67" t="s">
        <v>42</v>
      </c>
      <c r="G16" s="66" t="s">
        <v>43</v>
      </c>
      <c r="H16" s="166">
        <f>1863</f>
        <v>1863</v>
      </c>
      <c r="I16" s="166"/>
      <c r="J16" s="166"/>
      <c r="L16" s="6">
        <f>R28</f>
        <v>1567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28"/>
      <c r="B17" t="s">
        <v>93</v>
      </c>
      <c r="C17" s="10"/>
      <c r="D17" s="48">
        <f t="shared" si="1"/>
        <v>0</v>
      </c>
      <c r="F17" s="56"/>
      <c r="G17" s="66" t="s">
        <v>45</v>
      </c>
      <c r="H17" s="139"/>
      <c r="I17" s="139"/>
      <c r="J17" s="139"/>
      <c r="L17" s="6">
        <f>R21</f>
        <v>1567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28"/>
      <c r="B18" s="19" t="s">
        <v>95</v>
      </c>
      <c r="C18" s="10"/>
      <c r="D18" s="48">
        <f t="shared" si="1"/>
        <v>0</v>
      </c>
      <c r="F18" s="56"/>
      <c r="G18" s="66" t="s">
        <v>47</v>
      </c>
      <c r="H18" s="139"/>
      <c r="I18" s="139"/>
      <c r="J18" s="139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28"/>
      <c r="B19" s="14" t="s">
        <v>96</v>
      </c>
      <c r="C19" s="10"/>
      <c r="D19" s="48">
        <f t="shared" si="1"/>
        <v>0</v>
      </c>
      <c r="F19" s="56"/>
      <c r="G19" s="68" t="s">
        <v>50</v>
      </c>
      <c r="H19" s="246"/>
      <c r="I19" s="246"/>
      <c r="J19" s="246"/>
      <c r="L19" s="6">
        <f>R35</f>
        <v>1102</v>
      </c>
      <c r="Q19" s="4"/>
      <c r="R19" s="5">
        <f t="shared" si="0"/>
        <v>0</v>
      </c>
    </row>
    <row r="20" spans="1:18" ht="15.75" x14ac:dyDescent="0.25">
      <c r="A20" s="128"/>
      <c r="B20" s="46" t="s">
        <v>122</v>
      </c>
      <c r="C20" s="10"/>
      <c r="D20" s="13">
        <f t="shared" si="1"/>
        <v>0</v>
      </c>
      <c r="F20" s="57"/>
      <c r="G20" s="70" t="s">
        <v>120</v>
      </c>
      <c r="H20" s="139"/>
      <c r="I20" s="139"/>
      <c r="J20" s="139"/>
      <c r="L20" s="6">
        <f>R39</f>
        <v>1175</v>
      </c>
      <c r="N20" s="1" t="s">
        <v>41</v>
      </c>
      <c r="Q20" s="4"/>
      <c r="R20" s="5">
        <f t="shared" si="0"/>
        <v>0</v>
      </c>
    </row>
    <row r="21" spans="1:18" ht="15.75" x14ac:dyDescent="0.25">
      <c r="A21" s="128"/>
      <c r="B21" s="14" t="s">
        <v>126</v>
      </c>
      <c r="C21" s="10"/>
      <c r="D21" s="48">
        <f t="shared" si="1"/>
        <v>0</v>
      </c>
      <c r="F21" s="69" t="s">
        <v>99</v>
      </c>
      <c r="G21" s="82" t="s">
        <v>98</v>
      </c>
      <c r="H21" s="186" t="s">
        <v>13</v>
      </c>
      <c r="I21" s="187"/>
      <c r="J21" s="188"/>
      <c r="L21" s="7">
        <v>650</v>
      </c>
      <c r="O21" t="s">
        <v>44</v>
      </c>
      <c r="P21" s="4">
        <v>1447</v>
      </c>
      <c r="Q21" s="4">
        <v>120</v>
      </c>
      <c r="R21" s="5">
        <f t="shared" si="0"/>
        <v>1567</v>
      </c>
    </row>
    <row r="22" spans="1:18" ht="15.75" x14ac:dyDescent="0.25">
      <c r="A22" s="128"/>
      <c r="B22" s="46" t="s">
        <v>104</v>
      </c>
      <c r="C22" s="10"/>
      <c r="D22" s="48">
        <f t="shared" si="1"/>
        <v>0</v>
      </c>
      <c r="F22" s="72"/>
      <c r="G22" s="73"/>
      <c r="H22" s="189"/>
      <c r="I22" s="189"/>
      <c r="J22" s="189"/>
      <c r="L22" s="7">
        <f>559+111</f>
        <v>670</v>
      </c>
      <c r="O22" t="s">
        <v>46</v>
      </c>
      <c r="P22" s="4">
        <v>1582</v>
      </c>
      <c r="Q22" s="4"/>
      <c r="R22" s="5">
        <f t="shared" si="0"/>
        <v>1582</v>
      </c>
    </row>
    <row r="23" spans="1:18" ht="15.75" x14ac:dyDescent="0.25">
      <c r="A23" s="128"/>
      <c r="B23" s="14" t="s">
        <v>107</v>
      </c>
      <c r="C23" s="10"/>
      <c r="D23" s="48">
        <f t="shared" si="1"/>
        <v>0</v>
      </c>
      <c r="F23" s="25"/>
      <c r="G23" s="37"/>
      <c r="H23" s="190"/>
      <c r="I23" s="191"/>
      <c r="J23" s="191"/>
      <c r="L23" s="47">
        <f>R33</f>
        <v>1175</v>
      </c>
      <c r="N23" s="1"/>
      <c r="O23" t="s">
        <v>48</v>
      </c>
      <c r="P23" s="4">
        <v>1728</v>
      </c>
      <c r="Q23" s="4"/>
      <c r="R23" s="5">
        <f t="shared" si="0"/>
        <v>1728</v>
      </c>
    </row>
    <row r="24" spans="1:18" ht="15.75" x14ac:dyDescent="0.25">
      <c r="A24" s="128"/>
      <c r="B24" s="14" t="s">
        <v>123</v>
      </c>
      <c r="C24" s="10"/>
      <c r="D24" s="48">
        <f t="shared" si="1"/>
        <v>0</v>
      </c>
      <c r="F24" s="38"/>
      <c r="G24" s="37"/>
      <c r="H24" s="190"/>
      <c r="I24" s="191"/>
      <c r="J24" s="191"/>
      <c r="L24" s="47">
        <f>596/6</f>
        <v>99.333333333333329</v>
      </c>
      <c r="N24" s="1"/>
      <c r="O24" t="s">
        <v>49</v>
      </c>
      <c r="P24" s="4">
        <v>1728</v>
      </c>
      <c r="Q24" s="4"/>
      <c r="R24" s="5">
        <f t="shared" si="0"/>
        <v>1728</v>
      </c>
    </row>
    <row r="25" spans="1:18" ht="15.75" x14ac:dyDescent="0.25">
      <c r="A25" s="128"/>
      <c r="B25" s="14" t="s">
        <v>124</v>
      </c>
      <c r="C25" s="10"/>
      <c r="D25" s="48">
        <f t="shared" si="1"/>
        <v>0</v>
      </c>
      <c r="F25" s="60" t="s">
        <v>100</v>
      </c>
      <c r="G25" s="55" t="s">
        <v>98</v>
      </c>
      <c r="H25" s="192" t="s">
        <v>13</v>
      </c>
      <c r="I25" s="193"/>
      <c r="J25" s="194"/>
      <c r="L25" s="47">
        <f>674/6</f>
        <v>112.33333333333333</v>
      </c>
      <c r="O25" t="s">
        <v>51</v>
      </c>
      <c r="P25" s="4">
        <v>1582</v>
      </c>
      <c r="Q25" s="4"/>
      <c r="R25" s="5">
        <f t="shared" si="0"/>
        <v>1582</v>
      </c>
    </row>
    <row r="26" spans="1:18" ht="15.75" x14ac:dyDescent="0.25">
      <c r="A26" s="128"/>
      <c r="B26" s="14" t="s">
        <v>105</v>
      </c>
      <c r="C26" s="10"/>
      <c r="D26" s="48">
        <f t="shared" si="1"/>
        <v>0</v>
      </c>
      <c r="F26" s="64"/>
      <c r="G26" s="10"/>
      <c r="H26" s="195"/>
      <c r="I26" s="196"/>
      <c r="J26" s="197"/>
      <c r="L26" s="7">
        <f>832/24+1.5</f>
        <v>36.166666666666664</v>
      </c>
      <c r="O26" t="s">
        <v>52</v>
      </c>
      <c r="P26" s="4">
        <v>1447</v>
      </c>
      <c r="Q26" s="4">
        <v>120</v>
      </c>
      <c r="R26" s="5">
        <f t="shared" si="0"/>
        <v>1567</v>
      </c>
    </row>
    <row r="27" spans="1:18" ht="14.45" customHeight="1" x14ac:dyDescent="0.25">
      <c r="A27" s="128"/>
      <c r="B27" s="14" t="s">
        <v>109</v>
      </c>
      <c r="C27" s="10"/>
      <c r="D27" s="44">
        <f t="shared" si="1"/>
        <v>0</v>
      </c>
      <c r="F27" s="14"/>
      <c r="G27" s="14"/>
      <c r="H27" s="198"/>
      <c r="I27" s="199"/>
      <c r="J27" s="200"/>
      <c r="L27" s="7">
        <v>1582</v>
      </c>
      <c r="O27" t="s">
        <v>53</v>
      </c>
      <c r="P27" s="4">
        <v>1582</v>
      </c>
      <c r="Q27" s="4"/>
      <c r="R27" s="5">
        <f t="shared" si="0"/>
        <v>1582</v>
      </c>
    </row>
    <row r="28" spans="1:18" ht="15.75" x14ac:dyDescent="0.25">
      <c r="A28" s="129"/>
      <c r="B28" s="46" t="s">
        <v>97</v>
      </c>
      <c r="C28" s="10"/>
      <c r="D28" s="48">
        <f t="shared" si="1"/>
        <v>0</v>
      </c>
      <c r="F28" s="101"/>
      <c r="G28" s="61"/>
      <c r="H28" s="201"/>
      <c r="I28" s="202"/>
      <c r="J28" s="203"/>
      <c r="L28" s="7">
        <v>785</v>
      </c>
      <c r="O28" t="s">
        <v>54</v>
      </c>
      <c r="P28" s="4">
        <v>1447</v>
      </c>
      <c r="Q28" s="4">
        <v>120</v>
      </c>
      <c r="R28" s="5">
        <f t="shared" si="0"/>
        <v>1567</v>
      </c>
    </row>
    <row r="29" spans="1:18" x14ac:dyDescent="0.25">
      <c r="A29" s="167" t="s">
        <v>36</v>
      </c>
      <c r="B29" s="168"/>
      <c r="C29" s="169"/>
      <c r="D29" s="173">
        <f>SUM(D6:D28)</f>
        <v>162338</v>
      </c>
      <c r="F29" s="175" t="s">
        <v>55</v>
      </c>
      <c r="G29" s="176"/>
      <c r="H29" s="179">
        <f>H15-H16-H17-H18-H19-H20-H22-H23-H24+H26+H27</f>
        <v>139110.5</v>
      </c>
      <c r="I29" s="180"/>
      <c r="J29" s="181"/>
      <c r="O29" t="s">
        <v>56</v>
      </c>
      <c r="P29" s="4">
        <v>1582</v>
      </c>
      <c r="Q29" s="4"/>
      <c r="R29" s="5">
        <f t="shared" si="0"/>
        <v>1582</v>
      </c>
    </row>
    <row r="30" spans="1:18" x14ac:dyDescent="0.25">
      <c r="A30" s="170"/>
      <c r="B30" s="171"/>
      <c r="C30" s="172"/>
      <c r="D30" s="174"/>
      <c r="F30" s="177"/>
      <c r="G30" s="178"/>
      <c r="H30" s="182"/>
      <c r="I30" s="183"/>
      <c r="J30" s="184"/>
      <c r="N30" s="1"/>
      <c r="Q30" s="4"/>
      <c r="R30" s="5">
        <f t="shared" si="0"/>
        <v>0</v>
      </c>
    </row>
    <row r="31" spans="1:18" x14ac:dyDescent="0.25">
      <c r="A31" s="24"/>
      <c r="B31" s="24"/>
      <c r="C31" s="24"/>
      <c r="D31" s="24"/>
      <c r="F31" s="24"/>
      <c r="G31" s="24"/>
      <c r="O31" t="s">
        <v>57</v>
      </c>
      <c r="P31" s="4">
        <v>1052</v>
      </c>
      <c r="Q31" s="4">
        <v>120</v>
      </c>
      <c r="R31" s="5">
        <f t="shared" si="0"/>
        <v>1172</v>
      </c>
    </row>
    <row r="32" spans="1:18" x14ac:dyDescent="0.25">
      <c r="A32" s="114" t="s">
        <v>58</v>
      </c>
      <c r="B32" s="115"/>
      <c r="C32" s="115"/>
      <c r="D32" s="116"/>
      <c r="F32" s="204" t="s">
        <v>59</v>
      </c>
      <c r="G32" s="205"/>
      <c r="H32" s="205"/>
      <c r="I32" s="205"/>
      <c r="J32" s="206"/>
      <c r="O32" t="s">
        <v>60</v>
      </c>
      <c r="P32" s="4">
        <v>1005</v>
      </c>
      <c r="Q32" s="4">
        <v>120</v>
      </c>
      <c r="R32" s="5">
        <f t="shared" si="0"/>
        <v>1125</v>
      </c>
    </row>
    <row r="33" spans="1:18" x14ac:dyDescent="0.25">
      <c r="A33" s="25"/>
      <c r="B33" s="25" t="s">
        <v>11</v>
      </c>
      <c r="C33" s="25" t="s">
        <v>61</v>
      </c>
      <c r="D33" s="25" t="s">
        <v>13</v>
      </c>
      <c r="F33" s="25" t="s">
        <v>62</v>
      </c>
      <c r="G33" s="102" t="s">
        <v>63</v>
      </c>
      <c r="H33" s="204" t="s">
        <v>13</v>
      </c>
      <c r="I33" s="205"/>
      <c r="J33" s="206"/>
      <c r="O33" t="s">
        <v>64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27" t="s">
        <v>65</v>
      </c>
      <c r="B34" s="26" t="s">
        <v>66</v>
      </c>
      <c r="C34" s="51"/>
      <c r="D34" s="30">
        <f>C34*120</f>
        <v>0</v>
      </c>
      <c r="F34" s="12">
        <v>1000</v>
      </c>
      <c r="G34" s="74">
        <v>9</v>
      </c>
      <c r="H34" s="207">
        <f>F34*G34</f>
        <v>9000</v>
      </c>
      <c r="I34" s="208"/>
      <c r="J34" s="209"/>
      <c r="O34" t="s">
        <v>67</v>
      </c>
      <c r="P34" s="4">
        <v>832</v>
      </c>
      <c r="Q34" s="4">
        <v>120</v>
      </c>
      <c r="R34" s="5">
        <f t="shared" si="0"/>
        <v>952</v>
      </c>
    </row>
    <row r="35" spans="1:18" ht="15.75" x14ac:dyDescent="0.25">
      <c r="A35" s="128"/>
      <c r="B35" s="27" t="s">
        <v>68</v>
      </c>
      <c r="C35" s="52"/>
      <c r="D35" s="30">
        <f>C35*84</f>
        <v>0</v>
      </c>
      <c r="F35" s="58">
        <v>500</v>
      </c>
      <c r="G35" s="41">
        <v>2</v>
      </c>
      <c r="H35" s="207">
        <f t="shared" ref="H35:H39" si="2">F35*G35</f>
        <v>1000</v>
      </c>
      <c r="I35" s="208"/>
      <c r="J35" s="209"/>
      <c r="O35" t="s">
        <v>69</v>
      </c>
      <c r="P35" s="4">
        <v>1102</v>
      </c>
      <c r="Q35" s="4"/>
      <c r="R35" s="5">
        <f t="shared" si="0"/>
        <v>1102</v>
      </c>
    </row>
    <row r="36" spans="1:18" ht="15.75" x14ac:dyDescent="0.25">
      <c r="A36" s="129"/>
      <c r="B36" s="26" t="s">
        <v>70</v>
      </c>
      <c r="C36" s="10"/>
      <c r="D36" s="12">
        <f>C36*1.5</f>
        <v>0</v>
      </c>
      <c r="F36" s="12">
        <v>200</v>
      </c>
      <c r="G36" s="37"/>
      <c r="H36" s="207">
        <f>F36*G36</f>
        <v>0</v>
      </c>
      <c r="I36" s="208"/>
      <c r="J36" s="209"/>
      <c r="O36" t="s">
        <v>71</v>
      </c>
      <c r="P36" s="4">
        <v>852</v>
      </c>
      <c r="Q36" s="4">
        <v>120</v>
      </c>
      <c r="R36" s="5">
        <f t="shared" si="0"/>
        <v>972</v>
      </c>
    </row>
    <row r="37" spans="1:18" ht="15.75" x14ac:dyDescent="0.25">
      <c r="A37" s="127" t="s">
        <v>72</v>
      </c>
      <c r="B37" s="28" t="s">
        <v>66</v>
      </c>
      <c r="C37" s="53">
        <v>191</v>
      </c>
      <c r="D37" s="12">
        <f>C37*111</f>
        <v>21201</v>
      </c>
      <c r="F37" s="12">
        <v>100</v>
      </c>
      <c r="G37" s="39">
        <v>6</v>
      </c>
      <c r="H37" s="207">
        <f t="shared" si="2"/>
        <v>600</v>
      </c>
      <c r="I37" s="208"/>
      <c r="J37" s="209"/>
      <c r="O37" t="s">
        <v>73</v>
      </c>
      <c r="P37" s="4">
        <v>1020</v>
      </c>
      <c r="Q37" s="4">
        <v>120</v>
      </c>
      <c r="R37" s="5">
        <f t="shared" si="0"/>
        <v>1140</v>
      </c>
    </row>
    <row r="38" spans="1:18" ht="15.75" x14ac:dyDescent="0.25">
      <c r="A38" s="128"/>
      <c r="B38" s="29" t="s">
        <v>68</v>
      </c>
      <c r="C38" s="54">
        <v>1</v>
      </c>
      <c r="D38" s="12">
        <f>C38*84</f>
        <v>84</v>
      </c>
      <c r="F38" s="30">
        <v>50</v>
      </c>
      <c r="G38" s="39">
        <v>3</v>
      </c>
      <c r="H38" s="207">
        <f t="shared" si="2"/>
        <v>150</v>
      </c>
      <c r="I38" s="208"/>
      <c r="J38" s="209"/>
      <c r="O38" t="s">
        <v>74</v>
      </c>
      <c r="P38" s="4">
        <v>596</v>
      </c>
      <c r="Q38" s="4">
        <v>111</v>
      </c>
      <c r="R38" s="5">
        <f t="shared" si="0"/>
        <v>707</v>
      </c>
    </row>
    <row r="39" spans="1:18" ht="15.75" x14ac:dyDescent="0.25">
      <c r="A39" s="129"/>
      <c r="B39" s="29" t="s">
        <v>70</v>
      </c>
      <c r="C39" s="52"/>
      <c r="D39" s="31">
        <f>C39*4.5</f>
        <v>0</v>
      </c>
      <c r="F39" s="12">
        <v>20</v>
      </c>
      <c r="G39" s="37"/>
      <c r="H39" s="207">
        <f t="shared" si="2"/>
        <v>0</v>
      </c>
      <c r="I39" s="208"/>
      <c r="J39" s="209"/>
      <c r="O39" t="s">
        <v>75</v>
      </c>
      <c r="P39" s="4">
        <v>1175</v>
      </c>
      <c r="Q39" s="4"/>
      <c r="R39" s="5">
        <f t="shared" si="0"/>
        <v>1175</v>
      </c>
    </row>
    <row r="40" spans="1:18" ht="15.75" x14ac:dyDescent="0.25">
      <c r="A40" s="127" t="s">
        <v>76</v>
      </c>
      <c r="B40" s="27" t="s">
        <v>66</v>
      </c>
      <c r="C40" s="63"/>
      <c r="D40" s="12">
        <f>C40*111</f>
        <v>0</v>
      </c>
      <c r="F40" s="12">
        <v>10</v>
      </c>
      <c r="G40" s="42"/>
      <c r="H40" s="207"/>
      <c r="I40" s="208"/>
      <c r="J40" s="209"/>
      <c r="O40" t="s">
        <v>77</v>
      </c>
      <c r="P40" s="4">
        <v>913</v>
      </c>
      <c r="Q40" s="4">
        <v>120</v>
      </c>
      <c r="R40" s="5">
        <f t="shared" si="0"/>
        <v>1033</v>
      </c>
    </row>
    <row r="41" spans="1:18" ht="15.75" x14ac:dyDescent="0.25">
      <c r="A41" s="128"/>
      <c r="B41" s="27" t="s">
        <v>68</v>
      </c>
      <c r="C41" s="10"/>
      <c r="D41" s="12">
        <f>C41*84</f>
        <v>0</v>
      </c>
      <c r="F41" s="12">
        <v>5</v>
      </c>
      <c r="G41" s="42"/>
      <c r="H41" s="207"/>
      <c r="I41" s="208"/>
      <c r="J41" s="209"/>
      <c r="K41" s="21"/>
      <c r="O41" t="s">
        <v>78</v>
      </c>
      <c r="P41" s="4">
        <v>614</v>
      </c>
      <c r="Q41" s="4">
        <v>111</v>
      </c>
      <c r="R41" s="5">
        <f t="shared" si="0"/>
        <v>725</v>
      </c>
    </row>
    <row r="42" spans="1:18" ht="15.75" x14ac:dyDescent="0.25">
      <c r="A42" s="129"/>
      <c r="B42" s="27" t="s">
        <v>70</v>
      </c>
      <c r="C42" s="11"/>
      <c r="D42" s="12">
        <f>C42*2.25</f>
        <v>0</v>
      </c>
      <c r="F42" s="39" t="s">
        <v>79</v>
      </c>
      <c r="G42" s="207">
        <v>67</v>
      </c>
      <c r="H42" s="208"/>
      <c r="I42" s="208"/>
      <c r="J42" s="209"/>
      <c r="K42" s="36"/>
      <c r="O42" t="s">
        <v>80</v>
      </c>
      <c r="P42" s="4">
        <v>626</v>
      </c>
      <c r="Q42" s="4">
        <v>111</v>
      </c>
      <c r="R42" s="5">
        <f t="shared" si="0"/>
        <v>737</v>
      </c>
    </row>
    <row r="43" spans="1:18" ht="15.75" x14ac:dyDescent="0.25">
      <c r="A43" s="210" t="s">
        <v>81</v>
      </c>
      <c r="C43" s="11"/>
      <c r="D43" s="12"/>
      <c r="F43" s="59" t="s">
        <v>82</v>
      </c>
      <c r="G43" s="104" t="s">
        <v>83</v>
      </c>
      <c r="H43" s="213" t="s">
        <v>13</v>
      </c>
      <c r="I43" s="214"/>
      <c r="J43" s="215"/>
      <c r="K43" s="21"/>
      <c r="P43" s="4"/>
      <c r="Q43" s="4"/>
      <c r="R43" s="5"/>
    </row>
    <row r="44" spans="1:18" ht="15.75" x14ac:dyDescent="0.25">
      <c r="A44" s="211"/>
      <c r="B44" s="27" t="s">
        <v>66</v>
      </c>
      <c r="C44" s="10"/>
      <c r="D44" s="12">
        <f>C44*120</f>
        <v>0</v>
      </c>
      <c r="F44" s="37" t="s">
        <v>144</v>
      </c>
      <c r="G44" s="62" t="s">
        <v>170</v>
      </c>
      <c r="H44" s="191">
        <v>128294</v>
      </c>
      <c r="I44" s="191"/>
      <c r="J44" s="191"/>
      <c r="K44" s="21"/>
      <c r="P44" s="4"/>
      <c r="Q44" s="4"/>
      <c r="R44" s="5"/>
    </row>
    <row r="45" spans="1:18" ht="15.75" x14ac:dyDescent="0.25">
      <c r="A45" s="211"/>
      <c r="B45" s="27" t="s">
        <v>68</v>
      </c>
      <c r="C45" s="33"/>
      <c r="D45" s="12">
        <f>C45*84</f>
        <v>0</v>
      </c>
      <c r="F45" s="37"/>
      <c r="G45" s="62"/>
      <c r="H45" s="191"/>
      <c r="I45" s="191"/>
      <c r="J45" s="191"/>
      <c r="K45" s="21"/>
      <c r="P45" s="4"/>
      <c r="Q45" s="4"/>
      <c r="R45" s="5"/>
    </row>
    <row r="46" spans="1:18" ht="15.75" x14ac:dyDescent="0.25">
      <c r="A46" s="211"/>
      <c r="B46" s="49" t="s">
        <v>70</v>
      </c>
      <c r="C46" s="81"/>
      <c r="D46" s="12">
        <f>C46*1.5</f>
        <v>0</v>
      </c>
      <c r="F46" s="37"/>
      <c r="G46" s="103"/>
      <c r="H46" s="216"/>
      <c r="I46" s="216"/>
      <c r="J46" s="216"/>
      <c r="K46" s="21"/>
      <c r="P46" s="4"/>
      <c r="Q46" s="4"/>
      <c r="R46" s="5"/>
    </row>
    <row r="47" spans="1:18" ht="15.75" x14ac:dyDescent="0.25">
      <c r="A47" s="212"/>
      <c r="B47" s="27"/>
      <c r="C47" s="11"/>
      <c r="D47" s="12"/>
      <c r="F47" s="59"/>
      <c r="G47" s="59"/>
      <c r="H47" s="217"/>
      <c r="I47" s="218"/>
      <c r="J47" s="219"/>
      <c r="K47" s="21"/>
      <c r="P47" s="4"/>
      <c r="Q47" s="4"/>
      <c r="R47" s="5"/>
    </row>
    <row r="48" spans="1:18" ht="15" customHeight="1" x14ac:dyDescent="0.25">
      <c r="A48" s="210" t="s">
        <v>32</v>
      </c>
      <c r="B48" s="27" t="s">
        <v>66</v>
      </c>
      <c r="C48" s="10">
        <v>1</v>
      </c>
      <c r="D48" s="12">
        <f>C48*78</f>
        <v>78</v>
      </c>
      <c r="F48" s="59"/>
      <c r="G48" s="59"/>
      <c r="H48" s="217"/>
      <c r="I48" s="218"/>
      <c r="J48" s="219"/>
      <c r="K48" s="35"/>
      <c r="O48" t="s">
        <v>84</v>
      </c>
      <c r="P48" s="4">
        <v>1175</v>
      </c>
      <c r="Q48" s="4"/>
      <c r="R48" s="5">
        <f t="shared" si="0"/>
        <v>1175</v>
      </c>
    </row>
    <row r="49" spans="1:18" ht="15.75" x14ac:dyDescent="0.25">
      <c r="A49" s="211"/>
      <c r="B49" s="29" t="s">
        <v>68</v>
      </c>
      <c r="C49" s="33"/>
      <c r="D49" s="12">
        <f>C49*42</f>
        <v>0</v>
      </c>
      <c r="F49" s="232" t="s">
        <v>86</v>
      </c>
      <c r="G49" s="179">
        <f>H34+H35+H36+H37+H38+H39+H40+H41+G42+H44+H45+H46</f>
        <v>139111</v>
      </c>
      <c r="H49" s="180"/>
      <c r="I49" s="180"/>
      <c r="J49" s="181"/>
      <c r="O49" t="s">
        <v>85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211"/>
      <c r="B50" s="32" t="s">
        <v>70</v>
      </c>
      <c r="C50" s="11">
        <v>1</v>
      </c>
      <c r="D50" s="12">
        <f>C50*1.5</f>
        <v>1.5</v>
      </c>
      <c r="F50" s="233"/>
      <c r="G50" s="182"/>
      <c r="H50" s="183"/>
      <c r="I50" s="183"/>
      <c r="J50" s="184"/>
      <c r="P50" s="4"/>
      <c r="Q50" s="4"/>
      <c r="R50" s="5"/>
    </row>
    <row r="51" spans="1:18" ht="15" customHeight="1" x14ac:dyDescent="0.25">
      <c r="A51" s="211"/>
      <c r="B51" s="27"/>
      <c r="C51" s="10"/>
      <c r="D51" s="31"/>
      <c r="F51" s="234" t="s">
        <v>156</v>
      </c>
      <c r="G51" s="236">
        <f>G49-H29</f>
        <v>0.5</v>
      </c>
      <c r="H51" s="237"/>
      <c r="I51" s="237"/>
      <c r="J51" s="238"/>
      <c r="K51" s="21"/>
      <c r="O51" t="s">
        <v>87</v>
      </c>
      <c r="P51" s="4">
        <v>703</v>
      </c>
      <c r="Q51" s="4">
        <v>120</v>
      </c>
      <c r="R51" s="5">
        <f t="shared" si="0"/>
        <v>823</v>
      </c>
    </row>
    <row r="52" spans="1:18" ht="15.75" x14ac:dyDescent="0.25">
      <c r="A52" s="211"/>
      <c r="B52" s="29"/>
      <c r="C52" s="33"/>
      <c r="D52" s="45"/>
      <c r="F52" s="235"/>
      <c r="G52" s="239"/>
      <c r="H52" s="240"/>
      <c r="I52" s="240"/>
      <c r="J52" s="241"/>
      <c r="K52" s="21"/>
      <c r="O52" t="s">
        <v>88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212"/>
      <c r="B53" s="32"/>
      <c r="C53" s="11"/>
      <c r="D53" s="12"/>
      <c r="F53" s="35"/>
      <c r="G53" s="24"/>
      <c r="H53" s="24"/>
      <c r="I53" s="24"/>
      <c r="J53" s="17"/>
      <c r="N53" s="1"/>
      <c r="O53" t="s">
        <v>89</v>
      </c>
      <c r="P53" s="4">
        <v>1142</v>
      </c>
    </row>
    <row r="54" spans="1:18" x14ac:dyDescent="0.25">
      <c r="A54" s="175" t="s">
        <v>90</v>
      </c>
      <c r="B54" s="220"/>
      <c r="C54" s="221"/>
      <c r="D54" s="224">
        <f>SUM(D34:D53)</f>
        <v>21364.5</v>
      </c>
      <c r="F54" s="21"/>
      <c r="J54" s="34"/>
    </row>
    <row r="55" spans="1:18" x14ac:dyDescent="0.25">
      <c r="A55" s="177"/>
      <c r="B55" s="222"/>
      <c r="C55" s="223"/>
      <c r="D55" s="225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151</v>
      </c>
      <c r="D57" s="34"/>
      <c r="F57" s="36"/>
      <c r="G57" s="50"/>
      <c r="H57" s="50"/>
      <c r="I57" s="50"/>
      <c r="J57" s="43"/>
    </row>
    <row r="58" spans="1:18" x14ac:dyDescent="0.25">
      <c r="A58" s="226" t="s">
        <v>91</v>
      </c>
      <c r="B58" s="227"/>
      <c r="C58" s="227"/>
      <c r="D58" s="228"/>
      <c r="F58" s="226" t="s">
        <v>92</v>
      </c>
      <c r="G58" s="227"/>
      <c r="H58" s="227"/>
      <c r="I58" s="227"/>
      <c r="J58" s="228"/>
    </row>
    <row r="59" spans="1:18" x14ac:dyDescent="0.25">
      <c r="A59" s="229"/>
      <c r="B59" s="230"/>
      <c r="C59" s="230"/>
      <c r="D59" s="231"/>
      <c r="F59" s="229"/>
      <c r="G59" s="230"/>
      <c r="H59" s="230"/>
      <c r="I59" s="230"/>
      <c r="J59" s="231"/>
    </row>
  </sheetData>
  <mergeCells count="68"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  <mergeCell ref="H13:J13"/>
    <mergeCell ref="F14:G14"/>
    <mergeCell ref="H14:J14"/>
    <mergeCell ref="F15:G15"/>
    <mergeCell ref="H15:J15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A32:D32"/>
    <mergeCell ref="F32:J32"/>
    <mergeCell ref="H33:J33"/>
    <mergeCell ref="A34:A36"/>
    <mergeCell ref="H34:J34"/>
    <mergeCell ref="H35:J35"/>
    <mergeCell ref="H36:J36"/>
    <mergeCell ref="A37:A39"/>
    <mergeCell ref="H37:J37"/>
    <mergeCell ref="H38:J38"/>
    <mergeCell ref="H39:J39"/>
    <mergeCell ref="A40:A42"/>
    <mergeCell ref="H40:J40"/>
    <mergeCell ref="H41:J41"/>
    <mergeCell ref="G42:J42"/>
    <mergeCell ref="A43:A47"/>
    <mergeCell ref="H43:J43"/>
    <mergeCell ref="H44:J44"/>
    <mergeCell ref="H45:J45"/>
    <mergeCell ref="H46:J46"/>
    <mergeCell ref="H47:J47"/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3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857EE72-951F-445C-A6EB-A51F88E424C7}">
  <dimension ref="A1:R59"/>
  <sheetViews>
    <sheetView topLeftCell="A19"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113" t="s">
        <v>1</v>
      </c>
      <c r="O1" s="113"/>
      <c r="P1" s="100" t="s">
        <v>2</v>
      </c>
      <c r="Q1" s="100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14" t="s">
        <v>7</v>
      </c>
      <c r="B4" s="115"/>
      <c r="C4" s="115"/>
      <c r="D4" s="116"/>
      <c r="F4" s="117" t="s">
        <v>8</v>
      </c>
      <c r="G4" s="119">
        <v>3</v>
      </c>
      <c r="H4" s="121" t="s">
        <v>9</v>
      </c>
      <c r="I4" s="123">
        <v>45973</v>
      </c>
      <c r="J4" s="124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27" t="s">
        <v>7</v>
      </c>
      <c r="B5" s="15" t="s">
        <v>11</v>
      </c>
      <c r="C5" s="9" t="s">
        <v>12</v>
      </c>
      <c r="D5" s="25" t="s">
        <v>13</v>
      </c>
      <c r="F5" s="118"/>
      <c r="G5" s="120"/>
      <c r="H5" s="122"/>
      <c r="I5" s="125"/>
      <c r="J5" s="126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28"/>
      <c r="B6" s="16" t="s">
        <v>15</v>
      </c>
      <c r="C6" s="10">
        <v>171</v>
      </c>
      <c r="D6" s="13">
        <f t="shared" ref="D6:D28" si="1">C6*L6</f>
        <v>126027</v>
      </c>
      <c r="F6" s="130" t="s">
        <v>16</v>
      </c>
      <c r="G6" s="132" t="s">
        <v>111</v>
      </c>
      <c r="H6" s="133"/>
      <c r="I6" s="133"/>
      <c r="J6" s="134"/>
      <c r="K6" s="8"/>
      <c r="L6" s="6">
        <f>R42</f>
        <v>737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28"/>
      <c r="B7" s="16" t="s">
        <v>18</v>
      </c>
      <c r="C7" s="10">
        <v>6</v>
      </c>
      <c r="D7" s="13">
        <f t="shared" si="1"/>
        <v>4350</v>
      </c>
      <c r="F7" s="131"/>
      <c r="G7" s="135"/>
      <c r="H7" s="136"/>
      <c r="I7" s="136"/>
      <c r="J7" s="137"/>
      <c r="K7" s="8"/>
      <c r="L7" s="6">
        <f>R41</f>
        <v>725</v>
      </c>
      <c r="P7" s="4"/>
      <c r="Q7" s="4"/>
      <c r="R7" s="5"/>
    </row>
    <row r="8" spans="1:18" ht="14.45" customHeight="1" x14ac:dyDescent="0.25">
      <c r="A8" s="128"/>
      <c r="B8" s="16" t="s">
        <v>20</v>
      </c>
      <c r="C8" s="10"/>
      <c r="D8" s="13">
        <f t="shared" si="1"/>
        <v>0</v>
      </c>
      <c r="F8" s="138" t="s">
        <v>21</v>
      </c>
      <c r="G8" s="140" t="s">
        <v>119</v>
      </c>
      <c r="H8" s="141"/>
      <c r="I8" s="141"/>
      <c r="J8" s="142"/>
      <c r="K8" s="8"/>
      <c r="L8" s="6">
        <f>R40</f>
        <v>1033</v>
      </c>
      <c r="P8" s="4"/>
      <c r="Q8" s="4"/>
      <c r="R8" s="5"/>
    </row>
    <row r="9" spans="1:18" ht="14.45" customHeight="1" x14ac:dyDescent="0.25">
      <c r="A9" s="128"/>
      <c r="B9" s="16" t="s">
        <v>23</v>
      </c>
      <c r="C9" s="10">
        <v>24</v>
      </c>
      <c r="D9" s="13">
        <f t="shared" si="1"/>
        <v>16968</v>
      </c>
      <c r="F9" s="131"/>
      <c r="G9" s="143"/>
      <c r="H9" s="144"/>
      <c r="I9" s="144"/>
      <c r="J9" s="145"/>
      <c r="K9" s="8"/>
      <c r="L9" s="6">
        <f>R38</f>
        <v>707</v>
      </c>
      <c r="P9" s="4"/>
      <c r="Q9" s="4"/>
      <c r="R9" s="5"/>
    </row>
    <row r="10" spans="1:18" ht="14.45" customHeight="1" x14ac:dyDescent="0.25">
      <c r="A10" s="128"/>
      <c r="B10" t="s">
        <v>25</v>
      </c>
      <c r="C10" s="10"/>
      <c r="D10" s="13">
        <f t="shared" si="1"/>
        <v>0</v>
      </c>
      <c r="F10" s="130" t="s">
        <v>26</v>
      </c>
      <c r="G10" s="146" t="s">
        <v>137</v>
      </c>
      <c r="H10" s="147"/>
      <c r="I10" s="147"/>
      <c r="J10" s="148"/>
      <c r="K10" s="8"/>
      <c r="L10" s="6">
        <f>R36</f>
        <v>972</v>
      </c>
      <c r="P10" s="4"/>
      <c r="Q10" s="4"/>
      <c r="R10" s="5"/>
    </row>
    <row r="11" spans="1:18" ht="15.75" x14ac:dyDescent="0.25">
      <c r="A11" s="128"/>
      <c r="B11" s="17" t="s">
        <v>28</v>
      </c>
      <c r="C11" s="10"/>
      <c r="D11" s="13">
        <f t="shared" si="1"/>
        <v>0</v>
      </c>
      <c r="F11" s="131"/>
      <c r="G11" s="143"/>
      <c r="H11" s="144"/>
      <c r="I11" s="144"/>
      <c r="J11" s="145"/>
      <c r="K11" s="22"/>
      <c r="L11" s="6">
        <f>R32</f>
        <v>1125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28"/>
      <c r="B12" s="17" t="s">
        <v>30</v>
      </c>
      <c r="C12" s="10">
        <v>2</v>
      </c>
      <c r="D12" s="48">
        <f t="shared" si="1"/>
        <v>1904</v>
      </c>
      <c r="F12" s="149" t="s">
        <v>33</v>
      </c>
      <c r="G12" s="150"/>
      <c r="H12" s="150"/>
      <c r="I12" s="150"/>
      <c r="J12" s="151"/>
      <c r="K12" s="23"/>
      <c r="L12" s="6">
        <f>R34</f>
        <v>952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28"/>
      <c r="B13" s="17" t="s">
        <v>32</v>
      </c>
      <c r="C13" s="10">
        <v>7</v>
      </c>
      <c r="D13" s="48">
        <f t="shared" si="1"/>
        <v>2149</v>
      </c>
      <c r="F13" s="152" t="s">
        <v>36</v>
      </c>
      <c r="G13" s="153"/>
      <c r="H13" s="154">
        <f>D29</f>
        <v>156308.5</v>
      </c>
      <c r="I13" s="155"/>
      <c r="J13" s="156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28"/>
      <c r="B14" s="14" t="s">
        <v>35</v>
      </c>
      <c r="C14" s="10">
        <v>22</v>
      </c>
      <c r="D14" s="31">
        <f t="shared" si="1"/>
        <v>242</v>
      </c>
      <c r="F14" s="157" t="s">
        <v>39</v>
      </c>
      <c r="G14" s="158"/>
      <c r="H14" s="159">
        <f>D54</f>
        <v>35391</v>
      </c>
      <c r="I14" s="160"/>
      <c r="J14" s="161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28"/>
      <c r="B15" s="14" t="s">
        <v>38</v>
      </c>
      <c r="C15" s="10">
        <v>1</v>
      </c>
      <c r="D15" s="31">
        <f t="shared" si="1"/>
        <v>620</v>
      </c>
      <c r="F15" s="162" t="s">
        <v>40</v>
      </c>
      <c r="G15" s="153"/>
      <c r="H15" s="163">
        <f>H13-H14</f>
        <v>120917.5</v>
      </c>
      <c r="I15" s="164"/>
      <c r="J15" s="165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28"/>
      <c r="B16" s="18" t="s">
        <v>94</v>
      </c>
      <c r="C16" s="10"/>
      <c r="D16" s="48">
        <f t="shared" si="1"/>
        <v>0</v>
      </c>
      <c r="F16" s="67" t="s">
        <v>42</v>
      </c>
      <c r="G16" s="66" t="s">
        <v>43</v>
      </c>
      <c r="H16" s="166">
        <f>52*6</f>
        <v>312</v>
      </c>
      <c r="I16" s="166"/>
      <c r="J16" s="166"/>
      <c r="L16" s="6">
        <f>R28</f>
        <v>1567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28"/>
      <c r="B17" t="s">
        <v>113</v>
      </c>
      <c r="C17" s="10"/>
      <c r="D17" s="48">
        <f t="shared" si="1"/>
        <v>0</v>
      </c>
      <c r="F17" s="56"/>
      <c r="G17" s="66" t="s">
        <v>45</v>
      </c>
      <c r="H17" s="139"/>
      <c r="I17" s="139"/>
      <c r="J17" s="139"/>
      <c r="L17" s="6">
        <v>1582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28"/>
      <c r="B18" s="19" t="s">
        <v>95</v>
      </c>
      <c r="C18" s="10"/>
      <c r="D18" s="48">
        <f t="shared" si="1"/>
        <v>0</v>
      </c>
      <c r="F18" s="56"/>
      <c r="G18" s="66" t="s">
        <v>47</v>
      </c>
      <c r="H18" s="139"/>
      <c r="I18" s="139"/>
      <c r="J18" s="139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28"/>
      <c r="B19" s="14" t="s">
        <v>117</v>
      </c>
      <c r="C19" s="10"/>
      <c r="D19" s="48">
        <f t="shared" si="1"/>
        <v>0</v>
      </c>
      <c r="F19" s="56"/>
      <c r="G19" s="68" t="s">
        <v>50</v>
      </c>
      <c r="H19" s="253">
        <v>50</v>
      </c>
      <c r="I19" s="253"/>
      <c r="J19" s="253"/>
      <c r="L19" s="6">
        <f>R35</f>
        <v>1102</v>
      </c>
      <c r="Q19" s="4"/>
      <c r="R19" s="5">
        <f t="shared" si="0"/>
        <v>0</v>
      </c>
    </row>
    <row r="20" spans="1:18" ht="15.75" x14ac:dyDescent="0.25">
      <c r="A20" s="128"/>
      <c r="B20" s="46" t="s">
        <v>108</v>
      </c>
      <c r="C20" s="10"/>
      <c r="D20" s="13">
        <f t="shared" si="1"/>
        <v>0</v>
      </c>
      <c r="F20" s="57"/>
      <c r="G20" s="70" t="s">
        <v>120</v>
      </c>
      <c r="H20" s="166"/>
      <c r="I20" s="166"/>
      <c r="J20" s="166"/>
      <c r="L20" s="6">
        <f>1102</f>
        <v>1102</v>
      </c>
      <c r="N20" s="1" t="s">
        <v>41</v>
      </c>
      <c r="Q20" s="4"/>
      <c r="R20" s="5">
        <f t="shared" si="0"/>
        <v>0</v>
      </c>
    </row>
    <row r="21" spans="1:18" ht="15.75" x14ac:dyDescent="0.25">
      <c r="A21" s="128"/>
      <c r="B21" s="14" t="s">
        <v>126</v>
      </c>
      <c r="C21" s="10"/>
      <c r="D21" s="48">
        <f t="shared" si="1"/>
        <v>0</v>
      </c>
      <c r="F21" s="69" t="s">
        <v>99</v>
      </c>
      <c r="G21" s="82" t="s">
        <v>98</v>
      </c>
      <c r="H21" s="186" t="s">
        <v>13</v>
      </c>
      <c r="I21" s="187"/>
      <c r="J21" s="188"/>
      <c r="L21" s="7">
        <v>650</v>
      </c>
      <c r="O21" t="s">
        <v>44</v>
      </c>
      <c r="P21" s="4">
        <v>1447</v>
      </c>
      <c r="Q21" s="4">
        <v>120</v>
      </c>
      <c r="R21" s="5">
        <f t="shared" si="0"/>
        <v>1567</v>
      </c>
    </row>
    <row r="22" spans="1:18" ht="15.75" x14ac:dyDescent="0.25">
      <c r="A22" s="128"/>
      <c r="B22" s="46" t="s">
        <v>104</v>
      </c>
      <c r="C22" s="10"/>
      <c r="D22" s="48">
        <f t="shared" si="1"/>
        <v>0</v>
      </c>
      <c r="F22" s="77"/>
      <c r="G22" s="73"/>
      <c r="H22" s="189"/>
      <c r="I22" s="189"/>
      <c r="J22" s="189"/>
      <c r="L22" s="7">
        <f>559+111</f>
        <v>670</v>
      </c>
      <c r="O22" t="s">
        <v>46</v>
      </c>
      <c r="P22" s="4">
        <v>1582</v>
      </c>
      <c r="Q22" s="4"/>
      <c r="R22" s="5">
        <f t="shared" si="0"/>
        <v>1582</v>
      </c>
    </row>
    <row r="23" spans="1:18" ht="15.75" x14ac:dyDescent="0.25">
      <c r="A23" s="128"/>
      <c r="B23" s="14" t="s">
        <v>107</v>
      </c>
      <c r="C23" s="10"/>
      <c r="D23" s="48">
        <f t="shared" si="1"/>
        <v>0</v>
      </c>
      <c r="F23" s="78"/>
      <c r="G23" s="79"/>
      <c r="H23" s="190"/>
      <c r="I23" s="191"/>
      <c r="J23" s="191"/>
      <c r="L23" s="47">
        <f>R33</f>
        <v>1175</v>
      </c>
      <c r="N23" s="1"/>
      <c r="O23" t="s">
        <v>48</v>
      </c>
      <c r="P23" s="4">
        <v>1728</v>
      </c>
      <c r="Q23" s="4"/>
      <c r="R23" s="5">
        <f t="shared" si="0"/>
        <v>1728</v>
      </c>
    </row>
    <row r="24" spans="1:18" ht="15.75" x14ac:dyDescent="0.25">
      <c r="A24" s="128"/>
      <c r="B24" s="14" t="s">
        <v>101</v>
      </c>
      <c r="C24" s="10"/>
      <c r="D24" s="48">
        <f t="shared" si="1"/>
        <v>0</v>
      </c>
      <c r="F24" s="38"/>
      <c r="G24" s="37"/>
      <c r="H24" s="190"/>
      <c r="I24" s="191"/>
      <c r="J24" s="191"/>
      <c r="L24" s="47">
        <v>1667</v>
      </c>
      <c r="N24" s="1"/>
      <c r="O24" t="s">
        <v>49</v>
      </c>
      <c r="P24" s="4">
        <v>1728</v>
      </c>
      <c r="Q24" s="4"/>
      <c r="R24" s="5">
        <f t="shared" si="0"/>
        <v>1728</v>
      </c>
    </row>
    <row r="25" spans="1:18" ht="15.75" x14ac:dyDescent="0.25">
      <c r="A25" s="128"/>
      <c r="B25" s="14" t="s">
        <v>121</v>
      </c>
      <c r="C25" s="10">
        <v>12</v>
      </c>
      <c r="D25" s="48">
        <f t="shared" si="1"/>
        <v>474.5</v>
      </c>
      <c r="F25" s="60" t="s">
        <v>100</v>
      </c>
      <c r="G25" s="55" t="s">
        <v>98</v>
      </c>
      <c r="H25" s="192" t="s">
        <v>13</v>
      </c>
      <c r="I25" s="193"/>
      <c r="J25" s="194"/>
      <c r="L25" s="47">
        <f>913/24+1.5</f>
        <v>39.541666666666664</v>
      </c>
      <c r="O25" t="s">
        <v>51</v>
      </c>
      <c r="P25" s="4">
        <v>1582</v>
      </c>
      <c r="Q25" s="4"/>
      <c r="R25" s="5">
        <f t="shared" si="0"/>
        <v>1582</v>
      </c>
    </row>
    <row r="26" spans="1:18" ht="15.75" x14ac:dyDescent="0.25">
      <c r="A26" s="128"/>
      <c r="B26" s="14" t="s">
        <v>105</v>
      </c>
      <c r="C26" s="10">
        <v>12</v>
      </c>
      <c r="D26" s="48">
        <f t="shared" si="1"/>
        <v>434</v>
      </c>
      <c r="F26" s="64"/>
      <c r="G26" s="59"/>
      <c r="H26" s="195"/>
      <c r="I26" s="196"/>
      <c r="J26" s="197"/>
      <c r="L26" s="7">
        <f>832/24+1.5</f>
        <v>36.166666666666664</v>
      </c>
      <c r="O26" t="s">
        <v>52</v>
      </c>
      <c r="P26" s="4">
        <v>1447</v>
      </c>
      <c r="Q26" s="4">
        <v>120</v>
      </c>
      <c r="R26" s="5">
        <f t="shared" si="0"/>
        <v>1567</v>
      </c>
    </row>
    <row r="27" spans="1:18" ht="14.45" customHeight="1" x14ac:dyDescent="0.25">
      <c r="A27" s="128"/>
      <c r="B27" s="14" t="s">
        <v>109</v>
      </c>
      <c r="C27" s="10"/>
      <c r="D27" s="44">
        <f t="shared" si="1"/>
        <v>0</v>
      </c>
      <c r="F27" s="25"/>
      <c r="G27" s="80"/>
      <c r="H27" s="198"/>
      <c r="I27" s="199"/>
      <c r="J27" s="200"/>
      <c r="L27" s="7">
        <v>1582</v>
      </c>
      <c r="O27" t="s">
        <v>53</v>
      </c>
      <c r="P27" s="4">
        <v>1582</v>
      </c>
      <c r="Q27" s="4"/>
      <c r="R27" s="5">
        <f t="shared" si="0"/>
        <v>1582</v>
      </c>
    </row>
    <row r="28" spans="1:18" ht="15.75" x14ac:dyDescent="0.25">
      <c r="A28" s="129"/>
      <c r="B28" s="46" t="s">
        <v>97</v>
      </c>
      <c r="C28" s="10">
        <v>4</v>
      </c>
      <c r="D28" s="48">
        <f t="shared" si="1"/>
        <v>3140</v>
      </c>
      <c r="F28" s="101"/>
      <c r="G28" s="61"/>
      <c r="H28" s="201"/>
      <c r="I28" s="202"/>
      <c r="J28" s="203"/>
      <c r="L28" s="7">
        <v>785</v>
      </c>
      <c r="O28" t="s">
        <v>54</v>
      </c>
      <c r="P28" s="4">
        <v>1447</v>
      </c>
      <c r="Q28" s="4">
        <v>120</v>
      </c>
      <c r="R28" s="5">
        <f t="shared" si="0"/>
        <v>1567</v>
      </c>
    </row>
    <row r="29" spans="1:18" x14ac:dyDescent="0.25">
      <c r="A29" s="167" t="s">
        <v>36</v>
      </c>
      <c r="B29" s="168"/>
      <c r="C29" s="169"/>
      <c r="D29" s="173">
        <f>SUM(D6:D28)</f>
        <v>156308.5</v>
      </c>
      <c r="F29" s="175" t="s">
        <v>55</v>
      </c>
      <c r="G29" s="176"/>
      <c r="H29" s="179">
        <f>H15-H16-H17-H18-H19-H20-H22-H23-H24+H26+H27</f>
        <v>120555.5</v>
      </c>
      <c r="I29" s="180"/>
      <c r="J29" s="181"/>
      <c r="O29" t="s">
        <v>56</v>
      </c>
      <c r="P29" s="4">
        <v>1582</v>
      </c>
      <c r="Q29" s="4"/>
      <c r="R29" s="5">
        <f t="shared" si="0"/>
        <v>1582</v>
      </c>
    </row>
    <row r="30" spans="1:18" x14ac:dyDescent="0.25">
      <c r="A30" s="170"/>
      <c r="B30" s="171"/>
      <c r="C30" s="172"/>
      <c r="D30" s="174"/>
      <c r="F30" s="177"/>
      <c r="G30" s="178"/>
      <c r="H30" s="182"/>
      <c r="I30" s="183"/>
      <c r="J30" s="184"/>
      <c r="N30" s="1"/>
      <c r="Q30" s="4"/>
      <c r="R30" s="5">
        <f t="shared" si="0"/>
        <v>0</v>
      </c>
    </row>
    <row r="31" spans="1:18" x14ac:dyDescent="0.25">
      <c r="A31" s="24"/>
      <c r="B31" s="24"/>
      <c r="C31" s="24"/>
      <c r="D31" s="24"/>
      <c r="F31" s="24"/>
      <c r="G31" s="24"/>
      <c r="O31" t="s">
        <v>57</v>
      </c>
      <c r="P31" s="4">
        <v>1052</v>
      </c>
      <c r="Q31" s="4">
        <v>120</v>
      </c>
      <c r="R31" s="5">
        <f t="shared" si="0"/>
        <v>1172</v>
      </c>
    </row>
    <row r="32" spans="1:18" x14ac:dyDescent="0.25">
      <c r="A32" s="114" t="s">
        <v>58</v>
      </c>
      <c r="B32" s="115"/>
      <c r="C32" s="115"/>
      <c r="D32" s="116"/>
      <c r="F32" s="204" t="s">
        <v>59</v>
      </c>
      <c r="G32" s="205"/>
      <c r="H32" s="205"/>
      <c r="I32" s="205"/>
      <c r="J32" s="206"/>
      <c r="O32" t="s">
        <v>60</v>
      </c>
      <c r="P32" s="4">
        <v>1005</v>
      </c>
      <c r="Q32" s="4">
        <v>120</v>
      </c>
      <c r="R32" s="5">
        <f t="shared" si="0"/>
        <v>1125</v>
      </c>
    </row>
    <row r="33" spans="1:18" x14ac:dyDescent="0.25">
      <c r="A33" s="25"/>
      <c r="B33" s="25" t="s">
        <v>11</v>
      </c>
      <c r="C33" s="25" t="s">
        <v>61</v>
      </c>
      <c r="D33" s="25" t="s">
        <v>13</v>
      </c>
      <c r="F33" s="25" t="s">
        <v>62</v>
      </c>
      <c r="G33" s="102" t="s">
        <v>63</v>
      </c>
      <c r="H33" s="204" t="s">
        <v>13</v>
      </c>
      <c r="I33" s="205"/>
      <c r="J33" s="206"/>
      <c r="O33" t="s">
        <v>64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27" t="s">
        <v>65</v>
      </c>
      <c r="B34" s="26" t="s">
        <v>66</v>
      </c>
      <c r="C34" s="51"/>
      <c r="D34" s="30">
        <f>C34*120</f>
        <v>0</v>
      </c>
      <c r="F34" s="12">
        <v>1000</v>
      </c>
      <c r="G34" s="74">
        <v>77</v>
      </c>
      <c r="H34" s="207">
        <f>F34*G34</f>
        <v>77000</v>
      </c>
      <c r="I34" s="208"/>
      <c r="J34" s="209"/>
      <c r="O34" t="s">
        <v>67</v>
      </c>
      <c r="P34" s="4">
        <v>832</v>
      </c>
      <c r="Q34" s="4">
        <v>120</v>
      </c>
      <c r="R34" s="5">
        <f t="shared" si="0"/>
        <v>952</v>
      </c>
    </row>
    <row r="35" spans="1:18" ht="15.75" x14ac:dyDescent="0.25">
      <c r="A35" s="128"/>
      <c r="B35" s="27" t="s">
        <v>68</v>
      </c>
      <c r="C35" s="52"/>
      <c r="D35" s="30">
        <f>C35*84</f>
        <v>0</v>
      </c>
      <c r="F35" s="58">
        <v>500</v>
      </c>
      <c r="G35" s="41">
        <v>75</v>
      </c>
      <c r="H35" s="207">
        <f>F35*G35</f>
        <v>37500</v>
      </c>
      <c r="I35" s="208"/>
      <c r="J35" s="209"/>
      <c r="O35" t="s">
        <v>69</v>
      </c>
      <c r="P35" s="4">
        <v>1102</v>
      </c>
      <c r="Q35" s="4"/>
      <c r="R35" s="5">
        <f t="shared" si="0"/>
        <v>1102</v>
      </c>
    </row>
    <row r="36" spans="1:18" ht="15.75" x14ac:dyDescent="0.25">
      <c r="A36" s="129"/>
      <c r="B36" s="26" t="s">
        <v>70</v>
      </c>
      <c r="C36" s="10">
        <v>2</v>
      </c>
      <c r="D36" s="12">
        <f>C36*1.5</f>
        <v>3</v>
      </c>
      <c r="F36" s="12">
        <v>200</v>
      </c>
      <c r="G36" s="37">
        <v>1</v>
      </c>
      <c r="H36" s="207">
        <f t="shared" ref="H36:H39" si="2">F36*G36</f>
        <v>200</v>
      </c>
      <c r="I36" s="208"/>
      <c r="J36" s="209"/>
      <c r="O36" t="s">
        <v>71</v>
      </c>
      <c r="P36" s="4">
        <v>852</v>
      </c>
      <c r="Q36" s="4">
        <v>120</v>
      </c>
      <c r="R36" s="5">
        <f t="shared" si="0"/>
        <v>972</v>
      </c>
    </row>
    <row r="37" spans="1:18" ht="15.75" x14ac:dyDescent="0.25">
      <c r="A37" s="127" t="s">
        <v>72</v>
      </c>
      <c r="B37" s="28" t="s">
        <v>66</v>
      </c>
      <c r="C37" s="53">
        <v>295</v>
      </c>
      <c r="D37" s="12">
        <f>C37*111</f>
        <v>32745</v>
      </c>
      <c r="F37" s="12">
        <v>100</v>
      </c>
      <c r="G37" s="39">
        <v>27</v>
      </c>
      <c r="H37" s="207">
        <f t="shared" si="2"/>
        <v>2700</v>
      </c>
      <c r="I37" s="208"/>
      <c r="J37" s="209"/>
      <c r="O37" t="s">
        <v>73</v>
      </c>
      <c r="P37" s="4">
        <v>1020</v>
      </c>
      <c r="Q37" s="4">
        <v>120</v>
      </c>
      <c r="R37" s="5">
        <f t="shared" si="0"/>
        <v>1140</v>
      </c>
    </row>
    <row r="38" spans="1:18" ht="15.75" x14ac:dyDescent="0.25">
      <c r="A38" s="128"/>
      <c r="B38" s="29" t="s">
        <v>68</v>
      </c>
      <c r="C38" s="54">
        <v>2</v>
      </c>
      <c r="D38" s="12">
        <f>C38*84</f>
        <v>168</v>
      </c>
      <c r="F38" s="30">
        <v>50</v>
      </c>
      <c r="G38" s="39">
        <v>56</v>
      </c>
      <c r="H38" s="207">
        <f t="shared" si="2"/>
        <v>2800</v>
      </c>
      <c r="I38" s="208"/>
      <c r="J38" s="209"/>
      <c r="O38" t="s">
        <v>74</v>
      </c>
      <c r="P38" s="4">
        <v>596</v>
      </c>
      <c r="Q38" s="4">
        <v>111</v>
      </c>
      <c r="R38" s="5">
        <f t="shared" si="0"/>
        <v>707</v>
      </c>
    </row>
    <row r="39" spans="1:18" ht="15.75" x14ac:dyDescent="0.25">
      <c r="A39" s="129"/>
      <c r="B39" s="29" t="s">
        <v>70</v>
      </c>
      <c r="C39" s="52">
        <v>4</v>
      </c>
      <c r="D39" s="31">
        <f>C39*4.5</f>
        <v>18</v>
      </c>
      <c r="F39" s="12">
        <v>20</v>
      </c>
      <c r="G39" s="37">
        <v>1</v>
      </c>
      <c r="H39" s="207">
        <f t="shared" si="2"/>
        <v>20</v>
      </c>
      <c r="I39" s="208"/>
      <c r="J39" s="209"/>
      <c r="O39" t="s">
        <v>75</v>
      </c>
      <c r="P39" s="4">
        <v>1175</v>
      </c>
      <c r="Q39" s="4"/>
      <c r="R39" s="5">
        <f t="shared" si="0"/>
        <v>1175</v>
      </c>
    </row>
    <row r="40" spans="1:18" ht="15.75" x14ac:dyDescent="0.25">
      <c r="A40" s="127" t="s">
        <v>76</v>
      </c>
      <c r="B40" s="27" t="s">
        <v>66</v>
      </c>
      <c r="C40" s="63">
        <v>6</v>
      </c>
      <c r="D40" s="12">
        <f>C40*111</f>
        <v>666</v>
      </c>
      <c r="F40" s="12">
        <v>10</v>
      </c>
      <c r="G40" s="42"/>
      <c r="H40" s="207"/>
      <c r="I40" s="208"/>
      <c r="J40" s="209"/>
      <c r="O40" t="s">
        <v>77</v>
      </c>
      <c r="P40" s="4">
        <v>913</v>
      </c>
      <c r="Q40" s="4">
        <v>120</v>
      </c>
      <c r="R40" s="5">
        <f t="shared" si="0"/>
        <v>1033</v>
      </c>
    </row>
    <row r="41" spans="1:18" ht="15.75" x14ac:dyDescent="0.25">
      <c r="A41" s="128"/>
      <c r="B41" s="27" t="s">
        <v>68</v>
      </c>
      <c r="C41" s="10"/>
      <c r="D41" s="12">
        <f>C41*84</f>
        <v>0</v>
      </c>
      <c r="F41" s="12">
        <v>5</v>
      </c>
      <c r="G41" s="42"/>
      <c r="H41" s="207"/>
      <c r="I41" s="208"/>
      <c r="J41" s="209"/>
      <c r="K41" s="21"/>
      <c r="O41" t="s">
        <v>78</v>
      </c>
      <c r="P41" s="4">
        <v>614</v>
      </c>
      <c r="Q41" s="4">
        <v>111</v>
      </c>
      <c r="R41" s="5">
        <f t="shared" si="0"/>
        <v>725</v>
      </c>
    </row>
    <row r="42" spans="1:18" ht="15.75" x14ac:dyDescent="0.25">
      <c r="A42" s="129"/>
      <c r="B42" s="27" t="s">
        <v>70</v>
      </c>
      <c r="C42" s="11"/>
      <c r="D42" s="12">
        <f>C42*2.25</f>
        <v>0</v>
      </c>
      <c r="F42" s="39" t="s">
        <v>79</v>
      </c>
      <c r="G42" s="207">
        <v>383</v>
      </c>
      <c r="H42" s="208"/>
      <c r="I42" s="208"/>
      <c r="J42" s="209"/>
      <c r="K42" s="36"/>
      <c r="O42" t="s">
        <v>80</v>
      </c>
      <c r="P42" s="4">
        <v>626</v>
      </c>
      <c r="Q42" s="4">
        <v>111</v>
      </c>
      <c r="R42" s="5">
        <f t="shared" si="0"/>
        <v>737</v>
      </c>
    </row>
    <row r="43" spans="1:18" ht="15.75" x14ac:dyDescent="0.25">
      <c r="A43" s="210" t="s">
        <v>81</v>
      </c>
      <c r="C43" s="11"/>
      <c r="D43" s="12"/>
      <c r="F43" s="59" t="s">
        <v>82</v>
      </c>
      <c r="G43" s="104" t="s">
        <v>83</v>
      </c>
      <c r="H43" s="213" t="s">
        <v>13</v>
      </c>
      <c r="I43" s="214"/>
      <c r="J43" s="215"/>
      <c r="K43" s="21"/>
      <c r="P43" s="4"/>
      <c r="Q43" s="4"/>
      <c r="R43" s="5"/>
    </row>
    <row r="44" spans="1:18" ht="15.75" x14ac:dyDescent="0.25">
      <c r="A44" s="211"/>
      <c r="B44" s="27" t="s">
        <v>66</v>
      </c>
      <c r="C44" s="10">
        <v>3</v>
      </c>
      <c r="D44" s="12">
        <f>C44*120</f>
        <v>360</v>
      </c>
      <c r="F44" s="37"/>
      <c r="G44" s="76"/>
      <c r="H44" s="191"/>
      <c r="I44" s="191"/>
      <c r="J44" s="191"/>
      <c r="K44" s="21"/>
      <c r="P44" s="4"/>
      <c r="Q44" s="4"/>
      <c r="R44" s="5"/>
    </row>
    <row r="45" spans="1:18" ht="15.75" x14ac:dyDescent="0.25">
      <c r="A45" s="211"/>
      <c r="B45" s="27" t="s">
        <v>68</v>
      </c>
      <c r="C45" s="33">
        <v>1</v>
      </c>
      <c r="D45" s="12">
        <f>C45*84</f>
        <v>84</v>
      </c>
      <c r="F45" s="37"/>
      <c r="G45" s="76"/>
      <c r="H45" s="191"/>
      <c r="I45" s="191"/>
      <c r="J45" s="191"/>
      <c r="K45" s="21"/>
      <c r="P45" s="4"/>
      <c r="Q45" s="4"/>
      <c r="R45" s="5"/>
    </row>
    <row r="46" spans="1:18" ht="15.75" x14ac:dyDescent="0.25">
      <c r="A46" s="211"/>
      <c r="B46" s="49" t="s">
        <v>70</v>
      </c>
      <c r="C46" s="81">
        <v>10</v>
      </c>
      <c r="D46" s="12">
        <f>C46*1.5</f>
        <v>15</v>
      </c>
      <c r="F46" s="37"/>
      <c r="G46" s="62"/>
      <c r="H46" s="216"/>
      <c r="I46" s="216"/>
      <c r="J46" s="216"/>
      <c r="K46" s="21"/>
      <c r="P46" s="4"/>
      <c r="Q46" s="4"/>
      <c r="R46" s="5"/>
    </row>
    <row r="47" spans="1:18" ht="15.75" x14ac:dyDescent="0.25">
      <c r="A47" s="212"/>
      <c r="B47" s="27"/>
      <c r="C47" s="11"/>
      <c r="D47" s="12"/>
      <c r="F47" s="59"/>
      <c r="G47" s="59"/>
      <c r="H47" s="217"/>
      <c r="I47" s="218"/>
      <c r="J47" s="219"/>
      <c r="K47" s="21"/>
      <c r="P47" s="4"/>
      <c r="Q47" s="4"/>
      <c r="R47" s="5"/>
    </row>
    <row r="48" spans="1:18" ht="15" customHeight="1" x14ac:dyDescent="0.25">
      <c r="A48" s="210" t="s">
        <v>32</v>
      </c>
      <c r="B48" s="27" t="s">
        <v>66</v>
      </c>
      <c r="C48" s="10">
        <v>16</v>
      </c>
      <c r="D48" s="12">
        <f>C48*78</f>
        <v>1248</v>
      </c>
      <c r="F48" s="59"/>
      <c r="G48" s="59"/>
      <c r="H48" s="217"/>
      <c r="I48" s="218"/>
      <c r="J48" s="219"/>
      <c r="K48" s="35"/>
      <c r="O48" t="s">
        <v>84</v>
      </c>
      <c r="P48" s="4">
        <v>1175</v>
      </c>
      <c r="Q48" s="4"/>
      <c r="R48" s="5">
        <f t="shared" si="0"/>
        <v>1175</v>
      </c>
    </row>
    <row r="49" spans="1:18" ht="15.75" x14ac:dyDescent="0.25">
      <c r="A49" s="211"/>
      <c r="B49" s="29" t="s">
        <v>68</v>
      </c>
      <c r="C49" s="33">
        <v>2</v>
      </c>
      <c r="D49" s="12">
        <f>C49*42</f>
        <v>84</v>
      </c>
      <c r="F49" s="232" t="s">
        <v>86</v>
      </c>
      <c r="G49" s="179">
        <f>H34+H35+H36+H37+H38+H39+H40+H41+G42+H44+H45+H46</f>
        <v>120603</v>
      </c>
      <c r="H49" s="180"/>
      <c r="I49" s="180"/>
      <c r="J49" s="181"/>
      <c r="O49" t="s">
        <v>85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211"/>
      <c r="B50" s="32" t="s">
        <v>70</v>
      </c>
      <c r="C50" s="11"/>
      <c r="D50" s="12">
        <f>C50*1.5</f>
        <v>0</v>
      </c>
      <c r="F50" s="233"/>
      <c r="G50" s="182"/>
      <c r="H50" s="183"/>
      <c r="I50" s="183"/>
      <c r="J50" s="184"/>
      <c r="P50" s="4"/>
      <c r="Q50" s="4"/>
      <c r="R50" s="5"/>
    </row>
    <row r="51" spans="1:18" ht="15" customHeight="1" x14ac:dyDescent="0.25">
      <c r="A51" s="211"/>
      <c r="B51" s="27"/>
      <c r="C51" s="10"/>
      <c r="D51" s="31"/>
      <c r="F51" s="234" t="s">
        <v>143</v>
      </c>
      <c r="G51" s="236">
        <f>G49-H29</f>
        <v>47.5</v>
      </c>
      <c r="H51" s="237"/>
      <c r="I51" s="237"/>
      <c r="J51" s="238"/>
      <c r="K51" s="21"/>
      <c r="O51" t="s">
        <v>87</v>
      </c>
      <c r="P51" s="4">
        <v>703</v>
      </c>
      <c r="Q51" s="4">
        <v>120</v>
      </c>
      <c r="R51" s="5">
        <f t="shared" si="0"/>
        <v>823</v>
      </c>
    </row>
    <row r="52" spans="1:18" ht="15.75" x14ac:dyDescent="0.25">
      <c r="A52" s="211"/>
      <c r="B52" s="29"/>
      <c r="C52" s="33"/>
      <c r="D52" s="45"/>
      <c r="F52" s="235"/>
      <c r="G52" s="239"/>
      <c r="H52" s="240"/>
      <c r="I52" s="240"/>
      <c r="J52" s="241"/>
      <c r="K52" s="21"/>
      <c r="O52" t="s">
        <v>88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212"/>
      <c r="B53" s="32"/>
      <c r="C53" s="11"/>
      <c r="D53" s="12"/>
      <c r="F53" s="35"/>
      <c r="G53" s="24"/>
      <c r="H53" s="24"/>
      <c r="I53" s="24"/>
      <c r="J53" s="17"/>
      <c r="N53" s="1"/>
      <c r="O53" t="s">
        <v>89</v>
      </c>
      <c r="P53" s="4">
        <v>1142</v>
      </c>
    </row>
    <row r="54" spans="1:18" x14ac:dyDescent="0.25">
      <c r="A54" s="175" t="s">
        <v>90</v>
      </c>
      <c r="B54" s="220"/>
      <c r="C54" s="221"/>
      <c r="D54" s="224">
        <f>SUM(D34:D53)</f>
        <v>35391</v>
      </c>
      <c r="F54" s="21"/>
      <c r="J54" s="34"/>
    </row>
    <row r="55" spans="1:18" x14ac:dyDescent="0.25">
      <c r="A55" s="177"/>
      <c r="B55" s="222"/>
      <c r="C55" s="223"/>
      <c r="D55" s="225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118</v>
      </c>
      <c r="D57" s="34"/>
      <c r="F57" s="36"/>
      <c r="G57" s="50"/>
      <c r="H57" s="50"/>
      <c r="I57" s="50"/>
      <c r="J57" s="43"/>
    </row>
    <row r="58" spans="1:18" x14ac:dyDescent="0.25">
      <c r="A58" s="226" t="s">
        <v>91</v>
      </c>
      <c r="B58" s="227"/>
      <c r="C58" s="227"/>
      <c r="D58" s="228"/>
      <c r="F58" s="226" t="s">
        <v>92</v>
      </c>
      <c r="G58" s="227"/>
      <c r="H58" s="227"/>
      <c r="I58" s="227"/>
      <c r="J58" s="228"/>
    </row>
    <row r="59" spans="1:18" x14ac:dyDescent="0.25">
      <c r="A59" s="229"/>
      <c r="B59" s="230"/>
      <c r="C59" s="230"/>
      <c r="D59" s="231"/>
      <c r="F59" s="229"/>
      <c r="G59" s="230"/>
      <c r="H59" s="230"/>
      <c r="I59" s="230"/>
      <c r="J59" s="231"/>
    </row>
  </sheetData>
  <mergeCells count="68"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  <mergeCell ref="H13:J13"/>
    <mergeCell ref="F14:G14"/>
    <mergeCell ref="H14:J14"/>
    <mergeCell ref="F15:G15"/>
    <mergeCell ref="H15:J15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A32:D32"/>
    <mergeCell ref="F32:J32"/>
    <mergeCell ref="H33:J33"/>
    <mergeCell ref="A34:A36"/>
    <mergeCell ref="H34:J34"/>
    <mergeCell ref="H35:J35"/>
    <mergeCell ref="H36:J36"/>
    <mergeCell ref="A37:A39"/>
    <mergeCell ref="H37:J37"/>
    <mergeCell ref="H38:J38"/>
    <mergeCell ref="H39:J39"/>
    <mergeCell ref="A40:A42"/>
    <mergeCell ref="H40:J40"/>
    <mergeCell ref="H41:J41"/>
    <mergeCell ref="G42:J42"/>
    <mergeCell ref="A43:A47"/>
    <mergeCell ref="H43:J43"/>
    <mergeCell ref="H44:J44"/>
    <mergeCell ref="H45:J45"/>
    <mergeCell ref="H46:J46"/>
    <mergeCell ref="H47:J47"/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3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883C2A7-8455-494F-94E7-681A4D8C0069}">
  <dimension ref="A1:S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9" x14ac:dyDescent="0.25">
      <c r="A1" t="s">
        <v>0</v>
      </c>
      <c r="N1" s="113" t="s">
        <v>1</v>
      </c>
      <c r="O1" s="113"/>
      <c r="P1" s="100" t="s">
        <v>2</v>
      </c>
      <c r="Q1" s="100" t="s">
        <v>3</v>
      </c>
      <c r="R1" s="2" t="s">
        <v>4</v>
      </c>
    </row>
    <row r="2" spans="1:19" x14ac:dyDescent="0.25">
      <c r="A2" t="s">
        <v>5</v>
      </c>
      <c r="N2" s="1"/>
    </row>
    <row r="3" spans="1:19" x14ac:dyDescent="0.25">
      <c r="N3" s="1" t="s">
        <v>6</v>
      </c>
      <c r="O3" s="4"/>
    </row>
    <row r="4" spans="1:19" x14ac:dyDescent="0.25">
      <c r="A4" s="114" t="s">
        <v>7</v>
      </c>
      <c r="B4" s="115"/>
      <c r="C4" s="115"/>
      <c r="D4" s="116"/>
      <c r="F4" s="117" t="s">
        <v>8</v>
      </c>
      <c r="G4" s="119"/>
      <c r="H4" s="121" t="s">
        <v>9</v>
      </c>
      <c r="I4" s="123"/>
      <c r="J4" s="124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9" x14ac:dyDescent="0.25">
      <c r="A5" s="127" t="s">
        <v>7</v>
      </c>
      <c r="B5" s="15" t="s">
        <v>11</v>
      </c>
      <c r="C5" s="9" t="s">
        <v>12</v>
      </c>
      <c r="D5" s="25" t="s">
        <v>13</v>
      </c>
      <c r="F5" s="118"/>
      <c r="G5" s="120"/>
      <c r="H5" s="122"/>
      <c r="I5" s="125"/>
      <c r="J5" s="126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9" ht="14.45" customHeight="1" x14ac:dyDescent="0.25">
      <c r="A6" s="128"/>
      <c r="B6" s="16"/>
      <c r="C6" s="10"/>
      <c r="D6" s="13">
        <f t="shared" ref="D6:D28" si="1">C6*L6</f>
        <v>0</v>
      </c>
      <c r="F6" s="130" t="s">
        <v>16</v>
      </c>
      <c r="G6" s="132"/>
      <c r="H6" s="133"/>
      <c r="I6" s="133"/>
      <c r="J6" s="134"/>
      <c r="K6" s="8"/>
      <c r="L6" s="6">
        <f>R42</f>
        <v>737</v>
      </c>
      <c r="O6" t="s">
        <v>17</v>
      </c>
      <c r="P6" s="4">
        <v>650</v>
      </c>
      <c r="Q6" s="4"/>
      <c r="R6" s="5">
        <f t="shared" si="0"/>
        <v>650</v>
      </c>
    </row>
    <row r="7" spans="1:19" ht="14.45" customHeight="1" x14ac:dyDescent="0.25">
      <c r="A7" s="128"/>
      <c r="B7" s="16"/>
      <c r="C7" s="10"/>
      <c r="D7" s="13">
        <f t="shared" si="1"/>
        <v>0</v>
      </c>
      <c r="F7" s="131"/>
      <c r="G7" s="135"/>
      <c r="H7" s="136"/>
      <c r="I7" s="136"/>
      <c r="J7" s="137"/>
      <c r="K7" s="8"/>
      <c r="L7" s="6">
        <f>R41</f>
        <v>725</v>
      </c>
      <c r="P7" s="4"/>
      <c r="Q7" s="4"/>
      <c r="R7" s="5"/>
    </row>
    <row r="8" spans="1:19" ht="14.45" customHeight="1" x14ac:dyDescent="0.25">
      <c r="A8" s="128"/>
      <c r="B8" s="16"/>
      <c r="C8" s="10"/>
      <c r="D8" s="13">
        <f t="shared" si="1"/>
        <v>0</v>
      </c>
      <c r="F8" s="138" t="s">
        <v>21</v>
      </c>
      <c r="G8" s="140"/>
      <c r="H8" s="141"/>
      <c r="I8" s="141"/>
      <c r="J8" s="142"/>
      <c r="K8" s="8"/>
      <c r="L8" s="6">
        <f>R40</f>
        <v>1033</v>
      </c>
      <c r="P8" s="4"/>
      <c r="Q8" s="4"/>
      <c r="R8" s="5"/>
    </row>
    <row r="9" spans="1:19" ht="14.45" customHeight="1" x14ac:dyDescent="0.25">
      <c r="A9" s="128"/>
      <c r="B9" s="16"/>
      <c r="C9" s="10"/>
      <c r="D9" s="13">
        <f t="shared" si="1"/>
        <v>0</v>
      </c>
      <c r="F9" s="131"/>
      <c r="G9" s="143"/>
      <c r="H9" s="144"/>
      <c r="I9" s="144"/>
      <c r="J9" s="145"/>
      <c r="K9" s="8"/>
      <c r="L9" s="6">
        <f>R38</f>
        <v>707</v>
      </c>
      <c r="P9" s="4"/>
      <c r="Q9" s="4"/>
      <c r="R9" s="5"/>
    </row>
    <row r="10" spans="1:19" ht="14.45" customHeight="1" x14ac:dyDescent="0.25">
      <c r="A10" s="128"/>
      <c r="C10" s="10"/>
      <c r="D10" s="13">
        <f t="shared" si="1"/>
        <v>0</v>
      </c>
      <c r="F10" s="130" t="s">
        <v>26</v>
      </c>
      <c r="G10" s="146"/>
      <c r="H10" s="147"/>
      <c r="I10" s="147"/>
      <c r="J10" s="148"/>
      <c r="K10" s="8"/>
      <c r="L10" s="6">
        <f>R36</f>
        <v>972</v>
      </c>
      <c r="P10" s="4"/>
      <c r="Q10" s="4"/>
      <c r="R10" s="5"/>
    </row>
    <row r="11" spans="1:19" ht="15.75" x14ac:dyDescent="0.25">
      <c r="A11" s="128"/>
      <c r="B11" s="17"/>
      <c r="C11" s="10"/>
      <c r="D11" s="13">
        <f t="shared" si="1"/>
        <v>0</v>
      </c>
      <c r="F11" s="131"/>
      <c r="G11" s="143"/>
      <c r="H11" s="144"/>
      <c r="I11" s="144"/>
      <c r="J11" s="145"/>
      <c r="K11" s="22"/>
      <c r="L11" s="6">
        <f>R32</f>
        <v>1125</v>
      </c>
      <c r="O11" t="s">
        <v>19</v>
      </c>
      <c r="P11" s="4">
        <v>650</v>
      </c>
      <c r="Q11" s="4"/>
      <c r="R11" s="5">
        <f t="shared" si="0"/>
        <v>650</v>
      </c>
    </row>
    <row r="12" spans="1:19" ht="15.75" x14ac:dyDescent="0.25">
      <c r="A12" s="128"/>
      <c r="B12" s="17"/>
      <c r="C12" s="10"/>
      <c r="D12" s="48">
        <f t="shared" si="1"/>
        <v>0</v>
      </c>
      <c r="F12" s="149" t="s">
        <v>33</v>
      </c>
      <c r="G12" s="150"/>
      <c r="H12" s="150"/>
      <c r="I12" s="150"/>
      <c r="J12" s="151"/>
      <c r="K12" s="23"/>
      <c r="L12" s="6">
        <f>R34</f>
        <v>952</v>
      </c>
      <c r="O12" t="s">
        <v>22</v>
      </c>
      <c r="P12" s="4">
        <v>650</v>
      </c>
      <c r="Q12" s="4"/>
      <c r="R12" s="5">
        <f t="shared" si="0"/>
        <v>650</v>
      </c>
    </row>
    <row r="13" spans="1:19" ht="15.75" x14ac:dyDescent="0.25">
      <c r="A13" s="128"/>
      <c r="B13" s="17"/>
      <c r="C13" s="10"/>
      <c r="D13" s="48">
        <f t="shared" si="1"/>
        <v>0</v>
      </c>
      <c r="F13" s="152" t="s">
        <v>36</v>
      </c>
      <c r="G13" s="153"/>
      <c r="H13" s="154">
        <f>D29</f>
        <v>0</v>
      </c>
      <c r="I13" s="155"/>
      <c r="J13" s="156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9" ht="15.75" x14ac:dyDescent="0.25">
      <c r="A14" s="128"/>
      <c r="B14" s="14"/>
      <c r="C14" s="10"/>
      <c r="D14" s="31">
        <f t="shared" si="1"/>
        <v>0</v>
      </c>
      <c r="F14" s="157" t="s">
        <v>39</v>
      </c>
      <c r="G14" s="158"/>
      <c r="H14" s="159">
        <f>D54</f>
        <v>0</v>
      </c>
      <c r="I14" s="160"/>
      <c r="J14" s="161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  <c r="S14">
        <f>205+78</f>
        <v>283</v>
      </c>
    </row>
    <row r="15" spans="1:19" ht="15.75" x14ac:dyDescent="0.25">
      <c r="A15" s="128"/>
      <c r="B15" s="14"/>
      <c r="C15" s="10"/>
      <c r="D15" s="31">
        <f t="shared" si="1"/>
        <v>0</v>
      </c>
      <c r="F15" s="162" t="s">
        <v>40</v>
      </c>
      <c r="G15" s="153"/>
      <c r="H15" s="163">
        <f>H13-H14</f>
        <v>0</v>
      </c>
      <c r="I15" s="164"/>
      <c r="J15" s="165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  <c r="S15">
        <f>229+78</f>
        <v>307</v>
      </c>
    </row>
    <row r="16" spans="1:19" ht="15.75" x14ac:dyDescent="0.25">
      <c r="A16" s="128"/>
      <c r="B16" s="18"/>
      <c r="C16" s="10"/>
      <c r="D16" s="48">
        <f t="shared" si="1"/>
        <v>0</v>
      </c>
      <c r="F16" s="67" t="s">
        <v>42</v>
      </c>
      <c r="G16" s="66" t="s">
        <v>43</v>
      </c>
      <c r="H16" s="166"/>
      <c r="I16" s="166"/>
      <c r="J16" s="166"/>
      <c r="L16" s="6">
        <f>R28</f>
        <v>1567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28"/>
      <c r="C17" s="10"/>
      <c r="D17" s="48">
        <f t="shared" si="1"/>
        <v>0</v>
      </c>
      <c r="F17" s="56"/>
      <c r="G17" s="66" t="s">
        <v>45</v>
      </c>
      <c r="H17" s="139"/>
      <c r="I17" s="139"/>
      <c r="J17" s="139"/>
      <c r="L17" s="6">
        <v>1582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28"/>
      <c r="B18" s="19"/>
      <c r="C18" s="10"/>
      <c r="D18" s="48">
        <f t="shared" si="1"/>
        <v>0</v>
      </c>
      <c r="F18" s="56"/>
      <c r="G18" s="66" t="s">
        <v>47</v>
      </c>
      <c r="H18" s="139"/>
      <c r="I18" s="139"/>
      <c r="J18" s="139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28"/>
      <c r="B19" s="14"/>
      <c r="C19" s="10"/>
      <c r="D19" s="48">
        <f t="shared" si="1"/>
        <v>0</v>
      </c>
      <c r="F19" s="56"/>
      <c r="G19" s="68" t="s">
        <v>50</v>
      </c>
      <c r="H19" s="185"/>
      <c r="I19" s="185"/>
      <c r="J19" s="185"/>
      <c r="L19" s="6">
        <f>R35</f>
        <v>1102</v>
      </c>
      <c r="Q19" s="4"/>
      <c r="R19" s="5">
        <f t="shared" si="0"/>
        <v>0</v>
      </c>
    </row>
    <row r="20" spans="1:18" ht="15.75" x14ac:dyDescent="0.25">
      <c r="A20" s="128"/>
      <c r="B20" s="46"/>
      <c r="C20" s="10"/>
      <c r="D20" s="13">
        <f t="shared" si="1"/>
        <v>0</v>
      </c>
      <c r="F20" s="57"/>
      <c r="G20" s="70" t="s">
        <v>120</v>
      </c>
      <c r="H20" s="166"/>
      <c r="I20" s="166"/>
      <c r="J20" s="166"/>
      <c r="L20" s="6">
        <f>1102</f>
        <v>1102</v>
      </c>
      <c r="N20" s="1" t="s">
        <v>41</v>
      </c>
      <c r="Q20" s="4"/>
      <c r="R20" s="5">
        <f t="shared" si="0"/>
        <v>0</v>
      </c>
    </row>
    <row r="21" spans="1:18" ht="15.75" x14ac:dyDescent="0.25">
      <c r="A21" s="128"/>
      <c r="B21" s="14"/>
      <c r="C21" s="10"/>
      <c r="D21" s="48">
        <f t="shared" si="1"/>
        <v>0</v>
      </c>
      <c r="F21" s="69" t="s">
        <v>99</v>
      </c>
      <c r="G21" s="82" t="s">
        <v>98</v>
      </c>
      <c r="H21" s="186" t="s">
        <v>13</v>
      </c>
      <c r="I21" s="187"/>
      <c r="J21" s="188"/>
      <c r="L21" s="7">
        <v>650</v>
      </c>
      <c r="O21" t="s">
        <v>44</v>
      </c>
      <c r="P21" s="4">
        <v>1447</v>
      </c>
      <c r="Q21" s="4">
        <v>120</v>
      </c>
      <c r="R21" s="5">
        <f t="shared" si="0"/>
        <v>1567</v>
      </c>
    </row>
    <row r="22" spans="1:18" ht="15.75" x14ac:dyDescent="0.25">
      <c r="A22" s="128"/>
      <c r="B22" s="46"/>
      <c r="C22" s="10"/>
      <c r="D22" s="48">
        <f t="shared" si="1"/>
        <v>0</v>
      </c>
      <c r="F22" s="77"/>
      <c r="G22" s="73"/>
      <c r="H22" s="189"/>
      <c r="I22" s="189"/>
      <c r="J22" s="189"/>
      <c r="L22" s="7">
        <f>559+111</f>
        <v>670</v>
      </c>
      <c r="O22" t="s">
        <v>46</v>
      </c>
      <c r="P22" s="4">
        <v>1582</v>
      </c>
      <c r="Q22" s="4"/>
      <c r="R22" s="5">
        <f t="shared" si="0"/>
        <v>1582</v>
      </c>
    </row>
    <row r="23" spans="1:18" ht="15.75" x14ac:dyDescent="0.25">
      <c r="A23" s="128"/>
      <c r="B23" s="14"/>
      <c r="C23" s="10"/>
      <c r="D23" s="48">
        <f t="shared" si="1"/>
        <v>0</v>
      </c>
      <c r="F23" s="78"/>
      <c r="G23" s="79"/>
      <c r="H23" s="190"/>
      <c r="I23" s="191"/>
      <c r="J23" s="191"/>
      <c r="L23" s="47">
        <f>R33</f>
        <v>1175</v>
      </c>
      <c r="N23" s="1"/>
      <c r="O23" t="s">
        <v>48</v>
      </c>
      <c r="P23" s="4">
        <v>1728</v>
      </c>
      <c r="Q23" s="4"/>
      <c r="R23" s="5">
        <f t="shared" si="0"/>
        <v>1728</v>
      </c>
    </row>
    <row r="24" spans="1:18" ht="15.75" x14ac:dyDescent="0.25">
      <c r="A24" s="128"/>
      <c r="B24" s="14"/>
      <c r="C24" s="10"/>
      <c r="D24" s="48">
        <f t="shared" si="1"/>
        <v>0</v>
      </c>
      <c r="F24" s="38"/>
      <c r="G24" s="37"/>
      <c r="H24" s="190"/>
      <c r="I24" s="191"/>
      <c r="J24" s="191"/>
      <c r="L24" s="47">
        <v>1667</v>
      </c>
      <c r="N24" s="1"/>
      <c r="O24" t="s">
        <v>49</v>
      </c>
      <c r="P24" s="4">
        <v>1728</v>
      </c>
      <c r="Q24" s="4"/>
      <c r="R24" s="5">
        <f t="shared" si="0"/>
        <v>1728</v>
      </c>
    </row>
    <row r="25" spans="1:18" ht="15.75" x14ac:dyDescent="0.25">
      <c r="A25" s="128"/>
      <c r="B25" s="14"/>
      <c r="C25" s="10"/>
      <c r="D25" s="48">
        <f t="shared" si="1"/>
        <v>0</v>
      </c>
      <c r="F25" s="60" t="s">
        <v>100</v>
      </c>
      <c r="G25" s="55" t="s">
        <v>98</v>
      </c>
      <c r="H25" s="192" t="s">
        <v>13</v>
      </c>
      <c r="I25" s="193"/>
      <c r="J25" s="194"/>
      <c r="L25" s="47">
        <f>1582</f>
        <v>1582</v>
      </c>
      <c r="O25" t="s">
        <v>51</v>
      </c>
      <c r="P25" s="4">
        <v>1582</v>
      </c>
      <c r="Q25" s="4"/>
      <c r="R25" s="5">
        <f t="shared" si="0"/>
        <v>1582</v>
      </c>
    </row>
    <row r="26" spans="1:18" ht="15.75" x14ac:dyDescent="0.25">
      <c r="A26" s="128"/>
      <c r="B26" s="14"/>
      <c r="C26" s="10"/>
      <c r="D26" s="48">
        <f t="shared" si="1"/>
        <v>0</v>
      </c>
      <c r="F26" s="64"/>
      <c r="G26" s="59"/>
      <c r="H26" s="195"/>
      <c r="I26" s="196"/>
      <c r="J26" s="197"/>
      <c r="L26" s="7">
        <f>832/24+1.5</f>
        <v>36.166666666666664</v>
      </c>
      <c r="O26" t="s">
        <v>52</v>
      </c>
      <c r="P26" s="4">
        <v>1447</v>
      </c>
      <c r="Q26" s="4">
        <v>120</v>
      </c>
      <c r="R26" s="5">
        <f t="shared" si="0"/>
        <v>1567</v>
      </c>
    </row>
    <row r="27" spans="1:18" ht="14.45" customHeight="1" x14ac:dyDescent="0.25">
      <c r="A27" s="128"/>
      <c r="B27" s="14"/>
      <c r="C27" s="10"/>
      <c r="D27" s="44">
        <f t="shared" si="1"/>
        <v>0</v>
      </c>
      <c r="F27" s="25"/>
      <c r="G27" s="80"/>
      <c r="H27" s="198"/>
      <c r="I27" s="199"/>
      <c r="J27" s="200"/>
      <c r="L27" s="7">
        <v>1582</v>
      </c>
      <c r="O27" t="s">
        <v>53</v>
      </c>
      <c r="P27" s="4">
        <v>1582</v>
      </c>
      <c r="Q27" s="4"/>
      <c r="R27" s="5">
        <f t="shared" si="0"/>
        <v>1582</v>
      </c>
    </row>
    <row r="28" spans="1:18" ht="15.75" x14ac:dyDescent="0.25">
      <c r="A28" s="129"/>
      <c r="B28" s="46"/>
      <c r="C28" s="10"/>
      <c r="D28" s="48">
        <f t="shared" si="1"/>
        <v>0</v>
      </c>
      <c r="F28" s="101"/>
      <c r="G28" s="61"/>
      <c r="H28" s="201"/>
      <c r="I28" s="202"/>
      <c r="J28" s="203"/>
      <c r="L28" s="7">
        <v>785</v>
      </c>
      <c r="O28" t="s">
        <v>54</v>
      </c>
      <c r="P28" s="4">
        <v>1447</v>
      </c>
      <c r="Q28" s="4">
        <v>120</v>
      </c>
      <c r="R28" s="5">
        <f t="shared" si="0"/>
        <v>1567</v>
      </c>
    </row>
    <row r="29" spans="1:18" x14ac:dyDescent="0.25">
      <c r="A29" s="167" t="s">
        <v>36</v>
      </c>
      <c r="B29" s="168"/>
      <c r="C29" s="169"/>
      <c r="D29" s="173">
        <f>SUM(D6:D28)</f>
        <v>0</v>
      </c>
      <c r="F29" s="175" t="s">
        <v>55</v>
      </c>
      <c r="G29" s="176"/>
      <c r="H29" s="179">
        <f>H15-H16-H17-H18-H19-H20-H22-H23-H24+H26+H27</f>
        <v>0</v>
      </c>
      <c r="I29" s="180"/>
      <c r="J29" s="181"/>
      <c r="O29" t="s">
        <v>56</v>
      </c>
      <c r="P29" s="4">
        <v>1582</v>
      </c>
      <c r="Q29" s="4"/>
      <c r="R29" s="5">
        <f t="shared" si="0"/>
        <v>1582</v>
      </c>
    </row>
    <row r="30" spans="1:18" x14ac:dyDescent="0.25">
      <c r="A30" s="170"/>
      <c r="B30" s="171"/>
      <c r="C30" s="172"/>
      <c r="D30" s="174"/>
      <c r="F30" s="177"/>
      <c r="G30" s="178"/>
      <c r="H30" s="182"/>
      <c r="I30" s="183"/>
      <c r="J30" s="184"/>
      <c r="N30" s="1"/>
      <c r="Q30" s="4"/>
      <c r="R30" s="5">
        <f t="shared" si="0"/>
        <v>0</v>
      </c>
    </row>
    <row r="31" spans="1:18" x14ac:dyDescent="0.25">
      <c r="A31" s="24"/>
      <c r="B31" s="24"/>
      <c r="C31" s="24"/>
      <c r="D31" s="24"/>
      <c r="F31" s="24"/>
      <c r="G31" s="24"/>
      <c r="O31" t="s">
        <v>57</v>
      </c>
      <c r="P31" s="4">
        <v>1052</v>
      </c>
      <c r="Q31" s="4">
        <v>120</v>
      </c>
      <c r="R31" s="5">
        <f t="shared" si="0"/>
        <v>1172</v>
      </c>
    </row>
    <row r="32" spans="1:18" x14ac:dyDescent="0.25">
      <c r="A32" s="114" t="s">
        <v>58</v>
      </c>
      <c r="B32" s="115"/>
      <c r="C32" s="115"/>
      <c r="D32" s="116"/>
      <c r="F32" s="204" t="s">
        <v>59</v>
      </c>
      <c r="G32" s="205"/>
      <c r="H32" s="205"/>
      <c r="I32" s="205"/>
      <c r="J32" s="206"/>
      <c r="O32" t="s">
        <v>60</v>
      </c>
      <c r="P32" s="4">
        <v>1005</v>
      </c>
      <c r="Q32" s="4">
        <v>120</v>
      </c>
      <c r="R32" s="5">
        <f t="shared" si="0"/>
        <v>1125</v>
      </c>
    </row>
    <row r="33" spans="1:18" x14ac:dyDescent="0.25">
      <c r="A33" s="25"/>
      <c r="B33" s="25" t="s">
        <v>11</v>
      </c>
      <c r="C33" s="25" t="s">
        <v>61</v>
      </c>
      <c r="D33" s="25" t="s">
        <v>13</v>
      </c>
      <c r="F33" s="25" t="s">
        <v>62</v>
      </c>
      <c r="G33" s="102" t="s">
        <v>63</v>
      </c>
      <c r="H33" s="204" t="s">
        <v>13</v>
      </c>
      <c r="I33" s="205"/>
      <c r="J33" s="206"/>
      <c r="O33" t="s">
        <v>64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27" t="s">
        <v>65</v>
      </c>
      <c r="B34" s="26" t="s">
        <v>66</v>
      </c>
      <c r="C34" s="51"/>
      <c r="D34" s="30">
        <f>C34*120</f>
        <v>0</v>
      </c>
      <c r="F34" s="12">
        <v>1000</v>
      </c>
      <c r="G34" s="74"/>
      <c r="H34" s="207"/>
      <c r="I34" s="208"/>
      <c r="J34" s="209"/>
      <c r="O34" t="s">
        <v>67</v>
      </c>
      <c r="P34" s="4">
        <v>832</v>
      </c>
      <c r="Q34" s="4">
        <v>120</v>
      </c>
      <c r="R34" s="5">
        <f t="shared" si="0"/>
        <v>952</v>
      </c>
    </row>
    <row r="35" spans="1:18" ht="15.75" x14ac:dyDescent="0.25">
      <c r="A35" s="128"/>
      <c r="B35" s="27" t="s">
        <v>68</v>
      </c>
      <c r="C35" s="52"/>
      <c r="D35" s="30">
        <f>C35*84</f>
        <v>0</v>
      </c>
      <c r="F35" s="58">
        <v>500</v>
      </c>
      <c r="G35" s="41"/>
      <c r="H35" s="207"/>
      <c r="I35" s="208"/>
      <c r="J35" s="209"/>
      <c r="O35" t="s">
        <v>69</v>
      </c>
      <c r="P35" s="4">
        <v>1102</v>
      </c>
      <c r="Q35" s="4"/>
      <c r="R35" s="5">
        <f t="shared" si="0"/>
        <v>1102</v>
      </c>
    </row>
    <row r="36" spans="1:18" ht="15.75" x14ac:dyDescent="0.25">
      <c r="A36" s="129"/>
      <c r="B36" s="26" t="s">
        <v>70</v>
      </c>
      <c r="C36" s="10"/>
      <c r="D36" s="12">
        <f>C36*1.5</f>
        <v>0</v>
      </c>
      <c r="F36" s="12">
        <v>200</v>
      </c>
      <c r="G36" s="37"/>
      <c r="H36" s="207"/>
      <c r="I36" s="208"/>
      <c r="J36" s="209"/>
      <c r="O36" t="s">
        <v>71</v>
      </c>
      <c r="P36" s="4">
        <v>852</v>
      </c>
      <c r="Q36" s="4">
        <v>120</v>
      </c>
      <c r="R36" s="5">
        <f t="shared" si="0"/>
        <v>972</v>
      </c>
    </row>
    <row r="37" spans="1:18" ht="15.75" x14ac:dyDescent="0.25">
      <c r="A37" s="127" t="s">
        <v>72</v>
      </c>
      <c r="B37" s="28" t="s">
        <v>66</v>
      </c>
      <c r="C37" s="53"/>
      <c r="D37" s="12">
        <f>C37*111</f>
        <v>0</v>
      </c>
      <c r="F37" s="12">
        <v>100</v>
      </c>
      <c r="G37" s="39"/>
      <c r="H37" s="207"/>
      <c r="I37" s="208"/>
      <c r="J37" s="209"/>
      <c r="O37" t="s">
        <v>73</v>
      </c>
      <c r="P37" s="4">
        <v>1020</v>
      </c>
      <c r="Q37" s="4">
        <v>120</v>
      </c>
      <c r="R37" s="5">
        <f t="shared" si="0"/>
        <v>1140</v>
      </c>
    </row>
    <row r="38" spans="1:18" ht="15.75" x14ac:dyDescent="0.25">
      <c r="A38" s="128"/>
      <c r="B38" s="29" t="s">
        <v>68</v>
      </c>
      <c r="C38" s="54"/>
      <c r="D38" s="12">
        <f>C38*84</f>
        <v>0</v>
      </c>
      <c r="F38" s="30">
        <v>50</v>
      </c>
      <c r="G38" s="39"/>
      <c r="H38" s="207"/>
      <c r="I38" s="208"/>
      <c r="J38" s="209"/>
      <c r="O38" t="s">
        <v>74</v>
      </c>
      <c r="P38" s="4">
        <v>596</v>
      </c>
      <c r="Q38" s="4">
        <v>111</v>
      </c>
      <c r="R38" s="5">
        <f t="shared" si="0"/>
        <v>707</v>
      </c>
    </row>
    <row r="39" spans="1:18" ht="15.75" x14ac:dyDescent="0.25">
      <c r="A39" s="129"/>
      <c r="B39" s="29" t="s">
        <v>70</v>
      </c>
      <c r="C39" s="52"/>
      <c r="D39" s="31">
        <f>C39*4.5</f>
        <v>0</v>
      </c>
      <c r="F39" s="12">
        <v>20</v>
      </c>
      <c r="G39" s="37"/>
      <c r="H39" s="207"/>
      <c r="I39" s="208"/>
      <c r="J39" s="209"/>
      <c r="O39" t="s">
        <v>75</v>
      </c>
      <c r="P39" s="4">
        <v>1175</v>
      </c>
      <c r="Q39" s="4"/>
      <c r="R39" s="5">
        <f t="shared" si="0"/>
        <v>1175</v>
      </c>
    </row>
    <row r="40" spans="1:18" ht="15.75" x14ac:dyDescent="0.25">
      <c r="A40" s="127" t="s">
        <v>76</v>
      </c>
      <c r="B40" s="27" t="s">
        <v>66</v>
      </c>
      <c r="C40" s="63"/>
      <c r="D40" s="12">
        <f>C40*111</f>
        <v>0</v>
      </c>
      <c r="F40" s="12">
        <v>10</v>
      </c>
      <c r="G40" s="42"/>
      <c r="H40" s="207"/>
      <c r="I40" s="208"/>
      <c r="J40" s="209"/>
      <c r="O40" t="s">
        <v>77</v>
      </c>
      <c r="P40" s="4">
        <v>913</v>
      </c>
      <c r="Q40" s="4">
        <v>120</v>
      </c>
      <c r="R40" s="5">
        <f t="shared" si="0"/>
        <v>1033</v>
      </c>
    </row>
    <row r="41" spans="1:18" ht="15.75" x14ac:dyDescent="0.25">
      <c r="A41" s="128"/>
      <c r="B41" s="27" t="s">
        <v>68</v>
      </c>
      <c r="C41" s="10"/>
      <c r="D41" s="12">
        <f>C41*84</f>
        <v>0</v>
      </c>
      <c r="F41" s="12">
        <v>5</v>
      </c>
      <c r="G41" s="42"/>
      <c r="H41" s="207"/>
      <c r="I41" s="208"/>
      <c r="J41" s="209"/>
      <c r="K41" s="21"/>
      <c r="O41" t="s">
        <v>78</v>
      </c>
      <c r="P41" s="4">
        <v>614</v>
      </c>
      <c r="Q41" s="4">
        <v>111</v>
      </c>
      <c r="R41" s="5">
        <f t="shared" si="0"/>
        <v>725</v>
      </c>
    </row>
    <row r="42" spans="1:18" ht="15.75" x14ac:dyDescent="0.25">
      <c r="A42" s="129"/>
      <c r="B42" s="27" t="s">
        <v>70</v>
      </c>
      <c r="C42" s="11"/>
      <c r="D42" s="12">
        <f>C42*2.25</f>
        <v>0</v>
      </c>
      <c r="F42" s="39" t="s">
        <v>79</v>
      </c>
      <c r="G42" s="207"/>
      <c r="H42" s="208"/>
      <c r="I42" s="208"/>
      <c r="J42" s="209"/>
      <c r="K42" s="36"/>
      <c r="O42" t="s">
        <v>80</v>
      </c>
      <c r="P42" s="4">
        <v>626</v>
      </c>
      <c r="Q42" s="4">
        <v>111</v>
      </c>
      <c r="R42" s="5">
        <f t="shared" si="0"/>
        <v>737</v>
      </c>
    </row>
    <row r="43" spans="1:18" ht="15.75" x14ac:dyDescent="0.25">
      <c r="A43" s="210" t="s">
        <v>81</v>
      </c>
      <c r="C43" s="11"/>
      <c r="D43" s="12"/>
      <c r="F43" s="59" t="s">
        <v>82</v>
      </c>
      <c r="G43" s="104" t="s">
        <v>83</v>
      </c>
      <c r="H43" s="213" t="s">
        <v>13</v>
      </c>
      <c r="I43" s="214"/>
      <c r="J43" s="215"/>
      <c r="K43" s="21"/>
      <c r="P43" s="4"/>
      <c r="Q43" s="4"/>
      <c r="R43" s="5"/>
    </row>
    <row r="44" spans="1:18" ht="15.75" x14ac:dyDescent="0.25">
      <c r="A44" s="211"/>
      <c r="B44" s="27" t="s">
        <v>66</v>
      </c>
      <c r="C44" s="10"/>
      <c r="D44" s="12">
        <f>C44*120</f>
        <v>0</v>
      </c>
      <c r="F44" s="37"/>
      <c r="G44" s="76"/>
      <c r="H44" s="191"/>
      <c r="I44" s="191"/>
      <c r="J44" s="191"/>
      <c r="K44" s="21"/>
      <c r="P44" s="4"/>
      <c r="Q44" s="4"/>
      <c r="R44" s="5"/>
    </row>
    <row r="45" spans="1:18" ht="15.75" x14ac:dyDescent="0.25">
      <c r="A45" s="211"/>
      <c r="B45" s="27" t="s">
        <v>68</v>
      </c>
      <c r="C45" s="33"/>
      <c r="D45" s="12">
        <f>C45*84</f>
        <v>0</v>
      </c>
      <c r="F45" s="37"/>
      <c r="G45" s="76"/>
      <c r="H45" s="191"/>
      <c r="I45" s="191"/>
      <c r="J45" s="191"/>
      <c r="K45" s="21"/>
      <c r="P45" s="4"/>
      <c r="Q45" s="4"/>
      <c r="R45" s="5"/>
    </row>
    <row r="46" spans="1:18" ht="15.75" x14ac:dyDescent="0.25">
      <c r="A46" s="211"/>
      <c r="B46" s="49" t="s">
        <v>70</v>
      </c>
      <c r="C46" s="81"/>
      <c r="D46" s="12">
        <f>C46*1.5</f>
        <v>0</v>
      </c>
      <c r="F46" s="37"/>
      <c r="G46" s="62"/>
      <c r="H46" s="216"/>
      <c r="I46" s="216"/>
      <c r="J46" s="216"/>
      <c r="K46" s="21"/>
      <c r="P46" s="4"/>
      <c r="Q46" s="4"/>
      <c r="R46" s="5"/>
    </row>
    <row r="47" spans="1:18" ht="15.75" x14ac:dyDescent="0.25">
      <c r="A47" s="212"/>
      <c r="B47" s="27"/>
      <c r="C47" s="11"/>
      <c r="D47" s="12"/>
      <c r="F47" s="59"/>
      <c r="G47" s="59"/>
      <c r="H47" s="217"/>
      <c r="I47" s="218"/>
      <c r="J47" s="219"/>
      <c r="K47" s="21"/>
      <c r="P47" s="4"/>
      <c r="Q47" s="4"/>
      <c r="R47" s="5"/>
    </row>
    <row r="48" spans="1:18" ht="15" customHeight="1" x14ac:dyDescent="0.25">
      <c r="A48" s="210" t="s">
        <v>32</v>
      </c>
      <c r="B48" s="27" t="s">
        <v>66</v>
      </c>
      <c r="C48" s="10"/>
      <c r="D48" s="12">
        <f>C48*78</f>
        <v>0</v>
      </c>
      <c r="F48" s="59"/>
      <c r="G48" s="59"/>
      <c r="H48" s="217"/>
      <c r="I48" s="218"/>
      <c r="J48" s="219"/>
      <c r="K48" s="35"/>
      <c r="O48" t="s">
        <v>84</v>
      </c>
      <c r="P48" s="4">
        <v>1175</v>
      </c>
      <c r="Q48" s="4"/>
      <c r="R48" s="5">
        <f t="shared" si="0"/>
        <v>1175</v>
      </c>
    </row>
    <row r="49" spans="1:18" ht="15.75" x14ac:dyDescent="0.25">
      <c r="A49" s="211"/>
      <c r="B49" s="29" t="s">
        <v>68</v>
      </c>
      <c r="C49" s="33"/>
      <c r="D49" s="12">
        <f>C49*42</f>
        <v>0</v>
      </c>
      <c r="F49" s="232" t="s">
        <v>86</v>
      </c>
      <c r="G49" s="179">
        <f>H34+H35+H36+H37+H38+H39+H40+H41+G42+H44+H45+H46</f>
        <v>0</v>
      </c>
      <c r="H49" s="180"/>
      <c r="I49" s="180"/>
      <c r="J49" s="181"/>
      <c r="O49" t="s">
        <v>85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211"/>
      <c r="B50" s="32" t="s">
        <v>70</v>
      </c>
      <c r="C50" s="11"/>
      <c r="D50" s="12">
        <f>C50*1.5</f>
        <v>0</v>
      </c>
      <c r="F50" s="233"/>
      <c r="G50" s="182"/>
      <c r="H50" s="183"/>
      <c r="I50" s="183"/>
      <c r="J50" s="184"/>
      <c r="P50" s="4"/>
      <c r="Q50" s="4"/>
      <c r="R50" s="5"/>
    </row>
    <row r="51" spans="1:18" ht="15" customHeight="1" x14ac:dyDescent="0.25">
      <c r="A51" s="211"/>
      <c r="B51" s="27"/>
      <c r="C51" s="10"/>
      <c r="D51" s="31"/>
      <c r="F51" s="234" t="s">
        <v>128</v>
      </c>
      <c r="G51" s="236">
        <f>G49-H29</f>
        <v>0</v>
      </c>
      <c r="H51" s="237"/>
      <c r="I51" s="237"/>
      <c r="J51" s="238"/>
      <c r="K51" s="21"/>
      <c r="O51" t="s">
        <v>87</v>
      </c>
      <c r="P51" s="4">
        <v>703</v>
      </c>
      <c r="Q51" s="4">
        <v>120</v>
      </c>
      <c r="R51" s="5">
        <f t="shared" si="0"/>
        <v>823</v>
      </c>
    </row>
    <row r="52" spans="1:18" ht="15.75" x14ac:dyDescent="0.25">
      <c r="A52" s="211"/>
      <c r="B52" s="29"/>
      <c r="C52" s="33"/>
      <c r="D52" s="45"/>
      <c r="F52" s="235"/>
      <c r="G52" s="239"/>
      <c r="H52" s="240"/>
      <c r="I52" s="240"/>
      <c r="J52" s="241"/>
      <c r="K52" s="21"/>
      <c r="O52" t="s">
        <v>88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212"/>
      <c r="B53" s="32"/>
      <c r="C53" s="11"/>
      <c r="D53" s="12"/>
      <c r="F53" s="35"/>
      <c r="G53" s="24"/>
      <c r="H53" s="24"/>
      <c r="I53" s="24"/>
      <c r="J53" s="17"/>
      <c r="N53" s="1"/>
      <c r="O53" t="s">
        <v>89</v>
      </c>
      <c r="P53" s="4">
        <v>1142</v>
      </c>
    </row>
    <row r="54" spans="1:18" x14ac:dyDescent="0.25">
      <c r="A54" s="175" t="s">
        <v>90</v>
      </c>
      <c r="B54" s="220"/>
      <c r="C54" s="221"/>
      <c r="D54" s="224">
        <f>SUM(D34:D53)</f>
        <v>0</v>
      </c>
      <c r="F54" s="21"/>
      <c r="J54" s="34"/>
    </row>
    <row r="55" spans="1:18" x14ac:dyDescent="0.25">
      <c r="A55" s="177"/>
      <c r="B55" s="222"/>
      <c r="C55" s="223"/>
      <c r="D55" s="225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D57" s="34"/>
      <c r="F57" s="36"/>
      <c r="G57" s="50"/>
      <c r="H57" s="50"/>
      <c r="I57" s="50"/>
      <c r="J57" s="43"/>
    </row>
    <row r="58" spans="1:18" x14ac:dyDescent="0.25">
      <c r="A58" s="226" t="s">
        <v>91</v>
      </c>
      <c r="B58" s="227"/>
      <c r="C58" s="227"/>
      <c r="D58" s="228"/>
      <c r="F58" s="226" t="s">
        <v>92</v>
      </c>
      <c r="G58" s="227"/>
      <c r="H58" s="227"/>
      <c r="I58" s="227"/>
      <c r="J58" s="228"/>
    </row>
    <row r="59" spans="1:18" x14ac:dyDescent="0.25">
      <c r="A59" s="229"/>
      <c r="B59" s="230"/>
      <c r="C59" s="230"/>
      <c r="D59" s="231"/>
      <c r="F59" s="229"/>
      <c r="G59" s="230"/>
      <c r="H59" s="230"/>
      <c r="I59" s="230"/>
      <c r="J59" s="231"/>
    </row>
  </sheetData>
  <mergeCells count="68"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  <mergeCell ref="H13:J13"/>
    <mergeCell ref="F14:G14"/>
    <mergeCell ref="H14:J14"/>
    <mergeCell ref="F15:G15"/>
    <mergeCell ref="H15:J15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A32:D32"/>
    <mergeCell ref="F32:J32"/>
    <mergeCell ref="H33:J33"/>
    <mergeCell ref="A34:A36"/>
    <mergeCell ref="H34:J34"/>
    <mergeCell ref="H35:J35"/>
    <mergeCell ref="H36:J36"/>
    <mergeCell ref="A37:A39"/>
    <mergeCell ref="H37:J37"/>
    <mergeCell ref="H38:J38"/>
    <mergeCell ref="H39:J39"/>
    <mergeCell ref="A40:A42"/>
    <mergeCell ref="H40:J40"/>
    <mergeCell ref="H41:J41"/>
    <mergeCell ref="G42:J42"/>
    <mergeCell ref="A43:A47"/>
    <mergeCell ref="H43:J43"/>
    <mergeCell ref="H44:J44"/>
    <mergeCell ref="H45:J45"/>
    <mergeCell ref="H46:J46"/>
    <mergeCell ref="H47:J47"/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4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FDBD598-0279-441A-83CB-1D8330CA0718}">
  <dimension ref="A1:R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bestFit="1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113" t="s">
        <v>1</v>
      </c>
      <c r="O1" s="113"/>
      <c r="P1" s="100" t="s">
        <v>2</v>
      </c>
      <c r="Q1" s="100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14" t="s">
        <v>7</v>
      </c>
      <c r="B4" s="115"/>
      <c r="C4" s="115"/>
      <c r="D4" s="116"/>
      <c r="F4" s="117" t="s">
        <v>8</v>
      </c>
      <c r="G4" s="119">
        <v>1</v>
      </c>
      <c r="H4" s="121" t="s">
        <v>9</v>
      </c>
      <c r="I4" s="123">
        <v>45974</v>
      </c>
      <c r="J4" s="124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27" t="s">
        <v>7</v>
      </c>
      <c r="B5" s="15" t="s">
        <v>11</v>
      </c>
      <c r="C5" s="9" t="s">
        <v>12</v>
      </c>
      <c r="D5" s="25" t="s">
        <v>13</v>
      </c>
      <c r="F5" s="118"/>
      <c r="G5" s="120"/>
      <c r="H5" s="122"/>
      <c r="I5" s="125"/>
      <c r="J5" s="126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28"/>
      <c r="B6" s="16" t="s">
        <v>15</v>
      </c>
      <c r="C6" s="89"/>
      <c r="D6" s="13">
        <f t="shared" ref="D6:D28" si="1">C6*L6</f>
        <v>0</v>
      </c>
      <c r="F6" s="130" t="s">
        <v>16</v>
      </c>
      <c r="G6" s="132" t="s">
        <v>129</v>
      </c>
      <c r="H6" s="133"/>
      <c r="I6" s="133"/>
      <c r="J6" s="134"/>
      <c r="K6" s="8"/>
      <c r="L6" s="6">
        <f>R42</f>
        <v>737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28"/>
      <c r="B7" s="16" t="s">
        <v>18</v>
      </c>
      <c r="C7" s="89"/>
      <c r="D7" s="13">
        <f t="shared" si="1"/>
        <v>0</v>
      </c>
      <c r="F7" s="131"/>
      <c r="G7" s="135"/>
      <c r="H7" s="136"/>
      <c r="I7" s="136"/>
      <c r="J7" s="137"/>
      <c r="K7" s="8"/>
      <c r="L7" s="6">
        <f>R41</f>
        <v>725</v>
      </c>
      <c r="P7" s="4"/>
      <c r="Q7" s="4"/>
      <c r="R7" s="5"/>
    </row>
    <row r="8" spans="1:18" ht="14.45" customHeight="1" x14ac:dyDescent="0.25">
      <c r="A8" s="128"/>
      <c r="B8" s="16" t="s">
        <v>20</v>
      </c>
      <c r="C8" s="89"/>
      <c r="D8" s="13">
        <f t="shared" si="1"/>
        <v>0</v>
      </c>
      <c r="F8" s="138" t="s">
        <v>21</v>
      </c>
      <c r="G8" s="140" t="s">
        <v>112</v>
      </c>
      <c r="H8" s="141"/>
      <c r="I8" s="141"/>
      <c r="J8" s="142"/>
      <c r="K8" s="8"/>
      <c r="L8" s="6">
        <f>R40</f>
        <v>1033</v>
      </c>
      <c r="P8" s="4"/>
      <c r="Q8" s="4"/>
      <c r="R8" s="5"/>
    </row>
    <row r="9" spans="1:18" ht="14.45" customHeight="1" x14ac:dyDescent="0.25">
      <c r="A9" s="128"/>
      <c r="B9" s="16" t="s">
        <v>23</v>
      </c>
      <c r="C9" s="89"/>
      <c r="D9" s="13">
        <f t="shared" si="1"/>
        <v>0</v>
      </c>
      <c r="F9" s="131"/>
      <c r="G9" s="143"/>
      <c r="H9" s="144"/>
      <c r="I9" s="144"/>
      <c r="J9" s="145"/>
      <c r="K9" s="8"/>
      <c r="L9" s="6">
        <f>R38</f>
        <v>707</v>
      </c>
      <c r="P9" s="4"/>
      <c r="Q9" s="4"/>
      <c r="R9" s="5"/>
    </row>
    <row r="10" spans="1:18" ht="14.45" customHeight="1" x14ac:dyDescent="0.25">
      <c r="A10" s="128"/>
      <c r="B10" t="s">
        <v>25</v>
      </c>
      <c r="C10" s="89"/>
      <c r="D10" s="13">
        <f t="shared" si="1"/>
        <v>0</v>
      </c>
      <c r="F10" s="130" t="s">
        <v>26</v>
      </c>
      <c r="G10" s="146" t="s">
        <v>130</v>
      </c>
      <c r="H10" s="147"/>
      <c r="I10" s="147"/>
      <c r="J10" s="148"/>
      <c r="K10" s="8"/>
      <c r="L10" s="6">
        <f>R36</f>
        <v>972</v>
      </c>
      <c r="P10" s="4"/>
      <c r="Q10" s="4"/>
      <c r="R10" s="5"/>
    </row>
    <row r="11" spans="1:18" ht="15.75" x14ac:dyDescent="0.25">
      <c r="A11" s="128"/>
      <c r="B11" s="17" t="s">
        <v>28</v>
      </c>
      <c r="C11" s="89"/>
      <c r="D11" s="13">
        <f t="shared" si="1"/>
        <v>0</v>
      </c>
      <c r="F11" s="131"/>
      <c r="G11" s="143"/>
      <c r="H11" s="144"/>
      <c r="I11" s="144"/>
      <c r="J11" s="145"/>
      <c r="K11" s="22"/>
      <c r="L11" s="6">
        <f>R32</f>
        <v>1125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28"/>
      <c r="B12" s="17" t="s">
        <v>30</v>
      </c>
      <c r="C12" s="89"/>
      <c r="D12" s="48">
        <f t="shared" si="1"/>
        <v>0</v>
      </c>
      <c r="F12" s="149" t="s">
        <v>33</v>
      </c>
      <c r="G12" s="150"/>
      <c r="H12" s="150"/>
      <c r="I12" s="150"/>
      <c r="J12" s="151"/>
      <c r="K12" s="23"/>
      <c r="L12" s="6">
        <f>R34</f>
        <v>952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28"/>
      <c r="B13" s="17" t="s">
        <v>32</v>
      </c>
      <c r="C13" s="89"/>
      <c r="D13" s="48">
        <f t="shared" si="1"/>
        <v>0</v>
      </c>
      <c r="F13" s="152" t="s">
        <v>36</v>
      </c>
      <c r="G13" s="153"/>
      <c r="H13" s="154">
        <f>D29</f>
        <v>0</v>
      </c>
      <c r="I13" s="155"/>
      <c r="J13" s="156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28"/>
      <c r="B14" s="14" t="s">
        <v>35</v>
      </c>
      <c r="C14" s="89"/>
      <c r="D14" s="31">
        <f t="shared" si="1"/>
        <v>0</v>
      </c>
      <c r="F14" s="157" t="s">
        <v>39</v>
      </c>
      <c r="G14" s="158"/>
      <c r="H14" s="159">
        <f>D54</f>
        <v>0</v>
      </c>
      <c r="I14" s="160"/>
      <c r="J14" s="161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28"/>
      <c r="B15" s="14" t="s">
        <v>38</v>
      </c>
      <c r="C15" s="89"/>
      <c r="D15" s="31">
        <f t="shared" si="1"/>
        <v>0</v>
      </c>
      <c r="F15" s="162" t="s">
        <v>40</v>
      </c>
      <c r="G15" s="153"/>
      <c r="H15" s="163">
        <f>H13-H14</f>
        <v>0</v>
      </c>
      <c r="I15" s="164"/>
      <c r="J15" s="165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28"/>
      <c r="B16" s="18" t="s">
        <v>94</v>
      </c>
      <c r="C16" s="89"/>
      <c r="D16" s="48">
        <f t="shared" si="1"/>
        <v>0</v>
      </c>
      <c r="F16" s="67" t="s">
        <v>42</v>
      </c>
      <c r="G16" s="66" t="s">
        <v>43</v>
      </c>
      <c r="H16" s="166"/>
      <c r="I16" s="166"/>
      <c r="J16" s="166"/>
      <c r="L16" s="6">
        <f>R28</f>
        <v>1567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28"/>
      <c r="B17" t="s">
        <v>140</v>
      </c>
      <c r="C17" s="89"/>
      <c r="D17" s="48">
        <f t="shared" si="1"/>
        <v>0</v>
      </c>
      <c r="F17" s="56"/>
      <c r="G17" s="66" t="s">
        <v>45</v>
      </c>
      <c r="H17" s="139"/>
      <c r="I17" s="139"/>
      <c r="J17" s="139"/>
      <c r="L17" s="6">
        <f>1582</f>
        <v>1582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28"/>
      <c r="B18" s="19" t="s">
        <v>95</v>
      </c>
      <c r="C18" s="89"/>
      <c r="D18" s="48">
        <f t="shared" si="1"/>
        <v>0</v>
      </c>
      <c r="F18" s="56"/>
      <c r="G18" s="66" t="s">
        <v>47</v>
      </c>
      <c r="H18" s="139"/>
      <c r="I18" s="139"/>
      <c r="J18" s="139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28"/>
      <c r="B19" s="14" t="s">
        <v>136</v>
      </c>
      <c r="C19" s="89"/>
      <c r="D19" s="48">
        <f t="shared" si="1"/>
        <v>0</v>
      </c>
      <c r="F19" s="56"/>
      <c r="G19" s="68" t="s">
        <v>50</v>
      </c>
      <c r="H19" s="139"/>
      <c r="I19" s="139"/>
      <c r="J19" s="139"/>
      <c r="L19" s="6">
        <v>1102</v>
      </c>
      <c r="Q19" s="4"/>
      <c r="R19" s="5">
        <f t="shared" si="0"/>
        <v>0</v>
      </c>
    </row>
    <row r="20" spans="1:18" ht="15.75" x14ac:dyDescent="0.25">
      <c r="A20" s="128"/>
      <c r="B20" s="83" t="s">
        <v>125</v>
      </c>
      <c r="C20" s="89"/>
      <c r="D20" s="13">
        <f t="shared" si="1"/>
        <v>0</v>
      </c>
      <c r="F20" s="57"/>
      <c r="G20" s="70" t="s">
        <v>120</v>
      </c>
      <c r="H20" s="166"/>
      <c r="I20" s="166"/>
      <c r="J20" s="166"/>
      <c r="L20" s="6">
        <f>R39</f>
        <v>1175</v>
      </c>
      <c r="N20" s="1" t="s">
        <v>41</v>
      </c>
      <c r="Q20" s="4"/>
      <c r="R20" s="5">
        <f t="shared" si="0"/>
        <v>0</v>
      </c>
    </row>
    <row r="21" spans="1:18" ht="15.75" x14ac:dyDescent="0.25">
      <c r="A21" s="128"/>
      <c r="B21" s="14" t="s">
        <v>138</v>
      </c>
      <c r="C21" s="89"/>
      <c r="D21" s="48">
        <f t="shared" si="1"/>
        <v>0</v>
      </c>
      <c r="F21" s="69" t="s">
        <v>99</v>
      </c>
      <c r="G21" s="82" t="s">
        <v>98</v>
      </c>
      <c r="H21" s="186" t="s">
        <v>13</v>
      </c>
      <c r="I21" s="187"/>
      <c r="J21" s="188"/>
      <c r="L21" s="7">
        <v>650</v>
      </c>
      <c r="O21" t="s">
        <v>44</v>
      </c>
      <c r="P21" s="4">
        <v>1447</v>
      </c>
      <c r="Q21" s="4">
        <v>120</v>
      </c>
      <c r="R21" s="5">
        <f t="shared" si="0"/>
        <v>1567</v>
      </c>
    </row>
    <row r="22" spans="1:18" ht="15.75" x14ac:dyDescent="0.25">
      <c r="A22" s="128"/>
      <c r="B22" s="46" t="s">
        <v>127</v>
      </c>
      <c r="C22" s="89"/>
      <c r="D22" s="48">
        <f t="shared" si="1"/>
        <v>0</v>
      </c>
      <c r="F22" s="77"/>
      <c r="G22" s="73"/>
      <c r="H22" s="189"/>
      <c r="I22" s="189"/>
      <c r="J22" s="189"/>
      <c r="L22" s="7">
        <v>1582</v>
      </c>
      <c r="O22" t="s">
        <v>46</v>
      </c>
      <c r="P22" s="4">
        <v>1582</v>
      </c>
      <c r="Q22" s="4"/>
      <c r="R22" s="5">
        <f t="shared" si="0"/>
        <v>1582</v>
      </c>
    </row>
    <row r="23" spans="1:18" ht="15.75" x14ac:dyDescent="0.25">
      <c r="A23" s="128"/>
      <c r="B23" s="14" t="s">
        <v>101</v>
      </c>
      <c r="C23" s="89"/>
      <c r="D23" s="48">
        <f t="shared" si="1"/>
        <v>0</v>
      </c>
      <c r="F23" s="77"/>
      <c r="G23" s="79"/>
      <c r="H23" s="242"/>
      <c r="I23" s="243"/>
      <c r="J23" s="243"/>
      <c r="L23" s="47">
        <v>1667</v>
      </c>
      <c r="N23" s="1"/>
      <c r="O23" t="s">
        <v>48</v>
      </c>
      <c r="P23" s="4">
        <v>1728</v>
      </c>
      <c r="Q23" s="4"/>
      <c r="R23" s="5">
        <f t="shared" si="0"/>
        <v>1728</v>
      </c>
    </row>
    <row r="24" spans="1:18" ht="15.75" x14ac:dyDescent="0.25">
      <c r="A24" s="128"/>
      <c r="B24" s="14" t="s">
        <v>121</v>
      </c>
      <c r="C24" s="89"/>
      <c r="D24" s="48">
        <f t="shared" si="1"/>
        <v>0</v>
      </c>
      <c r="F24" s="77"/>
      <c r="G24" s="79"/>
      <c r="H24" s="242"/>
      <c r="I24" s="243"/>
      <c r="J24" s="243"/>
      <c r="L24" s="47">
        <f>913/24+1.5</f>
        <v>39.541666666666664</v>
      </c>
      <c r="N24" s="1"/>
      <c r="O24" t="s">
        <v>49</v>
      </c>
      <c r="P24" s="4">
        <v>1728</v>
      </c>
      <c r="Q24" s="4"/>
      <c r="R24" s="5">
        <f t="shared" si="0"/>
        <v>1728</v>
      </c>
    </row>
    <row r="25" spans="1:18" ht="15.75" x14ac:dyDescent="0.25">
      <c r="A25" s="128"/>
      <c r="B25" s="14" t="s">
        <v>141</v>
      </c>
      <c r="C25" s="89"/>
      <c r="D25" s="48">
        <f t="shared" si="1"/>
        <v>0</v>
      </c>
      <c r="F25" s="60" t="s">
        <v>100</v>
      </c>
      <c r="G25" s="55" t="s">
        <v>98</v>
      </c>
      <c r="H25" s="192" t="s">
        <v>13</v>
      </c>
      <c r="I25" s="193"/>
      <c r="J25" s="194"/>
      <c r="L25" s="47">
        <f>1052+120</f>
        <v>1172</v>
      </c>
      <c r="O25" t="s">
        <v>51</v>
      </c>
      <c r="P25" s="4">
        <v>1582</v>
      </c>
      <c r="Q25" s="4"/>
      <c r="R25" s="5">
        <f t="shared" si="0"/>
        <v>1582</v>
      </c>
    </row>
    <row r="26" spans="1:18" ht="15.75" x14ac:dyDescent="0.25">
      <c r="A26" s="128"/>
      <c r="B26" s="14" t="s">
        <v>139</v>
      </c>
      <c r="C26" s="89"/>
      <c r="D26" s="48">
        <f t="shared" si="1"/>
        <v>0</v>
      </c>
      <c r="F26" s="75"/>
      <c r="G26" s="65"/>
      <c r="H26" s="191"/>
      <c r="I26" s="191"/>
      <c r="J26" s="191"/>
      <c r="L26" s="7">
        <f>1447+120</f>
        <v>1567</v>
      </c>
      <c r="O26" t="s">
        <v>52</v>
      </c>
      <c r="P26" s="4">
        <v>1447</v>
      </c>
      <c r="Q26" s="4">
        <v>120</v>
      </c>
      <c r="R26" s="5">
        <f t="shared" si="0"/>
        <v>1567</v>
      </c>
    </row>
    <row r="27" spans="1:18" ht="14.45" customHeight="1" x14ac:dyDescent="0.25">
      <c r="A27" s="128"/>
      <c r="B27" s="14" t="s">
        <v>110</v>
      </c>
      <c r="C27" s="89"/>
      <c r="D27" s="44">
        <f t="shared" si="1"/>
        <v>0</v>
      </c>
      <c r="F27" s="71"/>
      <c r="G27" s="104"/>
      <c r="H27" s="244"/>
      <c r="I27" s="245"/>
      <c r="J27" s="245"/>
      <c r="L27" s="7">
        <v>1142</v>
      </c>
      <c r="O27" t="s">
        <v>53</v>
      </c>
      <c r="P27" s="4">
        <v>1582</v>
      </c>
      <c r="Q27" s="4"/>
      <c r="R27" s="5">
        <f t="shared" si="0"/>
        <v>1582</v>
      </c>
    </row>
    <row r="28" spans="1:18" ht="15.75" x14ac:dyDescent="0.25">
      <c r="A28" s="129"/>
      <c r="B28" s="46" t="s">
        <v>97</v>
      </c>
      <c r="C28" s="89"/>
      <c r="D28" s="48">
        <f t="shared" si="1"/>
        <v>0</v>
      </c>
      <c r="F28" s="101"/>
      <c r="G28" s="61"/>
      <c r="H28" s="201"/>
      <c r="I28" s="202"/>
      <c r="J28" s="203"/>
      <c r="L28" s="7">
        <v>785</v>
      </c>
      <c r="O28" t="s">
        <v>54</v>
      </c>
      <c r="P28" s="4">
        <v>1447</v>
      </c>
      <c r="Q28" s="4">
        <v>120</v>
      </c>
      <c r="R28" s="5">
        <f t="shared" si="0"/>
        <v>1567</v>
      </c>
    </row>
    <row r="29" spans="1:18" x14ac:dyDescent="0.25">
      <c r="A29" s="167" t="s">
        <v>36</v>
      </c>
      <c r="B29" s="168"/>
      <c r="C29" s="169"/>
      <c r="D29" s="173">
        <f>SUM(D6:D28)</f>
        <v>0</v>
      </c>
      <c r="F29" s="175" t="s">
        <v>55</v>
      </c>
      <c r="G29" s="176"/>
      <c r="H29" s="179">
        <f>H15-H16-H17-H18-H19-H20-H22-H23-H24+H26+H27+H28</f>
        <v>0</v>
      </c>
      <c r="I29" s="180"/>
      <c r="J29" s="181"/>
      <c r="O29" t="s">
        <v>56</v>
      </c>
      <c r="P29" s="4">
        <v>1582</v>
      </c>
      <c r="Q29" s="4"/>
      <c r="R29" s="5">
        <f t="shared" si="0"/>
        <v>1582</v>
      </c>
    </row>
    <row r="30" spans="1:18" x14ac:dyDescent="0.25">
      <c r="A30" s="170"/>
      <c r="B30" s="171"/>
      <c r="C30" s="172"/>
      <c r="D30" s="174"/>
      <c r="F30" s="177"/>
      <c r="G30" s="178"/>
      <c r="H30" s="182"/>
      <c r="I30" s="183"/>
      <c r="J30" s="184"/>
      <c r="N30" s="1"/>
      <c r="Q30" s="4"/>
      <c r="R30" s="5">
        <f t="shared" si="0"/>
        <v>0</v>
      </c>
    </row>
    <row r="31" spans="1:18" x14ac:dyDescent="0.25">
      <c r="A31" s="24"/>
      <c r="B31" s="24"/>
      <c r="C31" s="24"/>
      <c r="D31" s="24"/>
      <c r="F31" s="24"/>
      <c r="G31" s="24"/>
      <c r="O31" t="s">
        <v>57</v>
      </c>
      <c r="P31" s="4">
        <v>1052</v>
      </c>
      <c r="Q31" s="4">
        <v>120</v>
      </c>
      <c r="R31" s="5">
        <f t="shared" si="0"/>
        <v>1172</v>
      </c>
    </row>
    <row r="32" spans="1:18" x14ac:dyDescent="0.25">
      <c r="A32" s="114" t="s">
        <v>58</v>
      </c>
      <c r="B32" s="115"/>
      <c r="C32" s="115"/>
      <c r="D32" s="116"/>
      <c r="F32" s="204" t="s">
        <v>59</v>
      </c>
      <c r="G32" s="205"/>
      <c r="H32" s="205"/>
      <c r="I32" s="205"/>
      <c r="J32" s="206"/>
      <c r="O32" t="s">
        <v>60</v>
      </c>
      <c r="P32" s="4">
        <v>1005</v>
      </c>
      <c r="Q32" s="4">
        <v>120</v>
      </c>
      <c r="R32" s="5">
        <f t="shared" si="0"/>
        <v>1125</v>
      </c>
    </row>
    <row r="33" spans="1:18" x14ac:dyDescent="0.25">
      <c r="A33" s="25"/>
      <c r="B33" s="25" t="s">
        <v>11</v>
      </c>
      <c r="C33" s="25" t="s">
        <v>61</v>
      </c>
      <c r="D33" s="25" t="s">
        <v>13</v>
      </c>
      <c r="F33" s="25" t="s">
        <v>62</v>
      </c>
      <c r="G33" s="102" t="s">
        <v>63</v>
      </c>
      <c r="H33" s="204" t="s">
        <v>13</v>
      </c>
      <c r="I33" s="205"/>
      <c r="J33" s="206"/>
      <c r="O33" t="s">
        <v>64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27" t="s">
        <v>65</v>
      </c>
      <c r="B34" s="26" t="s">
        <v>66</v>
      </c>
      <c r="C34" s="51"/>
      <c r="D34" s="30">
        <f>C34*120</f>
        <v>0</v>
      </c>
      <c r="F34" s="12">
        <v>1000</v>
      </c>
      <c r="G34" s="40"/>
      <c r="H34" s="207">
        <f t="shared" ref="H34:H39" si="2">F34*G34</f>
        <v>0</v>
      </c>
      <c r="I34" s="208"/>
      <c r="J34" s="209"/>
      <c r="O34" t="s">
        <v>67</v>
      </c>
      <c r="P34" s="4">
        <v>832</v>
      </c>
      <c r="Q34" s="4">
        <v>120</v>
      </c>
      <c r="R34" s="5">
        <f t="shared" si="0"/>
        <v>952</v>
      </c>
    </row>
    <row r="35" spans="1:18" ht="15.75" x14ac:dyDescent="0.25">
      <c r="A35" s="128"/>
      <c r="B35" s="27" t="s">
        <v>68</v>
      </c>
      <c r="C35" s="52"/>
      <c r="D35" s="30">
        <f>C35*84</f>
        <v>0</v>
      </c>
      <c r="F35" s="58">
        <v>500</v>
      </c>
      <c r="G35" s="41"/>
      <c r="H35" s="207">
        <f t="shared" si="2"/>
        <v>0</v>
      </c>
      <c r="I35" s="208"/>
      <c r="J35" s="209"/>
      <c r="O35" t="s">
        <v>69</v>
      </c>
      <c r="P35" s="4">
        <v>1102</v>
      </c>
      <c r="Q35" s="4"/>
      <c r="R35" s="5">
        <f t="shared" si="0"/>
        <v>1102</v>
      </c>
    </row>
    <row r="36" spans="1:18" ht="15.75" x14ac:dyDescent="0.25">
      <c r="A36" s="129"/>
      <c r="B36" s="26" t="s">
        <v>70</v>
      </c>
      <c r="C36" s="10"/>
      <c r="D36" s="12">
        <f>C36*1.5</f>
        <v>0</v>
      </c>
      <c r="F36" s="12">
        <v>200</v>
      </c>
      <c r="G36" s="37"/>
      <c r="H36" s="207">
        <f t="shared" si="2"/>
        <v>0</v>
      </c>
      <c r="I36" s="208"/>
      <c r="J36" s="209"/>
      <c r="O36" t="s">
        <v>71</v>
      </c>
      <c r="P36" s="4">
        <v>852</v>
      </c>
      <c r="Q36" s="4">
        <v>120</v>
      </c>
      <c r="R36" s="5">
        <f t="shared" si="0"/>
        <v>972</v>
      </c>
    </row>
    <row r="37" spans="1:18" ht="15.75" x14ac:dyDescent="0.25">
      <c r="A37" s="127" t="s">
        <v>72</v>
      </c>
      <c r="B37" s="28" t="s">
        <v>66</v>
      </c>
      <c r="C37" s="53"/>
      <c r="D37" s="12">
        <f>C37*111</f>
        <v>0</v>
      </c>
      <c r="F37" s="12">
        <v>100</v>
      </c>
      <c r="G37" s="39"/>
      <c r="H37" s="207">
        <f t="shared" si="2"/>
        <v>0</v>
      </c>
      <c r="I37" s="208"/>
      <c r="J37" s="209"/>
      <c r="O37" t="s">
        <v>73</v>
      </c>
      <c r="P37" s="4">
        <v>1020</v>
      </c>
      <c r="Q37" s="4">
        <v>120</v>
      </c>
      <c r="R37" s="5">
        <f t="shared" si="0"/>
        <v>1140</v>
      </c>
    </row>
    <row r="38" spans="1:18" ht="15.75" x14ac:dyDescent="0.25">
      <c r="A38" s="128"/>
      <c r="B38" s="29" t="s">
        <v>68</v>
      </c>
      <c r="C38" s="54"/>
      <c r="D38" s="12">
        <f>C38*84</f>
        <v>0</v>
      </c>
      <c r="F38" s="30">
        <v>50</v>
      </c>
      <c r="G38" s="39"/>
      <c r="H38" s="207">
        <f t="shared" si="2"/>
        <v>0</v>
      </c>
      <c r="I38" s="208"/>
      <c r="J38" s="209"/>
      <c r="O38" t="s">
        <v>74</v>
      </c>
      <c r="P38" s="4">
        <v>596</v>
      </c>
      <c r="Q38" s="4">
        <v>111</v>
      </c>
      <c r="R38" s="5">
        <f t="shared" si="0"/>
        <v>707</v>
      </c>
    </row>
    <row r="39" spans="1:18" ht="15.75" x14ac:dyDescent="0.25">
      <c r="A39" s="129"/>
      <c r="B39" s="29" t="s">
        <v>70</v>
      </c>
      <c r="C39" s="52"/>
      <c r="D39" s="31">
        <f>C39*4.5</f>
        <v>0</v>
      </c>
      <c r="F39" s="12">
        <v>20</v>
      </c>
      <c r="G39" s="37"/>
      <c r="H39" s="207">
        <f t="shared" si="2"/>
        <v>0</v>
      </c>
      <c r="I39" s="208"/>
      <c r="J39" s="209"/>
      <c r="O39" t="s">
        <v>75</v>
      </c>
      <c r="P39" s="4">
        <v>1175</v>
      </c>
      <c r="Q39" s="4"/>
      <c r="R39" s="5">
        <f t="shared" si="0"/>
        <v>1175</v>
      </c>
    </row>
    <row r="40" spans="1:18" ht="15.75" x14ac:dyDescent="0.25">
      <c r="A40" s="127" t="s">
        <v>76</v>
      </c>
      <c r="B40" s="27" t="s">
        <v>66</v>
      </c>
      <c r="C40" s="63"/>
      <c r="D40" s="12">
        <f>C40*111</f>
        <v>0</v>
      </c>
      <c r="F40" s="12">
        <v>10</v>
      </c>
      <c r="G40" s="42"/>
      <c r="H40" s="207"/>
      <c r="I40" s="208"/>
      <c r="J40" s="209"/>
      <c r="O40" t="s">
        <v>77</v>
      </c>
      <c r="P40" s="4">
        <v>913</v>
      </c>
      <c r="Q40" s="4">
        <v>120</v>
      </c>
      <c r="R40" s="5">
        <f t="shared" si="0"/>
        <v>1033</v>
      </c>
    </row>
    <row r="41" spans="1:18" ht="15.75" x14ac:dyDescent="0.25">
      <c r="A41" s="128"/>
      <c r="B41" s="27" t="s">
        <v>68</v>
      </c>
      <c r="C41" s="10"/>
      <c r="D41" s="12">
        <f>C41*84</f>
        <v>0</v>
      </c>
      <c r="F41" s="12">
        <v>5</v>
      </c>
      <c r="G41" s="42"/>
      <c r="H41" s="207"/>
      <c r="I41" s="208"/>
      <c r="J41" s="209"/>
      <c r="K41" s="21"/>
      <c r="O41" t="s">
        <v>78</v>
      </c>
      <c r="P41" s="4">
        <v>614</v>
      </c>
      <c r="Q41" s="4">
        <v>111</v>
      </c>
      <c r="R41" s="5">
        <f t="shared" si="0"/>
        <v>725</v>
      </c>
    </row>
    <row r="42" spans="1:18" ht="15.75" x14ac:dyDescent="0.25">
      <c r="A42" s="129"/>
      <c r="B42" s="27" t="s">
        <v>70</v>
      </c>
      <c r="C42" s="11"/>
      <c r="D42" s="12">
        <f>C42*2.25</f>
        <v>0</v>
      </c>
      <c r="F42" s="39" t="s">
        <v>79</v>
      </c>
      <c r="G42" s="207"/>
      <c r="H42" s="208"/>
      <c r="I42" s="208"/>
      <c r="J42" s="209"/>
      <c r="K42" s="36"/>
      <c r="O42" t="s">
        <v>80</v>
      </c>
      <c r="P42" s="4">
        <v>626</v>
      </c>
      <c r="Q42" s="4">
        <v>111</v>
      </c>
      <c r="R42" s="5">
        <f t="shared" si="0"/>
        <v>737</v>
      </c>
    </row>
    <row r="43" spans="1:18" ht="15.75" x14ac:dyDescent="0.25">
      <c r="A43" s="210" t="s">
        <v>81</v>
      </c>
      <c r="C43" s="11"/>
      <c r="D43" s="12"/>
      <c r="F43" s="59" t="s">
        <v>82</v>
      </c>
      <c r="G43" s="104" t="s">
        <v>83</v>
      </c>
      <c r="H43" s="213" t="s">
        <v>13</v>
      </c>
      <c r="I43" s="214"/>
      <c r="J43" s="215"/>
      <c r="K43" s="21"/>
      <c r="O43" t="s">
        <v>103</v>
      </c>
      <c r="P43" s="4">
        <v>1667</v>
      </c>
      <c r="Q43" s="4"/>
      <c r="R43" s="5"/>
    </row>
    <row r="44" spans="1:18" ht="15.75" x14ac:dyDescent="0.25">
      <c r="A44" s="211"/>
      <c r="B44" s="27" t="s">
        <v>66</v>
      </c>
      <c r="C44" s="10"/>
      <c r="D44" s="12">
        <f>C44*120</f>
        <v>0</v>
      </c>
      <c r="F44" s="37"/>
      <c r="G44" s="62"/>
      <c r="H44" s="191"/>
      <c r="I44" s="191"/>
      <c r="J44" s="191"/>
      <c r="K44" s="21"/>
      <c r="O44" t="s">
        <v>106</v>
      </c>
      <c r="P44" s="4">
        <f>785-120</f>
        <v>665</v>
      </c>
      <c r="Q44" s="4">
        <v>120</v>
      </c>
      <c r="R44" s="5">
        <f>Q44+P44</f>
        <v>785</v>
      </c>
    </row>
    <row r="45" spans="1:18" ht="15.75" x14ac:dyDescent="0.25">
      <c r="A45" s="211"/>
      <c r="B45" s="27" t="s">
        <v>68</v>
      </c>
      <c r="C45" s="33"/>
      <c r="D45" s="12">
        <f>C45*84</f>
        <v>0</v>
      </c>
      <c r="F45" s="37"/>
      <c r="G45" s="62"/>
      <c r="H45" s="191"/>
      <c r="I45" s="191"/>
      <c r="J45" s="191"/>
      <c r="K45" s="21"/>
      <c r="P45" s="4"/>
      <c r="Q45" s="4"/>
      <c r="R45" s="5"/>
    </row>
    <row r="46" spans="1:18" ht="15.75" x14ac:dyDescent="0.25">
      <c r="A46" s="211"/>
      <c r="B46" s="49" t="s">
        <v>70</v>
      </c>
      <c r="C46" s="81"/>
      <c r="D46" s="12">
        <f>C46*1.5</f>
        <v>0</v>
      </c>
      <c r="F46" s="37"/>
      <c r="G46" s="62"/>
      <c r="H46" s="191"/>
      <c r="I46" s="191"/>
      <c r="J46" s="191"/>
      <c r="K46" s="21"/>
      <c r="P46" s="4"/>
      <c r="Q46" s="4"/>
      <c r="R46" s="5"/>
    </row>
    <row r="47" spans="1:18" ht="15.75" x14ac:dyDescent="0.25">
      <c r="A47" s="212"/>
      <c r="B47" s="27"/>
      <c r="C47" s="11"/>
      <c r="D47" s="12"/>
      <c r="F47" s="59"/>
      <c r="G47" s="59"/>
      <c r="H47" s="217"/>
      <c r="I47" s="218"/>
      <c r="J47" s="219"/>
      <c r="K47" s="21"/>
      <c r="P47" s="4"/>
      <c r="Q47" s="4"/>
      <c r="R47" s="5"/>
    </row>
    <row r="48" spans="1:18" ht="15" customHeight="1" x14ac:dyDescent="0.25">
      <c r="A48" s="210" t="s">
        <v>32</v>
      </c>
      <c r="B48" s="27" t="s">
        <v>66</v>
      </c>
      <c r="C48" s="10"/>
      <c r="D48" s="12">
        <f>C48*78</f>
        <v>0</v>
      </c>
      <c r="F48" s="59"/>
      <c r="G48" s="59"/>
      <c r="H48" s="217"/>
      <c r="I48" s="218"/>
      <c r="J48" s="219"/>
      <c r="K48" s="35"/>
      <c r="O48" t="s">
        <v>84</v>
      </c>
      <c r="P48" s="4">
        <v>1175</v>
      </c>
      <c r="Q48" s="4"/>
      <c r="R48" s="5">
        <f t="shared" si="0"/>
        <v>1175</v>
      </c>
    </row>
    <row r="49" spans="1:18" ht="15.75" x14ac:dyDescent="0.25">
      <c r="A49" s="211"/>
      <c r="B49" s="29" t="s">
        <v>68</v>
      </c>
      <c r="C49" s="33"/>
      <c r="D49" s="12">
        <f>C49*42</f>
        <v>0</v>
      </c>
      <c r="F49" s="232" t="s">
        <v>86</v>
      </c>
      <c r="G49" s="179">
        <f>H34+H35+H36+H37+H38+H39+H40+H41+G42+H44+H45+H46</f>
        <v>0</v>
      </c>
      <c r="H49" s="180"/>
      <c r="I49" s="180"/>
      <c r="J49" s="181"/>
      <c r="O49" t="s">
        <v>85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211"/>
      <c r="B50" s="32" t="s">
        <v>70</v>
      </c>
      <c r="C50" s="11"/>
      <c r="D50" s="12">
        <f>C50*1.5</f>
        <v>0</v>
      </c>
      <c r="F50" s="233"/>
      <c r="G50" s="182"/>
      <c r="H50" s="183"/>
      <c r="I50" s="183"/>
      <c r="J50" s="184"/>
      <c r="P50" s="4"/>
      <c r="Q50" s="4"/>
      <c r="R50" s="5"/>
    </row>
    <row r="51" spans="1:18" ht="15" customHeight="1" x14ac:dyDescent="0.25">
      <c r="A51" s="211"/>
      <c r="B51" s="27"/>
      <c r="C51" s="10"/>
      <c r="D51" s="31"/>
      <c r="F51" s="234" t="s">
        <v>131</v>
      </c>
      <c r="G51" s="247">
        <f>G49-H29</f>
        <v>0</v>
      </c>
      <c r="H51" s="248"/>
      <c r="I51" s="248"/>
      <c r="J51" s="249"/>
      <c r="K51" s="21"/>
      <c r="O51" t="s">
        <v>87</v>
      </c>
      <c r="P51" s="4">
        <v>703</v>
      </c>
      <c r="Q51" s="4">
        <v>120</v>
      </c>
      <c r="R51" s="5">
        <f t="shared" si="0"/>
        <v>823</v>
      </c>
    </row>
    <row r="52" spans="1:18" ht="15.75" x14ac:dyDescent="0.25">
      <c r="A52" s="211"/>
      <c r="B52" s="29"/>
      <c r="C52" s="33"/>
      <c r="D52" s="45"/>
      <c r="F52" s="235"/>
      <c r="G52" s="250"/>
      <c r="H52" s="251"/>
      <c r="I52" s="251"/>
      <c r="J52" s="252"/>
      <c r="K52" s="21"/>
      <c r="O52" t="s">
        <v>88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212"/>
      <c r="B53" s="32"/>
      <c r="C53" s="11"/>
      <c r="D53" s="12"/>
      <c r="F53" s="35"/>
      <c r="G53" s="24"/>
      <c r="H53" s="24"/>
      <c r="I53" s="24"/>
      <c r="J53" s="17"/>
      <c r="N53" s="1"/>
      <c r="O53" t="s">
        <v>89</v>
      </c>
      <c r="P53" s="4">
        <v>1142</v>
      </c>
    </row>
    <row r="54" spans="1:18" x14ac:dyDescent="0.25">
      <c r="A54" s="175" t="s">
        <v>90</v>
      </c>
      <c r="B54" s="220"/>
      <c r="C54" s="221"/>
      <c r="D54" s="224">
        <f>SUM(D34:D53)</f>
        <v>0</v>
      </c>
      <c r="F54" s="21"/>
      <c r="J54" s="34"/>
      <c r="O54" t="s">
        <v>102</v>
      </c>
      <c r="P54" s="4">
        <v>1582</v>
      </c>
      <c r="R54" s="3">
        <v>1582</v>
      </c>
    </row>
    <row r="55" spans="1:18" x14ac:dyDescent="0.25">
      <c r="A55" s="177"/>
      <c r="B55" s="222"/>
      <c r="C55" s="223"/>
      <c r="D55" s="225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133</v>
      </c>
      <c r="D57" s="34"/>
      <c r="F57" s="36"/>
      <c r="G57" s="50"/>
      <c r="H57" s="50"/>
      <c r="I57" s="50"/>
      <c r="J57" s="43"/>
    </row>
    <row r="58" spans="1:18" x14ac:dyDescent="0.25">
      <c r="A58" s="226" t="s">
        <v>91</v>
      </c>
      <c r="B58" s="227"/>
      <c r="C58" s="227"/>
      <c r="D58" s="228"/>
      <c r="F58" s="226" t="s">
        <v>92</v>
      </c>
      <c r="G58" s="227"/>
      <c r="H58" s="227"/>
      <c r="I58" s="227"/>
      <c r="J58" s="228"/>
    </row>
    <row r="59" spans="1:18" x14ac:dyDescent="0.25">
      <c r="A59" s="229"/>
      <c r="B59" s="230"/>
      <c r="C59" s="230"/>
      <c r="D59" s="231"/>
      <c r="F59" s="229"/>
      <c r="G59" s="230"/>
      <c r="H59" s="230"/>
      <c r="I59" s="230"/>
      <c r="J59" s="231"/>
    </row>
  </sheetData>
  <mergeCells count="68"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  <mergeCell ref="H13:J13"/>
    <mergeCell ref="F14:G14"/>
    <mergeCell ref="H14:J14"/>
    <mergeCell ref="F15:G15"/>
    <mergeCell ref="H15:J15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A32:D32"/>
    <mergeCell ref="F32:J32"/>
    <mergeCell ref="H33:J33"/>
    <mergeCell ref="A34:A36"/>
    <mergeCell ref="H34:J34"/>
    <mergeCell ref="H35:J35"/>
    <mergeCell ref="H36:J36"/>
    <mergeCell ref="A37:A39"/>
    <mergeCell ref="H37:J37"/>
    <mergeCell ref="H38:J38"/>
    <mergeCell ref="H39:J39"/>
    <mergeCell ref="A40:A42"/>
    <mergeCell ref="H40:J40"/>
    <mergeCell ref="H41:J41"/>
    <mergeCell ref="G42:J42"/>
    <mergeCell ref="A43:A47"/>
    <mergeCell ref="H43:J43"/>
    <mergeCell ref="H44:J44"/>
    <mergeCell ref="H45:J45"/>
    <mergeCell ref="H46:J46"/>
    <mergeCell ref="H47:J47"/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4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C3E21C3-ED0B-4127-A8B9-E623F811C871}">
  <dimension ref="A1:R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113" t="s">
        <v>1</v>
      </c>
      <c r="O1" s="113"/>
      <c r="P1" s="100" t="s">
        <v>2</v>
      </c>
      <c r="Q1" s="100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14" t="s">
        <v>7</v>
      </c>
      <c r="B4" s="115"/>
      <c r="C4" s="115"/>
      <c r="D4" s="116"/>
      <c r="F4" s="117" t="s">
        <v>8</v>
      </c>
      <c r="G4" s="119">
        <v>2</v>
      </c>
      <c r="H4" s="121" t="s">
        <v>9</v>
      </c>
      <c r="I4" s="123">
        <v>45974</v>
      </c>
      <c r="J4" s="124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27" t="s">
        <v>7</v>
      </c>
      <c r="B5" s="15" t="s">
        <v>11</v>
      </c>
      <c r="C5" s="9" t="s">
        <v>12</v>
      </c>
      <c r="D5" s="25" t="s">
        <v>13</v>
      </c>
      <c r="F5" s="118"/>
      <c r="G5" s="120"/>
      <c r="H5" s="122"/>
      <c r="I5" s="125"/>
      <c r="J5" s="126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28"/>
      <c r="B6" s="16" t="s">
        <v>15</v>
      </c>
      <c r="C6" s="10">
        <v>249</v>
      </c>
      <c r="D6" s="13">
        <f t="shared" ref="D6:D28" si="1">C6*L6</f>
        <v>183513</v>
      </c>
      <c r="F6" s="130" t="s">
        <v>16</v>
      </c>
      <c r="G6" s="132" t="s">
        <v>150</v>
      </c>
      <c r="H6" s="133"/>
      <c r="I6" s="133"/>
      <c r="J6" s="134"/>
      <c r="K6" s="8"/>
      <c r="L6" s="6">
        <f>R42</f>
        <v>737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28"/>
      <c r="B7" s="16" t="s">
        <v>18</v>
      </c>
      <c r="C7" s="10"/>
      <c r="D7" s="13">
        <f t="shared" si="1"/>
        <v>0</v>
      </c>
      <c r="F7" s="131"/>
      <c r="G7" s="135"/>
      <c r="H7" s="136"/>
      <c r="I7" s="136"/>
      <c r="J7" s="137"/>
      <c r="K7" s="8"/>
      <c r="L7" s="6">
        <f>R41</f>
        <v>725</v>
      </c>
      <c r="P7" s="4"/>
      <c r="Q7" s="4"/>
      <c r="R7" s="5"/>
    </row>
    <row r="8" spans="1:18" ht="14.45" customHeight="1" x14ac:dyDescent="0.25">
      <c r="A8" s="128"/>
      <c r="B8" s="16" t="s">
        <v>20</v>
      </c>
      <c r="C8" s="10"/>
      <c r="D8" s="13">
        <f t="shared" si="1"/>
        <v>0</v>
      </c>
      <c r="F8" s="138" t="s">
        <v>21</v>
      </c>
      <c r="G8" s="140" t="s">
        <v>114</v>
      </c>
      <c r="H8" s="141"/>
      <c r="I8" s="141"/>
      <c r="J8" s="142"/>
      <c r="K8" s="8"/>
      <c r="L8" s="6">
        <f>R40</f>
        <v>1033</v>
      </c>
      <c r="P8" s="4"/>
      <c r="Q8" s="4"/>
      <c r="R8" s="5"/>
    </row>
    <row r="9" spans="1:18" ht="14.45" customHeight="1" x14ac:dyDescent="0.25">
      <c r="A9" s="128"/>
      <c r="B9" s="16" t="s">
        <v>23</v>
      </c>
      <c r="C9" s="10">
        <v>7</v>
      </c>
      <c r="D9" s="13">
        <f t="shared" si="1"/>
        <v>4949</v>
      </c>
      <c r="F9" s="131"/>
      <c r="G9" s="143"/>
      <c r="H9" s="144"/>
      <c r="I9" s="144"/>
      <c r="J9" s="145"/>
      <c r="K9" s="8"/>
      <c r="L9" s="6">
        <f>R38</f>
        <v>707</v>
      </c>
      <c r="P9" s="4"/>
      <c r="Q9" s="4"/>
      <c r="R9" s="5"/>
    </row>
    <row r="10" spans="1:18" ht="14.45" customHeight="1" x14ac:dyDescent="0.25">
      <c r="A10" s="128"/>
      <c r="B10" t="s">
        <v>25</v>
      </c>
      <c r="C10" s="10"/>
      <c r="D10" s="13">
        <f t="shared" si="1"/>
        <v>0</v>
      </c>
      <c r="F10" s="130" t="s">
        <v>26</v>
      </c>
      <c r="G10" s="146" t="s">
        <v>115</v>
      </c>
      <c r="H10" s="147"/>
      <c r="I10" s="147"/>
      <c r="J10" s="148"/>
      <c r="K10" s="8"/>
      <c r="L10" s="6">
        <f>R36</f>
        <v>972</v>
      </c>
      <c r="P10" s="4"/>
      <c r="Q10" s="4"/>
      <c r="R10" s="5"/>
    </row>
    <row r="11" spans="1:18" ht="15.75" x14ac:dyDescent="0.25">
      <c r="A11" s="128"/>
      <c r="B11" s="17" t="s">
        <v>28</v>
      </c>
      <c r="C11" s="10"/>
      <c r="D11" s="13">
        <f t="shared" si="1"/>
        <v>0</v>
      </c>
      <c r="F11" s="131"/>
      <c r="G11" s="143"/>
      <c r="H11" s="144"/>
      <c r="I11" s="144"/>
      <c r="J11" s="145"/>
      <c r="K11" s="22"/>
      <c r="L11" s="6">
        <f>R32</f>
        <v>1125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28"/>
      <c r="B12" s="17" t="s">
        <v>30</v>
      </c>
      <c r="C12" s="10"/>
      <c r="D12" s="48">
        <f t="shared" si="1"/>
        <v>0</v>
      </c>
      <c r="F12" s="149" t="s">
        <v>33</v>
      </c>
      <c r="G12" s="150"/>
      <c r="H12" s="150"/>
      <c r="I12" s="150"/>
      <c r="J12" s="151"/>
      <c r="K12" s="23"/>
      <c r="L12" s="6">
        <f>R34</f>
        <v>952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28"/>
      <c r="B13" s="17" t="s">
        <v>32</v>
      </c>
      <c r="C13" s="10">
        <v>7</v>
      </c>
      <c r="D13" s="48">
        <f t="shared" si="1"/>
        <v>2149</v>
      </c>
      <c r="F13" s="152" t="s">
        <v>36</v>
      </c>
      <c r="G13" s="153"/>
      <c r="H13" s="154">
        <f>D29</f>
        <v>191305.5</v>
      </c>
      <c r="I13" s="155"/>
      <c r="J13" s="156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28"/>
      <c r="B14" s="14" t="s">
        <v>35</v>
      </c>
      <c r="C14" s="10">
        <v>20</v>
      </c>
      <c r="D14" s="31">
        <f t="shared" si="1"/>
        <v>220</v>
      </c>
      <c r="F14" s="157" t="s">
        <v>39</v>
      </c>
      <c r="G14" s="158"/>
      <c r="H14" s="159">
        <f>D54</f>
        <v>59463</v>
      </c>
      <c r="I14" s="160"/>
      <c r="J14" s="161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28"/>
      <c r="B15" s="14" t="s">
        <v>38</v>
      </c>
      <c r="C15" s="10"/>
      <c r="D15" s="31">
        <f t="shared" si="1"/>
        <v>0</v>
      </c>
      <c r="F15" s="162" t="s">
        <v>40</v>
      </c>
      <c r="G15" s="153"/>
      <c r="H15" s="163">
        <f>H13-H14</f>
        <v>131842.5</v>
      </c>
      <c r="I15" s="164"/>
      <c r="J15" s="165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28"/>
      <c r="B16" s="18" t="s">
        <v>94</v>
      </c>
      <c r="C16" s="10"/>
      <c r="D16" s="48">
        <f t="shared" si="1"/>
        <v>0</v>
      </c>
      <c r="F16" s="67" t="s">
        <v>42</v>
      </c>
      <c r="G16" s="66" t="s">
        <v>43</v>
      </c>
      <c r="H16" s="166">
        <f>1998</f>
        <v>1998</v>
      </c>
      <c r="I16" s="166"/>
      <c r="J16" s="166"/>
      <c r="L16" s="6">
        <f>R28</f>
        <v>1567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28"/>
      <c r="B17" t="s">
        <v>93</v>
      </c>
      <c r="C17" s="10"/>
      <c r="D17" s="48">
        <f t="shared" si="1"/>
        <v>0</v>
      </c>
      <c r="F17" s="56"/>
      <c r="G17" s="66" t="s">
        <v>45</v>
      </c>
      <c r="H17" s="139"/>
      <c r="I17" s="139"/>
      <c r="J17" s="139"/>
      <c r="L17" s="6">
        <f>R21</f>
        <v>1567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28"/>
      <c r="B18" s="19" t="s">
        <v>95</v>
      </c>
      <c r="C18" s="10"/>
      <c r="D18" s="48">
        <f t="shared" si="1"/>
        <v>0</v>
      </c>
      <c r="F18" s="56"/>
      <c r="G18" s="66" t="s">
        <v>47</v>
      </c>
      <c r="H18" s="139"/>
      <c r="I18" s="139"/>
      <c r="J18" s="139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28"/>
      <c r="B19" s="14" t="s">
        <v>96</v>
      </c>
      <c r="C19" s="10"/>
      <c r="D19" s="48">
        <f t="shared" si="1"/>
        <v>0</v>
      </c>
      <c r="F19" s="56"/>
      <c r="G19" s="68" t="s">
        <v>50</v>
      </c>
      <c r="H19" s="246"/>
      <c r="I19" s="246"/>
      <c r="J19" s="246"/>
      <c r="L19" s="6">
        <f>R35</f>
        <v>1102</v>
      </c>
      <c r="Q19" s="4"/>
      <c r="R19" s="5">
        <f t="shared" si="0"/>
        <v>0</v>
      </c>
    </row>
    <row r="20" spans="1:18" ht="15.75" x14ac:dyDescent="0.25">
      <c r="A20" s="128"/>
      <c r="B20" s="46" t="s">
        <v>122</v>
      </c>
      <c r="C20" s="10"/>
      <c r="D20" s="13">
        <f t="shared" si="1"/>
        <v>0</v>
      </c>
      <c r="F20" s="57"/>
      <c r="G20" s="70" t="s">
        <v>120</v>
      </c>
      <c r="H20" s="139"/>
      <c r="I20" s="139"/>
      <c r="J20" s="139"/>
      <c r="L20" s="6">
        <f>R39</f>
        <v>1175</v>
      </c>
      <c r="N20" s="1" t="s">
        <v>41</v>
      </c>
      <c r="Q20" s="4"/>
      <c r="R20" s="5">
        <f t="shared" si="0"/>
        <v>0</v>
      </c>
    </row>
    <row r="21" spans="1:18" ht="15.75" x14ac:dyDescent="0.25">
      <c r="A21" s="128"/>
      <c r="B21" s="14" t="s">
        <v>126</v>
      </c>
      <c r="C21" s="10"/>
      <c r="D21" s="48">
        <f t="shared" si="1"/>
        <v>0</v>
      </c>
      <c r="F21" s="69" t="s">
        <v>99</v>
      </c>
      <c r="G21" s="82" t="s">
        <v>98</v>
      </c>
      <c r="H21" s="186" t="s">
        <v>13</v>
      </c>
      <c r="I21" s="187"/>
      <c r="J21" s="188"/>
      <c r="L21" s="7">
        <v>650</v>
      </c>
      <c r="O21" t="s">
        <v>44</v>
      </c>
      <c r="P21" s="4">
        <v>1447</v>
      </c>
      <c r="Q21" s="4">
        <v>120</v>
      </c>
      <c r="R21" s="5">
        <f t="shared" si="0"/>
        <v>1567</v>
      </c>
    </row>
    <row r="22" spans="1:18" ht="15.75" x14ac:dyDescent="0.25">
      <c r="A22" s="128"/>
      <c r="B22" s="46" t="s">
        <v>104</v>
      </c>
      <c r="C22" s="10"/>
      <c r="D22" s="48">
        <f t="shared" si="1"/>
        <v>0</v>
      </c>
      <c r="F22" s="72"/>
      <c r="G22" s="73"/>
      <c r="H22" s="189"/>
      <c r="I22" s="189"/>
      <c r="J22" s="189"/>
      <c r="L22" s="7">
        <f>559+111</f>
        <v>670</v>
      </c>
      <c r="O22" t="s">
        <v>46</v>
      </c>
      <c r="P22" s="4">
        <v>1582</v>
      </c>
      <c r="Q22" s="4"/>
      <c r="R22" s="5">
        <f t="shared" si="0"/>
        <v>1582</v>
      </c>
    </row>
    <row r="23" spans="1:18" ht="15.75" x14ac:dyDescent="0.25">
      <c r="A23" s="128"/>
      <c r="B23" s="14" t="s">
        <v>107</v>
      </c>
      <c r="C23" s="10"/>
      <c r="D23" s="48">
        <f t="shared" si="1"/>
        <v>0</v>
      </c>
      <c r="F23" s="25"/>
      <c r="G23" s="37"/>
      <c r="H23" s="190"/>
      <c r="I23" s="191"/>
      <c r="J23" s="191"/>
      <c r="L23" s="47">
        <f>R33</f>
        <v>1175</v>
      </c>
      <c r="N23" s="1"/>
      <c r="O23" t="s">
        <v>48</v>
      </c>
      <c r="P23" s="4">
        <v>1728</v>
      </c>
      <c r="Q23" s="4"/>
      <c r="R23" s="5">
        <f t="shared" si="0"/>
        <v>1728</v>
      </c>
    </row>
    <row r="24" spans="1:18" ht="15.75" x14ac:dyDescent="0.25">
      <c r="A24" s="128"/>
      <c r="B24" s="14" t="s">
        <v>123</v>
      </c>
      <c r="C24" s="10"/>
      <c r="D24" s="48">
        <f t="shared" si="1"/>
        <v>0</v>
      </c>
      <c r="F24" s="38"/>
      <c r="G24" s="37"/>
      <c r="H24" s="190"/>
      <c r="I24" s="191"/>
      <c r="J24" s="191"/>
      <c r="L24" s="47">
        <f>596/6</f>
        <v>99.333333333333329</v>
      </c>
      <c r="N24" s="1"/>
      <c r="O24" t="s">
        <v>49</v>
      </c>
      <c r="P24" s="4">
        <v>1728</v>
      </c>
      <c r="Q24" s="4"/>
      <c r="R24" s="5">
        <f t="shared" si="0"/>
        <v>1728</v>
      </c>
    </row>
    <row r="25" spans="1:18" ht="15.75" x14ac:dyDescent="0.25">
      <c r="A25" s="128"/>
      <c r="B25" s="14" t="s">
        <v>121</v>
      </c>
      <c r="C25" s="10">
        <v>12</v>
      </c>
      <c r="D25" s="48">
        <f t="shared" si="1"/>
        <v>474.5</v>
      </c>
      <c r="F25" s="60" t="s">
        <v>100</v>
      </c>
      <c r="G25" s="55" t="s">
        <v>98</v>
      </c>
      <c r="H25" s="192" t="s">
        <v>13</v>
      </c>
      <c r="I25" s="193"/>
      <c r="J25" s="194"/>
      <c r="L25" s="47">
        <f>913/24+1.5</f>
        <v>39.541666666666664</v>
      </c>
      <c r="O25" t="s">
        <v>51</v>
      </c>
      <c r="P25" s="4">
        <v>1582</v>
      </c>
      <c r="Q25" s="4"/>
      <c r="R25" s="5">
        <f t="shared" si="0"/>
        <v>1582</v>
      </c>
    </row>
    <row r="26" spans="1:18" ht="15.75" x14ac:dyDescent="0.25">
      <c r="A26" s="128"/>
      <c r="B26" s="14" t="s">
        <v>105</v>
      </c>
      <c r="C26" s="10"/>
      <c r="D26" s="48">
        <f t="shared" si="1"/>
        <v>0</v>
      </c>
      <c r="F26" s="64"/>
      <c r="G26" s="10"/>
      <c r="H26" s="195"/>
      <c r="I26" s="196"/>
      <c r="J26" s="197"/>
      <c r="L26" s="7">
        <f>832/24+1.5</f>
        <v>36.166666666666664</v>
      </c>
      <c r="O26" t="s">
        <v>52</v>
      </c>
      <c r="P26" s="4">
        <v>1447</v>
      </c>
      <c r="Q26" s="4">
        <v>120</v>
      </c>
      <c r="R26" s="5">
        <f t="shared" si="0"/>
        <v>1567</v>
      </c>
    </row>
    <row r="27" spans="1:18" ht="14.45" customHeight="1" x14ac:dyDescent="0.25">
      <c r="A27" s="128"/>
      <c r="B27" s="14" t="s">
        <v>109</v>
      </c>
      <c r="C27" s="10"/>
      <c r="D27" s="44">
        <f t="shared" si="1"/>
        <v>0</v>
      </c>
      <c r="F27" s="14"/>
      <c r="G27" s="14"/>
      <c r="H27" s="198"/>
      <c r="I27" s="199"/>
      <c r="J27" s="200"/>
      <c r="L27" s="7">
        <v>1582</v>
      </c>
      <c r="O27" t="s">
        <v>53</v>
      </c>
      <c r="P27" s="4">
        <v>1582</v>
      </c>
      <c r="Q27" s="4"/>
      <c r="R27" s="5">
        <f t="shared" si="0"/>
        <v>1582</v>
      </c>
    </row>
    <row r="28" spans="1:18" ht="15.75" x14ac:dyDescent="0.25">
      <c r="A28" s="129"/>
      <c r="B28" s="46" t="s">
        <v>97</v>
      </c>
      <c r="C28" s="10"/>
      <c r="D28" s="48">
        <f t="shared" si="1"/>
        <v>0</v>
      </c>
      <c r="F28" s="101"/>
      <c r="G28" s="61"/>
      <c r="H28" s="201"/>
      <c r="I28" s="202"/>
      <c r="J28" s="203"/>
      <c r="L28" s="7">
        <v>785</v>
      </c>
      <c r="O28" t="s">
        <v>54</v>
      </c>
      <c r="P28" s="4">
        <v>1447</v>
      </c>
      <c r="Q28" s="4">
        <v>120</v>
      </c>
      <c r="R28" s="5">
        <f t="shared" si="0"/>
        <v>1567</v>
      </c>
    </row>
    <row r="29" spans="1:18" x14ac:dyDescent="0.25">
      <c r="A29" s="167" t="s">
        <v>36</v>
      </c>
      <c r="B29" s="168"/>
      <c r="C29" s="169"/>
      <c r="D29" s="173">
        <f>SUM(D6:D28)</f>
        <v>191305.5</v>
      </c>
      <c r="F29" s="175" t="s">
        <v>55</v>
      </c>
      <c r="G29" s="176"/>
      <c r="H29" s="179">
        <f>H15-H16-H17-H18-H19-H20-H22-H23-H24+H26+H27</f>
        <v>129844.5</v>
      </c>
      <c r="I29" s="180"/>
      <c r="J29" s="181"/>
      <c r="O29" t="s">
        <v>56</v>
      </c>
      <c r="P29" s="4">
        <v>1582</v>
      </c>
      <c r="Q29" s="4"/>
      <c r="R29" s="5">
        <f t="shared" si="0"/>
        <v>1582</v>
      </c>
    </row>
    <row r="30" spans="1:18" x14ac:dyDescent="0.25">
      <c r="A30" s="170"/>
      <c r="B30" s="171"/>
      <c r="C30" s="172"/>
      <c r="D30" s="174"/>
      <c r="F30" s="177"/>
      <c r="G30" s="178"/>
      <c r="H30" s="182"/>
      <c r="I30" s="183"/>
      <c r="J30" s="184"/>
      <c r="N30" s="1"/>
      <c r="Q30" s="4"/>
      <c r="R30" s="5">
        <f t="shared" si="0"/>
        <v>0</v>
      </c>
    </row>
    <row r="31" spans="1:18" x14ac:dyDescent="0.25">
      <c r="A31" s="24"/>
      <c r="B31" s="24"/>
      <c r="C31" s="24"/>
      <c r="D31" s="24"/>
      <c r="F31" s="24"/>
      <c r="G31" s="24"/>
      <c r="O31" t="s">
        <v>57</v>
      </c>
      <c r="P31" s="4">
        <v>1052</v>
      </c>
      <c r="Q31" s="4">
        <v>120</v>
      </c>
      <c r="R31" s="5">
        <f t="shared" si="0"/>
        <v>1172</v>
      </c>
    </row>
    <row r="32" spans="1:18" x14ac:dyDescent="0.25">
      <c r="A32" s="114" t="s">
        <v>58</v>
      </c>
      <c r="B32" s="115"/>
      <c r="C32" s="115"/>
      <c r="D32" s="116"/>
      <c r="F32" s="204" t="s">
        <v>59</v>
      </c>
      <c r="G32" s="205"/>
      <c r="H32" s="205"/>
      <c r="I32" s="205"/>
      <c r="J32" s="206"/>
      <c r="O32" t="s">
        <v>60</v>
      </c>
      <c r="P32" s="4">
        <v>1005</v>
      </c>
      <c r="Q32" s="4">
        <v>120</v>
      </c>
      <c r="R32" s="5">
        <f t="shared" si="0"/>
        <v>1125</v>
      </c>
    </row>
    <row r="33" spans="1:18" x14ac:dyDescent="0.25">
      <c r="A33" s="25"/>
      <c r="B33" s="25" t="s">
        <v>11</v>
      </c>
      <c r="C33" s="25" t="s">
        <v>61</v>
      </c>
      <c r="D33" s="25" t="s">
        <v>13</v>
      </c>
      <c r="F33" s="25" t="s">
        <v>62</v>
      </c>
      <c r="G33" s="102" t="s">
        <v>63</v>
      </c>
      <c r="H33" s="204" t="s">
        <v>13</v>
      </c>
      <c r="I33" s="205"/>
      <c r="J33" s="206"/>
      <c r="O33" t="s">
        <v>64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27" t="s">
        <v>65</v>
      </c>
      <c r="B34" s="26" t="s">
        <v>66</v>
      </c>
      <c r="C34" s="51"/>
      <c r="D34" s="30">
        <f>C34*120</f>
        <v>0</v>
      </c>
      <c r="F34" s="12">
        <v>1000</v>
      </c>
      <c r="G34" s="74">
        <v>18</v>
      </c>
      <c r="H34" s="207">
        <f>F34*G34</f>
        <v>18000</v>
      </c>
      <c r="I34" s="208"/>
      <c r="J34" s="209"/>
      <c r="O34" t="s">
        <v>67</v>
      </c>
      <c r="P34" s="4">
        <v>832</v>
      </c>
      <c r="Q34" s="4">
        <v>120</v>
      </c>
      <c r="R34" s="5">
        <f t="shared" si="0"/>
        <v>952</v>
      </c>
    </row>
    <row r="35" spans="1:18" ht="15.75" x14ac:dyDescent="0.25">
      <c r="A35" s="128"/>
      <c r="B35" s="27" t="s">
        <v>68</v>
      </c>
      <c r="C35" s="52"/>
      <c r="D35" s="30">
        <f>C35*84</f>
        <v>0</v>
      </c>
      <c r="F35" s="58">
        <v>500</v>
      </c>
      <c r="G35" s="41">
        <v>10</v>
      </c>
      <c r="H35" s="207">
        <f t="shared" ref="H35:H39" si="2">F35*G35</f>
        <v>5000</v>
      </c>
      <c r="I35" s="208"/>
      <c r="J35" s="209"/>
      <c r="O35" t="s">
        <v>69</v>
      </c>
      <c r="P35" s="4">
        <v>1102</v>
      </c>
      <c r="Q35" s="4"/>
      <c r="R35" s="5">
        <f t="shared" si="0"/>
        <v>1102</v>
      </c>
    </row>
    <row r="36" spans="1:18" ht="15.75" x14ac:dyDescent="0.25">
      <c r="A36" s="129"/>
      <c r="B36" s="26" t="s">
        <v>70</v>
      </c>
      <c r="C36" s="10"/>
      <c r="D36" s="12">
        <f>C36*1.5</f>
        <v>0</v>
      </c>
      <c r="F36" s="12">
        <v>200</v>
      </c>
      <c r="G36" s="37"/>
      <c r="H36" s="207">
        <f>F36*G36</f>
        <v>0</v>
      </c>
      <c r="I36" s="208"/>
      <c r="J36" s="209"/>
      <c r="O36" t="s">
        <v>71</v>
      </c>
      <c r="P36" s="4">
        <v>852</v>
      </c>
      <c r="Q36" s="4">
        <v>120</v>
      </c>
      <c r="R36" s="5">
        <f t="shared" si="0"/>
        <v>972</v>
      </c>
    </row>
    <row r="37" spans="1:18" ht="15.75" x14ac:dyDescent="0.25">
      <c r="A37" s="127" t="s">
        <v>72</v>
      </c>
      <c r="B37" s="28" t="s">
        <v>66</v>
      </c>
      <c r="C37" s="53">
        <v>502</v>
      </c>
      <c r="D37" s="12">
        <f>C37*111</f>
        <v>55722</v>
      </c>
      <c r="F37" s="12">
        <v>100</v>
      </c>
      <c r="G37" s="39">
        <v>22</v>
      </c>
      <c r="H37" s="207">
        <f t="shared" si="2"/>
        <v>2200</v>
      </c>
      <c r="I37" s="208"/>
      <c r="J37" s="209"/>
      <c r="O37" t="s">
        <v>73</v>
      </c>
      <c r="P37" s="4">
        <v>1020</v>
      </c>
      <c r="Q37" s="4">
        <v>120</v>
      </c>
      <c r="R37" s="5">
        <f t="shared" si="0"/>
        <v>1140</v>
      </c>
    </row>
    <row r="38" spans="1:18" ht="15.75" x14ac:dyDescent="0.25">
      <c r="A38" s="128"/>
      <c r="B38" s="29" t="s">
        <v>68</v>
      </c>
      <c r="C38" s="54">
        <v>16</v>
      </c>
      <c r="D38" s="12">
        <f>C38*84</f>
        <v>1344</v>
      </c>
      <c r="F38" s="30">
        <v>50</v>
      </c>
      <c r="G38" s="39">
        <v>6</v>
      </c>
      <c r="H38" s="207">
        <f t="shared" si="2"/>
        <v>300</v>
      </c>
      <c r="I38" s="208"/>
      <c r="J38" s="209"/>
      <c r="O38" t="s">
        <v>74</v>
      </c>
      <c r="P38" s="4">
        <v>596</v>
      </c>
      <c r="Q38" s="4">
        <v>111</v>
      </c>
      <c r="R38" s="5">
        <f t="shared" si="0"/>
        <v>707</v>
      </c>
    </row>
    <row r="39" spans="1:18" ht="15.75" x14ac:dyDescent="0.25">
      <c r="A39" s="129"/>
      <c r="B39" s="29" t="s">
        <v>70</v>
      </c>
      <c r="C39" s="52">
        <v>5</v>
      </c>
      <c r="D39" s="31">
        <f>C39*4.5</f>
        <v>22.5</v>
      </c>
      <c r="F39" s="12">
        <v>20</v>
      </c>
      <c r="G39" s="37"/>
      <c r="H39" s="207">
        <f t="shared" si="2"/>
        <v>0</v>
      </c>
      <c r="I39" s="208"/>
      <c r="J39" s="209"/>
      <c r="O39" t="s">
        <v>75</v>
      </c>
      <c r="P39" s="4">
        <v>1175</v>
      </c>
      <c r="Q39" s="4"/>
      <c r="R39" s="5">
        <f t="shared" si="0"/>
        <v>1175</v>
      </c>
    </row>
    <row r="40" spans="1:18" ht="15.75" x14ac:dyDescent="0.25">
      <c r="A40" s="127" t="s">
        <v>76</v>
      </c>
      <c r="B40" s="27" t="s">
        <v>66</v>
      </c>
      <c r="C40" s="63">
        <v>6</v>
      </c>
      <c r="D40" s="12">
        <f>C40*111</f>
        <v>666</v>
      </c>
      <c r="F40" s="12">
        <v>10</v>
      </c>
      <c r="G40" s="42"/>
      <c r="H40" s="207"/>
      <c r="I40" s="208"/>
      <c r="J40" s="209"/>
      <c r="O40" t="s">
        <v>77</v>
      </c>
      <c r="P40" s="4">
        <v>913</v>
      </c>
      <c r="Q40" s="4">
        <v>120</v>
      </c>
      <c r="R40" s="5">
        <f t="shared" si="0"/>
        <v>1033</v>
      </c>
    </row>
    <row r="41" spans="1:18" ht="15.75" x14ac:dyDescent="0.25">
      <c r="A41" s="128"/>
      <c r="B41" s="27" t="s">
        <v>68</v>
      </c>
      <c r="C41" s="10"/>
      <c r="D41" s="12">
        <f>C41*84</f>
        <v>0</v>
      </c>
      <c r="F41" s="12">
        <v>5</v>
      </c>
      <c r="G41" s="42"/>
      <c r="H41" s="207"/>
      <c r="I41" s="208"/>
      <c r="J41" s="209"/>
      <c r="K41" s="21"/>
      <c r="O41" t="s">
        <v>78</v>
      </c>
      <c r="P41" s="4">
        <v>614</v>
      </c>
      <c r="Q41" s="4">
        <v>111</v>
      </c>
      <c r="R41" s="5">
        <f t="shared" si="0"/>
        <v>725</v>
      </c>
    </row>
    <row r="42" spans="1:18" ht="15.75" x14ac:dyDescent="0.25">
      <c r="A42" s="129"/>
      <c r="B42" s="27" t="s">
        <v>70</v>
      </c>
      <c r="C42" s="11">
        <v>2</v>
      </c>
      <c r="D42" s="12">
        <f>C42*2.25</f>
        <v>4.5</v>
      </c>
      <c r="F42" s="39" t="s">
        <v>79</v>
      </c>
      <c r="G42" s="207"/>
      <c r="H42" s="208"/>
      <c r="I42" s="208"/>
      <c r="J42" s="209"/>
      <c r="K42" s="36"/>
      <c r="O42" t="s">
        <v>80</v>
      </c>
      <c r="P42" s="4">
        <v>626</v>
      </c>
      <c r="Q42" s="4">
        <v>111</v>
      </c>
      <c r="R42" s="5">
        <f t="shared" si="0"/>
        <v>737</v>
      </c>
    </row>
    <row r="43" spans="1:18" ht="15.75" x14ac:dyDescent="0.25">
      <c r="A43" s="210" t="s">
        <v>81</v>
      </c>
      <c r="C43" s="11"/>
      <c r="D43" s="12"/>
      <c r="F43" s="59" t="s">
        <v>82</v>
      </c>
      <c r="G43" s="104" t="s">
        <v>83</v>
      </c>
      <c r="H43" s="213" t="s">
        <v>13</v>
      </c>
      <c r="I43" s="214"/>
      <c r="J43" s="215"/>
      <c r="K43" s="21"/>
      <c r="P43" s="4"/>
      <c r="Q43" s="4"/>
      <c r="R43" s="5"/>
    </row>
    <row r="44" spans="1:18" ht="15.75" x14ac:dyDescent="0.25">
      <c r="A44" s="211"/>
      <c r="B44" s="27" t="s">
        <v>66</v>
      </c>
      <c r="C44" s="10"/>
      <c r="D44" s="12">
        <f>C44*120</f>
        <v>0</v>
      </c>
      <c r="F44" s="37" t="s">
        <v>144</v>
      </c>
      <c r="G44" s="62" t="s">
        <v>171</v>
      </c>
      <c r="H44" s="191">
        <v>104376</v>
      </c>
      <c r="I44" s="191"/>
      <c r="J44" s="191"/>
      <c r="K44" s="21"/>
      <c r="P44" s="4"/>
      <c r="Q44" s="4"/>
      <c r="R44" s="5"/>
    </row>
    <row r="45" spans="1:18" ht="15.75" x14ac:dyDescent="0.25">
      <c r="A45" s="211"/>
      <c r="B45" s="27" t="s">
        <v>68</v>
      </c>
      <c r="C45" s="33"/>
      <c r="D45" s="12">
        <f>C45*84</f>
        <v>0</v>
      </c>
      <c r="F45" s="37"/>
      <c r="G45" s="62"/>
      <c r="H45" s="191"/>
      <c r="I45" s="191"/>
      <c r="J45" s="191"/>
      <c r="K45" s="21"/>
      <c r="P45" s="4"/>
      <c r="Q45" s="4"/>
      <c r="R45" s="5"/>
    </row>
    <row r="46" spans="1:18" ht="15.75" x14ac:dyDescent="0.25">
      <c r="A46" s="211"/>
      <c r="B46" s="49" t="s">
        <v>70</v>
      </c>
      <c r="C46" s="81">
        <v>32</v>
      </c>
      <c r="D46" s="12">
        <f>C46*1.5</f>
        <v>48</v>
      </c>
      <c r="F46" s="37"/>
      <c r="G46" s="103"/>
      <c r="H46" s="216"/>
      <c r="I46" s="216"/>
      <c r="J46" s="216"/>
      <c r="K46" s="21"/>
      <c r="P46" s="4"/>
      <c r="Q46" s="4"/>
      <c r="R46" s="5"/>
    </row>
    <row r="47" spans="1:18" ht="15.75" x14ac:dyDescent="0.25">
      <c r="A47" s="212"/>
      <c r="B47" s="27"/>
      <c r="C47" s="11"/>
      <c r="D47" s="12"/>
      <c r="F47" s="59"/>
      <c r="G47" s="59"/>
      <c r="H47" s="217"/>
      <c r="I47" s="218"/>
      <c r="J47" s="219"/>
      <c r="K47" s="21"/>
      <c r="P47" s="4"/>
      <c r="Q47" s="4"/>
      <c r="R47" s="5"/>
    </row>
    <row r="48" spans="1:18" ht="15" customHeight="1" x14ac:dyDescent="0.25">
      <c r="A48" s="210" t="s">
        <v>32</v>
      </c>
      <c r="B48" s="27" t="s">
        <v>66</v>
      </c>
      <c r="C48" s="10">
        <v>7</v>
      </c>
      <c r="D48" s="12">
        <f>C48*78</f>
        <v>546</v>
      </c>
      <c r="F48" s="59"/>
      <c r="G48" s="59"/>
      <c r="H48" s="217"/>
      <c r="I48" s="218"/>
      <c r="J48" s="219"/>
      <c r="K48" s="35"/>
      <c r="O48" t="s">
        <v>84</v>
      </c>
      <c r="P48" s="4">
        <v>1175</v>
      </c>
      <c r="Q48" s="4"/>
      <c r="R48" s="5">
        <f t="shared" si="0"/>
        <v>1175</v>
      </c>
    </row>
    <row r="49" spans="1:18" ht="15.75" x14ac:dyDescent="0.25">
      <c r="A49" s="211"/>
      <c r="B49" s="29" t="s">
        <v>68</v>
      </c>
      <c r="C49" s="33">
        <v>26</v>
      </c>
      <c r="D49" s="12">
        <f>C49*42</f>
        <v>1092</v>
      </c>
      <c r="F49" s="232" t="s">
        <v>86</v>
      </c>
      <c r="G49" s="179">
        <f>H34+H35+H36+H37+H38+H39+H40+H41+G42+H44+H45+H46</f>
        <v>129876</v>
      </c>
      <c r="H49" s="180"/>
      <c r="I49" s="180"/>
      <c r="J49" s="181"/>
      <c r="O49" t="s">
        <v>85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211"/>
      <c r="B50" s="32" t="s">
        <v>70</v>
      </c>
      <c r="C50" s="11">
        <v>12</v>
      </c>
      <c r="D50" s="12">
        <f>C50*1.5</f>
        <v>18</v>
      </c>
      <c r="F50" s="233"/>
      <c r="G50" s="182"/>
      <c r="H50" s="183"/>
      <c r="I50" s="183"/>
      <c r="J50" s="184"/>
      <c r="P50" s="4"/>
      <c r="Q50" s="4"/>
      <c r="R50" s="5"/>
    </row>
    <row r="51" spans="1:18" ht="15" customHeight="1" x14ac:dyDescent="0.25">
      <c r="A51" s="211"/>
      <c r="B51" s="27"/>
      <c r="C51" s="10"/>
      <c r="D51" s="31"/>
      <c r="F51" s="234" t="s">
        <v>156</v>
      </c>
      <c r="G51" s="236">
        <f>G49-H29</f>
        <v>31.5</v>
      </c>
      <c r="H51" s="237"/>
      <c r="I51" s="237"/>
      <c r="J51" s="238"/>
      <c r="K51" s="21"/>
      <c r="O51" t="s">
        <v>87</v>
      </c>
      <c r="P51" s="4">
        <v>703</v>
      </c>
      <c r="Q51" s="4">
        <v>120</v>
      </c>
      <c r="R51" s="5">
        <f t="shared" si="0"/>
        <v>823</v>
      </c>
    </row>
    <row r="52" spans="1:18" ht="15.75" x14ac:dyDescent="0.25">
      <c r="A52" s="211"/>
      <c r="B52" s="29"/>
      <c r="C52" s="33"/>
      <c r="D52" s="45"/>
      <c r="F52" s="235"/>
      <c r="G52" s="239"/>
      <c r="H52" s="240"/>
      <c r="I52" s="240"/>
      <c r="J52" s="241"/>
      <c r="K52" s="21"/>
      <c r="O52" t="s">
        <v>88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212"/>
      <c r="B53" s="32"/>
      <c r="C53" s="11"/>
      <c r="D53" s="12"/>
      <c r="F53" s="35"/>
      <c r="G53" s="24"/>
      <c r="H53" s="24"/>
      <c r="I53" s="24"/>
      <c r="J53" s="17"/>
      <c r="N53" s="1"/>
      <c r="O53" t="s">
        <v>89</v>
      </c>
      <c r="P53" s="4">
        <v>1142</v>
      </c>
    </row>
    <row r="54" spans="1:18" x14ac:dyDescent="0.25">
      <c r="A54" s="175" t="s">
        <v>90</v>
      </c>
      <c r="B54" s="220"/>
      <c r="C54" s="221"/>
      <c r="D54" s="224">
        <f>SUM(D34:D53)</f>
        <v>59463</v>
      </c>
      <c r="F54" s="21"/>
      <c r="J54" s="34"/>
    </row>
    <row r="55" spans="1:18" x14ac:dyDescent="0.25">
      <c r="A55" s="177"/>
      <c r="B55" s="222"/>
      <c r="C55" s="223"/>
      <c r="D55" s="225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173</v>
      </c>
      <c r="D57" s="34"/>
      <c r="F57" s="36"/>
      <c r="G57" s="50"/>
      <c r="H57" s="50"/>
      <c r="I57" s="50"/>
      <c r="J57" s="43"/>
    </row>
    <row r="58" spans="1:18" x14ac:dyDescent="0.25">
      <c r="A58" s="226" t="s">
        <v>91</v>
      </c>
      <c r="B58" s="227"/>
      <c r="C58" s="227"/>
      <c r="D58" s="228"/>
      <c r="F58" s="226" t="s">
        <v>92</v>
      </c>
      <c r="G58" s="227"/>
      <c r="H58" s="227"/>
      <c r="I58" s="227"/>
      <c r="J58" s="228"/>
    </row>
    <row r="59" spans="1:18" x14ac:dyDescent="0.25">
      <c r="A59" s="229"/>
      <c r="B59" s="230"/>
      <c r="C59" s="230"/>
      <c r="D59" s="231"/>
      <c r="F59" s="229"/>
      <c r="G59" s="230"/>
      <c r="H59" s="230"/>
      <c r="I59" s="230"/>
      <c r="J59" s="231"/>
    </row>
  </sheetData>
  <mergeCells count="68"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  <mergeCell ref="H13:J13"/>
    <mergeCell ref="F14:G14"/>
    <mergeCell ref="H14:J14"/>
    <mergeCell ref="F15:G15"/>
    <mergeCell ref="H15:J15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A32:D32"/>
    <mergeCell ref="F32:J32"/>
    <mergeCell ref="H33:J33"/>
    <mergeCell ref="A34:A36"/>
    <mergeCell ref="H34:J34"/>
    <mergeCell ref="H35:J35"/>
    <mergeCell ref="H36:J36"/>
    <mergeCell ref="A37:A39"/>
    <mergeCell ref="H37:J37"/>
    <mergeCell ref="H38:J38"/>
    <mergeCell ref="H39:J39"/>
    <mergeCell ref="A40:A42"/>
    <mergeCell ref="H40:J40"/>
    <mergeCell ref="H41:J41"/>
    <mergeCell ref="G42:J42"/>
    <mergeCell ref="A43:A47"/>
    <mergeCell ref="H43:J43"/>
    <mergeCell ref="H44:J44"/>
    <mergeCell ref="H45:J45"/>
    <mergeCell ref="H46:J46"/>
    <mergeCell ref="H47:J47"/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4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30EEA44-7418-4113-AA44-42427A642B3D}">
  <dimension ref="A1:R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113" t="s">
        <v>1</v>
      </c>
      <c r="O1" s="113"/>
      <c r="P1" s="100" t="s">
        <v>2</v>
      </c>
      <c r="Q1" s="100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14" t="s">
        <v>7</v>
      </c>
      <c r="B4" s="115"/>
      <c r="C4" s="115"/>
      <c r="D4" s="116"/>
      <c r="F4" s="117" t="s">
        <v>8</v>
      </c>
      <c r="G4" s="119">
        <v>3</v>
      </c>
      <c r="H4" s="121" t="s">
        <v>9</v>
      </c>
      <c r="I4" s="123">
        <v>45974</v>
      </c>
      <c r="J4" s="124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27" t="s">
        <v>7</v>
      </c>
      <c r="B5" s="15" t="s">
        <v>11</v>
      </c>
      <c r="C5" s="9" t="s">
        <v>12</v>
      </c>
      <c r="D5" s="25" t="s">
        <v>13</v>
      </c>
      <c r="F5" s="118"/>
      <c r="G5" s="120"/>
      <c r="H5" s="122"/>
      <c r="I5" s="125"/>
      <c r="J5" s="126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28"/>
      <c r="B6" s="16" t="s">
        <v>15</v>
      </c>
      <c r="C6" s="10">
        <v>281</v>
      </c>
      <c r="D6" s="13">
        <f t="shared" ref="D6:D28" si="1">C6*L6</f>
        <v>207097</v>
      </c>
      <c r="F6" s="130" t="s">
        <v>16</v>
      </c>
      <c r="G6" s="132" t="s">
        <v>111</v>
      </c>
      <c r="H6" s="133"/>
      <c r="I6" s="133"/>
      <c r="J6" s="134"/>
      <c r="K6" s="8"/>
      <c r="L6" s="6">
        <f>R42</f>
        <v>737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28"/>
      <c r="B7" s="16" t="s">
        <v>18</v>
      </c>
      <c r="C7" s="10">
        <v>10</v>
      </c>
      <c r="D7" s="13">
        <f t="shared" si="1"/>
        <v>7250</v>
      </c>
      <c r="F7" s="131"/>
      <c r="G7" s="135"/>
      <c r="H7" s="136"/>
      <c r="I7" s="136"/>
      <c r="J7" s="137"/>
      <c r="K7" s="8"/>
      <c r="L7" s="6">
        <f>R41</f>
        <v>725</v>
      </c>
      <c r="P7" s="4"/>
      <c r="Q7" s="4"/>
      <c r="R7" s="5"/>
    </row>
    <row r="8" spans="1:18" ht="14.45" customHeight="1" x14ac:dyDescent="0.25">
      <c r="A8" s="128"/>
      <c r="B8" s="16" t="s">
        <v>20</v>
      </c>
      <c r="C8" s="10"/>
      <c r="D8" s="13">
        <f t="shared" si="1"/>
        <v>0</v>
      </c>
      <c r="F8" s="138" t="s">
        <v>21</v>
      </c>
      <c r="G8" s="140" t="s">
        <v>119</v>
      </c>
      <c r="H8" s="141"/>
      <c r="I8" s="141"/>
      <c r="J8" s="142"/>
      <c r="K8" s="8"/>
      <c r="L8" s="6">
        <f>R40</f>
        <v>1033</v>
      </c>
      <c r="P8" s="4"/>
      <c r="Q8" s="4"/>
      <c r="R8" s="5"/>
    </row>
    <row r="9" spans="1:18" ht="14.45" customHeight="1" x14ac:dyDescent="0.25">
      <c r="A9" s="128"/>
      <c r="B9" s="16" t="s">
        <v>23</v>
      </c>
      <c r="C9" s="10">
        <v>59</v>
      </c>
      <c r="D9" s="13">
        <f t="shared" si="1"/>
        <v>41713</v>
      </c>
      <c r="F9" s="131"/>
      <c r="G9" s="143"/>
      <c r="H9" s="144"/>
      <c r="I9" s="144"/>
      <c r="J9" s="145"/>
      <c r="K9" s="8"/>
      <c r="L9" s="6">
        <f>R38</f>
        <v>707</v>
      </c>
      <c r="P9" s="4"/>
      <c r="Q9" s="4"/>
      <c r="R9" s="5"/>
    </row>
    <row r="10" spans="1:18" ht="14.45" customHeight="1" x14ac:dyDescent="0.25">
      <c r="A10" s="128"/>
      <c r="B10" t="s">
        <v>25</v>
      </c>
      <c r="C10" s="10"/>
      <c r="D10" s="13">
        <f t="shared" si="1"/>
        <v>0</v>
      </c>
      <c r="F10" s="130" t="s">
        <v>26</v>
      </c>
      <c r="G10" s="146" t="s">
        <v>137</v>
      </c>
      <c r="H10" s="147"/>
      <c r="I10" s="147"/>
      <c r="J10" s="148"/>
      <c r="K10" s="8"/>
      <c r="L10" s="6">
        <f>R36</f>
        <v>972</v>
      </c>
      <c r="P10" s="4"/>
      <c r="Q10" s="4"/>
      <c r="R10" s="5"/>
    </row>
    <row r="11" spans="1:18" ht="15.75" x14ac:dyDescent="0.25">
      <c r="A11" s="128"/>
      <c r="B11" s="17" t="s">
        <v>28</v>
      </c>
      <c r="C11" s="10">
        <v>5</v>
      </c>
      <c r="D11" s="13">
        <f t="shared" si="1"/>
        <v>5625</v>
      </c>
      <c r="F11" s="131"/>
      <c r="G11" s="143"/>
      <c r="H11" s="144"/>
      <c r="I11" s="144"/>
      <c r="J11" s="145"/>
      <c r="K11" s="22"/>
      <c r="L11" s="6">
        <f>R32</f>
        <v>1125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28"/>
      <c r="B12" s="17" t="s">
        <v>30</v>
      </c>
      <c r="C12" s="10">
        <v>1</v>
      </c>
      <c r="D12" s="48">
        <f t="shared" si="1"/>
        <v>952</v>
      </c>
      <c r="F12" s="149" t="s">
        <v>33</v>
      </c>
      <c r="G12" s="150"/>
      <c r="H12" s="150"/>
      <c r="I12" s="150"/>
      <c r="J12" s="151"/>
      <c r="K12" s="23"/>
      <c r="L12" s="6">
        <f>R34</f>
        <v>952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28"/>
      <c r="B13" s="17" t="s">
        <v>32</v>
      </c>
      <c r="C13" s="10">
        <v>14</v>
      </c>
      <c r="D13" s="48">
        <f t="shared" si="1"/>
        <v>4298</v>
      </c>
      <c r="F13" s="152" t="s">
        <v>36</v>
      </c>
      <c r="G13" s="153"/>
      <c r="H13" s="154">
        <f>D29</f>
        <v>266979</v>
      </c>
      <c r="I13" s="155"/>
      <c r="J13" s="156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28"/>
      <c r="B14" s="14" t="s">
        <v>35</v>
      </c>
      <c r="C14" s="10">
        <v>4</v>
      </c>
      <c r="D14" s="31">
        <f t="shared" si="1"/>
        <v>44</v>
      </c>
      <c r="F14" s="157" t="s">
        <v>39</v>
      </c>
      <c r="G14" s="158"/>
      <c r="H14" s="159">
        <f>D54</f>
        <v>20738.25</v>
      </c>
      <c r="I14" s="160"/>
      <c r="J14" s="161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28"/>
      <c r="B15" s="14" t="s">
        <v>38</v>
      </c>
      <c r="C15" s="10"/>
      <c r="D15" s="31">
        <f t="shared" si="1"/>
        <v>0</v>
      </c>
      <c r="F15" s="162" t="s">
        <v>40</v>
      </c>
      <c r="G15" s="153"/>
      <c r="H15" s="163">
        <f>H13-H14</f>
        <v>246240.75</v>
      </c>
      <c r="I15" s="164"/>
      <c r="J15" s="165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28"/>
      <c r="B16" s="18" t="s">
        <v>94</v>
      </c>
      <c r="C16" s="10"/>
      <c r="D16" s="48">
        <f t="shared" si="1"/>
        <v>0</v>
      </c>
      <c r="F16" s="67" t="s">
        <v>42</v>
      </c>
      <c r="G16" s="66" t="s">
        <v>43</v>
      </c>
      <c r="H16" s="166">
        <f>1590+312</f>
        <v>1902</v>
      </c>
      <c r="I16" s="166"/>
      <c r="J16" s="166"/>
      <c r="L16" s="6">
        <f>R28</f>
        <v>1567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28"/>
      <c r="B17" t="s">
        <v>113</v>
      </c>
      <c r="C17" s="10"/>
      <c r="D17" s="48">
        <f t="shared" si="1"/>
        <v>0</v>
      </c>
      <c r="F17" s="56"/>
      <c r="G17" s="66" t="s">
        <v>45</v>
      </c>
      <c r="H17" s="139"/>
      <c r="I17" s="139"/>
      <c r="J17" s="139"/>
      <c r="L17" s="6">
        <v>1582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28"/>
      <c r="B18" s="19" t="s">
        <v>95</v>
      </c>
      <c r="C18" s="10"/>
      <c r="D18" s="48">
        <f t="shared" si="1"/>
        <v>0</v>
      </c>
      <c r="F18" s="56"/>
      <c r="G18" s="66" t="s">
        <v>47</v>
      </c>
      <c r="H18" s="139"/>
      <c r="I18" s="139"/>
      <c r="J18" s="139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28"/>
      <c r="B19" s="14" t="s">
        <v>117</v>
      </c>
      <c r="C19" s="10"/>
      <c r="D19" s="48">
        <f t="shared" si="1"/>
        <v>0</v>
      </c>
      <c r="F19" s="56"/>
      <c r="G19" s="68" t="s">
        <v>50</v>
      </c>
      <c r="H19" s="253"/>
      <c r="I19" s="253"/>
      <c r="J19" s="253"/>
      <c r="L19" s="6">
        <f>R35</f>
        <v>1102</v>
      </c>
      <c r="Q19" s="4"/>
      <c r="R19" s="5">
        <f t="shared" si="0"/>
        <v>0</v>
      </c>
    </row>
    <row r="20" spans="1:18" ht="15.75" x14ac:dyDescent="0.25">
      <c r="A20" s="128"/>
      <c r="B20" s="46" t="s">
        <v>108</v>
      </c>
      <c r="C20" s="10"/>
      <c r="D20" s="13">
        <f t="shared" si="1"/>
        <v>0</v>
      </c>
      <c r="F20" s="57"/>
      <c r="G20" s="70" t="s">
        <v>120</v>
      </c>
      <c r="H20" s="166"/>
      <c r="I20" s="166"/>
      <c r="J20" s="166"/>
      <c r="L20" s="6">
        <f>1102</f>
        <v>1102</v>
      </c>
      <c r="N20" s="1" t="s">
        <v>41</v>
      </c>
      <c r="Q20" s="4"/>
      <c r="R20" s="5">
        <f t="shared" si="0"/>
        <v>0</v>
      </c>
    </row>
    <row r="21" spans="1:18" ht="15.75" x14ac:dyDescent="0.25">
      <c r="A21" s="128"/>
      <c r="B21" s="14" t="s">
        <v>126</v>
      </c>
      <c r="C21" s="10"/>
      <c r="D21" s="48">
        <f t="shared" si="1"/>
        <v>0</v>
      </c>
      <c r="F21" s="69" t="s">
        <v>99</v>
      </c>
      <c r="G21" s="82" t="s">
        <v>98</v>
      </c>
      <c r="H21" s="186" t="s">
        <v>13</v>
      </c>
      <c r="I21" s="187"/>
      <c r="J21" s="188"/>
      <c r="L21" s="7">
        <v>650</v>
      </c>
      <c r="O21" t="s">
        <v>44</v>
      </c>
      <c r="P21" s="4">
        <v>1447</v>
      </c>
      <c r="Q21" s="4">
        <v>120</v>
      </c>
      <c r="R21" s="5">
        <f t="shared" si="0"/>
        <v>1567</v>
      </c>
    </row>
    <row r="22" spans="1:18" ht="15.75" x14ac:dyDescent="0.25">
      <c r="A22" s="128"/>
      <c r="B22" s="46" t="s">
        <v>104</v>
      </c>
      <c r="C22" s="10"/>
      <c r="D22" s="48">
        <f t="shared" si="1"/>
        <v>0</v>
      </c>
      <c r="F22" s="77"/>
      <c r="G22" s="73"/>
      <c r="H22" s="189"/>
      <c r="I22" s="189"/>
      <c r="J22" s="189"/>
      <c r="L22" s="7">
        <f>559+111</f>
        <v>670</v>
      </c>
      <c r="O22" t="s">
        <v>46</v>
      </c>
      <c r="P22" s="4">
        <v>1582</v>
      </c>
      <c r="Q22" s="4"/>
      <c r="R22" s="5">
        <f t="shared" si="0"/>
        <v>1582</v>
      </c>
    </row>
    <row r="23" spans="1:18" ht="15.75" x14ac:dyDescent="0.25">
      <c r="A23" s="128"/>
      <c r="B23" s="14" t="s">
        <v>107</v>
      </c>
      <c r="C23" s="10"/>
      <c r="D23" s="48">
        <f t="shared" si="1"/>
        <v>0</v>
      </c>
      <c r="F23" s="78"/>
      <c r="G23" s="79"/>
      <c r="H23" s="190"/>
      <c r="I23" s="191"/>
      <c r="J23" s="191"/>
      <c r="L23" s="47">
        <f>R33</f>
        <v>1175</v>
      </c>
      <c r="N23" s="1"/>
      <c r="O23" t="s">
        <v>48</v>
      </c>
      <c r="P23" s="4">
        <v>1728</v>
      </c>
      <c r="Q23" s="4"/>
      <c r="R23" s="5">
        <f t="shared" si="0"/>
        <v>1728</v>
      </c>
    </row>
    <row r="24" spans="1:18" ht="15.75" x14ac:dyDescent="0.25">
      <c r="A24" s="128"/>
      <c r="B24" s="14" t="s">
        <v>101</v>
      </c>
      <c r="C24" s="10"/>
      <c r="D24" s="48">
        <f t="shared" si="1"/>
        <v>0</v>
      </c>
      <c r="F24" s="38"/>
      <c r="G24" s="37"/>
      <c r="H24" s="190"/>
      <c r="I24" s="191"/>
      <c r="J24" s="191"/>
      <c r="L24" s="47">
        <v>1667</v>
      </c>
      <c r="N24" s="1"/>
      <c r="O24" t="s">
        <v>49</v>
      </c>
      <c r="P24" s="4">
        <v>1728</v>
      </c>
      <c r="Q24" s="4"/>
      <c r="R24" s="5">
        <f t="shared" si="0"/>
        <v>1728</v>
      </c>
    </row>
    <row r="25" spans="1:18" ht="15.75" x14ac:dyDescent="0.25">
      <c r="A25" s="128"/>
      <c r="B25" s="14" t="s">
        <v>116</v>
      </c>
      <c r="C25" s="10"/>
      <c r="D25" s="48">
        <f t="shared" si="1"/>
        <v>0</v>
      </c>
      <c r="F25" s="60" t="s">
        <v>100</v>
      </c>
      <c r="G25" s="55" t="s">
        <v>98</v>
      </c>
      <c r="H25" s="192" t="s">
        <v>13</v>
      </c>
      <c r="I25" s="193"/>
      <c r="J25" s="194"/>
      <c r="L25" s="47">
        <f>1582</f>
        <v>1582</v>
      </c>
      <c r="O25" t="s">
        <v>51</v>
      </c>
      <c r="P25" s="4">
        <v>1582</v>
      </c>
      <c r="Q25" s="4"/>
      <c r="R25" s="5">
        <f t="shared" si="0"/>
        <v>1582</v>
      </c>
    </row>
    <row r="26" spans="1:18" ht="15.75" x14ac:dyDescent="0.25">
      <c r="A26" s="128"/>
      <c r="B26" s="14" t="s">
        <v>105</v>
      </c>
      <c r="C26" s="10"/>
      <c r="D26" s="48">
        <f t="shared" si="1"/>
        <v>0</v>
      </c>
      <c r="F26" s="64"/>
      <c r="G26" s="59"/>
      <c r="H26" s="195"/>
      <c r="I26" s="196"/>
      <c r="J26" s="197"/>
      <c r="L26" s="7">
        <f>832/24+1.5</f>
        <v>36.166666666666664</v>
      </c>
      <c r="O26" t="s">
        <v>52</v>
      </c>
      <c r="P26" s="4">
        <v>1447</v>
      </c>
      <c r="Q26" s="4">
        <v>120</v>
      </c>
      <c r="R26" s="5">
        <f t="shared" si="0"/>
        <v>1567</v>
      </c>
    </row>
    <row r="27" spans="1:18" ht="14.45" customHeight="1" x14ac:dyDescent="0.25">
      <c r="A27" s="128"/>
      <c r="B27" s="14" t="s">
        <v>109</v>
      </c>
      <c r="C27" s="10"/>
      <c r="D27" s="44">
        <f t="shared" si="1"/>
        <v>0</v>
      </c>
      <c r="F27" s="25"/>
      <c r="G27" s="80"/>
      <c r="H27" s="198"/>
      <c r="I27" s="199"/>
      <c r="J27" s="200"/>
      <c r="L27" s="7">
        <v>1582</v>
      </c>
      <c r="O27" t="s">
        <v>53</v>
      </c>
      <c r="P27" s="4">
        <v>1582</v>
      </c>
      <c r="Q27" s="4"/>
      <c r="R27" s="5">
        <f t="shared" si="0"/>
        <v>1582</v>
      </c>
    </row>
    <row r="28" spans="1:18" ht="15.75" x14ac:dyDescent="0.25">
      <c r="A28" s="129"/>
      <c r="B28" s="46" t="s">
        <v>97</v>
      </c>
      <c r="C28" s="10"/>
      <c r="D28" s="48">
        <f t="shared" si="1"/>
        <v>0</v>
      </c>
      <c r="F28" s="101"/>
      <c r="G28" s="61"/>
      <c r="H28" s="201"/>
      <c r="I28" s="202"/>
      <c r="J28" s="203"/>
      <c r="L28" s="7">
        <v>785</v>
      </c>
      <c r="O28" t="s">
        <v>54</v>
      </c>
      <c r="P28" s="4">
        <v>1447</v>
      </c>
      <c r="Q28" s="4">
        <v>120</v>
      </c>
      <c r="R28" s="5">
        <f t="shared" si="0"/>
        <v>1567</v>
      </c>
    </row>
    <row r="29" spans="1:18" x14ac:dyDescent="0.25">
      <c r="A29" s="167" t="s">
        <v>36</v>
      </c>
      <c r="B29" s="168"/>
      <c r="C29" s="169"/>
      <c r="D29" s="173">
        <f>SUM(D6:D28)</f>
        <v>266979</v>
      </c>
      <c r="F29" s="175" t="s">
        <v>55</v>
      </c>
      <c r="G29" s="176"/>
      <c r="H29" s="179">
        <f>H15-H16-H17-H18-H19-H20-H22-H23-H24+H26+H27</f>
        <v>244338.75</v>
      </c>
      <c r="I29" s="180"/>
      <c r="J29" s="181"/>
      <c r="O29" t="s">
        <v>56</v>
      </c>
      <c r="P29" s="4">
        <v>1582</v>
      </c>
      <c r="Q29" s="4"/>
      <c r="R29" s="5">
        <f t="shared" si="0"/>
        <v>1582</v>
      </c>
    </row>
    <row r="30" spans="1:18" x14ac:dyDescent="0.25">
      <c r="A30" s="170"/>
      <c r="B30" s="171"/>
      <c r="C30" s="172"/>
      <c r="D30" s="174"/>
      <c r="F30" s="177"/>
      <c r="G30" s="178"/>
      <c r="H30" s="182"/>
      <c r="I30" s="183"/>
      <c r="J30" s="184"/>
      <c r="N30" s="1"/>
      <c r="Q30" s="4"/>
      <c r="R30" s="5">
        <f t="shared" si="0"/>
        <v>0</v>
      </c>
    </row>
    <row r="31" spans="1:18" x14ac:dyDescent="0.25">
      <c r="A31" s="24"/>
      <c r="B31" s="24"/>
      <c r="C31" s="24"/>
      <c r="D31" s="24"/>
      <c r="F31" s="24"/>
      <c r="G31" s="24"/>
      <c r="O31" t="s">
        <v>57</v>
      </c>
      <c r="P31" s="4">
        <v>1052</v>
      </c>
      <c r="Q31" s="4">
        <v>120</v>
      </c>
      <c r="R31" s="5">
        <f t="shared" si="0"/>
        <v>1172</v>
      </c>
    </row>
    <row r="32" spans="1:18" x14ac:dyDescent="0.25">
      <c r="A32" s="114" t="s">
        <v>58</v>
      </c>
      <c r="B32" s="115"/>
      <c r="C32" s="115"/>
      <c r="D32" s="116"/>
      <c r="F32" s="204" t="s">
        <v>59</v>
      </c>
      <c r="G32" s="205"/>
      <c r="H32" s="205"/>
      <c r="I32" s="205"/>
      <c r="J32" s="206"/>
      <c r="O32" t="s">
        <v>60</v>
      </c>
      <c r="P32" s="4">
        <v>1005</v>
      </c>
      <c r="Q32" s="4">
        <v>120</v>
      </c>
      <c r="R32" s="5">
        <f t="shared" si="0"/>
        <v>1125</v>
      </c>
    </row>
    <row r="33" spans="1:18" x14ac:dyDescent="0.25">
      <c r="A33" s="25"/>
      <c r="B33" s="25" t="s">
        <v>11</v>
      </c>
      <c r="C33" s="25" t="s">
        <v>61</v>
      </c>
      <c r="D33" s="25" t="s">
        <v>13</v>
      </c>
      <c r="F33" s="25" t="s">
        <v>62</v>
      </c>
      <c r="G33" s="102" t="s">
        <v>63</v>
      </c>
      <c r="H33" s="204" t="s">
        <v>13</v>
      </c>
      <c r="I33" s="205"/>
      <c r="J33" s="206"/>
      <c r="O33" t="s">
        <v>64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27" t="s">
        <v>65</v>
      </c>
      <c r="B34" s="26" t="s">
        <v>66</v>
      </c>
      <c r="C34" s="51"/>
      <c r="D34" s="30">
        <f>C34*120</f>
        <v>0</v>
      </c>
      <c r="F34" s="12">
        <v>1000</v>
      </c>
      <c r="G34" s="74">
        <v>44</v>
      </c>
      <c r="H34" s="207">
        <f>F34*G34</f>
        <v>44000</v>
      </c>
      <c r="I34" s="208"/>
      <c r="J34" s="209"/>
      <c r="O34" t="s">
        <v>67</v>
      </c>
      <c r="P34" s="4">
        <v>832</v>
      </c>
      <c r="Q34" s="4">
        <v>120</v>
      </c>
      <c r="R34" s="5">
        <f t="shared" si="0"/>
        <v>952</v>
      </c>
    </row>
    <row r="35" spans="1:18" ht="15.75" x14ac:dyDescent="0.25">
      <c r="A35" s="128"/>
      <c r="B35" s="27" t="s">
        <v>68</v>
      </c>
      <c r="C35" s="52"/>
      <c r="D35" s="30">
        <f>C35*84</f>
        <v>0</v>
      </c>
      <c r="F35" s="58">
        <v>500</v>
      </c>
      <c r="G35" s="41">
        <v>39</v>
      </c>
      <c r="H35" s="207">
        <f>F35*G35</f>
        <v>19500</v>
      </c>
      <c r="I35" s="208"/>
      <c r="J35" s="209"/>
      <c r="O35" t="s">
        <v>69</v>
      </c>
      <c r="P35" s="4">
        <v>1102</v>
      </c>
      <c r="Q35" s="4"/>
      <c r="R35" s="5">
        <f t="shared" si="0"/>
        <v>1102</v>
      </c>
    </row>
    <row r="36" spans="1:18" ht="15.75" x14ac:dyDescent="0.25">
      <c r="A36" s="129"/>
      <c r="B36" s="26" t="s">
        <v>70</v>
      </c>
      <c r="C36" s="10"/>
      <c r="D36" s="12">
        <f>C36*1.5</f>
        <v>0</v>
      </c>
      <c r="F36" s="12">
        <v>200</v>
      </c>
      <c r="G36" s="37"/>
      <c r="H36" s="207">
        <f t="shared" ref="H36:H39" si="2">F36*G36</f>
        <v>0</v>
      </c>
      <c r="I36" s="208"/>
      <c r="J36" s="209"/>
      <c r="O36" t="s">
        <v>71</v>
      </c>
      <c r="P36" s="4">
        <v>852</v>
      </c>
      <c r="Q36" s="4">
        <v>120</v>
      </c>
      <c r="R36" s="5">
        <f t="shared" si="0"/>
        <v>972</v>
      </c>
    </row>
    <row r="37" spans="1:18" ht="15.75" x14ac:dyDescent="0.25">
      <c r="A37" s="127" t="s">
        <v>72</v>
      </c>
      <c r="B37" s="28" t="s">
        <v>66</v>
      </c>
      <c r="C37" s="53">
        <v>173</v>
      </c>
      <c r="D37" s="12">
        <f>C37*111</f>
        <v>19203</v>
      </c>
      <c r="F37" s="12">
        <v>100</v>
      </c>
      <c r="G37" s="39">
        <v>4</v>
      </c>
      <c r="H37" s="207">
        <f t="shared" si="2"/>
        <v>400</v>
      </c>
      <c r="I37" s="208"/>
      <c r="J37" s="209"/>
      <c r="O37" t="s">
        <v>73</v>
      </c>
      <c r="P37" s="4">
        <v>1020</v>
      </c>
      <c r="Q37" s="4">
        <v>120</v>
      </c>
      <c r="R37" s="5">
        <f t="shared" si="0"/>
        <v>1140</v>
      </c>
    </row>
    <row r="38" spans="1:18" ht="15.75" x14ac:dyDescent="0.25">
      <c r="A38" s="128"/>
      <c r="B38" s="29" t="s">
        <v>68</v>
      </c>
      <c r="C38" s="54">
        <v>4</v>
      </c>
      <c r="D38" s="12">
        <f>C38*84</f>
        <v>336</v>
      </c>
      <c r="F38" s="30">
        <v>50</v>
      </c>
      <c r="G38" s="39">
        <v>2</v>
      </c>
      <c r="H38" s="207">
        <f t="shared" si="2"/>
        <v>100</v>
      </c>
      <c r="I38" s="208"/>
      <c r="J38" s="209"/>
      <c r="O38" t="s">
        <v>74</v>
      </c>
      <c r="P38" s="4">
        <v>596</v>
      </c>
      <c r="Q38" s="4">
        <v>111</v>
      </c>
      <c r="R38" s="5">
        <f t="shared" si="0"/>
        <v>707</v>
      </c>
    </row>
    <row r="39" spans="1:18" ht="15.75" x14ac:dyDescent="0.25">
      <c r="A39" s="129"/>
      <c r="B39" s="29" t="s">
        <v>70</v>
      </c>
      <c r="C39" s="52">
        <v>4</v>
      </c>
      <c r="D39" s="31">
        <f>C39*4.5</f>
        <v>18</v>
      </c>
      <c r="F39" s="12">
        <v>20</v>
      </c>
      <c r="G39" s="37">
        <v>1</v>
      </c>
      <c r="H39" s="207">
        <f t="shared" si="2"/>
        <v>20</v>
      </c>
      <c r="I39" s="208"/>
      <c r="J39" s="209"/>
      <c r="O39" t="s">
        <v>75</v>
      </c>
      <c r="P39" s="4">
        <v>1175</v>
      </c>
      <c r="Q39" s="4"/>
      <c r="R39" s="5">
        <f t="shared" si="0"/>
        <v>1175</v>
      </c>
    </row>
    <row r="40" spans="1:18" ht="15.75" x14ac:dyDescent="0.25">
      <c r="A40" s="127" t="s">
        <v>76</v>
      </c>
      <c r="B40" s="27" t="s">
        <v>66</v>
      </c>
      <c r="C40" s="63">
        <v>7</v>
      </c>
      <c r="D40" s="12">
        <f>C40*111</f>
        <v>777</v>
      </c>
      <c r="F40" s="12">
        <v>10</v>
      </c>
      <c r="G40" s="42"/>
      <c r="H40" s="207"/>
      <c r="I40" s="208"/>
      <c r="J40" s="209"/>
      <c r="O40" t="s">
        <v>77</v>
      </c>
      <c r="P40" s="4">
        <v>913</v>
      </c>
      <c r="Q40" s="4">
        <v>120</v>
      </c>
      <c r="R40" s="5">
        <f t="shared" si="0"/>
        <v>1033</v>
      </c>
    </row>
    <row r="41" spans="1:18" ht="15.75" x14ac:dyDescent="0.25">
      <c r="A41" s="128"/>
      <c r="B41" s="27" t="s">
        <v>68</v>
      </c>
      <c r="C41" s="10">
        <v>1</v>
      </c>
      <c r="D41" s="12">
        <f>C41*84</f>
        <v>84</v>
      </c>
      <c r="F41" s="12">
        <v>5</v>
      </c>
      <c r="G41" s="42"/>
      <c r="H41" s="207"/>
      <c r="I41" s="208"/>
      <c r="J41" s="209"/>
      <c r="K41" s="21"/>
      <c r="O41" t="s">
        <v>78</v>
      </c>
      <c r="P41" s="4">
        <v>614</v>
      </c>
      <c r="Q41" s="4">
        <v>111</v>
      </c>
      <c r="R41" s="5">
        <f t="shared" si="0"/>
        <v>725</v>
      </c>
    </row>
    <row r="42" spans="1:18" ht="15.75" x14ac:dyDescent="0.25">
      <c r="A42" s="129"/>
      <c r="B42" s="27" t="s">
        <v>70</v>
      </c>
      <c r="C42" s="11">
        <v>9</v>
      </c>
      <c r="D42" s="12">
        <f>C42*2.25</f>
        <v>20.25</v>
      </c>
      <c r="F42" s="39" t="s">
        <v>79</v>
      </c>
      <c r="G42" s="207">
        <v>33</v>
      </c>
      <c r="H42" s="208"/>
      <c r="I42" s="208"/>
      <c r="J42" s="209"/>
      <c r="K42" s="36"/>
      <c r="O42" t="s">
        <v>80</v>
      </c>
      <c r="P42" s="4">
        <v>626</v>
      </c>
      <c r="Q42" s="4">
        <v>111</v>
      </c>
      <c r="R42" s="5">
        <f t="shared" si="0"/>
        <v>737</v>
      </c>
    </row>
    <row r="43" spans="1:18" ht="15.75" x14ac:dyDescent="0.25">
      <c r="A43" s="210" t="s">
        <v>81</v>
      </c>
      <c r="C43" s="11"/>
      <c r="D43" s="12"/>
      <c r="F43" s="59" t="s">
        <v>82</v>
      </c>
      <c r="G43" s="104" t="s">
        <v>83</v>
      </c>
      <c r="H43" s="213" t="s">
        <v>13</v>
      </c>
      <c r="I43" s="214"/>
      <c r="J43" s="215"/>
      <c r="K43" s="21"/>
      <c r="P43" s="4"/>
      <c r="Q43" s="4"/>
      <c r="R43" s="5"/>
    </row>
    <row r="44" spans="1:18" ht="15.75" x14ac:dyDescent="0.25">
      <c r="A44" s="211"/>
      <c r="B44" s="27" t="s">
        <v>66</v>
      </c>
      <c r="C44" s="10"/>
      <c r="D44" s="12">
        <f>C44*120</f>
        <v>0</v>
      </c>
      <c r="F44" s="37" t="s">
        <v>148</v>
      </c>
      <c r="G44" s="76" t="s">
        <v>172</v>
      </c>
      <c r="H44" s="191">
        <v>180501</v>
      </c>
      <c r="I44" s="191"/>
      <c r="J44" s="191"/>
      <c r="K44" s="21"/>
      <c r="P44" s="4"/>
      <c r="Q44" s="4"/>
      <c r="R44" s="5"/>
    </row>
    <row r="45" spans="1:18" ht="15.75" x14ac:dyDescent="0.25">
      <c r="A45" s="211"/>
      <c r="B45" s="27" t="s">
        <v>68</v>
      </c>
      <c r="C45" s="33">
        <v>1</v>
      </c>
      <c r="D45" s="12">
        <f>C45*84</f>
        <v>84</v>
      </c>
      <c r="F45" s="37"/>
      <c r="G45" s="76"/>
      <c r="H45" s="191"/>
      <c r="I45" s="191"/>
      <c r="J45" s="191"/>
      <c r="K45" s="21"/>
      <c r="P45" s="4"/>
      <c r="Q45" s="4"/>
      <c r="R45" s="5"/>
    </row>
    <row r="46" spans="1:18" ht="15.75" x14ac:dyDescent="0.25">
      <c r="A46" s="211"/>
      <c r="B46" s="49" t="s">
        <v>70</v>
      </c>
      <c r="C46" s="81"/>
      <c r="D46" s="12">
        <f>C46*1.5</f>
        <v>0</v>
      </c>
      <c r="F46" s="37"/>
      <c r="G46" s="62"/>
      <c r="H46" s="216"/>
      <c r="I46" s="216"/>
      <c r="J46" s="216"/>
      <c r="K46" s="21"/>
      <c r="P46" s="4"/>
      <c r="Q46" s="4"/>
      <c r="R46" s="5"/>
    </row>
    <row r="47" spans="1:18" ht="15.75" x14ac:dyDescent="0.25">
      <c r="A47" s="212"/>
      <c r="B47" s="27"/>
      <c r="C47" s="11"/>
      <c r="D47" s="12"/>
      <c r="F47" s="59"/>
      <c r="G47" s="59"/>
      <c r="H47" s="217"/>
      <c r="I47" s="218"/>
      <c r="J47" s="219"/>
      <c r="K47" s="21"/>
      <c r="P47" s="4"/>
      <c r="Q47" s="4"/>
      <c r="R47" s="5"/>
    </row>
    <row r="48" spans="1:18" ht="15" customHeight="1" x14ac:dyDescent="0.25">
      <c r="A48" s="210" t="s">
        <v>32</v>
      </c>
      <c r="B48" s="27" t="s">
        <v>66</v>
      </c>
      <c r="C48" s="10">
        <v>2</v>
      </c>
      <c r="D48" s="12">
        <f>C48*78</f>
        <v>156</v>
      </c>
      <c r="F48" s="59"/>
      <c r="G48" s="59"/>
      <c r="H48" s="217"/>
      <c r="I48" s="218"/>
      <c r="J48" s="219"/>
      <c r="K48" s="35"/>
      <c r="O48" t="s">
        <v>84</v>
      </c>
      <c r="P48" s="4">
        <v>1175</v>
      </c>
      <c r="Q48" s="4"/>
      <c r="R48" s="5">
        <f t="shared" si="0"/>
        <v>1175</v>
      </c>
    </row>
    <row r="49" spans="1:18" ht="15.75" x14ac:dyDescent="0.25">
      <c r="A49" s="211"/>
      <c r="B49" s="29" t="s">
        <v>68</v>
      </c>
      <c r="C49" s="33"/>
      <c r="D49" s="12">
        <f>C49*42</f>
        <v>0</v>
      </c>
      <c r="F49" s="232" t="s">
        <v>86</v>
      </c>
      <c r="G49" s="179">
        <f>H34+H35+H36+H37+H38+H39+H40+H41+G42+H44+H45+H46</f>
        <v>244554</v>
      </c>
      <c r="H49" s="180"/>
      <c r="I49" s="180"/>
      <c r="J49" s="181"/>
      <c r="O49" t="s">
        <v>85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211"/>
      <c r="B50" s="32" t="s">
        <v>70</v>
      </c>
      <c r="C50" s="11">
        <v>40</v>
      </c>
      <c r="D50" s="12">
        <f>C50*1.5</f>
        <v>60</v>
      </c>
      <c r="F50" s="233"/>
      <c r="G50" s="182"/>
      <c r="H50" s="183"/>
      <c r="I50" s="183"/>
      <c r="J50" s="184"/>
      <c r="P50" s="4"/>
      <c r="Q50" s="4"/>
      <c r="R50" s="5"/>
    </row>
    <row r="51" spans="1:18" ht="15" customHeight="1" x14ac:dyDescent="0.25">
      <c r="A51" s="211"/>
      <c r="B51" s="27"/>
      <c r="C51" s="10"/>
      <c r="D51" s="31"/>
      <c r="F51" s="234" t="s">
        <v>143</v>
      </c>
      <c r="G51" s="236">
        <f>G49-H29</f>
        <v>215.25</v>
      </c>
      <c r="H51" s="237"/>
      <c r="I51" s="237"/>
      <c r="J51" s="238"/>
      <c r="K51" s="21"/>
      <c r="O51" t="s">
        <v>87</v>
      </c>
      <c r="P51" s="4">
        <v>703</v>
      </c>
      <c r="Q51" s="4">
        <v>120</v>
      </c>
      <c r="R51" s="5">
        <f t="shared" si="0"/>
        <v>823</v>
      </c>
    </row>
    <row r="52" spans="1:18" ht="15.75" x14ac:dyDescent="0.25">
      <c r="A52" s="211"/>
      <c r="B52" s="29"/>
      <c r="C52" s="33"/>
      <c r="D52" s="45"/>
      <c r="F52" s="235"/>
      <c r="G52" s="239"/>
      <c r="H52" s="240"/>
      <c r="I52" s="240"/>
      <c r="J52" s="241"/>
      <c r="K52" s="21"/>
      <c r="O52" t="s">
        <v>88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212"/>
      <c r="B53" s="32"/>
      <c r="C53" s="11"/>
      <c r="D53" s="12"/>
      <c r="F53" s="35"/>
      <c r="G53" s="24"/>
      <c r="H53" s="24"/>
      <c r="I53" s="24"/>
      <c r="J53" s="17"/>
      <c r="N53" s="1"/>
      <c r="O53" t="s">
        <v>89</v>
      </c>
      <c r="P53" s="4">
        <v>1142</v>
      </c>
    </row>
    <row r="54" spans="1:18" x14ac:dyDescent="0.25">
      <c r="A54" s="175" t="s">
        <v>90</v>
      </c>
      <c r="B54" s="220"/>
      <c r="C54" s="221"/>
      <c r="D54" s="224">
        <f>SUM(D34:D53)</f>
        <v>20738.25</v>
      </c>
      <c r="F54" s="21"/>
      <c r="J54" s="34"/>
    </row>
    <row r="55" spans="1:18" x14ac:dyDescent="0.25">
      <c r="A55" s="177"/>
      <c r="B55" s="222"/>
      <c r="C55" s="223"/>
      <c r="D55" s="225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118</v>
      </c>
      <c r="D57" s="34"/>
      <c r="F57" s="36"/>
      <c r="G57" s="50"/>
      <c r="H57" s="50"/>
      <c r="I57" s="50"/>
      <c r="J57" s="43"/>
    </row>
    <row r="58" spans="1:18" x14ac:dyDescent="0.25">
      <c r="A58" s="226" t="s">
        <v>91</v>
      </c>
      <c r="B58" s="227"/>
      <c r="C58" s="227"/>
      <c r="D58" s="228"/>
      <c r="F58" s="226" t="s">
        <v>92</v>
      </c>
      <c r="G58" s="227"/>
      <c r="H58" s="227"/>
      <c r="I58" s="227"/>
      <c r="J58" s="228"/>
    </row>
    <row r="59" spans="1:18" x14ac:dyDescent="0.25">
      <c r="A59" s="229"/>
      <c r="B59" s="230"/>
      <c r="C59" s="230"/>
      <c r="D59" s="231"/>
      <c r="F59" s="229"/>
      <c r="G59" s="230"/>
      <c r="H59" s="230"/>
      <c r="I59" s="230"/>
      <c r="J59" s="231"/>
    </row>
  </sheetData>
  <mergeCells count="68"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  <mergeCell ref="H13:J13"/>
    <mergeCell ref="F14:G14"/>
    <mergeCell ref="H14:J14"/>
    <mergeCell ref="F15:G15"/>
    <mergeCell ref="H15:J15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A32:D32"/>
    <mergeCell ref="F32:J32"/>
    <mergeCell ref="H33:J33"/>
    <mergeCell ref="A34:A36"/>
    <mergeCell ref="H34:J34"/>
    <mergeCell ref="H35:J35"/>
    <mergeCell ref="H36:J36"/>
    <mergeCell ref="A37:A39"/>
    <mergeCell ref="H37:J37"/>
    <mergeCell ref="H38:J38"/>
    <mergeCell ref="H39:J39"/>
    <mergeCell ref="A40:A42"/>
    <mergeCell ref="H40:J40"/>
    <mergeCell ref="H41:J41"/>
    <mergeCell ref="G42:J42"/>
    <mergeCell ref="A43:A47"/>
    <mergeCell ref="H43:J43"/>
    <mergeCell ref="H44:J44"/>
    <mergeCell ref="H45:J45"/>
    <mergeCell ref="H46:J46"/>
    <mergeCell ref="H47:J47"/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4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A7BCA35-CEB0-4210-ABE4-D1EDD8D738E5}">
  <dimension ref="A1:S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9" x14ac:dyDescent="0.25">
      <c r="A1" t="s">
        <v>0</v>
      </c>
      <c r="N1" s="113" t="s">
        <v>1</v>
      </c>
      <c r="O1" s="113"/>
      <c r="P1" s="100" t="s">
        <v>2</v>
      </c>
      <c r="Q1" s="100" t="s">
        <v>3</v>
      </c>
      <c r="R1" s="2" t="s">
        <v>4</v>
      </c>
    </row>
    <row r="2" spans="1:19" x14ac:dyDescent="0.25">
      <c r="A2" t="s">
        <v>5</v>
      </c>
      <c r="N2" s="1"/>
    </row>
    <row r="3" spans="1:19" x14ac:dyDescent="0.25">
      <c r="N3" s="1" t="s">
        <v>6</v>
      </c>
      <c r="O3" s="4"/>
    </row>
    <row r="4" spans="1:19" x14ac:dyDescent="0.25">
      <c r="A4" s="114" t="s">
        <v>7</v>
      </c>
      <c r="B4" s="115"/>
      <c r="C4" s="115"/>
      <c r="D4" s="116"/>
      <c r="F4" s="117" t="s">
        <v>8</v>
      </c>
      <c r="G4" s="119"/>
      <c r="H4" s="121" t="s">
        <v>9</v>
      </c>
      <c r="I4" s="123"/>
      <c r="J4" s="124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9" x14ac:dyDescent="0.25">
      <c r="A5" s="127" t="s">
        <v>7</v>
      </c>
      <c r="B5" s="15" t="s">
        <v>11</v>
      </c>
      <c r="C5" s="9" t="s">
        <v>12</v>
      </c>
      <c r="D5" s="25" t="s">
        <v>13</v>
      </c>
      <c r="F5" s="118"/>
      <c r="G5" s="120"/>
      <c r="H5" s="122"/>
      <c r="I5" s="125"/>
      <c r="J5" s="126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9" ht="14.45" customHeight="1" x14ac:dyDescent="0.25">
      <c r="A6" s="128"/>
      <c r="B6" s="16"/>
      <c r="C6" s="10"/>
      <c r="D6" s="13">
        <f t="shared" ref="D6:D28" si="1">C6*L6</f>
        <v>0</v>
      </c>
      <c r="F6" s="130" t="s">
        <v>16</v>
      </c>
      <c r="G6" s="132"/>
      <c r="H6" s="133"/>
      <c r="I6" s="133"/>
      <c r="J6" s="134"/>
      <c r="K6" s="8"/>
      <c r="L6" s="6">
        <f>R42</f>
        <v>737</v>
      </c>
      <c r="O6" t="s">
        <v>17</v>
      </c>
      <c r="P6" s="4">
        <v>650</v>
      </c>
      <c r="Q6" s="4"/>
      <c r="R6" s="5">
        <f t="shared" si="0"/>
        <v>650</v>
      </c>
    </row>
    <row r="7" spans="1:19" ht="14.45" customHeight="1" x14ac:dyDescent="0.25">
      <c r="A7" s="128"/>
      <c r="B7" s="16"/>
      <c r="C7" s="10"/>
      <c r="D7" s="13">
        <f t="shared" si="1"/>
        <v>0</v>
      </c>
      <c r="F7" s="131"/>
      <c r="G7" s="135"/>
      <c r="H7" s="136"/>
      <c r="I7" s="136"/>
      <c r="J7" s="137"/>
      <c r="K7" s="8"/>
      <c r="L7" s="6">
        <f>R41</f>
        <v>725</v>
      </c>
      <c r="P7" s="4"/>
      <c r="Q7" s="4"/>
      <c r="R7" s="5"/>
    </row>
    <row r="8" spans="1:19" ht="14.45" customHeight="1" x14ac:dyDescent="0.25">
      <c r="A8" s="128"/>
      <c r="B8" s="16"/>
      <c r="C8" s="10"/>
      <c r="D8" s="13">
        <f t="shared" si="1"/>
        <v>0</v>
      </c>
      <c r="F8" s="138" t="s">
        <v>21</v>
      </c>
      <c r="G8" s="140"/>
      <c r="H8" s="141"/>
      <c r="I8" s="141"/>
      <c r="J8" s="142"/>
      <c r="K8" s="8"/>
      <c r="L8" s="6">
        <f>R40</f>
        <v>1033</v>
      </c>
      <c r="P8" s="4"/>
      <c r="Q8" s="4"/>
      <c r="R8" s="5"/>
    </row>
    <row r="9" spans="1:19" ht="14.45" customHeight="1" x14ac:dyDescent="0.25">
      <c r="A9" s="128"/>
      <c r="B9" s="16"/>
      <c r="C9" s="10"/>
      <c r="D9" s="13">
        <f t="shared" si="1"/>
        <v>0</v>
      </c>
      <c r="F9" s="131"/>
      <c r="G9" s="143"/>
      <c r="H9" s="144"/>
      <c r="I9" s="144"/>
      <c r="J9" s="145"/>
      <c r="K9" s="8"/>
      <c r="L9" s="6">
        <f>R38</f>
        <v>707</v>
      </c>
      <c r="P9" s="4"/>
      <c r="Q9" s="4"/>
      <c r="R9" s="5"/>
    </row>
    <row r="10" spans="1:19" ht="14.45" customHeight="1" x14ac:dyDescent="0.25">
      <c r="A10" s="128"/>
      <c r="C10" s="10"/>
      <c r="D10" s="13">
        <f t="shared" si="1"/>
        <v>0</v>
      </c>
      <c r="F10" s="130" t="s">
        <v>26</v>
      </c>
      <c r="G10" s="146"/>
      <c r="H10" s="147"/>
      <c r="I10" s="147"/>
      <c r="J10" s="148"/>
      <c r="K10" s="8"/>
      <c r="L10" s="6">
        <f>R36</f>
        <v>972</v>
      </c>
      <c r="P10" s="4"/>
      <c r="Q10" s="4"/>
      <c r="R10" s="5"/>
    </row>
    <row r="11" spans="1:19" ht="15.75" x14ac:dyDescent="0.25">
      <c r="A11" s="128"/>
      <c r="B11" s="17"/>
      <c r="C11" s="10"/>
      <c r="D11" s="13">
        <f t="shared" si="1"/>
        <v>0</v>
      </c>
      <c r="F11" s="131"/>
      <c r="G11" s="143"/>
      <c r="H11" s="144"/>
      <c r="I11" s="144"/>
      <c r="J11" s="145"/>
      <c r="K11" s="22"/>
      <c r="L11" s="6">
        <f>R32</f>
        <v>1125</v>
      </c>
      <c r="O11" t="s">
        <v>19</v>
      </c>
      <c r="P11" s="4">
        <v>650</v>
      </c>
      <c r="Q11" s="4"/>
      <c r="R11" s="5">
        <f t="shared" si="0"/>
        <v>650</v>
      </c>
    </row>
    <row r="12" spans="1:19" ht="15.75" x14ac:dyDescent="0.25">
      <c r="A12" s="128"/>
      <c r="B12" s="17"/>
      <c r="C12" s="10"/>
      <c r="D12" s="48">
        <f t="shared" si="1"/>
        <v>0</v>
      </c>
      <c r="F12" s="149" t="s">
        <v>33</v>
      </c>
      <c r="G12" s="150"/>
      <c r="H12" s="150"/>
      <c r="I12" s="150"/>
      <c r="J12" s="151"/>
      <c r="K12" s="23"/>
      <c r="L12" s="6">
        <f>R34</f>
        <v>952</v>
      </c>
      <c r="O12" t="s">
        <v>22</v>
      </c>
      <c r="P12" s="4">
        <v>650</v>
      </c>
      <c r="Q12" s="4"/>
      <c r="R12" s="5">
        <f t="shared" si="0"/>
        <v>650</v>
      </c>
    </row>
    <row r="13" spans="1:19" ht="15.75" x14ac:dyDescent="0.25">
      <c r="A13" s="128"/>
      <c r="B13" s="17"/>
      <c r="C13" s="10"/>
      <c r="D13" s="48">
        <f t="shared" si="1"/>
        <v>0</v>
      </c>
      <c r="F13" s="152" t="s">
        <v>36</v>
      </c>
      <c r="G13" s="153"/>
      <c r="H13" s="154">
        <f>D29</f>
        <v>0</v>
      </c>
      <c r="I13" s="155"/>
      <c r="J13" s="156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9" ht="15.75" x14ac:dyDescent="0.25">
      <c r="A14" s="128"/>
      <c r="B14" s="14"/>
      <c r="C14" s="10"/>
      <c r="D14" s="31">
        <f t="shared" si="1"/>
        <v>0</v>
      </c>
      <c r="F14" s="157" t="s">
        <v>39</v>
      </c>
      <c r="G14" s="158"/>
      <c r="H14" s="159">
        <f>D54</f>
        <v>0</v>
      </c>
      <c r="I14" s="160"/>
      <c r="J14" s="161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  <c r="S14">
        <f>205+78</f>
        <v>283</v>
      </c>
    </row>
    <row r="15" spans="1:19" ht="15.75" x14ac:dyDescent="0.25">
      <c r="A15" s="128"/>
      <c r="B15" s="14"/>
      <c r="C15" s="10"/>
      <c r="D15" s="31">
        <f t="shared" si="1"/>
        <v>0</v>
      </c>
      <c r="F15" s="162" t="s">
        <v>40</v>
      </c>
      <c r="G15" s="153"/>
      <c r="H15" s="163">
        <f>H13-H14</f>
        <v>0</v>
      </c>
      <c r="I15" s="164"/>
      <c r="J15" s="165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  <c r="S15">
        <f>229+78</f>
        <v>307</v>
      </c>
    </row>
    <row r="16" spans="1:19" ht="15.75" x14ac:dyDescent="0.25">
      <c r="A16" s="128"/>
      <c r="B16" s="18"/>
      <c r="C16" s="10"/>
      <c r="D16" s="48">
        <f t="shared" si="1"/>
        <v>0</v>
      </c>
      <c r="F16" s="67" t="s">
        <v>42</v>
      </c>
      <c r="G16" s="66" t="s">
        <v>43</v>
      </c>
      <c r="H16" s="166"/>
      <c r="I16" s="166"/>
      <c r="J16" s="166"/>
      <c r="L16" s="6">
        <f>R28</f>
        <v>1567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28"/>
      <c r="C17" s="10"/>
      <c r="D17" s="48">
        <f t="shared" si="1"/>
        <v>0</v>
      </c>
      <c r="F17" s="56"/>
      <c r="G17" s="66" t="s">
        <v>45</v>
      </c>
      <c r="H17" s="139"/>
      <c r="I17" s="139"/>
      <c r="J17" s="139"/>
      <c r="L17" s="6">
        <v>1582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28"/>
      <c r="B18" s="19"/>
      <c r="C18" s="10"/>
      <c r="D18" s="48">
        <f t="shared" si="1"/>
        <v>0</v>
      </c>
      <c r="F18" s="56"/>
      <c r="G18" s="66" t="s">
        <v>47</v>
      </c>
      <c r="H18" s="139"/>
      <c r="I18" s="139"/>
      <c r="J18" s="139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28"/>
      <c r="B19" s="14"/>
      <c r="C19" s="10"/>
      <c r="D19" s="48">
        <f t="shared" si="1"/>
        <v>0</v>
      </c>
      <c r="F19" s="56"/>
      <c r="G19" s="68" t="s">
        <v>50</v>
      </c>
      <c r="H19" s="185"/>
      <c r="I19" s="185"/>
      <c r="J19" s="185"/>
      <c r="L19" s="6">
        <f>R35</f>
        <v>1102</v>
      </c>
      <c r="Q19" s="4"/>
      <c r="R19" s="5">
        <f t="shared" si="0"/>
        <v>0</v>
      </c>
    </row>
    <row r="20" spans="1:18" ht="15.75" x14ac:dyDescent="0.25">
      <c r="A20" s="128"/>
      <c r="B20" s="46"/>
      <c r="C20" s="10"/>
      <c r="D20" s="13">
        <f t="shared" si="1"/>
        <v>0</v>
      </c>
      <c r="F20" s="57"/>
      <c r="G20" s="70" t="s">
        <v>120</v>
      </c>
      <c r="H20" s="166"/>
      <c r="I20" s="166"/>
      <c r="J20" s="166"/>
      <c r="L20" s="6">
        <f>1102</f>
        <v>1102</v>
      </c>
      <c r="N20" s="1" t="s">
        <v>41</v>
      </c>
      <c r="Q20" s="4"/>
      <c r="R20" s="5">
        <f t="shared" si="0"/>
        <v>0</v>
      </c>
    </row>
    <row r="21" spans="1:18" ht="15.75" x14ac:dyDescent="0.25">
      <c r="A21" s="128"/>
      <c r="B21" s="14"/>
      <c r="C21" s="10"/>
      <c r="D21" s="48">
        <f t="shared" si="1"/>
        <v>0</v>
      </c>
      <c r="F21" s="69" t="s">
        <v>99</v>
      </c>
      <c r="G21" s="82" t="s">
        <v>98</v>
      </c>
      <c r="H21" s="186" t="s">
        <v>13</v>
      </c>
      <c r="I21" s="187"/>
      <c r="J21" s="188"/>
      <c r="L21" s="7">
        <v>650</v>
      </c>
      <c r="O21" t="s">
        <v>44</v>
      </c>
      <c r="P21" s="4">
        <v>1447</v>
      </c>
      <c r="Q21" s="4">
        <v>120</v>
      </c>
      <c r="R21" s="5">
        <f t="shared" si="0"/>
        <v>1567</v>
      </c>
    </row>
    <row r="22" spans="1:18" ht="15.75" x14ac:dyDescent="0.25">
      <c r="A22" s="128"/>
      <c r="B22" s="46"/>
      <c r="C22" s="10"/>
      <c r="D22" s="48">
        <f t="shared" si="1"/>
        <v>0</v>
      </c>
      <c r="F22" s="77"/>
      <c r="G22" s="73"/>
      <c r="H22" s="189"/>
      <c r="I22" s="189"/>
      <c r="J22" s="189"/>
      <c r="L22" s="7">
        <f>559+111</f>
        <v>670</v>
      </c>
      <c r="O22" t="s">
        <v>46</v>
      </c>
      <c r="P22" s="4">
        <v>1582</v>
      </c>
      <c r="Q22" s="4"/>
      <c r="R22" s="5">
        <f t="shared" si="0"/>
        <v>1582</v>
      </c>
    </row>
    <row r="23" spans="1:18" ht="15.75" x14ac:dyDescent="0.25">
      <c r="A23" s="128"/>
      <c r="B23" s="14"/>
      <c r="C23" s="10"/>
      <c r="D23" s="48">
        <f t="shared" si="1"/>
        <v>0</v>
      </c>
      <c r="F23" s="78"/>
      <c r="G23" s="79"/>
      <c r="H23" s="190"/>
      <c r="I23" s="191"/>
      <c r="J23" s="191"/>
      <c r="L23" s="47">
        <f>R33</f>
        <v>1175</v>
      </c>
      <c r="N23" s="1"/>
      <c r="O23" t="s">
        <v>48</v>
      </c>
      <c r="P23" s="4">
        <v>1728</v>
      </c>
      <c r="Q23" s="4"/>
      <c r="R23" s="5">
        <f t="shared" si="0"/>
        <v>1728</v>
      </c>
    </row>
    <row r="24" spans="1:18" ht="15.75" x14ac:dyDescent="0.25">
      <c r="A24" s="128"/>
      <c r="B24" s="14"/>
      <c r="C24" s="10"/>
      <c r="D24" s="48">
        <f t="shared" si="1"/>
        <v>0</v>
      </c>
      <c r="F24" s="38"/>
      <c r="G24" s="37"/>
      <c r="H24" s="190"/>
      <c r="I24" s="191"/>
      <c r="J24" s="191"/>
      <c r="L24" s="47">
        <v>1667</v>
      </c>
      <c r="N24" s="1"/>
      <c r="O24" t="s">
        <v>49</v>
      </c>
      <c r="P24" s="4">
        <v>1728</v>
      </c>
      <c r="Q24" s="4"/>
      <c r="R24" s="5">
        <f t="shared" si="0"/>
        <v>1728</v>
      </c>
    </row>
    <row r="25" spans="1:18" ht="15.75" x14ac:dyDescent="0.25">
      <c r="A25" s="128"/>
      <c r="B25" s="14"/>
      <c r="C25" s="10"/>
      <c r="D25" s="48">
        <f t="shared" si="1"/>
        <v>0</v>
      </c>
      <c r="F25" s="60" t="s">
        <v>100</v>
      </c>
      <c r="G25" s="55" t="s">
        <v>98</v>
      </c>
      <c r="H25" s="192" t="s">
        <v>13</v>
      </c>
      <c r="I25" s="193"/>
      <c r="J25" s="194"/>
      <c r="L25" s="47">
        <f>1582</f>
        <v>1582</v>
      </c>
      <c r="O25" t="s">
        <v>51</v>
      </c>
      <c r="P25" s="4">
        <v>1582</v>
      </c>
      <c r="Q25" s="4"/>
      <c r="R25" s="5">
        <f t="shared" si="0"/>
        <v>1582</v>
      </c>
    </row>
    <row r="26" spans="1:18" ht="15.75" x14ac:dyDescent="0.25">
      <c r="A26" s="128"/>
      <c r="B26" s="14"/>
      <c r="C26" s="10"/>
      <c r="D26" s="48">
        <f t="shared" si="1"/>
        <v>0</v>
      </c>
      <c r="F26" s="64"/>
      <c r="G26" s="59"/>
      <c r="H26" s="195"/>
      <c r="I26" s="196"/>
      <c r="J26" s="197"/>
      <c r="L26" s="7">
        <f>832/24+1.5</f>
        <v>36.166666666666664</v>
      </c>
      <c r="O26" t="s">
        <v>52</v>
      </c>
      <c r="P26" s="4">
        <v>1447</v>
      </c>
      <c r="Q26" s="4">
        <v>120</v>
      </c>
      <c r="R26" s="5">
        <f t="shared" si="0"/>
        <v>1567</v>
      </c>
    </row>
    <row r="27" spans="1:18" ht="14.45" customHeight="1" x14ac:dyDescent="0.25">
      <c r="A27" s="128"/>
      <c r="B27" s="14"/>
      <c r="C27" s="10"/>
      <c r="D27" s="44">
        <f t="shared" si="1"/>
        <v>0</v>
      </c>
      <c r="F27" s="25"/>
      <c r="G27" s="80"/>
      <c r="H27" s="198"/>
      <c r="I27" s="199"/>
      <c r="J27" s="200"/>
      <c r="L27" s="7">
        <v>1582</v>
      </c>
      <c r="O27" t="s">
        <v>53</v>
      </c>
      <c r="P27" s="4">
        <v>1582</v>
      </c>
      <c r="Q27" s="4"/>
      <c r="R27" s="5">
        <f t="shared" si="0"/>
        <v>1582</v>
      </c>
    </row>
    <row r="28" spans="1:18" ht="15.75" x14ac:dyDescent="0.25">
      <c r="A28" s="129"/>
      <c r="B28" s="46"/>
      <c r="C28" s="10"/>
      <c r="D28" s="48">
        <f t="shared" si="1"/>
        <v>0</v>
      </c>
      <c r="F28" s="101"/>
      <c r="G28" s="61"/>
      <c r="H28" s="201"/>
      <c r="I28" s="202"/>
      <c r="J28" s="203"/>
      <c r="L28" s="7">
        <v>785</v>
      </c>
      <c r="O28" t="s">
        <v>54</v>
      </c>
      <c r="P28" s="4">
        <v>1447</v>
      </c>
      <c r="Q28" s="4">
        <v>120</v>
      </c>
      <c r="R28" s="5">
        <f t="shared" si="0"/>
        <v>1567</v>
      </c>
    </row>
    <row r="29" spans="1:18" x14ac:dyDescent="0.25">
      <c r="A29" s="167" t="s">
        <v>36</v>
      </c>
      <c r="B29" s="168"/>
      <c r="C29" s="169"/>
      <c r="D29" s="173">
        <f>SUM(D6:D28)</f>
        <v>0</v>
      </c>
      <c r="F29" s="175" t="s">
        <v>55</v>
      </c>
      <c r="G29" s="176"/>
      <c r="H29" s="179">
        <f>H15-H16-H17-H18-H19-H20-H22-H23-H24+H26+H27</f>
        <v>0</v>
      </c>
      <c r="I29" s="180"/>
      <c r="J29" s="181"/>
      <c r="O29" t="s">
        <v>56</v>
      </c>
      <c r="P29" s="4">
        <v>1582</v>
      </c>
      <c r="Q29" s="4"/>
      <c r="R29" s="5">
        <f t="shared" si="0"/>
        <v>1582</v>
      </c>
    </row>
    <row r="30" spans="1:18" x14ac:dyDescent="0.25">
      <c r="A30" s="170"/>
      <c r="B30" s="171"/>
      <c r="C30" s="172"/>
      <c r="D30" s="174"/>
      <c r="F30" s="177"/>
      <c r="G30" s="178"/>
      <c r="H30" s="182"/>
      <c r="I30" s="183"/>
      <c r="J30" s="184"/>
      <c r="N30" s="1"/>
      <c r="Q30" s="4"/>
      <c r="R30" s="5">
        <f t="shared" si="0"/>
        <v>0</v>
      </c>
    </row>
    <row r="31" spans="1:18" x14ac:dyDescent="0.25">
      <c r="A31" s="24"/>
      <c r="B31" s="24"/>
      <c r="C31" s="24"/>
      <c r="D31" s="24"/>
      <c r="F31" s="24"/>
      <c r="G31" s="24"/>
      <c r="O31" t="s">
        <v>57</v>
      </c>
      <c r="P31" s="4">
        <v>1052</v>
      </c>
      <c r="Q31" s="4">
        <v>120</v>
      </c>
      <c r="R31" s="5">
        <f t="shared" si="0"/>
        <v>1172</v>
      </c>
    </row>
    <row r="32" spans="1:18" x14ac:dyDescent="0.25">
      <c r="A32" s="114" t="s">
        <v>58</v>
      </c>
      <c r="B32" s="115"/>
      <c r="C32" s="115"/>
      <c r="D32" s="116"/>
      <c r="F32" s="204" t="s">
        <v>59</v>
      </c>
      <c r="G32" s="205"/>
      <c r="H32" s="205"/>
      <c r="I32" s="205"/>
      <c r="J32" s="206"/>
      <c r="O32" t="s">
        <v>60</v>
      </c>
      <c r="P32" s="4">
        <v>1005</v>
      </c>
      <c r="Q32" s="4">
        <v>120</v>
      </c>
      <c r="R32" s="5">
        <f t="shared" si="0"/>
        <v>1125</v>
      </c>
    </row>
    <row r="33" spans="1:18" x14ac:dyDescent="0.25">
      <c r="A33" s="25"/>
      <c r="B33" s="25" t="s">
        <v>11</v>
      </c>
      <c r="C33" s="25" t="s">
        <v>61</v>
      </c>
      <c r="D33" s="25" t="s">
        <v>13</v>
      </c>
      <c r="F33" s="25" t="s">
        <v>62</v>
      </c>
      <c r="G33" s="102" t="s">
        <v>63</v>
      </c>
      <c r="H33" s="204" t="s">
        <v>13</v>
      </c>
      <c r="I33" s="205"/>
      <c r="J33" s="206"/>
      <c r="O33" t="s">
        <v>64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27" t="s">
        <v>65</v>
      </c>
      <c r="B34" s="26" t="s">
        <v>66</v>
      </c>
      <c r="C34" s="51"/>
      <c r="D34" s="30">
        <f>C34*120</f>
        <v>0</v>
      </c>
      <c r="F34" s="12">
        <v>1000</v>
      </c>
      <c r="G34" s="74"/>
      <c r="H34" s="207"/>
      <c r="I34" s="208"/>
      <c r="J34" s="209"/>
      <c r="O34" t="s">
        <v>67</v>
      </c>
      <c r="P34" s="4">
        <v>832</v>
      </c>
      <c r="Q34" s="4">
        <v>120</v>
      </c>
      <c r="R34" s="5">
        <f t="shared" si="0"/>
        <v>952</v>
      </c>
    </row>
    <row r="35" spans="1:18" ht="15.75" x14ac:dyDescent="0.25">
      <c r="A35" s="128"/>
      <c r="B35" s="27" t="s">
        <v>68</v>
      </c>
      <c r="C35" s="52"/>
      <c r="D35" s="30">
        <f>C35*84</f>
        <v>0</v>
      </c>
      <c r="F35" s="58">
        <v>500</v>
      </c>
      <c r="G35" s="41"/>
      <c r="H35" s="207"/>
      <c r="I35" s="208"/>
      <c r="J35" s="209"/>
      <c r="O35" t="s">
        <v>69</v>
      </c>
      <c r="P35" s="4">
        <v>1102</v>
      </c>
      <c r="Q35" s="4"/>
      <c r="R35" s="5">
        <f t="shared" si="0"/>
        <v>1102</v>
      </c>
    </row>
    <row r="36" spans="1:18" ht="15.75" x14ac:dyDescent="0.25">
      <c r="A36" s="129"/>
      <c r="B36" s="26" t="s">
        <v>70</v>
      </c>
      <c r="C36" s="10"/>
      <c r="D36" s="12">
        <f>C36*1.5</f>
        <v>0</v>
      </c>
      <c r="F36" s="12">
        <v>200</v>
      </c>
      <c r="G36" s="37"/>
      <c r="H36" s="207"/>
      <c r="I36" s="208"/>
      <c r="J36" s="209"/>
      <c r="O36" t="s">
        <v>71</v>
      </c>
      <c r="P36" s="4">
        <v>852</v>
      </c>
      <c r="Q36" s="4">
        <v>120</v>
      </c>
      <c r="R36" s="5">
        <f t="shared" si="0"/>
        <v>972</v>
      </c>
    </row>
    <row r="37" spans="1:18" ht="15.75" x14ac:dyDescent="0.25">
      <c r="A37" s="127" t="s">
        <v>72</v>
      </c>
      <c r="B37" s="28" t="s">
        <v>66</v>
      </c>
      <c r="C37" s="53"/>
      <c r="D37" s="12">
        <f>C37*111</f>
        <v>0</v>
      </c>
      <c r="F37" s="12">
        <v>100</v>
      </c>
      <c r="G37" s="39"/>
      <c r="H37" s="207"/>
      <c r="I37" s="208"/>
      <c r="J37" s="209"/>
      <c r="O37" t="s">
        <v>73</v>
      </c>
      <c r="P37" s="4">
        <v>1020</v>
      </c>
      <c r="Q37" s="4">
        <v>120</v>
      </c>
      <c r="R37" s="5">
        <f t="shared" si="0"/>
        <v>1140</v>
      </c>
    </row>
    <row r="38" spans="1:18" ht="15.75" x14ac:dyDescent="0.25">
      <c r="A38" s="128"/>
      <c r="B38" s="29" t="s">
        <v>68</v>
      </c>
      <c r="C38" s="54"/>
      <c r="D38" s="12">
        <f>C38*84</f>
        <v>0</v>
      </c>
      <c r="F38" s="30">
        <v>50</v>
      </c>
      <c r="G38" s="39"/>
      <c r="H38" s="207"/>
      <c r="I38" s="208"/>
      <c r="J38" s="209"/>
      <c r="O38" t="s">
        <v>74</v>
      </c>
      <c r="P38" s="4">
        <v>596</v>
      </c>
      <c r="Q38" s="4">
        <v>111</v>
      </c>
      <c r="R38" s="5">
        <f t="shared" si="0"/>
        <v>707</v>
      </c>
    </row>
    <row r="39" spans="1:18" ht="15.75" x14ac:dyDescent="0.25">
      <c r="A39" s="129"/>
      <c r="B39" s="29" t="s">
        <v>70</v>
      </c>
      <c r="C39" s="52"/>
      <c r="D39" s="31">
        <f>C39*4.5</f>
        <v>0</v>
      </c>
      <c r="F39" s="12">
        <v>20</v>
      </c>
      <c r="G39" s="37"/>
      <c r="H39" s="207"/>
      <c r="I39" s="208"/>
      <c r="J39" s="209"/>
      <c r="O39" t="s">
        <v>75</v>
      </c>
      <c r="P39" s="4">
        <v>1175</v>
      </c>
      <c r="Q39" s="4"/>
      <c r="R39" s="5">
        <f t="shared" si="0"/>
        <v>1175</v>
      </c>
    </row>
    <row r="40" spans="1:18" ht="15.75" x14ac:dyDescent="0.25">
      <c r="A40" s="127" t="s">
        <v>76</v>
      </c>
      <c r="B40" s="27" t="s">
        <v>66</v>
      </c>
      <c r="C40" s="63"/>
      <c r="D40" s="12">
        <f>C40*111</f>
        <v>0</v>
      </c>
      <c r="F40" s="12">
        <v>10</v>
      </c>
      <c r="G40" s="42"/>
      <c r="H40" s="207"/>
      <c r="I40" s="208"/>
      <c r="J40" s="209"/>
      <c r="O40" t="s">
        <v>77</v>
      </c>
      <c r="P40" s="4">
        <v>913</v>
      </c>
      <c r="Q40" s="4">
        <v>120</v>
      </c>
      <c r="R40" s="5">
        <f t="shared" si="0"/>
        <v>1033</v>
      </c>
    </row>
    <row r="41" spans="1:18" ht="15.75" x14ac:dyDescent="0.25">
      <c r="A41" s="128"/>
      <c r="B41" s="27" t="s">
        <v>68</v>
      </c>
      <c r="C41" s="10"/>
      <c r="D41" s="12">
        <f>C41*84</f>
        <v>0</v>
      </c>
      <c r="F41" s="12">
        <v>5</v>
      </c>
      <c r="G41" s="42"/>
      <c r="H41" s="207"/>
      <c r="I41" s="208"/>
      <c r="J41" s="209"/>
      <c r="K41" s="21"/>
      <c r="O41" t="s">
        <v>78</v>
      </c>
      <c r="P41" s="4">
        <v>614</v>
      </c>
      <c r="Q41" s="4">
        <v>111</v>
      </c>
      <c r="R41" s="5">
        <f t="shared" si="0"/>
        <v>725</v>
      </c>
    </row>
    <row r="42" spans="1:18" ht="15.75" x14ac:dyDescent="0.25">
      <c r="A42" s="129"/>
      <c r="B42" s="27" t="s">
        <v>70</v>
      </c>
      <c r="C42" s="11"/>
      <c r="D42" s="12">
        <f>C42*2.25</f>
        <v>0</v>
      </c>
      <c r="F42" s="39" t="s">
        <v>79</v>
      </c>
      <c r="G42" s="207"/>
      <c r="H42" s="208"/>
      <c r="I42" s="208"/>
      <c r="J42" s="209"/>
      <c r="K42" s="36"/>
      <c r="O42" t="s">
        <v>80</v>
      </c>
      <c r="P42" s="4">
        <v>626</v>
      </c>
      <c r="Q42" s="4">
        <v>111</v>
      </c>
      <c r="R42" s="5">
        <f t="shared" si="0"/>
        <v>737</v>
      </c>
    </row>
    <row r="43" spans="1:18" ht="15.75" x14ac:dyDescent="0.25">
      <c r="A43" s="210" t="s">
        <v>81</v>
      </c>
      <c r="C43" s="11"/>
      <c r="D43" s="12"/>
      <c r="F43" s="59" t="s">
        <v>82</v>
      </c>
      <c r="G43" s="104" t="s">
        <v>83</v>
      </c>
      <c r="H43" s="213" t="s">
        <v>13</v>
      </c>
      <c r="I43" s="214"/>
      <c r="J43" s="215"/>
      <c r="K43" s="21"/>
      <c r="P43" s="4"/>
      <c r="Q43" s="4"/>
      <c r="R43" s="5"/>
    </row>
    <row r="44" spans="1:18" ht="15.75" x14ac:dyDescent="0.25">
      <c r="A44" s="211"/>
      <c r="B44" s="27" t="s">
        <v>66</v>
      </c>
      <c r="C44" s="10"/>
      <c r="D44" s="12">
        <f>C44*120</f>
        <v>0</v>
      </c>
      <c r="F44" s="37"/>
      <c r="G44" s="76"/>
      <c r="H44" s="191"/>
      <c r="I44" s="191"/>
      <c r="J44" s="191"/>
      <c r="K44" s="21"/>
      <c r="P44" s="4"/>
      <c r="Q44" s="4"/>
      <c r="R44" s="5"/>
    </row>
    <row r="45" spans="1:18" ht="15.75" x14ac:dyDescent="0.25">
      <c r="A45" s="211"/>
      <c r="B45" s="27" t="s">
        <v>68</v>
      </c>
      <c r="C45" s="33"/>
      <c r="D45" s="12">
        <f>C45*84</f>
        <v>0</v>
      </c>
      <c r="F45" s="37"/>
      <c r="G45" s="76"/>
      <c r="H45" s="191"/>
      <c r="I45" s="191"/>
      <c r="J45" s="191"/>
      <c r="K45" s="21"/>
      <c r="P45" s="4"/>
      <c r="Q45" s="4"/>
      <c r="R45" s="5"/>
    </row>
    <row r="46" spans="1:18" ht="15.75" x14ac:dyDescent="0.25">
      <c r="A46" s="211"/>
      <c r="B46" s="49" t="s">
        <v>70</v>
      </c>
      <c r="C46" s="81"/>
      <c r="D46" s="12">
        <f>C46*1.5</f>
        <v>0</v>
      </c>
      <c r="F46" s="37"/>
      <c r="G46" s="62"/>
      <c r="H46" s="216"/>
      <c r="I46" s="216"/>
      <c r="J46" s="216"/>
      <c r="K46" s="21"/>
      <c r="P46" s="4"/>
      <c r="Q46" s="4"/>
      <c r="R46" s="5"/>
    </row>
    <row r="47" spans="1:18" ht="15.75" x14ac:dyDescent="0.25">
      <c r="A47" s="212"/>
      <c r="B47" s="27"/>
      <c r="C47" s="11"/>
      <c r="D47" s="12"/>
      <c r="F47" s="59"/>
      <c r="G47" s="59"/>
      <c r="H47" s="217"/>
      <c r="I47" s="218"/>
      <c r="J47" s="219"/>
      <c r="K47" s="21"/>
      <c r="P47" s="4"/>
      <c r="Q47" s="4"/>
      <c r="R47" s="5"/>
    </row>
    <row r="48" spans="1:18" ht="15" customHeight="1" x14ac:dyDescent="0.25">
      <c r="A48" s="210" t="s">
        <v>32</v>
      </c>
      <c r="B48" s="27" t="s">
        <v>66</v>
      </c>
      <c r="C48" s="10"/>
      <c r="D48" s="12">
        <f>C48*78</f>
        <v>0</v>
      </c>
      <c r="F48" s="59"/>
      <c r="G48" s="59"/>
      <c r="H48" s="217"/>
      <c r="I48" s="218"/>
      <c r="J48" s="219"/>
      <c r="K48" s="35"/>
      <c r="O48" t="s">
        <v>84</v>
      </c>
      <c r="P48" s="4">
        <v>1175</v>
      </c>
      <c r="Q48" s="4"/>
      <c r="R48" s="5">
        <f t="shared" si="0"/>
        <v>1175</v>
      </c>
    </row>
    <row r="49" spans="1:18" ht="15.75" x14ac:dyDescent="0.25">
      <c r="A49" s="211"/>
      <c r="B49" s="29" t="s">
        <v>68</v>
      </c>
      <c r="C49" s="33"/>
      <c r="D49" s="12">
        <f>C49*42</f>
        <v>0</v>
      </c>
      <c r="F49" s="232" t="s">
        <v>86</v>
      </c>
      <c r="G49" s="179">
        <f>H34+H35+H36+H37+H38+H39+H40+H41+G42+H44+H45+H46</f>
        <v>0</v>
      </c>
      <c r="H49" s="180"/>
      <c r="I49" s="180"/>
      <c r="J49" s="181"/>
      <c r="O49" t="s">
        <v>85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211"/>
      <c r="B50" s="32" t="s">
        <v>70</v>
      </c>
      <c r="C50" s="11"/>
      <c r="D50" s="12">
        <f>C50*1.5</f>
        <v>0</v>
      </c>
      <c r="F50" s="233"/>
      <c r="G50" s="182"/>
      <c r="H50" s="183"/>
      <c r="I50" s="183"/>
      <c r="J50" s="184"/>
      <c r="P50" s="4"/>
      <c r="Q50" s="4"/>
      <c r="R50" s="5"/>
    </row>
    <row r="51" spans="1:18" ht="15" customHeight="1" x14ac:dyDescent="0.25">
      <c r="A51" s="211"/>
      <c r="B51" s="27"/>
      <c r="C51" s="10"/>
      <c r="D51" s="31"/>
      <c r="F51" s="234" t="s">
        <v>128</v>
      </c>
      <c r="G51" s="236">
        <f>G49-H29</f>
        <v>0</v>
      </c>
      <c r="H51" s="237"/>
      <c r="I51" s="237"/>
      <c r="J51" s="238"/>
      <c r="K51" s="21"/>
      <c r="O51" t="s">
        <v>87</v>
      </c>
      <c r="P51" s="4">
        <v>703</v>
      </c>
      <c r="Q51" s="4">
        <v>120</v>
      </c>
      <c r="R51" s="5">
        <f t="shared" si="0"/>
        <v>823</v>
      </c>
    </row>
    <row r="52" spans="1:18" ht="15.75" x14ac:dyDescent="0.25">
      <c r="A52" s="211"/>
      <c r="B52" s="29"/>
      <c r="C52" s="33"/>
      <c r="D52" s="45"/>
      <c r="F52" s="235"/>
      <c r="G52" s="239"/>
      <c r="H52" s="240"/>
      <c r="I52" s="240"/>
      <c r="J52" s="241"/>
      <c r="K52" s="21"/>
      <c r="O52" t="s">
        <v>88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212"/>
      <c r="B53" s="32"/>
      <c r="C53" s="11"/>
      <c r="D53" s="12"/>
      <c r="F53" s="35"/>
      <c r="G53" s="24"/>
      <c r="H53" s="24"/>
      <c r="I53" s="24"/>
      <c r="J53" s="17"/>
      <c r="N53" s="1"/>
      <c r="O53" t="s">
        <v>89</v>
      </c>
      <c r="P53" s="4">
        <v>1142</v>
      </c>
    </row>
    <row r="54" spans="1:18" x14ac:dyDescent="0.25">
      <c r="A54" s="175" t="s">
        <v>90</v>
      </c>
      <c r="B54" s="220"/>
      <c r="C54" s="221"/>
      <c r="D54" s="224">
        <f>SUM(D34:D53)</f>
        <v>0</v>
      </c>
      <c r="F54" s="21"/>
      <c r="J54" s="34"/>
    </row>
    <row r="55" spans="1:18" x14ac:dyDescent="0.25">
      <c r="A55" s="177"/>
      <c r="B55" s="222"/>
      <c r="C55" s="223"/>
      <c r="D55" s="225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D57" s="34"/>
      <c r="F57" s="36"/>
      <c r="G57" s="50"/>
      <c r="H57" s="50"/>
      <c r="I57" s="50"/>
      <c r="J57" s="43"/>
    </row>
    <row r="58" spans="1:18" x14ac:dyDescent="0.25">
      <c r="A58" s="226" t="s">
        <v>91</v>
      </c>
      <c r="B58" s="227"/>
      <c r="C58" s="227"/>
      <c r="D58" s="228"/>
      <c r="F58" s="226" t="s">
        <v>92</v>
      </c>
      <c r="G58" s="227"/>
      <c r="H58" s="227"/>
      <c r="I58" s="227"/>
      <c r="J58" s="228"/>
    </row>
    <row r="59" spans="1:18" x14ac:dyDescent="0.25">
      <c r="A59" s="229"/>
      <c r="B59" s="230"/>
      <c r="C59" s="230"/>
      <c r="D59" s="231"/>
      <c r="F59" s="229"/>
      <c r="G59" s="230"/>
      <c r="H59" s="230"/>
      <c r="I59" s="230"/>
      <c r="J59" s="231"/>
    </row>
  </sheetData>
  <mergeCells count="68"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  <mergeCell ref="H13:J13"/>
    <mergeCell ref="F14:G14"/>
    <mergeCell ref="H14:J14"/>
    <mergeCell ref="F15:G15"/>
    <mergeCell ref="H15:J15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A32:D32"/>
    <mergeCell ref="F32:J32"/>
    <mergeCell ref="H33:J33"/>
    <mergeCell ref="A34:A36"/>
    <mergeCell ref="H34:J34"/>
    <mergeCell ref="H35:J35"/>
    <mergeCell ref="H36:J36"/>
    <mergeCell ref="A37:A39"/>
    <mergeCell ref="H37:J37"/>
    <mergeCell ref="H38:J38"/>
    <mergeCell ref="H39:J39"/>
    <mergeCell ref="A40:A42"/>
    <mergeCell ref="H40:J40"/>
    <mergeCell ref="H41:J41"/>
    <mergeCell ref="G42:J42"/>
    <mergeCell ref="A43:A47"/>
    <mergeCell ref="H43:J43"/>
    <mergeCell ref="H44:J44"/>
    <mergeCell ref="H45:J45"/>
    <mergeCell ref="H46:J46"/>
    <mergeCell ref="H47:J47"/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4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F7A818E-75C1-4380-8795-57EE4038AAB4}">
  <dimension ref="A1:R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bestFit="1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113" t="s">
        <v>1</v>
      </c>
      <c r="O1" s="113"/>
      <c r="P1" s="100" t="s">
        <v>2</v>
      </c>
      <c r="Q1" s="100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14" t="s">
        <v>7</v>
      </c>
      <c r="B4" s="115"/>
      <c r="C4" s="115"/>
      <c r="D4" s="116"/>
      <c r="F4" s="117" t="s">
        <v>8</v>
      </c>
      <c r="G4" s="119">
        <v>1</v>
      </c>
      <c r="H4" s="121" t="s">
        <v>9</v>
      </c>
      <c r="I4" s="123">
        <v>45975</v>
      </c>
      <c r="J4" s="124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27" t="s">
        <v>7</v>
      </c>
      <c r="B5" s="15" t="s">
        <v>11</v>
      </c>
      <c r="C5" s="9" t="s">
        <v>12</v>
      </c>
      <c r="D5" s="25" t="s">
        <v>13</v>
      </c>
      <c r="F5" s="118"/>
      <c r="G5" s="120"/>
      <c r="H5" s="122"/>
      <c r="I5" s="125"/>
      <c r="J5" s="126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28"/>
      <c r="B6" s="16" t="s">
        <v>15</v>
      </c>
      <c r="C6" s="89">
        <v>45</v>
      </c>
      <c r="D6" s="13">
        <f t="shared" ref="D6:D28" si="1">C6*L6</f>
        <v>33165</v>
      </c>
      <c r="F6" s="130" t="s">
        <v>16</v>
      </c>
      <c r="G6" s="132" t="s">
        <v>129</v>
      </c>
      <c r="H6" s="133"/>
      <c r="I6" s="133"/>
      <c r="J6" s="134"/>
      <c r="K6" s="8"/>
      <c r="L6" s="6">
        <f>R42</f>
        <v>737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28"/>
      <c r="B7" s="16" t="s">
        <v>18</v>
      </c>
      <c r="C7" s="89">
        <v>7</v>
      </c>
      <c r="D7" s="13">
        <f t="shared" si="1"/>
        <v>5075</v>
      </c>
      <c r="F7" s="131"/>
      <c r="G7" s="135"/>
      <c r="H7" s="136"/>
      <c r="I7" s="136"/>
      <c r="J7" s="137"/>
      <c r="K7" s="8"/>
      <c r="L7" s="6">
        <f>R41</f>
        <v>725</v>
      </c>
      <c r="P7" s="4"/>
      <c r="Q7" s="4"/>
      <c r="R7" s="5"/>
    </row>
    <row r="8" spans="1:18" ht="14.45" customHeight="1" x14ac:dyDescent="0.25">
      <c r="A8" s="128"/>
      <c r="B8" s="16" t="s">
        <v>20</v>
      </c>
      <c r="C8" s="89">
        <v>45</v>
      </c>
      <c r="D8" s="13">
        <f t="shared" si="1"/>
        <v>46485</v>
      </c>
      <c r="F8" s="138" t="s">
        <v>21</v>
      </c>
      <c r="G8" s="140" t="s">
        <v>112</v>
      </c>
      <c r="H8" s="141"/>
      <c r="I8" s="141"/>
      <c r="J8" s="142"/>
      <c r="K8" s="8"/>
      <c r="L8" s="6">
        <f>R40</f>
        <v>1033</v>
      </c>
      <c r="P8" s="4"/>
      <c r="Q8" s="4"/>
      <c r="R8" s="5"/>
    </row>
    <row r="9" spans="1:18" ht="14.45" customHeight="1" x14ac:dyDescent="0.25">
      <c r="A9" s="128"/>
      <c r="B9" s="16" t="s">
        <v>23</v>
      </c>
      <c r="C9" s="89">
        <v>9</v>
      </c>
      <c r="D9" s="13">
        <f t="shared" si="1"/>
        <v>6363</v>
      </c>
      <c r="F9" s="131"/>
      <c r="G9" s="143"/>
      <c r="H9" s="144"/>
      <c r="I9" s="144"/>
      <c r="J9" s="145"/>
      <c r="K9" s="8"/>
      <c r="L9" s="6">
        <f>R38</f>
        <v>707</v>
      </c>
      <c r="P9" s="4"/>
      <c r="Q9" s="4"/>
      <c r="R9" s="5"/>
    </row>
    <row r="10" spans="1:18" ht="14.45" customHeight="1" x14ac:dyDescent="0.25">
      <c r="A10" s="128"/>
      <c r="B10" t="s">
        <v>25</v>
      </c>
      <c r="C10" s="89">
        <v>1</v>
      </c>
      <c r="D10" s="13">
        <f t="shared" si="1"/>
        <v>972</v>
      </c>
      <c r="F10" s="130" t="s">
        <v>26</v>
      </c>
      <c r="G10" s="146" t="s">
        <v>130</v>
      </c>
      <c r="H10" s="147"/>
      <c r="I10" s="147"/>
      <c r="J10" s="148"/>
      <c r="K10" s="8"/>
      <c r="L10" s="6">
        <f>R36</f>
        <v>972</v>
      </c>
      <c r="P10" s="4"/>
      <c r="Q10" s="4"/>
      <c r="R10" s="5"/>
    </row>
    <row r="11" spans="1:18" ht="15.75" x14ac:dyDescent="0.25">
      <c r="A11" s="128"/>
      <c r="B11" s="17" t="s">
        <v>28</v>
      </c>
      <c r="C11" s="89">
        <v>6</v>
      </c>
      <c r="D11" s="13">
        <f t="shared" si="1"/>
        <v>6750</v>
      </c>
      <c r="F11" s="131"/>
      <c r="G11" s="143"/>
      <c r="H11" s="144"/>
      <c r="I11" s="144"/>
      <c r="J11" s="145"/>
      <c r="K11" s="22"/>
      <c r="L11" s="6">
        <f>R32</f>
        <v>1125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28"/>
      <c r="B12" s="17" t="s">
        <v>30</v>
      </c>
      <c r="C12" s="89">
        <v>7</v>
      </c>
      <c r="D12" s="48">
        <f t="shared" si="1"/>
        <v>6664</v>
      </c>
      <c r="F12" s="149" t="s">
        <v>33</v>
      </c>
      <c r="G12" s="150"/>
      <c r="H12" s="150"/>
      <c r="I12" s="150"/>
      <c r="J12" s="151"/>
      <c r="K12" s="23"/>
      <c r="L12" s="6">
        <f>R34</f>
        <v>952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28"/>
      <c r="B13" s="17" t="s">
        <v>32</v>
      </c>
      <c r="C13" s="89">
        <v>1</v>
      </c>
      <c r="D13" s="48">
        <f t="shared" si="1"/>
        <v>307</v>
      </c>
      <c r="F13" s="152" t="s">
        <v>36</v>
      </c>
      <c r="G13" s="153"/>
      <c r="H13" s="154">
        <f>D29</f>
        <v>109025</v>
      </c>
      <c r="I13" s="155"/>
      <c r="J13" s="156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28"/>
      <c r="B14" s="14" t="s">
        <v>35</v>
      </c>
      <c r="C14" s="89">
        <v>2</v>
      </c>
      <c r="D14" s="31">
        <f t="shared" si="1"/>
        <v>22</v>
      </c>
      <c r="F14" s="157" t="s">
        <v>39</v>
      </c>
      <c r="G14" s="158"/>
      <c r="H14" s="159">
        <f>D54</f>
        <v>14175</v>
      </c>
      <c r="I14" s="160"/>
      <c r="J14" s="161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28"/>
      <c r="B15" s="14" t="s">
        <v>38</v>
      </c>
      <c r="C15" s="89"/>
      <c r="D15" s="31">
        <f t="shared" si="1"/>
        <v>0</v>
      </c>
      <c r="F15" s="162" t="s">
        <v>40</v>
      </c>
      <c r="G15" s="153"/>
      <c r="H15" s="163">
        <f>H13-H14</f>
        <v>94850</v>
      </c>
      <c r="I15" s="164"/>
      <c r="J15" s="165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28"/>
      <c r="B16" s="18" t="s">
        <v>94</v>
      </c>
      <c r="C16" s="89"/>
      <c r="D16" s="48">
        <f t="shared" si="1"/>
        <v>0</v>
      </c>
      <c r="F16" s="67" t="s">
        <v>42</v>
      </c>
      <c r="G16" s="66" t="s">
        <v>43</v>
      </c>
      <c r="H16" s="166"/>
      <c r="I16" s="166"/>
      <c r="J16" s="166"/>
      <c r="L16" s="6">
        <f>R28</f>
        <v>1567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28"/>
      <c r="B17" t="s">
        <v>140</v>
      </c>
      <c r="C17" s="89"/>
      <c r="D17" s="48">
        <f t="shared" si="1"/>
        <v>0</v>
      </c>
      <c r="F17" s="56"/>
      <c r="G17" s="66" t="s">
        <v>45</v>
      </c>
      <c r="H17" s="139"/>
      <c r="I17" s="139"/>
      <c r="J17" s="139"/>
      <c r="L17" s="6">
        <f>1582</f>
        <v>1582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28"/>
      <c r="B18" s="19" t="s">
        <v>95</v>
      </c>
      <c r="C18" s="89">
        <v>3</v>
      </c>
      <c r="D18" s="48">
        <f t="shared" si="1"/>
        <v>1860</v>
      </c>
      <c r="F18" s="56"/>
      <c r="G18" s="66" t="s">
        <v>47</v>
      </c>
      <c r="H18" s="139"/>
      <c r="I18" s="139"/>
      <c r="J18" s="139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28"/>
      <c r="B19" s="14" t="s">
        <v>136</v>
      </c>
      <c r="C19" s="89"/>
      <c r="D19" s="48">
        <f t="shared" si="1"/>
        <v>0</v>
      </c>
      <c r="F19" s="56"/>
      <c r="G19" s="68" t="s">
        <v>50</v>
      </c>
      <c r="H19" s="139"/>
      <c r="I19" s="139"/>
      <c r="J19" s="139"/>
      <c r="L19" s="6">
        <v>1102</v>
      </c>
      <c r="Q19" s="4"/>
      <c r="R19" s="5">
        <f t="shared" si="0"/>
        <v>0</v>
      </c>
    </row>
    <row r="20" spans="1:18" ht="15.75" x14ac:dyDescent="0.25">
      <c r="A20" s="128"/>
      <c r="B20" s="83" t="s">
        <v>125</v>
      </c>
      <c r="C20" s="89"/>
      <c r="D20" s="13">
        <f t="shared" si="1"/>
        <v>0</v>
      </c>
      <c r="F20" s="57"/>
      <c r="G20" s="70" t="s">
        <v>120</v>
      </c>
      <c r="H20" s="166"/>
      <c r="I20" s="166"/>
      <c r="J20" s="166"/>
      <c r="L20" s="6">
        <f>R39</f>
        <v>1175</v>
      </c>
      <c r="N20" s="1" t="s">
        <v>41</v>
      </c>
      <c r="Q20" s="4"/>
      <c r="R20" s="5">
        <f t="shared" si="0"/>
        <v>0</v>
      </c>
    </row>
    <row r="21" spans="1:18" ht="15.75" x14ac:dyDescent="0.25">
      <c r="A21" s="128"/>
      <c r="B21" s="14" t="s">
        <v>138</v>
      </c>
      <c r="C21" s="89">
        <v>1</v>
      </c>
      <c r="D21" s="48">
        <f t="shared" si="1"/>
        <v>650</v>
      </c>
      <c r="F21" s="69" t="s">
        <v>99</v>
      </c>
      <c r="G21" s="82" t="s">
        <v>98</v>
      </c>
      <c r="H21" s="186" t="s">
        <v>13</v>
      </c>
      <c r="I21" s="187"/>
      <c r="J21" s="188"/>
      <c r="L21" s="7">
        <v>650</v>
      </c>
      <c r="O21" t="s">
        <v>44</v>
      </c>
      <c r="P21" s="4">
        <v>1447</v>
      </c>
      <c r="Q21" s="4">
        <v>120</v>
      </c>
      <c r="R21" s="5">
        <f t="shared" si="0"/>
        <v>1567</v>
      </c>
    </row>
    <row r="22" spans="1:18" ht="15.75" x14ac:dyDescent="0.25">
      <c r="A22" s="128"/>
      <c r="B22" s="46" t="s">
        <v>127</v>
      </c>
      <c r="C22" s="89"/>
      <c r="D22" s="48">
        <f t="shared" si="1"/>
        <v>0</v>
      </c>
      <c r="F22" s="77"/>
      <c r="G22" s="73"/>
      <c r="H22" s="189"/>
      <c r="I22" s="189"/>
      <c r="J22" s="189"/>
      <c r="L22" s="7">
        <v>1582</v>
      </c>
      <c r="O22" t="s">
        <v>46</v>
      </c>
      <c r="P22" s="4">
        <v>1582</v>
      </c>
      <c r="Q22" s="4"/>
      <c r="R22" s="5">
        <f t="shared" si="0"/>
        <v>1582</v>
      </c>
    </row>
    <row r="23" spans="1:18" ht="15.75" x14ac:dyDescent="0.25">
      <c r="A23" s="128"/>
      <c r="B23" s="14" t="s">
        <v>101</v>
      </c>
      <c r="C23" s="89"/>
      <c r="D23" s="48">
        <f t="shared" si="1"/>
        <v>0</v>
      </c>
      <c r="F23" s="77"/>
      <c r="G23" s="79"/>
      <c r="H23" s="242"/>
      <c r="I23" s="243"/>
      <c r="J23" s="243"/>
      <c r="L23" s="47">
        <v>1667</v>
      </c>
      <c r="N23" s="1"/>
      <c r="O23" t="s">
        <v>48</v>
      </c>
      <c r="P23" s="4">
        <v>1728</v>
      </c>
      <c r="Q23" s="4"/>
      <c r="R23" s="5">
        <f t="shared" si="0"/>
        <v>1728</v>
      </c>
    </row>
    <row r="24" spans="1:18" ht="15.75" x14ac:dyDescent="0.25">
      <c r="A24" s="128"/>
      <c r="B24" s="14" t="s">
        <v>121</v>
      </c>
      <c r="C24" s="89"/>
      <c r="D24" s="48">
        <f t="shared" si="1"/>
        <v>0</v>
      </c>
      <c r="F24" s="77"/>
      <c r="G24" s="79"/>
      <c r="H24" s="242"/>
      <c r="I24" s="243"/>
      <c r="J24" s="243"/>
      <c r="L24" s="47">
        <f>913/24+1.5</f>
        <v>39.541666666666664</v>
      </c>
      <c r="N24" s="1"/>
      <c r="O24" t="s">
        <v>49</v>
      </c>
      <c r="P24" s="4">
        <v>1728</v>
      </c>
      <c r="Q24" s="4"/>
      <c r="R24" s="5">
        <f t="shared" si="0"/>
        <v>1728</v>
      </c>
    </row>
    <row r="25" spans="1:18" ht="15.75" x14ac:dyDescent="0.25">
      <c r="A25" s="128"/>
      <c r="B25" s="14" t="s">
        <v>174</v>
      </c>
      <c r="C25" s="89">
        <v>12</v>
      </c>
      <c r="D25" s="48">
        <f t="shared" si="1"/>
        <v>268</v>
      </c>
      <c r="F25" s="60" t="s">
        <v>100</v>
      </c>
      <c r="G25" s="55" t="s">
        <v>98</v>
      </c>
      <c r="H25" s="192" t="s">
        <v>13</v>
      </c>
      <c r="I25" s="193"/>
      <c r="J25" s="194"/>
      <c r="L25" s="47">
        <f>500/24+1.5</f>
        <v>22.333333333333332</v>
      </c>
      <c r="O25" t="s">
        <v>51</v>
      </c>
      <c r="P25" s="4">
        <v>1582</v>
      </c>
      <c r="Q25" s="4"/>
      <c r="R25" s="5">
        <f t="shared" si="0"/>
        <v>1582</v>
      </c>
    </row>
    <row r="26" spans="1:18" ht="15.75" x14ac:dyDescent="0.25">
      <c r="A26" s="128"/>
      <c r="B26" s="14" t="s">
        <v>169</v>
      </c>
      <c r="C26" s="89">
        <v>12</v>
      </c>
      <c r="D26" s="48">
        <f t="shared" si="1"/>
        <v>444</v>
      </c>
      <c r="F26" s="75"/>
      <c r="G26" s="65"/>
      <c r="H26" s="191"/>
      <c r="I26" s="191"/>
      <c r="J26" s="191"/>
      <c r="L26" s="7">
        <f>852/24+1.5</f>
        <v>37</v>
      </c>
      <c r="O26" t="s">
        <v>52</v>
      </c>
      <c r="P26" s="4">
        <v>1447</v>
      </c>
      <c r="Q26" s="4">
        <v>120</v>
      </c>
      <c r="R26" s="5">
        <f t="shared" si="0"/>
        <v>1567</v>
      </c>
    </row>
    <row r="27" spans="1:18" ht="14.45" customHeight="1" x14ac:dyDescent="0.25">
      <c r="A27" s="128"/>
      <c r="B27" s="14" t="s">
        <v>110</v>
      </c>
      <c r="C27" s="89"/>
      <c r="D27" s="44">
        <f t="shared" si="1"/>
        <v>0</v>
      </c>
      <c r="F27" s="71"/>
      <c r="G27" s="104"/>
      <c r="H27" s="244"/>
      <c r="I27" s="245"/>
      <c r="J27" s="245"/>
      <c r="L27" s="7">
        <v>1142</v>
      </c>
      <c r="O27" t="s">
        <v>53</v>
      </c>
      <c r="P27" s="4">
        <v>1582</v>
      </c>
      <c r="Q27" s="4"/>
      <c r="R27" s="5">
        <f t="shared" si="0"/>
        <v>1582</v>
      </c>
    </row>
    <row r="28" spans="1:18" ht="15.75" x14ac:dyDescent="0.25">
      <c r="A28" s="129"/>
      <c r="B28" s="46" t="s">
        <v>97</v>
      </c>
      <c r="C28" s="89"/>
      <c r="D28" s="48">
        <f t="shared" si="1"/>
        <v>0</v>
      </c>
      <c r="F28" s="101"/>
      <c r="G28" s="61"/>
      <c r="H28" s="201"/>
      <c r="I28" s="202"/>
      <c r="J28" s="203"/>
      <c r="L28" s="7">
        <v>785</v>
      </c>
      <c r="O28" t="s">
        <v>54</v>
      </c>
      <c r="P28" s="4">
        <v>1447</v>
      </c>
      <c r="Q28" s="4">
        <v>120</v>
      </c>
      <c r="R28" s="5">
        <f t="shared" si="0"/>
        <v>1567</v>
      </c>
    </row>
    <row r="29" spans="1:18" x14ac:dyDescent="0.25">
      <c r="A29" s="167" t="s">
        <v>36</v>
      </c>
      <c r="B29" s="168"/>
      <c r="C29" s="169"/>
      <c r="D29" s="173">
        <f>SUM(D6:D28)</f>
        <v>109025</v>
      </c>
      <c r="F29" s="175" t="s">
        <v>55</v>
      </c>
      <c r="G29" s="176"/>
      <c r="H29" s="179">
        <f>H15-H16-H17-H18-H19-H20-H22-H23-H24+H26+H27+H28</f>
        <v>94850</v>
      </c>
      <c r="I29" s="180"/>
      <c r="J29" s="181"/>
      <c r="O29" t="s">
        <v>56</v>
      </c>
      <c r="P29" s="4">
        <v>1582</v>
      </c>
      <c r="Q29" s="4"/>
      <c r="R29" s="5">
        <f t="shared" si="0"/>
        <v>1582</v>
      </c>
    </row>
    <row r="30" spans="1:18" x14ac:dyDescent="0.25">
      <c r="A30" s="170"/>
      <c r="B30" s="171"/>
      <c r="C30" s="172"/>
      <c r="D30" s="174"/>
      <c r="F30" s="177"/>
      <c r="G30" s="178"/>
      <c r="H30" s="182"/>
      <c r="I30" s="183"/>
      <c r="J30" s="184"/>
      <c r="N30" s="1"/>
      <c r="Q30" s="4"/>
      <c r="R30" s="5">
        <f t="shared" si="0"/>
        <v>0</v>
      </c>
    </row>
    <row r="31" spans="1:18" x14ac:dyDescent="0.25">
      <c r="A31" s="24"/>
      <c r="B31" s="24"/>
      <c r="C31" s="24"/>
      <c r="D31" s="24"/>
      <c r="F31" s="24"/>
      <c r="G31" s="24"/>
      <c r="O31" t="s">
        <v>57</v>
      </c>
      <c r="P31" s="4">
        <v>1052</v>
      </c>
      <c r="Q31" s="4">
        <v>120</v>
      </c>
      <c r="R31" s="5">
        <f t="shared" si="0"/>
        <v>1172</v>
      </c>
    </row>
    <row r="32" spans="1:18" x14ac:dyDescent="0.25">
      <c r="A32" s="114" t="s">
        <v>58</v>
      </c>
      <c r="B32" s="115"/>
      <c r="C32" s="115"/>
      <c r="D32" s="116"/>
      <c r="F32" s="204" t="s">
        <v>59</v>
      </c>
      <c r="G32" s="205"/>
      <c r="H32" s="205"/>
      <c r="I32" s="205"/>
      <c r="J32" s="206"/>
      <c r="O32" t="s">
        <v>60</v>
      </c>
      <c r="P32" s="4">
        <v>1005</v>
      </c>
      <c r="Q32" s="4">
        <v>120</v>
      </c>
      <c r="R32" s="5">
        <f t="shared" si="0"/>
        <v>1125</v>
      </c>
    </row>
    <row r="33" spans="1:18" x14ac:dyDescent="0.25">
      <c r="A33" s="25"/>
      <c r="B33" s="25" t="s">
        <v>11</v>
      </c>
      <c r="C33" s="25" t="s">
        <v>61</v>
      </c>
      <c r="D33" s="25" t="s">
        <v>13</v>
      </c>
      <c r="F33" s="25" t="s">
        <v>62</v>
      </c>
      <c r="G33" s="102" t="s">
        <v>63</v>
      </c>
      <c r="H33" s="204" t="s">
        <v>13</v>
      </c>
      <c r="I33" s="205"/>
      <c r="J33" s="206"/>
      <c r="O33" t="s">
        <v>64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27" t="s">
        <v>65</v>
      </c>
      <c r="B34" s="26" t="s">
        <v>66</v>
      </c>
      <c r="C34" s="51">
        <v>1</v>
      </c>
      <c r="D34" s="30">
        <f>C34*120</f>
        <v>120</v>
      </c>
      <c r="F34" s="12">
        <v>1000</v>
      </c>
      <c r="G34" s="40">
        <v>76</v>
      </c>
      <c r="H34" s="207">
        <f t="shared" ref="H34:H39" si="2">F34*G34</f>
        <v>76000</v>
      </c>
      <c r="I34" s="208"/>
      <c r="J34" s="209"/>
      <c r="O34" t="s">
        <v>67</v>
      </c>
      <c r="P34" s="4">
        <v>832</v>
      </c>
      <c r="Q34" s="4">
        <v>120</v>
      </c>
      <c r="R34" s="5">
        <f t="shared" si="0"/>
        <v>952</v>
      </c>
    </row>
    <row r="35" spans="1:18" ht="15.75" x14ac:dyDescent="0.25">
      <c r="A35" s="128"/>
      <c r="B35" s="27" t="s">
        <v>68</v>
      </c>
      <c r="C35" s="52"/>
      <c r="D35" s="30">
        <f>C35*84</f>
        <v>0</v>
      </c>
      <c r="F35" s="58">
        <v>500</v>
      </c>
      <c r="G35" s="41"/>
      <c r="H35" s="207">
        <f t="shared" si="2"/>
        <v>0</v>
      </c>
      <c r="I35" s="208"/>
      <c r="J35" s="209"/>
      <c r="O35" t="s">
        <v>69</v>
      </c>
      <c r="P35" s="4">
        <v>1102</v>
      </c>
      <c r="Q35" s="4"/>
      <c r="R35" s="5">
        <f t="shared" si="0"/>
        <v>1102</v>
      </c>
    </row>
    <row r="36" spans="1:18" ht="15.75" x14ac:dyDescent="0.25">
      <c r="A36" s="129"/>
      <c r="B36" s="26" t="s">
        <v>70</v>
      </c>
      <c r="C36" s="10">
        <v>12</v>
      </c>
      <c r="D36" s="12">
        <f>C36*1.5</f>
        <v>18</v>
      </c>
      <c r="F36" s="12">
        <v>200</v>
      </c>
      <c r="G36" s="37">
        <v>1</v>
      </c>
      <c r="H36" s="207">
        <f t="shared" si="2"/>
        <v>200</v>
      </c>
      <c r="I36" s="208"/>
      <c r="J36" s="209"/>
      <c r="O36" t="s">
        <v>71</v>
      </c>
      <c r="P36" s="4">
        <v>852</v>
      </c>
      <c r="Q36" s="4">
        <v>120</v>
      </c>
      <c r="R36" s="5">
        <f t="shared" si="0"/>
        <v>972</v>
      </c>
    </row>
    <row r="37" spans="1:18" ht="15.75" x14ac:dyDescent="0.25">
      <c r="A37" s="127" t="s">
        <v>72</v>
      </c>
      <c r="B37" s="28" t="s">
        <v>66</v>
      </c>
      <c r="C37" s="53">
        <v>48</v>
      </c>
      <c r="D37" s="12">
        <f>C37*111</f>
        <v>5328</v>
      </c>
      <c r="F37" s="12">
        <v>100</v>
      </c>
      <c r="G37" s="39"/>
      <c r="H37" s="207">
        <f t="shared" si="2"/>
        <v>0</v>
      </c>
      <c r="I37" s="208"/>
      <c r="J37" s="209"/>
      <c r="O37" t="s">
        <v>73</v>
      </c>
      <c r="P37" s="4">
        <v>1020</v>
      </c>
      <c r="Q37" s="4">
        <v>120</v>
      </c>
      <c r="R37" s="5">
        <f t="shared" si="0"/>
        <v>1140</v>
      </c>
    </row>
    <row r="38" spans="1:18" ht="15.75" x14ac:dyDescent="0.25">
      <c r="A38" s="128"/>
      <c r="B38" s="29" t="s">
        <v>68</v>
      </c>
      <c r="C38" s="54">
        <v>6</v>
      </c>
      <c r="D38" s="12">
        <f>C38*84</f>
        <v>504</v>
      </c>
      <c r="F38" s="30">
        <v>50</v>
      </c>
      <c r="G38" s="39">
        <v>1</v>
      </c>
      <c r="H38" s="207">
        <f t="shared" si="2"/>
        <v>50</v>
      </c>
      <c r="I38" s="208"/>
      <c r="J38" s="209"/>
      <c r="O38" t="s">
        <v>74</v>
      </c>
      <c r="P38" s="4">
        <v>596</v>
      </c>
      <c r="Q38" s="4">
        <v>111</v>
      </c>
      <c r="R38" s="5">
        <f t="shared" si="0"/>
        <v>707</v>
      </c>
    </row>
    <row r="39" spans="1:18" ht="15.75" x14ac:dyDescent="0.25">
      <c r="A39" s="129"/>
      <c r="B39" s="29" t="s">
        <v>70</v>
      </c>
      <c r="C39" s="52">
        <v>2</v>
      </c>
      <c r="D39" s="31">
        <f>C39*4.5</f>
        <v>9</v>
      </c>
      <c r="F39" s="12">
        <v>20</v>
      </c>
      <c r="G39" s="37"/>
      <c r="H39" s="207">
        <f t="shared" si="2"/>
        <v>0</v>
      </c>
      <c r="I39" s="208"/>
      <c r="J39" s="209"/>
      <c r="O39" t="s">
        <v>75</v>
      </c>
      <c r="P39" s="4">
        <v>1175</v>
      </c>
      <c r="Q39" s="4"/>
      <c r="R39" s="5">
        <f t="shared" si="0"/>
        <v>1175</v>
      </c>
    </row>
    <row r="40" spans="1:18" ht="15.75" x14ac:dyDescent="0.25">
      <c r="A40" s="127" t="s">
        <v>76</v>
      </c>
      <c r="B40" s="27" t="s">
        <v>66</v>
      </c>
      <c r="C40" s="63">
        <v>5</v>
      </c>
      <c r="D40" s="12">
        <f>C40*111</f>
        <v>555</v>
      </c>
      <c r="F40" s="12">
        <v>10</v>
      </c>
      <c r="G40" s="42"/>
      <c r="H40" s="207"/>
      <c r="I40" s="208"/>
      <c r="J40" s="209"/>
      <c r="O40" t="s">
        <v>77</v>
      </c>
      <c r="P40" s="4">
        <v>913</v>
      </c>
      <c r="Q40" s="4">
        <v>120</v>
      </c>
      <c r="R40" s="5">
        <f t="shared" si="0"/>
        <v>1033</v>
      </c>
    </row>
    <row r="41" spans="1:18" ht="15.75" x14ac:dyDescent="0.25">
      <c r="A41" s="128"/>
      <c r="B41" s="27" t="s">
        <v>68</v>
      </c>
      <c r="C41" s="10">
        <v>2</v>
      </c>
      <c r="D41" s="12">
        <f>C41*84</f>
        <v>168</v>
      </c>
      <c r="F41" s="12">
        <v>5</v>
      </c>
      <c r="G41" s="42"/>
      <c r="H41" s="207"/>
      <c r="I41" s="208"/>
      <c r="J41" s="209"/>
      <c r="K41" s="21"/>
      <c r="O41" t="s">
        <v>78</v>
      </c>
      <c r="P41" s="4">
        <v>614</v>
      </c>
      <c r="Q41" s="4">
        <v>111</v>
      </c>
      <c r="R41" s="5">
        <f t="shared" si="0"/>
        <v>725</v>
      </c>
    </row>
    <row r="42" spans="1:18" ht="15.75" x14ac:dyDescent="0.25">
      <c r="A42" s="129"/>
      <c r="B42" s="27" t="s">
        <v>70</v>
      </c>
      <c r="C42" s="11">
        <v>4</v>
      </c>
      <c r="D42" s="12">
        <f>C42*2.25</f>
        <v>9</v>
      </c>
      <c r="F42" s="39" t="s">
        <v>79</v>
      </c>
      <c r="G42" s="207">
        <v>2220</v>
      </c>
      <c r="H42" s="208"/>
      <c r="I42" s="208"/>
      <c r="J42" s="209"/>
      <c r="K42" s="36"/>
      <c r="O42" t="s">
        <v>80</v>
      </c>
      <c r="P42" s="4">
        <v>626</v>
      </c>
      <c r="Q42" s="4">
        <v>111</v>
      </c>
      <c r="R42" s="5">
        <f t="shared" si="0"/>
        <v>737</v>
      </c>
    </row>
    <row r="43" spans="1:18" ht="15.75" x14ac:dyDescent="0.25">
      <c r="A43" s="210" t="s">
        <v>81</v>
      </c>
      <c r="C43" s="11"/>
      <c r="D43" s="12"/>
      <c r="F43" s="59" t="s">
        <v>82</v>
      </c>
      <c r="G43" s="104" t="s">
        <v>83</v>
      </c>
      <c r="H43" s="213" t="s">
        <v>13</v>
      </c>
      <c r="I43" s="214"/>
      <c r="J43" s="215"/>
      <c r="K43" s="21"/>
      <c r="O43" t="s">
        <v>103</v>
      </c>
      <c r="P43" s="4">
        <v>1667</v>
      </c>
      <c r="Q43" s="4"/>
      <c r="R43" s="5"/>
    </row>
    <row r="44" spans="1:18" ht="15.75" x14ac:dyDescent="0.25">
      <c r="A44" s="211"/>
      <c r="B44" s="27" t="s">
        <v>66</v>
      </c>
      <c r="C44" s="10">
        <v>58</v>
      </c>
      <c r="D44" s="12">
        <f>C44*120</f>
        <v>6960</v>
      </c>
      <c r="F44" s="37" t="s">
        <v>175</v>
      </c>
      <c r="G44" s="62"/>
      <c r="H44" s="191">
        <v>13450</v>
      </c>
      <c r="I44" s="191"/>
      <c r="J44" s="191"/>
      <c r="K44" s="21"/>
      <c r="O44" t="s">
        <v>106</v>
      </c>
      <c r="P44" s="4">
        <f>785-120</f>
        <v>665</v>
      </c>
      <c r="Q44" s="4">
        <v>120</v>
      </c>
      <c r="R44" s="5">
        <f>Q44+P44</f>
        <v>785</v>
      </c>
    </row>
    <row r="45" spans="1:18" ht="15.75" x14ac:dyDescent="0.25">
      <c r="A45" s="211"/>
      <c r="B45" s="27" t="s">
        <v>68</v>
      </c>
      <c r="C45" s="33">
        <v>4</v>
      </c>
      <c r="D45" s="12">
        <f>C45*84</f>
        <v>336</v>
      </c>
      <c r="F45" s="37" t="s">
        <v>175</v>
      </c>
      <c r="G45" s="62"/>
      <c r="H45" s="191">
        <v>3249</v>
      </c>
      <c r="I45" s="191"/>
      <c r="J45" s="191"/>
      <c r="K45" s="21"/>
      <c r="P45" s="4"/>
      <c r="Q45" s="4"/>
      <c r="R45" s="5"/>
    </row>
    <row r="46" spans="1:18" ht="15.75" x14ac:dyDescent="0.25">
      <c r="A46" s="211"/>
      <c r="B46" s="49" t="s">
        <v>70</v>
      </c>
      <c r="C46" s="81">
        <v>39</v>
      </c>
      <c r="D46" s="12">
        <f>C46*1.5</f>
        <v>58.5</v>
      </c>
      <c r="F46" s="37"/>
      <c r="G46" s="62"/>
      <c r="H46" s="191"/>
      <c r="I46" s="191"/>
      <c r="J46" s="191"/>
      <c r="K46" s="21"/>
      <c r="P46" s="4"/>
      <c r="Q46" s="4"/>
      <c r="R46" s="5"/>
    </row>
    <row r="47" spans="1:18" ht="15.75" x14ac:dyDescent="0.25">
      <c r="A47" s="212"/>
      <c r="B47" s="27"/>
      <c r="C47" s="11"/>
      <c r="D47" s="12"/>
      <c r="F47" s="59"/>
      <c r="G47" s="59"/>
      <c r="H47" s="217"/>
      <c r="I47" s="218"/>
      <c r="J47" s="219"/>
      <c r="K47" s="21"/>
      <c r="P47" s="4"/>
      <c r="Q47" s="4"/>
      <c r="R47" s="5"/>
    </row>
    <row r="48" spans="1:18" ht="15" customHeight="1" x14ac:dyDescent="0.25">
      <c r="A48" s="210" t="s">
        <v>32</v>
      </c>
      <c r="B48" s="27" t="s">
        <v>66</v>
      </c>
      <c r="C48" s="10">
        <v>1</v>
      </c>
      <c r="D48" s="12">
        <f>C48*78</f>
        <v>78</v>
      </c>
      <c r="F48" s="59"/>
      <c r="G48" s="59"/>
      <c r="H48" s="217"/>
      <c r="I48" s="218"/>
      <c r="J48" s="219"/>
      <c r="K48" s="35"/>
      <c r="O48" t="s">
        <v>84</v>
      </c>
      <c r="P48" s="4">
        <v>1175</v>
      </c>
      <c r="Q48" s="4"/>
      <c r="R48" s="5">
        <f t="shared" si="0"/>
        <v>1175</v>
      </c>
    </row>
    <row r="49" spans="1:18" ht="15.75" x14ac:dyDescent="0.25">
      <c r="A49" s="211"/>
      <c r="B49" s="29" t="s">
        <v>68</v>
      </c>
      <c r="C49" s="33"/>
      <c r="D49" s="12">
        <f>C49*42</f>
        <v>0</v>
      </c>
      <c r="F49" s="232" t="s">
        <v>86</v>
      </c>
      <c r="G49" s="179">
        <f>H34+H35+H36+H37+H38+H39+H40+H41+G42+H44+H45+H46</f>
        <v>95169</v>
      </c>
      <c r="H49" s="180"/>
      <c r="I49" s="180"/>
      <c r="J49" s="181"/>
      <c r="O49" t="s">
        <v>85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211"/>
      <c r="B50" s="32" t="s">
        <v>70</v>
      </c>
      <c r="C50" s="11">
        <v>21</v>
      </c>
      <c r="D50" s="12">
        <f>C50*1.5</f>
        <v>31.5</v>
      </c>
      <c r="F50" s="233"/>
      <c r="G50" s="182"/>
      <c r="H50" s="183"/>
      <c r="I50" s="183"/>
      <c r="J50" s="184"/>
      <c r="P50" s="4"/>
      <c r="Q50" s="4"/>
      <c r="R50" s="5"/>
    </row>
    <row r="51" spans="1:18" ht="15" customHeight="1" x14ac:dyDescent="0.25">
      <c r="A51" s="211"/>
      <c r="B51" s="27"/>
      <c r="C51" s="10"/>
      <c r="D51" s="31"/>
      <c r="F51" s="234" t="s">
        <v>143</v>
      </c>
      <c r="G51" s="236">
        <f>G49-H29</f>
        <v>319</v>
      </c>
      <c r="H51" s="237"/>
      <c r="I51" s="237"/>
      <c r="J51" s="238"/>
      <c r="K51" s="21"/>
      <c r="O51" t="s">
        <v>87</v>
      </c>
      <c r="P51" s="4">
        <v>703</v>
      </c>
      <c r="Q51" s="4">
        <v>120</v>
      </c>
      <c r="R51" s="5">
        <f t="shared" si="0"/>
        <v>823</v>
      </c>
    </row>
    <row r="52" spans="1:18" ht="15.75" x14ac:dyDescent="0.25">
      <c r="A52" s="211"/>
      <c r="B52" s="29"/>
      <c r="C52" s="33"/>
      <c r="D52" s="45"/>
      <c r="F52" s="235"/>
      <c r="G52" s="239"/>
      <c r="H52" s="240"/>
      <c r="I52" s="240"/>
      <c r="J52" s="241"/>
      <c r="K52" s="21"/>
      <c r="O52" t="s">
        <v>88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212"/>
      <c r="B53" s="32"/>
      <c r="C53" s="11"/>
      <c r="D53" s="12"/>
      <c r="F53" s="35"/>
      <c r="G53" s="24"/>
      <c r="H53" s="24"/>
      <c r="I53" s="24"/>
      <c r="J53" s="17"/>
      <c r="N53" s="1"/>
      <c r="O53" t="s">
        <v>89</v>
      </c>
      <c r="P53" s="4">
        <v>1142</v>
      </c>
    </row>
    <row r="54" spans="1:18" x14ac:dyDescent="0.25">
      <c r="A54" s="175" t="s">
        <v>90</v>
      </c>
      <c r="B54" s="220"/>
      <c r="C54" s="221"/>
      <c r="D54" s="224">
        <f>SUM(D34:D53)</f>
        <v>14175</v>
      </c>
      <c r="F54" s="21"/>
      <c r="J54" s="34"/>
      <c r="O54" t="s">
        <v>102</v>
      </c>
      <c r="P54" s="4">
        <v>1582</v>
      </c>
      <c r="R54" s="3">
        <v>1582</v>
      </c>
    </row>
    <row r="55" spans="1:18" x14ac:dyDescent="0.25">
      <c r="A55" s="177"/>
      <c r="B55" s="222"/>
      <c r="C55" s="223"/>
      <c r="D55" s="225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133</v>
      </c>
      <c r="D57" s="34"/>
      <c r="F57" s="36"/>
      <c r="G57" s="50"/>
      <c r="H57" s="50"/>
      <c r="I57" s="50"/>
      <c r="J57" s="43"/>
    </row>
    <row r="58" spans="1:18" x14ac:dyDescent="0.25">
      <c r="A58" s="226" t="s">
        <v>91</v>
      </c>
      <c r="B58" s="227"/>
      <c r="C58" s="227"/>
      <c r="D58" s="228"/>
      <c r="F58" s="226" t="s">
        <v>92</v>
      </c>
      <c r="G58" s="227"/>
      <c r="H58" s="227"/>
      <c r="I58" s="227"/>
      <c r="J58" s="228"/>
    </row>
    <row r="59" spans="1:18" x14ac:dyDescent="0.25">
      <c r="A59" s="229"/>
      <c r="B59" s="230"/>
      <c r="C59" s="230"/>
      <c r="D59" s="231"/>
      <c r="F59" s="229"/>
      <c r="G59" s="230"/>
      <c r="H59" s="230"/>
      <c r="I59" s="230"/>
      <c r="J59" s="231"/>
    </row>
  </sheetData>
  <mergeCells count="68"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  <mergeCell ref="H13:J13"/>
    <mergeCell ref="F14:G14"/>
    <mergeCell ref="H14:J14"/>
    <mergeCell ref="F15:G15"/>
    <mergeCell ref="H15:J15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A32:D32"/>
    <mergeCell ref="F32:J32"/>
    <mergeCell ref="H33:J33"/>
    <mergeCell ref="A34:A36"/>
    <mergeCell ref="H34:J34"/>
    <mergeCell ref="H35:J35"/>
    <mergeCell ref="H36:J36"/>
    <mergeCell ref="A37:A39"/>
    <mergeCell ref="H37:J37"/>
    <mergeCell ref="H38:J38"/>
    <mergeCell ref="H39:J39"/>
    <mergeCell ref="A40:A42"/>
    <mergeCell ref="H40:J40"/>
    <mergeCell ref="H41:J41"/>
    <mergeCell ref="G42:J42"/>
    <mergeCell ref="A43:A47"/>
    <mergeCell ref="H43:J43"/>
    <mergeCell ref="H44:J44"/>
    <mergeCell ref="H45:J45"/>
    <mergeCell ref="H46:J46"/>
    <mergeCell ref="H47:J47"/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4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144B7DD-349C-4CED-9BCF-695DF5A455D6}">
  <dimension ref="A1:R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113" t="s">
        <v>1</v>
      </c>
      <c r="O1" s="113"/>
      <c r="P1" s="100" t="s">
        <v>2</v>
      </c>
      <c r="Q1" s="100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14" t="s">
        <v>7</v>
      </c>
      <c r="B4" s="115"/>
      <c r="C4" s="115"/>
      <c r="D4" s="116"/>
      <c r="F4" s="117" t="s">
        <v>8</v>
      </c>
      <c r="G4" s="119">
        <v>2</v>
      </c>
      <c r="H4" s="121" t="s">
        <v>9</v>
      </c>
      <c r="I4" s="123">
        <v>45975</v>
      </c>
      <c r="J4" s="124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27" t="s">
        <v>7</v>
      </c>
      <c r="B5" s="15" t="s">
        <v>11</v>
      </c>
      <c r="C5" s="9" t="s">
        <v>12</v>
      </c>
      <c r="D5" s="25" t="s">
        <v>13</v>
      </c>
      <c r="F5" s="118"/>
      <c r="G5" s="120"/>
      <c r="H5" s="122"/>
      <c r="I5" s="125"/>
      <c r="J5" s="126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28"/>
      <c r="B6" s="16" t="s">
        <v>15</v>
      </c>
      <c r="C6" s="10">
        <v>186</v>
      </c>
      <c r="D6" s="13">
        <f t="shared" ref="D6:D28" si="1">C6*L6</f>
        <v>137082</v>
      </c>
      <c r="F6" s="130" t="s">
        <v>16</v>
      </c>
      <c r="G6" s="132" t="s">
        <v>150</v>
      </c>
      <c r="H6" s="133"/>
      <c r="I6" s="133"/>
      <c r="J6" s="134"/>
      <c r="K6" s="8"/>
      <c r="L6" s="6">
        <f>R42</f>
        <v>737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28"/>
      <c r="B7" s="16" t="s">
        <v>18</v>
      </c>
      <c r="C7" s="10">
        <v>9</v>
      </c>
      <c r="D7" s="13">
        <f t="shared" si="1"/>
        <v>6525</v>
      </c>
      <c r="F7" s="131"/>
      <c r="G7" s="135"/>
      <c r="H7" s="136"/>
      <c r="I7" s="136"/>
      <c r="J7" s="137"/>
      <c r="K7" s="8"/>
      <c r="L7" s="6">
        <f>R41</f>
        <v>725</v>
      </c>
      <c r="P7" s="4"/>
      <c r="Q7" s="4"/>
      <c r="R7" s="5"/>
    </row>
    <row r="8" spans="1:18" ht="14.45" customHeight="1" x14ac:dyDescent="0.25">
      <c r="A8" s="128"/>
      <c r="B8" s="16" t="s">
        <v>20</v>
      </c>
      <c r="C8" s="10"/>
      <c r="D8" s="13">
        <f t="shared" si="1"/>
        <v>0</v>
      </c>
      <c r="F8" s="138" t="s">
        <v>21</v>
      </c>
      <c r="G8" s="140" t="s">
        <v>114</v>
      </c>
      <c r="H8" s="141"/>
      <c r="I8" s="141"/>
      <c r="J8" s="142"/>
      <c r="K8" s="8"/>
      <c r="L8" s="6">
        <f>R40</f>
        <v>1033</v>
      </c>
      <c r="P8" s="4"/>
      <c r="Q8" s="4"/>
      <c r="R8" s="5"/>
    </row>
    <row r="9" spans="1:18" ht="14.45" customHeight="1" x14ac:dyDescent="0.25">
      <c r="A9" s="128"/>
      <c r="B9" s="16" t="s">
        <v>23</v>
      </c>
      <c r="C9" s="10">
        <v>8</v>
      </c>
      <c r="D9" s="13">
        <f t="shared" si="1"/>
        <v>5656</v>
      </c>
      <c r="F9" s="131"/>
      <c r="G9" s="143"/>
      <c r="H9" s="144"/>
      <c r="I9" s="144"/>
      <c r="J9" s="145"/>
      <c r="K9" s="8"/>
      <c r="L9" s="6">
        <f>R38</f>
        <v>707</v>
      </c>
      <c r="P9" s="4"/>
      <c r="Q9" s="4"/>
      <c r="R9" s="5"/>
    </row>
    <row r="10" spans="1:18" ht="14.45" customHeight="1" x14ac:dyDescent="0.25">
      <c r="A10" s="128"/>
      <c r="B10" t="s">
        <v>25</v>
      </c>
      <c r="C10" s="10"/>
      <c r="D10" s="13">
        <f t="shared" si="1"/>
        <v>0</v>
      </c>
      <c r="F10" s="130" t="s">
        <v>26</v>
      </c>
      <c r="G10" s="146" t="s">
        <v>115</v>
      </c>
      <c r="H10" s="147"/>
      <c r="I10" s="147"/>
      <c r="J10" s="148"/>
      <c r="K10" s="8"/>
      <c r="L10" s="6">
        <f>R36</f>
        <v>972</v>
      </c>
      <c r="P10" s="4"/>
      <c r="Q10" s="4"/>
      <c r="R10" s="5"/>
    </row>
    <row r="11" spans="1:18" ht="15.75" x14ac:dyDescent="0.25">
      <c r="A11" s="128"/>
      <c r="B11" s="17" t="s">
        <v>28</v>
      </c>
      <c r="C11" s="10"/>
      <c r="D11" s="13">
        <f t="shared" si="1"/>
        <v>0</v>
      </c>
      <c r="F11" s="131"/>
      <c r="G11" s="143"/>
      <c r="H11" s="144"/>
      <c r="I11" s="144"/>
      <c r="J11" s="145"/>
      <c r="K11" s="22"/>
      <c r="L11" s="6">
        <f>R32</f>
        <v>1125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28"/>
      <c r="B12" s="17" t="s">
        <v>30</v>
      </c>
      <c r="C12" s="10"/>
      <c r="D12" s="48">
        <f t="shared" si="1"/>
        <v>0</v>
      </c>
      <c r="F12" s="149" t="s">
        <v>33</v>
      </c>
      <c r="G12" s="150"/>
      <c r="H12" s="150"/>
      <c r="I12" s="150"/>
      <c r="J12" s="151"/>
      <c r="K12" s="23"/>
      <c r="L12" s="6">
        <f>R34</f>
        <v>952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28"/>
      <c r="B13" s="17" t="s">
        <v>32</v>
      </c>
      <c r="C13" s="10">
        <v>7</v>
      </c>
      <c r="D13" s="48">
        <f t="shared" si="1"/>
        <v>2149</v>
      </c>
      <c r="F13" s="152" t="s">
        <v>36</v>
      </c>
      <c r="G13" s="153"/>
      <c r="H13" s="154">
        <f>D29</f>
        <v>151412</v>
      </c>
      <c r="I13" s="155"/>
      <c r="J13" s="156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28"/>
      <c r="B14" s="14" t="s">
        <v>35</v>
      </c>
      <c r="C14" s="10"/>
      <c r="D14" s="31">
        <f t="shared" si="1"/>
        <v>0</v>
      </c>
      <c r="F14" s="157" t="s">
        <v>39</v>
      </c>
      <c r="G14" s="158"/>
      <c r="H14" s="159">
        <f>D54</f>
        <v>23467.5</v>
      </c>
      <c r="I14" s="160"/>
      <c r="J14" s="161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28"/>
      <c r="B15" s="14" t="s">
        <v>38</v>
      </c>
      <c r="C15" s="10"/>
      <c r="D15" s="31">
        <f t="shared" si="1"/>
        <v>0</v>
      </c>
      <c r="F15" s="162" t="s">
        <v>40</v>
      </c>
      <c r="G15" s="153"/>
      <c r="H15" s="163">
        <f>H13-H14</f>
        <v>127944.5</v>
      </c>
      <c r="I15" s="164"/>
      <c r="J15" s="165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28"/>
      <c r="B16" s="18" t="s">
        <v>94</v>
      </c>
      <c r="C16" s="10"/>
      <c r="D16" s="48">
        <f t="shared" si="1"/>
        <v>0</v>
      </c>
      <c r="F16" s="67" t="s">
        <v>42</v>
      </c>
      <c r="G16" s="66" t="s">
        <v>43</v>
      </c>
      <c r="H16" s="166">
        <f>83*8</f>
        <v>664</v>
      </c>
      <c r="I16" s="166"/>
      <c r="J16" s="166"/>
      <c r="L16" s="6">
        <f>R28</f>
        <v>1567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28"/>
      <c r="B17" t="s">
        <v>93</v>
      </c>
      <c r="C17" s="10"/>
      <c r="D17" s="48">
        <f t="shared" si="1"/>
        <v>0</v>
      </c>
      <c r="F17" s="56"/>
      <c r="G17" s="66" t="s">
        <v>45</v>
      </c>
      <c r="H17" s="139"/>
      <c r="I17" s="139"/>
      <c r="J17" s="139"/>
      <c r="L17" s="6">
        <f>R21</f>
        <v>1567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28"/>
      <c r="B18" s="19" t="s">
        <v>95</v>
      </c>
      <c r="C18" s="10"/>
      <c r="D18" s="48">
        <f t="shared" si="1"/>
        <v>0</v>
      </c>
      <c r="F18" s="56"/>
      <c r="G18" s="66" t="s">
        <v>47</v>
      </c>
      <c r="H18" s="139"/>
      <c r="I18" s="139"/>
      <c r="J18" s="139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28"/>
      <c r="B19" s="14" t="s">
        <v>96</v>
      </c>
      <c r="C19" s="10"/>
      <c r="D19" s="48">
        <f t="shared" si="1"/>
        <v>0</v>
      </c>
      <c r="F19" s="56"/>
      <c r="G19" s="68" t="s">
        <v>50</v>
      </c>
      <c r="H19" s="246"/>
      <c r="I19" s="246"/>
      <c r="J19" s="246"/>
      <c r="L19" s="6">
        <f>R35</f>
        <v>1102</v>
      </c>
      <c r="Q19" s="4"/>
      <c r="R19" s="5">
        <f t="shared" si="0"/>
        <v>0</v>
      </c>
    </row>
    <row r="20" spans="1:18" ht="15.75" x14ac:dyDescent="0.25">
      <c r="A20" s="128"/>
      <c r="B20" s="46" t="s">
        <v>122</v>
      </c>
      <c r="C20" s="10"/>
      <c r="D20" s="13">
        <f t="shared" si="1"/>
        <v>0</v>
      </c>
      <c r="F20" s="57"/>
      <c r="G20" s="70" t="s">
        <v>120</v>
      </c>
      <c r="H20" s="139"/>
      <c r="I20" s="139"/>
      <c r="J20" s="139"/>
      <c r="L20" s="6">
        <f>R39</f>
        <v>1175</v>
      </c>
      <c r="N20" s="1" t="s">
        <v>41</v>
      </c>
      <c r="Q20" s="4"/>
      <c r="R20" s="5">
        <f t="shared" si="0"/>
        <v>0</v>
      </c>
    </row>
    <row r="21" spans="1:18" ht="15.75" x14ac:dyDescent="0.25">
      <c r="A21" s="128"/>
      <c r="B21" s="14" t="s">
        <v>126</v>
      </c>
      <c r="C21" s="10"/>
      <c r="D21" s="48">
        <f t="shared" si="1"/>
        <v>0</v>
      </c>
      <c r="F21" s="69" t="s">
        <v>99</v>
      </c>
      <c r="G21" s="82" t="s">
        <v>98</v>
      </c>
      <c r="H21" s="186" t="s">
        <v>13</v>
      </c>
      <c r="I21" s="187"/>
      <c r="J21" s="188"/>
      <c r="L21" s="7">
        <v>650</v>
      </c>
      <c r="O21" t="s">
        <v>44</v>
      </c>
      <c r="P21" s="4">
        <v>1447</v>
      </c>
      <c r="Q21" s="4">
        <v>120</v>
      </c>
      <c r="R21" s="5">
        <f t="shared" si="0"/>
        <v>1567</v>
      </c>
    </row>
    <row r="22" spans="1:18" ht="15.75" x14ac:dyDescent="0.25">
      <c r="A22" s="128"/>
      <c r="B22" s="46" t="s">
        <v>104</v>
      </c>
      <c r="C22" s="10"/>
      <c r="D22" s="48">
        <f t="shared" si="1"/>
        <v>0</v>
      </c>
      <c r="F22" s="72"/>
      <c r="G22" s="73"/>
      <c r="H22" s="189"/>
      <c r="I22" s="189"/>
      <c r="J22" s="189"/>
      <c r="L22" s="7">
        <f>559+111</f>
        <v>670</v>
      </c>
      <c r="O22" t="s">
        <v>46</v>
      </c>
      <c r="P22" s="4">
        <v>1582</v>
      </c>
      <c r="Q22" s="4"/>
      <c r="R22" s="5">
        <f t="shared" si="0"/>
        <v>1582</v>
      </c>
    </row>
    <row r="23" spans="1:18" ht="15.75" x14ac:dyDescent="0.25">
      <c r="A23" s="128"/>
      <c r="B23" s="14" t="s">
        <v>107</v>
      </c>
      <c r="C23" s="10"/>
      <c r="D23" s="48">
        <f t="shared" si="1"/>
        <v>0</v>
      </c>
      <c r="F23" s="25"/>
      <c r="G23" s="37"/>
      <c r="H23" s="190"/>
      <c r="I23" s="191"/>
      <c r="J23" s="191"/>
      <c r="L23" s="47">
        <f>R33</f>
        <v>1175</v>
      </c>
      <c r="N23" s="1"/>
      <c r="O23" t="s">
        <v>48</v>
      </c>
      <c r="P23" s="4">
        <v>1728</v>
      </c>
      <c r="Q23" s="4"/>
      <c r="R23" s="5">
        <f t="shared" si="0"/>
        <v>1728</v>
      </c>
    </row>
    <row r="24" spans="1:18" ht="15.75" x14ac:dyDescent="0.25">
      <c r="A24" s="128"/>
      <c r="B24" s="14" t="s">
        <v>123</v>
      </c>
      <c r="C24" s="10"/>
      <c r="D24" s="48">
        <f t="shared" si="1"/>
        <v>0</v>
      </c>
      <c r="F24" s="38"/>
      <c r="G24" s="37"/>
      <c r="H24" s="190"/>
      <c r="I24" s="191"/>
      <c r="J24" s="191"/>
      <c r="L24" s="47">
        <f>596/6</f>
        <v>99.333333333333329</v>
      </c>
      <c r="N24" s="1"/>
      <c r="O24" t="s">
        <v>49</v>
      </c>
      <c r="P24" s="4">
        <v>1728</v>
      </c>
      <c r="Q24" s="4"/>
      <c r="R24" s="5">
        <f t="shared" si="0"/>
        <v>1728</v>
      </c>
    </row>
    <row r="25" spans="1:18" ht="15.75" x14ac:dyDescent="0.25">
      <c r="A25" s="128"/>
      <c r="B25" s="14" t="s">
        <v>124</v>
      </c>
      <c r="C25" s="10"/>
      <c r="D25" s="48">
        <f t="shared" si="1"/>
        <v>0</v>
      </c>
      <c r="F25" s="60" t="s">
        <v>100</v>
      </c>
      <c r="G25" s="55" t="s">
        <v>98</v>
      </c>
      <c r="H25" s="192" t="s">
        <v>13</v>
      </c>
      <c r="I25" s="193"/>
      <c r="J25" s="194"/>
      <c r="L25" s="47">
        <f>674/6</f>
        <v>112.33333333333333</v>
      </c>
      <c r="O25" t="s">
        <v>51</v>
      </c>
      <c r="P25" s="4">
        <v>1582</v>
      </c>
      <c r="Q25" s="4"/>
      <c r="R25" s="5">
        <f t="shared" si="0"/>
        <v>1582</v>
      </c>
    </row>
    <row r="26" spans="1:18" ht="15.75" x14ac:dyDescent="0.25">
      <c r="A26" s="128"/>
      <c r="B26" s="14" t="s">
        <v>105</v>
      </c>
      <c r="C26" s="10"/>
      <c r="D26" s="48">
        <f t="shared" si="1"/>
        <v>0</v>
      </c>
      <c r="F26" s="64"/>
      <c r="G26" s="10"/>
      <c r="H26" s="195"/>
      <c r="I26" s="196"/>
      <c r="J26" s="197"/>
      <c r="L26" s="7">
        <f>832/24+1.5</f>
        <v>36.166666666666664</v>
      </c>
      <c r="O26" t="s">
        <v>52</v>
      </c>
      <c r="P26" s="4">
        <v>1447</v>
      </c>
      <c r="Q26" s="4">
        <v>120</v>
      </c>
      <c r="R26" s="5">
        <f t="shared" si="0"/>
        <v>1567</v>
      </c>
    </row>
    <row r="27" spans="1:18" ht="14.45" customHeight="1" x14ac:dyDescent="0.25">
      <c r="A27" s="128"/>
      <c r="B27" s="14" t="s">
        <v>109</v>
      </c>
      <c r="C27" s="10"/>
      <c r="D27" s="44">
        <f t="shared" si="1"/>
        <v>0</v>
      </c>
      <c r="F27" s="14"/>
      <c r="G27" s="14"/>
      <c r="H27" s="198"/>
      <c r="I27" s="199"/>
      <c r="J27" s="200"/>
      <c r="L27" s="7">
        <v>1582</v>
      </c>
      <c r="O27" t="s">
        <v>53</v>
      </c>
      <c r="P27" s="4">
        <v>1582</v>
      </c>
      <c r="Q27" s="4"/>
      <c r="R27" s="5">
        <f t="shared" si="0"/>
        <v>1582</v>
      </c>
    </row>
    <row r="28" spans="1:18" ht="15.75" x14ac:dyDescent="0.25">
      <c r="A28" s="129"/>
      <c r="B28" s="46" t="s">
        <v>97</v>
      </c>
      <c r="C28" s="10"/>
      <c r="D28" s="48">
        <f t="shared" si="1"/>
        <v>0</v>
      </c>
      <c r="F28" s="101"/>
      <c r="G28" s="61"/>
      <c r="H28" s="201"/>
      <c r="I28" s="202"/>
      <c r="J28" s="203"/>
      <c r="L28" s="7">
        <v>785</v>
      </c>
      <c r="O28" t="s">
        <v>54</v>
      </c>
      <c r="P28" s="4">
        <v>1447</v>
      </c>
      <c r="Q28" s="4">
        <v>120</v>
      </c>
      <c r="R28" s="5">
        <f t="shared" si="0"/>
        <v>1567</v>
      </c>
    </row>
    <row r="29" spans="1:18" x14ac:dyDescent="0.25">
      <c r="A29" s="167" t="s">
        <v>36</v>
      </c>
      <c r="B29" s="168"/>
      <c r="C29" s="169"/>
      <c r="D29" s="173">
        <f>SUM(D6:D28)</f>
        <v>151412</v>
      </c>
      <c r="F29" s="175" t="s">
        <v>55</v>
      </c>
      <c r="G29" s="176"/>
      <c r="H29" s="179">
        <f>H15-H16-H17-H18-H19-H20-H22-H23-H24+H26+H27</f>
        <v>127280.5</v>
      </c>
      <c r="I29" s="180"/>
      <c r="J29" s="181"/>
      <c r="O29" t="s">
        <v>56</v>
      </c>
      <c r="P29" s="4">
        <v>1582</v>
      </c>
      <c r="Q29" s="4"/>
      <c r="R29" s="5">
        <f t="shared" si="0"/>
        <v>1582</v>
      </c>
    </row>
    <row r="30" spans="1:18" x14ac:dyDescent="0.25">
      <c r="A30" s="170"/>
      <c r="B30" s="171"/>
      <c r="C30" s="172"/>
      <c r="D30" s="174"/>
      <c r="F30" s="177"/>
      <c r="G30" s="178"/>
      <c r="H30" s="182"/>
      <c r="I30" s="183"/>
      <c r="J30" s="184"/>
      <c r="N30" s="1"/>
      <c r="Q30" s="4"/>
      <c r="R30" s="5">
        <f t="shared" si="0"/>
        <v>0</v>
      </c>
    </row>
    <row r="31" spans="1:18" x14ac:dyDescent="0.25">
      <c r="A31" s="24"/>
      <c r="B31" s="24"/>
      <c r="C31" s="24"/>
      <c r="D31" s="24"/>
      <c r="F31" s="24"/>
      <c r="G31" s="24"/>
      <c r="O31" t="s">
        <v>57</v>
      </c>
      <c r="P31" s="4">
        <v>1052</v>
      </c>
      <c r="Q31" s="4">
        <v>120</v>
      </c>
      <c r="R31" s="5">
        <f t="shared" si="0"/>
        <v>1172</v>
      </c>
    </row>
    <row r="32" spans="1:18" x14ac:dyDescent="0.25">
      <c r="A32" s="114" t="s">
        <v>58</v>
      </c>
      <c r="B32" s="115"/>
      <c r="C32" s="115"/>
      <c r="D32" s="116"/>
      <c r="F32" s="204" t="s">
        <v>59</v>
      </c>
      <c r="G32" s="205"/>
      <c r="H32" s="205"/>
      <c r="I32" s="205"/>
      <c r="J32" s="206"/>
      <c r="O32" t="s">
        <v>60</v>
      </c>
      <c r="P32" s="4">
        <v>1005</v>
      </c>
      <c r="Q32" s="4">
        <v>120</v>
      </c>
      <c r="R32" s="5">
        <f t="shared" si="0"/>
        <v>1125</v>
      </c>
    </row>
    <row r="33" spans="1:18" x14ac:dyDescent="0.25">
      <c r="A33" s="25"/>
      <c r="B33" s="25" t="s">
        <v>11</v>
      </c>
      <c r="C33" s="25" t="s">
        <v>61</v>
      </c>
      <c r="D33" s="25" t="s">
        <v>13</v>
      </c>
      <c r="F33" s="25" t="s">
        <v>62</v>
      </c>
      <c r="G33" s="102" t="s">
        <v>63</v>
      </c>
      <c r="H33" s="204" t="s">
        <v>13</v>
      </c>
      <c r="I33" s="205"/>
      <c r="J33" s="206"/>
      <c r="O33" t="s">
        <v>64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27" t="s">
        <v>65</v>
      </c>
      <c r="B34" s="26" t="s">
        <v>66</v>
      </c>
      <c r="C34" s="51"/>
      <c r="D34" s="30">
        <f>C34*120</f>
        <v>0</v>
      </c>
      <c r="F34" s="12">
        <v>1000</v>
      </c>
      <c r="G34" s="74">
        <v>76</v>
      </c>
      <c r="H34" s="207">
        <f>F34*G34</f>
        <v>76000</v>
      </c>
      <c r="I34" s="208"/>
      <c r="J34" s="209"/>
      <c r="O34" t="s">
        <v>67</v>
      </c>
      <c r="P34" s="4">
        <v>832</v>
      </c>
      <c r="Q34" s="4">
        <v>120</v>
      </c>
      <c r="R34" s="5">
        <f t="shared" si="0"/>
        <v>952</v>
      </c>
    </row>
    <row r="35" spans="1:18" ht="15.75" x14ac:dyDescent="0.25">
      <c r="A35" s="128"/>
      <c r="B35" s="27" t="s">
        <v>68</v>
      </c>
      <c r="C35" s="52"/>
      <c r="D35" s="30">
        <f>C35*84</f>
        <v>0</v>
      </c>
      <c r="F35" s="58">
        <v>500</v>
      </c>
      <c r="G35" s="41">
        <v>77</v>
      </c>
      <c r="H35" s="207">
        <f t="shared" ref="H35:H39" si="2">F35*G35</f>
        <v>38500</v>
      </c>
      <c r="I35" s="208"/>
      <c r="J35" s="209"/>
      <c r="O35" t="s">
        <v>69</v>
      </c>
      <c r="P35" s="4">
        <v>1102</v>
      </c>
      <c r="Q35" s="4"/>
      <c r="R35" s="5">
        <f t="shared" si="0"/>
        <v>1102</v>
      </c>
    </row>
    <row r="36" spans="1:18" ht="15.75" x14ac:dyDescent="0.25">
      <c r="A36" s="129"/>
      <c r="B36" s="26" t="s">
        <v>70</v>
      </c>
      <c r="C36" s="10"/>
      <c r="D36" s="12">
        <f>C36*1.5</f>
        <v>0</v>
      </c>
      <c r="F36" s="12">
        <v>200</v>
      </c>
      <c r="G36" s="37">
        <v>3</v>
      </c>
      <c r="H36" s="207">
        <f>F36*G36</f>
        <v>600</v>
      </c>
      <c r="I36" s="208"/>
      <c r="J36" s="209"/>
      <c r="O36" t="s">
        <v>71</v>
      </c>
      <c r="P36" s="4">
        <v>852</v>
      </c>
      <c r="Q36" s="4">
        <v>120</v>
      </c>
      <c r="R36" s="5">
        <f t="shared" si="0"/>
        <v>972</v>
      </c>
    </row>
    <row r="37" spans="1:18" ht="15.75" x14ac:dyDescent="0.25">
      <c r="A37" s="127" t="s">
        <v>72</v>
      </c>
      <c r="B37" s="28" t="s">
        <v>66</v>
      </c>
      <c r="C37" s="53">
        <v>197</v>
      </c>
      <c r="D37" s="12">
        <f>C37*111</f>
        <v>21867</v>
      </c>
      <c r="F37" s="12">
        <v>100</v>
      </c>
      <c r="G37" s="39">
        <v>80</v>
      </c>
      <c r="H37" s="207">
        <f t="shared" si="2"/>
        <v>8000</v>
      </c>
      <c r="I37" s="208"/>
      <c r="J37" s="209"/>
      <c r="O37" t="s">
        <v>73</v>
      </c>
      <c r="P37" s="4">
        <v>1020</v>
      </c>
      <c r="Q37" s="4">
        <v>120</v>
      </c>
      <c r="R37" s="5">
        <f t="shared" si="0"/>
        <v>1140</v>
      </c>
    </row>
    <row r="38" spans="1:18" ht="15.75" x14ac:dyDescent="0.25">
      <c r="A38" s="128"/>
      <c r="B38" s="29" t="s">
        <v>68</v>
      </c>
      <c r="C38" s="54">
        <v>3</v>
      </c>
      <c r="D38" s="12">
        <f>C38*84</f>
        <v>252</v>
      </c>
      <c r="F38" s="30">
        <v>50</v>
      </c>
      <c r="G38" s="39">
        <v>82</v>
      </c>
      <c r="H38" s="207">
        <f t="shared" si="2"/>
        <v>4100</v>
      </c>
      <c r="I38" s="208"/>
      <c r="J38" s="209"/>
      <c r="O38" t="s">
        <v>74</v>
      </c>
      <c r="P38" s="4">
        <v>596</v>
      </c>
      <c r="Q38" s="4">
        <v>111</v>
      </c>
      <c r="R38" s="5">
        <f t="shared" si="0"/>
        <v>707</v>
      </c>
    </row>
    <row r="39" spans="1:18" ht="15.75" x14ac:dyDescent="0.25">
      <c r="A39" s="129"/>
      <c r="B39" s="29" t="s">
        <v>70</v>
      </c>
      <c r="C39" s="52"/>
      <c r="D39" s="31">
        <f>C39*4.5</f>
        <v>0</v>
      </c>
      <c r="F39" s="12">
        <v>20</v>
      </c>
      <c r="G39" s="37">
        <v>2</v>
      </c>
      <c r="H39" s="207">
        <f t="shared" si="2"/>
        <v>40</v>
      </c>
      <c r="I39" s="208"/>
      <c r="J39" s="209"/>
      <c r="O39" t="s">
        <v>75</v>
      </c>
      <c r="P39" s="4">
        <v>1175</v>
      </c>
      <c r="Q39" s="4"/>
      <c r="R39" s="5">
        <f t="shared" si="0"/>
        <v>1175</v>
      </c>
    </row>
    <row r="40" spans="1:18" ht="15.75" x14ac:dyDescent="0.25">
      <c r="A40" s="127" t="s">
        <v>76</v>
      </c>
      <c r="B40" s="27" t="s">
        <v>66</v>
      </c>
      <c r="C40" s="63">
        <v>7</v>
      </c>
      <c r="D40" s="12">
        <f>C40*111</f>
        <v>777</v>
      </c>
      <c r="F40" s="12">
        <v>10</v>
      </c>
      <c r="G40" s="42"/>
      <c r="H40" s="207"/>
      <c r="I40" s="208"/>
      <c r="J40" s="209"/>
      <c r="O40" t="s">
        <v>77</v>
      </c>
      <c r="P40" s="4">
        <v>913</v>
      </c>
      <c r="Q40" s="4">
        <v>120</v>
      </c>
      <c r="R40" s="5">
        <f t="shared" si="0"/>
        <v>1033</v>
      </c>
    </row>
    <row r="41" spans="1:18" ht="15.75" x14ac:dyDescent="0.25">
      <c r="A41" s="128"/>
      <c r="B41" s="27" t="s">
        <v>68</v>
      </c>
      <c r="C41" s="10">
        <v>1</v>
      </c>
      <c r="D41" s="12">
        <f>C41*84</f>
        <v>84</v>
      </c>
      <c r="F41" s="12">
        <v>5</v>
      </c>
      <c r="G41" s="42"/>
      <c r="H41" s="207"/>
      <c r="I41" s="208"/>
      <c r="J41" s="209"/>
      <c r="K41" s="21"/>
      <c r="O41" t="s">
        <v>78</v>
      </c>
      <c r="P41" s="4">
        <v>614</v>
      </c>
      <c r="Q41" s="4">
        <v>111</v>
      </c>
      <c r="R41" s="5">
        <f t="shared" si="0"/>
        <v>725</v>
      </c>
    </row>
    <row r="42" spans="1:18" ht="15.75" x14ac:dyDescent="0.25">
      <c r="A42" s="129"/>
      <c r="B42" s="27" t="s">
        <v>70</v>
      </c>
      <c r="C42" s="11"/>
      <c r="D42" s="12">
        <f>C42*2.25</f>
        <v>0</v>
      </c>
      <c r="F42" s="39" t="s">
        <v>79</v>
      </c>
      <c r="G42" s="207">
        <v>60</v>
      </c>
      <c r="H42" s="208"/>
      <c r="I42" s="208"/>
      <c r="J42" s="209"/>
      <c r="K42" s="36"/>
      <c r="O42" t="s">
        <v>80</v>
      </c>
      <c r="P42" s="4">
        <v>626</v>
      </c>
      <c r="Q42" s="4">
        <v>111</v>
      </c>
      <c r="R42" s="5">
        <f t="shared" si="0"/>
        <v>737</v>
      </c>
    </row>
    <row r="43" spans="1:18" ht="15.75" x14ac:dyDescent="0.25">
      <c r="A43" s="210" t="s">
        <v>81</v>
      </c>
      <c r="C43" s="11"/>
      <c r="D43" s="12"/>
      <c r="F43" s="59" t="s">
        <v>82</v>
      </c>
      <c r="G43" s="104" t="s">
        <v>83</v>
      </c>
      <c r="H43" s="213" t="s">
        <v>13</v>
      </c>
      <c r="I43" s="214"/>
      <c r="J43" s="215"/>
      <c r="K43" s="21"/>
      <c r="P43" s="4"/>
      <c r="Q43" s="4"/>
      <c r="R43" s="5"/>
    </row>
    <row r="44" spans="1:18" ht="15.75" x14ac:dyDescent="0.25">
      <c r="A44" s="211"/>
      <c r="B44" s="27" t="s">
        <v>66</v>
      </c>
      <c r="C44" s="10"/>
      <c r="D44" s="12">
        <f>C44*120</f>
        <v>0</v>
      </c>
      <c r="F44" s="37"/>
      <c r="G44" s="62"/>
      <c r="H44" s="191"/>
      <c r="I44" s="191"/>
      <c r="J44" s="191"/>
      <c r="K44" s="21"/>
      <c r="P44" s="4"/>
      <c r="Q44" s="4"/>
      <c r="R44" s="5"/>
    </row>
    <row r="45" spans="1:18" ht="15.75" x14ac:dyDescent="0.25">
      <c r="A45" s="211"/>
      <c r="B45" s="27" t="s">
        <v>68</v>
      </c>
      <c r="C45" s="33"/>
      <c r="D45" s="12">
        <f>C45*84</f>
        <v>0</v>
      </c>
      <c r="F45" s="37"/>
      <c r="G45" s="62"/>
      <c r="H45" s="191"/>
      <c r="I45" s="191"/>
      <c r="J45" s="191"/>
      <c r="K45" s="21"/>
      <c r="P45" s="4"/>
      <c r="Q45" s="4"/>
      <c r="R45" s="5"/>
    </row>
    <row r="46" spans="1:18" ht="15.75" x14ac:dyDescent="0.25">
      <c r="A46" s="211"/>
      <c r="B46" s="49" t="s">
        <v>70</v>
      </c>
      <c r="C46" s="81">
        <v>11</v>
      </c>
      <c r="D46" s="12">
        <f>C46*1.5</f>
        <v>16.5</v>
      </c>
      <c r="F46" s="37"/>
      <c r="G46" s="103"/>
      <c r="H46" s="216"/>
      <c r="I46" s="216"/>
      <c r="J46" s="216"/>
      <c r="K46" s="21"/>
      <c r="P46" s="4"/>
      <c r="Q46" s="4"/>
      <c r="R46" s="5"/>
    </row>
    <row r="47" spans="1:18" ht="15.75" x14ac:dyDescent="0.25">
      <c r="A47" s="212"/>
      <c r="B47" s="27"/>
      <c r="C47" s="11"/>
      <c r="D47" s="12"/>
      <c r="F47" s="59"/>
      <c r="G47" s="59"/>
      <c r="H47" s="217"/>
      <c r="I47" s="218"/>
      <c r="J47" s="219"/>
      <c r="K47" s="21"/>
      <c r="P47" s="4"/>
      <c r="Q47" s="4"/>
      <c r="R47" s="5"/>
    </row>
    <row r="48" spans="1:18" ht="15" customHeight="1" x14ac:dyDescent="0.25">
      <c r="A48" s="210" t="s">
        <v>32</v>
      </c>
      <c r="B48" s="27" t="s">
        <v>66</v>
      </c>
      <c r="C48" s="10">
        <v>4</v>
      </c>
      <c r="D48" s="12">
        <f>C48*78</f>
        <v>312</v>
      </c>
      <c r="F48" s="59"/>
      <c r="G48" s="59"/>
      <c r="H48" s="217"/>
      <c r="I48" s="218"/>
      <c r="J48" s="219"/>
      <c r="K48" s="35"/>
      <c r="O48" t="s">
        <v>84</v>
      </c>
      <c r="P48" s="4">
        <v>1175</v>
      </c>
      <c r="Q48" s="4"/>
      <c r="R48" s="5">
        <f t="shared" si="0"/>
        <v>1175</v>
      </c>
    </row>
    <row r="49" spans="1:18" ht="15.75" x14ac:dyDescent="0.25">
      <c r="A49" s="211"/>
      <c r="B49" s="29" t="s">
        <v>68</v>
      </c>
      <c r="C49" s="33">
        <v>3</v>
      </c>
      <c r="D49" s="12">
        <f>C49*42</f>
        <v>126</v>
      </c>
      <c r="F49" s="232" t="s">
        <v>86</v>
      </c>
      <c r="G49" s="179">
        <f>H34+H35+H36+H37+H38+H39+H40+H41+G42+H44+H45+H46</f>
        <v>127300</v>
      </c>
      <c r="H49" s="180"/>
      <c r="I49" s="180"/>
      <c r="J49" s="181"/>
      <c r="O49" t="s">
        <v>85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211"/>
      <c r="B50" s="32" t="s">
        <v>70</v>
      </c>
      <c r="C50" s="11">
        <v>22</v>
      </c>
      <c r="D50" s="12">
        <f>C50*1.5</f>
        <v>33</v>
      </c>
      <c r="F50" s="233"/>
      <c r="G50" s="182"/>
      <c r="H50" s="183"/>
      <c r="I50" s="183"/>
      <c r="J50" s="184"/>
      <c r="P50" s="4"/>
      <c r="Q50" s="4"/>
      <c r="R50" s="5"/>
    </row>
    <row r="51" spans="1:18" ht="15" customHeight="1" x14ac:dyDescent="0.25">
      <c r="A51" s="211"/>
      <c r="B51" s="27"/>
      <c r="C51" s="10"/>
      <c r="D51" s="31"/>
      <c r="F51" s="234" t="s">
        <v>156</v>
      </c>
      <c r="G51" s="236">
        <f>G49-H29</f>
        <v>19.5</v>
      </c>
      <c r="H51" s="237"/>
      <c r="I51" s="237"/>
      <c r="J51" s="238"/>
      <c r="K51" s="21"/>
      <c r="O51" t="s">
        <v>87</v>
      </c>
      <c r="P51" s="4">
        <v>703</v>
      </c>
      <c r="Q51" s="4">
        <v>120</v>
      </c>
      <c r="R51" s="5">
        <f t="shared" si="0"/>
        <v>823</v>
      </c>
    </row>
    <row r="52" spans="1:18" ht="15.75" x14ac:dyDescent="0.25">
      <c r="A52" s="211"/>
      <c r="B52" s="29"/>
      <c r="C52" s="33"/>
      <c r="D52" s="45"/>
      <c r="F52" s="235"/>
      <c r="G52" s="239"/>
      <c r="H52" s="240"/>
      <c r="I52" s="240"/>
      <c r="J52" s="241"/>
      <c r="K52" s="21"/>
      <c r="O52" t="s">
        <v>88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212"/>
      <c r="B53" s="32"/>
      <c r="C53" s="11"/>
      <c r="D53" s="12"/>
      <c r="F53" s="35"/>
      <c r="G53" s="24"/>
      <c r="H53" s="24"/>
      <c r="I53" s="24"/>
      <c r="J53" s="17"/>
      <c r="N53" s="1"/>
      <c r="O53" t="s">
        <v>89</v>
      </c>
      <c r="P53" s="4">
        <v>1142</v>
      </c>
    </row>
    <row r="54" spans="1:18" x14ac:dyDescent="0.25">
      <c r="A54" s="175" t="s">
        <v>90</v>
      </c>
      <c r="B54" s="220"/>
      <c r="C54" s="221"/>
      <c r="D54" s="224">
        <f>SUM(D34:D53)</f>
        <v>23467.5</v>
      </c>
      <c r="F54" s="21"/>
      <c r="J54" s="34"/>
    </row>
    <row r="55" spans="1:18" x14ac:dyDescent="0.25">
      <c r="A55" s="177"/>
      <c r="B55" s="222"/>
      <c r="C55" s="223"/>
      <c r="D55" s="225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151</v>
      </c>
      <c r="D57" s="34"/>
      <c r="F57" s="36"/>
      <c r="G57" s="50"/>
      <c r="H57" s="50"/>
      <c r="I57" s="50"/>
      <c r="J57" s="43"/>
    </row>
    <row r="58" spans="1:18" x14ac:dyDescent="0.25">
      <c r="A58" s="226" t="s">
        <v>91</v>
      </c>
      <c r="B58" s="227"/>
      <c r="C58" s="227"/>
      <c r="D58" s="228"/>
      <c r="F58" s="226" t="s">
        <v>92</v>
      </c>
      <c r="G58" s="227"/>
      <c r="H58" s="227"/>
      <c r="I58" s="227"/>
      <c r="J58" s="228"/>
    </row>
    <row r="59" spans="1:18" x14ac:dyDescent="0.25">
      <c r="A59" s="229"/>
      <c r="B59" s="230"/>
      <c r="C59" s="230"/>
      <c r="D59" s="231"/>
      <c r="F59" s="229"/>
      <c r="G59" s="230"/>
      <c r="H59" s="230"/>
      <c r="I59" s="230"/>
      <c r="J59" s="231"/>
    </row>
  </sheetData>
  <mergeCells count="68"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  <mergeCell ref="H13:J13"/>
    <mergeCell ref="F14:G14"/>
    <mergeCell ref="H14:J14"/>
    <mergeCell ref="F15:G15"/>
    <mergeCell ref="H15:J15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A32:D32"/>
    <mergeCell ref="F32:J32"/>
    <mergeCell ref="H33:J33"/>
    <mergeCell ref="A34:A36"/>
    <mergeCell ref="H34:J34"/>
    <mergeCell ref="H35:J35"/>
    <mergeCell ref="H36:J36"/>
    <mergeCell ref="A37:A39"/>
    <mergeCell ref="H37:J37"/>
    <mergeCell ref="H38:J38"/>
    <mergeCell ref="H39:J39"/>
    <mergeCell ref="A40:A42"/>
    <mergeCell ref="H40:J40"/>
    <mergeCell ref="H41:J41"/>
    <mergeCell ref="G42:J42"/>
    <mergeCell ref="A43:A47"/>
    <mergeCell ref="H43:J43"/>
    <mergeCell ref="H44:J44"/>
    <mergeCell ref="H45:J45"/>
    <mergeCell ref="H46:J46"/>
    <mergeCell ref="H47:J47"/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4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254C29D-8304-4761-BAA7-A7AB3704FA29}">
  <dimension ref="A1:R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113" t="s">
        <v>1</v>
      </c>
      <c r="O1" s="113"/>
      <c r="P1" s="100" t="s">
        <v>2</v>
      </c>
      <c r="Q1" s="100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14" t="s">
        <v>7</v>
      </c>
      <c r="B4" s="115"/>
      <c r="C4" s="115"/>
      <c r="D4" s="116"/>
      <c r="F4" s="117" t="s">
        <v>8</v>
      </c>
      <c r="G4" s="119">
        <v>3</v>
      </c>
      <c r="H4" s="121" t="s">
        <v>9</v>
      </c>
      <c r="I4" s="123">
        <v>45975</v>
      </c>
      <c r="J4" s="124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27" t="s">
        <v>7</v>
      </c>
      <c r="B5" s="15" t="s">
        <v>11</v>
      </c>
      <c r="C5" s="9" t="s">
        <v>12</v>
      </c>
      <c r="D5" s="25" t="s">
        <v>13</v>
      </c>
      <c r="F5" s="118"/>
      <c r="G5" s="120"/>
      <c r="H5" s="122"/>
      <c r="I5" s="125"/>
      <c r="J5" s="126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28"/>
      <c r="B6" s="16" t="s">
        <v>15</v>
      </c>
      <c r="C6" s="10">
        <v>399</v>
      </c>
      <c r="D6" s="13">
        <f t="shared" ref="D6:D28" si="1">C6*L6</f>
        <v>294063</v>
      </c>
      <c r="F6" s="130" t="s">
        <v>16</v>
      </c>
      <c r="G6" s="132" t="s">
        <v>111</v>
      </c>
      <c r="H6" s="133"/>
      <c r="I6" s="133"/>
      <c r="J6" s="134"/>
      <c r="K6" s="8"/>
      <c r="L6" s="6">
        <f>R42</f>
        <v>737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28"/>
      <c r="B7" s="16" t="s">
        <v>18</v>
      </c>
      <c r="C7" s="10">
        <v>15</v>
      </c>
      <c r="D7" s="13">
        <f t="shared" si="1"/>
        <v>10875</v>
      </c>
      <c r="F7" s="131"/>
      <c r="G7" s="135"/>
      <c r="H7" s="136"/>
      <c r="I7" s="136"/>
      <c r="J7" s="137"/>
      <c r="K7" s="8"/>
      <c r="L7" s="6">
        <f>R41</f>
        <v>725</v>
      </c>
      <c r="P7" s="4"/>
      <c r="Q7" s="4"/>
      <c r="R7" s="5"/>
    </row>
    <row r="8" spans="1:18" ht="14.45" customHeight="1" x14ac:dyDescent="0.25">
      <c r="A8" s="128"/>
      <c r="B8" s="16" t="s">
        <v>20</v>
      </c>
      <c r="C8" s="10"/>
      <c r="D8" s="13">
        <f t="shared" si="1"/>
        <v>0</v>
      </c>
      <c r="F8" s="138" t="s">
        <v>21</v>
      </c>
      <c r="G8" s="140" t="s">
        <v>119</v>
      </c>
      <c r="H8" s="141"/>
      <c r="I8" s="141"/>
      <c r="J8" s="142"/>
      <c r="K8" s="8"/>
      <c r="L8" s="6">
        <f>R40</f>
        <v>1033</v>
      </c>
      <c r="P8" s="4"/>
      <c r="Q8" s="4"/>
      <c r="R8" s="5"/>
    </row>
    <row r="9" spans="1:18" ht="14.45" customHeight="1" x14ac:dyDescent="0.25">
      <c r="A9" s="128"/>
      <c r="B9" s="16" t="s">
        <v>23</v>
      </c>
      <c r="C9" s="10">
        <v>82</v>
      </c>
      <c r="D9" s="13">
        <f t="shared" si="1"/>
        <v>57974</v>
      </c>
      <c r="F9" s="131"/>
      <c r="G9" s="143"/>
      <c r="H9" s="144"/>
      <c r="I9" s="144"/>
      <c r="J9" s="145"/>
      <c r="K9" s="8"/>
      <c r="L9" s="6">
        <f>R38</f>
        <v>707</v>
      </c>
      <c r="P9" s="4"/>
      <c r="Q9" s="4"/>
      <c r="R9" s="5"/>
    </row>
    <row r="10" spans="1:18" ht="14.45" customHeight="1" x14ac:dyDescent="0.25">
      <c r="A10" s="128"/>
      <c r="B10" t="s">
        <v>25</v>
      </c>
      <c r="C10" s="10">
        <v>2</v>
      </c>
      <c r="D10" s="13">
        <f t="shared" si="1"/>
        <v>1944</v>
      </c>
      <c r="F10" s="130" t="s">
        <v>26</v>
      </c>
      <c r="G10" s="146" t="s">
        <v>137</v>
      </c>
      <c r="H10" s="147"/>
      <c r="I10" s="147"/>
      <c r="J10" s="148"/>
      <c r="K10" s="8"/>
      <c r="L10" s="6">
        <f>R36</f>
        <v>972</v>
      </c>
      <c r="P10" s="4"/>
      <c r="Q10" s="4"/>
      <c r="R10" s="5"/>
    </row>
    <row r="11" spans="1:18" ht="15.75" x14ac:dyDescent="0.25">
      <c r="A11" s="128"/>
      <c r="B11" s="17" t="s">
        <v>28</v>
      </c>
      <c r="C11" s="10"/>
      <c r="D11" s="13">
        <f t="shared" si="1"/>
        <v>0</v>
      </c>
      <c r="F11" s="131"/>
      <c r="G11" s="143"/>
      <c r="H11" s="144"/>
      <c r="I11" s="144"/>
      <c r="J11" s="145"/>
      <c r="K11" s="22"/>
      <c r="L11" s="6">
        <f>R32</f>
        <v>1125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28"/>
      <c r="B12" s="17" t="s">
        <v>30</v>
      </c>
      <c r="C12" s="10"/>
      <c r="D12" s="48">
        <f t="shared" si="1"/>
        <v>0</v>
      </c>
      <c r="F12" s="149" t="s">
        <v>33</v>
      </c>
      <c r="G12" s="150"/>
      <c r="H12" s="150"/>
      <c r="I12" s="150"/>
      <c r="J12" s="151"/>
      <c r="K12" s="23"/>
      <c r="L12" s="6">
        <f>R34</f>
        <v>952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28"/>
      <c r="B13" s="17" t="s">
        <v>32</v>
      </c>
      <c r="C13" s="10">
        <v>18</v>
      </c>
      <c r="D13" s="48">
        <f t="shared" si="1"/>
        <v>5526</v>
      </c>
      <c r="F13" s="152" t="s">
        <v>36</v>
      </c>
      <c r="G13" s="153"/>
      <c r="H13" s="154">
        <f>D29</f>
        <v>371682</v>
      </c>
      <c r="I13" s="155"/>
      <c r="J13" s="156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28"/>
      <c r="B14" s="14" t="s">
        <v>35</v>
      </c>
      <c r="C14" s="10"/>
      <c r="D14" s="31">
        <f t="shared" si="1"/>
        <v>0</v>
      </c>
      <c r="F14" s="157" t="s">
        <v>39</v>
      </c>
      <c r="G14" s="158"/>
      <c r="H14" s="159">
        <f>D54</f>
        <v>41797.5</v>
      </c>
      <c r="I14" s="160"/>
      <c r="J14" s="161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28"/>
      <c r="B15" s="14" t="s">
        <v>38</v>
      </c>
      <c r="C15" s="10"/>
      <c r="D15" s="31">
        <f t="shared" si="1"/>
        <v>0</v>
      </c>
      <c r="F15" s="162" t="s">
        <v>40</v>
      </c>
      <c r="G15" s="153"/>
      <c r="H15" s="163">
        <f>H13-H14</f>
        <v>329884.5</v>
      </c>
      <c r="I15" s="164"/>
      <c r="J15" s="165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28"/>
      <c r="B16" s="18" t="s">
        <v>94</v>
      </c>
      <c r="C16" s="10"/>
      <c r="D16" s="48">
        <f t="shared" si="1"/>
        <v>0</v>
      </c>
      <c r="F16" s="67" t="s">
        <v>42</v>
      </c>
      <c r="G16" s="66" t="s">
        <v>43</v>
      </c>
      <c r="H16" s="166">
        <f>156*6+1752+414</f>
        <v>3102</v>
      </c>
      <c r="I16" s="166"/>
      <c r="J16" s="166"/>
      <c r="L16" s="6">
        <f>R28</f>
        <v>1567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28"/>
      <c r="B17" t="s">
        <v>113</v>
      </c>
      <c r="C17" s="10"/>
      <c r="D17" s="48">
        <f t="shared" si="1"/>
        <v>0</v>
      </c>
      <c r="F17" s="56"/>
      <c r="G17" s="66" t="s">
        <v>45</v>
      </c>
      <c r="H17" s="139"/>
      <c r="I17" s="139"/>
      <c r="J17" s="139"/>
      <c r="L17" s="6">
        <v>1582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28"/>
      <c r="B18" s="19" t="s">
        <v>95</v>
      </c>
      <c r="C18" s="10"/>
      <c r="D18" s="48">
        <f t="shared" si="1"/>
        <v>0</v>
      </c>
      <c r="F18" s="56"/>
      <c r="G18" s="66" t="s">
        <v>47</v>
      </c>
      <c r="H18" s="139"/>
      <c r="I18" s="139"/>
      <c r="J18" s="139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28"/>
      <c r="B19" s="14" t="s">
        <v>117</v>
      </c>
      <c r="C19" s="10"/>
      <c r="D19" s="48">
        <f t="shared" si="1"/>
        <v>0</v>
      </c>
      <c r="F19" s="56"/>
      <c r="G19" s="68" t="s">
        <v>50</v>
      </c>
      <c r="H19" s="253"/>
      <c r="I19" s="253"/>
      <c r="J19" s="253"/>
      <c r="L19" s="6">
        <f>R35</f>
        <v>1102</v>
      </c>
      <c r="Q19" s="4"/>
      <c r="R19" s="5">
        <f t="shared" si="0"/>
        <v>0</v>
      </c>
    </row>
    <row r="20" spans="1:18" ht="15.75" x14ac:dyDescent="0.25">
      <c r="A20" s="128"/>
      <c r="B20" s="46" t="s">
        <v>108</v>
      </c>
      <c r="C20" s="10"/>
      <c r="D20" s="13">
        <f t="shared" si="1"/>
        <v>0</v>
      </c>
      <c r="F20" s="57"/>
      <c r="G20" s="70" t="s">
        <v>120</v>
      </c>
      <c r="H20" s="166"/>
      <c r="I20" s="166"/>
      <c r="J20" s="166"/>
      <c r="L20" s="6">
        <f>1102</f>
        <v>1102</v>
      </c>
      <c r="N20" s="1" t="s">
        <v>41</v>
      </c>
      <c r="Q20" s="4"/>
      <c r="R20" s="5">
        <f t="shared" si="0"/>
        <v>0</v>
      </c>
    </row>
    <row r="21" spans="1:18" ht="15.75" x14ac:dyDescent="0.25">
      <c r="A21" s="128"/>
      <c r="B21" s="14" t="s">
        <v>126</v>
      </c>
      <c r="C21" s="10">
        <v>2</v>
      </c>
      <c r="D21" s="48">
        <f t="shared" si="1"/>
        <v>1300</v>
      </c>
      <c r="F21" s="69" t="s">
        <v>99</v>
      </c>
      <c r="G21" s="82" t="s">
        <v>98</v>
      </c>
      <c r="H21" s="186" t="s">
        <v>13</v>
      </c>
      <c r="I21" s="187"/>
      <c r="J21" s="188"/>
      <c r="L21" s="7">
        <v>650</v>
      </c>
      <c r="O21" t="s">
        <v>44</v>
      </c>
      <c r="P21" s="4">
        <v>1447</v>
      </c>
      <c r="Q21" s="4">
        <v>120</v>
      </c>
      <c r="R21" s="5">
        <f t="shared" si="0"/>
        <v>1567</v>
      </c>
    </row>
    <row r="22" spans="1:18" ht="15.75" x14ac:dyDescent="0.25">
      <c r="A22" s="128"/>
      <c r="B22" s="46" t="s">
        <v>104</v>
      </c>
      <c r="C22" s="10"/>
      <c r="D22" s="48">
        <f t="shared" si="1"/>
        <v>0</v>
      </c>
      <c r="F22" s="77" t="s">
        <v>177</v>
      </c>
      <c r="G22" s="73">
        <v>7126</v>
      </c>
      <c r="H22" s="189">
        <v>110586</v>
      </c>
      <c r="I22" s="189"/>
      <c r="J22" s="189"/>
      <c r="L22" s="7">
        <f>559+111</f>
        <v>670</v>
      </c>
      <c r="O22" t="s">
        <v>46</v>
      </c>
      <c r="P22" s="4">
        <v>1582</v>
      </c>
      <c r="Q22" s="4"/>
      <c r="R22" s="5">
        <f t="shared" si="0"/>
        <v>1582</v>
      </c>
    </row>
    <row r="23" spans="1:18" ht="15.75" x14ac:dyDescent="0.25">
      <c r="A23" s="128"/>
      <c r="B23" s="14" t="s">
        <v>107</v>
      </c>
      <c r="C23" s="10"/>
      <c r="D23" s="48">
        <f t="shared" si="1"/>
        <v>0</v>
      </c>
      <c r="F23" s="78"/>
      <c r="G23" s="79"/>
      <c r="H23" s="190"/>
      <c r="I23" s="191"/>
      <c r="J23" s="191"/>
      <c r="L23" s="47">
        <f>R33</f>
        <v>1175</v>
      </c>
      <c r="N23" s="1"/>
      <c r="O23" t="s">
        <v>48</v>
      </c>
      <c r="P23" s="4">
        <v>1728</v>
      </c>
      <c r="Q23" s="4"/>
      <c r="R23" s="5">
        <f t="shared" si="0"/>
        <v>1728</v>
      </c>
    </row>
    <row r="24" spans="1:18" ht="15.75" x14ac:dyDescent="0.25">
      <c r="A24" s="128"/>
      <c r="B24" s="14" t="s">
        <v>101</v>
      </c>
      <c r="C24" s="10"/>
      <c r="D24" s="48">
        <f t="shared" si="1"/>
        <v>0</v>
      </c>
      <c r="F24" s="38"/>
      <c r="G24" s="37"/>
      <c r="H24" s="190"/>
      <c r="I24" s="191"/>
      <c r="J24" s="191"/>
      <c r="L24" s="47">
        <v>1667</v>
      </c>
      <c r="N24" s="1"/>
      <c r="O24" t="s">
        <v>49</v>
      </c>
      <c r="P24" s="4">
        <v>1728</v>
      </c>
      <c r="Q24" s="4"/>
      <c r="R24" s="5">
        <f t="shared" si="0"/>
        <v>1728</v>
      </c>
    </row>
    <row r="25" spans="1:18" ht="15.75" x14ac:dyDescent="0.25">
      <c r="A25" s="128"/>
      <c r="B25" s="14" t="s">
        <v>116</v>
      </c>
      <c r="C25" s="10"/>
      <c r="D25" s="48">
        <f t="shared" si="1"/>
        <v>0</v>
      </c>
      <c r="F25" s="60" t="s">
        <v>100</v>
      </c>
      <c r="G25" s="55" t="s">
        <v>98</v>
      </c>
      <c r="H25" s="192" t="s">
        <v>13</v>
      </c>
      <c r="I25" s="193"/>
      <c r="J25" s="194"/>
      <c r="L25" s="47">
        <f>1582</f>
        <v>1582</v>
      </c>
      <c r="O25" t="s">
        <v>51</v>
      </c>
      <c r="P25" s="4">
        <v>1582</v>
      </c>
      <c r="Q25" s="4"/>
      <c r="R25" s="5">
        <f t="shared" si="0"/>
        <v>1582</v>
      </c>
    </row>
    <row r="26" spans="1:18" ht="15.75" x14ac:dyDescent="0.25">
      <c r="A26" s="128"/>
      <c r="B26" s="14" t="s">
        <v>105</v>
      </c>
      <c r="C26" s="10"/>
      <c r="D26" s="48">
        <f t="shared" si="1"/>
        <v>0</v>
      </c>
      <c r="F26" s="64"/>
      <c r="G26" s="59"/>
      <c r="H26" s="195"/>
      <c r="I26" s="196"/>
      <c r="J26" s="197"/>
      <c r="L26" s="7">
        <f>832/24+1.5</f>
        <v>36.166666666666664</v>
      </c>
      <c r="O26" t="s">
        <v>52</v>
      </c>
      <c r="P26" s="4">
        <v>1447</v>
      </c>
      <c r="Q26" s="4">
        <v>120</v>
      </c>
      <c r="R26" s="5">
        <f t="shared" si="0"/>
        <v>1567</v>
      </c>
    </row>
    <row r="27" spans="1:18" ht="14.45" customHeight="1" x14ac:dyDescent="0.25">
      <c r="A27" s="128"/>
      <c r="B27" s="14" t="s">
        <v>109</v>
      </c>
      <c r="C27" s="10"/>
      <c r="D27" s="44">
        <f t="shared" si="1"/>
        <v>0</v>
      </c>
      <c r="F27" s="25"/>
      <c r="G27" s="80"/>
      <c r="H27" s="198"/>
      <c r="I27" s="199"/>
      <c r="J27" s="200"/>
      <c r="L27" s="7">
        <v>1582</v>
      </c>
      <c r="O27" t="s">
        <v>53</v>
      </c>
      <c r="P27" s="4">
        <v>1582</v>
      </c>
      <c r="Q27" s="4"/>
      <c r="R27" s="5">
        <f t="shared" si="0"/>
        <v>1582</v>
      </c>
    </row>
    <row r="28" spans="1:18" ht="15.75" x14ac:dyDescent="0.25">
      <c r="A28" s="129"/>
      <c r="B28" s="46" t="s">
        <v>97</v>
      </c>
      <c r="C28" s="10"/>
      <c r="D28" s="48">
        <f t="shared" si="1"/>
        <v>0</v>
      </c>
      <c r="F28" s="101"/>
      <c r="G28" s="61"/>
      <c r="H28" s="201"/>
      <c r="I28" s="202"/>
      <c r="J28" s="203"/>
      <c r="L28" s="7">
        <v>785</v>
      </c>
      <c r="O28" t="s">
        <v>54</v>
      </c>
      <c r="P28" s="4">
        <v>1447</v>
      </c>
      <c r="Q28" s="4">
        <v>120</v>
      </c>
      <c r="R28" s="5">
        <f t="shared" si="0"/>
        <v>1567</v>
      </c>
    </row>
    <row r="29" spans="1:18" x14ac:dyDescent="0.25">
      <c r="A29" s="167" t="s">
        <v>36</v>
      </c>
      <c r="B29" s="168"/>
      <c r="C29" s="169"/>
      <c r="D29" s="173">
        <f>SUM(D6:D28)</f>
        <v>371682</v>
      </c>
      <c r="F29" s="175" t="s">
        <v>55</v>
      </c>
      <c r="G29" s="176"/>
      <c r="H29" s="179">
        <f>H15-H16-H17-H18-H19-H20-H22-H23-H24+H26+H27</f>
        <v>216196.5</v>
      </c>
      <c r="I29" s="180"/>
      <c r="J29" s="181"/>
      <c r="O29" t="s">
        <v>56</v>
      </c>
      <c r="P29" s="4">
        <v>1582</v>
      </c>
      <c r="Q29" s="4"/>
      <c r="R29" s="5">
        <f t="shared" si="0"/>
        <v>1582</v>
      </c>
    </row>
    <row r="30" spans="1:18" x14ac:dyDescent="0.25">
      <c r="A30" s="170"/>
      <c r="B30" s="171"/>
      <c r="C30" s="172"/>
      <c r="D30" s="174"/>
      <c r="F30" s="177"/>
      <c r="G30" s="178"/>
      <c r="H30" s="182"/>
      <c r="I30" s="183"/>
      <c r="J30" s="184"/>
      <c r="N30" s="1"/>
      <c r="Q30" s="4"/>
      <c r="R30" s="5">
        <f t="shared" si="0"/>
        <v>0</v>
      </c>
    </row>
    <row r="31" spans="1:18" x14ac:dyDescent="0.25">
      <c r="A31" s="24"/>
      <c r="B31" s="24"/>
      <c r="C31" s="24"/>
      <c r="D31" s="24"/>
      <c r="F31" s="24"/>
      <c r="G31" s="24"/>
      <c r="O31" t="s">
        <v>57</v>
      </c>
      <c r="P31" s="4">
        <v>1052</v>
      </c>
      <c r="Q31" s="4">
        <v>120</v>
      </c>
      <c r="R31" s="5">
        <f t="shared" si="0"/>
        <v>1172</v>
      </c>
    </row>
    <row r="32" spans="1:18" x14ac:dyDescent="0.25">
      <c r="A32" s="114" t="s">
        <v>58</v>
      </c>
      <c r="B32" s="115"/>
      <c r="C32" s="115"/>
      <c r="D32" s="116"/>
      <c r="F32" s="204" t="s">
        <v>59</v>
      </c>
      <c r="G32" s="205"/>
      <c r="H32" s="205"/>
      <c r="I32" s="205"/>
      <c r="J32" s="206"/>
      <c r="O32" t="s">
        <v>60</v>
      </c>
      <c r="P32" s="4">
        <v>1005</v>
      </c>
      <c r="Q32" s="4">
        <v>120</v>
      </c>
      <c r="R32" s="5">
        <f t="shared" si="0"/>
        <v>1125</v>
      </c>
    </row>
    <row r="33" spans="1:18" x14ac:dyDescent="0.25">
      <c r="A33" s="25"/>
      <c r="B33" s="25" t="s">
        <v>11</v>
      </c>
      <c r="C33" s="25" t="s">
        <v>61</v>
      </c>
      <c r="D33" s="25" t="s">
        <v>13</v>
      </c>
      <c r="F33" s="25" t="s">
        <v>62</v>
      </c>
      <c r="G33" s="102" t="s">
        <v>63</v>
      </c>
      <c r="H33" s="204" t="s">
        <v>13</v>
      </c>
      <c r="I33" s="205"/>
      <c r="J33" s="206"/>
      <c r="O33" t="s">
        <v>64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27" t="s">
        <v>65</v>
      </c>
      <c r="B34" s="26" t="s">
        <v>66</v>
      </c>
      <c r="C34" s="51">
        <v>2</v>
      </c>
      <c r="D34" s="30">
        <f>C34*120</f>
        <v>240</v>
      </c>
      <c r="F34" s="12">
        <v>1000</v>
      </c>
      <c r="G34" s="74">
        <v>33</v>
      </c>
      <c r="H34" s="207">
        <f>F34*G34</f>
        <v>33000</v>
      </c>
      <c r="I34" s="208"/>
      <c r="J34" s="209"/>
      <c r="O34" t="s">
        <v>67</v>
      </c>
      <c r="P34" s="4">
        <v>832</v>
      </c>
      <c r="Q34" s="4">
        <v>120</v>
      </c>
      <c r="R34" s="5">
        <f t="shared" si="0"/>
        <v>952</v>
      </c>
    </row>
    <row r="35" spans="1:18" ht="15.75" x14ac:dyDescent="0.25">
      <c r="A35" s="128"/>
      <c r="B35" s="27" t="s">
        <v>68</v>
      </c>
      <c r="C35" s="52"/>
      <c r="D35" s="30">
        <f>C35*84</f>
        <v>0</v>
      </c>
      <c r="F35" s="58">
        <v>500</v>
      </c>
      <c r="G35" s="41">
        <v>14</v>
      </c>
      <c r="H35" s="207">
        <f>F35*G35</f>
        <v>7000</v>
      </c>
      <c r="I35" s="208"/>
      <c r="J35" s="209"/>
      <c r="O35" t="s">
        <v>69</v>
      </c>
      <c r="P35" s="4">
        <v>1102</v>
      </c>
      <c r="Q35" s="4"/>
      <c r="R35" s="5">
        <f t="shared" si="0"/>
        <v>1102</v>
      </c>
    </row>
    <row r="36" spans="1:18" ht="15.75" x14ac:dyDescent="0.25">
      <c r="A36" s="129"/>
      <c r="B36" s="26" t="s">
        <v>70</v>
      </c>
      <c r="C36" s="10"/>
      <c r="D36" s="12">
        <f>C36*1.5</f>
        <v>0</v>
      </c>
      <c r="F36" s="12">
        <v>200</v>
      </c>
      <c r="G36" s="37">
        <v>1</v>
      </c>
      <c r="H36" s="207">
        <f t="shared" ref="H36:H39" si="2">F36*G36</f>
        <v>200</v>
      </c>
      <c r="I36" s="208"/>
      <c r="J36" s="209"/>
      <c r="O36" t="s">
        <v>71</v>
      </c>
      <c r="P36" s="4">
        <v>852</v>
      </c>
      <c r="Q36" s="4">
        <v>120</v>
      </c>
      <c r="R36" s="5">
        <f t="shared" si="0"/>
        <v>972</v>
      </c>
    </row>
    <row r="37" spans="1:18" ht="15.75" x14ac:dyDescent="0.25">
      <c r="A37" s="127" t="s">
        <v>72</v>
      </c>
      <c r="B37" s="28" t="s">
        <v>66</v>
      </c>
      <c r="C37" s="53">
        <v>351</v>
      </c>
      <c r="D37" s="12">
        <f>C37*111</f>
        <v>38961</v>
      </c>
      <c r="F37" s="12">
        <v>100</v>
      </c>
      <c r="G37" s="39">
        <v>2</v>
      </c>
      <c r="H37" s="207">
        <f t="shared" si="2"/>
        <v>200</v>
      </c>
      <c r="I37" s="208"/>
      <c r="J37" s="209"/>
      <c r="O37" t="s">
        <v>73</v>
      </c>
      <c r="P37" s="4">
        <v>1020</v>
      </c>
      <c r="Q37" s="4">
        <v>120</v>
      </c>
      <c r="R37" s="5">
        <f t="shared" si="0"/>
        <v>1140</v>
      </c>
    </row>
    <row r="38" spans="1:18" ht="15.75" x14ac:dyDescent="0.25">
      <c r="A38" s="128"/>
      <c r="B38" s="29" t="s">
        <v>68</v>
      </c>
      <c r="C38" s="54"/>
      <c r="D38" s="12">
        <f>C38*84</f>
        <v>0</v>
      </c>
      <c r="F38" s="30">
        <v>50</v>
      </c>
      <c r="G38" s="39">
        <v>1</v>
      </c>
      <c r="H38" s="207">
        <f t="shared" si="2"/>
        <v>50</v>
      </c>
      <c r="I38" s="208"/>
      <c r="J38" s="209"/>
      <c r="O38" t="s">
        <v>74</v>
      </c>
      <c r="P38" s="4">
        <v>596</v>
      </c>
      <c r="Q38" s="4">
        <v>111</v>
      </c>
      <c r="R38" s="5">
        <f t="shared" si="0"/>
        <v>707</v>
      </c>
    </row>
    <row r="39" spans="1:18" ht="15.75" x14ac:dyDescent="0.25">
      <c r="A39" s="129"/>
      <c r="B39" s="29" t="s">
        <v>70</v>
      </c>
      <c r="C39" s="52"/>
      <c r="D39" s="31">
        <f>C39*4.5</f>
        <v>0</v>
      </c>
      <c r="F39" s="12">
        <v>20</v>
      </c>
      <c r="G39" s="37">
        <v>1</v>
      </c>
      <c r="H39" s="207">
        <f t="shared" si="2"/>
        <v>20</v>
      </c>
      <c r="I39" s="208"/>
      <c r="J39" s="209"/>
      <c r="O39" t="s">
        <v>75</v>
      </c>
      <c r="P39" s="4">
        <v>1175</v>
      </c>
      <c r="Q39" s="4"/>
      <c r="R39" s="5">
        <f t="shared" si="0"/>
        <v>1175</v>
      </c>
    </row>
    <row r="40" spans="1:18" ht="15.75" x14ac:dyDescent="0.25">
      <c r="A40" s="127" t="s">
        <v>76</v>
      </c>
      <c r="B40" s="27" t="s">
        <v>66</v>
      </c>
      <c r="C40" s="63">
        <v>14</v>
      </c>
      <c r="D40" s="12">
        <f>C40*111</f>
        <v>1554</v>
      </c>
      <c r="F40" s="12">
        <v>10</v>
      </c>
      <c r="G40" s="42"/>
      <c r="H40" s="207"/>
      <c r="I40" s="208"/>
      <c r="J40" s="209"/>
      <c r="O40" t="s">
        <v>77</v>
      </c>
      <c r="P40" s="4">
        <v>913</v>
      </c>
      <c r="Q40" s="4">
        <v>120</v>
      </c>
      <c r="R40" s="5">
        <f t="shared" si="0"/>
        <v>1033</v>
      </c>
    </row>
    <row r="41" spans="1:18" ht="15.75" x14ac:dyDescent="0.25">
      <c r="A41" s="128"/>
      <c r="B41" s="27" t="s">
        <v>68</v>
      </c>
      <c r="C41" s="10">
        <v>1</v>
      </c>
      <c r="D41" s="12">
        <f>C41*84</f>
        <v>84</v>
      </c>
      <c r="F41" s="12">
        <v>5</v>
      </c>
      <c r="G41" s="42"/>
      <c r="H41" s="207"/>
      <c r="I41" s="208"/>
      <c r="J41" s="209"/>
      <c r="K41" s="21"/>
      <c r="O41" t="s">
        <v>78</v>
      </c>
      <c r="P41" s="4">
        <v>614</v>
      </c>
      <c r="Q41" s="4">
        <v>111</v>
      </c>
      <c r="R41" s="5">
        <f t="shared" si="0"/>
        <v>725</v>
      </c>
    </row>
    <row r="42" spans="1:18" ht="15.75" x14ac:dyDescent="0.25">
      <c r="A42" s="129"/>
      <c r="B42" s="27" t="s">
        <v>70</v>
      </c>
      <c r="C42" s="11">
        <v>10</v>
      </c>
      <c r="D42" s="12">
        <f>C42*2.25</f>
        <v>22.5</v>
      </c>
      <c r="F42" s="39" t="s">
        <v>79</v>
      </c>
      <c r="G42" s="207">
        <v>30</v>
      </c>
      <c r="H42" s="208"/>
      <c r="I42" s="208"/>
      <c r="J42" s="209"/>
      <c r="K42" s="36"/>
      <c r="O42" t="s">
        <v>80</v>
      </c>
      <c r="P42" s="4">
        <v>626</v>
      </c>
      <c r="Q42" s="4">
        <v>111</v>
      </c>
      <c r="R42" s="5">
        <f t="shared" si="0"/>
        <v>737</v>
      </c>
    </row>
    <row r="43" spans="1:18" ht="15.75" x14ac:dyDescent="0.25">
      <c r="A43" s="210" t="s">
        <v>81</v>
      </c>
      <c r="C43" s="11"/>
      <c r="D43" s="12"/>
      <c r="F43" s="59" t="s">
        <v>82</v>
      </c>
      <c r="G43" s="104" t="s">
        <v>83</v>
      </c>
      <c r="H43" s="213" t="s">
        <v>13</v>
      </c>
      <c r="I43" s="214"/>
      <c r="J43" s="215"/>
      <c r="K43" s="21"/>
      <c r="P43" s="4"/>
      <c r="Q43" s="4"/>
      <c r="R43" s="5"/>
    </row>
    <row r="44" spans="1:18" ht="15.75" x14ac:dyDescent="0.25">
      <c r="A44" s="211"/>
      <c r="B44" s="27" t="s">
        <v>66</v>
      </c>
      <c r="C44" s="10"/>
      <c r="D44" s="12">
        <f>C44*120</f>
        <v>0</v>
      </c>
      <c r="F44" s="37" t="s">
        <v>144</v>
      </c>
      <c r="G44" s="76" t="s">
        <v>176</v>
      </c>
      <c r="H44" s="191">
        <v>175156</v>
      </c>
      <c r="I44" s="191"/>
      <c r="J44" s="191"/>
      <c r="K44" s="21"/>
      <c r="P44" s="4"/>
      <c r="Q44" s="4"/>
      <c r="R44" s="5"/>
    </row>
    <row r="45" spans="1:18" ht="15.75" x14ac:dyDescent="0.25">
      <c r="A45" s="211"/>
      <c r="B45" s="27" t="s">
        <v>68</v>
      </c>
      <c r="C45" s="33"/>
      <c r="D45" s="12">
        <f>C45*84</f>
        <v>0</v>
      </c>
      <c r="F45" s="37"/>
      <c r="G45" s="76"/>
      <c r="H45" s="191"/>
      <c r="I45" s="191"/>
      <c r="J45" s="191"/>
      <c r="K45" s="21"/>
      <c r="P45" s="4"/>
      <c r="Q45" s="4"/>
      <c r="R45" s="5"/>
    </row>
    <row r="46" spans="1:18" ht="15.75" x14ac:dyDescent="0.25">
      <c r="A46" s="211"/>
      <c r="B46" s="49" t="s">
        <v>70</v>
      </c>
      <c r="C46" s="81"/>
      <c r="D46" s="12">
        <f>C46*1.5</f>
        <v>0</v>
      </c>
      <c r="F46" s="37"/>
      <c r="G46" s="62"/>
      <c r="H46" s="216"/>
      <c r="I46" s="216"/>
      <c r="J46" s="216"/>
      <c r="K46" s="21"/>
      <c r="P46" s="4"/>
      <c r="Q46" s="4"/>
      <c r="R46" s="5"/>
    </row>
    <row r="47" spans="1:18" ht="15.75" x14ac:dyDescent="0.25">
      <c r="A47" s="212"/>
      <c r="B47" s="27"/>
      <c r="C47" s="11"/>
      <c r="D47" s="12"/>
      <c r="F47" s="59"/>
      <c r="G47" s="59"/>
      <c r="H47" s="217"/>
      <c r="I47" s="218"/>
      <c r="J47" s="219"/>
      <c r="K47" s="21"/>
      <c r="P47" s="4"/>
      <c r="Q47" s="4"/>
      <c r="R47" s="5"/>
    </row>
    <row r="48" spans="1:18" ht="15" customHeight="1" x14ac:dyDescent="0.25">
      <c r="A48" s="210" t="s">
        <v>32</v>
      </c>
      <c r="B48" s="27" t="s">
        <v>66</v>
      </c>
      <c r="C48" s="10">
        <v>12</v>
      </c>
      <c r="D48" s="12">
        <f>C48*78</f>
        <v>936</v>
      </c>
      <c r="F48" s="59"/>
      <c r="G48" s="59"/>
      <c r="H48" s="217"/>
      <c r="I48" s="218"/>
      <c r="J48" s="219"/>
      <c r="K48" s="35"/>
      <c r="O48" t="s">
        <v>84</v>
      </c>
      <c r="P48" s="4">
        <v>1175</v>
      </c>
      <c r="Q48" s="4"/>
      <c r="R48" s="5">
        <f t="shared" si="0"/>
        <v>1175</v>
      </c>
    </row>
    <row r="49" spans="1:18" ht="15.75" x14ac:dyDescent="0.25">
      <c r="A49" s="211"/>
      <c r="B49" s="29" t="s">
        <v>68</v>
      </c>
      <c r="C49" s="33"/>
      <c r="D49" s="12">
        <f>C49*42</f>
        <v>0</v>
      </c>
      <c r="F49" s="232" t="s">
        <v>86</v>
      </c>
      <c r="G49" s="179">
        <f>H34+H35+H36+H37+H38+H39+H40+H41+G42+H44+H45+H46</f>
        <v>215656</v>
      </c>
      <c r="H49" s="180"/>
      <c r="I49" s="180"/>
      <c r="J49" s="181"/>
      <c r="O49" t="s">
        <v>85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211"/>
      <c r="B50" s="32" t="s">
        <v>70</v>
      </c>
      <c r="C50" s="11"/>
      <c r="D50" s="12">
        <f>C50*1.5</f>
        <v>0</v>
      </c>
      <c r="F50" s="233"/>
      <c r="G50" s="182"/>
      <c r="H50" s="183"/>
      <c r="I50" s="183"/>
      <c r="J50" s="184"/>
      <c r="P50" s="4"/>
      <c r="Q50" s="4"/>
      <c r="R50" s="5"/>
    </row>
    <row r="51" spans="1:18" ht="15" customHeight="1" x14ac:dyDescent="0.25">
      <c r="A51" s="211"/>
      <c r="B51" s="27"/>
      <c r="C51" s="10"/>
      <c r="D51" s="31"/>
      <c r="F51" s="234" t="s">
        <v>142</v>
      </c>
      <c r="G51" s="247">
        <f>G49-H29</f>
        <v>-540.5</v>
      </c>
      <c r="H51" s="248"/>
      <c r="I51" s="248"/>
      <c r="J51" s="249"/>
      <c r="K51" s="21"/>
      <c r="O51" t="s">
        <v>87</v>
      </c>
      <c r="P51" s="4">
        <v>703</v>
      </c>
      <c r="Q51" s="4">
        <v>120</v>
      </c>
      <c r="R51" s="5">
        <f t="shared" si="0"/>
        <v>823</v>
      </c>
    </row>
    <row r="52" spans="1:18" ht="15.75" x14ac:dyDescent="0.25">
      <c r="A52" s="211"/>
      <c r="B52" s="29"/>
      <c r="C52" s="33"/>
      <c r="D52" s="45"/>
      <c r="F52" s="235"/>
      <c r="G52" s="250"/>
      <c r="H52" s="251"/>
      <c r="I52" s="251"/>
      <c r="J52" s="252"/>
      <c r="K52" s="21"/>
      <c r="O52" t="s">
        <v>88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212"/>
      <c r="B53" s="32"/>
      <c r="C53" s="11"/>
      <c r="D53" s="12"/>
      <c r="F53" s="35"/>
      <c r="G53" s="24"/>
      <c r="H53" s="24"/>
      <c r="I53" s="24"/>
      <c r="J53" s="17"/>
      <c r="N53" s="1"/>
      <c r="O53" t="s">
        <v>89</v>
      </c>
      <c r="P53" s="4">
        <v>1142</v>
      </c>
    </row>
    <row r="54" spans="1:18" x14ac:dyDescent="0.25">
      <c r="A54" s="175" t="s">
        <v>90</v>
      </c>
      <c r="B54" s="220"/>
      <c r="C54" s="221"/>
      <c r="D54" s="224">
        <f>SUM(D34:D53)</f>
        <v>41797.5</v>
      </c>
      <c r="F54" s="21"/>
      <c r="J54" s="34"/>
    </row>
    <row r="55" spans="1:18" x14ac:dyDescent="0.25">
      <c r="A55" s="177"/>
      <c r="B55" s="222"/>
      <c r="C55" s="223"/>
      <c r="D55" s="225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118</v>
      </c>
      <c r="D57" s="34"/>
      <c r="F57" s="36"/>
      <c r="G57" s="50"/>
      <c r="H57" s="50"/>
      <c r="I57" s="50"/>
      <c r="J57" s="43"/>
    </row>
    <row r="58" spans="1:18" x14ac:dyDescent="0.25">
      <c r="A58" s="226" t="s">
        <v>91</v>
      </c>
      <c r="B58" s="227"/>
      <c r="C58" s="227"/>
      <c r="D58" s="228"/>
      <c r="F58" s="226" t="s">
        <v>92</v>
      </c>
      <c r="G58" s="227"/>
      <c r="H58" s="227"/>
      <c r="I58" s="227"/>
      <c r="J58" s="228"/>
    </row>
    <row r="59" spans="1:18" x14ac:dyDescent="0.25">
      <c r="A59" s="229"/>
      <c r="B59" s="230"/>
      <c r="C59" s="230"/>
      <c r="D59" s="231"/>
      <c r="F59" s="229"/>
      <c r="G59" s="230"/>
      <c r="H59" s="230"/>
      <c r="I59" s="230"/>
      <c r="J59" s="231"/>
    </row>
  </sheetData>
  <mergeCells count="68"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  <mergeCell ref="H13:J13"/>
    <mergeCell ref="F14:G14"/>
    <mergeCell ref="H14:J14"/>
    <mergeCell ref="F15:G15"/>
    <mergeCell ref="H15:J15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A32:D32"/>
    <mergeCell ref="F32:J32"/>
    <mergeCell ref="H33:J33"/>
    <mergeCell ref="A34:A36"/>
    <mergeCell ref="H34:J34"/>
    <mergeCell ref="H35:J35"/>
    <mergeCell ref="H36:J36"/>
    <mergeCell ref="A37:A39"/>
    <mergeCell ref="H37:J37"/>
    <mergeCell ref="H38:J38"/>
    <mergeCell ref="H39:J39"/>
    <mergeCell ref="A40:A42"/>
    <mergeCell ref="H40:J40"/>
    <mergeCell ref="H41:J41"/>
    <mergeCell ref="G42:J42"/>
    <mergeCell ref="A43:A47"/>
    <mergeCell ref="H43:J43"/>
    <mergeCell ref="H44:J44"/>
    <mergeCell ref="H45:J45"/>
    <mergeCell ref="H46:J46"/>
    <mergeCell ref="H47:J47"/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4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99EF3CA-038C-4440-AB16-0724BA34A5DE}">
  <dimension ref="A1:S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9" x14ac:dyDescent="0.25">
      <c r="A1" t="s">
        <v>0</v>
      </c>
      <c r="N1" s="113" t="s">
        <v>1</v>
      </c>
      <c r="O1" s="113"/>
      <c r="P1" s="100" t="s">
        <v>2</v>
      </c>
      <c r="Q1" s="100" t="s">
        <v>3</v>
      </c>
      <c r="R1" s="2" t="s">
        <v>4</v>
      </c>
    </row>
    <row r="2" spans="1:19" x14ac:dyDescent="0.25">
      <c r="A2" t="s">
        <v>5</v>
      </c>
      <c r="N2" s="1"/>
    </row>
    <row r="3" spans="1:19" x14ac:dyDescent="0.25">
      <c r="N3" s="1" t="s">
        <v>6</v>
      </c>
      <c r="O3" s="4"/>
    </row>
    <row r="4" spans="1:19" x14ac:dyDescent="0.25">
      <c r="A4" s="114" t="s">
        <v>7</v>
      </c>
      <c r="B4" s="115"/>
      <c r="C4" s="115"/>
      <c r="D4" s="116"/>
      <c r="F4" s="117" t="s">
        <v>8</v>
      </c>
      <c r="G4" s="119"/>
      <c r="H4" s="121" t="s">
        <v>9</v>
      </c>
      <c r="I4" s="123"/>
      <c r="J4" s="124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9" x14ac:dyDescent="0.25">
      <c r="A5" s="127" t="s">
        <v>7</v>
      </c>
      <c r="B5" s="15" t="s">
        <v>11</v>
      </c>
      <c r="C5" s="9" t="s">
        <v>12</v>
      </c>
      <c r="D5" s="25" t="s">
        <v>13</v>
      </c>
      <c r="F5" s="118"/>
      <c r="G5" s="120"/>
      <c r="H5" s="122"/>
      <c r="I5" s="125"/>
      <c r="J5" s="126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9" ht="14.45" customHeight="1" x14ac:dyDescent="0.25">
      <c r="A6" s="128"/>
      <c r="B6" s="16"/>
      <c r="C6" s="10"/>
      <c r="D6" s="13">
        <f t="shared" ref="D6:D28" si="1">C6*L6</f>
        <v>0</v>
      </c>
      <c r="F6" s="130" t="s">
        <v>16</v>
      </c>
      <c r="G6" s="132"/>
      <c r="H6" s="133"/>
      <c r="I6" s="133"/>
      <c r="J6" s="134"/>
      <c r="K6" s="8"/>
      <c r="L6" s="6">
        <f>R42</f>
        <v>737</v>
      </c>
      <c r="O6" t="s">
        <v>17</v>
      </c>
      <c r="P6" s="4">
        <v>650</v>
      </c>
      <c r="Q6" s="4"/>
      <c r="R6" s="5">
        <f t="shared" si="0"/>
        <v>650</v>
      </c>
    </row>
    <row r="7" spans="1:19" ht="14.45" customHeight="1" x14ac:dyDescent="0.25">
      <c r="A7" s="128"/>
      <c r="B7" s="16"/>
      <c r="C7" s="10"/>
      <c r="D7" s="13">
        <f t="shared" si="1"/>
        <v>0</v>
      </c>
      <c r="F7" s="131"/>
      <c r="G7" s="135"/>
      <c r="H7" s="136"/>
      <c r="I7" s="136"/>
      <c r="J7" s="137"/>
      <c r="K7" s="8"/>
      <c r="L7" s="6">
        <f>R41</f>
        <v>725</v>
      </c>
      <c r="P7" s="4"/>
      <c r="Q7" s="4"/>
      <c r="R7" s="5"/>
    </row>
    <row r="8" spans="1:19" ht="14.45" customHeight="1" x14ac:dyDescent="0.25">
      <c r="A8" s="128"/>
      <c r="B8" s="16"/>
      <c r="C8" s="10"/>
      <c r="D8" s="13">
        <f t="shared" si="1"/>
        <v>0</v>
      </c>
      <c r="F8" s="138" t="s">
        <v>21</v>
      </c>
      <c r="G8" s="140"/>
      <c r="H8" s="141"/>
      <c r="I8" s="141"/>
      <c r="J8" s="142"/>
      <c r="K8" s="8"/>
      <c r="L8" s="6">
        <f>R40</f>
        <v>1033</v>
      </c>
      <c r="P8" s="4"/>
      <c r="Q8" s="4"/>
      <c r="R8" s="5"/>
    </row>
    <row r="9" spans="1:19" ht="14.45" customHeight="1" x14ac:dyDescent="0.25">
      <c r="A9" s="128"/>
      <c r="B9" s="16"/>
      <c r="C9" s="10"/>
      <c r="D9" s="13">
        <f t="shared" si="1"/>
        <v>0</v>
      </c>
      <c r="F9" s="131"/>
      <c r="G9" s="143"/>
      <c r="H9" s="144"/>
      <c r="I9" s="144"/>
      <c r="J9" s="145"/>
      <c r="K9" s="8"/>
      <c r="L9" s="6">
        <f>R38</f>
        <v>707</v>
      </c>
      <c r="P9" s="4"/>
      <c r="Q9" s="4"/>
      <c r="R9" s="5"/>
    </row>
    <row r="10" spans="1:19" ht="14.45" customHeight="1" x14ac:dyDescent="0.25">
      <c r="A10" s="128"/>
      <c r="C10" s="10"/>
      <c r="D10" s="13">
        <f t="shared" si="1"/>
        <v>0</v>
      </c>
      <c r="F10" s="130" t="s">
        <v>26</v>
      </c>
      <c r="G10" s="146"/>
      <c r="H10" s="147"/>
      <c r="I10" s="147"/>
      <c r="J10" s="148"/>
      <c r="K10" s="8"/>
      <c r="L10" s="6">
        <f>R36</f>
        <v>972</v>
      </c>
      <c r="P10" s="4"/>
      <c r="Q10" s="4"/>
      <c r="R10" s="5"/>
    </row>
    <row r="11" spans="1:19" ht="15.75" x14ac:dyDescent="0.25">
      <c r="A11" s="128"/>
      <c r="B11" s="17"/>
      <c r="C11" s="10"/>
      <c r="D11" s="13">
        <f t="shared" si="1"/>
        <v>0</v>
      </c>
      <c r="F11" s="131"/>
      <c r="G11" s="143"/>
      <c r="H11" s="144"/>
      <c r="I11" s="144"/>
      <c r="J11" s="145"/>
      <c r="K11" s="22"/>
      <c r="L11" s="6">
        <f>R32</f>
        <v>1125</v>
      </c>
      <c r="O11" t="s">
        <v>19</v>
      </c>
      <c r="P11" s="4">
        <v>650</v>
      </c>
      <c r="Q11" s="4"/>
      <c r="R11" s="5">
        <f t="shared" si="0"/>
        <v>650</v>
      </c>
    </row>
    <row r="12" spans="1:19" ht="15.75" x14ac:dyDescent="0.25">
      <c r="A12" s="128"/>
      <c r="B12" s="17"/>
      <c r="C12" s="10"/>
      <c r="D12" s="48">
        <f t="shared" si="1"/>
        <v>0</v>
      </c>
      <c r="F12" s="149" t="s">
        <v>33</v>
      </c>
      <c r="G12" s="150"/>
      <c r="H12" s="150"/>
      <c r="I12" s="150"/>
      <c r="J12" s="151"/>
      <c r="K12" s="23"/>
      <c r="L12" s="6">
        <f>R34</f>
        <v>952</v>
      </c>
      <c r="O12" t="s">
        <v>22</v>
      </c>
      <c r="P12" s="4">
        <v>650</v>
      </c>
      <c r="Q12" s="4"/>
      <c r="R12" s="5">
        <f t="shared" si="0"/>
        <v>650</v>
      </c>
    </row>
    <row r="13" spans="1:19" ht="15.75" x14ac:dyDescent="0.25">
      <c r="A13" s="128"/>
      <c r="B13" s="17"/>
      <c r="C13" s="10"/>
      <c r="D13" s="48">
        <f t="shared" si="1"/>
        <v>0</v>
      </c>
      <c r="F13" s="152" t="s">
        <v>36</v>
      </c>
      <c r="G13" s="153"/>
      <c r="H13" s="154">
        <f>D29</f>
        <v>0</v>
      </c>
      <c r="I13" s="155"/>
      <c r="J13" s="156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9" ht="15.75" x14ac:dyDescent="0.25">
      <c r="A14" s="128"/>
      <c r="B14" s="14"/>
      <c r="C14" s="10"/>
      <c r="D14" s="31">
        <f t="shared" si="1"/>
        <v>0</v>
      </c>
      <c r="F14" s="157" t="s">
        <v>39</v>
      </c>
      <c r="G14" s="158"/>
      <c r="H14" s="159">
        <f>D54</f>
        <v>0</v>
      </c>
      <c r="I14" s="160"/>
      <c r="J14" s="161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  <c r="S14">
        <f>205+78</f>
        <v>283</v>
      </c>
    </row>
    <row r="15" spans="1:19" ht="15.75" x14ac:dyDescent="0.25">
      <c r="A15" s="128"/>
      <c r="B15" s="14"/>
      <c r="C15" s="10"/>
      <c r="D15" s="31">
        <f t="shared" si="1"/>
        <v>0</v>
      </c>
      <c r="F15" s="162" t="s">
        <v>40</v>
      </c>
      <c r="G15" s="153"/>
      <c r="H15" s="163">
        <f>H13-H14</f>
        <v>0</v>
      </c>
      <c r="I15" s="164"/>
      <c r="J15" s="165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  <c r="S15">
        <f>229+78</f>
        <v>307</v>
      </c>
    </row>
    <row r="16" spans="1:19" ht="15.75" x14ac:dyDescent="0.25">
      <c r="A16" s="128"/>
      <c r="B16" s="18"/>
      <c r="C16" s="10"/>
      <c r="D16" s="48">
        <f t="shared" si="1"/>
        <v>0</v>
      </c>
      <c r="F16" s="67" t="s">
        <v>42</v>
      </c>
      <c r="G16" s="66" t="s">
        <v>43</v>
      </c>
      <c r="H16" s="166"/>
      <c r="I16" s="166"/>
      <c r="J16" s="166"/>
      <c r="L16" s="6">
        <f>R28</f>
        <v>1567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28"/>
      <c r="C17" s="10"/>
      <c r="D17" s="48">
        <f t="shared" si="1"/>
        <v>0</v>
      </c>
      <c r="F17" s="56"/>
      <c r="G17" s="66" t="s">
        <v>45</v>
      </c>
      <c r="H17" s="139"/>
      <c r="I17" s="139"/>
      <c r="J17" s="139"/>
      <c r="L17" s="6">
        <v>1582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28"/>
      <c r="B18" s="19"/>
      <c r="C18" s="10"/>
      <c r="D18" s="48">
        <f t="shared" si="1"/>
        <v>0</v>
      </c>
      <c r="F18" s="56"/>
      <c r="G18" s="66" t="s">
        <v>47</v>
      </c>
      <c r="H18" s="139"/>
      <c r="I18" s="139"/>
      <c r="J18" s="139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28"/>
      <c r="B19" s="14"/>
      <c r="C19" s="10"/>
      <c r="D19" s="48">
        <f t="shared" si="1"/>
        <v>0</v>
      </c>
      <c r="F19" s="56"/>
      <c r="G19" s="68" t="s">
        <v>50</v>
      </c>
      <c r="H19" s="185"/>
      <c r="I19" s="185"/>
      <c r="J19" s="185"/>
      <c r="L19" s="6">
        <f>R35</f>
        <v>1102</v>
      </c>
      <c r="Q19" s="4"/>
      <c r="R19" s="5">
        <f t="shared" si="0"/>
        <v>0</v>
      </c>
    </row>
    <row r="20" spans="1:18" ht="15.75" x14ac:dyDescent="0.25">
      <c r="A20" s="128"/>
      <c r="B20" s="46"/>
      <c r="C20" s="10"/>
      <c r="D20" s="13">
        <f t="shared" si="1"/>
        <v>0</v>
      </c>
      <c r="F20" s="57"/>
      <c r="G20" s="70" t="s">
        <v>120</v>
      </c>
      <c r="H20" s="166"/>
      <c r="I20" s="166"/>
      <c r="J20" s="166"/>
      <c r="L20" s="6">
        <f>1102</f>
        <v>1102</v>
      </c>
      <c r="N20" s="1" t="s">
        <v>41</v>
      </c>
      <c r="Q20" s="4"/>
      <c r="R20" s="5">
        <f t="shared" si="0"/>
        <v>0</v>
      </c>
    </row>
    <row r="21" spans="1:18" ht="15.75" x14ac:dyDescent="0.25">
      <c r="A21" s="128"/>
      <c r="B21" s="14"/>
      <c r="C21" s="10"/>
      <c r="D21" s="48">
        <f t="shared" si="1"/>
        <v>0</v>
      </c>
      <c r="F21" s="69" t="s">
        <v>99</v>
      </c>
      <c r="G21" s="82" t="s">
        <v>98</v>
      </c>
      <c r="H21" s="186" t="s">
        <v>13</v>
      </c>
      <c r="I21" s="187"/>
      <c r="J21" s="188"/>
      <c r="L21" s="7">
        <v>650</v>
      </c>
      <c r="O21" t="s">
        <v>44</v>
      </c>
      <c r="P21" s="4">
        <v>1447</v>
      </c>
      <c r="Q21" s="4">
        <v>120</v>
      </c>
      <c r="R21" s="5">
        <f t="shared" si="0"/>
        <v>1567</v>
      </c>
    </row>
    <row r="22" spans="1:18" ht="15.75" x14ac:dyDescent="0.25">
      <c r="A22" s="128"/>
      <c r="B22" s="46"/>
      <c r="C22" s="10"/>
      <c r="D22" s="48">
        <f t="shared" si="1"/>
        <v>0</v>
      </c>
      <c r="F22" s="77"/>
      <c r="G22" s="73"/>
      <c r="H22" s="189"/>
      <c r="I22" s="189"/>
      <c r="J22" s="189"/>
      <c r="L22" s="7">
        <f>559+111</f>
        <v>670</v>
      </c>
      <c r="O22" t="s">
        <v>46</v>
      </c>
      <c r="P22" s="4">
        <v>1582</v>
      </c>
      <c r="Q22" s="4"/>
      <c r="R22" s="5">
        <f t="shared" si="0"/>
        <v>1582</v>
      </c>
    </row>
    <row r="23" spans="1:18" ht="15.75" x14ac:dyDescent="0.25">
      <c r="A23" s="128"/>
      <c r="B23" s="14"/>
      <c r="C23" s="10"/>
      <c r="D23" s="48">
        <f t="shared" si="1"/>
        <v>0</v>
      </c>
      <c r="F23" s="78"/>
      <c r="G23" s="79"/>
      <c r="H23" s="190"/>
      <c r="I23" s="191"/>
      <c r="J23" s="191"/>
      <c r="L23" s="47">
        <f>R33</f>
        <v>1175</v>
      </c>
      <c r="N23" s="1"/>
      <c r="O23" t="s">
        <v>48</v>
      </c>
      <c r="P23" s="4">
        <v>1728</v>
      </c>
      <c r="Q23" s="4"/>
      <c r="R23" s="5">
        <f t="shared" si="0"/>
        <v>1728</v>
      </c>
    </row>
    <row r="24" spans="1:18" ht="15.75" x14ac:dyDescent="0.25">
      <c r="A24" s="128"/>
      <c r="B24" s="14"/>
      <c r="C24" s="10"/>
      <c r="D24" s="48">
        <f t="shared" si="1"/>
        <v>0</v>
      </c>
      <c r="F24" s="38"/>
      <c r="G24" s="37"/>
      <c r="H24" s="190"/>
      <c r="I24" s="191"/>
      <c r="J24" s="191"/>
      <c r="L24" s="47">
        <v>1667</v>
      </c>
      <c r="N24" s="1"/>
      <c r="O24" t="s">
        <v>49</v>
      </c>
      <c r="P24" s="4">
        <v>1728</v>
      </c>
      <c r="Q24" s="4"/>
      <c r="R24" s="5">
        <f t="shared" si="0"/>
        <v>1728</v>
      </c>
    </row>
    <row r="25" spans="1:18" ht="15.75" x14ac:dyDescent="0.25">
      <c r="A25" s="128"/>
      <c r="B25" s="14"/>
      <c r="C25" s="10"/>
      <c r="D25" s="48">
        <f t="shared" si="1"/>
        <v>0</v>
      </c>
      <c r="F25" s="60" t="s">
        <v>100</v>
      </c>
      <c r="G25" s="55" t="s">
        <v>98</v>
      </c>
      <c r="H25" s="192" t="s">
        <v>13</v>
      </c>
      <c r="I25" s="193"/>
      <c r="J25" s="194"/>
      <c r="L25" s="47">
        <f>1582</f>
        <v>1582</v>
      </c>
      <c r="O25" t="s">
        <v>51</v>
      </c>
      <c r="P25" s="4">
        <v>1582</v>
      </c>
      <c r="Q25" s="4"/>
      <c r="R25" s="5">
        <f t="shared" si="0"/>
        <v>1582</v>
      </c>
    </row>
    <row r="26" spans="1:18" ht="15.75" x14ac:dyDescent="0.25">
      <c r="A26" s="128"/>
      <c r="B26" s="14"/>
      <c r="C26" s="10"/>
      <c r="D26" s="48">
        <f t="shared" si="1"/>
        <v>0</v>
      </c>
      <c r="F26" s="64"/>
      <c r="G26" s="59"/>
      <c r="H26" s="195"/>
      <c r="I26" s="196"/>
      <c r="J26" s="197"/>
      <c r="L26" s="7">
        <f>832/24+1.5</f>
        <v>36.166666666666664</v>
      </c>
      <c r="O26" t="s">
        <v>52</v>
      </c>
      <c r="P26" s="4">
        <v>1447</v>
      </c>
      <c r="Q26" s="4">
        <v>120</v>
      </c>
      <c r="R26" s="5">
        <f t="shared" si="0"/>
        <v>1567</v>
      </c>
    </row>
    <row r="27" spans="1:18" ht="14.45" customHeight="1" x14ac:dyDescent="0.25">
      <c r="A27" s="128"/>
      <c r="B27" s="14"/>
      <c r="C27" s="10"/>
      <c r="D27" s="44">
        <f t="shared" si="1"/>
        <v>0</v>
      </c>
      <c r="F27" s="25"/>
      <c r="G27" s="80"/>
      <c r="H27" s="198"/>
      <c r="I27" s="199"/>
      <c r="J27" s="200"/>
      <c r="L27" s="7">
        <v>1582</v>
      </c>
      <c r="O27" t="s">
        <v>53</v>
      </c>
      <c r="P27" s="4">
        <v>1582</v>
      </c>
      <c r="Q27" s="4"/>
      <c r="R27" s="5">
        <f t="shared" si="0"/>
        <v>1582</v>
      </c>
    </row>
    <row r="28" spans="1:18" ht="15.75" x14ac:dyDescent="0.25">
      <c r="A28" s="129"/>
      <c r="B28" s="46"/>
      <c r="C28" s="10"/>
      <c r="D28" s="48">
        <f t="shared" si="1"/>
        <v>0</v>
      </c>
      <c r="F28" s="101"/>
      <c r="G28" s="61"/>
      <c r="H28" s="201"/>
      <c r="I28" s="202"/>
      <c r="J28" s="203"/>
      <c r="L28" s="7">
        <v>785</v>
      </c>
      <c r="O28" t="s">
        <v>54</v>
      </c>
      <c r="P28" s="4">
        <v>1447</v>
      </c>
      <c r="Q28" s="4">
        <v>120</v>
      </c>
      <c r="R28" s="5">
        <f t="shared" si="0"/>
        <v>1567</v>
      </c>
    </row>
    <row r="29" spans="1:18" x14ac:dyDescent="0.25">
      <c r="A29" s="167" t="s">
        <v>36</v>
      </c>
      <c r="B29" s="168"/>
      <c r="C29" s="169"/>
      <c r="D29" s="173">
        <f>SUM(D6:D28)</f>
        <v>0</v>
      </c>
      <c r="F29" s="175" t="s">
        <v>55</v>
      </c>
      <c r="G29" s="176"/>
      <c r="H29" s="179">
        <f>H15-H16-H17-H18-H19-H20-H22-H23-H24+H26+H27</f>
        <v>0</v>
      </c>
      <c r="I29" s="180"/>
      <c r="J29" s="181"/>
      <c r="O29" t="s">
        <v>56</v>
      </c>
      <c r="P29" s="4">
        <v>1582</v>
      </c>
      <c r="Q29" s="4"/>
      <c r="R29" s="5">
        <f t="shared" si="0"/>
        <v>1582</v>
      </c>
    </row>
    <row r="30" spans="1:18" x14ac:dyDescent="0.25">
      <c r="A30" s="170"/>
      <c r="B30" s="171"/>
      <c r="C30" s="172"/>
      <c r="D30" s="174"/>
      <c r="F30" s="177"/>
      <c r="G30" s="178"/>
      <c r="H30" s="182"/>
      <c r="I30" s="183"/>
      <c r="J30" s="184"/>
      <c r="N30" s="1"/>
      <c r="Q30" s="4"/>
      <c r="R30" s="5">
        <f t="shared" si="0"/>
        <v>0</v>
      </c>
    </row>
    <row r="31" spans="1:18" x14ac:dyDescent="0.25">
      <c r="A31" s="24"/>
      <c r="B31" s="24"/>
      <c r="C31" s="24"/>
      <c r="D31" s="24"/>
      <c r="F31" s="24"/>
      <c r="G31" s="24"/>
      <c r="O31" t="s">
        <v>57</v>
      </c>
      <c r="P31" s="4">
        <v>1052</v>
      </c>
      <c r="Q31" s="4">
        <v>120</v>
      </c>
      <c r="R31" s="5">
        <f t="shared" si="0"/>
        <v>1172</v>
      </c>
    </row>
    <row r="32" spans="1:18" x14ac:dyDescent="0.25">
      <c r="A32" s="114" t="s">
        <v>58</v>
      </c>
      <c r="B32" s="115"/>
      <c r="C32" s="115"/>
      <c r="D32" s="116"/>
      <c r="F32" s="204" t="s">
        <v>59</v>
      </c>
      <c r="G32" s="205"/>
      <c r="H32" s="205"/>
      <c r="I32" s="205"/>
      <c r="J32" s="206"/>
      <c r="O32" t="s">
        <v>60</v>
      </c>
      <c r="P32" s="4">
        <v>1005</v>
      </c>
      <c r="Q32" s="4">
        <v>120</v>
      </c>
      <c r="R32" s="5">
        <f t="shared" si="0"/>
        <v>1125</v>
      </c>
    </row>
    <row r="33" spans="1:18" x14ac:dyDescent="0.25">
      <c r="A33" s="25"/>
      <c r="B33" s="25" t="s">
        <v>11</v>
      </c>
      <c r="C33" s="25" t="s">
        <v>61</v>
      </c>
      <c r="D33" s="25" t="s">
        <v>13</v>
      </c>
      <c r="F33" s="25" t="s">
        <v>62</v>
      </c>
      <c r="G33" s="102" t="s">
        <v>63</v>
      </c>
      <c r="H33" s="204" t="s">
        <v>13</v>
      </c>
      <c r="I33" s="205"/>
      <c r="J33" s="206"/>
      <c r="O33" t="s">
        <v>64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27" t="s">
        <v>65</v>
      </c>
      <c r="B34" s="26" t="s">
        <v>66</v>
      </c>
      <c r="C34" s="51"/>
      <c r="D34" s="30">
        <f>C34*120</f>
        <v>0</v>
      </c>
      <c r="F34" s="12">
        <v>1000</v>
      </c>
      <c r="G34" s="74"/>
      <c r="H34" s="207"/>
      <c r="I34" s="208"/>
      <c r="J34" s="209"/>
      <c r="O34" t="s">
        <v>67</v>
      </c>
      <c r="P34" s="4">
        <v>832</v>
      </c>
      <c r="Q34" s="4">
        <v>120</v>
      </c>
      <c r="R34" s="5">
        <f t="shared" si="0"/>
        <v>952</v>
      </c>
    </row>
    <row r="35" spans="1:18" ht="15.75" x14ac:dyDescent="0.25">
      <c r="A35" s="128"/>
      <c r="B35" s="27" t="s">
        <v>68</v>
      </c>
      <c r="C35" s="52"/>
      <c r="D35" s="30">
        <f>C35*84</f>
        <v>0</v>
      </c>
      <c r="F35" s="58">
        <v>500</v>
      </c>
      <c r="G35" s="41"/>
      <c r="H35" s="207"/>
      <c r="I35" s="208"/>
      <c r="J35" s="209"/>
      <c r="O35" t="s">
        <v>69</v>
      </c>
      <c r="P35" s="4">
        <v>1102</v>
      </c>
      <c r="Q35" s="4"/>
      <c r="R35" s="5">
        <f t="shared" si="0"/>
        <v>1102</v>
      </c>
    </row>
    <row r="36" spans="1:18" ht="15.75" x14ac:dyDescent="0.25">
      <c r="A36" s="129"/>
      <c r="B36" s="26" t="s">
        <v>70</v>
      </c>
      <c r="C36" s="10"/>
      <c r="D36" s="12">
        <f>C36*1.5</f>
        <v>0</v>
      </c>
      <c r="F36" s="12">
        <v>200</v>
      </c>
      <c r="G36" s="37"/>
      <c r="H36" s="207"/>
      <c r="I36" s="208"/>
      <c r="J36" s="209"/>
      <c r="O36" t="s">
        <v>71</v>
      </c>
      <c r="P36" s="4">
        <v>852</v>
      </c>
      <c r="Q36" s="4">
        <v>120</v>
      </c>
      <c r="R36" s="5">
        <f t="shared" si="0"/>
        <v>972</v>
      </c>
    </row>
    <row r="37" spans="1:18" ht="15.75" x14ac:dyDescent="0.25">
      <c r="A37" s="127" t="s">
        <v>72</v>
      </c>
      <c r="B37" s="28" t="s">
        <v>66</v>
      </c>
      <c r="C37" s="53"/>
      <c r="D37" s="12">
        <f>C37*111</f>
        <v>0</v>
      </c>
      <c r="F37" s="12">
        <v>100</v>
      </c>
      <c r="G37" s="39"/>
      <c r="H37" s="207"/>
      <c r="I37" s="208"/>
      <c r="J37" s="209"/>
      <c r="O37" t="s">
        <v>73</v>
      </c>
      <c r="P37" s="4">
        <v>1020</v>
      </c>
      <c r="Q37" s="4">
        <v>120</v>
      </c>
      <c r="R37" s="5">
        <f t="shared" si="0"/>
        <v>1140</v>
      </c>
    </row>
    <row r="38" spans="1:18" ht="15.75" x14ac:dyDescent="0.25">
      <c r="A38" s="128"/>
      <c r="B38" s="29" t="s">
        <v>68</v>
      </c>
      <c r="C38" s="54"/>
      <c r="D38" s="12">
        <f>C38*84</f>
        <v>0</v>
      </c>
      <c r="F38" s="30">
        <v>50</v>
      </c>
      <c r="G38" s="39"/>
      <c r="H38" s="207"/>
      <c r="I38" s="208"/>
      <c r="J38" s="209"/>
      <c r="O38" t="s">
        <v>74</v>
      </c>
      <c r="P38" s="4">
        <v>596</v>
      </c>
      <c r="Q38" s="4">
        <v>111</v>
      </c>
      <c r="R38" s="5">
        <f t="shared" si="0"/>
        <v>707</v>
      </c>
    </row>
    <row r="39" spans="1:18" ht="15.75" x14ac:dyDescent="0.25">
      <c r="A39" s="129"/>
      <c r="B39" s="29" t="s">
        <v>70</v>
      </c>
      <c r="C39" s="52"/>
      <c r="D39" s="31">
        <f>C39*4.5</f>
        <v>0</v>
      </c>
      <c r="F39" s="12">
        <v>20</v>
      </c>
      <c r="G39" s="37"/>
      <c r="H39" s="207"/>
      <c r="I39" s="208"/>
      <c r="J39" s="209"/>
      <c r="O39" t="s">
        <v>75</v>
      </c>
      <c r="P39" s="4">
        <v>1175</v>
      </c>
      <c r="Q39" s="4"/>
      <c r="R39" s="5">
        <f t="shared" si="0"/>
        <v>1175</v>
      </c>
    </row>
    <row r="40" spans="1:18" ht="15.75" x14ac:dyDescent="0.25">
      <c r="A40" s="127" t="s">
        <v>76</v>
      </c>
      <c r="B40" s="27" t="s">
        <v>66</v>
      </c>
      <c r="C40" s="63"/>
      <c r="D40" s="12">
        <f>C40*111</f>
        <v>0</v>
      </c>
      <c r="F40" s="12">
        <v>10</v>
      </c>
      <c r="G40" s="42"/>
      <c r="H40" s="207"/>
      <c r="I40" s="208"/>
      <c r="J40" s="209"/>
      <c r="O40" t="s">
        <v>77</v>
      </c>
      <c r="P40" s="4">
        <v>913</v>
      </c>
      <c r="Q40" s="4">
        <v>120</v>
      </c>
      <c r="R40" s="5">
        <f t="shared" si="0"/>
        <v>1033</v>
      </c>
    </row>
    <row r="41" spans="1:18" ht="15.75" x14ac:dyDescent="0.25">
      <c r="A41" s="128"/>
      <c r="B41" s="27" t="s">
        <v>68</v>
      </c>
      <c r="C41" s="10"/>
      <c r="D41" s="12">
        <f>C41*84</f>
        <v>0</v>
      </c>
      <c r="F41" s="12">
        <v>5</v>
      </c>
      <c r="G41" s="42"/>
      <c r="H41" s="207"/>
      <c r="I41" s="208"/>
      <c r="J41" s="209"/>
      <c r="K41" s="21"/>
      <c r="O41" t="s">
        <v>78</v>
      </c>
      <c r="P41" s="4">
        <v>614</v>
      </c>
      <c r="Q41" s="4">
        <v>111</v>
      </c>
      <c r="R41" s="5">
        <f t="shared" si="0"/>
        <v>725</v>
      </c>
    </row>
    <row r="42" spans="1:18" ht="15.75" x14ac:dyDescent="0.25">
      <c r="A42" s="129"/>
      <c r="B42" s="27" t="s">
        <v>70</v>
      </c>
      <c r="C42" s="11"/>
      <c r="D42" s="12">
        <f>C42*2.25</f>
        <v>0</v>
      </c>
      <c r="F42" s="39" t="s">
        <v>79</v>
      </c>
      <c r="G42" s="207"/>
      <c r="H42" s="208"/>
      <c r="I42" s="208"/>
      <c r="J42" s="209"/>
      <c r="K42" s="36"/>
      <c r="O42" t="s">
        <v>80</v>
      </c>
      <c r="P42" s="4">
        <v>626</v>
      </c>
      <c r="Q42" s="4">
        <v>111</v>
      </c>
      <c r="R42" s="5">
        <f t="shared" si="0"/>
        <v>737</v>
      </c>
    </row>
    <row r="43" spans="1:18" ht="15.75" x14ac:dyDescent="0.25">
      <c r="A43" s="210" t="s">
        <v>81</v>
      </c>
      <c r="C43" s="11"/>
      <c r="D43" s="12"/>
      <c r="F43" s="59" t="s">
        <v>82</v>
      </c>
      <c r="G43" s="104" t="s">
        <v>83</v>
      </c>
      <c r="H43" s="213" t="s">
        <v>13</v>
      </c>
      <c r="I43" s="214"/>
      <c r="J43" s="215"/>
      <c r="K43" s="21"/>
      <c r="P43" s="4"/>
      <c r="Q43" s="4"/>
      <c r="R43" s="5"/>
    </row>
    <row r="44" spans="1:18" ht="15.75" x14ac:dyDescent="0.25">
      <c r="A44" s="211"/>
      <c r="B44" s="27" t="s">
        <v>66</v>
      </c>
      <c r="C44" s="10"/>
      <c r="D44" s="12">
        <f>C44*120</f>
        <v>0</v>
      </c>
      <c r="F44" s="37"/>
      <c r="G44" s="76"/>
      <c r="H44" s="191"/>
      <c r="I44" s="191"/>
      <c r="J44" s="191"/>
      <c r="K44" s="21"/>
      <c r="P44" s="4"/>
      <c r="Q44" s="4"/>
      <c r="R44" s="5"/>
    </row>
    <row r="45" spans="1:18" ht="15.75" x14ac:dyDescent="0.25">
      <c r="A45" s="211"/>
      <c r="B45" s="27" t="s">
        <v>68</v>
      </c>
      <c r="C45" s="33"/>
      <c r="D45" s="12">
        <f>C45*84</f>
        <v>0</v>
      </c>
      <c r="F45" s="37"/>
      <c r="G45" s="76"/>
      <c r="H45" s="191"/>
      <c r="I45" s="191"/>
      <c r="J45" s="191"/>
      <c r="K45" s="21"/>
      <c r="P45" s="4"/>
      <c r="Q45" s="4"/>
      <c r="R45" s="5"/>
    </row>
    <row r="46" spans="1:18" ht="15.75" x14ac:dyDescent="0.25">
      <c r="A46" s="211"/>
      <c r="B46" s="49" t="s">
        <v>70</v>
      </c>
      <c r="C46" s="81"/>
      <c r="D46" s="12">
        <f>C46*1.5</f>
        <v>0</v>
      </c>
      <c r="F46" s="37"/>
      <c r="G46" s="62"/>
      <c r="H46" s="216"/>
      <c r="I46" s="216"/>
      <c r="J46" s="216"/>
      <c r="K46" s="21"/>
      <c r="P46" s="4"/>
      <c r="Q46" s="4"/>
      <c r="R46" s="5"/>
    </row>
    <row r="47" spans="1:18" ht="15.75" x14ac:dyDescent="0.25">
      <c r="A47" s="212"/>
      <c r="B47" s="27"/>
      <c r="C47" s="11"/>
      <c r="D47" s="12"/>
      <c r="F47" s="59"/>
      <c r="G47" s="59"/>
      <c r="H47" s="217"/>
      <c r="I47" s="218"/>
      <c r="J47" s="219"/>
      <c r="K47" s="21"/>
      <c r="P47" s="4"/>
      <c r="Q47" s="4"/>
      <c r="R47" s="5"/>
    </row>
    <row r="48" spans="1:18" ht="15" customHeight="1" x14ac:dyDescent="0.25">
      <c r="A48" s="210" t="s">
        <v>32</v>
      </c>
      <c r="B48" s="27" t="s">
        <v>66</v>
      </c>
      <c r="C48" s="10"/>
      <c r="D48" s="12">
        <f>C48*78</f>
        <v>0</v>
      </c>
      <c r="F48" s="59"/>
      <c r="G48" s="59"/>
      <c r="H48" s="217"/>
      <c r="I48" s="218"/>
      <c r="J48" s="219"/>
      <c r="K48" s="35"/>
      <c r="O48" t="s">
        <v>84</v>
      </c>
      <c r="P48" s="4">
        <v>1175</v>
      </c>
      <c r="Q48" s="4"/>
      <c r="R48" s="5">
        <f t="shared" si="0"/>
        <v>1175</v>
      </c>
    </row>
    <row r="49" spans="1:18" ht="15.75" x14ac:dyDescent="0.25">
      <c r="A49" s="211"/>
      <c r="B49" s="29" t="s">
        <v>68</v>
      </c>
      <c r="C49" s="33"/>
      <c r="D49" s="12">
        <f>C49*42</f>
        <v>0</v>
      </c>
      <c r="F49" s="232" t="s">
        <v>86</v>
      </c>
      <c r="G49" s="179">
        <f>H34+H35+H36+H37+H38+H39+H40+H41+G42+H44+H45+H46</f>
        <v>0</v>
      </c>
      <c r="H49" s="180"/>
      <c r="I49" s="180"/>
      <c r="J49" s="181"/>
      <c r="O49" t="s">
        <v>85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211"/>
      <c r="B50" s="32" t="s">
        <v>70</v>
      </c>
      <c r="C50" s="11"/>
      <c r="D50" s="12">
        <f>C50*1.5</f>
        <v>0</v>
      </c>
      <c r="F50" s="233"/>
      <c r="G50" s="182"/>
      <c r="H50" s="183"/>
      <c r="I50" s="183"/>
      <c r="J50" s="184"/>
      <c r="P50" s="4"/>
      <c r="Q50" s="4"/>
      <c r="R50" s="5"/>
    </row>
    <row r="51" spans="1:18" ht="15" customHeight="1" x14ac:dyDescent="0.25">
      <c r="A51" s="211"/>
      <c r="B51" s="27"/>
      <c r="C51" s="10"/>
      <c r="D51" s="31"/>
      <c r="F51" s="234" t="s">
        <v>128</v>
      </c>
      <c r="G51" s="236">
        <f>G49-H29</f>
        <v>0</v>
      </c>
      <c r="H51" s="237"/>
      <c r="I51" s="237"/>
      <c r="J51" s="238"/>
      <c r="K51" s="21"/>
      <c r="O51" t="s">
        <v>87</v>
      </c>
      <c r="P51" s="4">
        <v>703</v>
      </c>
      <c r="Q51" s="4">
        <v>120</v>
      </c>
      <c r="R51" s="5">
        <f t="shared" si="0"/>
        <v>823</v>
      </c>
    </row>
    <row r="52" spans="1:18" ht="15.75" x14ac:dyDescent="0.25">
      <c r="A52" s="211"/>
      <c r="B52" s="29"/>
      <c r="C52" s="33"/>
      <c r="D52" s="45"/>
      <c r="F52" s="235"/>
      <c r="G52" s="239"/>
      <c r="H52" s="240"/>
      <c r="I52" s="240"/>
      <c r="J52" s="241"/>
      <c r="K52" s="21"/>
      <c r="O52" t="s">
        <v>88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212"/>
      <c r="B53" s="32"/>
      <c r="C53" s="11"/>
      <c r="D53" s="12"/>
      <c r="F53" s="35"/>
      <c r="G53" s="24"/>
      <c r="H53" s="24"/>
      <c r="I53" s="24"/>
      <c r="J53" s="17"/>
      <c r="N53" s="1"/>
      <c r="O53" t="s">
        <v>89</v>
      </c>
      <c r="P53" s="4">
        <v>1142</v>
      </c>
    </row>
    <row r="54" spans="1:18" x14ac:dyDescent="0.25">
      <c r="A54" s="175" t="s">
        <v>90</v>
      </c>
      <c r="B54" s="220"/>
      <c r="C54" s="221"/>
      <c r="D54" s="224">
        <f>SUM(D34:D53)</f>
        <v>0</v>
      </c>
      <c r="F54" s="21"/>
      <c r="J54" s="34"/>
    </row>
    <row r="55" spans="1:18" x14ac:dyDescent="0.25">
      <c r="A55" s="177"/>
      <c r="B55" s="222"/>
      <c r="C55" s="223"/>
      <c r="D55" s="225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D57" s="34"/>
      <c r="F57" s="36"/>
      <c r="G57" s="50"/>
      <c r="H57" s="50"/>
      <c r="I57" s="50"/>
      <c r="J57" s="43"/>
    </row>
    <row r="58" spans="1:18" x14ac:dyDescent="0.25">
      <c r="A58" s="226" t="s">
        <v>91</v>
      </c>
      <c r="B58" s="227"/>
      <c r="C58" s="227"/>
      <c r="D58" s="228"/>
      <c r="F58" s="226" t="s">
        <v>92</v>
      </c>
      <c r="G58" s="227"/>
      <c r="H58" s="227"/>
      <c r="I58" s="227"/>
      <c r="J58" s="228"/>
    </row>
    <row r="59" spans="1:18" x14ac:dyDescent="0.25">
      <c r="A59" s="229"/>
      <c r="B59" s="230"/>
      <c r="C59" s="230"/>
      <c r="D59" s="231"/>
      <c r="F59" s="229"/>
      <c r="G59" s="230"/>
      <c r="H59" s="230"/>
      <c r="I59" s="230"/>
      <c r="J59" s="231"/>
    </row>
  </sheetData>
  <mergeCells count="68"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  <mergeCell ref="H13:J13"/>
    <mergeCell ref="F14:G14"/>
    <mergeCell ref="H14:J14"/>
    <mergeCell ref="F15:G15"/>
    <mergeCell ref="H15:J15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A32:D32"/>
    <mergeCell ref="F32:J32"/>
    <mergeCell ref="H33:J33"/>
    <mergeCell ref="A34:A36"/>
    <mergeCell ref="H34:J34"/>
    <mergeCell ref="H35:J35"/>
    <mergeCell ref="H36:J36"/>
    <mergeCell ref="A37:A39"/>
    <mergeCell ref="H37:J37"/>
    <mergeCell ref="H38:J38"/>
    <mergeCell ref="H39:J39"/>
    <mergeCell ref="A40:A42"/>
    <mergeCell ref="H40:J40"/>
    <mergeCell ref="H41:J41"/>
    <mergeCell ref="G42:J42"/>
    <mergeCell ref="A43:A47"/>
    <mergeCell ref="H43:J43"/>
    <mergeCell ref="H44:J44"/>
    <mergeCell ref="H45:J45"/>
    <mergeCell ref="H46:J46"/>
    <mergeCell ref="H47:J47"/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4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F0DD14A-175E-458E-929B-1D101A57AF8C}">
  <dimension ref="A1:R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113" t="s">
        <v>1</v>
      </c>
      <c r="O1" s="113"/>
      <c r="P1" s="100" t="s">
        <v>2</v>
      </c>
      <c r="Q1" s="100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14" t="s">
        <v>7</v>
      </c>
      <c r="B4" s="115"/>
      <c r="C4" s="115"/>
      <c r="D4" s="116"/>
      <c r="F4" s="117" t="s">
        <v>8</v>
      </c>
      <c r="G4" s="119">
        <v>1</v>
      </c>
      <c r="H4" s="121" t="s">
        <v>9</v>
      </c>
      <c r="I4" s="123">
        <v>45976</v>
      </c>
      <c r="J4" s="124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27" t="s">
        <v>7</v>
      </c>
      <c r="B5" s="15" t="s">
        <v>11</v>
      </c>
      <c r="C5" s="9" t="s">
        <v>12</v>
      </c>
      <c r="D5" s="25" t="s">
        <v>13</v>
      </c>
      <c r="F5" s="118"/>
      <c r="G5" s="120"/>
      <c r="H5" s="122"/>
      <c r="I5" s="125"/>
      <c r="J5" s="126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28"/>
      <c r="B6" s="16" t="s">
        <v>15</v>
      </c>
      <c r="C6" s="10">
        <v>205</v>
      </c>
      <c r="D6" s="13">
        <f t="shared" ref="D6:D28" si="1">C6*L6</f>
        <v>151085</v>
      </c>
      <c r="F6" s="130" t="s">
        <v>16</v>
      </c>
      <c r="G6" s="132" t="s">
        <v>150</v>
      </c>
      <c r="H6" s="133"/>
      <c r="I6" s="133"/>
      <c r="J6" s="134"/>
      <c r="K6" s="8"/>
      <c r="L6" s="6">
        <f>R42</f>
        <v>737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28"/>
      <c r="B7" s="16" t="s">
        <v>18</v>
      </c>
      <c r="C7" s="10">
        <v>4</v>
      </c>
      <c r="D7" s="13">
        <f t="shared" si="1"/>
        <v>2900</v>
      </c>
      <c r="F7" s="131"/>
      <c r="G7" s="135"/>
      <c r="H7" s="136"/>
      <c r="I7" s="136"/>
      <c r="J7" s="137"/>
      <c r="K7" s="8"/>
      <c r="L7" s="6">
        <f>R41</f>
        <v>725</v>
      </c>
      <c r="P7" s="4"/>
      <c r="Q7" s="4"/>
      <c r="R7" s="5"/>
    </row>
    <row r="8" spans="1:18" ht="14.45" customHeight="1" x14ac:dyDescent="0.25">
      <c r="A8" s="128"/>
      <c r="B8" s="16" t="s">
        <v>20</v>
      </c>
      <c r="C8" s="10">
        <v>1</v>
      </c>
      <c r="D8" s="13">
        <f t="shared" si="1"/>
        <v>1033</v>
      </c>
      <c r="F8" s="138" t="s">
        <v>21</v>
      </c>
      <c r="G8" s="140" t="s">
        <v>114</v>
      </c>
      <c r="H8" s="141"/>
      <c r="I8" s="141"/>
      <c r="J8" s="142"/>
      <c r="K8" s="8"/>
      <c r="L8" s="6">
        <f>R40</f>
        <v>1033</v>
      </c>
      <c r="P8" s="4"/>
      <c r="Q8" s="4"/>
      <c r="R8" s="5"/>
    </row>
    <row r="9" spans="1:18" ht="14.45" customHeight="1" x14ac:dyDescent="0.25">
      <c r="A9" s="128"/>
      <c r="B9" s="16" t="s">
        <v>23</v>
      </c>
      <c r="C9" s="10">
        <v>29</v>
      </c>
      <c r="D9" s="13">
        <f t="shared" si="1"/>
        <v>20503</v>
      </c>
      <c r="F9" s="131"/>
      <c r="G9" s="143"/>
      <c r="H9" s="144"/>
      <c r="I9" s="144"/>
      <c r="J9" s="145"/>
      <c r="K9" s="8"/>
      <c r="L9" s="6">
        <f>R38</f>
        <v>707</v>
      </c>
      <c r="P9" s="4"/>
      <c r="Q9" s="4"/>
      <c r="R9" s="5"/>
    </row>
    <row r="10" spans="1:18" ht="14.45" customHeight="1" x14ac:dyDescent="0.25">
      <c r="A10" s="128"/>
      <c r="B10" t="s">
        <v>25</v>
      </c>
      <c r="C10" s="10">
        <v>2</v>
      </c>
      <c r="D10" s="13">
        <f t="shared" si="1"/>
        <v>1944</v>
      </c>
      <c r="F10" s="130" t="s">
        <v>26</v>
      </c>
      <c r="G10" s="146" t="s">
        <v>115</v>
      </c>
      <c r="H10" s="147"/>
      <c r="I10" s="147"/>
      <c r="J10" s="148"/>
      <c r="K10" s="8"/>
      <c r="L10" s="6">
        <f>R36</f>
        <v>972</v>
      </c>
      <c r="P10" s="4"/>
      <c r="Q10" s="4"/>
      <c r="R10" s="5"/>
    </row>
    <row r="11" spans="1:18" ht="15.75" x14ac:dyDescent="0.25">
      <c r="A11" s="128"/>
      <c r="B11" s="17" t="s">
        <v>28</v>
      </c>
      <c r="C11" s="10"/>
      <c r="D11" s="13">
        <f t="shared" si="1"/>
        <v>0</v>
      </c>
      <c r="F11" s="131"/>
      <c r="G11" s="143"/>
      <c r="H11" s="144"/>
      <c r="I11" s="144"/>
      <c r="J11" s="145"/>
      <c r="K11" s="22"/>
      <c r="L11" s="6">
        <f>R32</f>
        <v>1125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28"/>
      <c r="B12" s="17" t="s">
        <v>30</v>
      </c>
      <c r="C12" s="10"/>
      <c r="D12" s="48">
        <f t="shared" si="1"/>
        <v>0</v>
      </c>
      <c r="F12" s="149" t="s">
        <v>33</v>
      </c>
      <c r="G12" s="150"/>
      <c r="H12" s="150"/>
      <c r="I12" s="150"/>
      <c r="J12" s="151"/>
      <c r="K12" s="23"/>
      <c r="L12" s="6">
        <f>R34</f>
        <v>952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28"/>
      <c r="B13" s="17" t="s">
        <v>32</v>
      </c>
      <c r="C13" s="10">
        <v>6</v>
      </c>
      <c r="D13" s="48">
        <f t="shared" si="1"/>
        <v>1842</v>
      </c>
      <c r="F13" s="152" t="s">
        <v>36</v>
      </c>
      <c r="G13" s="153"/>
      <c r="H13" s="154">
        <f>D29</f>
        <v>181692</v>
      </c>
      <c r="I13" s="155"/>
      <c r="J13" s="156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28"/>
      <c r="B14" s="14" t="s">
        <v>35</v>
      </c>
      <c r="C14" s="10">
        <v>15</v>
      </c>
      <c r="D14" s="31">
        <f t="shared" si="1"/>
        <v>165</v>
      </c>
      <c r="F14" s="157" t="s">
        <v>39</v>
      </c>
      <c r="G14" s="158"/>
      <c r="H14" s="159">
        <f>D54</f>
        <v>27591.75</v>
      </c>
      <c r="I14" s="160"/>
      <c r="J14" s="161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28"/>
      <c r="B15" s="14" t="s">
        <v>38</v>
      </c>
      <c r="C15" s="10"/>
      <c r="D15" s="31">
        <f t="shared" si="1"/>
        <v>0</v>
      </c>
      <c r="F15" s="162" t="s">
        <v>40</v>
      </c>
      <c r="G15" s="153"/>
      <c r="H15" s="163">
        <f>H13-H14</f>
        <v>154100.25</v>
      </c>
      <c r="I15" s="164"/>
      <c r="J15" s="165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28"/>
      <c r="B16" s="18" t="s">
        <v>94</v>
      </c>
      <c r="C16" s="10"/>
      <c r="D16" s="48">
        <f t="shared" si="1"/>
        <v>0</v>
      </c>
      <c r="F16" s="67" t="s">
        <v>42</v>
      </c>
      <c r="G16" s="66" t="s">
        <v>43</v>
      </c>
      <c r="H16" s="166"/>
      <c r="I16" s="166"/>
      <c r="J16" s="166"/>
      <c r="L16" s="6">
        <f>R28</f>
        <v>1567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28"/>
      <c r="B17" t="s">
        <v>93</v>
      </c>
      <c r="C17" s="10"/>
      <c r="D17" s="48">
        <f t="shared" si="1"/>
        <v>0</v>
      </c>
      <c r="F17" s="56"/>
      <c r="G17" s="66" t="s">
        <v>45</v>
      </c>
      <c r="H17" s="139"/>
      <c r="I17" s="139"/>
      <c r="J17" s="139"/>
      <c r="L17" s="6">
        <f>R21</f>
        <v>1567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28"/>
      <c r="B18" s="19" t="s">
        <v>95</v>
      </c>
      <c r="C18" s="10"/>
      <c r="D18" s="48">
        <f t="shared" si="1"/>
        <v>0</v>
      </c>
      <c r="F18" s="56"/>
      <c r="G18" s="66" t="s">
        <v>47</v>
      </c>
      <c r="H18" s="139"/>
      <c r="I18" s="139"/>
      <c r="J18" s="139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28"/>
      <c r="B19" s="14" t="s">
        <v>96</v>
      </c>
      <c r="C19" s="10"/>
      <c r="D19" s="48">
        <f t="shared" si="1"/>
        <v>0</v>
      </c>
      <c r="F19" s="56"/>
      <c r="G19" s="68" t="s">
        <v>50</v>
      </c>
      <c r="H19" s="246"/>
      <c r="I19" s="246"/>
      <c r="J19" s="246"/>
      <c r="L19" s="6">
        <f>R35</f>
        <v>1102</v>
      </c>
      <c r="Q19" s="4"/>
      <c r="R19" s="5">
        <f t="shared" si="0"/>
        <v>0</v>
      </c>
    </row>
    <row r="20" spans="1:18" ht="15.75" x14ac:dyDescent="0.25">
      <c r="A20" s="128"/>
      <c r="B20" s="46" t="s">
        <v>122</v>
      </c>
      <c r="C20" s="10"/>
      <c r="D20" s="13">
        <f t="shared" si="1"/>
        <v>0</v>
      </c>
      <c r="F20" s="57"/>
      <c r="G20" s="70" t="s">
        <v>120</v>
      </c>
      <c r="H20" s="139"/>
      <c r="I20" s="139"/>
      <c r="J20" s="139"/>
      <c r="L20" s="6">
        <f>R39</f>
        <v>1175</v>
      </c>
      <c r="N20" s="1" t="s">
        <v>41</v>
      </c>
      <c r="Q20" s="4"/>
      <c r="R20" s="5">
        <f t="shared" si="0"/>
        <v>0</v>
      </c>
    </row>
    <row r="21" spans="1:18" ht="15.75" x14ac:dyDescent="0.25">
      <c r="A21" s="128"/>
      <c r="B21" s="14" t="s">
        <v>126</v>
      </c>
      <c r="C21" s="10">
        <v>1</v>
      </c>
      <c r="D21" s="48">
        <f t="shared" si="1"/>
        <v>650</v>
      </c>
      <c r="F21" s="69" t="s">
        <v>99</v>
      </c>
      <c r="G21" s="82" t="s">
        <v>98</v>
      </c>
      <c r="H21" s="186" t="s">
        <v>13</v>
      </c>
      <c r="I21" s="187"/>
      <c r="J21" s="188"/>
      <c r="L21" s="7">
        <v>650</v>
      </c>
      <c r="O21" t="s">
        <v>44</v>
      </c>
      <c r="P21" s="4">
        <v>1447</v>
      </c>
      <c r="Q21" s="4">
        <v>120</v>
      </c>
      <c r="R21" s="5">
        <f t="shared" si="0"/>
        <v>1567</v>
      </c>
    </row>
    <row r="22" spans="1:18" ht="15.75" x14ac:dyDescent="0.25">
      <c r="A22" s="128"/>
      <c r="B22" s="46" t="s">
        <v>104</v>
      </c>
      <c r="C22" s="10"/>
      <c r="D22" s="48">
        <f t="shared" si="1"/>
        <v>0</v>
      </c>
      <c r="F22" s="72"/>
      <c r="G22" s="73"/>
      <c r="H22" s="189"/>
      <c r="I22" s="189"/>
      <c r="J22" s="189"/>
      <c r="L22" s="7">
        <f>559+111</f>
        <v>670</v>
      </c>
      <c r="O22" t="s">
        <v>46</v>
      </c>
      <c r="P22" s="4">
        <v>1582</v>
      </c>
      <c r="Q22" s="4"/>
      <c r="R22" s="5">
        <f t="shared" si="0"/>
        <v>1582</v>
      </c>
    </row>
    <row r="23" spans="1:18" ht="15.75" x14ac:dyDescent="0.25">
      <c r="A23" s="128"/>
      <c r="B23" s="14" t="s">
        <v>107</v>
      </c>
      <c r="C23" s="10"/>
      <c r="D23" s="48">
        <f t="shared" si="1"/>
        <v>0</v>
      </c>
      <c r="F23" s="25"/>
      <c r="G23" s="37"/>
      <c r="H23" s="190"/>
      <c r="I23" s="191"/>
      <c r="J23" s="191"/>
      <c r="L23" s="47">
        <f>R33</f>
        <v>1175</v>
      </c>
      <c r="N23" s="1"/>
      <c r="O23" t="s">
        <v>48</v>
      </c>
      <c r="P23" s="4">
        <v>1728</v>
      </c>
      <c r="Q23" s="4"/>
      <c r="R23" s="5">
        <f t="shared" si="0"/>
        <v>1728</v>
      </c>
    </row>
    <row r="24" spans="1:18" ht="15.75" x14ac:dyDescent="0.25">
      <c r="A24" s="128"/>
      <c r="B24" s="14" t="s">
        <v>123</v>
      </c>
      <c r="C24" s="10"/>
      <c r="D24" s="48">
        <f t="shared" si="1"/>
        <v>0</v>
      </c>
      <c r="F24" s="38"/>
      <c r="G24" s="37"/>
      <c r="H24" s="190"/>
      <c r="I24" s="191"/>
      <c r="J24" s="191"/>
      <c r="L24" s="47">
        <f>596/6</f>
        <v>99.333333333333329</v>
      </c>
      <c r="N24" s="1"/>
      <c r="O24" t="s">
        <v>49</v>
      </c>
      <c r="P24" s="4">
        <v>1728</v>
      </c>
      <c r="Q24" s="4"/>
      <c r="R24" s="5">
        <f t="shared" si="0"/>
        <v>1728</v>
      </c>
    </row>
    <row r="25" spans="1:18" ht="15.75" x14ac:dyDescent="0.25">
      <c r="A25" s="128"/>
      <c r="B25" s="14" t="s">
        <v>124</v>
      </c>
      <c r="C25" s="10"/>
      <c r="D25" s="48">
        <f t="shared" si="1"/>
        <v>0</v>
      </c>
      <c r="F25" s="60" t="s">
        <v>100</v>
      </c>
      <c r="G25" s="55" t="s">
        <v>98</v>
      </c>
      <c r="H25" s="192" t="s">
        <v>13</v>
      </c>
      <c r="I25" s="193"/>
      <c r="J25" s="194"/>
      <c r="L25" s="47">
        <f>674/6</f>
        <v>112.33333333333333</v>
      </c>
      <c r="O25" t="s">
        <v>51</v>
      </c>
      <c r="P25" s="4">
        <v>1582</v>
      </c>
      <c r="Q25" s="4"/>
      <c r="R25" s="5">
        <f t="shared" si="0"/>
        <v>1582</v>
      </c>
    </row>
    <row r="26" spans="1:18" ht="15.75" x14ac:dyDescent="0.25">
      <c r="A26" s="128"/>
      <c r="B26" s="14" t="s">
        <v>105</v>
      </c>
      <c r="C26" s="10"/>
      <c r="D26" s="48">
        <f t="shared" si="1"/>
        <v>0</v>
      </c>
      <c r="F26" s="64"/>
      <c r="G26" s="10"/>
      <c r="H26" s="195"/>
      <c r="I26" s="196"/>
      <c r="J26" s="197"/>
      <c r="L26" s="7">
        <f>832/24+1.5</f>
        <v>36.166666666666664</v>
      </c>
      <c r="O26" t="s">
        <v>52</v>
      </c>
      <c r="P26" s="4">
        <v>1447</v>
      </c>
      <c r="Q26" s="4">
        <v>120</v>
      </c>
      <c r="R26" s="5">
        <f t="shared" si="0"/>
        <v>1567</v>
      </c>
    </row>
    <row r="27" spans="1:18" ht="14.45" customHeight="1" x14ac:dyDescent="0.25">
      <c r="A27" s="128"/>
      <c r="B27" s="14" t="s">
        <v>109</v>
      </c>
      <c r="C27" s="10"/>
      <c r="D27" s="44">
        <f t="shared" si="1"/>
        <v>0</v>
      </c>
      <c r="F27" s="14"/>
      <c r="G27" s="14"/>
      <c r="H27" s="198"/>
      <c r="I27" s="199"/>
      <c r="J27" s="200"/>
      <c r="L27" s="7">
        <v>1582</v>
      </c>
      <c r="O27" t="s">
        <v>53</v>
      </c>
      <c r="P27" s="4">
        <v>1582</v>
      </c>
      <c r="Q27" s="4"/>
      <c r="R27" s="5">
        <f t="shared" si="0"/>
        <v>1582</v>
      </c>
    </row>
    <row r="28" spans="1:18" ht="15.75" x14ac:dyDescent="0.25">
      <c r="A28" s="129"/>
      <c r="B28" s="46" t="s">
        <v>97</v>
      </c>
      <c r="C28" s="10">
        <v>2</v>
      </c>
      <c r="D28" s="48">
        <f t="shared" si="1"/>
        <v>1570</v>
      </c>
      <c r="F28" s="101"/>
      <c r="G28" s="61"/>
      <c r="H28" s="201"/>
      <c r="I28" s="202"/>
      <c r="J28" s="203"/>
      <c r="L28" s="7">
        <v>785</v>
      </c>
      <c r="O28" t="s">
        <v>54</v>
      </c>
      <c r="P28" s="4">
        <v>1447</v>
      </c>
      <c r="Q28" s="4">
        <v>120</v>
      </c>
      <c r="R28" s="5">
        <f t="shared" si="0"/>
        <v>1567</v>
      </c>
    </row>
    <row r="29" spans="1:18" x14ac:dyDescent="0.25">
      <c r="A29" s="167" t="s">
        <v>36</v>
      </c>
      <c r="B29" s="168"/>
      <c r="C29" s="169"/>
      <c r="D29" s="173">
        <f>SUM(D6:D28)</f>
        <v>181692</v>
      </c>
      <c r="F29" s="175" t="s">
        <v>55</v>
      </c>
      <c r="G29" s="176"/>
      <c r="H29" s="179">
        <f>H15-H16-H17-H18-H19-H20-H22-H23-H24+H26+H27</f>
        <v>154100.25</v>
      </c>
      <c r="I29" s="180"/>
      <c r="J29" s="181"/>
      <c r="O29" t="s">
        <v>56</v>
      </c>
      <c r="P29" s="4">
        <v>1582</v>
      </c>
      <c r="Q29" s="4"/>
      <c r="R29" s="5">
        <f t="shared" si="0"/>
        <v>1582</v>
      </c>
    </row>
    <row r="30" spans="1:18" x14ac:dyDescent="0.25">
      <c r="A30" s="170"/>
      <c r="B30" s="171"/>
      <c r="C30" s="172"/>
      <c r="D30" s="174"/>
      <c r="F30" s="177"/>
      <c r="G30" s="178"/>
      <c r="H30" s="182"/>
      <c r="I30" s="183"/>
      <c r="J30" s="184"/>
      <c r="N30" s="1"/>
      <c r="Q30" s="4"/>
      <c r="R30" s="5">
        <f t="shared" si="0"/>
        <v>0</v>
      </c>
    </row>
    <row r="31" spans="1:18" x14ac:dyDescent="0.25">
      <c r="A31" s="24"/>
      <c r="B31" s="24"/>
      <c r="C31" s="24"/>
      <c r="D31" s="24"/>
      <c r="F31" s="24"/>
      <c r="G31" s="24"/>
      <c r="O31" t="s">
        <v>57</v>
      </c>
      <c r="P31" s="4">
        <v>1052</v>
      </c>
      <c r="Q31" s="4">
        <v>120</v>
      </c>
      <c r="R31" s="5">
        <f t="shared" si="0"/>
        <v>1172</v>
      </c>
    </row>
    <row r="32" spans="1:18" x14ac:dyDescent="0.25">
      <c r="A32" s="114" t="s">
        <v>58</v>
      </c>
      <c r="B32" s="115"/>
      <c r="C32" s="115"/>
      <c r="D32" s="116"/>
      <c r="F32" s="204" t="s">
        <v>59</v>
      </c>
      <c r="G32" s="205"/>
      <c r="H32" s="205"/>
      <c r="I32" s="205"/>
      <c r="J32" s="206"/>
      <c r="O32" t="s">
        <v>60</v>
      </c>
      <c r="P32" s="4">
        <v>1005</v>
      </c>
      <c r="Q32" s="4">
        <v>120</v>
      </c>
      <c r="R32" s="5">
        <f t="shared" si="0"/>
        <v>1125</v>
      </c>
    </row>
    <row r="33" spans="1:18" x14ac:dyDescent="0.25">
      <c r="A33" s="25"/>
      <c r="B33" s="25" t="s">
        <v>11</v>
      </c>
      <c r="C33" s="25" t="s">
        <v>61</v>
      </c>
      <c r="D33" s="25" t="s">
        <v>13</v>
      </c>
      <c r="F33" s="25" t="s">
        <v>62</v>
      </c>
      <c r="G33" s="102" t="s">
        <v>63</v>
      </c>
      <c r="H33" s="204" t="s">
        <v>13</v>
      </c>
      <c r="I33" s="205"/>
      <c r="J33" s="206"/>
      <c r="O33" t="s">
        <v>64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27" t="s">
        <v>65</v>
      </c>
      <c r="B34" s="26" t="s">
        <v>66</v>
      </c>
      <c r="C34" s="51"/>
      <c r="D34" s="30">
        <f>C34*120</f>
        <v>0</v>
      </c>
      <c r="F34" s="12">
        <v>1000</v>
      </c>
      <c r="G34" s="74">
        <v>95</v>
      </c>
      <c r="H34" s="207">
        <f>F34*G34</f>
        <v>95000</v>
      </c>
      <c r="I34" s="208"/>
      <c r="J34" s="209"/>
      <c r="O34" t="s">
        <v>67</v>
      </c>
      <c r="P34" s="4">
        <v>832</v>
      </c>
      <c r="Q34" s="4">
        <v>120</v>
      </c>
      <c r="R34" s="5">
        <f t="shared" si="0"/>
        <v>952</v>
      </c>
    </row>
    <row r="35" spans="1:18" ht="15.75" x14ac:dyDescent="0.25">
      <c r="A35" s="128"/>
      <c r="B35" s="27" t="s">
        <v>68</v>
      </c>
      <c r="C35" s="52"/>
      <c r="D35" s="30">
        <f>C35*84</f>
        <v>0</v>
      </c>
      <c r="F35" s="58">
        <v>500</v>
      </c>
      <c r="G35" s="41">
        <v>61</v>
      </c>
      <c r="H35" s="207">
        <f t="shared" ref="H35:H39" si="2">F35*G35</f>
        <v>30500</v>
      </c>
      <c r="I35" s="208"/>
      <c r="J35" s="209"/>
      <c r="O35" t="s">
        <v>69</v>
      </c>
      <c r="P35" s="4">
        <v>1102</v>
      </c>
      <c r="Q35" s="4"/>
      <c r="R35" s="5">
        <f t="shared" si="0"/>
        <v>1102</v>
      </c>
    </row>
    <row r="36" spans="1:18" ht="15.75" x14ac:dyDescent="0.25">
      <c r="A36" s="129"/>
      <c r="B36" s="26" t="s">
        <v>70</v>
      </c>
      <c r="C36" s="10"/>
      <c r="D36" s="12">
        <f>C36*1.5</f>
        <v>0</v>
      </c>
      <c r="F36" s="12">
        <v>200</v>
      </c>
      <c r="G36" s="37">
        <v>6</v>
      </c>
      <c r="H36" s="207">
        <f>F36*G36</f>
        <v>1200</v>
      </c>
      <c r="I36" s="208"/>
      <c r="J36" s="209"/>
      <c r="O36" t="s">
        <v>71</v>
      </c>
      <c r="P36" s="4">
        <v>852</v>
      </c>
      <c r="Q36" s="4">
        <v>120</v>
      </c>
      <c r="R36" s="5">
        <f t="shared" si="0"/>
        <v>972</v>
      </c>
    </row>
    <row r="37" spans="1:18" ht="15.75" x14ac:dyDescent="0.25">
      <c r="A37" s="127" t="s">
        <v>72</v>
      </c>
      <c r="B37" s="28" t="s">
        <v>66</v>
      </c>
      <c r="C37" s="53">
        <v>237</v>
      </c>
      <c r="D37" s="12">
        <f>C37*111</f>
        <v>26307</v>
      </c>
      <c r="F37" s="12">
        <v>100</v>
      </c>
      <c r="G37" s="39">
        <v>17</v>
      </c>
      <c r="H37" s="207">
        <f t="shared" si="2"/>
        <v>1700</v>
      </c>
      <c r="I37" s="208"/>
      <c r="J37" s="209"/>
      <c r="O37" t="s">
        <v>73</v>
      </c>
      <c r="P37" s="4">
        <v>1020</v>
      </c>
      <c r="Q37" s="4">
        <v>120</v>
      </c>
      <c r="R37" s="5">
        <f t="shared" si="0"/>
        <v>1140</v>
      </c>
    </row>
    <row r="38" spans="1:18" ht="15.75" x14ac:dyDescent="0.25">
      <c r="A38" s="128"/>
      <c r="B38" s="29" t="s">
        <v>68</v>
      </c>
      <c r="C38" s="54">
        <v>1</v>
      </c>
      <c r="D38" s="12">
        <f>C38*84</f>
        <v>84</v>
      </c>
      <c r="F38" s="30">
        <v>50</v>
      </c>
      <c r="G38" s="39">
        <v>14</v>
      </c>
      <c r="H38" s="207">
        <f t="shared" si="2"/>
        <v>700</v>
      </c>
      <c r="I38" s="208"/>
      <c r="J38" s="209"/>
      <c r="O38" t="s">
        <v>74</v>
      </c>
      <c r="P38" s="4">
        <v>596</v>
      </c>
      <c r="Q38" s="4">
        <v>111</v>
      </c>
      <c r="R38" s="5">
        <f t="shared" si="0"/>
        <v>707</v>
      </c>
    </row>
    <row r="39" spans="1:18" ht="15.75" x14ac:dyDescent="0.25">
      <c r="A39" s="129"/>
      <c r="B39" s="29" t="s">
        <v>70</v>
      </c>
      <c r="C39" s="52">
        <v>23</v>
      </c>
      <c r="D39" s="31">
        <f>C39*4.5</f>
        <v>103.5</v>
      </c>
      <c r="F39" s="12">
        <v>20</v>
      </c>
      <c r="G39" s="37"/>
      <c r="H39" s="207">
        <f t="shared" si="2"/>
        <v>0</v>
      </c>
      <c r="I39" s="208"/>
      <c r="J39" s="209"/>
      <c r="O39" t="s">
        <v>75</v>
      </c>
      <c r="P39" s="4">
        <v>1175</v>
      </c>
      <c r="Q39" s="4"/>
      <c r="R39" s="5">
        <f t="shared" si="0"/>
        <v>1175</v>
      </c>
    </row>
    <row r="40" spans="1:18" ht="15.75" x14ac:dyDescent="0.25">
      <c r="A40" s="127" t="s">
        <v>76</v>
      </c>
      <c r="B40" s="27" t="s">
        <v>66</v>
      </c>
      <c r="C40" s="63">
        <v>2</v>
      </c>
      <c r="D40" s="12">
        <f>C40*111</f>
        <v>222</v>
      </c>
      <c r="F40" s="12">
        <v>10</v>
      </c>
      <c r="G40" s="42"/>
      <c r="H40" s="207"/>
      <c r="I40" s="208"/>
      <c r="J40" s="209"/>
      <c r="O40" t="s">
        <v>77</v>
      </c>
      <c r="P40" s="4">
        <v>913</v>
      </c>
      <c r="Q40" s="4">
        <v>120</v>
      </c>
      <c r="R40" s="5">
        <f t="shared" si="0"/>
        <v>1033</v>
      </c>
    </row>
    <row r="41" spans="1:18" ht="15.75" x14ac:dyDescent="0.25">
      <c r="A41" s="128"/>
      <c r="B41" s="27" t="s">
        <v>68</v>
      </c>
      <c r="C41" s="10">
        <v>2</v>
      </c>
      <c r="D41" s="12">
        <f>C41*84</f>
        <v>168</v>
      </c>
      <c r="F41" s="12">
        <v>5</v>
      </c>
      <c r="G41" s="42"/>
      <c r="H41" s="207"/>
      <c r="I41" s="208"/>
      <c r="J41" s="209"/>
      <c r="K41" s="21"/>
      <c r="O41" t="s">
        <v>78</v>
      </c>
      <c r="P41" s="4">
        <v>614</v>
      </c>
      <c r="Q41" s="4">
        <v>111</v>
      </c>
      <c r="R41" s="5">
        <f t="shared" si="0"/>
        <v>725</v>
      </c>
    </row>
    <row r="42" spans="1:18" ht="15.75" x14ac:dyDescent="0.25">
      <c r="A42" s="129"/>
      <c r="B42" s="27" t="s">
        <v>70</v>
      </c>
      <c r="C42" s="11">
        <v>21</v>
      </c>
      <c r="D42" s="12">
        <f>C42*2.25</f>
        <v>47.25</v>
      </c>
      <c r="F42" s="39" t="s">
        <v>79</v>
      </c>
      <c r="G42" s="207">
        <v>2431</v>
      </c>
      <c r="H42" s="208"/>
      <c r="I42" s="208"/>
      <c r="J42" s="209"/>
      <c r="K42" s="36"/>
      <c r="O42" t="s">
        <v>80</v>
      </c>
      <c r="P42" s="4">
        <v>626</v>
      </c>
      <c r="Q42" s="4">
        <v>111</v>
      </c>
      <c r="R42" s="5">
        <f t="shared" si="0"/>
        <v>737</v>
      </c>
    </row>
    <row r="43" spans="1:18" ht="15.75" x14ac:dyDescent="0.25">
      <c r="A43" s="210" t="s">
        <v>81</v>
      </c>
      <c r="C43" s="11"/>
      <c r="D43" s="12"/>
      <c r="F43" s="59" t="s">
        <v>82</v>
      </c>
      <c r="G43" s="104" t="s">
        <v>83</v>
      </c>
      <c r="H43" s="213" t="s">
        <v>13</v>
      </c>
      <c r="I43" s="214"/>
      <c r="J43" s="215"/>
      <c r="K43" s="21"/>
      <c r="P43" s="4"/>
      <c r="Q43" s="4"/>
      <c r="R43" s="5"/>
    </row>
    <row r="44" spans="1:18" ht="15.75" x14ac:dyDescent="0.25">
      <c r="A44" s="211"/>
      <c r="B44" s="27" t="s">
        <v>66</v>
      </c>
      <c r="C44" s="10">
        <v>1</v>
      </c>
      <c r="D44" s="12">
        <f>C44*120</f>
        <v>120</v>
      </c>
      <c r="F44" s="37" t="s">
        <v>163</v>
      </c>
      <c r="G44" s="62" t="s">
        <v>179</v>
      </c>
      <c r="H44" s="191">
        <v>22576</v>
      </c>
      <c r="I44" s="191"/>
      <c r="J44" s="191"/>
      <c r="K44" s="21"/>
      <c r="P44" s="4"/>
      <c r="Q44" s="4"/>
      <c r="R44" s="5"/>
    </row>
    <row r="45" spans="1:18" ht="15.75" x14ac:dyDescent="0.25">
      <c r="A45" s="211"/>
      <c r="B45" s="27" t="s">
        <v>68</v>
      </c>
      <c r="C45" s="33"/>
      <c r="D45" s="12">
        <f>C45*84</f>
        <v>0</v>
      </c>
      <c r="F45" s="37"/>
      <c r="G45" s="62"/>
      <c r="H45" s="191"/>
      <c r="I45" s="191"/>
      <c r="J45" s="191"/>
      <c r="K45" s="21"/>
      <c r="P45" s="4"/>
      <c r="Q45" s="4"/>
      <c r="R45" s="5"/>
    </row>
    <row r="46" spans="1:18" ht="15.75" x14ac:dyDescent="0.25">
      <c r="A46" s="211"/>
      <c r="B46" s="49" t="s">
        <v>70</v>
      </c>
      <c r="C46" s="81">
        <v>4</v>
      </c>
      <c r="D46" s="12">
        <f>C46*1.5</f>
        <v>6</v>
      </c>
      <c r="F46" s="37"/>
      <c r="G46" s="103"/>
      <c r="H46" s="216"/>
      <c r="I46" s="216"/>
      <c r="J46" s="216"/>
      <c r="K46" s="21"/>
      <c r="P46" s="4"/>
      <c r="Q46" s="4"/>
      <c r="R46" s="5"/>
    </row>
    <row r="47" spans="1:18" ht="15.75" x14ac:dyDescent="0.25">
      <c r="A47" s="212"/>
      <c r="B47" s="27"/>
      <c r="C47" s="11"/>
      <c r="D47" s="12"/>
      <c r="F47" s="59"/>
      <c r="G47" s="59"/>
      <c r="H47" s="217"/>
      <c r="I47" s="218"/>
      <c r="J47" s="219"/>
      <c r="K47" s="21"/>
      <c r="P47" s="4"/>
      <c r="Q47" s="4"/>
      <c r="R47" s="5"/>
    </row>
    <row r="48" spans="1:18" ht="15" customHeight="1" x14ac:dyDescent="0.25">
      <c r="A48" s="210" t="s">
        <v>32</v>
      </c>
      <c r="B48" s="27" t="s">
        <v>66</v>
      </c>
      <c r="C48" s="10">
        <v>6</v>
      </c>
      <c r="D48" s="12">
        <f>C48*78</f>
        <v>468</v>
      </c>
      <c r="F48" s="59"/>
      <c r="G48" s="59"/>
      <c r="H48" s="217"/>
      <c r="I48" s="218"/>
      <c r="J48" s="219"/>
      <c r="K48" s="35"/>
      <c r="O48" t="s">
        <v>84</v>
      </c>
      <c r="P48" s="4">
        <v>1175</v>
      </c>
      <c r="Q48" s="4"/>
      <c r="R48" s="5">
        <f t="shared" si="0"/>
        <v>1175</v>
      </c>
    </row>
    <row r="49" spans="1:18" ht="15.75" x14ac:dyDescent="0.25">
      <c r="A49" s="211"/>
      <c r="B49" s="29" t="s">
        <v>68</v>
      </c>
      <c r="C49" s="33">
        <v>1</v>
      </c>
      <c r="D49" s="12">
        <f>C49*42</f>
        <v>42</v>
      </c>
      <c r="F49" s="232" t="s">
        <v>86</v>
      </c>
      <c r="G49" s="179">
        <f>H34+H35+H36+H37+H38+H39+H40+H41+G42+H44+H45+H46</f>
        <v>154107</v>
      </c>
      <c r="H49" s="180"/>
      <c r="I49" s="180"/>
      <c r="J49" s="181"/>
      <c r="O49" t="s">
        <v>85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211"/>
      <c r="B50" s="32" t="s">
        <v>70</v>
      </c>
      <c r="C50" s="11">
        <v>16</v>
      </c>
      <c r="D50" s="12">
        <f>C50*1.5</f>
        <v>24</v>
      </c>
      <c r="F50" s="233"/>
      <c r="G50" s="182"/>
      <c r="H50" s="183"/>
      <c r="I50" s="183"/>
      <c r="J50" s="184"/>
      <c r="P50" s="4"/>
      <c r="Q50" s="4"/>
      <c r="R50" s="5"/>
    </row>
    <row r="51" spans="1:18" ht="15" customHeight="1" x14ac:dyDescent="0.25">
      <c r="A51" s="211"/>
      <c r="B51" s="27"/>
      <c r="C51" s="10"/>
      <c r="D51" s="31"/>
      <c r="F51" s="234" t="s">
        <v>156</v>
      </c>
      <c r="G51" s="236">
        <f>G49-H29</f>
        <v>6.75</v>
      </c>
      <c r="H51" s="237"/>
      <c r="I51" s="237"/>
      <c r="J51" s="238"/>
      <c r="K51" s="21"/>
      <c r="O51" t="s">
        <v>87</v>
      </c>
      <c r="P51" s="4">
        <v>703</v>
      </c>
      <c r="Q51" s="4">
        <v>120</v>
      </c>
      <c r="R51" s="5">
        <f t="shared" si="0"/>
        <v>823</v>
      </c>
    </row>
    <row r="52" spans="1:18" ht="15.75" x14ac:dyDescent="0.25">
      <c r="A52" s="211"/>
      <c r="B52" s="29"/>
      <c r="C52" s="33"/>
      <c r="D52" s="45"/>
      <c r="F52" s="235"/>
      <c r="G52" s="239"/>
      <c r="H52" s="240"/>
      <c r="I52" s="240"/>
      <c r="J52" s="241"/>
      <c r="K52" s="21"/>
      <c r="O52" t="s">
        <v>88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212"/>
      <c r="B53" s="32"/>
      <c r="C53" s="11"/>
      <c r="D53" s="12"/>
      <c r="F53" s="35"/>
      <c r="G53" s="24"/>
      <c r="H53" s="24"/>
      <c r="I53" s="24"/>
      <c r="J53" s="17"/>
      <c r="N53" s="1"/>
      <c r="O53" t="s">
        <v>89</v>
      </c>
      <c r="P53" s="4">
        <v>1142</v>
      </c>
    </row>
    <row r="54" spans="1:18" x14ac:dyDescent="0.25">
      <c r="A54" s="175" t="s">
        <v>90</v>
      </c>
      <c r="B54" s="220"/>
      <c r="C54" s="221"/>
      <c r="D54" s="224">
        <f>SUM(D34:D53)</f>
        <v>27591.75</v>
      </c>
      <c r="F54" s="21"/>
      <c r="J54" s="34"/>
    </row>
    <row r="55" spans="1:18" x14ac:dyDescent="0.25">
      <c r="A55" s="177"/>
      <c r="B55" s="222"/>
      <c r="C55" s="223"/>
      <c r="D55" s="225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178</v>
      </c>
      <c r="D57" s="34"/>
      <c r="F57" s="36"/>
      <c r="G57" s="50"/>
      <c r="H57" s="50"/>
      <c r="I57" s="50"/>
      <c r="J57" s="43"/>
    </row>
    <row r="58" spans="1:18" x14ac:dyDescent="0.25">
      <c r="A58" s="226" t="s">
        <v>91</v>
      </c>
      <c r="B58" s="227"/>
      <c r="C58" s="227"/>
      <c r="D58" s="228"/>
      <c r="F58" s="226" t="s">
        <v>92</v>
      </c>
      <c r="G58" s="227"/>
      <c r="H58" s="227"/>
      <c r="I58" s="227"/>
      <c r="J58" s="228"/>
    </row>
    <row r="59" spans="1:18" x14ac:dyDescent="0.25">
      <c r="A59" s="229"/>
      <c r="B59" s="230"/>
      <c r="C59" s="230"/>
      <c r="D59" s="231"/>
      <c r="F59" s="229"/>
      <c r="G59" s="230"/>
      <c r="H59" s="230"/>
      <c r="I59" s="230"/>
      <c r="J59" s="231"/>
    </row>
  </sheetData>
  <mergeCells count="68"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  <mergeCell ref="H13:J13"/>
    <mergeCell ref="F14:G14"/>
    <mergeCell ref="H14:J14"/>
    <mergeCell ref="F15:G15"/>
    <mergeCell ref="H15:J15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A32:D32"/>
    <mergeCell ref="F32:J32"/>
    <mergeCell ref="H33:J33"/>
    <mergeCell ref="A34:A36"/>
    <mergeCell ref="H34:J34"/>
    <mergeCell ref="H35:J35"/>
    <mergeCell ref="H36:J36"/>
    <mergeCell ref="A37:A39"/>
    <mergeCell ref="H37:J37"/>
    <mergeCell ref="H38:J38"/>
    <mergeCell ref="H39:J39"/>
    <mergeCell ref="A40:A42"/>
    <mergeCell ref="H40:J40"/>
    <mergeCell ref="H41:J41"/>
    <mergeCell ref="G42:J42"/>
    <mergeCell ref="A43:A47"/>
    <mergeCell ref="H43:J43"/>
    <mergeCell ref="H44:J44"/>
    <mergeCell ref="H45:J45"/>
    <mergeCell ref="H46:J46"/>
    <mergeCell ref="H47:J47"/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4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A5B278A-5BE5-4192-A0AB-03C6D7B00179}">
  <dimension ref="A1:R59"/>
  <sheetViews>
    <sheetView zoomScaleNormal="100" zoomScaleSheetLayoutView="85" workbookViewId="0">
      <selection activeCell="G4" sqref="G4:G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bestFit="1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113" t="s">
        <v>1</v>
      </c>
      <c r="O1" s="113"/>
      <c r="P1" s="100" t="s">
        <v>2</v>
      </c>
      <c r="Q1" s="100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14" t="s">
        <v>7</v>
      </c>
      <c r="B4" s="115"/>
      <c r="C4" s="115"/>
      <c r="D4" s="116"/>
      <c r="F4" s="117" t="s">
        <v>8</v>
      </c>
      <c r="G4" s="119">
        <v>2</v>
      </c>
      <c r="H4" s="121" t="s">
        <v>9</v>
      </c>
      <c r="I4" s="123">
        <v>45976</v>
      </c>
      <c r="J4" s="124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27" t="s">
        <v>7</v>
      </c>
      <c r="B5" s="15" t="s">
        <v>11</v>
      </c>
      <c r="C5" s="9" t="s">
        <v>12</v>
      </c>
      <c r="D5" s="25" t="s">
        <v>13</v>
      </c>
      <c r="F5" s="118"/>
      <c r="G5" s="120"/>
      <c r="H5" s="122"/>
      <c r="I5" s="125"/>
      <c r="J5" s="126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28"/>
      <c r="B6" s="16" t="s">
        <v>15</v>
      </c>
      <c r="C6" s="89"/>
      <c r="D6" s="13">
        <f t="shared" ref="D6:D28" si="1">C6*L6</f>
        <v>0</v>
      </c>
      <c r="F6" s="130" t="s">
        <v>16</v>
      </c>
      <c r="G6" s="132" t="s">
        <v>129</v>
      </c>
      <c r="H6" s="133"/>
      <c r="I6" s="133"/>
      <c r="J6" s="134"/>
      <c r="K6" s="8"/>
      <c r="L6" s="6">
        <f>R42</f>
        <v>737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28"/>
      <c r="B7" s="16" t="s">
        <v>18</v>
      </c>
      <c r="C7" s="89"/>
      <c r="D7" s="13">
        <f t="shared" si="1"/>
        <v>0</v>
      </c>
      <c r="F7" s="131"/>
      <c r="G7" s="135"/>
      <c r="H7" s="136"/>
      <c r="I7" s="136"/>
      <c r="J7" s="137"/>
      <c r="K7" s="8"/>
      <c r="L7" s="6">
        <f>R41</f>
        <v>725</v>
      </c>
      <c r="P7" s="4"/>
      <c r="Q7" s="4"/>
      <c r="R7" s="5"/>
    </row>
    <row r="8" spans="1:18" ht="14.45" customHeight="1" x14ac:dyDescent="0.25">
      <c r="A8" s="128"/>
      <c r="B8" s="16" t="s">
        <v>20</v>
      </c>
      <c r="C8" s="89"/>
      <c r="D8" s="13">
        <f t="shared" si="1"/>
        <v>0</v>
      </c>
      <c r="F8" s="138" t="s">
        <v>21</v>
      </c>
      <c r="G8" s="140" t="s">
        <v>112</v>
      </c>
      <c r="H8" s="141"/>
      <c r="I8" s="141"/>
      <c r="J8" s="142"/>
      <c r="K8" s="8"/>
      <c r="L8" s="6">
        <f>R40</f>
        <v>1033</v>
      </c>
      <c r="P8" s="4"/>
      <c r="Q8" s="4"/>
      <c r="R8" s="5"/>
    </row>
    <row r="9" spans="1:18" ht="14.45" customHeight="1" x14ac:dyDescent="0.25">
      <c r="A9" s="128"/>
      <c r="B9" s="16" t="s">
        <v>23</v>
      </c>
      <c r="C9" s="89"/>
      <c r="D9" s="13">
        <f t="shared" si="1"/>
        <v>0</v>
      </c>
      <c r="F9" s="131"/>
      <c r="G9" s="143"/>
      <c r="H9" s="144"/>
      <c r="I9" s="144"/>
      <c r="J9" s="145"/>
      <c r="K9" s="8"/>
      <c r="L9" s="6">
        <f>R38</f>
        <v>707</v>
      </c>
      <c r="P9" s="4"/>
      <c r="Q9" s="4"/>
      <c r="R9" s="5"/>
    </row>
    <row r="10" spans="1:18" ht="14.45" customHeight="1" x14ac:dyDescent="0.25">
      <c r="A10" s="128"/>
      <c r="B10" t="s">
        <v>25</v>
      </c>
      <c r="C10" s="89"/>
      <c r="D10" s="13">
        <f t="shared" si="1"/>
        <v>0</v>
      </c>
      <c r="F10" s="130" t="s">
        <v>26</v>
      </c>
      <c r="G10" s="146" t="s">
        <v>130</v>
      </c>
      <c r="H10" s="147"/>
      <c r="I10" s="147"/>
      <c r="J10" s="148"/>
      <c r="K10" s="8"/>
      <c r="L10" s="6">
        <f>R36</f>
        <v>972</v>
      </c>
      <c r="P10" s="4"/>
      <c r="Q10" s="4"/>
      <c r="R10" s="5"/>
    </row>
    <row r="11" spans="1:18" ht="15.75" x14ac:dyDescent="0.25">
      <c r="A11" s="128"/>
      <c r="B11" s="17" t="s">
        <v>28</v>
      </c>
      <c r="C11" s="89"/>
      <c r="D11" s="13">
        <f t="shared" si="1"/>
        <v>0</v>
      </c>
      <c r="F11" s="131"/>
      <c r="G11" s="143"/>
      <c r="H11" s="144"/>
      <c r="I11" s="144"/>
      <c r="J11" s="145"/>
      <c r="K11" s="22"/>
      <c r="L11" s="6">
        <f>R32</f>
        <v>1125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28"/>
      <c r="B12" s="17" t="s">
        <v>30</v>
      </c>
      <c r="C12" s="89"/>
      <c r="D12" s="48">
        <f t="shared" si="1"/>
        <v>0</v>
      </c>
      <c r="F12" s="149" t="s">
        <v>33</v>
      </c>
      <c r="G12" s="150"/>
      <c r="H12" s="150"/>
      <c r="I12" s="150"/>
      <c r="J12" s="151"/>
      <c r="K12" s="23"/>
      <c r="L12" s="6">
        <f>R34</f>
        <v>952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28"/>
      <c r="B13" s="17" t="s">
        <v>32</v>
      </c>
      <c r="C13" s="89"/>
      <c r="D13" s="48">
        <f t="shared" si="1"/>
        <v>0</v>
      </c>
      <c r="F13" s="152" t="s">
        <v>36</v>
      </c>
      <c r="G13" s="153"/>
      <c r="H13" s="154">
        <f>D29</f>
        <v>0</v>
      </c>
      <c r="I13" s="155"/>
      <c r="J13" s="156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28"/>
      <c r="B14" s="14" t="s">
        <v>35</v>
      </c>
      <c r="C14" s="89"/>
      <c r="D14" s="31">
        <f t="shared" si="1"/>
        <v>0</v>
      </c>
      <c r="F14" s="157" t="s">
        <v>39</v>
      </c>
      <c r="G14" s="158"/>
      <c r="H14" s="159">
        <f>D54</f>
        <v>0</v>
      </c>
      <c r="I14" s="160"/>
      <c r="J14" s="161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28"/>
      <c r="B15" s="14" t="s">
        <v>38</v>
      </c>
      <c r="C15" s="89"/>
      <c r="D15" s="31">
        <f t="shared" si="1"/>
        <v>0</v>
      </c>
      <c r="F15" s="162" t="s">
        <v>40</v>
      </c>
      <c r="G15" s="153"/>
      <c r="H15" s="163">
        <f>H13-H14</f>
        <v>0</v>
      </c>
      <c r="I15" s="164"/>
      <c r="J15" s="165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28"/>
      <c r="B16" s="18" t="s">
        <v>94</v>
      </c>
      <c r="C16" s="89"/>
      <c r="D16" s="48">
        <f t="shared" si="1"/>
        <v>0</v>
      </c>
      <c r="F16" s="67" t="s">
        <v>42</v>
      </c>
      <c r="G16" s="66" t="s">
        <v>43</v>
      </c>
      <c r="H16" s="166"/>
      <c r="I16" s="166"/>
      <c r="J16" s="166"/>
      <c r="L16" s="6">
        <f>R28</f>
        <v>1567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28"/>
      <c r="B17" t="s">
        <v>140</v>
      </c>
      <c r="C17" s="89"/>
      <c r="D17" s="48">
        <f t="shared" si="1"/>
        <v>0</v>
      </c>
      <c r="F17" s="56"/>
      <c r="G17" s="66" t="s">
        <v>45</v>
      </c>
      <c r="H17" s="139"/>
      <c r="I17" s="139"/>
      <c r="J17" s="139"/>
      <c r="L17" s="6">
        <f>1582</f>
        <v>1582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28"/>
      <c r="B18" s="19" t="s">
        <v>95</v>
      </c>
      <c r="C18" s="89"/>
      <c r="D18" s="48">
        <f t="shared" si="1"/>
        <v>0</v>
      </c>
      <c r="F18" s="56"/>
      <c r="G18" s="66" t="s">
        <v>47</v>
      </c>
      <c r="H18" s="139"/>
      <c r="I18" s="139"/>
      <c r="J18" s="139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28"/>
      <c r="B19" s="14" t="s">
        <v>136</v>
      </c>
      <c r="C19" s="89"/>
      <c r="D19" s="48">
        <f t="shared" si="1"/>
        <v>0</v>
      </c>
      <c r="F19" s="56"/>
      <c r="G19" s="68" t="s">
        <v>50</v>
      </c>
      <c r="H19" s="139"/>
      <c r="I19" s="139"/>
      <c r="J19" s="139"/>
      <c r="L19" s="6">
        <v>1102</v>
      </c>
      <c r="Q19" s="4"/>
      <c r="R19" s="5">
        <f t="shared" si="0"/>
        <v>0</v>
      </c>
    </row>
    <row r="20" spans="1:18" ht="15.75" x14ac:dyDescent="0.25">
      <c r="A20" s="128"/>
      <c r="B20" s="83" t="s">
        <v>125</v>
      </c>
      <c r="C20" s="89"/>
      <c r="D20" s="13">
        <f t="shared" si="1"/>
        <v>0</v>
      </c>
      <c r="F20" s="57"/>
      <c r="G20" s="70" t="s">
        <v>120</v>
      </c>
      <c r="H20" s="166"/>
      <c r="I20" s="166"/>
      <c r="J20" s="166"/>
      <c r="L20" s="6">
        <f>R39</f>
        <v>1175</v>
      </c>
      <c r="N20" s="1" t="s">
        <v>41</v>
      </c>
      <c r="Q20" s="4"/>
      <c r="R20" s="5">
        <f t="shared" si="0"/>
        <v>0</v>
      </c>
    </row>
    <row r="21" spans="1:18" ht="15.75" x14ac:dyDescent="0.25">
      <c r="A21" s="128"/>
      <c r="B21" s="14" t="s">
        <v>138</v>
      </c>
      <c r="C21" s="89"/>
      <c r="D21" s="48">
        <f t="shared" si="1"/>
        <v>0</v>
      </c>
      <c r="F21" s="69" t="s">
        <v>99</v>
      </c>
      <c r="G21" s="82" t="s">
        <v>98</v>
      </c>
      <c r="H21" s="186" t="s">
        <v>13</v>
      </c>
      <c r="I21" s="187"/>
      <c r="J21" s="188"/>
      <c r="L21" s="7">
        <v>650</v>
      </c>
      <c r="O21" t="s">
        <v>44</v>
      </c>
      <c r="P21" s="4">
        <v>1447</v>
      </c>
      <c r="Q21" s="4">
        <v>120</v>
      </c>
      <c r="R21" s="5">
        <f t="shared" si="0"/>
        <v>1567</v>
      </c>
    </row>
    <row r="22" spans="1:18" ht="15.75" x14ac:dyDescent="0.25">
      <c r="A22" s="128"/>
      <c r="B22" s="46" t="s">
        <v>127</v>
      </c>
      <c r="C22" s="89"/>
      <c r="D22" s="48">
        <f t="shared" si="1"/>
        <v>0</v>
      </c>
      <c r="F22" s="77"/>
      <c r="G22" s="73"/>
      <c r="H22" s="189"/>
      <c r="I22" s="189"/>
      <c r="J22" s="189"/>
      <c r="L22" s="7">
        <v>1582</v>
      </c>
      <c r="O22" t="s">
        <v>46</v>
      </c>
      <c r="P22" s="4">
        <v>1582</v>
      </c>
      <c r="Q22" s="4"/>
      <c r="R22" s="5">
        <f t="shared" si="0"/>
        <v>1582</v>
      </c>
    </row>
    <row r="23" spans="1:18" ht="15.75" x14ac:dyDescent="0.25">
      <c r="A23" s="128"/>
      <c r="B23" s="14" t="s">
        <v>101</v>
      </c>
      <c r="C23" s="89"/>
      <c r="D23" s="48">
        <f t="shared" si="1"/>
        <v>0</v>
      </c>
      <c r="F23" s="77"/>
      <c r="G23" s="79"/>
      <c r="H23" s="242"/>
      <c r="I23" s="243"/>
      <c r="J23" s="243"/>
      <c r="L23" s="47">
        <v>1667</v>
      </c>
      <c r="N23" s="1"/>
      <c r="O23" t="s">
        <v>48</v>
      </c>
      <c r="P23" s="4">
        <v>1728</v>
      </c>
      <c r="Q23" s="4"/>
      <c r="R23" s="5">
        <f t="shared" si="0"/>
        <v>1728</v>
      </c>
    </row>
    <row r="24" spans="1:18" ht="15.75" x14ac:dyDescent="0.25">
      <c r="A24" s="128"/>
      <c r="B24" s="14" t="s">
        <v>121</v>
      </c>
      <c r="C24" s="89"/>
      <c r="D24" s="48">
        <f t="shared" si="1"/>
        <v>0</v>
      </c>
      <c r="F24" s="77"/>
      <c r="G24" s="79"/>
      <c r="H24" s="242"/>
      <c r="I24" s="243"/>
      <c r="J24" s="243"/>
      <c r="L24" s="47">
        <f>913/24+1.5</f>
        <v>39.541666666666664</v>
      </c>
      <c r="N24" s="1"/>
      <c r="O24" t="s">
        <v>49</v>
      </c>
      <c r="P24" s="4">
        <v>1728</v>
      </c>
      <c r="Q24" s="4"/>
      <c r="R24" s="5">
        <f t="shared" si="0"/>
        <v>1728</v>
      </c>
    </row>
    <row r="25" spans="1:18" ht="15.75" x14ac:dyDescent="0.25">
      <c r="A25" s="128"/>
      <c r="B25" s="14" t="s">
        <v>141</v>
      </c>
      <c r="C25" s="89"/>
      <c r="D25" s="48">
        <f t="shared" si="1"/>
        <v>0</v>
      </c>
      <c r="F25" s="60" t="s">
        <v>100</v>
      </c>
      <c r="G25" s="55" t="s">
        <v>98</v>
      </c>
      <c r="H25" s="192" t="s">
        <v>13</v>
      </c>
      <c r="I25" s="193"/>
      <c r="J25" s="194"/>
      <c r="L25" s="47">
        <f>1052+120</f>
        <v>1172</v>
      </c>
      <c r="O25" t="s">
        <v>51</v>
      </c>
      <c r="P25" s="4">
        <v>1582</v>
      </c>
      <c r="Q25" s="4"/>
      <c r="R25" s="5">
        <f t="shared" si="0"/>
        <v>1582</v>
      </c>
    </row>
    <row r="26" spans="1:18" ht="15.75" x14ac:dyDescent="0.25">
      <c r="A26" s="128"/>
      <c r="B26" s="14" t="s">
        <v>139</v>
      </c>
      <c r="C26" s="89"/>
      <c r="D26" s="48">
        <f t="shared" si="1"/>
        <v>0</v>
      </c>
      <c r="F26" s="75"/>
      <c r="G26" s="65"/>
      <c r="H26" s="191"/>
      <c r="I26" s="191"/>
      <c r="J26" s="191"/>
      <c r="L26" s="7">
        <f>1447+120</f>
        <v>1567</v>
      </c>
      <c r="O26" t="s">
        <v>52</v>
      </c>
      <c r="P26" s="4">
        <v>1447</v>
      </c>
      <c r="Q26" s="4">
        <v>120</v>
      </c>
      <c r="R26" s="5">
        <f t="shared" si="0"/>
        <v>1567</v>
      </c>
    </row>
    <row r="27" spans="1:18" ht="14.45" customHeight="1" x14ac:dyDescent="0.25">
      <c r="A27" s="128"/>
      <c r="B27" s="14" t="s">
        <v>110</v>
      </c>
      <c r="C27" s="89"/>
      <c r="D27" s="44">
        <f t="shared" si="1"/>
        <v>0</v>
      </c>
      <c r="F27" s="71"/>
      <c r="G27" s="104"/>
      <c r="H27" s="244"/>
      <c r="I27" s="245"/>
      <c r="J27" s="245"/>
      <c r="L27" s="7">
        <v>1142</v>
      </c>
      <c r="O27" t="s">
        <v>53</v>
      </c>
      <c r="P27" s="4">
        <v>1582</v>
      </c>
      <c r="Q27" s="4"/>
      <c r="R27" s="5">
        <f t="shared" si="0"/>
        <v>1582</v>
      </c>
    </row>
    <row r="28" spans="1:18" ht="15.75" x14ac:dyDescent="0.25">
      <c r="A28" s="129"/>
      <c r="B28" s="46" t="s">
        <v>97</v>
      </c>
      <c r="C28" s="89"/>
      <c r="D28" s="48">
        <f t="shared" si="1"/>
        <v>0</v>
      </c>
      <c r="F28" s="101"/>
      <c r="G28" s="61"/>
      <c r="H28" s="201"/>
      <c r="I28" s="202"/>
      <c r="J28" s="203"/>
      <c r="L28" s="7">
        <v>785</v>
      </c>
      <c r="O28" t="s">
        <v>54</v>
      </c>
      <c r="P28" s="4">
        <v>1447</v>
      </c>
      <c r="Q28" s="4">
        <v>120</v>
      </c>
      <c r="R28" s="5">
        <f t="shared" si="0"/>
        <v>1567</v>
      </c>
    </row>
    <row r="29" spans="1:18" x14ac:dyDescent="0.25">
      <c r="A29" s="167" t="s">
        <v>36</v>
      </c>
      <c r="B29" s="168"/>
      <c r="C29" s="169"/>
      <c r="D29" s="173">
        <f>SUM(D6:D28)</f>
        <v>0</v>
      </c>
      <c r="F29" s="175" t="s">
        <v>55</v>
      </c>
      <c r="G29" s="176"/>
      <c r="H29" s="179">
        <f>H15-H16-H17-H18-H19-H20-H22-H23-H24+H26+H27+H28</f>
        <v>0</v>
      </c>
      <c r="I29" s="180"/>
      <c r="J29" s="181"/>
      <c r="O29" t="s">
        <v>56</v>
      </c>
      <c r="P29" s="4">
        <v>1582</v>
      </c>
      <c r="Q29" s="4"/>
      <c r="R29" s="5">
        <f t="shared" si="0"/>
        <v>1582</v>
      </c>
    </row>
    <row r="30" spans="1:18" x14ac:dyDescent="0.25">
      <c r="A30" s="170"/>
      <c r="B30" s="171"/>
      <c r="C30" s="172"/>
      <c r="D30" s="174"/>
      <c r="F30" s="177"/>
      <c r="G30" s="178"/>
      <c r="H30" s="182"/>
      <c r="I30" s="183"/>
      <c r="J30" s="184"/>
      <c r="N30" s="1"/>
      <c r="Q30" s="4"/>
      <c r="R30" s="5">
        <f t="shared" si="0"/>
        <v>0</v>
      </c>
    </row>
    <row r="31" spans="1:18" x14ac:dyDescent="0.25">
      <c r="A31" s="24"/>
      <c r="B31" s="24"/>
      <c r="C31" s="24"/>
      <c r="D31" s="24"/>
      <c r="F31" s="24"/>
      <c r="G31" s="24"/>
      <c r="O31" t="s">
        <v>57</v>
      </c>
      <c r="P31" s="4">
        <v>1052</v>
      </c>
      <c r="Q31" s="4">
        <v>120</v>
      </c>
      <c r="R31" s="5">
        <f t="shared" si="0"/>
        <v>1172</v>
      </c>
    </row>
    <row r="32" spans="1:18" x14ac:dyDescent="0.25">
      <c r="A32" s="114" t="s">
        <v>58</v>
      </c>
      <c r="B32" s="115"/>
      <c r="C32" s="115"/>
      <c r="D32" s="116"/>
      <c r="F32" s="204" t="s">
        <v>59</v>
      </c>
      <c r="G32" s="205"/>
      <c r="H32" s="205"/>
      <c r="I32" s="205"/>
      <c r="J32" s="206"/>
      <c r="O32" t="s">
        <v>60</v>
      </c>
      <c r="P32" s="4">
        <v>1005</v>
      </c>
      <c r="Q32" s="4">
        <v>120</v>
      </c>
      <c r="R32" s="5">
        <f t="shared" si="0"/>
        <v>1125</v>
      </c>
    </row>
    <row r="33" spans="1:18" x14ac:dyDescent="0.25">
      <c r="A33" s="25"/>
      <c r="B33" s="25" t="s">
        <v>11</v>
      </c>
      <c r="C33" s="25" t="s">
        <v>61</v>
      </c>
      <c r="D33" s="25" t="s">
        <v>13</v>
      </c>
      <c r="F33" s="25" t="s">
        <v>62</v>
      </c>
      <c r="G33" s="102" t="s">
        <v>63</v>
      </c>
      <c r="H33" s="204" t="s">
        <v>13</v>
      </c>
      <c r="I33" s="205"/>
      <c r="J33" s="206"/>
      <c r="O33" t="s">
        <v>64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27" t="s">
        <v>65</v>
      </c>
      <c r="B34" s="26" t="s">
        <v>66</v>
      </c>
      <c r="C34" s="51"/>
      <c r="D34" s="30">
        <f>C34*120</f>
        <v>0</v>
      </c>
      <c r="F34" s="12">
        <v>1000</v>
      </c>
      <c r="G34" s="40"/>
      <c r="H34" s="207">
        <f t="shared" ref="H34:H39" si="2">F34*G34</f>
        <v>0</v>
      </c>
      <c r="I34" s="208"/>
      <c r="J34" s="209"/>
      <c r="O34" t="s">
        <v>67</v>
      </c>
      <c r="P34" s="4">
        <v>832</v>
      </c>
      <c r="Q34" s="4">
        <v>120</v>
      </c>
      <c r="R34" s="5">
        <f t="shared" si="0"/>
        <v>952</v>
      </c>
    </row>
    <row r="35" spans="1:18" ht="15.75" x14ac:dyDescent="0.25">
      <c r="A35" s="128"/>
      <c r="B35" s="27" t="s">
        <v>68</v>
      </c>
      <c r="C35" s="52"/>
      <c r="D35" s="30">
        <f>C35*84</f>
        <v>0</v>
      </c>
      <c r="F35" s="58">
        <v>500</v>
      </c>
      <c r="G35" s="41"/>
      <c r="H35" s="207">
        <f t="shared" si="2"/>
        <v>0</v>
      </c>
      <c r="I35" s="208"/>
      <c r="J35" s="209"/>
      <c r="O35" t="s">
        <v>69</v>
      </c>
      <c r="P35" s="4">
        <v>1102</v>
      </c>
      <c r="Q35" s="4"/>
      <c r="R35" s="5">
        <f t="shared" si="0"/>
        <v>1102</v>
      </c>
    </row>
    <row r="36" spans="1:18" ht="15.75" x14ac:dyDescent="0.25">
      <c r="A36" s="129"/>
      <c r="B36" s="26" t="s">
        <v>70</v>
      </c>
      <c r="C36" s="10"/>
      <c r="D36" s="12">
        <f>C36*1.5</f>
        <v>0</v>
      </c>
      <c r="F36" s="12">
        <v>200</v>
      </c>
      <c r="G36" s="37"/>
      <c r="H36" s="207">
        <f t="shared" si="2"/>
        <v>0</v>
      </c>
      <c r="I36" s="208"/>
      <c r="J36" s="209"/>
      <c r="O36" t="s">
        <v>71</v>
      </c>
      <c r="P36" s="4">
        <v>852</v>
      </c>
      <c r="Q36" s="4">
        <v>120</v>
      </c>
      <c r="R36" s="5">
        <f t="shared" si="0"/>
        <v>972</v>
      </c>
    </row>
    <row r="37" spans="1:18" ht="15.75" x14ac:dyDescent="0.25">
      <c r="A37" s="127" t="s">
        <v>72</v>
      </c>
      <c r="B37" s="28" t="s">
        <v>66</v>
      </c>
      <c r="C37" s="53"/>
      <c r="D37" s="12">
        <f>C37*111</f>
        <v>0</v>
      </c>
      <c r="F37" s="12">
        <v>100</v>
      </c>
      <c r="G37" s="39"/>
      <c r="H37" s="207">
        <f t="shared" si="2"/>
        <v>0</v>
      </c>
      <c r="I37" s="208"/>
      <c r="J37" s="209"/>
      <c r="O37" t="s">
        <v>73</v>
      </c>
      <c r="P37" s="4">
        <v>1020</v>
      </c>
      <c r="Q37" s="4">
        <v>120</v>
      </c>
      <c r="R37" s="5">
        <f t="shared" si="0"/>
        <v>1140</v>
      </c>
    </row>
    <row r="38" spans="1:18" ht="15.75" x14ac:dyDescent="0.25">
      <c r="A38" s="128"/>
      <c r="B38" s="29" t="s">
        <v>68</v>
      </c>
      <c r="C38" s="54"/>
      <c r="D38" s="12">
        <f>C38*84</f>
        <v>0</v>
      </c>
      <c r="F38" s="30">
        <v>50</v>
      </c>
      <c r="G38" s="39"/>
      <c r="H38" s="207">
        <f t="shared" si="2"/>
        <v>0</v>
      </c>
      <c r="I38" s="208"/>
      <c r="J38" s="209"/>
      <c r="O38" t="s">
        <v>74</v>
      </c>
      <c r="P38" s="4">
        <v>596</v>
      </c>
      <c r="Q38" s="4">
        <v>111</v>
      </c>
      <c r="R38" s="5">
        <f t="shared" si="0"/>
        <v>707</v>
      </c>
    </row>
    <row r="39" spans="1:18" ht="15.75" x14ac:dyDescent="0.25">
      <c r="A39" s="129"/>
      <c r="B39" s="29" t="s">
        <v>70</v>
      </c>
      <c r="C39" s="52"/>
      <c r="D39" s="31">
        <f>C39*4.5</f>
        <v>0</v>
      </c>
      <c r="F39" s="12">
        <v>20</v>
      </c>
      <c r="G39" s="37"/>
      <c r="H39" s="207">
        <f t="shared" si="2"/>
        <v>0</v>
      </c>
      <c r="I39" s="208"/>
      <c r="J39" s="209"/>
      <c r="O39" t="s">
        <v>75</v>
      </c>
      <c r="P39" s="4">
        <v>1175</v>
      </c>
      <c r="Q39" s="4"/>
      <c r="R39" s="5">
        <f t="shared" si="0"/>
        <v>1175</v>
      </c>
    </row>
    <row r="40" spans="1:18" ht="15.75" x14ac:dyDescent="0.25">
      <c r="A40" s="127" t="s">
        <v>76</v>
      </c>
      <c r="B40" s="27" t="s">
        <v>66</v>
      </c>
      <c r="C40" s="63"/>
      <c r="D40" s="12">
        <f>C40*111</f>
        <v>0</v>
      </c>
      <c r="F40" s="12">
        <v>10</v>
      </c>
      <c r="G40" s="42"/>
      <c r="H40" s="207"/>
      <c r="I40" s="208"/>
      <c r="J40" s="209"/>
      <c r="O40" t="s">
        <v>77</v>
      </c>
      <c r="P40" s="4">
        <v>913</v>
      </c>
      <c r="Q40" s="4">
        <v>120</v>
      </c>
      <c r="R40" s="5">
        <f t="shared" si="0"/>
        <v>1033</v>
      </c>
    </row>
    <row r="41" spans="1:18" ht="15.75" x14ac:dyDescent="0.25">
      <c r="A41" s="128"/>
      <c r="B41" s="27" t="s">
        <v>68</v>
      </c>
      <c r="C41" s="10"/>
      <c r="D41" s="12">
        <f>C41*84</f>
        <v>0</v>
      </c>
      <c r="F41" s="12">
        <v>5</v>
      </c>
      <c r="G41" s="42"/>
      <c r="H41" s="207"/>
      <c r="I41" s="208"/>
      <c r="J41" s="209"/>
      <c r="K41" s="21"/>
      <c r="O41" t="s">
        <v>78</v>
      </c>
      <c r="P41" s="4">
        <v>614</v>
      </c>
      <c r="Q41" s="4">
        <v>111</v>
      </c>
      <c r="R41" s="5">
        <f t="shared" si="0"/>
        <v>725</v>
      </c>
    </row>
    <row r="42" spans="1:18" ht="15.75" x14ac:dyDescent="0.25">
      <c r="A42" s="129"/>
      <c r="B42" s="27" t="s">
        <v>70</v>
      </c>
      <c r="C42" s="11"/>
      <c r="D42" s="12">
        <f>C42*2.25</f>
        <v>0</v>
      </c>
      <c r="F42" s="39" t="s">
        <v>79</v>
      </c>
      <c r="G42" s="207"/>
      <c r="H42" s="208"/>
      <c r="I42" s="208"/>
      <c r="J42" s="209"/>
      <c r="K42" s="36"/>
      <c r="O42" t="s">
        <v>80</v>
      </c>
      <c r="P42" s="4">
        <v>626</v>
      </c>
      <c r="Q42" s="4">
        <v>111</v>
      </c>
      <c r="R42" s="5">
        <f t="shared" si="0"/>
        <v>737</v>
      </c>
    </row>
    <row r="43" spans="1:18" ht="15.75" x14ac:dyDescent="0.25">
      <c r="A43" s="210" t="s">
        <v>81</v>
      </c>
      <c r="C43" s="11"/>
      <c r="D43" s="12"/>
      <c r="F43" s="59" t="s">
        <v>82</v>
      </c>
      <c r="G43" s="104" t="s">
        <v>83</v>
      </c>
      <c r="H43" s="213" t="s">
        <v>13</v>
      </c>
      <c r="I43" s="214"/>
      <c r="J43" s="215"/>
      <c r="K43" s="21"/>
      <c r="O43" t="s">
        <v>103</v>
      </c>
      <c r="P43" s="4">
        <v>1667</v>
      </c>
      <c r="Q43" s="4"/>
      <c r="R43" s="5"/>
    </row>
    <row r="44" spans="1:18" ht="15.75" x14ac:dyDescent="0.25">
      <c r="A44" s="211"/>
      <c r="B44" s="27" t="s">
        <v>66</v>
      </c>
      <c r="C44" s="10"/>
      <c r="D44" s="12">
        <f>C44*120</f>
        <v>0</v>
      </c>
      <c r="F44" s="37"/>
      <c r="G44" s="62"/>
      <c r="H44" s="191"/>
      <c r="I44" s="191"/>
      <c r="J44" s="191"/>
      <c r="K44" s="21"/>
      <c r="O44" t="s">
        <v>106</v>
      </c>
      <c r="P44" s="4">
        <f>785-120</f>
        <v>665</v>
      </c>
      <c r="Q44" s="4">
        <v>120</v>
      </c>
      <c r="R44" s="5">
        <f>Q44+P44</f>
        <v>785</v>
      </c>
    </row>
    <row r="45" spans="1:18" ht="15.75" x14ac:dyDescent="0.25">
      <c r="A45" s="211"/>
      <c r="B45" s="27" t="s">
        <v>68</v>
      </c>
      <c r="C45" s="33"/>
      <c r="D45" s="12">
        <f>C45*84</f>
        <v>0</v>
      </c>
      <c r="F45" s="37"/>
      <c r="G45" s="62"/>
      <c r="H45" s="191"/>
      <c r="I45" s="191"/>
      <c r="J45" s="191"/>
      <c r="K45" s="21"/>
      <c r="P45" s="4"/>
      <c r="Q45" s="4"/>
      <c r="R45" s="5"/>
    </row>
    <row r="46" spans="1:18" ht="15.75" x14ac:dyDescent="0.25">
      <c r="A46" s="211"/>
      <c r="B46" s="49" t="s">
        <v>70</v>
      </c>
      <c r="C46" s="81"/>
      <c r="D46" s="12">
        <f>C46*1.5</f>
        <v>0</v>
      </c>
      <c r="F46" s="37"/>
      <c r="G46" s="62"/>
      <c r="H46" s="191"/>
      <c r="I46" s="191"/>
      <c r="J46" s="191"/>
      <c r="K46" s="21"/>
      <c r="P46" s="4"/>
      <c r="Q46" s="4"/>
      <c r="R46" s="5"/>
    </row>
    <row r="47" spans="1:18" ht="15.75" x14ac:dyDescent="0.25">
      <c r="A47" s="212"/>
      <c r="B47" s="27"/>
      <c r="C47" s="11"/>
      <c r="D47" s="12"/>
      <c r="F47" s="59"/>
      <c r="G47" s="59"/>
      <c r="H47" s="217"/>
      <c r="I47" s="218"/>
      <c r="J47" s="219"/>
      <c r="K47" s="21"/>
      <c r="P47" s="4"/>
      <c r="Q47" s="4"/>
      <c r="R47" s="5"/>
    </row>
    <row r="48" spans="1:18" ht="15" customHeight="1" x14ac:dyDescent="0.25">
      <c r="A48" s="210" t="s">
        <v>32</v>
      </c>
      <c r="B48" s="27" t="s">
        <v>66</v>
      </c>
      <c r="C48" s="10"/>
      <c r="D48" s="12">
        <f>C48*78</f>
        <v>0</v>
      </c>
      <c r="F48" s="59"/>
      <c r="G48" s="59"/>
      <c r="H48" s="217"/>
      <c r="I48" s="218"/>
      <c r="J48" s="219"/>
      <c r="K48" s="35"/>
      <c r="O48" t="s">
        <v>84</v>
      </c>
      <c r="P48" s="4">
        <v>1175</v>
      </c>
      <c r="Q48" s="4"/>
      <c r="R48" s="5">
        <f t="shared" si="0"/>
        <v>1175</v>
      </c>
    </row>
    <row r="49" spans="1:18" ht="15.75" x14ac:dyDescent="0.25">
      <c r="A49" s="211"/>
      <c r="B49" s="29" t="s">
        <v>68</v>
      </c>
      <c r="C49" s="33"/>
      <c r="D49" s="12">
        <f>C49*42</f>
        <v>0</v>
      </c>
      <c r="F49" s="232" t="s">
        <v>86</v>
      </c>
      <c r="G49" s="179">
        <f>H34+H35+H36+H37+H38+H39+H40+H41+G42+H44+H45+H46</f>
        <v>0</v>
      </c>
      <c r="H49" s="180"/>
      <c r="I49" s="180"/>
      <c r="J49" s="181"/>
      <c r="O49" t="s">
        <v>85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211"/>
      <c r="B50" s="32" t="s">
        <v>70</v>
      </c>
      <c r="C50" s="11"/>
      <c r="D50" s="12">
        <f>C50*1.5</f>
        <v>0</v>
      </c>
      <c r="F50" s="233"/>
      <c r="G50" s="182"/>
      <c r="H50" s="183"/>
      <c r="I50" s="183"/>
      <c r="J50" s="184"/>
      <c r="P50" s="4"/>
      <c r="Q50" s="4"/>
      <c r="R50" s="5"/>
    </row>
    <row r="51" spans="1:18" ht="15" customHeight="1" x14ac:dyDescent="0.25">
      <c r="A51" s="211"/>
      <c r="B51" s="27"/>
      <c r="C51" s="10"/>
      <c r="D51" s="31"/>
      <c r="F51" s="234" t="s">
        <v>131</v>
      </c>
      <c r="G51" s="247">
        <f>G49-H29</f>
        <v>0</v>
      </c>
      <c r="H51" s="248"/>
      <c r="I51" s="248"/>
      <c r="J51" s="249"/>
      <c r="K51" s="21"/>
      <c r="O51" t="s">
        <v>87</v>
      </c>
      <c r="P51" s="4">
        <v>703</v>
      </c>
      <c r="Q51" s="4">
        <v>120</v>
      </c>
      <c r="R51" s="5">
        <f t="shared" si="0"/>
        <v>823</v>
      </c>
    </row>
    <row r="52" spans="1:18" ht="15.75" x14ac:dyDescent="0.25">
      <c r="A52" s="211"/>
      <c r="B52" s="29"/>
      <c r="C52" s="33"/>
      <c r="D52" s="45"/>
      <c r="F52" s="235"/>
      <c r="G52" s="250"/>
      <c r="H52" s="251"/>
      <c r="I52" s="251"/>
      <c r="J52" s="252"/>
      <c r="K52" s="21"/>
      <c r="O52" t="s">
        <v>88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212"/>
      <c r="B53" s="32"/>
      <c r="C53" s="11"/>
      <c r="D53" s="12"/>
      <c r="F53" s="35"/>
      <c r="G53" s="24"/>
      <c r="H53" s="24"/>
      <c r="I53" s="24"/>
      <c r="J53" s="17"/>
      <c r="N53" s="1"/>
      <c r="O53" t="s">
        <v>89</v>
      </c>
      <c r="P53" s="4">
        <v>1142</v>
      </c>
    </row>
    <row r="54" spans="1:18" x14ac:dyDescent="0.25">
      <c r="A54" s="175" t="s">
        <v>90</v>
      </c>
      <c r="B54" s="220"/>
      <c r="C54" s="221"/>
      <c r="D54" s="224">
        <f>SUM(D34:D53)</f>
        <v>0</v>
      </c>
      <c r="F54" s="21"/>
      <c r="J54" s="34"/>
      <c r="O54" t="s">
        <v>102</v>
      </c>
      <c r="P54" s="4">
        <v>1582</v>
      </c>
      <c r="R54" s="3">
        <v>1582</v>
      </c>
    </row>
    <row r="55" spans="1:18" x14ac:dyDescent="0.25">
      <c r="A55" s="177"/>
      <c r="B55" s="222"/>
      <c r="C55" s="223"/>
      <c r="D55" s="225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133</v>
      </c>
      <c r="D57" s="34"/>
      <c r="F57" s="36"/>
      <c r="G57" s="50"/>
      <c r="H57" s="50"/>
      <c r="I57" s="50"/>
      <c r="J57" s="43"/>
    </row>
    <row r="58" spans="1:18" x14ac:dyDescent="0.25">
      <c r="A58" s="226" t="s">
        <v>91</v>
      </c>
      <c r="B58" s="227"/>
      <c r="C58" s="227"/>
      <c r="D58" s="228"/>
      <c r="F58" s="226" t="s">
        <v>92</v>
      </c>
      <c r="G58" s="227"/>
      <c r="H58" s="227"/>
      <c r="I58" s="227"/>
      <c r="J58" s="228"/>
    </row>
    <row r="59" spans="1:18" x14ac:dyDescent="0.25">
      <c r="A59" s="229"/>
      <c r="B59" s="230"/>
      <c r="C59" s="230"/>
      <c r="D59" s="231"/>
      <c r="F59" s="229"/>
      <c r="G59" s="230"/>
      <c r="H59" s="230"/>
      <c r="I59" s="230"/>
      <c r="J59" s="231"/>
    </row>
  </sheetData>
  <mergeCells count="68"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  <mergeCell ref="H13:J13"/>
    <mergeCell ref="F14:G14"/>
    <mergeCell ref="H14:J14"/>
    <mergeCell ref="F15:G15"/>
    <mergeCell ref="H15:J15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A32:D32"/>
    <mergeCell ref="F32:J32"/>
    <mergeCell ref="H33:J33"/>
    <mergeCell ref="A34:A36"/>
    <mergeCell ref="H34:J34"/>
    <mergeCell ref="H35:J35"/>
    <mergeCell ref="H36:J36"/>
    <mergeCell ref="A37:A39"/>
    <mergeCell ref="H37:J37"/>
    <mergeCell ref="H38:J38"/>
    <mergeCell ref="H39:J39"/>
    <mergeCell ref="A40:A42"/>
    <mergeCell ref="H40:J40"/>
    <mergeCell ref="H41:J41"/>
    <mergeCell ref="G42:J42"/>
    <mergeCell ref="A43:A47"/>
    <mergeCell ref="H43:J43"/>
    <mergeCell ref="H44:J44"/>
    <mergeCell ref="H45:J45"/>
    <mergeCell ref="H46:J46"/>
    <mergeCell ref="H47:J47"/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5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8EECA62-7D92-453B-90AE-0176B1EE51D5}">
  <dimension ref="A1:R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113" t="s">
        <v>1</v>
      </c>
      <c r="O1" s="113"/>
      <c r="P1" s="100" t="s">
        <v>2</v>
      </c>
      <c r="Q1" s="100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14" t="s">
        <v>7</v>
      </c>
      <c r="B4" s="115"/>
      <c r="C4" s="115"/>
      <c r="D4" s="116"/>
      <c r="F4" s="117" t="s">
        <v>8</v>
      </c>
      <c r="G4" s="119">
        <v>3</v>
      </c>
      <c r="H4" s="121" t="s">
        <v>9</v>
      </c>
      <c r="I4" s="123">
        <v>45976</v>
      </c>
      <c r="J4" s="124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27" t="s">
        <v>7</v>
      </c>
      <c r="B5" s="15" t="s">
        <v>11</v>
      </c>
      <c r="C5" s="9" t="s">
        <v>12</v>
      </c>
      <c r="D5" s="25" t="s">
        <v>13</v>
      </c>
      <c r="F5" s="118"/>
      <c r="G5" s="120"/>
      <c r="H5" s="122"/>
      <c r="I5" s="125"/>
      <c r="J5" s="126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28"/>
      <c r="B6" s="16" t="s">
        <v>15</v>
      </c>
      <c r="C6" s="10">
        <v>521</v>
      </c>
      <c r="D6" s="13">
        <f t="shared" ref="D6:D28" si="1">C6*L6</f>
        <v>383977</v>
      </c>
      <c r="F6" s="130" t="s">
        <v>16</v>
      </c>
      <c r="G6" s="132" t="s">
        <v>111</v>
      </c>
      <c r="H6" s="133"/>
      <c r="I6" s="133"/>
      <c r="J6" s="134"/>
      <c r="K6" s="8"/>
      <c r="L6" s="6">
        <f>R42</f>
        <v>737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28"/>
      <c r="B7" s="16" t="s">
        <v>18</v>
      </c>
      <c r="C7" s="10"/>
      <c r="D7" s="13">
        <f t="shared" si="1"/>
        <v>0</v>
      </c>
      <c r="F7" s="131"/>
      <c r="G7" s="135"/>
      <c r="H7" s="136"/>
      <c r="I7" s="136"/>
      <c r="J7" s="137"/>
      <c r="K7" s="8"/>
      <c r="L7" s="6">
        <f>R41</f>
        <v>725</v>
      </c>
      <c r="P7" s="4"/>
      <c r="Q7" s="4"/>
      <c r="R7" s="5"/>
    </row>
    <row r="8" spans="1:18" ht="14.45" customHeight="1" x14ac:dyDescent="0.25">
      <c r="A8" s="128"/>
      <c r="B8" s="16" t="s">
        <v>20</v>
      </c>
      <c r="C8" s="10"/>
      <c r="D8" s="13">
        <f t="shared" si="1"/>
        <v>0</v>
      </c>
      <c r="F8" s="138" t="s">
        <v>21</v>
      </c>
      <c r="G8" s="140" t="s">
        <v>119</v>
      </c>
      <c r="H8" s="141"/>
      <c r="I8" s="141"/>
      <c r="J8" s="142"/>
      <c r="K8" s="8"/>
      <c r="L8" s="6">
        <f>R40</f>
        <v>1033</v>
      </c>
      <c r="P8" s="4"/>
      <c r="Q8" s="4"/>
      <c r="R8" s="5"/>
    </row>
    <row r="9" spans="1:18" ht="14.45" customHeight="1" x14ac:dyDescent="0.25">
      <c r="A9" s="128"/>
      <c r="B9" s="16" t="s">
        <v>23</v>
      </c>
      <c r="C9" s="10">
        <v>180</v>
      </c>
      <c r="D9" s="13">
        <f t="shared" si="1"/>
        <v>127260</v>
      </c>
      <c r="F9" s="131"/>
      <c r="G9" s="143"/>
      <c r="H9" s="144"/>
      <c r="I9" s="144"/>
      <c r="J9" s="145"/>
      <c r="K9" s="8"/>
      <c r="L9" s="6">
        <f>R38</f>
        <v>707</v>
      </c>
      <c r="P9" s="4"/>
      <c r="Q9" s="4"/>
      <c r="R9" s="5"/>
    </row>
    <row r="10" spans="1:18" ht="14.45" customHeight="1" x14ac:dyDescent="0.25">
      <c r="A10" s="128"/>
      <c r="B10" t="s">
        <v>25</v>
      </c>
      <c r="C10" s="10"/>
      <c r="D10" s="13">
        <f t="shared" si="1"/>
        <v>0</v>
      </c>
      <c r="F10" s="130" t="s">
        <v>26</v>
      </c>
      <c r="G10" s="146" t="s">
        <v>137</v>
      </c>
      <c r="H10" s="147"/>
      <c r="I10" s="147"/>
      <c r="J10" s="148"/>
      <c r="K10" s="8"/>
      <c r="L10" s="6">
        <f>R36</f>
        <v>972</v>
      </c>
      <c r="P10" s="4"/>
      <c r="Q10" s="4"/>
      <c r="R10" s="5"/>
    </row>
    <row r="11" spans="1:18" ht="15.75" x14ac:dyDescent="0.25">
      <c r="A11" s="128"/>
      <c r="B11" s="17" t="s">
        <v>28</v>
      </c>
      <c r="C11" s="10"/>
      <c r="D11" s="13">
        <f t="shared" si="1"/>
        <v>0</v>
      </c>
      <c r="F11" s="131"/>
      <c r="G11" s="143"/>
      <c r="H11" s="144"/>
      <c r="I11" s="144"/>
      <c r="J11" s="145"/>
      <c r="K11" s="22"/>
      <c r="L11" s="6">
        <f>R32</f>
        <v>1125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28"/>
      <c r="B12" s="17" t="s">
        <v>30</v>
      </c>
      <c r="C12" s="10">
        <v>1</v>
      </c>
      <c r="D12" s="48">
        <f t="shared" si="1"/>
        <v>952</v>
      </c>
      <c r="F12" s="149" t="s">
        <v>33</v>
      </c>
      <c r="G12" s="150"/>
      <c r="H12" s="150"/>
      <c r="I12" s="150"/>
      <c r="J12" s="151"/>
      <c r="K12" s="23"/>
      <c r="L12" s="6">
        <f>R34</f>
        <v>952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28"/>
      <c r="B13" s="17" t="s">
        <v>32</v>
      </c>
      <c r="C13" s="10">
        <v>27</v>
      </c>
      <c r="D13" s="48">
        <f t="shared" si="1"/>
        <v>8289</v>
      </c>
      <c r="F13" s="152" t="s">
        <v>36</v>
      </c>
      <c r="G13" s="153"/>
      <c r="H13" s="154">
        <f>D29</f>
        <v>523772</v>
      </c>
      <c r="I13" s="155"/>
      <c r="J13" s="156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28"/>
      <c r="B14" s="14" t="s">
        <v>35</v>
      </c>
      <c r="C14" s="10">
        <v>14</v>
      </c>
      <c r="D14" s="31">
        <f t="shared" si="1"/>
        <v>154</v>
      </c>
      <c r="F14" s="157" t="s">
        <v>39</v>
      </c>
      <c r="G14" s="158"/>
      <c r="H14" s="159">
        <f>D54</f>
        <v>42216</v>
      </c>
      <c r="I14" s="160"/>
      <c r="J14" s="161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28"/>
      <c r="B15" s="14" t="s">
        <v>38</v>
      </c>
      <c r="C15" s="10"/>
      <c r="D15" s="31">
        <f t="shared" si="1"/>
        <v>0</v>
      </c>
      <c r="F15" s="162" t="s">
        <v>40</v>
      </c>
      <c r="G15" s="153"/>
      <c r="H15" s="163">
        <f>H13-H14</f>
        <v>481556</v>
      </c>
      <c r="I15" s="164"/>
      <c r="J15" s="165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28"/>
      <c r="B16" s="18" t="s">
        <v>94</v>
      </c>
      <c r="C16" s="10"/>
      <c r="D16" s="48">
        <f t="shared" si="1"/>
        <v>0</v>
      </c>
      <c r="F16" s="67" t="s">
        <v>42</v>
      </c>
      <c r="G16" s="66" t="s">
        <v>43</v>
      </c>
      <c r="H16" s="166">
        <f>750+312+3120</f>
        <v>4182</v>
      </c>
      <c r="I16" s="166"/>
      <c r="J16" s="166"/>
      <c r="L16" s="6">
        <f>R28</f>
        <v>1567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28"/>
      <c r="B17" t="s">
        <v>113</v>
      </c>
      <c r="C17" s="10"/>
      <c r="D17" s="48">
        <f t="shared" si="1"/>
        <v>0</v>
      </c>
      <c r="F17" s="56"/>
      <c r="G17" s="66" t="s">
        <v>45</v>
      </c>
      <c r="H17" s="139"/>
      <c r="I17" s="139"/>
      <c r="J17" s="139"/>
      <c r="L17" s="6">
        <v>1582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28"/>
      <c r="B18" s="19" t="s">
        <v>95</v>
      </c>
      <c r="C18" s="10"/>
      <c r="D18" s="48">
        <f t="shared" si="1"/>
        <v>0</v>
      </c>
      <c r="F18" s="56"/>
      <c r="G18" s="66" t="s">
        <v>47</v>
      </c>
      <c r="H18" s="139"/>
      <c r="I18" s="139"/>
      <c r="J18" s="139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28"/>
      <c r="B19" s="14" t="s">
        <v>117</v>
      </c>
      <c r="C19" s="10"/>
      <c r="D19" s="48">
        <f t="shared" si="1"/>
        <v>0</v>
      </c>
      <c r="F19" s="56"/>
      <c r="G19" s="68" t="s">
        <v>50</v>
      </c>
      <c r="H19" s="253"/>
      <c r="I19" s="253"/>
      <c r="J19" s="253"/>
      <c r="L19" s="6">
        <f>R35</f>
        <v>1102</v>
      </c>
      <c r="Q19" s="4"/>
      <c r="R19" s="5">
        <f t="shared" si="0"/>
        <v>0</v>
      </c>
    </row>
    <row r="20" spans="1:18" ht="15.75" x14ac:dyDescent="0.25">
      <c r="A20" s="128"/>
      <c r="B20" s="46" t="s">
        <v>108</v>
      </c>
      <c r="C20" s="10"/>
      <c r="D20" s="13">
        <f t="shared" si="1"/>
        <v>0</v>
      </c>
      <c r="F20" s="57"/>
      <c r="G20" s="70" t="s">
        <v>120</v>
      </c>
      <c r="H20" s="166"/>
      <c r="I20" s="166"/>
      <c r="J20" s="166"/>
      <c r="L20" s="6">
        <f>1102</f>
        <v>1102</v>
      </c>
      <c r="N20" s="1" t="s">
        <v>41</v>
      </c>
      <c r="Q20" s="4"/>
      <c r="R20" s="5">
        <f t="shared" si="0"/>
        <v>0</v>
      </c>
    </row>
    <row r="21" spans="1:18" ht="15.75" x14ac:dyDescent="0.25">
      <c r="A21" s="128"/>
      <c r="B21" s="14" t="s">
        <v>126</v>
      </c>
      <c r="C21" s="10"/>
      <c r="D21" s="48">
        <f t="shared" si="1"/>
        <v>0</v>
      </c>
      <c r="F21" s="69" t="s">
        <v>99</v>
      </c>
      <c r="G21" s="82" t="s">
        <v>98</v>
      </c>
      <c r="H21" s="186" t="s">
        <v>13</v>
      </c>
      <c r="I21" s="187"/>
      <c r="J21" s="188"/>
      <c r="L21" s="7">
        <v>650</v>
      </c>
      <c r="O21" t="s">
        <v>44</v>
      </c>
      <c r="P21" s="4">
        <v>1447</v>
      </c>
      <c r="Q21" s="4">
        <v>120</v>
      </c>
      <c r="R21" s="5">
        <f t="shared" si="0"/>
        <v>1567</v>
      </c>
    </row>
    <row r="22" spans="1:18" ht="15.75" x14ac:dyDescent="0.25">
      <c r="A22" s="128"/>
      <c r="B22" s="46" t="s">
        <v>104</v>
      </c>
      <c r="C22" s="10"/>
      <c r="D22" s="48">
        <f t="shared" si="1"/>
        <v>0</v>
      </c>
      <c r="F22" s="77"/>
      <c r="G22" s="73"/>
      <c r="H22" s="189"/>
      <c r="I22" s="189"/>
      <c r="J22" s="189"/>
      <c r="L22" s="7">
        <f>559+111</f>
        <v>670</v>
      </c>
      <c r="O22" t="s">
        <v>46</v>
      </c>
      <c r="P22" s="4">
        <v>1582</v>
      </c>
      <c r="Q22" s="4"/>
      <c r="R22" s="5">
        <f t="shared" si="0"/>
        <v>1582</v>
      </c>
    </row>
    <row r="23" spans="1:18" ht="15.75" x14ac:dyDescent="0.25">
      <c r="A23" s="128"/>
      <c r="B23" s="14" t="s">
        <v>107</v>
      </c>
      <c r="C23" s="10"/>
      <c r="D23" s="48">
        <f t="shared" si="1"/>
        <v>0</v>
      </c>
      <c r="F23" s="78"/>
      <c r="G23" s="79"/>
      <c r="H23" s="190"/>
      <c r="I23" s="191"/>
      <c r="J23" s="191"/>
      <c r="L23" s="47">
        <f>R33</f>
        <v>1175</v>
      </c>
      <c r="N23" s="1"/>
      <c r="O23" t="s">
        <v>48</v>
      </c>
      <c r="P23" s="4">
        <v>1728</v>
      </c>
      <c r="Q23" s="4"/>
      <c r="R23" s="5">
        <f t="shared" si="0"/>
        <v>1728</v>
      </c>
    </row>
    <row r="24" spans="1:18" ht="15.75" x14ac:dyDescent="0.25">
      <c r="A24" s="128"/>
      <c r="B24" s="14" t="s">
        <v>101</v>
      </c>
      <c r="C24" s="10"/>
      <c r="D24" s="48">
        <f t="shared" si="1"/>
        <v>0</v>
      </c>
      <c r="F24" s="38"/>
      <c r="G24" s="37"/>
      <c r="H24" s="190"/>
      <c r="I24" s="191"/>
      <c r="J24" s="191"/>
      <c r="L24" s="47">
        <v>1667</v>
      </c>
      <c r="N24" s="1"/>
      <c r="O24" t="s">
        <v>49</v>
      </c>
      <c r="P24" s="4">
        <v>1728</v>
      </c>
      <c r="Q24" s="4"/>
      <c r="R24" s="5">
        <f t="shared" si="0"/>
        <v>1728</v>
      </c>
    </row>
    <row r="25" spans="1:18" ht="15.75" x14ac:dyDescent="0.25">
      <c r="A25" s="128"/>
      <c r="B25" s="14" t="s">
        <v>116</v>
      </c>
      <c r="C25" s="10"/>
      <c r="D25" s="48">
        <f t="shared" si="1"/>
        <v>0</v>
      </c>
      <c r="F25" s="60" t="s">
        <v>100</v>
      </c>
      <c r="G25" s="55" t="s">
        <v>98</v>
      </c>
      <c r="H25" s="192" t="s">
        <v>13</v>
      </c>
      <c r="I25" s="193"/>
      <c r="J25" s="194"/>
      <c r="L25" s="47">
        <f>1582</f>
        <v>1582</v>
      </c>
      <c r="O25" t="s">
        <v>51</v>
      </c>
      <c r="P25" s="4">
        <v>1582</v>
      </c>
      <c r="Q25" s="4"/>
      <c r="R25" s="5">
        <f t="shared" si="0"/>
        <v>1582</v>
      </c>
    </row>
    <row r="26" spans="1:18" ht="15.75" x14ac:dyDescent="0.25">
      <c r="A26" s="128"/>
      <c r="B26" s="14" t="s">
        <v>105</v>
      </c>
      <c r="C26" s="10"/>
      <c r="D26" s="48">
        <f t="shared" si="1"/>
        <v>0</v>
      </c>
      <c r="F26" s="64"/>
      <c r="G26" s="59"/>
      <c r="H26" s="195"/>
      <c r="I26" s="196"/>
      <c r="J26" s="197"/>
      <c r="L26" s="7">
        <f>832/24+1.5</f>
        <v>36.166666666666664</v>
      </c>
      <c r="O26" t="s">
        <v>52</v>
      </c>
      <c r="P26" s="4">
        <v>1447</v>
      </c>
      <c r="Q26" s="4">
        <v>120</v>
      </c>
      <c r="R26" s="5">
        <f t="shared" si="0"/>
        <v>1567</v>
      </c>
    </row>
    <row r="27" spans="1:18" ht="14.45" customHeight="1" x14ac:dyDescent="0.25">
      <c r="A27" s="128"/>
      <c r="B27" s="14" t="s">
        <v>109</v>
      </c>
      <c r="C27" s="10"/>
      <c r="D27" s="44">
        <f t="shared" si="1"/>
        <v>0</v>
      </c>
      <c r="F27" s="25"/>
      <c r="G27" s="80"/>
      <c r="H27" s="198"/>
      <c r="I27" s="199"/>
      <c r="J27" s="200"/>
      <c r="L27" s="7">
        <v>1582</v>
      </c>
      <c r="O27" t="s">
        <v>53</v>
      </c>
      <c r="P27" s="4">
        <v>1582</v>
      </c>
      <c r="Q27" s="4"/>
      <c r="R27" s="5">
        <f t="shared" si="0"/>
        <v>1582</v>
      </c>
    </row>
    <row r="28" spans="1:18" ht="15.75" x14ac:dyDescent="0.25">
      <c r="A28" s="129"/>
      <c r="B28" s="46" t="s">
        <v>97</v>
      </c>
      <c r="C28" s="10">
        <v>4</v>
      </c>
      <c r="D28" s="48">
        <f t="shared" si="1"/>
        <v>3140</v>
      </c>
      <c r="F28" s="101"/>
      <c r="G28" s="61"/>
      <c r="H28" s="201"/>
      <c r="I28" s="202"/>
      <c r="J28" s="203"/>
      <c r="L28" s="7">
        <v>785</v>
      </c>
      <c r="O28" t="s">
        <v>54</v>
      </c>
      <c r="P28" s="4">
        <v>1447</v>
      </c>
      <c r="Q28" s="4">
        <v>120</v>
      </c>
      <c r="R28" s="5">
        <f t="shared" si="0"/>
        <v>1567</v>
      </c>
    </row>
    <row r="29" spans="1:18" x14ac:dyDescent="0.25">
      <c r="A29" s="167" t="s">
        <v>36</v>
      </c>
      <c r="B29" s="168"/>
      <c r="C29" s="169"/>
      <c r="D29" s="173">
        <f>SUM(D6:D28)</f>
        <v>523772</v>
      </c>
      <c r="F29" s="175" t="s">
        <v>55</v>
      </c>
      <c r="G29" s="176"/>
      <c r="H29" s="179">
        <f>H15-H16-H17-H18-H19-H20-H22-H23-H24+H26+H27</f>
        <v>477374</v>
      </c>
      <c r="I29" s="180"/>
      <c r="J29" s="181"/>
      <c r="O29" t="s">
        <v>56</v>
      </c>
      <c r="P29" s="4">
        <v>1582</v>
      </c>
      <c r="Q29" s="4"/>
      <c r="R29" s="5">
        <f t="shared" si="0"/>
        <v>1582</v>
      </c>
    </row>
    <row r="30" spans="1:18" x14ac:dyDescent="0.25">
      <c r="A30" s="170"/>
      <c r="B30" s="171"/>
      <c r="C30" s="172"/>
      <c r="D30" s="174"/>
      <c r="F30" s="177"/>
      <c r="G30" s="178"/>
      <c r="H30" s="182"/>
      <c r="I30" s="183"/>
      <c r="J30" s="184"/>
      <c r="N30" s="1"/>
      <c r="Q30" s="4"/>
      <c r="R30" s="5">
        <f t="shared" si="0"/>
        <v>0</v>
      </c>
    </row>
    <row r="31" spans="1:18" x14ac:dyDescent="0.25">
      <c r="A31" s="24"/>
      <c r="B31" s="24"/>
      <c r="C31" s="24"/>
      <c r="D31" s="24"/>
      <c r="F31" s="24"/>
      <c r="G31" s="24"/>
      <c r="O31" t="s">
        <v>57</v>
      </c>
      <c r="P31" s="4">
        <v>1052</v>
      </c>
      <c r="Q31" s="4">
        <v>120</v>
      </c>
      <c r="R31" s="5">
        <f t="shared" si="0"/>
        <v>1172</v>
      </c>
    </row>
    <row r="32" spans="1:18" x14ac:dyDescent="0.25">
      <c r="A32" s="114" t="s">
        <v>58</v>
      </c>
      <c r="B32" s="115"/>
      <c r="C32" s="115"/>
      <c r="D32" s="116"/>
      <c r="F32" s="204" t="s">
        <v>59</v>
      </c>
      <c r="G32" s="205"/>
      <c r="H32" s="205"/>
      <c r="I32" s="205"/>
      <c r="J32" s="206"/>
      <c r="O32" t="s">
        <v>60</v>
      </c>
      <c r="P32" s="4">
        <v>1005</v>
      </c>
      <c r="Q32" s="4">
        <v>120</v>
      </c>
      <c r="R32" s="5">
        <f t="shared" si="0"/>
        <v>1125</v>
      </c>
    </row>
    <row r="33" spans="1:18" x14ac:dyDescent="0.25">
      <c r="A33" s="25"/>
      <c r="B33" s="25" t="s">
        <v>11</v>
      </c>
      <c r="C33" s="25" t="s">
        <v>61</v>
      </c>
      <c r="D33" s="25" t="s">
        <v>13</v>
      </c>
      <c r="F33" s="25" t="s">
        <v>62</v>
      </c>
      <c r="G33" s="102" t="s">
        <v>63</v>
      </c>
      <c r="H33" s="204" t="s">
        <v>13</v>
      </c>
      <c r="I33" s="205"/>
      <c r="J33" s="206"/>
      <c r="O33" t="s">
        <v>64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27" t="s">
        <v>65</v>
      </c>
      <c r="B34" s="26" t="s">
        <v>66</v>
      </c>
      <c r="C34" s="51"/>
      <c r="D34" s="30">
        <f>C34*120</f>
        <v>0</v>
      </c>
      <c r="F34" s="12">
        <v>1000</v>
      </c>
      <c r="G34" s="74">
        <v>97</v>
      </c>
      <c r="H34" s="207">
        <f>F34*G34</f>
        <v>97000</v>
      </c>
      <c r="I34" s="208"/>
      <c r="J34" s="209"/>
      <c r="O34" t="s">
        <v>67</v>
      </c>
      <c r="P34" s="4">
        <v>832</v>
      </c>
      <c r="Q34" s="4">
        <v>120</v>
      </c>
      <c r="R34" s="5">
        <f t="shared" si="0"/>
        <v>952</v>
      </c>
    </row>
    <row r="35" spans="1:18" ht="15.75" x14ac:dyDescent="0.25">
      <c r="A35" s="128"/>
      <c r="B35" s="27" t="s">
        <v>68</v>
      </c>
      <c r="C35" s="52"/>
      <c r="D35" s="30">
        <f>C35*84</f>
        <v>0</v>
      </c>
      <c r="F35" s="58">
        <v>500</v>
      </c>
      <c r="G35" s="41">
        <v>28</v>
      </c>
      <c r="H35" s="207">
        <f>F35*G35</f>
        <v>14000</v>
      </c>
      <c r="I35" s="208"/>
      <c r="J35" s="209"/>
      <c r="O35" t="s">
        <v>69</v>
      </c>
      <c r="P35" s="4">
        <v>1102</v>
      </c>
      <c r="Q35" s="4"/>
      <c r="R35" s="5">
        <f t="shared" si="0"/>
        <v>1102</v>
      </c>
    </row>
    <row r="36" spans="1:18" ht="15.75" x14ac:dyDescent="0.25">
      <c r="A36" s="129"/>
      <c r="B36" s="26" t="s">
        <v>70</v>
      </c>
      <c r="C36" s="10"/>
      <c r="D36" s="12">
        <f>C36*1.5</f>
        <v>0</v>
      </c>
      <c r="F36" s="12">
        <v>200</v>
      </c>
      <c r="G36" s="37"/>
      <c r="H36" s="207">
        <f t="shared" ref="H36:H39" si="2">F36*G36</f>
        <v>0</v>
      </c>
      <c r="I36" s="208"/>
      <c r="J36" s="209"/>
      <c r="O36" t="s">
        <v>71</v>
      </c>
      <c r="P36" s="4">
        <v>852</v>
      </c>
      <c r="Q36" s="4">
        <v>120</v>
      </c>
      <c r="R36" s="5">
        <f t="shared" si="0"/>
        <v>972</v>
      </c>
    </row>
    <row r="37" spans="1:18" ht="15.75" x14ac:dyDescent="0.25">
      <c r="A37" s="127" t="s">
        <v>72</v>
      </c>
      <c r="B37" s="28" t="s">
        <v>66</v>
      </c>
      <c r="C37" s="53">
        <v>364</v>
      </c>
      <c r="D37" s="12">
        <f>C37*111</f>
        <v>40404</v>
      </c>
      <c r="F37" s="12">
        <v>100</v>
      </c>
      <c r="G37" s="39">
        <v>100</v>
      </c>
      <c r="H37" s="207">
        <f t="shared" si="2"/>
        <v>10000</v>
      </c>
      <c r="I37" s="208"/>
      <c r="J37" s="209"/>
      <c r="O37" t="s">
        <v>73</v>
      </c>
      <c r="P37" s="4">
        <v>1020</v>
      </c>
      <c r="Q37" s="4">
        <v>120</v>
      </c>
      <c r="R37" s="5">
        <f t="shared" si="0"/>
        <v>1140</v>
      </c>
    </row>
    <row r="38" spans="1:18" ht="15.75" x14ac:dyDescent="0.25">
      <c r="A38" s="128"/>
      <c r="B38" s="29" t="s">
        <v>68</v>
      </c>
      <c r="C38" s="54">
        <v>1</v>
      </c>
      <c r="D38" s="12">
        <f>C38*84</f>
        <v>84</v>
      </c>
      <c r="F38" s="30">
        <v>50</v>
      </c>
      <c r="G38" s="39">
        <v>9</v>
      </c>
      <c r="H38" s="207">
        <f t="shared" si="2"/>
        <v>450</v>
      </c>
      <c r="I38" s="208"/>
      <c r="J38" s="209"/>
      <c r="O38" t="s">
        <v>74</v>
      </c>
      <c r="P38" s="4">
        <v>596</v>
      </c>
      <c r="Q38" s="4">
        <v>111</v>
      </c>
      <c r="R38" s="5">
        <f t="shared" si="0"/>
        <v>707</v>
      </c>
    </row>
    <row r="39" spans="1:18" ht="15.75" x14ac:dyDescent="0.25">
      <c r="A39" s="129"/>
      <c r="B39" s="29" t="s">
        <v>70</v>
      </c>
      <c r="C39" s="52"/>
      <c r="D39" s="31">
        <f>C39*4.5</f>
        <v>0</v>
      </c>
      <c r="F39" s="12">
        <v>20</v>
      </c>
      <c r="G39" s="37"/>
      <c r="H39" s="207">
        <f t="shared" si="2"/>
        <v>0</v>
      </c>
      <c r="I39" s="208"/>
      <c r="J39" s="209"/>
      <c r="O39" t="s">
        <v>75</v>
      </c>
      <c r="P39" s="4">
        <v>1175</v>
      </c>
      <c r="Q39" s="4"/>
      <c r="R39" s="5">
        <f t="shared" si="0"/>
        <v>1175</v>
      </c>
    </row>
    <row r="40" spans="1:18" ht="15.75" x14ac:dyDescent="0.25">
      <c r="A40" s="127" t="s">
        <v>76</v>
      </c>
      <c r="B40" s="27" t="s">
        <v>66</v>
      </c>
      <c r="C40" s="63">
        <v>9</v>
      </c>
      <c r="D40" s="12">
        <f>C40*111</f>
        <v>999</v>
      </c>
      <c r="F40" s="12">
        <v>10</v>
      </c>
      <c r="G40" s="42"/>
      <c r="H40" s="207"/>
      <c r="I40" s="208"/>
      <c r="J40" s="209"/>
      <c r="O40" t="s">
        <v>77</v>
      </c>
      <c r="P40" s="4">
        <v>913</v>
      </c>
      <c r="Q40" s="4">
        <v>120</v>
      </c>
      <c r="R40" s="5">
        <f t="shared" si="0"/>
        <v>1033</v>
      </c>
    </row>
    <row r="41" spans="1:18" ht="15.75" x14ac:dyDescent="0.25">
      <c r="A41" s="128"/>
      <c r="B41" s="27" t="s">
        <v>68</v>
      </c>
      <c r="C41" s="10"/>
      <c r="D41" s="12">
        <f>C41*84</f>
        <v>0</v>
      </c>
      <c r="F41" s="12">
        <v>5</v>
      </c>
      <c r="G41" s="42"/>
      <c r="H41" s="207"/>
      <c r="I41" s="208"/>
      <c r="J41" s="209"/>
      <c r="K41" s="21"/>
      <c r="O41" t="s">
        <v>78</v>
      </c>
      <c r="P41" s="4">
        <v>614</v>
      </c>
      <c r="Q41" s="4">
        <v>111</v>
      </c>
      <c r="R41" s="5">
        <f t="shared" si="0"/>
        <v>725</v>
      </c>
    </row>
    <row r="42" spans="1:18" ht="15.75" x14ac:dyDescent="0.25">
      <c r="A42" s="129"/>
      <c r="B42" s="27" t="s">
        <v>70</v>
      </c>
      <c r="C42" s="11">
        <v>2</v>
      </c>
      <c r="D42" s="12">
        <f>C42*2.25</f>
        <v>4.5</v>
      </c>
      <c r="F42" s="39" t="s">
        <v>79</v>
      </c>
      <c r="G42" s="207">
        <v>149</v>
      </c>
      <c r="H42" s="208"/>
      <c r="I42" s="208"/>
      <c r="J42" s="209"/>
      <c r="K42" s="36"/>
      <c r="O42" t="s">
        <v>80</v>
      </c>
      <c r="P42" s="4">
        <v>626</v>
      </c>
      <c r="Q42" s="4">
        <v>111</v>
      </c>
      <c r="R42" s="5">
        <f t="shared" si="0"/>
        <v>737</v>
      </c>
    </row>
    <row r="43" spans="1:18" ht="15.75" x14ac:dyDescent="0.25">
      <c r="A43" s="210" t="s">
        <v>81</v>
      </c>
      <c r="C43" s="11"/>
      <c r="D43" s="12"/>
      <c r="F43" s="59" t="s">
        <v>82</v>
      </c>
      <c r="G43" s="104" t="s">
        <v>83</v>
      </c>
      <c r="H43" s="213" t="s">
        <v>13</v>
      </c>
      <c r="I43" s="214"/>
      <c r="J43" s="215"/>
      <c r="K43" s="21"/>
      <c r="P43" s="4"/>
      <c r="Q43" s="4"/>
      <c r="R43" s="5"/>
    </row>
    <row r="44" spans="1:18" ht="15.75" x14ac:dyDescent="0.25">
      <c r="A44" s="211"/>
      <c r="B44" s="27" t="s">
        <v>66</v>
      </c>
      <c r="C44" s="10">
        <v>1</v>
      </c>
      <c r="D44" s="12">
        <f>C44*120</f>
        <v>120</v>
      </c>
      <c r="F44" s="37" t="s">
        <v>148</v>
      </c>
      <c r="G44" s="76" t="s">
        <v>180</v>
      </c>
      <c r="H44" s="191">
        <v>351432</v>
      </c>
      <c r="I44" s="191"/>
      <c r="J44" s="191"/>
      <c r="K44" s="21"/>
      <c r="P44" s="4"/>
      <c r="Q44" s="4"/>
      <c r="R44" s="5"/>
    </row>
    <row r="45" spans="1:18" ht="15.75" x14ac:dyDescent="0.25">
      <c r="A45" s="211"/>
      <c r="B45" s="27" t="s">
        <v>68</v>
      </c>
      <c r="C45" s="33"/>
      <c r="D45" s="12">
        <f>C45*84</f>
        <v>0</v>
      </c>
      <c r="F45" s="37"/>
      <c r="G45" s="76"/>
      <c r="H45" s="191"/>
      <c r="I45" s="191"/>
      <c r="J45" s="191"/>
      <c r="K45" s="21"/>
      <c r="P45" s="4"/>
      <c r="Q45" s="4"/>
      <c r="R45" s="5"/>
    </row>
    <row r="46" spans="1:18" ht="15.75" x14ac:dyDescent="0.25">
      <c r="A46" s="211"/>
      <c r="B46" s="49" t="s">
        <v>70</v>
      </c>
      <c r="C46" s="81">
        <v>6</v>
      </c>
      <c r="D46" s="12">
        <f>C46*1.5</f>
        <v>9</v>
      </c>
      <c r="F46" s="37"/>
      <c r="G46" s="62"/>
      <c r="H46" s="216"/>
      <c r="I46" s="216"/>
      <c r="J46" s="216"/>
      <c r="K46" s="21"/>
      <c r="P46" s="4"/>
      <c r="Q46" s="4"/>
      <c r="R46" s="5"/>
    </row>
    <row r="47" spans="1:18" ht="15.75" x14ac:dyDescent="0.25">
      <c r="A47" s="212"/>
      <c r="B47" s="27"/>
      <c r="C47" s="11"/>
      <c r="D47" s="12"/>
      <c r="F47" s="59"/>
      <c r="G47" s="59"/>
      <c r="H47" s="217"/>
      <c r="I47" s="218"/>
      <c r="J47" s="219"/>
      <c r="K47" s="21"/>
      <c r="P47" s="4"/>
      <c r="Q47" s="4"/>
      <c r="R47" s="5"/>
    </row>
    <row r="48" spans="1:18" ht="15" customHeight="1" x14ac:dyDescent="0.25">
      <c r="A48" s="210" t="s">
        <v>32</v>
      </c>
      <c r="B48" s="27" t="s">
        <v>66</v>
      </c>
      <c r="C48" s="10">
        <v>4</v>
      </c>
      <c r="D48" s="12">
        <f>C48*78</f>
        <v>312</v>
      </c>
      <c r="F48" s="59"/>
      <c r="G48" s="59"/>
      <c r="H48" s="217"/>
      <c r="I48" s="218"/>
      <c r="J48" s="219"/>
      <c r="K48" s="35"/>
      <c r="O48" t="s">
        <v>84</v>
      </c>
      <c r="P48" s="4">
        <v>1175</v>
      </c>
      <c r="Q48" s="4"/>
      <c r="R48" s="5">
        <f t="shared" si="0"/>
        <v>1175</v>
      </c>
    </row>
    <row r="49" spans="1:18" ht="15.75" x14ac:dyDescent="0.25">
      <c r="A49" s="211"/>
      <c r="B49" s="29" t="s">
        <v>68</v>
      </c>
      <c r="C49" s="33">
        <v>6</v>
      </c>
      <c r="D49" s="12">
        <f>C49*42</f>
        <v>252</v>
      </c>
      <c r="F49" s="232" t="s">
        <v>86</v>
      </c>
      <c r="G49" s="179">
        <f>H34+H35+H36+H37+H38+H39+H40+H41+G42+H44+H45+H46</f>
        <v>473031</v>
      </c>
      <c r="H49" s="180"/>
      <c r="I49" s="180"/>
      <c r="J49" s="181"/>
      <c r="O49" t="s">
        <v>85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211"/>
      <c r="B50" s="32" t="s">
        <v>70</v>
      </c>
      <c r="C50" s="11">
        <v>21</v>
      </c>
      <c r="D50" s="12">
        <f>C50*1.5</f>
        <v>31.5</v>
      </c>
      <c r="F50" s="233"/>
      <c r="G50" s="182"/>
      <c r="H50" s="183"/>
      <c r="I50" s="183"/>
      <c r="J50" s="184"/>
      <c r="P50" s="4"/>
      <c r="Q50" s="4"/>
      <c r="R50" s="5"/>
    </row>
    <row r="51" spans="1:18" ht="15" customHeight="1" x14ac:dyDescent="0.25">
      <c r="A51" s="211"/>
      <c r="B51" s="27"/>
      <c r="C51" s="10"/>
      <c r="D51" s="31"/>
      <c r="F51" s="234" t="s">
        <v>142</v>
      </c>
      <c r="G51" s="247">
        <f>G49-H29</f>
        <v>-4343</v>
      </c>
      <c r="H51" s="248"/>
      <c r="I51" s="248"/>
      <c r="J51" s="249"/>
      <c r="K51" s="21"/>
      <c r="O51" t="s">
        <v>87</v>
      </c>
      <c r="P51" s="4">
        <v>703</v>
      </c>
      <c r="Q51" s="4">
        <v>120</v>
      </c>
      <c r="R51" s="5">
        <f t="shared" si="0"/>
        <v>823</v>
      </c>
    </row>
    <row r="52" spans="1:18" ht="15.75" x14ac:dyDescent="0.25">
      <c r="A52" s="211"/>
      <c r="B52" s="29"/>
      <c r="C52" s="33"/>
      <c r="D52" s="45"/>
      <c r="F52" s="235"/>
      <c r="G52" s="250"/>
      <c r="H52" s="251"/>
      <c r="I52" s="251"/>
      <c r="J52" s="252"/>
      <c r="K52" s="21"/>
      <c r="O52" t="s">
        <v>88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212"/>
      <c r="B53" s="32"/>
      <c r="C53" s="11"/>
      <c r="D53" s="12"/>
      <c r="F53" s="35"/>
      <c r="G53" s="24"/>
      <c r="H53" s="24"/>
      <c r="I53" s="24"/>
      <c r="J53" s="17"/>
      <c r="N53" s="1"/>
      <c r="O53" t="s">
        <v>89</v>
      </c>
      <c r="P53" s="4">
        <v>1142</v>
      </c>
    </row>
    <row r="54" spans="1:18" x14ac:dyDescent="0.25">
      <c r="A54" s="175" t="s">
        <v>90</v>
      </c>
      <c r="B54" s="220"/>
      <c r="C54" s="221"/>
      <c r="D54" s="224">
        <f>SUM(D34:D53)</f>
        <v>42216</v>
      </c>
      <c r="F54" s="21"/>
      <c r="J54" s="34"/>
    </row>
    <row r="55" spans="1:18" x14ac:dyDescent="0.25">
      <c r="A55" s="177"/>
      <c r="B55" s="222"/>
      <c r="C55" s="223"/>
      <c r="D55" s="225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118</v>
      </c>
      <c r="D57" s="34"/>
      <c r="F57" s="36"/>
      <c r="G57" s="50"/>
      <c r="H57" s="50"/>
      <c r="I57" s="50"/>
      <c r="J57" s="43"/>
    </row>
    <row r="58" spans="1:18" x14ac:dyDescent="0.25">
      <c r="A58" s="226" t="s">
        <v>91</v>
      </c>
      <c r="B58" s="227"/>
      <c r="C58" s="227"/>
      <c r="D58" s="228"/>
      <c r="F58" s="226" t="s">
        <v>92</v>
      </c>
      <c r="G58" s="227"/>
      <c r="H58" s="227"/>
      <c r="I58" s="227"/>
      <c r="J58" s="228"/>
    </row>
    <row r="59" spans="1:18" x14ac:dyDescent="0.25">
      <c r="A59" s="229"/>
      <c r="B59" s="230"/>
      <c r="C59" s="230"/>
      <c r="D59" s="231"/>
      <c r="F59" s="229"/>
      <c r="G59" s="230"/>
      <c r="H59" s="230"/>
      <c r="I59" s="230"/>
      <c r="J59" s="231"/>
    </row>
  </sheetData>
  <mergeCells count="68"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  <mergeCell ref="H13:J13"/>
    <mergeCell ref="F14:G14"/>
    <mergeCell ref="H14:J14"/>
    <mergeCell ref="F15:G15"/>
    <mergeCell ref="H15:J15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A32:D32"/>
    <mergeCell ref="F32:J32"/>
    <mergeCell ref="H33:J33"/>
    <mergeCell ref="A34:A36"/>
    <mergeCell ref="H34:J34"/>
    <mergeCell ref="H35:J35"/>
    <mergeCell ref="H36:J36"/>
    <mergeCell ref="A37:A39"/>
    <mergeCell ref="H37:J37"/>
    <mergeCell ref="H38:J38"/>
    <mergeCell ref="H39:J39"/>
    <mergeCell ref="A40:A42"/>
    <mergeCell ref="H40:J40"/>
    <mergeCell ref="H41:J41"/>
    <mergeCell ref="G42:J42"/>
    <mergeCell ref="A43:A47"/>
    <mergeCell ref="H43:J43"/>
    <mergeCell ref="H44:J44"/>
    <mergeCell ref="H45:J45"/>
    <mergeCell ref="H46:J46"/>
    <mergeCell ref="H47:J47"/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5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F7A16B0-7AF6-41D1-9FC2-F17C5F8F5B30}">
  <dimension ref="A1:S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9" x14ac:dyDescent="0.25">
      <c r="A1" t="s">
        <v>0</v>
      </c>
      <c r="N1" s="113" t="s">
        <v>1</v>
      </c>
      <c r="O1" s="113"/>
      <c r="P1" s="100" t="s">
        <v>2</v>
      </c>
      <c r="Q1" s="100" t="s">
        <v>3</v>
      </c>
      <c r="R1" s="2" t="s">
        <v>4</v>
      </c>
    </row>
    <row r="2" spans="1:19" x14ac:dyDescent="0.25">
      <c r="A2" t="s">
        <v>5</v>
      </c>
      <c r="N2" s="1"/>
    </row>
    <row r="3" spans="1:19" x14ac:dyDescent="0.25">
      <c r="N3" s="1" t="s">
        <v>6</v>
      </c>
      <c r="O3" s="4"/>
    </row>
    <row r="4" spans="1:19" x14ac:dyDescent="0.25">
      <c r="A4" s="114" t="s">
        <v>7</v>
      </c>
      <c r="B4" s="115"/>
      <c r="C4" s="115"/>
      <c r="D4" s="116"/>
      <c r="F4" s="117" t="s">
        <v>8</v>
      </c>
      <c r="G4" s="119"/>
      <c r="H4" s="121" t="s">
        <v>9</v>
      </c>
      <c r="I4" s="123"/>
      <c r="J4" s="124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9" x14ac:dyDescent="0.25">
      <c r="A5" s="127" t="s">
        <v>7</v>
      </c>
      <c r="B5" s="15" t="s">
        <v>11</v>
      </c>
      <c r="C5" s="9" t="s">
        <v>12</v>
      </c>
      <c r="D5" s="25" t="s">
        <v>13</v>
      </c>
      <c r="F5" s="118"/>
      <c r="G5" s="120"/>
      <c r="H5" s="122"/>
      <c r="I5" s="125"/>
      <c r="J5" s="126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9" ht="14.45" customHeight="1" x14ac:dyDescent="0.25">
      <c r="A6" s="128"/>
      <c r="B6" s="16"/>
      <c r="C6" s="10"/>
      <c r="D6" s="13">
        <f t="shared" ref="D6:D28" si="1">C6*L6</f>
        <v>0</v>
      </c>
      <c r="F6" s="130" t="s">
        <v>16</v>
      </c>
      <c r="G6" s="132"/>
      <c r="H6" s="133"/>
      <c r="I6" s="133"/>
      <c r="J6" s="134"/>
      <c r="K6" s="8"/>
      <c r="L6" s="6">
        <f>R42</f>
        <v>737</v>
      </c>
      <c r="O6" t="s">
        <v>17</v>
      </c>
      <c r="P6" s="4">
        <v>650</v>
      </c>
      <c r="Q6" s="4"/>
      <c r="R6" s="5">
        <f t="shared" si="0"/>
        <v>650</v>
      </c>
    </row>
    <row r="7" spans="1:19" ht="14.45" customHeight="1" x14ac:dyDescent="0.25">
      <c r="A7" s="128"/>
      <c r="B7" s="16"/>
      <c r="C7" s="10"/>
      <c r="D7" s="13">
        <f t="shared" si="1"/>
        <v>0</v>
      </c>
      <c r="F7" s="131"/>
      <c r="G7" s="135"/>
      <c r="H7" s="136"/>
      <c r="I7" s="136"/>
      <c r="J7" s="137"/>
      <c r="K7" s="8"/>
      <c r="L7" s="6">
        <f>R41</f>
        <v>725</v>
      </c>
      <c r="P7" s="4"/>
      <c r="Q7" s="4"/>
      <c r="R7" s="5"/>
    </row>
    <row r="8" spans="1:19" ht="14.45" customHeight="1" x14ac:dyDescent="0.25">
      <c r="A8" s="128"/>
      <c r="B8" s="16"/>
      <c r="C8" s="10"/>
      <c r="D8" s="13">
        <f t="shared" si="1"/>
        <v>0</v>
      </c>
      <c r="F8" s="138" t="s">
        <v>21</v>
      </c>
      <c r="G8" s="140"/>
      <c r="H8" s="141"/>
      <c r="I8" s="141"/>
      <c r="J8" s="142"/>
      <c r="K8" s="8"/>
      <c r="L8" s="6">
        <f>R40</f>
        <v>1033</v>
      </c>
      <c r="P8" s="4"/>
      <c r="Q8" s="4"/>
      <c r="R8" s="5"/>
    </row>
    <row r="9" spans="1:19" ht="14.45" customHeight="1" x14ac:dyDescent="0.25">
      <c r="A9" s="128"/>
      <c r="B9" s="16"/>
      <c r="C9" s="10"/>
      <c r="D9" s="13">
        <f t="shared" si="1"/>
        <v>0</v>
      </c>
      <c r="F9" s="131"/>
      <c r="G9" s="143"/>
      <c r="H9" s="144"/>
      <c r="I9" s="144"/>
      <c r="J9" s="145"/>
      <c r="K9" s="8"/>
      <c r="L9" s="6">
        <f>R38</f>
        <v>707</v>
      </c>
      <c r="P9" s="4"/>
      <c r="Q9" s="4"/>
      <c r="R9" s="5"/>
    </row>
    <row r="10" spans="1:19" ht="14.45" customHeight="1" x14ac:dyDescent="0.25">
      <c r="A10" s="128"/>
      <c r="C10" s="10"/>
      <c r="D10" s="13">
        <f t="shared" si="1"/>
        <v>0</v>
      </c>
      <c r="F10" s="130" t="s">
        <v>26</v>
      </c>
      <c r="G10" s="146"/>
      <c r="H10" s="147"/>
      <c r="I10" s="147"/>
      <c r="J10" s="148"/>
      <c r="K10" s="8"/>
      <c r="L10" s="6">
        <f>R36</f>
        <v>972</v>
      </c>
      <c r="P10" s="4"/>
      <c r="Q10" s="4"/>
      <c r="R10" s="5"/>
    </row>
    <row r="11" spans="1:19" ht="15.75" x14ac:dyDescent="0.25">
      <c r="A11" s="128"/>
      <c r="B11" s="17"/>
      <c r="C11" s="10"/>
      <c r="D11" s="13">
        <f t="shared" si="1"/>
        <v>0</v>
      </c>
      <c r="F11" s="131"/>
      <c r="G11" s="143"/>
      <c r="H11" s="144"/>
      <c r="I11" s="144"/>
      <c r="J11" s="145"/>
      <c r="K11" s="22"/>
      <c r="L11" s="6">
        <f>R32</f>
        <v>1125</v>
      </c>
      <c r="O11" t="s">
        <v>19</v>
      </c>
      <c r="P11" s="4">
        <v>650</v>
      </c>
      <c r="Q11" s="4"/>
      <c r="R11" s="5">
        <f t="shared" si="0"/>
        <v>650</v>
      </c>
    </row>
    <row r="12" spans="1:19" ht="15.75" x14ac:dyDescent="0.25">
      <c r="A12" s="128"/>
      <c r="B12" s="17"/>
      <c r="C12" s="10"/>
      <c r="D12" s="48">
        <f t="shared" si="1"/>
        <v>0</v>
      </c>
      <c r="F12" s="149" t="s">
        <v>33</v>
      </c>
      <c r="G12" s="150"/>
      <c r="H12" s="150"/>
      <c r="I12" s="150"/>
      <c r="J12" s="151"/>
      <c r="K12" s="23"/>
      <c r="L12" s="6">
        <f>R34</f>
        <v>952</v>
      </c>
      <c r="O12" t="s">
        <v>22</v>
      </c>
      <c r="P12" s="4">
        <v>650</v>
      </c>
      <c r="Q12" s="4"/>
      <c r="R12" s="5">
        <f t="shared" si="0"/>
        <v>650</v>
      </c>
    </row>
    <row r="13" spans="1:19" ht="15.75" x14ac:dyDescent="0.25">
      <c r="A13" s="128"/>
      <c r="B13" s="17"/>
      <c r="C13" s="10"/>
      <c r="D13" s="48">
        <f t="shared" si="1"/>
        <v>0</v>
      </c>
      <c r="F13" s="152" t="s">
        <v>36</v>
      </c>
      <c r="G13" s="153"/>
      <c r="H13" s="154">
        <f>D29</f>
        <v>0</v>
      </c>
      <c r="I13" s="155"/>
      <c r="J13" s="156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9" ht="15.75" x14ac:dyDescent="0.25">
      <c r="A14" s="128"/>
      <c r="B14" s="14"/>
      <c r="C14" s="10"/>
      <c r="D14" s="31">
        <f t="shared" si="1"/>
        <v>0</v>
      </c>
      <c r="F14" s="157" t="s">
        <v>39</v>
      </c>
      <c r="G14" s="158"/>
      <c r="H14" s="159">
        <f>D54</f>
        <v>0</v>
      </c>
      <c r="I14" s="160"/>
      <c r="J14" s="161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  <c r="S14">
        <f>205+78</f>
        <v>283</v>
      </c>
    </row>
    <row r="15" spans="1:19" ht="15.75" x14ac:dyDescent="0.25">
      <c r="A15" s="128"/>
      <c r="B15" s="14"/>
      <c r="C15" s="10"/>
      <c r="D15" s="31">
        <f t="shared" si="1"/>
        <v>0</v>
      </c>
      <c r="F15" s="162" t="s">
        <v>40</v>
      </c>
      <c r="G15" s="153"/>
      <c r="H15" s="163">
        <f>H13-H14</f>
        <v>0</v>
      </c>
      <c r="I15" s="164"/>
      <c r="J15" s="165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  <c r="S15">
        <f>229+78</f>
        <v>307</v>
      </c>
    </row>
    <row r="16" spans="1:19" ht="15.75" x14ac:dyDescent="0.25">
      <c r="A16" s="128"/>
      <c r="B16" s="18"/>
      <c r="C16" s="10"/>
      <c r="D16" s="48">
        <f t="shared" si="1"/>
        <v>0</v>
      </c>
      <c r="F16" s="67" t="s">
        <v>42</v>
      </c>
      <c r="G16" s="66" t="s">
        <v>43</v>
      </c>
      <c r="H16" s="166"/>
      <c r="I16" s="166"/>
      <c r="J16" s="166"/>
      <c r="L16" s="6">
        <f>R28</f>
        <v>1567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28"/>
      <c r="C17" s="10"/>
      <c r="D17" s="48">
        <f t="shared" si="1"/>
        <v>0</v>
      </c>
      <c r="F17" s="56"/>
      <c r="G17" s="66" t="s">
        <v>45</v>
      </c>
      <c r="H17" s="139"/>
      <c r="I17" s="139"/>
      <c r="J17" s="139"/>
      <c r="L17" s="6">
        <v>1582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28"/>
      <c r="B18" s="19"/>
      <c r="C18" s="10"/>
      <c r="D18" s="48">
        <f t="shared" si="1"/>
        <v>0</v>
      </c>
      <c r="F18" s="56"/>
      <c r="G18" s="66" t="s">
        <v>47</v>
      </c>
      <c r="H18" s="139"/>
      <c r="I18" s="139"/>
      <c r="J18" s="139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28"/>
      <c r="B19" s="14"/>
      <c r="C19" s="10"/>
      <c r="D19" s="48">
        <f t="shared" si="1"/>
        <v>0</v>
      </c>
      <c r="F19" s="56"/>
      <c r="G19" s="68" t="s">
        <v>50</v>
      </c>
      <c r="H19" s="185"/>
      <c r="I19" s="185"/>
      <c r="J19" s="185"/>
      <c r="L19" s="6">
        <f>R35</f>
        <v>1102</v>
      </c>
      <c r="Q19" s="4"/>
      <c r="R19" s="5">
        <f t="shared" si="0"/>
        <v>0</v>
      </c>
    </row>
    <row r="20" spans="1:18" ht="15.75" x14ac:dyDescent="0.25">
      <c r="A20" s="128"/>
      <c r="B20" s="46"/>
      <c r="C20" s="10"/>
      <c r="D20" s="13">
        <f t="shared" si="1"/>
        <v>0</v>
      </c>
      <c r="F20" s="57"/>
      <c r="G20" s="70" t="s">
        <v>120</v>
      </c>
      <c r="H20" s="166"/>
      <c r="I20" s="166"/>
      <c r="J20" s="166"/>
      <c r="L20" s="6">
        <f>1102</f>
        <v>1102</v>
      </c>
      <c r="N20" s="1" t="s">
        <v>41</v>
      </c>
      <c r="Q20" s="4"/>
      <c r="R20" s="5">
        <f t="shared" si="0"/>
        <v>0</v>
      </c>
    </row>
    <row r="21" spans="1:18" ht="15.75" x14ac:dyDescent="0.25">
      <c r="A21" s="128"/>
      <c r="B21" s="14"/>
      <c r="C21" s="10"/>
      <c r="D21" s="48">
        <f t="shared" si="1"/>
        <v>0</v>
      </c>
      <c r="F21" s="69" t="s">
        <v>99</v>
      </c>
      <c r="G21" s="82" t="s">
        <v>98</v>
      </c>
      <c r="H21" s="186" t="s">
        <v>13</v>
      </c>
      <c r="I21" s="187"/>
      <c r="J21" s="188"/>
      <c r="L21" s="7">
        <v>650</v>
      </c>
      <c r="O21" t="s">
        <v>44</v>
      </c>
      <c r="P21" s="4">
        <v>1447</v>
      </c>
      <c r="Q21" s="4">
        <v>120</v>
      </c>
      <c r="R21" s="5">
        <f t="shared" si="0"/>
        <v>1567</v>
      </c>
    </row>
    <row r="22" spans="1:18" ht="15.75" x14ac:dyDescent="0.25">
      <c r="A22" s="128"/>
      <c r="B22" s="46"/>
      <c r="C22" s="10"/>
      <c r="D22" s="48">
        <f t="shared" si="1"/>
        <v>0</v>
      </c>
      <c r="F22" s="77"/>
      <c r="G22" s="73"/>
      <c r="H22" s="189"/>
      <c r="I22" s="189"/>
      <c r="J22" s="189"/>
      <c r="L22" s="7">
        <f>559+111</f>
        <v>670</v>
      </c>
      <c r="O22" t="s">
        <v>46</v>
      </c>
      <c r="P22" s="4">
        <v>1582</v>
      </c>
      <c r="Q22" s="4"/>
      <c r="R22" s="5">
        <f t="shared" si="0"/>
        <v>1582</v>
      </c>
    </row>
    <row r="23" spans="1:18" ht="15.75" x14ac:dyDescent="0.25">
      <c r="A23" s="128"/>
      <c r="B23" s="14"/>
      <c r="C23" s="10"/>
      <c r="D23" s="48">
        <f t="shared" si="1"/>
        <v>0</v>
      </c>
      <c r="F23" s="78"/>
      <c r="G23" s="79"/>
      <c r="H23" s="190"/>
      <c r="I23" s="191"/>
      <c r="J23" s="191"/>
      <c r="L23" s="47">
        <f>R33</f>
        <v>1175</v>
      </c>
      <c r="N23" s="1"/>
      <c r="O23" t="s">
        <v>48</v>
      </c>
      <c r="P23" s="4">
        <v>1728</v>
      </c>
      <c r="Q23" s="4"/>
      <c r="R23" s="5">
        <f t="shared" si="0"/>
        <v>1728</v>
      </c>
    </row>
    <row r="24" spans="1:18" ht="15.75" x14ac:dyDescent="0.25">
      <c r="A24" s="128"/>
      <c r="B24" s="14"/>
      <c r="C24" s="10"/>
      <c r="D24" s="48">
        <f t="shared" si="1"/>
        <v>0</v>
      </c>
      <c r="F24" s="38"/>
      <c r="G24" s="37"/>
      <c r="H24" s="190"/>
      <c r="I24" s="191"/>
      <c r="J24" s="191"/>
      <c r="L24" s="47">
        <v>1667</v>
      </c>
      <c r="N24" s="1"/>
      <c r="O24" t="s">
        <v>49</v>
      </c>
      <c r="P24" s="4">
        <v>1728</v>
      </c>
      <c r="Q24" s="4"/>
      <c r="R24" s="5">
        <f t="shared" si="0"/>
        <v>1728</v>
      </c>
    </row>
    <row r="25" spans="1:18" ht="15.75" x14ac:dyDescent="0.25">
      <c r="A25" s="128"/>
      <c r="B25" s="14"/>
      <c r="C25" s="10"/>
      <c r="D25" s="48">
        <f t="shared" si="1"/>
        <v>0</v>
      </c>
      <c r="F25" s="60" t="s">
        <v>100</v>
      </c>
      <c r="G25" s="55" t="s">
        <v>98</v>
      </c>
      <c r="H25" s="192" t="s">
        <v>13</v>
      </c>
      <c r="I25" s="193"/>
      <c r="J25" s="194"/>
      <c r="L25" s="47">
        <f>1582</f>
        <v>1582</v>
      </c>
      <c r="O25" t="s">
        <v>51</v>
      </c>
      <c r="P25" s="4">
        <v>1582</v>
      </c>
      <c r="Q25" s="4"/>
      <c r="R25" s="5">
        <f t="shared" si="0"/>
        <v>1582</v>
      </c>
    </row>
    <row r="26" spans="1:18" ht="15.75" x14ac:dyDescent="0.25">
      <c r="A26" s="128"/>
      <c r="B26" s="14"/>
      <c r="C26" s="10"/>
      <c r="D26" s="48">
        <f t="shared" si="1"/>
        <v>0</v>
      </c>
      <c r="F26" s="64"/>
      <c r="G26" s="59"/>
      <c r="H26" s="195"/>
      <c r="I26" s="196"/>
      <c r="J26" s="197"/>
      <c r="L26" s="7">
        <f>832/24+1.5</f>
        <v>36.166666666666664</v>
      </c>
      <c r="O26" t="s">
        <v>52</v>
      </c>
      <c r="P26" s="4">
        <v>1447</v>
      </c>
      <c r="Q26" s="4">
        <v>120</v>
      </c>
      <c r="R26" s="5">
        <f t="shared" si="0"/>
        <v>1567</v>
      </c>
    </row>
    <row r="27" spans="1:18" ht="14.45" customHeight="1" x14ac:dyDescent="0.25">
      <c r="A27" s="128"/>
      <c r="B27" s="14"/>
      <c r="C27" s="10"/>
      <c r="D27" s="44">
        <f t="shared" si="1"/>
        <v>0</v>
      </c>
      <c r="F27" s="25"/>
      <c r="G27" s="80"/>
      <c r="H27" s="198"/>
      <c r="I27" s="199"/>
      <c r="J27" s="200"/>
      <c r="L27" s="7">
        <v>1582</v>
      </c>
      <c r="O27" t="s">
        <v>53</v>
      </c>
      <c r="P27" s="4">
        <v>1582</v>
      </c>
      <c r="Q27" s="4"/>
      <c r="R27" s="5">
        <f t="shared" si="0"/>
        <v>1582</v>
      </c>
    </row>
    <row r="28" spans="1:18" ht="15.75" x14ac:dyDescent="0.25">
      <c r="A28" s="129"/>
      <c r="B28" s="46"/>
      <c r="C28" s="10"/>
      <c r="D28" s="48">
        <f t="shared" si="1"/>
        <v>0</v>
      </c>
      <c r="F28" s="101"/>
      <c r="G28" s="61"/>
      <c r="H28" s="201"/>
      <c r="I28" s="202"/>
      <c r="J28" s="203"/>
      <c r="L28" s="7">
        <v>785</v>
      </c>
      <c r="O28" t="s">
        <v>54</v>
      </c>
      <c r="P28" s="4">
        <v>1447</v>
      </c>
      <c r="Q28" s="4">
        <v>120</v>
      </c>
      <c r="R28" s="5">
        <f t="shared" si="0"/>
        <v>1567</v>
      </c>
    </row>
    <row r="29" spans="1:18" x14ac:dyDescent="0.25">
      <c r="A29" s="167" t="s">
        <v>36</v>
      </c>
      <c r="B29" s="168"/>
      <c r="C29" s="169"/>
      <c r="D29" s="173">
        <f>SUM(D6:D28)</f>
        <v>0</v>
      </c>
      <c r="F29" s="175" t="s">
        <v>55</v>
      </c>
      <c r="G29" s="176"/>
      <c r="H29" s="179">
        <f>H15-H16-H17-H18-H19-H20-H22-H23-H24+H26+H27</f>
        <v>0</v>
      </c>
      <c r="I29" s="180"/>
      <c r="J29" s="181"/>
      <c r="O29" t="s">
        <v>56</v>
      </c>
      <c r="P29" s="4">
        <v>1582</v>
      </c>
      <c r="Q29" s="4"/>
      <c r="R29" s="5">
        <f t="shared" si="0"/>
        <v>1582</v>
      </c>
    </row>
    <row r="30" spans="1:18" x14ac:dyDescent="0.25">
      <c r="A30" s="170"/>
      <c r="B30" s="171"/>
      <c r="C30" s="172"/>
      <c r="D30" s="174"/>
      <c r="F30" s="177"/>
      <c r="G30" s="178"/>
      <c r="H30" s="182"/>
      <c r="I30" s="183"/>
      <c r="J30" s="184"/>
      <c r="N30" s="1"/>
      <c r="Q30" s="4"/>
      <c r="R30" s="5">
        <f t="shared" si="0"/>
        <v>0</v>
      </c>
    </row>
    <row r="31" spans="1:18" x14ac:dyDescent="0.25">
      <c r="A31" s="24"/>
      <c r="B31" s="24"/>
      <c r="C31" s="24"/>
      <c r="D31" s="24"/>
      <c r="F31" s="24"/>
      <c r="G31" s="24"/>
      <c r="O31" t="s">
        <v>57</v>
      </c>
      <c r="P31" s="4">
        <v>1052</v>
      </c>
      <c r="Q31" s="4">
        <v>120</v>
      </c>
      <c r="R31" s="5">
        <f t="shared" si="0"/>
        <v>1172</v>
      </c>
    </row>
    <row r="32" spans="1:18" x14ac:dyDescent="0.25">
      <c r="A32" s="114" t="s">
        <v>58</v>
      </c>
      <c r="B32" s="115"/>
      <c r="C32" s="115"/>
      <c r="D32" s="116"/>
      <c r="F32" s="204" t="s">
        <v>59</v>
      </c>
      <c r="G32" s="205"/>
      <c r="H32" s="205"/>
      <c r="I32" s="205"/>
      <c r="J32" s="206"/>
      <c r="O32" t="s">
        <v>60</v>
      </c>
      <c r="P32" s="4">
        <v>1005</v>
      </c>
      <c r="Q32" s="4">
        <v>120</v>
      </c>
      <c r="R32" s="5">
        <f t="shared" si="0"/>
        <v>1125</v>
      </c>
    </row>
    <row r="33" spans="1:18" x14ac:dyDescent="0.25">
      <c r="A33" s="25"/>
      <c r="B33" s="25" t="s">
        <v>11</v>
      </c>
      <c r="C33" s="25" t="s">
        <v>61</v>
      </c>
      <c r="D33" s="25" t="s">
        <v>13</v>
      </c>
      <c r="F33" s="25" t="s">
        <v>62</v>
      </c>
      <c r="G33" s="102" t="s">
        <v>63</v>
      </c>
      <c r="H33" s="204" t="s">
        <v>13</v>
      </c>
      <c r="I33" s="205"/>
      <c r="J33" s="206"/>
      <c r="O33" t="s">
        <v>64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27" t="s">
        <v>65</v>
      </c>
      <c r="B34" s="26" t="s">
        <v>66</v>
      </c>
      <c r="C34" s="51"/>
      <c r="D34" s="30">
        <f>C34*120</f>
        <v>0</v>
      </c>
      <c r="F34" s="12">
        <v>1000</v>
      </c>
      <c r="G34" s="74"/>
      <c r="H34" s="207"/>
      <c r="I34" s="208"/>
      <c r="J34" s="209"/>
      <c r="O34" t="s">
        <v>67</v>
      </c>
      <c r="P34" s="4">
        <v>832</v>
      </c>
      <c r="Q34" s="4">
        <v>120</v>
      </c>
      <c r="R34" s="5">
        <f t="shared" si="0"/>
        <v>952</v>
      </c>
    </row>
    <row r="35" spans="1:18" ht="15.75" x14ac:dyDescent="0.25">
      <c r="A35" s="128"/>
      <c r="B35" s="27" t="s">
        <v>68</v>
      </c>
      <c r="C35" s="52"/>
      <c r="D35" s="30">
        <f>C35*84</f>
        <v>0</v>
      </c>
      <c r="F35" s="58">
        <v>500</v>
      </c>
      <c r="G35" s="41"/>
      <c r="H35" s="207"/>
      <c r="I35" s="208"/>
      <c r="J35" s="209"/>
      <c r="O35" t="s">
        <v>69</v>
      </c>
      <c r="P35" s="4">
        <v>1102</v>
      </c>
      <c r="Q35" s="4"/>
      <c r="R35" s="5">
        <f t="shared" si="0"/>
        <v>1102</v>
      </c>
    </row>
    <row r="36" spans="1:18" ht="15.75" x14ac:dyDescent="0.25">
      <c r="A36" s="129"/>
      <c r="B36" s="26" t="s">
        <v>70</v>
      </c>
      <c r="C36" s="10"/>
      <c r="D36" s="12">
        <f>C36*1.5</f>
        <v>0</v>
      </c>
      <c r="F36" s="12">
        <v>200</v>
      </c>
      <c r="G36" s="37"/>
      <c r="H36" s="207"/>
      <c r="I36" s="208"/>
      <c r="J36" s="209"/>
      <c r="O36" t="s">
        <v>71</v>
      </c>
      <c r="P36" s="4">
        <v>852</v>
      </c>
      <c r="Q36" s="4">
        <v>120</v>
      </c>
      <c r="R36" s="5">
        <f t="shared" si="0"/>
        <v>972</v>
      </c>
    </row>
    <row r="37" spans="1:18" ht="15.75" x14ac:dyDescent="0.25">
      <c r="A37" s="127" t="s">
        <v>72</v>
      </c>
      <c r="B37" s="28" t="s">
        <v>66</v>
      </c>
      <c r="C37" s="53"/>
      <c r="D37" s="12">
        <f>C37*111</f>
        <v>0</v>
      </c>
      <c r="F37" s="12">
        <v>100</v>
      </c>
      <c r="G37" s="39"/>
      <c r="H37" s="207"/>
      <c r="I37" s="208"/>
      <c r="J37" s="209"/>
      <c r="O37" t="s">
        <v>73</v>
      </c>
      <c r="P37" s="4">
        <v>1020</v>
      </c>
      <c r="Q37" s="4">
        <v>120</v>
      </c>
      <c r="R37" s="5">
        <f t="shared" si="0"/>
        <v>1140</v>
      </c>
    </row>
    <row r="38" spans="1:18" ht="15.75" x14ac:dyDescent="0.25">
      <c r="A38" s="128"/>
      <c r="B38" s="29" t="s">
        <v>68</v>
      </c>
      <c r="C38" s="54"/>
      <c r="D38" s="12">
        <f>C38*84</f>
        <v>0</v>
      </c>
      <c r="F38" s="30">
        <v>50</v>
      </c>
      <c r="G38" s="39"/>
      <c r="H38" s="207"/>
      <c r="I38" s="208"/>
      <c r="J38" s="209"/>
      <c r="O38" t="s">
        <v>74</v>
      </c>
      <c r="P38" s="4">
        <v>596</v>
      </c>
      <c r="Q38" s="4">
        <v>111</v>
      </c>
      <c r="R38" s="5">
        <f t="shared" si="0"/>
        <v>707</v>
      </c>
    </row>
    <row r="39" spans="1:18" ht="15.75" x14ac:dyDescent="0.25">
      <c r="A39" s="129"/>
      <c r="B39" s="29" t="s">
        <v>70</v>
      </c>
      <c r="C39" s="52"/>
      <c r="D39" s="31">
        <f>C39*4.5</f>
        <v>0</v>
      </c>
      <c r="F39" s="12">
        <v>20</v>
      </c>
      <c r="G39" s="37"/>
      <c r="H39" s="207"/>
      <c r="I39" s="208"/>
      <c r="J39" s="209"/>
      <c r="O39" t="s">
        <v>75</v>
      </c>
      <c r="P39" s="4">
        <v>1175</v>
      </c>
      <c r="Q39" s="4"/>
      <c r="R39" s="5">
        <f t="shared" si="0"/>
        <v>1175</v>
      </c>
    </row>
    <row r="40" spans="1:18" ht="15.75" x14ac:dyDescent="0.25">
      <c r="A40" s="127" t="s">
        <v>76</v>
      </c>
      <c r="B40" s="27" t="s">
        <v>66</v>
      </c>
      <c r="C40" s="63"/>
      <c r="D40" s="12">
        <f>C40*111</f>
        <v>0</v>
      </c>
      <c r="F40" s="12">
        <v>10</v>
      </c>
      <c r="G40" s="42"/>
      <c r="H40" s="207"/>
      <c r="I40" s="208"/>
      <c r="J40" s="209"/>
      <c r="O40" t="s">
        <v>77</v>
      </c>
      <c r="P40" s="4">
        <v>913</v>
      </c>
      <c r="Q40" s="4">
        <v>120</v>
      </c>
      <c r="R40" s="5">
        <f t="shared" si="0"/>
        <v>1033</v>
      </c>
    </row>
    <row r="41" spans="1:18" ht="15.75" x14ac:dyDescent="0.25">
      <c r="A41" s="128"/>
      <c r="B41" s="27" t="s">
        <v>68</v>
      </c>
      <c r="C41" s="10"/>
      <c r="D41" s="12">
        <f>C41*84</f>
        <v>0</v>
      </c>
      <c r="F41" s="12">
        <v>5</v>
      </c>
      <c r="G41" s="42"/>
      <c r="H41" s="207"/>
      <c r="I41" s="208"/>
      <c r="J41" s="209"/>
      <c r="K41" s="21"/>
      <c r="O41" t="s">
        <v>78</v>
      </c>
      <c r="P41" s="4">
        <v>614</v>
      </c>
      <c r="Q41" s="4">
        <v>111</v>
      </c>
      <c r="R41" s="5">
        <f t="shared" si="0"/>
        <v>725</v>
      </c>
    </row>
    <row r="42" spans="1:18" ht="15.75" x14ac:dyDescent="0.25">
      <c r="A42" s="129"/>
      <c r="B42" s="27" t="s">
        <v>70</v>
      </c>
      <c r="C42" s="11"/>
      <c r="D42" s="12">
        <f>C42*2.25</f>
        <v>0</v>
      </c>
      <c r="F42" s="39" t="s">
        <v>79</v>
      </c>
      <c r="G42" s="207"/>
      <c r="H42" s="208"/>
      <c r="I42" s="208"/>
      <c r="J42" s="209"/>
      <c r="K42" s="36"/>
      <c r="O42" t="s">
        <v>80</v>
      </c>
      <c r="P42" s="4">
        <v>626</v>
      </c>
      <c r="Q42" s="4">
        <v>111</v>
      </c>
      <c r="R42" s="5">
        <f t="shared" si="0"/>
        <v>737</v>
      </c>
    </row>
    <row r="43" spans="1:18" ht="15.75" x14ac:dyDescent="0.25">
      <c r="A43" s="210" t="s">
        <v>81</v>
      </c>
      <c r="C43" s="11"/>
      <c r="D43" s="12"/>
      <c r="F43" s="59" t="s">
        <v>82</v>
      </c>
      <c r="G43" s="104" t="s">
        <v>83</v>
      </c>
      <c r="H43" s="213" t="s">
        <v>13</v>
      </c>
      <c r="I43" s="214"/>
      <c r="J43" s="215"/>
      <c r="K43" s="21"/>
      <c r="P43" s="4"/>
      <c r="Q43" s="4"/>
      <c r="R43" s="5"/>
    </row>
    <row r="44" spans="1:18" ht="15.75" x14ac:dyDescent="0.25">
      <c r="A44" s="211"/>
      <c r="B44" s="27" t="s">
        <v>66</v>
      </c>
      <c r="C44" s="10"/>
      <c r="D44" s="12">
        <f>C44*120</f>
        <v>0</v>
      </c>
      <c r="F44" s="37"/>
      <c r="G44" s="76"/>
      <c r="H44" s="191"/>
      <c r="I44" s="191"/>
      <c r="J44" s="191"/>
      <c r="K44" s="21"/>
      <c r="P44" s="4"/>
      <c r="Q44" s="4"/>
      <c r="R44" s="5"/>
    </row>
    <row r="45" spans="1:18" ht="15.75" x14ac:dyDescent="0.25">
      <c r="A45" s="211"/>
      <c r="B45" s="27" t="s">
        <v>68</v>
      </c>
      <c r="C45" s="33"/>
      <c r="D45" s="12">
        <f>C45*84</f>
        <v>0</v>
      </c>
      <c r="F45" s="37"/>
      <c r="G45" s="76"/>
      <c r="H45" s="191"/>
      <c r="I45" s="191"/>
      <c r="J45" s="191"/>
      <c r="K45" s="21"/>
      <c r="P45" s="4"/>
      <c r="Q45" s="4"/>
      <c r="R45" s="5"/>
    </row>
    <row r="46" spans="1:18" ht="15.75" x14ac:dyDescent="0.25">
      <c r="A46" s="211"/>
      <c r="B46" s="49" t="s">
        <v>70</v>
      </c>
      <c r="C46" s="81"/>
      <c r="D46" s="12">
        <f>C46*1.5</f>
        <v>0</v>
      </c>
      <c r="F46" s="37"/>
      <c r="G46" s="62"/>
      <c r="H46" s="216"/>
      <c r="I46" s="216"/>
      <c r="J46" s="216"/>
      <c r="K46" s="21"/>
      <c r="P46" s="4"/>
      <c r="Q46" s="4"/>
      <c r="R46" s="5"/>
    </row>
    <row r="47" spans="1:18" ht="15.75" x14ac:dyDescent="0.25">
      <c r="A47" s="212"/>
      <c r="B47" s="27"/>
      <c r="C47" s="11"/>
      <c r="D47" s="12"/>
      <c r="F47" s="59"/>
      <c r="G47" s="59"/>
      <c r="H47" s="217"/>
      <c r="I47" s="218"/>
      <c r="J47" s="219"/>
      <c r="K47" s="21"/>
      <c r="P47" s="4"/>
      <c r="Q47" s="4"/>
      <c r="R47" s="5"/>
    </row>
    <row r="48" spans="1:18" ht="15" customHeight="1" x14ac:dyDescent="0.25">
      <c r="A48" s="210" t="s">
        <v>32</v>
      </c>
      <c r="B48" s="27" t="s">
        <v>66</v>
      </c>
      <c r="C48" s="10"/>
      <c r="D48" s="12">
        <f>C48*78</f>
        <v>0</v>
      </c>
      <c r="F48" s="59"/>
      <c r="G48" s="59"/>
      <c r="H48" s="217"/>
      <c r="I48" s="218"/>
      <c r="J48" s="219"/>
      <c r="K48" s="35"/>
      <c r="O48" t="s">
        <v>84</v>
      </c>
      <c r="P48" s="4">
        <v>1175</v>
      </c>
      <c r="Q48" s="4"/>
      <c r="R48" s="5">
        <f t="shared" si="0"/>
        <v>1175</v>
      </c>
    </row>
    <row r="49" spans="1:18" ht="15.75" x14ac:dyDescent="0.25">
      <c r="A49" s="211"/>
      <c r="B49" s="29" t="s">
        <v>68</v>
      </c>
      <c r="C49" s="33"/>
      <c r="D49" s="12">
        <f>C49*42</f>
        <v>0</v>
      </c>
      <c r="F49" s="232" t="s">
        <v>86</v>
      </c>
      <c r="G49" s="179">
        <f>H34+H35+H36+H37+H38+H39+H40+H41+G42+H44+H45+H46</f>
        <v>0</v>
      </c>
      <c r="H49" s="180"/>
      <c r="I49" s="180"/>
      <c r="J49" s="181"/>
      <c r="O49" t="s">
        <v>85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211"/>
      <c r="B50" s="32" t="s">
        <v>70</v>
      </c>
      <c r="C50" s="11"/>
      <c r="D50" s="12">
        <f>C50*1.5</f>
        <v>0</v>
      </c>
      <c r="F50" s="233"/>
      <c r="G50" s="182"/>
      <c r="H50" s="183"/>
      <c r="I50" s="183"/>
      <c r="J50" s="184"/>
      <c r="P50" s="4"/>
      <c r="Q50" s="4"/>
      <c r="R50" s="5"/>
    </row>
    <row r="51" spans="1:18" ht="15" customHeight="1" x14ac:dyDescent="0.25">
      <c r="A51" s="211"/>
      <c r="B51" s="27"/>
      <c r="C51" s="10"/>
      <c r="D51" s="31"/>
      <c r="F51" s="234" t="s">
        <v>128</v>
      </c>
      <c r="G51" s="236">
        <f>G49-H29</f>
        <v>0</v>
      </c>
      <c r="H51" s="237"/>
      <c r="I51" s="237"/>
      <c r="J51" s="238"/>
      <c r="K51" s="21"/>
      <c r="O51" t="s">
        <v>87</v>
      </c>
      <c r="P51" s="4">
        <v>703</v>
      </c>
      <c r="Q51" s="4">
        <v>120</v>
      </c>
      <c r="R51" s="5">
        <f t="shared" si="0"/>
        <v>823</v>
      </c>
    </row>
    <row r="52" spans="1:18" ht="15.75" x14ac:dyDescent="0.25">
      <c r="A52" s="211"/>
      <c r="B52" s="29"/>
      <c r="C52" s="33"/>
      <c r="D52" s="45"/>
      <c r="F52" s="235"/>
      <c r="G52" s="239"/>
      <c r="H52" s="240"/>
      <c r="I52" s="240"/>
      <c r="J52" s="241"/>
      <c r="K52" s="21"/>
      <c r="O52" t="s">
        <v>88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212"/>
      <c r="B53" s="32"/>
      <c r="C53" s="11"/>
      <c r="D53" s="12"/>
      <c r="F53" s="35"/>
      <c r="G53" s="24"/>
      <c r="H53" s="24"/>
      <c r="I53" s="24"/>
      <c r="J53" s="17"/>
      <c r="N53" s="1"/>
      <c r="O53" t="s">
        <v>89</v>
      </c>
      <c r="P53" s="4">
        <v>1142</v>
      </c>
    </row>
    <row r="54" spans="1:18" x14ac:dyDescent="0.25">
      <c r="A54" s="175" t="s">
        <v>90</v>
      </c>
      <c r="B54" s="220"/>
      <c r="C54" s="221"/>
      <c r="D54" s="224">
        <f>SUM(D34:D53)</f>
        <v>0</v>
      </c>
      <c r="F54" s="21"/>
      <c r="J54" s="34"/>
    </row>
    <row r="55" spans="1:18" x14ac:dyDescent="0.25">
      <c r="A55" s="177"/>
      <c r="B55" s="222"/>
      <c r="C55" s="223"/>
      <c r="D55" s="225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D57" s="34"/>
      <c r="F57" s="36"/>
      <c r="G57" s="50"/>
      <c r="H57" s="50"/>
      <c r="I57" s="50"/>
      <c r="J57" s="43"/>
    </row>
    <row r="58" spans="1:18" x14ac:dyDescent="0.25">
      <c r="A58" s="226" t="s">
        <v>91</v>
      </c>
      <c r="B58" s="227"/>
      <c r="C58" s="227"/>
      <c r="D58" s="228"/>
      <c r="F58" s="226" t="s">
        <v>92</v>
      </c>
      <c r="G58" s="227"/>
      <c r="H58" s="227"/>
      <c r="I58" s="227"/>
      <c r="J58" s="228"/>
    </row>
    <row r="59" spans="1:18" x14ac:dyDescent="0.25">
      <c r="A59" s="229"/>
      <c r="B59" s="230"/>
      <c r="C59" s="230"/>
      <c r="D59" s="231"/>
      <c r="F59" s="229"/>
      <c r="G59" s="230"/>
      <c r="H59" s="230"/>
      <c r="I59" s="230"/>
      <c r="J59" s="231"/>
    </row>
  </sheetData>
  <mergeCells count="68"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  <mergeCell ref="H13:J13"/>
    <mergeCell ref="F14:G14"/>
    <mergeCell ref="H14:J14"/>
    <mergeCell ref="F15:G15"/>
    <mergeCell ref="H15:J15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A32:D32"/>
    <mergeCell ref="F32:J32"/>
    <mergeCell ref="H33:J33"/>
    <mergeCell ref="A34:A36"/>
    <mergeCell ref="H34:J34"/>
    <mergeCell ref="H35:J35"/>
    <mergeCell ref="H36:J36"/>
    <mergeCell ref="A37:A39"/>
    <mergeCell ref="H37:J37"/>
    <mergeCell ref="H38:J38"/>
    <mergeCell ref="H39:J39"/>
    <mergeCell ref="A40:A42"/>
    <mergeCell ref="H40:J40"/>
    <mergeCell ref="H41:J41"/>
    <mergeCell ref="G42:J42"/>
    <mergeCell ref="A43:A47"/>
    <mergeCell ref="H43:J43"/>
    <mergeCell ref="H44:J44"/>
    <mergeCell ref="H45:J45"/>
    <mergeCell ref="H46:J46"/>
    <mergeCell ref="H47:J47"/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5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B2706FA-EA3E-45EC-82C1-E9A6C3473B8E}">
  <dimension ref="A1:R59"/>
  <sheetViews>
    <sheetView tabSelected="1"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bestFit="1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113" t="s">
        <v>1</v>
      </c>
      <c r="O1" s="113"/>
      <c r="P1" s="100" t="s">
        <v>2</v>
      </c>
      <c r="Q1" s="100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14" t="s">
        <v>7</v>
      </c>
      <c r="B4" s="115"/>
      <c r="C4" s="115"/>
      <c r="D4" s="116"/>
      <c r="F4" s="117" t="s">
        <v>8</v>
      </c>
      <c r="G4" s="119">
        <v>1</v>
      </c>
      <c r="H4" s="121" t="s">
        <v>9</v>
      </c>
      <c r="I4" s="123">
        <v>45978</v>
      </c>
      <c r="J4" s="124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27" t="s">
        <v>7</v>
      </c>
      <c r="B5" s="15" t="s">
        <v>11</v>
      </c>
      <c r="C5" s="9" t="s">
        <v>12</v>
      </c>
      <c r="D5" s="25" t="s">
        <v>13</v>
      </c>
      <c r="F5" s="118"/>
      <c r="G5" s="120"/>
      <c r="H5" s="122"/>
      <c r="I5" s="125"/>
      <c r="J5" s="126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28"/>
      <c r="B6" s="16" t="s">
        <v>15</v>
      </c>
      <c r="C6" s="89"/>
      <c r="D6" s="13">
        <f t="shared" ref="D6:D28" si="1">C6*L6</f>
        <v>0</v>
      </c>
      <c r="F6" s="130" t="s">
        <v>16</v>
      </c>
      <c r="G6" s="132" t="s">
        <v>129</v>
      </c>
      <c r="H6" s="133"/>
      <c r="I6" s="133"/>
      <c r="J6" s="134"/>
      <c r="K6" s="8"/>
      <c r="L6" s="6">
        <f>R42</f>
        <v>737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28"/>
      <c r="B7" s="16" t="s">
        <v>18</v>
      </c>
      <c r="C7" s="89"/>
      <c r="D7" s="13">
        <f t="shared" si="1"/>
        <v>0</v>
      </c>
      <c r="F7" s="131"/>
      <c r="G7" s="135"/>
      <c r="H7" s="136"/>
      <c r="I7" s="136"/>
      <c r="J7" s="137"/>
      <c r="K7" s="8"/>
      <c r="L7" s="6">
        <f>R41</f>
        <v>725</v>
      </c>
      <c r="P7" s="4"/>
      <c r="Q7" s="4"/>
      <c r="R7" s="5"/>
    </row>
    <row r="8" spans="1:18" ht="14.45" customHeight="1" x14ac:dyDescent="0.25">
      <c r="A8" s="128"/>
      <c r="B8" s="16" t="s">
        <v>20</v>
      </c>
      <c r="C8" s="89"/>
      <c r="D8" s="13">
        <f t="shared" si="1"/>
        <v>0</v>
      </c>
      <c r="F8" s="138" t="s">
        <v>21</v>
      </c>
      <c r="G8" s="140" t="s">
        <v>112</v>
      </c>
      <c r="H8" s="141"/>
      <c r="I8" s="141"/>
      <c r="J8" s="142"/>
      <c r="K8" s="8"/>
      <c r="L8" s="6">
        <f>R40</f>
        <v>1033</v>
      </c>
      <c r="P8" s="4"/>
      <c r="Q8" s="4"/>
      <c r="R8" s="5"/>
    </row>
    <row r="9" spans="1:18" ht="14.45" customHeight="1" x14ac:dyDescent="0.25">
      <c r="A9" s="128"/>
      <c r="B9" s="16" t="s">
        <v>23</v>
      </c>
      <c r="C9" s="89"/>
      <c r="D9" s="13">
        <f t="shared" si="1"/>
        <v>0</v>
      </c>
      <c r="F9" s="131"/>
      <c r="G9" s="143"/>
      <c r="H9" s="144"/>
      <c r="I9" s="144"/>
      <c r="J9" s="145"/>
      <c r="K9" s="8"/>
      <c r="L9" s="6">
        <f>R38</f>
        <v>707</v>
      </c>
      <c r="P9" s="4"/>
      <c r="Q9" s="4"/>
      <c r="R9" s="5"/>
    </row>
    <row r="10" spans="1:18" ht="14.45" customHeight="1" x14ac:dyDescent="0.25">
      <c r="A10" s="128"/>
      <c r="B10" t="s">
        <v>25</v>
      </c>
      <c r="C10" s="89"/>
      <c r="D10" s="13">
        <f t="shared" si="1"/>
        <v>0</v>
      </c>
      <c r="F10" s="130" t="s">
        <v>26</v>
      </c>
      <c r="G10" s="146" t="s">
        <v>130</v>
      </c>
      <c r="H10" s="147"/>
      <c r="I10" s="147"/>
      <c r="J10" s="148"/>
      <c r="K10" s="8"/>
      <c r="L10" s="6">
        <f>R36</f>
        <v>972</v>
      </c>
      <c r="P10" s="4"/>
      <c r="Q10" s="4"/>
      <c r="R10" s="5"/>
    </row>
    <row r="11" spans="1:18" ht="15.75" x14ac:dyDescent="0.25">
      <c r="A11" s="128"/>
      <c r="B11" s="17" t="s">
        <v>28</v>
      </c>
      <c r="C11" s="89"/>
      <c r="D11" s="13">
        <f t="shared" si="1"/>
        <v>0</v>
      </c>
      <c r="F11" s="131"/>
      <c r="G11" s="143"/>
      <c r="H11" s="144"/>
      <c r="I11" s="144"/>
      <c r="J11" s="145"/>
      <c r="K11" s="22"/>
      <c r="L11" s="6">
        <f>R32</f>
        <v>1125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28"/>
      <c r="B12" s="17" t="s">
        <v>30</v>
      </c>
      <c r="C12" s="89"/>
      <c r="D12" s="48">
        <f t="shared" si="1"/>
        <v>0</v>
      </c>
      <c r="F12" s="149" t="s">
        <v>33</v>
      </c>
      <c r="G12" s="150"/>
      <c r="H12" s="150"/>
      <c r="I12" s="150"/>
      <c r="J12" s="151"/>
      <c r="K12" s="23"/>
      <c r="L12" s="6">
        <f>R34</f>
        <v>952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28"/>
      <c r="B13" s="17" t="s">
        <v>32</v>
      </c>
      <c r="C13" s="89"/>
      <c r="D13" s="48">
        <f t="shared" si="1"/>
        <v>0</v>
      </c>
      <c r="F13" s="152" t="s">
        <v>36</v>
      </c>
      <c r="G13" s="153"/>
      <c r="H13" s="154">
        <f>D29</f>
        <v>0</v>
      </c>
      <c r="I13" s="155"/>
      <c r="J13" s="156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28"/>
      <c r="B14" s="14" t="s">
        <v>35</v>
      </c>
      <c r="C14" s="89"/>
      <c r="D14" s="31">
        <f t="shared" si="1"/>
        <v>0</v>
      </c>
      <c r="F14" s="157" t="s">
        <v>39</v>
      </c>
      <c r="G14" s="158"/>
      <c r="H14" s="159">
        <f>D54</f>
        <v>0</v>
      </c>
      <c r="I14" s="160"/>
      <c r="J14" s="161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28"/>
      <c r="B15" s="14" t="s">
        <v>38</v>
      </c>
      <c r="C15" s="89"/>
      <c r="D15" s="31">
        <f t="shared" si="1"/>
        <v>0</v>
      </c>
      <c r="F15" s="162" t="s">
        <v>40</v>
      </c>
      <c r="G15" s="153"/>
      <c r="H15" s="163">
        <f>H13-H14</f>
        <v>0</v>
      </c>
      <c r="I15" s="164"/>
      <c r="J15" s="165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28"/>
      <c r="B16" s="18" t="s">
        <v>94</v>
      </c>
      <c r="C16" s="89"/>
      <c r="D16" s="48">
        <f t="shared" si="1"/>
        <v>0</v>
      </c>
      <c r="F16" s="67" t="s">
        <v>42</v>
      </c>
      <c r="G16" s="66" t="s">
        <v>43</v>
      </c>
      <c r="H16" s="166"/>
      <c r="I16" s="166"/>
      <c r="J16" s="166"/>
      <c r="L16" s="6">
        <f>R28</f>
        <v>1567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28"/>
      <c r="B17" t="s">
        <v>140</v>
      </c>
      <c r="C17" s="89"/>
      <c r="D17" s="48">
        <f t="shared" si="1"/>
        <v>0</v>
      </c>
      <c r="F17" s="56"/>
      <c r="G17" s="66" t="s">
        <v>45</v>
      </c>
      <c r="H17" s="139"/>
      <c r="I17" s="139"/>
      <c r="J17" s="139"/>
      <c r="L17" s="6">
        <f>1582</f>
        <v>1582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28"/>
      <c r="B18" s="19" t="s">
        <v>95</v>
      </c>
      <c r="C18" s="89"/>
      <c r="D18" s="48">
        <f t="shared" si="1"/>
        <v>0</v>
      </c>
      <c r="F18" s="56"/>
      <c r="G18" s="66" t="s">
        <v>47</v>
      </c>
      <c r="H18" s="139"/>
      <c r="I18" s="139"/>
      <c r="J18" s="139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28"/>
      <c r="B19" s="14" t="s">
        <v>136</v>
      </c>
      <c r="C19" s="89"/>
      <c r="D19" s="48">
        <f t="shared" si="1"/>
        <v>0</v>
      </c>
      <c r="F19" s="56"/>
      <c r="G19" s="68" t="s">
        <v>50</v>
      </c>
      <c r="H19" s="139"/>
      <c r="I19" s="139"/>
      <c r="J19" s="139"/>
      <c r="L19" s="6">
        <v>1102</v>
      </c>
      <c r="Q19" s="4"/>
      <c r="R19" s="5">
        <f t="shared" si="0"/>
        <v>0</v>
      </c>
    </row>
    <row r="20" spans="1:18" ht="15.75" x14ac:dyDescent="0.25">
      <c r="A20" s="128"/>
      <c r="B20" s="83" t="s">
        <v>125</v>
      </c>
      <c r="C20" s="89"/>
      <c r="D20" s="13">
        <f t="shared" si="1"/>
        <v>0</v>
      </c>
      <c r="F20" s="57"/>
      <c r="G20" s="70" t="s">
        <v>120</v>
      </c>
      <c r="H20" s="166"/>
      <c r="I20" s="166"/>
      <c r="J20" s="166"/>
      <c r="L20" s="6">
        <f>R39</f>
        <v>1175</v>
      </c>
      <c r="N20" s="1" t="s">
        <v>41</v>
      </c>
      <c r="Q20" s="4"/>
      <c r="R20" s="5">
        <f t="shared" si="0"/>
        <v>0</v>
      </c>
    </row>
    <row r="21" spans="1:18" ht="15.75" x14ac:dyDescent="0.25">
      <c r="A21" s="128"/>
      <c r="B21" s="14" t="s">
        <v>138</v>
      </c>
      <c r="C21" s="89"/>
      <c r="D21" s="48">
        <f t="shared" si="1"/>
        <v>0</v>
      </c>
      <c r="F21" s="69" t="s">
        <v>99</v>
      </c>
      <c r="G21" s="82" t="s">
        <v>98</v>
      </c>
      <c r="H21" s="186" t="s">
        <v>13</v>
      </c>
      <c r="I21" s="187"/>
      <c r="J21" s="188"/>
      <c r="L21" s="7">
        <v>650</v>
      </c>
      <c r="O21" t="s">
        <v>44</v>
      </c>
      <c r="P21" s="4">
        <v>1447</v>
      </c>
      <c r="Q21" s="4">
        <v>120</v>
      </c>
      <c r="R21" s="5">
        <f t="shared" si="0"/>
        <v>1567</v>
      </c>
    </row>
    <row r="22" spans="1:18" ht="15.75" x14ac:dyDescent="0.25">
      <c r="A22" s="128"/>
      <c r="B22" s="46" t="s">
        <v>127</v>
      </c>
      <c r="C22" s="89"/>
      <c r="D22" s="48">
        <f t="shared" si="1"/>
        <v>0</v>
      </c>
      <c r="F22" s="77"/>
      <c r="G22" s="73"/>
      <c r="H22" s="189"/>
      <c r="I22" s="189"/>
      <c r="J22" s="189"/>
      <c r="L22" s="7">
        <v>1582</v>
      </c>
      <c r="O22" t="s">
        <v>46</v>
      </c>
      <c r="P22" s="4">
        <v>1582</v>
      </c>
      <c r="Q22" s="4"/>
      <c r="R22" s="5">
        <f t="shared" si="0"/>
        <v>1582</v>
      </c>
    </row>
    <row r="23" spans="1:18" ht="15.75" x14ac:dyDescent="0.25">
      <c r="A23" s="128"/>
      <c r="B23" s="14" t="s">
        <v>101</v>
      </c>
      <c r="C23" s="89"/>
      <c r="D23" s="48">
        <f t="shared" si="1"/>
        <v>0</v>
      </c>
      <c r="F23" s="77"/>
      <c r="G23" s="79"/>
      <c r="H23" s="242"/>
      <c r="I23" s="243"/>
      <c r="J23" s="243"/>
      <c r="L23" s="47">
        <v>1667</v>
      </c>
      <c r="N23" s="1"/>
      <c r="O23" t="s">
        <v>48</v>
      </c>
      <c r="P23" s="4">
        <v>1728</v>
      </c>
      <c r="Q23" s="4"/>
      <c r="R23" s="5">
        <f t="shared" si="0"/>
        <v>1728</v>
      </c>
    </row>
    <row r="24" spans="1:18" ht="15.75" x14ac:dyDescent="0.25">
      <c r="A24" s="128"/>
      <c r="B24" s="14" t="s">
        <v>121</v>
      </c>
      <c r="C24" s="89"/>
      <c r="D24" s="48">
        <f t="shared" si="1"/>
        <v>0</v>
      </c>
      <c r="F24" s="77"/>
      <c r="G24" s="79"/>
      <c r="H24" s="242"/>
      <c r="I24" s="243"/>
      <c r="J24" s="243"/>
      <c r="L24" s="47">
        <f>913/24+1.5</f>
        <v>39.541666666666664</v>
      </c>
      <c r="N24" s="1"/>
      <c r="O24" t="s">
        <v>49</v>
      </c>
      <c r="P24" s="4">
        <v>1728</v>
      </c>
      <c r="Q24" s="4"/>
      <c r="R24" s="5">
        <f t="shared" si="0"/>
        <v>1728</v>
      </c>
    </row>
    <row r="25" spans="1:18" ht="15.75" x14ac:dyDescent="0.25">
      <c r="A25" s="128"/>
      <c r="B25" s="14" t="s">
        <v>141</v>
      </c>
      <c r="C25" s="89"/>
      <c r="D25" s="48">
        <f t="shared" si="1"/>
        <v>0</v>
      </c>
      <c r="F25" s="60" t="s">
        <v>100</v>
      </c>
      <c r="G25" s="55" t="s">
        <v>98</v>
      </c>
      <c r="H25" s="192" t="s">
        <v>13</v>
      </c>
      <c r="I25" s="193"/>
      <c r="J25" s="194"/>
      <c r="L25" s="47">
        <f>1052+120</f>
        <v>1172</v>
      </c>
      <c r="O25" t="s">
        <v>51</v>
      </c>
      <c r="P25" s="4">
        <v>1582</v>
      </c>
      <c r="Q25" s="4"/>
      <c r="R25" s="5">
        <f t="shared" si="0"/>
        <v>1582</v>
      </c>
    </row>
    <row r="26" spans="1:18" ht="15.75" x14ac:dyDescent="0.25">
      <c r="A26" s="128"/>
      <c r="B26" s="14" t="s">
        <v>139</v>
      </c>
      <c r="C26" s="89"/>
      <c r="D26" s="48">
        <f t="shared" si="1"/>
        <v>0</v>
      </c>
      <c r="F26" s="75"/>
      <c r="G26" s="65"/>
      <c r="H26" s="191"/>
      <c r="I26" s="191"/>
      <c r="J26" s="191"/>
      <c r="L26" s="7">
        <f>1447+120</f>
        <v>1567</v>
      </c>
      <c r="O26" t="s">
        <v>52</v>
      </c>
      <c r="P26" s="4">
        <v>1447</v>
      </c>
      <c r="Q26" s="4">
        <v>120</v>
      </c>
      <c r="R26" s="5">
        <f t="shared" si="0"/>
        <v>1567</v>
      </c>
    </row>
    <row r="27" spans="1:18" ht="14.45" customHeight="1" x14ac:dyDescent="0.25">
      <c r="A27" s="128"/>
      <c r="B27" s="14" t="s">
        <v>110</v>
      </c>
      <c r="C27" s="89"/>
      <c r="D27" s="44">
        <f t="shared" si="1"/>
        <v>0</v>
      </c>
      <c r="F27" s="71"/>
      <c r="G27" s="104"/>
      <c r="H27" s="244"/>
      <c r="I27" s="245"/>
      <c r="J27" s="245"/>
      <c r="L27" s="7">
        <v>1142</v>
      </c>
      <c r="O27" t="s">
        <v>53</v>
      </c>
      <c r="P27" s="4">
        <v>1582</v>
      </c>
      <c r="Q27" s="4"/>
      <c r="R27" s="5">
        <f t="shared" si="0"/>
        <v>1582</v>
      </c>
    </row>
    <row r="28" spans="1:18" ht="15.75" x14ac:dyDescent="0.25">
      <c r="A28" s="129"/>
      <c r="B28" s="46" t="s">
        <v>97</v>
      </c>
      <c r="C28" s="89"/>
      <c r="D28" s="48">
        <f t="shared" si="1"/>
        <v>0</v>
      </c>
      <c r="F28" s="101"/>
      <c r="G28" s="61"/>
      <c r="H28" s="201"/>
      <c r="I28" s="202"/>
      <c r="J28" s="203"/>
      <c r="L28" s="7">
        <v>785</v>
      </c>
      <c r="O28" t="s">
        <v>54</v>
      </c>
      <c r="P28" s="4">
        <v>1447</v>
      </c>
      <c r="Q28" s="4">
        <v>120</v>
      </c>
      <c r="R28" s="5">
        <f t="shared" si="0"/>
        <v>1567</v>
      </c>
    </row>
    <row r="29" spans="1:18" x14ac:dyDescent="0.25">
      <c r="A29" s="167" t="s">
        <v>36</v>
      </c>
      <c r="B29" s="168"/>
      <c r="C29" s="169"/>
      <c r="D29" s="173">
        <f>SUM(D6:D28)</f>
        <v>0</v>
      </c>
      <c r="F29" s="175" t="s">
        <v>55</v>
      </c>
      <c r="G29" s="176"/>
      <c r="H29" s="179">
        <f>H15-H16-H17-H18-H19-H20-H22-H23-H24+H26+H27+H28</f>
        <v>0</v>
      </c>
      <c r="I29" s="180"/>
      <c r="J29" s="181"/>
      <c r="O29" t="s">
        <v>56</v>
      </c>
      <c r="P29" s="4">
        <v>1582</v>
      </c>
      <c r="Q29" s="4"/>
      <c r="R29" s="5">
        <f t="shared" si="0"/>
        <v>1582</v>
      </c>
    </row>
    <row r="30" spans="1:18" x14ac:dyDescent="0.25">
      <c r="A30" s="170"/>
      <c r="B30" s="171"/>
      <c r="C30" s="172"/>
      <c r="D30" s="174"/>
      <c r="F30" s="177"/>
      <c r="G30" s="178"/>
      <c r="H30" s="182"/>
      <c r="I30" s="183"/>
      <c r="J30" s="184"/>
      <c r="N30" s="1"/>
      <c r="Q30" s="4"/>
      <c r="R30" s="5">
        <f t="shared" si="0"/>
        <v>0</v>
      </c>
    </row>
    <row r="31" spans="1:18" x14ac:dyDescent="0.25">
      <c r="A31" s="24"/>
      <c r="B31" s="24"/>
      <c r="C31" s="24"/>
      <c r="D31" s="24"/>
      <c r="F31" s="24"/>
      <c r="G31" s="24"/>
      <c r="O31" t="s">
        <v>57</v>
      </c>
      <c r="P31" s="4">
        <v>1052</v>
      </c>
      <c r="Q31" s="4">
        <v>120</v>
      </c>
      <c r="R31" s="5">
        <f t="shared" si="0"/>
        <v>1172</v>
      </c>
    </row>
    <row r="32" spans="1:18" x14ac:dyDescent="0.25">
      <c r="A32" s="114" t="s">
        <v>58</v>
      </c>
      <c r="B32" s="115"/>
      <c r="C32" s="115"/>
      <c r="D32" s="116"/>
      <c r="F32" s="204" t="s">
        <v>59</v>
      </c>
      <c r="G32" s="205"/>
      <c r="H32" s="205"/>
      <c r="I32" s="205"/>
      <c r="J32" s="206"/>
      <c r="O32" t="s">
        <v>60</v>
      </c>
      <c r="P32" s="4">
        <v>1005</v>
      </c>
      <c r="Q32" s="4">
        <v>120</v>
      </c>
      <c r="R32" s="5">
        <f t="shared" si="0"/>
        <v>1125</v>
      </c>
    </row>
    <row r="33" spans="1:18" x14ac:dyDescent="0.25">
      <c r="A33" s="25"/>
      <c r="B33" s="25" t="s">
        <v>11</v>
      </c>
      <c r="C33" s="25" t="s">
        <v>61</v>
      </c>
      <c r="D33" s="25" t="s">
        <v>13</v>
      </c>
      <c r="F33" s="25" t="s">
        <v>62</v>
      </c>
      <c r="G33" s="102" t="s">
        <v>63</v>
      </c>
      <c r="H33" s="204" t="s">
        <v>13</v>
      </c>
      <c r="I33" s="205"/>
      <c r="J33" s="206"/>
      <c r="O33" t="s">
        <v>64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27" t="s">
        <v>65</v>
      </c>
      <c r="B34" s="26" t="s">
        <v>66</v>
      </c>
      <c r="C34" s="51"/>
      <c r="D34" s="30">
        <f>C34*120</f>
        <v>0</v>
      </c>
      <c r="F34" s="12">
        <v>1000</v>
      </c>
      <c r="G34" s="40"/>
      <c r="H34" s="207">
        <f t="shared" ref="H34:H39" si="2">F34*G34</f>
        <v>0</v>
      </c>
      <c r="I34" s="208"/>
      <c r="J34" s="209"/>
      <c r="O34" t="s">
        <v>67</v>
      </c>
      <c r="P34" s="4">
        <v>832</v>
      </c>
      <c r="Q34" s="4">
        <v>120</v>
      </c>
      <c r="R34" s="5">
        <f t="shared" si="0"/>
        <v>952</v>
      </c>
    </row>
    <row r="35" spans="1:18" ht="15.75" x14ac:dyDescent="0.25">
      <c r="A35" s="128"/>
      <c r="B35" s="27" t="s">
        <v>68</v>
      </c>
      <c r="C35" s="52"/>
      <c r="D35" s="30">
        <f>C35*84</f>
        <v>0</v>
      </c>
      <c r="F35" s="58">
        <v>500</v>
      </c>
      <c r="G35" s="41"/>
      <c r="H35" s="207">
        <f t="shared" si="2"/>
        <v>0</v>
      </c>
      <c r="I35" s="208"/>
      <c r="J35" s="209"/>
      <c r="O35" t="s">
        <v>69</v>
      </c>
      <c r="P35" s="4">
        <v>1102</v>
      </c>
      <c r="Q35" s="4"/>
      <c r="R35" s="5">
        <f t="shared" si="0"/>
        <v>1102</v>
      </c>
    </row>
    <row r="36" spans="1:18" ht="15.75" x14ac:dyDescent="0.25">
      <c r="A36" s="129"/>
      <c r="B36" s="26" t="s">
        <v>70</v>
      </c>
      <c r="C36" s="10"/>
      <c r="D36" s="12">
        <f>C36*1.5</f>
        <v>0</v>
      </c>
      <c r="F36" s="12">
        <v>200</v>
      </c>
      <c r="G36" s="37"/>
      <c r="H36" s="207">
        <f t="shared" si="2"/>
        <v>0</v>
      </c>
      <c r="I36" s="208"/>
      <c r="J36" s="209"/>
      <c r="O36" t="s">
        <v>71</v>
      </c>
      <c r="P36" s="4">
        <v>852</v>
      </c>
      <c r="Q36" s="4">
        <v>120</v>
      </c>
      <c r="R36" s="5">
        <f t="shared" si="0"/>
        <v>972</v>
      </c>
    </row>
    <row r="37" spans="1:18" ht="15.75" x14ac:dyDescent="0.25">
      <c r="A37" s="127" t="s">
        <v>72</v>
      </c>
      <c r="B37" s="28" t="s">
        <v>66</v>
      </c>
      <c r="C37" s="53"/>
      <c r="D37" s="12">
        <f>C37*111</f>
        <v>0</v>
      </c>
      <c r="F37" s="12">
        <v>100</v>
      </c>
      <c r="G37" s="39"/>
      <c r="H37" s="207">
        <f t="shared" si="2"/>
        <v>0</v>
      </c>
      <c r="I37" s="208"/>
      <c r="J37" s="209"/>
      <c r="O37" t="s">
        <v>73</v>
      </c>
      <c r="P37" s="4">
        <v>1020</v>
      </c>
      <c r="Q37" s="4">
        <v>120</v>
      </c>
      <c r="R37" s="5">
        <f t="shared" si="0"/>
        <v>1140</v>
      </c>
    </row>
    <row r="38" spans="1:18" ht="15.75" x14ac:dyDescent="0.25">
      <c r="A38" s="128"/>
      <c r="B38" s="29" t="s">
        <v>68</v>
      </c>
      <c r="C38" s="54"/>
      <c r="D38" s="12">
        <f>C38*84</f>
        <v>0</v>
      </c>
      <c r="F38" s="30">
        <v>50</v>
      </c>
      <c r="G38" s="39"/>
      <c r="H38" s="207">
        <f t="shared" si="2"/>
        <v>0</v>
      </c>
      <c r="I38" s="208"/>
      <c r="J38" s="209"/>
      <c r="O38" t="s">
        <v>74</v>
      </c>
      <c r="P38" s="4">
        <v>596</v>
      </c>
      <c r="Q38" s="4">
        <v>111</v>
      </c>
      <c r="R38" s="5">
        <f t="shared" si="0"/>
        <v>707</v>
      </c>
    </row>
    <row r="39" spans="1:18" ht="15.75" x14ac:dyDescent="0.25">
      <c r="A39" s="129"/>
      <c r="B39" s="29" t="s">
        <v>70</v>
      </c>
      <c r="C39" s="52"/>
      <c r="D39" s="31">
        <f>C39*4.5</f>
        <v>0</v>
      </c>
      <c r="F39" s="12">
        <v>20</v>
      </c>
      <c r="G39" s="37"/>
      <c r="H39" s="207">
        <f t="shared" si="2"/>
        <v>0</v>
      </c>
      <c r="I39" s="208"/>
      <c r="J39" s="209"/>
      <c r="O39" t="s">
        <v>75</v>
      </c>
      <c r="P39" s="4">
        <v>1175</v>
      </c>
      <c r="Q39" s="4"/>
      <c r="R39" s="5">
        <f t="shared" si="0"/>
        <v>1175</v>
      </c>
    </row>
    <row r="40" spans="1:18" ht="15.75" x14ac:dyDescent="0.25">
      <c r="A40" s="127" t="s">
        <v>76</v>
      </c>
      <c r="B40" s="27" t="s">
        <v>66</v>
      </c>
      <c r="C40" s="63"/>
      <c r="D40" s="12">
        <f>C40*111</f>
        <v>0</v>
      </c>
      <c r="F40" s="12">
        <v>10</v>
      </c>
      <c r="G40" s="42"/>
      <c r="H40" s="207"/>
      <c r="I40" s="208"/>
      <c r="J40" s="209"/>
      <c r="O40" t="s">
        <v>77</v>
      </c>
      <c r="P40" s="4">
        <v>913</v>
      </c>
      <c r="Q40" s="4">
        <v>120</v>
      </c>
      <c r="R40" s="5">
        <f t="shared" si="0"/>
        <v>1033</v>
      </c>
    </row>
    <row r="41" spans="1:18" ht="15.75" x14ac:dyDescent="0.25">
      <c r="A41" s="128"/>
      <c r="B41" s="27" t="s">
        <v>68</v>
      </c>
      <c r="C41" s="10"/>
      <c r="D41" s="12">
        <f>C41*84</f>
        <v>0</v>
      </c>
      <c r="F41" s="12">
        <v>5</v>
      </c>
      <c r="G41" s="42"/>
      <c r="H41" s="207"/>
      <c r="I41" s="208"/>
      <c r="J41" s="209"/>
      <c r="K41" s="21"/>
      <c r="O41" t="s">
        <v>78</v>
      </c>
      <c r="P41" s="4">
        <v>614</v>
      </c>
      <c r="Q41" s="4">
        <v>111</v>
      </c>
      <c r="R41" s="5">
        <f t="shared" si="0"/>
        <v>725</v>
      </c>
    </row>
    <row r="42" spans="1:18" ht="15.75" x14ac:dyDescent="0.25">
      <c r="A42" s="129"/>
      <c r="B42" s="27" t="s">
        <v>70</v>
      </c>
      <c r="C42" s="11"/>
      <c r="D42" s="12">
        <f>C42*2.25</f>
        <v>0</v>
      </c>
      <c r="F42" s="39" t="s">
        <v>79</v>
      </c>
      <c r="G42" s="207"/>
      <c r="H42" s="208"/>
      <c r="I42" s="208"/>
      <c r="J42" s="209"/>
      <c r="K42" s="36"/>
      <c r="O42" t="s">
        <v>80</v>
      </c>
      <c r="P42" s="4">
        <v>626</v>
      </c>
      <c r="Q42" s="4">
        <v>111</v>
      </c>
      <c r="R42" s="5">
        <f t="shared" si="0"/>
        <v>737</v>
      </c>
    </row>
    <row r="43" spans="1:18" ht="15.75" x14ac:dyDescent="0.25">
      <c r="A43" s="210" t="s">
        <v>81</v>
      </c>
      <c r="C43" s="11"/>
      <c r="D43" s="12"/>
      <c r="F43" s="59" t="s">
        <v>82</v>
      </c>
      <c r="G43" s="104" t="s">
        <v>83</v>
      </c>
      <c r="H43" s="213" t="s">
        <v>13</v>
      </c>
      <c r="I43" s="214"/>
      <c r="J43" s="215"/>
      <c r="K43" s="21"/>
      <c r="O43" t="s">
        <v>103</v>
      </c>
      <c r="P43" s="4">
        <v>1667</v>
      </c>
      <c r="Q43" s="4"/>
      <c r="R43" s="5"/>
    </row>
    <row r="44" spans="1:18" ht="15.75" x14ac:dyDescent="0.25">
      <c r="A44" s="211"/>
      <c r="B44" s="27" t="s">
        <v>66</v>
      </c>
      <c r="C44" s="10"/>
      <c r="D44" s="12">
        <f>C44*120</f>
        <v>0</v>
      </c>
      <c r="F44" s="37"/>
      <c r="G44" s="62"/>
      <c r="H44" s="191"/>
      <c r="I44" s="191"/>
      <c r="J44" s="191"/>
      <c r="K44" s="21"/>
      <c r="O44" t="s">
        <v>106</v>
      </c>
      <c r="P44" s="4">
        <f>785-120</f>
        <v>665</v>
      </c>
      <c r="Q44" s="4">
        <v>120</v>
      </c>
      <c r="R44" s="5">
        <f>Q44+P44</f>
        <v>785</v>
      </c>
    </row>
    <row r="45" spans="1:18" ht="15.75" x14ac:dyDescent="0.25">
      <c r="A45" s="211"/>
      <c r="B45" s="27" t="s">
        <v>68</v>
      </c>
      <c r="C45" s="33"/>
      <c r="D45" s="12">
        <f>C45*84</f>
        <v>0</v>
      </c>
      <c r="F45" s="37"/>
      <c r="G45" s="62"/>
      <c r="H45" s="191"/>
      <c r="I45" s="191"/>
      <c r="J45" s="191"/>
      <c r="K45" s="21"/>
      <c r="P45" s="4"/>
      <c r="Q45" s="4"/>
      <c r="R45" s="5"/>
    </row>
    <row r="46" spans="1:18" ht="15.75" x14ac:dyDescent="0.25">
      <c r="A46" s="211"/>
      <c r="B46" s="49" t="s">
        <v>70</v>
      </c>
      <c r="C46" s="81"/>
      <c r="D46" s="12">
        <f>C46*1.5</f>
        <v>0</v>
      </c>
      <c r="F46" s="37"/>
      <c r="G46" s="62"/>
      <c r="H46" s="191"/>
      <c r="I46" s="191"/>
      <c r="J46" s="191"/>
      <c r="K46" s="21"/>
      <c r="P46" s="4"/>
      <c r="Q46" s="4"/>
      <c r="R46" s="5"/>
    </row>
    <row r="47" spans="1:18" ht="15.75" x14ac:dyDescent="0.25">
      <c r="A47" s="212"/>
      <c r="B47" s="27"/>
      <c r="C47" s="11"/>
      <c r="D47" s="12"/>
      <c r="F47" s="59"/>
      <c r="G47" s="59"/>
      <c r="H47" s="217"/>
      <c r="I47" s="218"/>
      <c r="J47" s="219"/>
      <c r="K47" s="21"/>
      <c r="P47" s="4"/>
      <c r="Q47" s="4"/>
      <c r="R47" s="5"/>
    </row>
    <row r="48" spans="1:18" ht="15" customHeight="1" x14ac:dyDescent="0.25">
      <c r="A48" s="210" t="s">
        <v>32</v>
      </c>
      <c r="B48" s="27" t="s">
        <v>66</v>
      </c>
      <c r="C48" s="10"/>
      <c r="D48" s="12">
        <f>C48*78</f>
        <v>0</v>
      </c>
      <c r="F48" s="59"/>
      <c r="G48" s="59"/>
      <c r="H48" s="217"/>
      <c r="I48" s="218"/>
      <c r="J48" s="219"/>
      <c r="K48" s="35"/>
      <c r="O48" t="s">
        <v>84</v>
      </c>
      <c r="P48" s="4">
        <v>1175</v>
      </c>
      <c r="Q48" s="4"/>
      <c r="R48" s="5">
        <f t="shared" si="0"/>
        <v>1175</v>
      </c>
    </row>
    <row r="49" spans="1:18" ht="15.75" x14ac:dyDescent="0.25">
      <c r="A49" s="211"/>
      <c r="B49" s="29" t="s">
        <v>68</v>
      </c>
      <c r="C49" s="33"/>
      <c r="D49" s="12">
        <f>C49*42</f>
        <v>0</v>
      </c>
      <c r="F49" s="232" t="s">
        <v>86</v>
      </c>
      <c r="G49" s="179">
        <f>H34+H35+H36+H37+H38+H39+H40+H41+G42+H44+H45+H46</f>
        <v>0</v>
      </c>
      <c r="H49" s="180"/>
      <c r="I49" s="180"/>
      <c r="J49" s="181"/>
      <c r="O49" t="s">
        <v>85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211"/>
      <c r="B50" s="32" t="s">
        <v>70</v>
      </c>
      <c r="C50" s="11"/>
      <c r="D50" s="12">
        <f>C50*1.5</f>
        <v>0</v>
      </c>
      <c r="F50" s="233"/>
      <c r="G50" s="182"/>
      <c r="H50" s="183"/>
      <c r="I50" s="183"/>
      <c r="J50" s="184"/>
      <c r="P50" s="4"/>
      <c r="Q50" s="4"/>
      <c r="R50" s="5"/>
    </row>
    <row r="51" spans="1:18" ht="15" customHeight="1" x14ac:dyDescent="0.25">
      <c r="A51" s="211"/>
      <c r="B51" s="27"/>
      <c r="C51" s="10"/>
      <c r="D51" s="31"/>
      <c r="F51" s="234" t="s">
        <v>131</v>
      </c>
      <c r="G51" s="247">
        <f>G49-H29</f>
        <v>0</v>
      </c>
      <c r="H51" s="248"/>
      <c r="I51" s="248"/>
      <c r="J51" s="249"/>
      <c r="K51" s="21"/>
      <c r="O51" t="s">
        <v>87</v>
      </c>
      <c r="P51" s="4">
        <v>703</v>
      </c>
      <c r="Q51" s="4">
        <v>120</v>
      </c>
      <c r="R51" s="5">
        <f t="shared" si="0"/>
        <v>823</v>
      </c>
    </row>
    <row r="52" spans="1:18" ht="15.75" x14ac:dyDescent="0.25">
      <c r="A52" s="211"/>
      <c r="B52" s="29"/>
      <c r="C52" s="33"/>
      <c r="D52" s="45"/>
      <c r="F52" s="235"/>
      <c r="G52" s="250"/>
      <c r="H52" s="251"/>
      <c r="I52" s="251"/>
      <c r="J52" s="252"/>
      <c r="K52" s="21"/>
      <c r="O52" t="s">
        <v>88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212"/>
      <c r="B53" s="32"/>
      <c r="C53" s="11"/>
      <c r="D53" s="12"/>
      <c r="F53" s="35"/>
      <c r="G53" s="24"/>
      <c r="H53" s="24"/>
      <c r="I53" s="24"/>
      <c r="J53" s="17"/>
      <c r="N53" s="1"/>
      <c r="O53" t="s">
        <v>89</v>
      </c>
      <c r="P53" s="4">
        <v>1142</v>
      </c>
    </row>
    <row r="54" spans="1:18" x14ac:dyDescent="0.25">
      <c r="A54" s="175" t="s">
        <v>90</v>
      </c>
      <c r="B54" s="220"/>
      <c r="C54" s="221"/>
      <c r="D54" s="224">
        <f>SUM(D34:D53)</f>
        <v>0</v>
      </c>
      <c r="F54" s="21"/>
      <c r="J54" s="34"/>
      <c r="O54" t="s">
        <v>102</v>
      </c>
      <c r="P54" s="4">
        <v>1582</v>
      </c>
      <c r="R54" s="3">
        <v>1582</v>
      </c>
    </row>
    <row r="55" spans="1:18" x14ac:dyDescent="0.25">
      <c r="A55" s="177"/>
      <c r="B55" s="222"/>
      <c r="C55" s="223"/>
      <c r="D55" s="225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133</v>
      </c>
      <c r="D57" s="34"/>
      <c r="F57" s="36"/>
      <c r="G57" s="50"/>
      <c r="H57" s="50"/>
      <c r="I57" s="50"/>
      <c r="J57" s="43"/>
    </row>
    <row r="58" spans="1:18" x14ac:dyDescent="0.25">
      <c r="A58" s="226" t="s">
        <v>91</v>
      </c>
      <c r="B58" s="227"/>
      <c r="C58" s="227"/>
      <c r="D58" s="228"/>
      <c r="F58" s="226" t="s">
        <v>92</v>
      </c>
      <c r="G58" s="227"/>
      <c r="H58" s="227"/>
      <c r="I58" s="227"/>
      <c r="J58" s="228"/>
    </row>
    <row r="59" spans="1:18" x14ac:dyDescent="0.25">
      <c r="A59" s="229"/>
      <c r="B59" s="230"/>
      <c r="C59" s="230"/>
      <c r="D59" s="231"/>
      <c r="F59" s="229"/>
      <c r="G59" s="230"/>
      <c r="H59" s="230"/>
      <c r="I59" s="230"/>
      <c r="J59" s="231"/>
    </row>
  </sheetData>
  <mergeCells count="68"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  <mergeCell ref="H13:J13"/>
    <mergeCell ref="F14:G14"/>
    <mergeCell ref="H14:J14"/>
    <mergeCell ref="F15:G15"/>
    <mergeCell ref="H15:J15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A32:D32"/>
    <mergeCell ref="F32:J32"/>
    <mergeCell ref="H33:J33"/>
    <mergeCell ref="A34:A36"/>
    <mergeCell ref="H34:J34"/>
    <mergeCell ref="H35:J35"/>
    <mergeCell ref="H36:J36"/>
    <mergeCell ref="A37:A39"/>
    <mergeCell ref="H37:J37"/>
    <mergeCell ref="H38:J38"/>
    <mergeCell ref="H39:J39"/>
    <mergeCell ref="A40:A42"/>
    <mergeCell ref="H40:J40"/>
    <mergeCell ref="H41:J41"/>
    <mergeCell ref="G42:J42"/>
    <mergeCell ref="A43:A47"/>
    <mergeCell ref="H43:J43"/>
    <mergeCell ref="H44:J44"/>
    <mergeCell ref="H45:J45"/>
    <mergeCell ref="H46:J46"/>
    <mergeCell ref="H47:J47"/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5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16EB459-F8E3-483C-A9E7-75832FA4839F}">
  <dimension ref="A1:R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113" t="s">
        <v>1</v>
      </c>
      <c r="O1" s="113"/>
      <c r="P1" s="100" t="s">
        <v>2</v>
      </c>
      <c r="Q1" s="100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14" t="s">
        <v>7</v>
      </c>
      <c r="B4" s="115"/>
      <c r="C4" s="115"/>
      <c r="D4" s="116"/>
      <c r="F4" s="117" t="s">
        <v>8</v>
      </c>
      <c r="G4" s="119">
        <v>2</v>
      </c>
      <c r="H4" s="121" t="s">
        <v>9</v>
      </c>
      <c r="I4" s="123">
        <v>45978</v>
      </c>
      <c r="J4" s="124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27" t="s">
        <v>7</v>
      </c>
      <c r="B5" s="15" t="s">
        <v>11</v>
      </c>
      <c r="C5" s="9" t="s">
        <v>12</v>
      </c>
      <c r="D5" s="25" t="s">
        <v>13</v>
      </c>
      <c r="F5" s="118"/>
      <c r="G5" s="120"/>
      <c r="H5" s="122"/>
      <c r="I5" s="125"/>
      <c r="J5" s="126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28"/>
      <c r="B6" s="16" t="s">
        <v>15</v>
      </c>
      <c r="C6" s="10"/>
      <c r="D6" s="13">
        <f t="shared" ref="D6:D28" si="1">C6*L6</f>
        <v>0</v>
      </c>
      <c r="F6" s="130" t="s">
        <v>16</v>
      </c>
      <c r="G6" s="132" t="s">
        <v>134</v>
      </c>
      <c r="H6" s="133"/>
      <c r="I6" s="133"/>
      <c r="J6" s="134"/>
      <c r="K6" s="8"/>
      <c r="L6" s="6">
        <f>R42</f>
        <v>737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28"/>
      <c r="B7" s="16" t="s">
        <v>18</v>
      </c>
      <c r="C7" s="10"/>
      <c r="D7" s="13">
        <f t="shared" si="1"/>
        <v>0</v>
      </c>
      <c r="F7" s="131"/>
      <c r="G7" s="135"/>
      <c r="H7" s="136"/>
      <c r="I7" s="136"/>
      <c r="J7" s="137"/>
      <c r="K7" s="8"/>
      <c r="L7" s="6">
        <f>R41</f>
        <v>725</v>
      </c>
      <c r="P7" s="4"/>
      <c r="Q7" s="4"/>
      <c r="R7" s="5"/>
    </row>
    <row r="8" spans="1:18" ht="14.45" customHeight="1" x14ac:dyDescent="0.25">
      <c r="A8" s="128"/>
      <c r="B8" s="16" t="s">
        <v>20</v>
      </c>
      <c r="C8" s="10"/>
      <c r="D8" s="13">
        <f t="shared" si="1"/>
        <v>0</v>
      </c>
      <c r="F8" s="138" t="s">
        <v>21</v>
      </c>
      <c r="G8" s="140" t="s">
        <v>114</v>
      </c>
      <c r="H8" s="141"/>
      <c r="I8" s="141"/>
      <c r="J8" s="142"/>
      <c r="K8" s="8"/>
      <c r="L8" s="6">
        <f>R40</f>
        <v>1033</v>
      </c>
      <c r="P8" s="4"/>
      <c r="Q8" s="4"/>
      <c r="R8" s="5"/>
    </row>
    <row r="9" spans="1:18" ht="14.45" customHeight="1" x14ac:dyDescent="0.25">
      <c r="A9" s="128"/>
      <c r="B9" s="16" t="s">
        <v>23</v>
      </c>
      <c r="C9" s="10"/>
      <c r="D9" s="13">
        <f t="shared" si="1"/>
        <v>0</v>
      </c>
      <c r="F9" s="131"/>
      <c r="G9" s="143"/>
      <c r="H9" s="144"/>
      <c r="I9" s="144"/>
      <c r="J9" s="145"/>
      <c r="K9" s="8"/>
      <c r="L9" s="6">
        <f>R38</f>
        <v>707</v>
      </c>
      <c r="P9" s="4"/>
      <c r="Q9" s="4"/>
      <c r="R9" s="5"/>
    </row>
    <row r="10" spans="1:18" ht="14.45" customHeight="1" x14ac:dyDescent="0.25">
      <c r="A10" s="128"/>
      <c r="B10" t="s">
        <v>25</v>
      </c>
      <c r="C10" s="10"/>
      <c r="D10" s="13">
        <f t="shared" si="1"/>
        <v>0</v>
      </c>
      <c r="F10" s="130" t="s">
        <v>26</v>
      </c>
      <c r="G10" s="146" t="s">
        <v>115</v>
      </c>
      <c r="H10" s="147"/>
      <c r="I10" s="147"/>
      <c r="J10" s="148"/>
      <c r="K10" s="8"/>
      <c r="L10" s="6">
        <f>R36</f>
        <v>972</v>
      </c>
      <c r="P10" s="4"/>
      <c r="Q10" s="4"/>
      <c r="R10" s="5"/>
    </row>
    <row r="11" spans="1:18" ht="15.75" x14ac:dyDescent="0.25">
      <c r="A11" s="128"/>
      <c r="B11" s="17" t="s">
        <v>28</v>
      </c>
      <c r="C11" s="10"/>
      <c r="D11" s="13">
        <f t="shared" si="1"/>
        <v>0</v>
      </c>
      <c r="F11" s="131"/>
      <c r="G11" s="143"/>
      <c r="H11" s="144"/>
      <c r="I11" s="144"/>
      <c r="J11" s="145"/>
      <c r="K11" s="22"/>
      <c r="L11" s="6">
        <f>R32</f>
        <v>1125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28"/>
      <c r="B12" s="17" t="s">
        <v>30</v>
      </c>
      <c r="C12" s="10"/>
      <c r="D12" s="48">
        <f t="shared" si="1"/>
        <v>0</v>
      </c>
      <c r="F12" s="149" t="s">
        <v>33</v>
      </c>
      <c r="G12" s="150"/>
      <c r="H12" s="150"/>
      <c r="I12" s="150"/>
      <c r="J12" s="151"/>
      <c r="K12" s="23"/>
      <c r="L12" s="6">
        <f>R34</f>
        <v>952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28"/>
      <c r="B13" s="17" t="s">
        <v>32</v>
      </c>
      <c r="C13" s="10"/>
      <c r="D13" s="48">
        <f t="shared" si="1"/>
        <v>0</v>
      </c>
      <c r="F13" s="152" t="s">
        <v>36</v>
      </c>
      <c r="G13" s="153"/>
      <c r="H13" s="154">
        <f>D29</f>
        <v>0</v>
      </c>
      <c r="I13" s="155"/>
      <c r="J13" s="156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28"/>
      <c r="B14" s="14" t="s">
        <v>35</v>
      </c>
      <c r="C14" s="10"/>
      <c r="D14" s="31">
        <f t="shared" si="1"/>
        <v>0</v>
      </c>
      <c r="F14" s="157" t="s">
        <v>39</v>
      </c>
      <c r="G14" s="158"/>
      <c r="H14" s="159">
        <f>D54</f>
        <v>0</v>
      </c>
      <c r="I14" s="160"/>
      <c r="J14" s="161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28"/>
      <c r="B15" s="14" t="s">
        <v>38</v>
      </c>
      <c r="C15" s="10"/>
      <c r="D15" s="31">
        <f t="shared" si="1"/>
        <v>0</v>
      </c>
      <c r="F15" s="162" t="s">
        <v>40</v>
      </c>
      <c r="G15" s="153"/>
      <c r="H15" s="163">
        <f>H13-H14</f>
        <v>0</v>
      </c>
      <c r="I15" s="164"/>
      <c r="J15" s="165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28"/>
      <c r="B16" s="18" t="s">
        <v>94</v>
      </c>
      <c r="C16" s="10"/>
      <c r="D16" s="48">
        <f t="shared" si="1"/>
        <v>0</v>
      </c>
      <c r="F16" s="67" t="s">
        <v>42</v>
      </c>
      <c r="G16" s="66" t="s">
        <v>43</v>
      </c>
      <c r="H16" s="166"/>
      <c r="I16" s="166"/>
      <c r="J16" s="166"/>
      <c r="L16" s="6">
        <f>R28</f>
        <v>1567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28"/>
      <c r="B17" t="s">
        <v>93</v>
      </c>
      <c r="C17" s="10"/>
      <c r="D17" s="48">
        <f t="shared" si="1"/>
        <v>0</v>
      </c>
      <c r="F17" s="56"/>
      <c r="G17" s="66" t="s">
        <v>45</v>
      </c>
      <c r="H17" s="139"/>
      <c r="I17" s="139"/>
      <c r="J17" s="139"/>
      <c r="L17" s="6">
        <f>R21</f>
        <v>1567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28"/>
      <c r="B18" s="19" t="s">
        <v>95</v>
      </c>
      <c r="C18" s="10"/>
      <c r="D18" s="48">
        <f t="shared" si="1"/>
        <v>0</v>
      </c>
      <c r="F18" s="56"/>
      <c r="G18" s="66" t="s">
        <v>47</v>
      </c>
      <c r="H18" s="139"/>
      <c r="I18" s="139"/>
      <c r="J18" s="139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28"/>
      <c r="B19" s="14" t="s">
        <v>96</v>
      </c>
      <c r="C19" s="10"/>
      <c r="D19" s="48">
        <f t="shared" si="1"/>
        <v>0</v>
      </c>
      <c r="F19" s="56"/>
      <c r="G19" s="68" t="s">
        <v>50</v>
      </c>
      <c r="H19" s="246"/>
      <c r="I19" s="246"/>
      <c r="J19" s="246"/>
      <c r="L19" s="6">
        <f>R35</f>
        <v>1102</v>
      </c>
      <c r="Q19" s="4"/>
      <c r="R19" s="5">
        <f t="shared" si="0"/>
        <v>0</v>
      </c>
    </row>
    <row r="20" spans="1:18" ht="15.75" x14ac:dyDescent="0.25">
      <c r="A20" s="128"/>
      <c r="B20" s="46" t="s">
        <v>122</v>
      </c>
      <c r="C20" s="10"/>
      <c r="D20" s="13">
        <f t="shared" si="1"/>
        <v>0</v>
      </c>
      <c r="F20" s="57"/>
      <c r="G20" s="70" t="s">
        <v>120</v>
      </c>
      <c r="H20" s="139"/>
      <c r="I20" s="139"/>
      <c r="J20" s="139"/>
      <c r="L20" s="6">
        <f>R39</f>
        <v>1175</v>
      </c>
      <c r="N20" s="1" t="s">
        <v>41</v>
      </c>
      <c r="Q20" s="4"/>
      <c r="R20" s="5">
        <f t="shared" si="0"/>
        <v>0</v>
      </c>
    </row>
    <row r="21" spans="1:18" ht="15.75" x14ac:dyDescent="0.25">
      <c r="A21" s="128"/>
      <c r="B21" s="14" t="s">
        <v>126</v>
      </c>
      <c r="C21" s="10"/>
      <c r="D21" s="48">
        <f t="shared" si="1"/>
        <v>0</v>
      </c>
      <c r="F21" s="69" t="s">
        <v>99</v>
      </c>
      <c r="G21" s="82" t="s">
        <v>98</v>
      </c>
      <c r="H21" s="186" t="s">
        <v>13</v>
      </c>
      <c r="I21" s="187"/>
      <c r="J21" s="188"/>
      <c r="L21" s="7">
        <v>650</v>
      </c>
      <c r="O21" t="s">
        <v>44</v>
      </c>
      <c r="P21" s="4">
        <v>1447</v>
      </c>
      <c r="Q21" s="4">
        <v>120</v>
      </c>
      <c r="R21" s="5">
        <f t="shared" si="0"/>
        <v>1567</v>
      </c>
    </row>
    <row r="22" spans="1:18" ht="15.75" x14ac:dyDescent="0.25">
      <c r="A22" s="128"/>
      <c r="B22" s="46" t="s">
        <v>104</v>
      </c>
      <c r="C22" s="10"/>
      <c r="D22" s="48">
        <f t="shared" si="1"/>
        <v>0</v>
      </c>
      <c r="F22" s="72"/>
      <c r="G22" s="73"/>
      <c r="H22" s="189"/>
      <c r="I22" s="189"/>
      <c r="J22" s="189"/>
      <c r="L22" s="7">
        <f>559+111</f>
        <v>670</v>
      </c>
      <c r="O22" t="s">
        <v>46</v>
      </c>
      <c r="P22" s="4">
        <v>1582</v>
      </c>
      <c r="Q22" s="4"/>
      <c r="R22" s="5">
        <f t="shared" si="0"/>
        <v>1582</v>
      </c>
    </row>
    <row r="23" spans="1:18" ht="15.75" x14ac:dyDescent="0.25">
      <c r="A23" s="128"/>
      <c r="B23" s="14" t="s">
        <v>107</v>
      </c>
      <c r="C23" s="10"/>
      <c r="D23" s="48">
        <f t="shared" si="1"/>
        <v>0</v>
      </c>
      <c r="F23" s="25"/>
      <c r="G23" s="37"/>
      <c r="H23" s="190"/>
      <c r="I23" s="191"/>
      <c r="J23" s="191"/>
      <c r="L23" s="47">
        <f>R33</f>
        <v>1175</v>
      </c>
      <c r="N23" s="1"/>
      <c r="O23" t="s">
        <v>48</v>
      </c>
      <c r="P23" s="4">
        <v>1728</v>
      </c>
      <c r="Q23" s="4"/>
      <c r="R23" s="5">
        <f t="shared" si="0"/>
        <v>1728</v>
      </c>
    </row>
    <row r="24" spans="1:18" ht="15.75" x14ac:dyDescent="0.25">
      <c r="A24" s="128"/>
      <c r="B24" s="14" t="s">
        <v>123</v>
      </c>
      <c r="C24" s="10"/>
      <c r="D24" s="48">
        <f t="shared" si="1"/>
        <v>0</v>
      </c>
      <c r="F24" s="38"/>
      <c r="G24" s="37"/>
      <c r="H24" s="190"/>
      <c r="I24" s="191"/>
      <c r="J24" s="191"/>
      <c r="L24" s="47">
        <f>596/6</f>
        <v>99.333333333333329</v>
      </c>
      <c r="N24" s="1"/>
      <c r="O24" t="s">
        <v>49</v>
      </c>
      <c r="P24" s="4">
        <v>1728</v>
      </c>
      <c r="Q24" s="4"/>
      <c r="R24" s="5">
        <f t="shared" si="0"/>
        <v>1728</v>
      </c>
    </row>
    <row r="25" spans="1:18" ht="15.75" x14ac:dyDescent="0.25">
      <c r="A25" s="128"/>
      <c r="B25" s="14" t="s">
        <v>124</v>
      </c>
      <c r="C25" s="10"/>
      <c r="D25" s="48">
        <f t="shared" si="1"/>
        <v>0</v>
      </c>
      <c r="F25" s="60" t="s">
        <v>100</v>
      </c>
      <c r="G25" s="55" t="s">
        <v>98</v>
      </c>
      <c r="H25" s="192" t="s">
        <v>13</v>
      </c>
      <c r="I25" s="193"/>
      <c r="J25" s="194"/>
      <c r="L25" s="47">
        <f>674/6</f>
        <v>112.33333333333333</v>
      </c>
      <c r="O25" t="s">
        <v>51</v>
      </c>
      <c r="P25" s="4">
        <v>1582</v>
      </c>
      <c r="Q25" s="4"/>
      <c r="R25" s="5">
        <f t="shared" si="0"/>
        <v>1582</v>
      </c>
    </row>
    <row r="26" spans="1:18" ht="15.75" x14ac:dyDescent="0.25">
      <c r="A26" s="128"/>
      <c r="B26" s="14" t="s">
        <v>105</v>
      </c>
      <c r="C26" s="10"/>
      <c r="D26" s="48">
        <f t="shared" si="1"/>
        <v>0</v>
      </c>
      <c r="F26" s="64"/>
      <c r="G26" s="10"/>
      <c r="H26" s="195"/>
      <c r="I26" s="196"/>
      <c r="J26" s="197"/>
      <c r="L26" s="7">
        <f>832/24+1.5</f>
        <v>36.166666666666664</v>
      </c>
      <c r="O26" t="s">
        <v>52</v>
      </c>
      <c r="P26" s="4">
        <v>1447</v>
      </c>
      <c r="Q26" s="4">
        <v>120</v>
      </c>
      <c r="R26" s="5">
        <f t="shared" si="0"/>
        <v>1567</v>
      </c>
    </row>
    <row r="27" spans="1:18" ht="14.45" customHeight="1" x14ac:dyDescent="0.25">
      <c r="A27" s="128"/>
      <c r="B27" s="14" t="s">
        <v>109</v>
      </c>
      <c r="C27" s="10"/>
      <c r="D27" s="44">
        <f t="shared" si="1"/>
        <v>0</v>
      </c>
      <c r="F27" s="14"/>
      <c r="G27" s="14"/>
      <c r="H27" s="198"/>
      <c r="I27" s="199"/>
      <c r="J27" s="200"/>
      <c r="L27" s="7">
        <v>1582</v>
      </c>
      <c r="O27" t="s">
        <v>53</v>
      </c>
      <c r="P27" s="4">
        <v>1582</v>
      </c>
      <c r="Q27" s="4"/>
      <c r="R27" s="5">
        <f t="shared" si="0"/>
        <v>1582</v>
      </c>
    </row>
    <row r="28" spans="1:18" ht="15.75" x14ac:dyDescent="0.25">
      <c r="A28" s="129"/>
      <c r="B28" s="46" t="s">
        <v>97</v>
      </c>
      <c r="C28" s="10"/>
      <c r="D28" s="48">
        <f t="shared" si="1"/>
        <v>0</v>
      </c>
      <c r="F28" s="101"/>
      <c r="G28" s="61"/>
      <c r="H28" s="201"/>
      <c r="I28" s="202"/>
      <c r="J28" s="203"/>
      <c r="L28" s="7">
        <v>785</v>
      </c>
      <c r="O28" t="s">
        <v>54</v>
      </c>
      <c r="P28" s="4">
        <v>1447</v>
      </c>
      <c r="Q28" s="4">
        <v>120</v>
      </c>
      <c r="R28" s="5">
        <f t="shared" si="0"/>
        <v>1567</v>
      </c>
    </row>
    <row r="29" spans="1:18" x14ac:dyDescent="0.25">
      <c r="A29" s="167" t="s">
        <v>36</v>
      </c>
      <c r="B29" s="168"/>
      <c r="C29" s="169"/>
      <c r="D29" s="173">
        <f>SUM(D6:D28)</f>
        <v>0</v>
      </c>
      <c r="F29" s="175" t="s">
        <v>55</v>
      </c>
      <c r="G29" s="176"/>
      <c r="H29" s="179">
        <f>H15-H16-H17-H18-H19-H20-H22-H23-H24+H26+H27</f>
        <v>0</v>
      </c>
      <c r="I29" s="180"/>
      <c r="J29" s="181"/>
      <c r="O29" t="s">
        <v>56</v>
      </c>
      <c r="P29" s="4">
        <v>1582</v>
      </c>
      <c r="Q29" s="4"/>
      <c r="R29" s="5">
        <f t="shared" si="0"/>
        <v>1582</v>
      </c>
    </row>
    <row r="30" spans="1:18" x14ac:dyDescent="0.25">
      <c r="A30" s="170"/>
      <c r="B30" s="171"/>
      <c r="C30" s="172"/>
      <c r="D30" s="174"/>
      <c r="F30" s="177"/>
      <c r="G30" s="178"/>
      <c r="H30" s="182"/>
      <c r="I30" s="183"/>
      <c r="J30" s="184"/>
      <c r="N30" s="1"/>
      <c r="Q30" s="4"/>
      <c r="R30" s="5">
        <f t="shared" si="0"/>
        <v>0</v>
      </c>
    </row>
    <row r="31" spans="1:18" x14ac:dyDescent="0.25">
      <c r="A31" s="24"/>
      <c r="B31" s="24"/>
      <c r="C31" s="24"/>
      <c r="D31" s="24"/>
      <c r="F31" s="24"/>
      <c r="G31" s="24"/>
      <c r="O31" t="s">
        <v>57</v>
      </c>
      <c r="P31" s="4">
        <v>1052</v>
      </c>
      <c r="Q31" s="4">
        <v>120</v>
      </c>
      <c r="R31" s="5">
        <f t="shared" si="0"/>
        <v>1172</v>
      </c>
    </row>
    <row r="32" spans="1:18" x14ac:dyDescent="0.25">
      <c r="A32" s="114" t="s">
        <v>58</v>
      </c>
      <c r="B32" s="115"/>
      <c r="C32" s="115"/>
      <c r="D32" s="116"/>
      <c r="F32" s="204" t="s">
        <v>59</v>
      </c>
      <c r="G32" s="205"/>
      <c r="H32" s="205"/>
      <c r="I32" s="205"/>
      <c r="J32" s="206"/>
      <c r="O32" t="s">
        <v>60</v>
      </c>
      <c r="P32" s="4">
        <v>1005</v>
      </c>
      <c r="Q32" s="4">
        <v>120</v>
      </c>
      <c r="R32" s="5">
        <f t="shared" si="0"/>
        <v>1125</v>
      </c>
    </row>
    <row r="33" spans="1:18" x14ac:dyDescent="0.25">
      <c r="A33" s="25"/>
      <c r="B33" s="25" t="s">
        <v>11</v>
      </c>
      <c r="C33" s="25" t="s">
        <v>61</v>
      </c>
      <c r="D33" s="25" t="s">
        <v>13</v>
      </c>
      <c r="F33" s="25" t="s">
        <v>62</v>
      </c>
      <c r="G33" s="102" t="s">
        <v>63</v>
      </c>
      <c r="H33" s="204" t="s">
        <v>13</v>
      </c>
      <c r="I33" s="205"/>
      <c r="J33" s="206"/>
      <c r="O33" t="s">
        <v>64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27" t="s">
        <v>65</v>
      </c>
      <c r="B34" s="26" t="s">
        <v>66</v>
      </c>
      <c r="C34" s="51"/>
      <c r="D34" s="30">
        <f>C34*120</f>
        <v>0</v>
      </c>
      <c r="F34" s="12">
        <v>1000</v>
      </c>
      <c r="G34" s="74"/>
      <c r="H34" s="207">
        <f>F34*G34</f>
        <v>0</v>
      </c>
      <c r="I34" s="208"/>
      <c r="J34" s="209"/>
      <c r="O34" t="s">
        <v>67</v>
      </c>
      <c r="P34" s="4">
        <v>832</v>
      </c>
      <c r="Q34" s="4">
        <v>120</v>
      </c>
      <c r="R34" s="5">
        <f t="shared" si="0"/>
        <v>952</v>
      </c>
    </row>
    <row r="35" spans="1:18" ht="15.75" x14ac:dyDescent="0.25">
      <c r="A35" s="128"/>
      <c r="B35" s="27" t="s">
        <v>68</v>
      </c>
      <c r="C35" s="52"/>
      <c r="D35" s="30">
        <f>C35*84</f>
        <v>0</v>
      </c>
      <c r="F35" s="58">
        <v>500</v>
      </c>
      <c r="G35" s="41"/>
      <c r="H35" s="207">
        <f t="shared" ref="H35:H39" si="2">F35*G35</f>
        <v>0</v>
      </c>
      <c r="I35" s="208"/>
      <c r="J35" s="209"/>
      <c r="O35" t="s">
        <v>69</v>
      </c>
      <c r="P35" s="4">
        <v>1102</v>
      </c>
      <c r="Q35" s="4"/>
      <c r="R35" s="5">
        <f t="shared" si="0"/>
        <v>1102</v>
      </c>
    </row>
    <row r="36" spans="1:18" ht="15.75" x14ac:dyDescent="0.25">
      <c r="A36" s="129"/>
      <c r="B36" s="26" t="s">
        <v>70</v>
      </c>
      <c r="C36" s="10"/>
      <c r="D36" s="12">
        <f>C36*1.5</f>
        <v>0</v>
      </c>
      <c r="F36" s="12">
        <v>200</v>
      </c>
      <c r="G36" s="37"/>
      <c r="H36" s="207">
        <f>F36*G36</f>
        <v>0</v>
      </c>
      <c r="I36" s="208"/>
      <c r="J36" s="209"/>
      <c r="O36" t="s">
        <v>71</v>
      </c>
      <c r="P36" s="4">
        <v>852</v>
      </c>
      <c r="Q36" s="4">
        <v>120</v>
      </c>
      <c r="R36" s="5">
        <f t="shared" si="0"/>
        <v>972</v>
      </c>
    </row>
    <row r="37" spans="1:18" ht="15.75" x14ac:dyDescent="0.25">
      <c r="A37" s="127" t="s">
        <v>72</v>
      </c>
      <c r="B37" s="28" t="s">
        <v>66</v>
      </c>
      <c r="C37" s="53"/>
      <c r="D37" s="12">
        <f>C37*111</f>
        <v>0</v>
      </c>
      <c r="F37" s="12">
        <v>100</v>
      </c>
      <c r="G37" s="39"/>
      <c r="H37" s="207">
        <f t="shared" si="2"/>
        <v>0</v>
      </c>
      <c r="I37" s="208"/>
      <c r="J37" s="209"/>
      <c r="O37" t="s">
        <v>73</v>
      </c>
      <c r="P37" s="4">
        <v>1020</v>
      </c>
      <c r="Q37" s="4">
        <v>120</v>
      </c>
      <c r="R37" s="5">
        <f t="shared" si="0"/>
        <v>1140</v>
      </c>
    </row>
    <row r="38" spans="1:18" ht="15.75" x14ac:dyDescent="0.25">
      <c r="A38" s="128"/>
      <c r="B38" s="29" t="s">
        <v>68</v>
      </c>
      <c r="C38" s="54"/>
      <c r="D38" s="12">
        <f>C38*84</f>
        <v>0</v>
      </c>
      <c r="F38" s="30">
        <v>50</v>
      </c>
      <c r="G38" s="39"/>
      <c r="H38" s="207">
        <f t="shared" si="2"/>
        <v>0</v>
      </c>
      <c r="I38" s="208"/>
      <c r="J38" s="209"/>
      <c r="O38" t="s">
        <v>74</v>
      </c>
      <c r="P38" s="4">
        <v>596</v>
      </c>
      <c r="Q38" s="4">
        <v>111</v>
      </c>
      <c r="R38" s="5">
        <f t="shared" si="0"/>
        <v>707</v>
      </c>
    </row>
    <row r="39" spans="1:18" ht="15.75" x14ac:dyDescent="0.25">
      <c r="A39" s="129"/>
      <c r="B39" s="29" t="s">
        <v>70</v>
      </c>
      <c r="C39" s="52"/>
      <c r="D39" s="31">
        <f>C39*4.5</f>
        <v>0</v>
      </c>
      <c r="F39" s="12">
        <v>20</v>
      </c>
      <c r="G39" s="37"/>
      <c r="H39" s="207">
        <f t="shared" si="2"/>
        <v>0</v>
      </c>
      <c r="I39" s="208"/>
      <c r="J39" s="209"/>
      <c r="O39" t="s">
        <v>75</v>
      </c>
      <c r="P39" s="4">
        <v>1175</v>
      </c>
      <c r="Q39" s="4"/>
      <c r="R39" s="5">
        <f t="shared" si="0"/>
        <v>1175</v>
      </c>
    </row>
    <row r="40" spans="1:18" ht="15.75" x14ac:dyDescent="0.25">
      <c r="A40" s="127" t="s">
        <v>76</v>
      </c>
      <c r="B40" s="27" t="s">
        <v>66</v>
      </c>
      <c r="C40" s="63"/>
      <c r="D40" s="12">
        <f>C40*111</f>
        <v>0</v>
      </c>
      <c r="F40" s="12">
        <v>10</v>
      </c>
      <c r="G40" s="42"/>
      <c r="H40" s="207"/>
      <c r="I40" s="208"/>
      <c r="J40" s="209"/>
      <c r="O40" t="s">
        <v>77</v>
      </c>
      <c r="P40" s="4">
        <v>913</v>
      </c>
      <c r="Q40" s="4">
        <v>120</v>
      </c>
      <c r="R40" s="5">
        <f t="shared" si="0"/>
        <v>1033</v>
      </c>
    </row>
    <row r="41" spans="1:18" ht="15.75" x14ac:dyDescent="0.25">
      <c r="A41" s="128"/>
      <c r="B41" s="27" t="s">
        <v>68</v>
      </c>
      <c r="C41" s="10"/>
      <c r="D41" s="12">
        <f>C41*84</f>
        <v>0</v>
      </c>
      <c r="F41" s="12">
        <v>5</v>
      </c>
      <c r="G41" s="42"/>
      <c r="H41" s="207"/>
      <c r="I41" s="208"/>
      <c r="J41" s="209"/>
      <c r="K41" s="21"/>
      <c r="O41" t="s">
        <v>78</v>
      </c>
      <c r="P41" s="4">
        <v>614</v>
      </c>
      <c r="Q41" s="4">
        <v>111</v>
      </c>
      <c r="R41" s="5">
        <f t="shared" si="0"/>
        <v>725</v>
      </c>
    </row>
    <row r="42" spans="1:18" ht="15.75" x14ac:dyDescent="0.25">
      <c r="A42" s="129"/>
      <c r="B42" s="27" t="s">
        <v>70</v>
      </c>
      <c r="C42" s="11"/>
      <c r="D42" s="12">
        <f>C42*2.25</f>
        <v>0</v>
      </c>
      <c r="F42" s="39" t="s">
        <v>79</v>
      </c>
      <c r="G42" s="207"/>
      <c r="H42" s="208"/>
      <c r="I42" s="208"/>
      <c r="J42" s="209"/>
      <c r="K42" s="36"/>
      <c r="O42" t="s">
        <v>80</v>
      </c>
      <c r="P42" s="4">
        <v>626</v>
      </c>
      <c r="Q42" s="4">
        <v>111</v>
      </c>
      <c r="R42" s="5">
        <f t="shared" si="0"/>
        <v>737</v>
      </c>
    </row>
    <row r="43" spans="1:18" ht="15.75" x14ac:dyDescent="0.25">
      <c r="A43" s="210" t="s">
        <v>81</v>
      </c>
      <c r="C43" s="11"/>
      <c r="D43" s="12"/>
      <c r="F43" s="59" t="s">
        <v>82</v>
      </c>
      <c r="G43" s="104" t="s">
        <v>83</v>
      </c>
      <c r="H43" s="213" t="s">
        <v>13</v>
      </c>
      <c r="I43" s="214"/>
      <c r="J43" s="215"/>
      <c r="K43" s="21"/>
      <c r="P43" s="4"/>
      <c r="Q43" s="4"/>
      <c r="R43" s="5"/>
    </row>
    <row r="44" spans="1:18" ht="15.75" x14ac:dyDescent="0.25">
      <c r="A44" s="211"/>
      <c r="B44" s="27" t="s">
        <v>66</v>
      </c>
      <c r="C44" s="10"/>
      <c r="D44" s="12">
        <f>C44*120</f>
        <v>0</v>
      </c>
      <c r="F44" s="37"/>
      <c r="G44" s="62"/>
      <c r="H44" s="191"/>
      <c r="I44" s="191"/>
      <c r="J44" s="191"/>
      <c r="K44" s="21"/>
      <c r="P44" s="4"/>
      <c r="Q44" s="4"/>
      <c r="R44" s="5"/>
    </row>
    <row r="45" spans="1:18" ht="15.75" x14ac:dyDescent="0.25">
      <c r="A45" s="211"/>
      <c r="B45" s="27" t="s">
        <v>68</v>
      </c>
      <c r="C45" s="33"/>
      <c r="D45" s="12">
        <f>C45*84</f>
        <v>0</v>
      </c>
      <c r="F45" s="37"/>
      <c r="G45" s="62"/>
      <c r="H45" s="191"/>
      <c r="I45" s="191"/>
      <c r="J45" s="191"/>
      <c r="K45" s="21"/>
      <c r="P45" s="4"/>
      <c r="Q45" s="4"/>
      <c r="R45" s="5"/>
    </row>
    <row r="46" spans="1:18" ht="15.75" x14ac:dyDescent="0.25">
      <c r="A46" s="211"/>
      <c r="B46" s="49" t="s">
        <v>70</v>
      </c>
      <c r="C46" s="81"/>
      <c r="D46" s="12">
        <f>C46*1.5</f>
        <v>0</v>
      </c>
      <c r="F46" s="37"/>
      <c r="G46" s="103"/>
      <c r="H46" s="216"/>
      <c r="I46" s="216"/>
      <c r="J46" s="216"/>
      <c r="K46" s="21"/>
      <c r="P46" s="4"/>
      <c r="Q46" s="4"/>
      <c r="R46" s="5"/>
    </row>
    <row r="47" spans="1:18" ht="15.75" x14ac:dyDescent="0.25">
      <c r="A47" s="212"/>
      <c r="B47" s="27"/>
      <c r="C47" s="11"/>
      <c r="D47" s="12"/>
      <c r="F47" s="59"/>
      <c r="G47" s="59"/>
      <c r="H47" s="217"/>
      <c r="I47" s="218"/>
      <c r="J47" s="219"/>
      <c r="K47" s="21"/>
      <c r="P47" s="4"/>
      <c r="Q47" s="4"/>
      <c r="R47" s="5"/>
    </row>
    <row r="48" spans="1:18" ht="15" customHeight="1" x14ac:dyDescent="0.25">
      <c r="A48" s="210" t="s">
        <v>32</v>
      </c>
      <c r="B48" s="27" t="s">
        <v>66</v>
      </c>
      <c r="C48" s="10"/>
      <c r="D48" s="12">
        <f>C48*78</f>
        <v>0</v>
      </c>
      <c r="F48" s="59"/>
      <c r="G48" s="59"/>
      <c r="H48" s="217"/>
      <c r="I48" s="218"/>
      <c r="J48" s="219"/>
      <c r="K48" s="35"/>
      <c r="O48" t="s">
        <v>84</v>
      </c>
      <c r="P48" s="4">
        <v>1175</v>
      </c>
      <c r="Q48" s="4"/>
      <c r="R48" s="5">
        <f t="shared" si="0"/>
        <v>1175</v>
      </c>
    </row>
    <row r="49" spans="1:18" ht="15.75" x14ac:dyDescent="0.25">
      <c r="A49" s="211"/>
      <c r="B49" s="29" t="s">
        <v>68</v>
      </c>
      <c r="C49" s="33"/>
      <c r="D49" s="12">
        <f>C49*42</f>
        <v>0</v>
      </c>
      <c r="F49" s="232" t="s">
        <v>86</v>
      </c>
      <c r="G49" s="179">
        <f>H34+H35+H36+H37+H38+H39+H40+H41+G42+H44+H45+H46</f>
        <v>0</v>
      </c>
      <c r="H49" s="180"/>
      <c r="I49" s="180"/>
      <c r="J49" s="181"/>
      <c r="O49" t="s">
        <v>85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211"/>
      <c r="B50" s="32" t="s">
        <v>70</v>
      </c>
      <c r="C50" s="11"/>
      <c r="D50" s="12">
        <f>C50*1.5</f>
        <v>0</v>
      </c>
      <c r="F50" s="233"/>
      <c r="G50" s="182"/>
      <c r="H50" s="183"/>
      <c r="I50" s="183"/>
      <c r="J50" s="184"/>
      <c r="P50" s="4"/>
      <c r="Q50" s="4"/>
      <c r="R50" s="5"/>
    </row>
    <row r="51" spans="1:18" ht="15" customHeight="1" x14ac:dyDescent="0.25">
      <c r="A51" s="211"/>
      <c r="B51" s="27"/>
      <c r="C51" s="10"/>
      <c r="D51" s="31"/>
      <c r="F51" s="234" t="s">
        <v>132</v>
      </c>
      <c r="G51" s="247">
        <f>G49-H29</f>
        <v>0</v>
      </c>
      <c r="H51" s="248"/>
      <c r="I51" s="248"/>
      <c r="J51" s="249"/>
      <c r="K51" s="21"/>
      <c r="O51" t="s">
        <v>87</v>
      </c>
      <c r="P51" s="4">
        <v>703</v>
      </c>
      <c r="Q51" s="4">
        <v>120</v>
      </c>
      <c r="R51" s="5">
        <f t="shared" si="0"/>
        <v>823</v>
      </c>
    </row>
    <row r="52" spans="1:18" ht="15.75" x14ac:dyDescent="0.25">
      <c r="A52" s="211"/>
      <c r="B52" s="29"/>
      <c r="C52" s="33"/>
      <c r="D52" s="45"/>
      <c r="F52" s="235"/>
      <c r="G52" s="250"/>
      <c r="H52" s="251"/>
      <c r="I52" s="251"/>
      <c r="J52" s="252"/>
      <c r="K52" s="21"/>
      <c r="O52" t="s">
        <v>88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212"/>
      <c r="B53" s="32"/>
      <c r="C53" s="11"/>
      <c r="D53" s="12"/>
      <c r="F53" s="35"/>
      <c r="G53" s="24"/>
      <c r="H53" s="24"/>
      <c r="I53" s="24"/>
      <c r="J53" s="17"/>
      <c r="N53" s="1"/>
      <c r="O53" t="s">
        <v>89</v>
      </c>
      <c r="P53" s="4">
        <v>1142</v>
      </c>
    </row>
    <row r="54" spans="1:18" x14ac:dyDescent="0.25">
      <c r="A54" s="175" t="s">
        <v>90</v>
      </c>
      <c r="B54" s="220"/>
      <c r="C54" s="221"/>
      <c r="D54" s="224">
        <f>SUM(D34:D53)</f>
        <v>0</v>
      </c>
      <c r="F54" s="21"/>
      <c r="J54" s="34"/>
    </row>
    <row r="55" spans="1:18" x14ac:dyDescent="0.25">
      <c r="A55" s="177"/>
      <c r="B55" s="222"/>
      <c r="C55" s="223"/>
      <c r="D55" s="225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135</v>
      </c>
      <c r="D57" s="34"/>
      <c r="F57" s="36"/>
      <c r="G57" s="50"/>
      <c r="H57" s="50"/>
      <c r="I57" s="50"/>
      <c r="J57" s="43"/>
    </row>
    <row r="58" spans="1:18" x14ac:dyDescent="0.25">
      <c r="A58" s="226" t="s">
        <v>91</v>
      </c>
      <c r="B58" s="227"/>
      <c r="C58" s="227"/>
      <c r="D58" s="228"/>
      <c r="F58" s="226" t="s">
        <v>92</v>
      </c>
      <c r="G58" s="227"/>
      <c r="H58" s="227"/>
      <c r="I58" s="227"/>
      <c r="J58" s="228"/>
    </row>
    <row r="59" spans="1:18" x14ac:dyDescent="0.25">
      <c r="A59" s="229"/>
      <c r="B59" s="230"/>
      <c r="C59" s="230"/>
      <c r="D59" s="231"/>
      <c r="F59" s="229"/>
      <c r="G59" s="230"/>
      <c r="H59" s="230"/>
      <c r="I59" s="230"/>
      <c r="J59" s="231"/>
    </row>
  </sheetData>
  <mergeCells count="68"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  <mergeCell ref="H13:J13"/>
    <mergeCell ref="F14:G14"/>
    <mergeCell ref="H14:J14"/>
    <mergeCell ref="F15:G15"/>
    <mergeCell ref="H15:J15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A32:D32"/>
    <mergeCell ref="F32:J32"/>
    <mergeCell ref="H33:J33"/>
    <mergeCell ref="A34:A36"/>
    <mergeCell ref="H34:J34"/>
    <mergeCell ref="H35:J35"/>
    <mergeCell ref="H36:J36"/>
    <mergeCell ref="A37:A39"/>
    <mergeCell ref="H37:J37"/>
    <mergeCell ref="H38:J38"/>
    <mergeCell ref="H39:J39"/>
    <mergeCell ref="A40:A42"/>
    <mergeCell ref="H40:J40"/>
    <mergeCell ref="H41:J41"/>
    <mergeCell ref="G42:J42"/>
    <mergeCell ref="A43:A47"/>
    <mergeCell ref="H43:J43"/>
    <mergeCell ref="H44:J44"/>
    <mergeCell ref="H45:J45"/>
    <mergeCell ref="H46:J46"/>
    <mergeCell ref="H47:J47"/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5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EDF8E19-0CBA-4B0B-B385-E062B1E2058A}">
  <dimension ref="A1:R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113" t="s">
        <v>1</v>
      </c>
      <c r="O1" s="113"/>
      <c r="P1" s="100" t="s">
        <v>2</v>
      </c>
      <c r="Q1" s="100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14" t="s">
        <v>7</v>
      </c>
      <c r="B4" s="115"/>
      <c r="C4" s="115"/>
      <c r="D4" s="116"/>
      <c r="F4" s="117" t="s">
        <v>8</v>
      </c>
      <c r="G4" s="119">
        <v>3</v>
      </c>
      <c r="H4" s="121" t="s">
        <v>9</v>
      </c>
      <c r="I4" s="123">
        <v>45978</v>
      </c>
      <c r="J4" s="124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27" t="s">
        <v>7</v>
      </c>
      <c r="B5" s="15" t="s">
        <v>11</v>
      </c>
      <c r="C5" s="9" t="s">
        <v>12</v>
      </c>
      <c r="D5" s="25" t="s">
        <v>13</v>
      </c>
      <c r="F5" s="118"/>
      <c r="G5" s="120"/>
      <c r="H5" s="122"/>
      <c r="I5" s="125"/>
      <c r="J5" s="126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28"/>
      <c r="B6" s="16" t="s">
        <v>15</v>
      </c>
      <c r="C6" s="10"/>
      <c r="D6" s="13">
        <f t="shared" ref="D6:D28" si="1">C6*L6</f>
        <v>0</v>
      </c>
      <c r="F6" s="130" t="s">
        <v>16</v>
      </c>
      <c r="G6" s="132" t="s">
        <v>111</v>
      </c>
      <c r="H6" s="133"/>
      <c r="I6" s="133"/>
      <c r="J6" s="134"/>
      <c r="K6" s="8"/>
      <c r="L6" s="6">
        <f>R42</f>
        <v>737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28"/>
      <c r="B7" s="16" t="s">
        <v>18</v>
      </c>
      <c r="C7" s="10"/>
      <c r="D7" s="13">
        <f t="shared" si="1"/>
        <v>0</v>
      </c>
      <c r="F7" s="131"/>
      <c r="G7" s="135"/>
      <c r="H7" s="136"/>
      <c r="I7" s="136"/>
      <c r="J7" s="137"/>
      <c r="K7" s="8"/>
      <c r="L7" s="6">
        <f>R41</f>
        <v>725</v>
      </c>
      <c r="P7" s="4"/>
      <c r="Q7" s="4"/>
      <c r="R7" s="5"/>
    </row>
    <row r="8" spans="1:18" ht="14.45" customHeight="1" x14ac:dyDescent="0.25">
      <c r="A8" s="128"/>
      <c r="B8" s="16" t="s">
        <v>20</v>
      </c>
      <c r="C8" s="10"/>
      <c r="D8" s="13">
        <f t="shared" si="1"/>
        <v>0</v>
      </c>
      <c r="F8" s="138" t="s">
        <v>21</v>
      </c>
      <c r="G8" s="140" t="s">
        <v>119</v>
      </c>
      <c r="H8" s="141"/>
      <c r="I8" s="141"/>
      <c r="J8" s="142"/>
      <c r="K8" s="8"/>
      <c r="L8" s="6">
        <f>R40</f>
        <v>1033</v>
      </c>
      <c r="P8" s="4"/>
      <c r="Q8" s="4"/>
      <c r="R8" s="5"/>
    </row>
    <row r="9" spans="1:18" ht="14.45" customHeight="1" x14ac:dyDescent="0.25">
      <c r="A9" s="128"/>
      <c r="B9" s="16" t="s">
        <v>23</v>
      </c>
      <c r="C9" s="10"/>
      <c r="D9" s="13">
        <f t="shared" si="1"/>
        <v>0</v>
      </c>
      <c r="F9" s="131"/>
      <c r="G9" s="143"/>
      <c r="H9" s="144"/>
      <c r="I9" s="144"/>
      <c r="J9" s="145"/>
      <c r="K9" s="8"/>
      <c r="L9" s="6">
        <f>R38</f>
        <v>707</v>
      </c>
      <c r="P9" s="4"/>
      <c r="Q9" s="4"/>
      <c r="R9" s="5"/>
    </row>
    <row r="10" spans="1:18" ht="14.45" customHeight="1" x14ac:dyDescent="0.25">
      <c r="A10" s="128"/>
      <c r="B10" t="s">
        <v>25</v>
      </c>
      <c r="C10" s="10"/>
      <c r="D10" s="13">
        <f t="shared" si="1"/>
        <v>0</v>
      </c>
      <c r="F10" s="130" t="s">
        <v>26</v>
      </c>
      <c r="G10" s="146" t="s">
        <v>137</v>
      </c>
      <c r="H10" s="147"/>
      <c r="I10" s="147"/>
      <c r="J10" s="148"/>
      <c r="K10" s="8"/>
      <c r="L10" s="6">
        <f>R36</f>
        <v>972</v>
      </c>
      <c r="P10" s="4"/>
      <c r="Q10" s="4"/>
      <c r="R10" s="5"/>
    </row>
    <row r="11" spans="1:18" ht="15.75" x14ac:dyDescent="0.25">
      <c r="A11" s="128"/>
      <c r="B11" s="17" t="s">
        <v>28</v>
      </c>
      <c r="C11" s="10"/>
      <c r="D11" s="13">
        <f t="shared" si="1"/>
        <v>0</v>
      </c>
      <c r="F11" s="131"/>
      <c r="G11" s="143"/>
      <c r="H11" s="144"/>
      <c r="I11" s="144"/>
      <c r="J11" s="145"/>
      <c r="K11" s="22"/>
      <c r="L11" s="6">
        <f>R32</f>
        <v>1125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28"/>
      <c r="B12" s="17" t="s">
        <v>30</v>
      </c>
      <c r="C12" s="10"/>
      <c r="D12" s="48">
        <f t="shared" si="1"/>
        <v>0</v>
      </c>
      <c r="F12" s="149" t="s">
        <v>33</v>
      </c>
      <c r="G12" s="150"/>
      <c r="H12" s="150"/>
      <c r="I12" s="150"/>
      <c r="J12" s="151"/>
      <c r="K12" s="23"/>
      <c r="L12" s="6">
        <f>R34</f>
        <v>952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28"/>
      <c r="B13" s="17" t="s">
        <v>32</v>
      </c>
      <c r="C13" s="10"/>
      <c r="D13" s="48">
        <f t="shared" si="1"/>
        <v>0</v>
      </c>
      <c r="F13" s="152" t="s">
        <v>36</v>
      </c>
      <c r="G13" s="153"/>
      <c r="H13" s="154">
        <f>D29</f>
        <v>0</v>
      </c>
      <c r="I13" s="155"/>
      <c r="J13" s="156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28"/>
      <c r="B14" s="14" t="s">
        <v>35</v>
      </c>
      <c r="C14" s="10"/>
      <c r="D14" s="31">
        <f t="shared" si="1"/>
        <v>0</v>
      </c>
      <c r="F14" s="157" t="s">
        <v>39</v>
      </c>
      <c r="G14" s="158"/>
      <c r="H14" s="159">
        <f>D54</f>
        <v>0</v>
      </c>
      <c r="I14" s="160"/>
      <c r="J14" s="161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28"/>
      <c r="B15" s="14" t="s">
        <v>38</v>
      </c>
      <c r="C15" s="10"/>
      <c r="D15" s="31">
        <f t="shared" si="1"/>
        <v>0</v>
      </c>
      <c r="F15" s="162" t="s">
        <v>40</v>
      </c>
      <c r="G15" s="153"/>
      <c r="H15" s="163">
        <f>H13-H14</f>
        <v>0</v>
      </c>
      <c r="I15" s="164"/>
      <c r="J15" s="165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28"/>
      <c r="B16" s="18" t="s">
        <v>94</v>
      </c>
      <c r="C16" s="10"/>
      <c r="D16" s="48">
        <f t="shared" si="1"/>
        <v>0</v>
      </c>
      <c r="F16" s="67" t="s">
        <v>42</v>
      </c>
      <c r="G16" s="66" t="s">
        <v>43</v>
      </c>
      <c r="H16" s="166"/>
      <c r="I16" s="166"/>
      <c r="J16" s="166"/>
      <c r="L16" s="6">
        <f>R28</f>
        <v>1567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28"/>
      <c r="B17" t="s">
        <v>113</v>
      </c>
      <c r="C17" s="10"/>
      <c r="D17" s="48">
        <f t="shared" si="1"/>
        <v>0</v>
      </c>
      <c r="F17" s="56"/>
      <c r="G17" s="66" t="s">
        <v>45</v>
      </c>
      <c r="H17" s="139"/>
      <c r="I17" s="139"/>
      <c r="J17" s="139"/>
      <c r="L17" s="6">
        <v>1582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28"/>
      <c r="B18" s="19" t="s">
        <v>95</v>
      </c>
      <c r="C18" s="10"/>
      <c r="D18" s="48">
        <f t="shared" si="1"/>
        <v>0</v>
      </c>
      <c r="F18" s="56"/>
      <c r="G18" s="66" t="s">
        <v>47</v>
      </c>
      <c r="H18" s="139"/>
      <c r="I18" s="139"/>
      <c r="J18" s="139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28"/>
      <c r="B19" s="14" t="s">
        <v>117</v>
      </c>
      <c r="C19" s="10"/>
      <c r="D19" s="48">
        <f t="shared" si="1"/>
        <v>0</v>
      </c>
      <c r="F19" s="56"/>
      <c r="G19" s="68" t="s">
        <v>50</v>
      </c>
      <c r="H19" s="253"/>
      <c r="I19" s="253"/>
      <c r="J19" s="253"/>
      <c r="L19" s="6">
        <f>R35</f>
        <v>1102</v>
      </c>
      <c r="Q19" s="4"/>
      <c r="R19" s="5">
        <f t="shared" si="0"/>
        <v>0</v>
      </c>
    </row>
    <row r="20" spans="1:18" ht="15.75" x14ac:dyDescent="0.25">
      <c r="A20" s="128"/>
      <c r="B20" s="46" t="s">
        <v>108</v>
      </c>
      <c r="C20" s="10"/>
      <c r="D20" s="13">
        <f t="shared" si="1"/>
        <v>0</v>
      </c>
      <c r="F20" s="57"/>
      <c r="G20" s="70" t="s">
        <v>120</v>
      </c>
      <c r="H20" s="166"/>
      <c r="I20" s="166"/>
      <c r="J20" s="166"/>
      <c r="L20" s="6">
        <f>1102</f>
        <v>1102</v>
      </c>
      <c r="N20" s="1" t="s">
        <v>41</v>
      </c>
      <c r="Q20" s="4"/>
      <c r="R20" s="5">
        <f t="shared" si="0"/>
        <v>0</v>
      </c>
    </row>
    <row r="21" spans="1:18" ht="15.75" x14ac:dyDescent="0.25">
      <c r="A21" s="128"/>
      <c r="B21" s="14" t="s">
        <v>126</v>
      </c>
      <c r="C21" s="10"/>
      <c r="D21" s="48">
        <f t="shared" si="1"/>
        <v>0</v>
      </c>
      <c r="F21" s="69" t="s">
        <v>99</v>
      </c>
      <c r="G21" s="82" t="s">
        <v>98</v>
      </c>
      <c r="H21" s="186" t="s">
        <v>13</v>
      </c>
      <c r="I21" s="187"/>
      <c r="J21" s="188"/>
      <c r="L21" s="7">
        <v>650</v>
      </c>
      <c r="O21" t="s">
        <v>44</v>
      </c>
      <c r="P21" s="4">
        <v>1447</v>
      </c>
      <c r="Q21" s="4">
        <v>120</v>
      </c>
      <c r="R21" s="5">
        <f t="shared" si="0"/>
        <v>1567</v>
      </c>
    </row>
    <row r="22" spans="1:18" ht="15.75" x14ac:dyDescent="0.25">
      <c r="A22" s="128"/>
      <c r="B22" s="46" t="s">
        <v>104</v>
      </c>
      <c r="C22" s="10"/>
      <c r="D22" s="48">
        <f t="shared" si="1"/>
        <v>0</v>
      </c>
      <c r="F22" s="77"/>
      <c r="G22" s="73"/>
      <c r="H22" s="189"/>
      <c r="I22" s="189"/>
      <c r="J22" s="189"/>
      <c r="L22" s="7">
        <f>559+111</f>
        <v>670</v>
      </c>
      <c r="O22" t="s">
        <v>46</v>
      </c>
      <c r="P22" s="4">
        <v>1582</v>
      </c>
      <c r="Q22" s="4"/>
      <c r="R22" s="5">
        <f t="shared" si="0"/>
        <v>1582</v>
      </c>
    </row>
    <row r="23" spans="1:18" ht="15.75" x14ac:dyDescent="0.25">
      <c r="A23" s="128"/>
      <c r="B23" s="14" t="s">
        <v>107</v>
      </c>
      <c r="C23" s="10"/>
      <c r="D23" s="48">
        <f t="shared" si="1"/>
        <v>0</v>
      </c>
      <c r="F23" s="78"/>
      <c r="G23" s="79"/>
      <c r="H23" s="190"/>
      <c r="I23" s="191"/>
      <c r="J23" s="191"/>
      <c r="L23" s="47">
        <f>R33</f>
        <v>1175</v>
      </c>
      <c r="N23" s="1"/>
      <c r="O23" t="s">
        <v>48</v>
      </c>
      <c r="P23" s="4">
        <v>1728</v>
      </c>
      <c r="Q23" s="4"/>
      <c r="R23" s="5">
        <f t="shared" si="0"/>
        <v>1728</v>
      </c>
    </row>
    <row r="24" spans="1:18" ht="15.75" x14ac:dyDescent="0.25">
      <c r="A24" s="128"/>
      <c r="B24" s="14" t="s">
        <v>101</v>
      </c>
      <c r="C24" s="10"/>
      <c r="D24" s="48">
        <f t="shared" si="1"/>
        <v>0</v>
      </c>
      <c r="F24" s="38"/>
      <c r="G24" s="37"/>
      <c r="H24" s="190"/>
      <c r="I24" s="191"/>
      <c r="J24" s="191"/>
      <c r="L24" s="47">
        <v>1667</v>
      </c>
      <c r="N24" s="1"/>
      <c r="O24" t="s">
        <v>49</v>
      </c>
      <c r="P24" s="4">
        <v>1728</v>
      </c>
      <c r="Q24" s="4"/>
      <c r="R24" s="5">
        <f t="shared" si="0"/>
        <v>1728</v>
      </c>
    </row>
    <row r="25" spans="1:18" ht="15.75" x14ac:dyDescent="0.25">
      <c r="A25" s="128"/>
      <c r="B25" s="14" t="s">
        <v>116</v>
      </c>
      <c r="C25" s="10"/>
      <c r="D25" s="48">
        <f t="shared" si="1"/>
        <v>0</v>
      </c>
      <c r="F25" s="60" t="s">
        <v>100</v>
      </c>
      <c r="G25" s="55" t="s">
        <v>98</v>
      </c>
      <c r="H25" s="192" t="s">
        <v>13</v>
      </c>
      <c r="I25" s="193"/>
      <c r="J25" s="194"/>
      <c r="L25" s="47">
        <f>1582</f>
        <v>1582</v>
      </c>
      <c r="O25" t="s">
        <v>51</v>
      </c>
      <c r="P25" s="4">
        <v>1582</v>
      </c>
      <c r="Q25" s="4"/>
      <c r="R25" s="5">
        <f t="shared" si="0"/>
        <v>1582</v>
      </c>
    </row>
    <row r="26" spans="1:18" ht="15.75" x14ac:dyDescent="0.25">
      <c r="A26" s="128"/>
      <c r="B26" s="14" t="s">
        <v>105</v>
      </c>
      <c r="C26" s="10"/>
      <c r="D26" s="48">
        <f t="shared" si="1"/>
        <v>0</v>
      </c>
      <c r="F26" s="64"/>
      <c r="G26" s="59"/>
      <c r="H26" s="195"/>
      <c r="I26" s="196"/>
      <c r="J26" s="197"/>
      <c r="L26" s="7">
        <f>832/24+1.5</f>
        <v>36.166666666666664</v>
      </c>
      <c r="O26" t="s">
        <v>52</v>
      </c>
      <c r="P26" s="4">
        <v>1447</v>
      </c>
      <c r="Q26" s="4">
        <v>120</v>
      </c>
      <c r="R26" s="5">
        <f t="shared" si="0"/>
        <v>1567</v>
      </c>
    </row>
    <row r="27" spans="1:18" ht="14.45" customHeight="1" x14ac:dyDescent="0.25">
      <c r="A27" s="128"/>
      <c r="B27" s="14" t="s">
        <v>109</v>
      </c>
      <c r="C27" s="10"/>
      <c r="D27" s="44">
        <f t="shared" si="1"/>
        <v>0</v>
      </c>
      <c r="F27" s="25"/>
      <c r="G27" s="80"/>
      <c r="H27" s="198"/>
      <c r="I27" s="199"/>
      <c r="J27" s="200"/>
      <c r="L27" s="7">
        <v>1582</v>
      </c>
      <c r="O27" t="s">
        <v>53</v>
      </c>
      <c r="P27" s="4">
        <v>1582</v>
      </c>
      <c r="Q27" s="4"/>
      <c r="R27" s="5">
        <f t="shared" si="0"/>
        <v>1582</v>
      </c>
    </row>
    <row r="28" spans="1:18" ht="15.75" x14ac:dyDescent="0.25">
      <c r="A28" s="129"/>
      <c r="B28" s="46" t="s">
        <v>97</v>
      </c>
      <c r="C28" s="10"/>
      <c r="D28" s="48">
        <f t="shared" si="1"/>
        <v>0</v>
      </c>
      <c r="F28" s="101"/>
      <c r="G28" s="61"/>
      <c r="H28" s="201"/>
      <c r="I28" s="202"/>
      <c r="J28" s="203"/>
      <c r="L28" s="7">
        <v>785</v>
      </c>
      <c r="O28" t="s">
        <v>54</v>
      </c>
      <c r="P28" s="4">
        <v>1447</v>
      </c>
      <c r="Q28" s="4">
        <v>120</v>
      </c>
      <c r="R28" s="5">
        <f t="shared" si="0"/>
        <v>1567</v>
      </c>
    </row>
    <row r="29" spans="1:18" x14ac:dyDescent="0.25">
      <c r="A29" s="167" t="s">
        <v>36</v>
      </c>
      <c r="B29" s="168"/>
      <c r="C29" s="169"/>
      <c r="D29" s="173">
        <f>SUM(D6:D28)</f>
        <v>0</v>
      </c>
      <c r="F29" s="175" t="s">
        <v>55</v>
      </c>
      <c r="G29" s="176"/>
      <c r="H29" s="179">
        <f>H15-H16-H17-H18-H19-H20-H22-H23-H24+H26+H27</f>
        <v>0</v>
      </c>
      <c r="I29" s="180"/>
      <c r="J29" s="181"/>
      <c r="O29" t="s">
        <v>56</v>
      </c>
      <c r="P29" s="4">
        <v>1582</v>
      </c>
      <c r="Q29" s="4"/>
      <c r="R29" s="5">
        <f t="shared" si="0"/>
        <v>1582</v>
      </c>
    </row>
    <row r="30" spans="1:18" x14ac:dyDescent="0.25">
      <c r="A30" s="170"/>
      <c r="B30" s="171"/>
      <c r="C30" s="172"/>
      <c r="D30" s="174"/>
      <c r="F30" s="177"/>
      <c r="G30" s="178"/>
      <c r="H30" s="182"/>
      <c r="I30" s="183"/>
      <c r="J30" s="184"/>
      <c r="N30" s="1"/>
      <c r="Q30" s="4"/>
      <c r="R30" s="5">
        <f t="shared" si="0"/>
        <v>0</v>
      </c>
    </row>
    <row r="31" spans="1:18" x14ac:dyDescent="0.25">
      <c r="A31" s="24"/>
      <c r="B31" s="24"/>
      <c r="C31" s="24"/>
      <c r="D31" s="24"/>
      <c r="F31" s="24"/>
      <c r="G31" s="24"/>
      <c r="O31" t="s">
        <v>57</v>
      </c>
      <c r="P31" s="4">
        <v>1052</v>
      </c>
      <c r="Q31" s="4">
        <v>120</v>
      </c>
      <c r="R31" s="5">
        <f t="shared" si="0"/>
        <v>1172</v>
      </c>
    </row>
    <row r="32" spans="1:18" x14ac:dyDescent="0.25">
      <c r="A32" s="114" t="s">
        <v>58</v>
      </c>
      <c r="B32" s="115"/>
      <c r="C32" s="115"/>
      <c r="D32" s="116"/>
      <c r="F32" s="204" t="s">
        <v>59</v>
      </c>
      <c r="G32" s="205"/>
      <c r="H32" s="205"/>
      <c r="I32" s="205"/>
      <c r="J32" s="206"/>
      <c r="O32" t="s">
        <v>60</v>
      </c>
      <c r="P32" s="4">
        <v>1005</v>
      </c>
      <c r="Q32" s="4">
        <v>120</v>
      </c>
      <c r="R32" s="5">
        <f t="shared" si="0"/>
        <v>1125</v>
      </c>
    </row>
    <row r="33" spans="1:18" x14ac:dyDescent="0.25">
      <c r="A33" s="25"/>
      <c r="B33" s="25" t="s">
        <v>11</v>
      </c>
      <c r="C33" s="25" t="s">
        <v>61</v>
      </c>
      <c r="D33" s="25" t="s">
        <v>13</v>
      </c>
      <c r="F33" s="25" t="s">
        <v>62</v>
      </c>
      <c r="G33" s="102" t="s">
        <v>63</v>
      </c>
      <c r="H33" s="204" t="s">
        <v>13</v>
      </c>
      <c r="I33" s="205"/>
      <c r="J33" s="206"/>
      <c r="O33" t="s">
        <v>64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27" t="s">
        <v>65</v>
      </c>
      <c r="B34" s="26" t="s">
        <v>66</v>
      </c>
      <c r="C34" s="51"/>
      <c r="D34" s="30">
        <f>C34*120</f>
        <v>0</v>
      </c>
      <c r="F34" s="12">
        <v>1000</v>
      </c>
      <c r="G34" s="74"/>
      <c r="H34" s="207">
        <f>F34*G34</f>
        <v>0</v>
      </c>
      <c r="I34" s="208"/>
      <c r="J34" s="209"/>
      <c r="O34" t="s">
        <v>67</v>
      </c>
      <c r="P34" s="4">
        <v>832</v>
      </c>
      <c r="Q34" s="4">
        <v>120</v>
      </c>
      <c r="R34" s="5">
        <f t="shared" si="0"/>
        <v>952</v>
      </c>
    </row>
    <row r="35" spans="1:18" ht="15.75" x14ac:dyDescent="0.25">
      <c r="A35" s="128"/>
      <c r="B35" s="27" t="s">
        <v>68</v>
      </c>
      <c r="C35" s="52"/>
      <c r="D35" s="30">
        <f>C35*84</f>
        <v>0</v>
      </c>
      <c r="F35" s="58">
        <v>500</v>
      </c>
      <c r="G35" s="41"/>
      <c r="H35" s="207">
        <f>F35*G35</f>
        <v>0</v>
      </c>
      <c r="I35" s="208"/>
      <c r="J35" s="209"/>
      <c r="O35" t="s">
        <v>69</v>
      </c>
      <c r="P35" s="4">
        <v>1102</v>
      </c>
      <c r="Q35" s="4"/>
      <c r="R35" s="5">
        <f t="shared" si="0"/>
        <v>1102</v>
      </c>
    </row>
    <row r="36" spans="1:18" ht="15.75" x14ac:dyDescent="0.25">
      <c r="A36" s="129"/>
      <c r="B36" s="26" t="s">
        <v>70</v>
      </c>
      <c r="C36" s="10"/>
      <c r="D36" s="12">
        <f>C36*1.5</f>
        <v>0</v>
      </c>
      <c r="F36" s="12">
        <v>200</v>
      </c>
      <c r="G36" s="37"/>
      <c r="H36" s="207">
        <f t="shared" ref="H36:H39" si="2">F36*G36</f>
        <v>0</v>
      </c>
      <c r="I36" s="208"/>
      <c r="J36" s="209"/>
      <c r="O36" t="s">
        <v>71</v>
      </c>
      <c r="P36" s="4">
        <v>852</v>
      </c>
      <c r="Q36" s="4">
        <v>120</v>
      </c>
      <c r="R36" s="5">
        <f t="shared" si="0"/>
        <v>972</v>
      </c>
    </row>
    <row r="37" spans="1:18" ht="15.75" x14ac:dyDescent="0.25">
      <c r="A37" s="127" t="s">
        <v>72</v>
      </c>
      <c r="B37" s="28" t="s">
        <v>66</v>
      </c>
      <c r="C37" s="53"/>
      <c r="D37" s="12">
        <f>C37*111</f>
        <v>0</v>
      </c>
      <c r="F37" s="12">
        <v>100</v>
      </c>
      <c r="G37" s="39"/>
      <c r="H37" s="207">
        <f t="shared" si="2"/>
        <v>0</v>
      </c>
      <c r="I37" s="208"/>
      <c r="J37" s="209"/>
      <c r="O37" t="s">
        <v>73</v>
      </c>
      <c r="P37" s="4">
        <v>1020</v>
      </c>
      <c r="Q37" s="4">
        <v>120</v>
      </c>
      <c r="R37" s="5">
        <f t="shared" si="0"/>
        <v>1140</v>
      </c>
    </row>
    <row r="38" spans="1:18" ht="15.75" x14ac:dyDescent="0.25">
      <c r="A38" s="128"/>
      <c r="B38" s="29" t="s">
        <v>68</v>
      </c>
      <c r="C38" s="54"/>
      <c r="D38" s="12">
        <f>C38*84</f>
        <v>0</v>
      </c>
      <c r="F38" s="30">
        <v>50</v>
      </c>
      <c r="G38" s="39"/>
      <c r="H38" s="207">
        <f t="shared" si="2"/>
        <v>0</v>
      </c>
      <c r="I38" s="208"/>
      <c r="J38" s="209"/>
      <c r="O38" t="s">
        <v>74</v>
      </c>
      <c r="P38" s="4">
        <v>596</v>
      </c>
      <c r="Q38" s="4">
        <v>111</v>
      </c>
      <c r="R38" s="5">
        <f t="shared" si="0"/>
        <v>707</v>
      </c>
    </row>
    <row r="39" spans="1:18" ht="15.75" x14ac:dyDescent="0.25">
      <c r="A39" s="129"/>
      <c r="B39" s="29" t="s">
        <v>70</v>
      </c>
      <c r="C39" s="52"/>
      <c r="D39" s="31">
        <f>C39*4.5</f>
        <v>0</v>
      </c>
      <c r="F39" s="12">
        <v>20</v>
      </c>
      <c r="G39" s="37"/>
      <c r="H39" s="207">
        <f t="shared" si="2"/>
        <v>0</v>
      </c>
      <c r="I39" s="208"/>
      <c r="J39" s="209"/>
      <c r="O39" t="s">
        <v>75</v>
      </c>
      <c r="P39" s="4">
        <v>1175</v>
      </c>
      <c r="Q39" s="4"/>
      <c r="R39" s="5">
        <f t="shared" si="0"/>
        <v>1175</v>
      </c>
    </row>
    <row r="40" spans="1:18" ht="15.75" x14ac:dyDescent="0.25">
      <c r="A40" s="127" t="s">
        <v>76</v>
      </c>
      <c r="B40" s="27" t="s">
        <v>66</v>
      </c>
      <c r="C40" s="63"/>
      <c r="D40" s="12">
        <f>C40*111</f>
        <v>0</v>
      </c>
      <c r="F40" s="12">
        <v>10</v>
      </c>
      <c r="G40" s="42"/>
      <c r="H40" s="207"/>
      <c r="I40" s="208"/>
      <c r="J40" s="209"/>
      <c r="O40" t="s">
        <v>77</v>
      </c>
      <c r="P40" s="4">
        <v>913</v>
      </c>
      <c r="Q40" s="4">
        <v>120</v>
      </c>
      <c r="R40" s="5">
        <f t="shared" si="0"/>
        <v>1033</v>
      </c>
    </row>
    <row r="41" spans="1:18" ht="15.75" x14ac:dyDescent="0.25">
      <c r="A41" s="128"/>
      <c r="B41" s="27" t="s">
        <v>68</v>
      </c>
      <c r="C41" s="10"/>
      <c r="D41" s="12">
        <f>C41*84</f>
        <v>0</v>
      </c>
      <c r="F41" s="12">
        <v>5</v>
      </c>
      <c r="G41" s="42"/>
      <c r="H41" s="207"/>
      <c r="I41" s="208"/>
      <c r="J41" s="209"/>
      <c r="K41" s="21"/>
      <c r="O41" t="s">
        <v>78</v>
      </c>
      <c r="P41" s="4">
        <v>614</v>
      </c>
      <c r="Q41" s="4">
        <v>111</v>
      </c>
      <c r="R41" s="5">
        <f t="shared" si="0"/>
        <v>725</v>
      </c>
    </row>
    <row r="42" spans="1:18" ht="15.75" x14ac:dyDescent="0.25">
      <c r="A42" s="129"/>
      <c r="B42" s="27" t="s">
        <v>70</v>
      </c>
      <c r="C42" s="11"/>
      <c r="D42" s="12">
        <f>C42*2.25</f>
        <v>0</v>
      </c>
      <c r="F42" s="39" t="s">
        <v>79</v>
      </c>
      <c r="G42" s="207"/>
      <c r="H42" s="208"/>
      <c r="I42" s="208"/>
      <c r="J42" s="209"/>
      <c r="K42" s="36"/>
      <c r="O42" t="s">
        <v>80</v>
      </c>
      <c r="P42" s="4">
        <v>626</v>
      </c>
      <c r="Q42" s="4">
        <v>111</v>
      </c>
      <c r="R42" s="5">
        <f t="shared" si="0"/>
        <v>737</v>
      </c>
    </row>
    <row r="43" spans="1:18" ht="15.75" x14ac:dyDescent="0.25">
      <c r="A43" s="210" t="s">
        <v>81</v>
      </c>
      <c r="C43" s="11"/>
      <c r="D43" s="12"/>
      <c r="F43" s="59" t="s">
        <v>82</v>
      </c>
      <c r="G43" s="104" t="s">
        <v>83</v>
      </c>
      <c r="H43" s="213" t="s">
        <v>13</v>
      </c>
      <c r="I43" s="214"/>
      <c r="J43" s="215"/>
      <c r="K43" s="21"/>
      <c r="P43" s="4"/>
      <c r="Q43" s="4"/>
      <c r="R43" s="5"/>
    </row>
    <row r="44" spans="1:18" ht="15.75" x14ac:dyDescent="0.25">
      <c r="A44" s="211"/>
      <c r="B44" s="27" t="s">
        <v>66</v>
      </c>
      <c r="C44" s="10"/>
      <c r="D44" s="12">
        <f>C44*120</f>
        <v>0</v>
      </c>
      <c r="F44" s="37"/>
      <c r="G44" s="76"/>
      <c r="H44" s="191"/>
      <c r="I44" s="191"/>
      <c r="J44" s="191"/>
      <c r="K44" s="21"/>
      <c r="P44" s="4"/>
      <c r="Q44" s="4"/>
      <c r="R44" s="5"/>
    </row>
    <row r="45" spans="1:18" ht="15.75" x14ac:dyDescent="0.25">
      <c r="A45" s="211"/>
      <c r="B45" s="27" t="s">
        <v>68</v>
      </c>
      <c r="C45" s="33"/>
      <c r="D45" s="12">
        <f>C45*84</f>
        <v>0</v>
      </c>
      <c r="F45" s="37"/>
      <c r="G45" s="76"/>
      <c r="H45" s="191"/>
      <c r="I45" s="191"/>
      <c r="J45" s="191"/>
      <c r="K45" s="21"/>
      <c r="P45" s="4"/>
      <c r="Q45" s="4"/>
      <c r="R45" s="5"/>
    </row>
    <row r="46" spans="1:18" ht="15.75" x14ac:dyDescent="0.25">
      <c r="A46" s="211"/>
      <c r="B46" s="49" t="s">
        <v>70</v>
      </c>
      <c r="C46" s="81"/>
      <c r="D46" s="12">
        <f>C46*1.5</f>
        <v>0</v>
      </c>
      <c r="F46" s="37"/>
      <c r="G46" s="62"/>
      <c r="H46" s="216"/>
      <c r="I46" s="216"/>
      <c r="J46" s="216"/>
      <c r="K46" s="21"/>
      <c r="P46" s="4"/>
      <c r="Q46" s="4"/>
      <c r="R46" s="5"/>
    </row>
    <row r="47" spans="1:18" ht="15.75" x14ac:dyDescent="0.25">
      <c r="A47" s="212"/>
      <c r="B47" s="27"/>
      <c r="C47" s="11"/>
      <c r="D47" s="12"/>
      <c r="F47" s="59"/>
      <c r="G47" s="59"/>
      <c r="H47" s="217"/>
      <c r="I47" s="218"/>
      <c r="J47" s="219"/>
      <c r="K47" s="21"/>
      <c r="P47" s="4"/>
      <c r="Q47" s="4"/>
      <c r="R47" s="5"/>
    </row>
    <row r="48" spans="1:18" ht="15" customHeight="1" x14ac:dyDescent="0.25">
      <c r="A48" s="210" t="s">
        <v>32</v>
      </c>
      <c r="B48" s="27" t="s">
        <v>66</v>
      </c>
      <c r="C48" s="10"/>
      <c r="D48" s="12">
        <f>C48*78</f>
        <v>0</v>
      </c>
      <c r="F48" s="59"/>
      <c r="G48" s="59"/>
      <c r="H48" s="217"/>
      <c r="I48" s="218"/>
      <c r="J48" s="219"/>
      <c r="K48" s="35"/>
      <c r="O48" t="s">
        <v>84</v>
      </c>
      <c r="P48" s="4">
        <v>1175</v>
      </c>
      <c r="Q48" s="4"/>
      <c r="R48" s="5">
        <f t="shared" si="0"/>
        <v>1175</v>
      </c>
    </row>
    <row r="49" spans="1:18" ht="15.75" x14ac:dyDescent="0.25">
      <c r="A49" s="211"/>
      <c r="B49" s="29" t="s">
        <v>68</v>
      </c>
      <c r="C49" s="33"/>
      <c r="D49" s="12">
        <f>C49*42</f>
        <v>0</v>
      </c>
      <c r="F49" s="232" t="s">
        <v>86</v>
      </c>
      <c r="G49" s="179">
        <f>H34+H35+H36+H37+H38+H39+H40+H41+G42+H44+H45+H46</f>
        <v>0</v>
      </c>
      <c r="H49" s="180"/>
      <c r="I49" s="180"/>
      <c r="J49" s="181"/>
      <c r="O49" t="s">
        <v>85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211"/>
      <c r="B50" s="32" t="s">
        <v>70</v>
      </c>
      <c r="C50" s="11"/>
      <c r="D50" s="12">
        <f>C50*1.5</f>
        <v>0</v>
      </c>
      <c r="F50" s="233"/>
      <c r="G50" s="182"/>
      <c r="H50" s="183"/>
      <c r="I50" s="183"/>
      <c r="J50" s="184"/>
      <c r="P50" s="4"/>
      <c r="Q50" s="4"/>
      <c r="R50" s="5"/>
    </row>
    <row r="51" spans="1:18" ht="15" customHeight="1" x14ac:dyDescent="0.25">
      <c r="A51" s="211"/>
      <c r="B51" s="27"/>
      <c r="C51" s="10"/>
      <c r="D51" s="31"/>
      <c r="F51" s="234" t="s">
        <v>142</v>
      </c>
      <c r="G51" s="247">
        <f>G49-H29</f>
        <v>0</v>
      </c>
      <c r="H51" s="248"/>
      <c r="I51" s="248"/>
      <c r="J51" s="249"/>
      <c r="K51" s="21"/>
      <c r="O51" t="s">
        <v>87</v>
      </c>
      <c r="P51" s="4">
        <v>703</v>
      </c>
      <c r="Q51" s="4">
        <v>120</v>
      </c>
      <c r="R51" s="5">
        <f t="shared" si="0"/>
        <v>823</v>
      </c>
    </row>
    <row r="52" spans="1:18" ht="15.75" x14ac:dyDescent="0.25">
      <c r="A52" s="211"/>
      <c r="B52" s="29"/>
      <c r="C52" s="33"/>
      <c r="D52" s="45"/>
      <c r="F52" s="235"/>
      <c r="G52" s="250"/>
      <c r="H52" s="251"/>
      <c r="I52" s="251"/>
      <c r="J52" s="252"/>
      <c r="K52" s="21"/>
      <c r="O52" t="s">
        <v>88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212"/>
      <c r="B53" s="32"/>
      <c r="C53" s="11"/>
      <c r="D53" s="12"/>
      <c r="F53" s="35"/>
      <c r="G53" s="24"/>
      <c r="H53" s="24"/>
      <c r="I53" s="24"/>
      <c r="J53" s="17"/>
      <c r="N53" s="1"/>
      <c r="O53" t="s">
        <v>89</v>
      </c>
      <c r="P53" s="4">
        <v>1142</v>
      </c>
    </row>
    <row r="54" spans="1:18" x14ac:dyDescent="0.25">
      <c r="A54" s="175" t="s">
        <v>90</v>
      </c>
      <c r="B54" s="220"/>
      <c r="C54" s="221"/>
      <c r="D54" s="224">
        <f>SUM(D34:D53)</f>
        <v>0</v>
      </c>
      <c r="F54" s="21"/>
      <c r="J54" s="34"/>
    </row>
    <row r="55" spans="1:18" x14ac:dyDescent="0.25">
      <c r="A55" s="177"/>
      <c r="B55" s="222"/>
      <c r="C55" s="223"/>
      <c r="D55" s="225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118</v>
      </c>
      <c r="D57" s="34"/>
      <c r="F57" s="36"/>
      <c r="G57" s="50"/>
      <c r="H57" s="50"/>
      <c r="I57" s="50"/>
      <c r="J57" s="43"/>
    </row>
    <row r="58" spans="1:18" x14ac:dyDescent="0.25">
      <c r="A58" s="226" t="s">
        <v>91</v>
      </c>
      <c r="B58" s="227"/>
      <c r="C58" s="227"/>
      <c r="D58" s="228"/>
      <c r="F58" s="226" t="s">
        <v>92</v>
      </c>
      <c r="G58" s="227"/>
      <c r="H58" s="227"/>
      <c r="I58" s="227"/>
      <c r="J58" s="228"/>
    </row>
    <row r="59" spans="1:18" x14ac:dyDescent="0.25">
      <c r="A59" s="229"/>
      <c r="B59" s="230"/>
      <c r="C59" s="230"/>
      <c r="D59" s="231"/>
      <c r="F59" s="229"/>
      <c r="G59" s="230"/>
      <c r="H59" s="230"/>
      <c r="I59" s="230"/>
      <c r="J59" s="231"/>
    </row>
  </sheetData>
  <mergeCells count="68"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  <mergeCell ref="H13:J13"/>
    <mergeCell ref="F14:G14"/>
    <mergeCell ref="H14:J14"/>
    <mergeCell ref="F15:G15"/>
    <mergeCell ref="H15:J15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A32:D32"/>
    <mergeCell ref="F32:J32"/>
    <mergeCell ref="H33:J33"/>
    <mergeCell ref="A34:A36"/>
    <mergeCell ref="H34:J34"/>
    <mergeCell ref="H35:J35"/>
    <mergeCell ref="H36:J36"/>
    <mergeCell ref="A37:A39"/>
    <mergeCell ref="H37:J37"/>
    <mergeCell ref="H38:J38"/>
    <mergeCell ref="H39:J39"/>
    <mergeCell ref="A40:A42"/>
    <mergeCell ref="H40:J40"/>
    <mergeCell ref="H41:J41"/>
    <mergeCell ref="G42:J42"/>
    <mergeCell ref="A43:A47"/>
    <mergeCell ref="H43:J43"/>
    <mergeCell ref="H44:J44"/>
    <mergeCell ref="H45:J45"/>
    <mergeCell ref="H46:J46"/>
    <mergeCell ref="H47:J47"/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5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6CFA3BE-7E4D-4BEC-A5FC-7CAF37DC9CBF}">
  <dimension ref="A1:S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9" x14ac:dyDescent="0.25">
      <c r="A1" t="s">
        <v>0</v>
      </c>
      <c r="N1" s="113" t="s">
        <v>1</v>
      </c>
      <c r="O1" s="113"/>
      <c r="P1" s="100" t="s">
        <v>2</v>
      </c>
      <c r="Q1" s="100" t="s">
        <v>3</v>
      </c>
      <c r="R1" s="2" t="s">
        <v>4</v>
      </c>
    </row>
    <row r="2" spans="1:19" x14ac:dyDescent="0.25">
      <c r="A2" t="s">
        <v>5</v>
      </c>
      <c r="N2" s="1"/>
    </row>
    <row r="3" spans="1:19" x14ac:dyDescent="0.25">
      <c r="N3" s="1" t="s">
        <v>6</v>
      </c>
      <c r="O3" s="4"/>
    </row>
    <row r="4" spans="1:19" x14ac:dyDescent="0.25">
      <c r="A4" s="114" t="s">
        <v>7</v>
      </c>
      <c r="B4" s="115"/>
      <c r="C4" s="115"/>
      <c r="D4" s="116"/>
      <c r="F4" s="117" t="s">
        <v>8</v>
      </c>
      <c r="G4" s="119"/>
      <c r="H4" s="121" t="s">
        <v>9</v>
      </c>
      <c r="I4" s="123"/>
      <c r="J4" s="124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9" x14ac:dyDescent="0.25">
      <c r="A5" s="127" t="s">
        <v>7</v>
      </c>
      <c r="B5" s="15" t="s">
        <v>11</v>
      </c>
      <c r="C5" s="9" t="s">
        <v>12</v>
      </c>
      <c r="D5" s="25" t="s">
        <v>13</v>
      </c>
      <c r="F5" s="118"/>
      <c r="G5" s="120"/>
      <c r="H5" s="122"/>
      <c r="I5" s="125"/>
      <c r="J5" s="126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9" ht="14.45" customHeight="1" x14ac:dyDescent="0.25">
      <c r="A6" s="128"/>
      <c r="B6" s="16"/>
      <c r="C6" s="10"/>
      <c r="D6" s="13">
        <f t="shared" ref="D6:D28" si="1">C6*L6</f>
        <v>0</v>
      </c>
      <c r="F6" s="130" t="s">
        <v>16</v>
      </c>
      <c r="G6" s="132"/>
      <c r="H6" s="133"/>
      <c r="I6" s="133"/>
      <c r="J6" s="134"/>
      <c r="K6" s="8"/>
      <c r="L6" s="6">
        <f>R42</f>
        <v>737</v>
      </c>
      <c r="O6" t="s">
        <v>17</v>
      </c>
      <c r="P6" s="4">
        <v>650</v>
      </c>
      <c r="Q6" s="4"/>
      <c r="R6" s="5">
        <f t="shared" si="0"/>
        <v>650</v>
      </c>
    </row>
    <row r="7" spans="1:19" ht="14.45" customHeight="1" x14ac:dyDescent="0.25">
      <c r="A7" s="128"/>
      <c r="B7" s="16"/>
      <c r="C7" s="10"/>
      <c r="D7" s="13">
        <f t="shared" si="1"/>
        <v>0</v>
      </c>
      <c r="F7" s="131"/>
      <c r="G7" s="135"/>
      <c r="H7" s="136"/>
      <c r="I7" s="136"/>
      <c r="J7" s="137"/>
      <c r="K7" s="8"/>
      <c r="L7" s="6">
        <f>R41</f>
        <v>725</v>
      </c>
      <c r="P7" s="4"/>
      <c r="Q7" s="4"/>
      <c r="R7" s="5"/>
    </row>
    <row r="8" spans="1:19" ht="14.45" customHeight="1" x14ac:dyDescent="0.25">
      <c r="A8" s="128"/>
      <c r="B8" s="16"/>
      <c r="C8" s="10"/>
      <c r="D8" s="13">
        <f t="shared" si="1"/>
        <v>0</v>
      </c>
      <c r="F8" s="138" t="s">
        <v>21</v>
      </c>
      <c r="G8" s="140"/>
      <c r="H8" s="141"/>
      <c r="I8" s="141"/>
      <c r="J8" s="142"/>
      <c r="K8" s="8"/>
      <c r="L8" s="6">
        <f>R40</f>
        <v>1033</v>
      </c>
      <c r="P8" s="4"/>
      <c r="Q8" s="4"/>
      <c r="R8" s="5"/>
    </row>
    <row r="9" spans="1:19" ht="14.45" customHeight="1" x14ac:dyDescent="0.25">
      <c r="A9" s="128"/>
      <c r="B9" s="16"/>
      <c r="C9" s="10"/>
      <c r="D9" s="13">
        <f t="shared" si="1"/>
        <v>0</v>
      </c>
      <c r="F9" s="131"/>
      <c r="G9" s="143"/>
      <c r="H9" s="144"/>
      <c r="I9" s="144"/>
      <c r="J9" s="145"/>
      <c r="K9" s="8"/>
      <c r="L9" s="6">
        <f>R38</f>
        <v>707</v>
      </c>
      <c r="P9" s="4"/>
      <c r="Q9" s="4"/>
      <c r="R9" s="5"/>
    </row>
    <row r="10" spans="1:19" ht="14.45" customHeight="1" x14ac:dyDescent="0.25">
      <c r="A10" s="128"/>
      <c r="C10" s="10"/>
      <c r="D10" s="13">
        <f t="shared" si="1"/>
        <v>0</v>
      </c>
      <c r="F10" s="130" t="s">
        <v>26</v>
      </c>
      <c r="G10" s="146"/>
      <c r="H10" s="147"/>
      <c r="I10" s="147"/>
      <c r="J10" s="148"/>
      <c r="K10" s="8"/>
      <c r="L10" s="6">
        <f>R36</f>
        <v>972</v>
      </c>
      <c r="P10" s="4"/>
      <c r="Q10" s="4"/>
      <c r="R10" s="5"/>
    </row>
    <row r="11" spans="1:19" ht="15.75" x14ac:dyDescent="0.25">
      <c r="A11" s="128"/>
      <c r="B11" s="17"/>
      <c r="C11" s="10"/>
      <c r="D11" s="13">
        <f t="shared" si="1"/>
        <v>0</v>
      </c>
      <c r="F11" s="131"/>
      <c r="G11" s="143"/>
      <c r="H11" s="144"/>
      <c r="I11" s="144"/>
      <c r="J11" s="145"/>
      <c r="K11" s="22"/>
      <c r="L11" s="6">
        <f>R32</f>
        <v>1125</v>
      </c>
      <c r="O11" t="s">
        <v>19</v>
      </c>
      <c r="P11" s="4">
        <v>650</v>
      </c>
      <c r="Q11" s="4"/>
      <c r="R11" s="5">
        <f t="shared" si="0"/>
        <v>650</v>
      </c>
    </row>
    <row r="12" spans="1:19" ht="15.75" x14ac:dyDescent="0.25">
      <c r="A12" s="128"/>
      <c r="B12" s="17"/>
      <c r="C12" s="10"/>
      <c r="D12" s="48">
        <f t="shared" si="1"/>
        <v>0</v>
      </c>
      <c r="F12" s="149" t="s">
        <v>33</v>
      </c>
      <c r="G12" s="150"/>
      <c r="H12" s="150"/>
      <c r="I12" s="150"/>
      <c r="J12" s="151"/>
      <c r="K12" s="23"/>
      <c r="L12" s="6">
        <f>R34</f>
        <v>952</v>
      </c>
      <c r="O12" t="s">
        <v>22</v>
      </c>
      <c r="P12" s="4">
        <v>650</v>
      </c>
      <c r="Q12" s="4"/>
      <c r="R12" s="5">
        <f t="shared" si="0"/>
        <v>650</v>
      </c>
    </row>
    <row r="13" spans="1:19" ht="15.75" x14ac:dyDescent="0.25">
      <c r="A13" s="128"/>
      <c r="B13" s="17"/>
      <c r="C13" s="10"/>
      <c r="D13" s="48">
        <f t="shared" si="1"/>
        <v>0</v>
      </c>
      <c r="F13" s="152" t="s">
        <v>36</v>
      </c>
      <c r="G13" s="153"/>
      <c r="H13" s="154">
        <f>D29</f>
        <v>0</v>
      </c>
      <c r="I13" s="155"/>
      <c r="J13" s="156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9" ht="15.75" x14ac:dyDescent="0.25">
      <c r="A14" s="128"/>
      <c r="B14" s="14"/>
      <c r="C14" s="10"/>
      <c r="D14" s="31">
        <f t="shared" si="1"/>
        <v>0</v>
      </c>
      <c r="F14" s="157" t="s">
        <v>39</v>
      </c>
      <c r="G14" s="158"/>
      <c r="H14" s="159">
        <f>D54</f>
        <v>0</v>
      </c>
      <c r="I14" s="160"/>
      <c r="J14" s="161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  <c r="S14">
        <f>205+78</f>
        <v>283</v>
      </c>
    </row>
    <row r="15" spans="1:19" ht="15.75" x14ac:dyDescent="0.25">
      <c r="A15" s="128"/>
      <c r="B15" s="14"/>
      <c r="C15" s="10"/>
      <c r="D15" s="31">
        <f t="shared" si="1"/>
        <v>0</v>
      </c>
      <c r="F15" s="162" t="s">
        <v>40</v>
      </c>
      <c r="G15" s="153"/>
      <c r="H15" s="163">
        <f>H13-H14</f>
        <v>0</v>
      </c>
      <c r="I15" s="164"/>
      <c r="J15" s="165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  <c r="S15">
        <f>229+78</f>
        <v>307</v>
      </c>
    </row>
    <row r="16" spans="1:19" ht="15.75" x14ac:dyDescent="0.25">
      <c r="A16" s="128"/>
      <c r="B16" s="18"/>
      <c r="C16" s="10"/>
      <c r="D16" s="48">
        <f t="shared" si="1"/>
        <v>0</v>
      </c>
      <c r="F16" s="67" t="s">
        <v>42</v>
      </c>
      <c r="G16" s="66" t="s">
        <v>43</v>
      </c>
      <c r="H16" s="166"/>
      <c r="I16" s="166"/>
      <c r="J16" s="166"/>
      <c r="L16" s="6">
        <f>R28</f>
        <v>1567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28"/>
      <c r="C17" s="10"/>
      <c r="D17" s="48">
        <f t="shared" si="1"/>
        <v>0</v>
      </c>
      <c r="F17" s="56"/>
      <c r="G17" s="66" t="s">
        <v>45</v>
      </c>
      <c r="H17" s="139"/>
      <c r="I17" s="139"/>
      <c r="J17" s="139"/>
      <c r="L17" s="6">
        <v>1582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28"/>
      <c r="B18" s="19"/>
      <c r="C18" s="10"/>
      <c r="D18" s="48">
        <f t="shared" si="1"/>
        <v>0</v>
      </c>
      <c r="F18" s="56"/>
      <c r="G18" s="66" t="s">
        <v>47</v>
      </c>
      <c r="H18" s="139"/>
      <c r="I18" s="139"/>
      <c r="J18" s="139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28"/>
      <c r="B19" s="14"/>
      <c r="C19" s="10"/>
      <c r="D19" s="48">
        <f t="shared" si="1"/>
        <v>0</v>
      </c>
      <c r="F19" s="56"/>
      <c r="G19" s="68" t="s">
        <v>50</v>
      </c>
      <c r="H19" s="185"/>
      <c r="I19" s="185"/>
      <c r="J19" s="185"/>
      <c r="L19" s="6">
        <f>R35</f>
        <v>1102</v>
      </c>
      <c r="Q19" s="4"/>
      <c r="R19" s="5">
        <f t="shared" si="0"/>
        <v>0</v>
      </c>
    </row>
    <row r="20" spans="1:18" ht="15.75" x14ac:dyDescent="0.25">
      <c r="A20" s="128"/>
      <c r="B20" s="46"/>
      <c r="C20" s="10"/>
      <c r="D20" s="13">
        <f t="shared" si="1"/>
        <v>0</v>
      </c>
      <c r="F20" s="57"/>
      <c r="G20" s="70" t="s">
        <v>120</v>
      </c>
      <c r="H20" s="166"/>
      <c r="I20" s="166"/>
      <c r="J20" s="166"/>
      <c r="L20" s="6">
        <f>1102</f>
        <v>1102</v>
      </c>
      <c r="N20" s="1" t="s">
        <v>41</v>
      </c>
      <c r="Q20" s="4"/>
      <c r="R20" s="5">
        <f t="shared" si="0"/>
        <v>0</v>
      </c>
    </row>
    <row r="21" spans="1:18" ht="15.75" x14ac:dyDescent="0.25">
      <c r="A21" s="128"/>
      <c r="B21" s="14"/>
      <c r="C21" s="10"/>
      <c r="D21" s="48">
        <f t="shared" si="1"/>
        <v>0</v>
      </c>
      <c r="F21" s="69" t="s">
        <v>99</v>
      </c>
      <c r="G21" s="82" t="s">
        <v>98</v>
      </c>
      <c r="H21" s="186" t="s">
        <v>13</v>
      </c>
      <c r="I21" s="187"/>
      <c r="J21" s="188"/>
      <c r="L21" s="7">
        <v>650</v>
      </c>
      <c r="O21" t="s">
        <v>44</v>
      </c>
      <c r="P21" s="4">
        <v>1447</v>
      </c>
      <c r="Q21" s="4">
        <v>120</v>
      </c>
      <c r="R21" s="5">
        <f t="shared" si="0"/>
        <v>1567</v>
      </c>
    </row>
    <row r="22" spans="1:18" ht="15.75" x14ac:dyDescent="0.25">
      <c r="A22" s="128"/>
      <c r="B22" s="46"/>
      <c r="C22" s="10"/>
      <c r="D22" s="48">
        <f t="shared" si="1"/>
        <v>0</v>
      </c>
      <c r="F22" s="77"/>
      <c r="G22" s="73"/>
      <c r="H22" s="189"/>
      <c r="I22" s="189"/>
      <c r="J22" s="189"/>
      <c r="L22" s="7">
        <f>559+111</f>
        <v>670</v>
      </c>
      <c r="O22" t="s">
        <v>46</v>
      </c>
      <c r="P22" s="4">
        <v>1582</v>
      </c>
      <c r="Q22" s="4"/>
      <c r="R22" s="5">
        <f t="shared" si="0"/>
        <v>1582</v>
      </c>
    </row>
    <row r="23" spans="1:18" ht="15.75" x14ac:dyDescent="0.25">
      <c r="A23" s="128"/>
      <c r="B23" s="14"/>
      <c r="C23" s="10"/>
      <c r="D23" s="48">
        <f t="shared" si="1"/>
        <v>0</v>
      </c>
      <c r="F23" s="78"/>
      <c r="G23" s="79"/>
      <c r="H23" s="190"/>
      <c r="I23" s="191"/>
      <c r="J23" s="191"/>
      <c r="L23" s="47">
        <f>R33</f>
        <v>1175</v>
      </c>
      <c r="N23" s="1"/>
      <c r="O23" t="s">
        <v>48</v>
      </c>
      <c r="P23" s="4">
        <v>1728</v>
      </c>
      <c r="Q23" s="4"/>
      <c r="R23" s="5">
        <f t="shared" si="0"/>
        <v>1728</v>
      </c>
    </row>
    <row r="24" spans="1:18" ht="15.75" x14ac:dyDescent="0.25">
      <c r="A24" s="128"/>
      <c r="B24" s="14"/>
      <c r="C24" s="10"/>
      <c r="D24" s="48">
        <f t="shared" si="1"/>
        <v>0</v>
      </c>
      <c r="F24" s="38"/>
      <c r="G24" s="37"/>
      <c r="H24" s="190"/>
      <c r="I24" s="191"/>
      <c r="J24" s="191"/>
      <c r="L24" s="47">
        <v>1667</v>
      </c>
      <c r="N24" s="1"/>
      <c r="O24" t="s">
        <v>49</v>
      </c>
      <c r="P24" s="4">
        <v>1728</v>
      </c>
      <c r="Q24" s="4"/>
      <c r="R24" s="5">
        <f t="shared" si="0"/>
        <v>1728</v>
      </c>
    </row>
    <row r="25" spans="1:18" ht="15.75" x14ac:dyDescent="0.25">
      <c r="A25" s="128"/>
      <c r="B25" s="14"/>
      <c r="C25" s="10"/>
      <c r="D25" s="48">
        <f t="shared" si="1"/>
        <v>0</v>
      </c>
      <c r="F25" s="60" t="s">
        <v>100</v>
      </c>
      <c r="G25" s="55" t="s">
        <v>98</v>
      </c>
      <c r="H25" s="192" t="s">
        <v>13</v>
      </c>
      <c r="I25" s="193"/>
      <c r="J25" s="194"/>
      <c r="L25" s="47">
        <f>1582</f>
        <v>1582</v>
      </c>
      <c r="O25" t="s">
        <v>51</v>
      </c>
      <c r="P25" s="4">
        <v>1582</v>
      </c>
      <c r="Q25" s="4"/>
      <c r="R25" s="5">
        <f t="shared" si="0"/>
        <v>1582</v>
      </c>
    </row>
    <row r="26" spans="1:18" ht="15.75" x14ac:dyDescent="0.25">
      <c r="A26" s="128"/>
      <c r="B26" s="14"/>
      <c r="C26" s="10"/>
      <c r="D26" s="48">
        <f t="shared" si="1"/>
        <v>0</v>
      </c>
      <c r="F26" s="64"/>
      <c r="G26" s="59"/>
      <c r="H26" s="195"/>
      <c r="I26" s="196"/>
      <c r="J26" s="197"/>
      <c r="L26" s="7">
        <f>832/24+1.5</f>
        <v>36.166666666666664</v>
      </c>
      <c r="O26" t="s">
        <v>52</v>
      </c>
      <c r="P26" s="4">
        <v>1447</v>
      </c>
      <c r="Q26" s="4">
        <v>120</v>
      </c>
      <c r="R26" s="5">
        <f t="shared" si="0"/>
        <v>1567</v>
      </c>
    </row>
    <row r="27" spans="1:18" ht="14.45" customHeight="1" x14ac:dyDescent="0.25">
      <c r="A27" s="128"/>
      <c r="B27" s="14"/>
      <c r="C27" s="10"/>
      <c r="D27" s="44">
        <f t="shared" si="1"/>
        <v>0</v>
      </c>
      <c r="F27" s="25"/>
      <c r="G27" s="80"/>
      <c r="H27" s="198"/>
      <c r="I27" s="199"/>
      <c r="J27" s="200"/>
      <c r="L27" s="7">
        <v>1582</v>
      </c>
      <c r="O27" t="s">
        <v>53</v>
      </c>
      <c r="P27" s="4">
        <v>1582</v>
      </c>
      <c r="Q27" s="4"/>
      <c r="R27" s="5">
        <f t="shared" si="0"/>
        <v>1582</v>
      </c>
    </row>
    <row r="28" spans="1:18" ht="15.75" x14ac:dyDescent="0.25">
      <c r="A28" s="129"/>
      <c r="B28" s="46"/>
      <c r="C28" s="10"/>
      <c r="D28" s="48">
        <f t="shared" si="1"/>
        <v>0</v>
      </c>
      <c r="F28" s="101"/>
      <c r="G28" s="61"/>
      <c r="H28" s="201"/>
      <c r="I28" s="202"/>
      <c r="J28" s="203"/>
      <c r="L28" s="7">
        <v>785</v>
      </c>
      <c r="O28" t="s">
        <v>54</v>
      </c>
      <c r="P28" s="4">
        <v>1447</v>
      </c>
      <c r="Q28" s="4">
        <v>120</v>
      </c>
      <c r="R28" s="5">
        <f t="shared" si="0"/>
        <v>1567</v>
      </c>
    </row>
    <row r="29" spans="1:18" x14ac:dyDescent="0.25">
      <c r="A29" s="167" t="s">
        <v>36</v>
      </c>
      <c r="B29" s="168"/>
      <c r="C29" s="169"/>
      <c r="D29" s="173">
        <f>SUM(D6:D28)</f>
        <v>0</v>
      </c>
      <c r="F29" s="175" t="s">
        <v>55</v>
      </c>
      <c r="G29" s="176"/>
      <c r="H29" s="179">
        <f>H15-H16-H17-H18-H19-H20-H22-H23-H24+H26+H27</f>
        <v>0</v>
      </c>
      <c r="I29" s="180"/>
      <c r="J29" s="181"/>
      <c r="O29" t="s">
        <v>56</v>
      </c>
      <c r="P29" s="4">
        <v>1582</v>
      </c>
      <c r="Q29" s="4"/>
      <c r="R29" s="5">
        <f t="shared" si="0"/>
        <v>1582</v>
      </c>
    </row>
    <row r="30" spans="1:18" x14ac:dyDescent="0.25">
      <c r="A30" s="170"/>
      <c r="B30" s="171"/>
      <c r="C30" s="172"/>
      <c r="D30" s="174"/>
      <c r="F30" s="177"/>
      <c r="G30" s="178"/>
      <c r="H30" s="182"/>
      <c r="I30" s="183"/>
      <c r="J30" s="184"/>
      <c r="N30" s="1"/>
      <c r="Q30" s="4"/>
      <c r="R30" s="5">
        <f t="shared" si="0"/>
        <v>0</v>
      </c>
    </row>
    <row r="31" spans="1:18" x14ac:dyDescent="0.25">
      <c r="A31" s="24"/>
      <c r="B31" s="24"/>
      <c r="C31" s="24"/>
      <c r="D31" s="24"/>
      <c r="F31" s="24"/>
      <c r="G31" s="24"/>
      <c r="O31" t="s">
        <v>57</v>
      </c>
      <c r="P31" s="4">
        <v>1052</v>
      </c>
      <c r="Q31" s="4">
        <v>120</v>
      </c>
      <c r="R31" s="5">
        <f t="shared" si="0"/>
        <v>1172</v>
      </c>
    </row>
    <row r="32" spans="1:18" x14ac:dyDescent="0.25">
      <c r="A32" s="114" t="s">
        <v>58</v>
      </c>
      <c r="B32" s="115"/>
      <c r="C32" s="115"/>
      <c r="D32" s="116"/>
      <c r="F32" s="204" t="s">
        <v>59</v>
      </c>
      <c r="G32" s="205"/>
      <c r="H32" s="205"/>
      <c r="I32" s="205"/>
      <c r="J32" s="206"/>
      <c r="O32" t="s">
        <v>60</v>
      </c>
      <c r="P32" s="4">
        <v>1005</v>
      </c>
      <c r="Q32" s="4">
        <v>120</v>
      </c>
      <c r="R32" s="5">
        <f t="shared" si="0"/>
        <v>1125</v>
      </c>
    </row>
    <row r="33" spans="1:18" x14ac:dyDescent="0.25">
      <c r="A33" s="25"/>
      <c r="B33" s="25" t="s">
        <v>11</v>
      </c>
      <c r="C33" s="25" t="s">
        <v>61</v>
      </c>
      <c r="D33" s="25" t="s">
        <v>13</v>
      </c>
      <c r="F33" s="25" t="s">
        <v>62</v>
      </c>
      <c r="G33" s="102" t="s">
        <v>63</v>
      </c>
      <c r="H33" s="204" t="s">
        <v>13</v>
      </c>
      <c r="I33" s="205"/>
      <c r="J33" s="206"/>
      <c r="O33" t="s">
        <v>64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27" t="s">
        <v>65</v>
      </c>
      <c r="B34" s="26" t="s">
        <v>66</v>
      </c>
      <c r="C34" s="51"/>
      <c r="D34" s="30">
        <f>C34*120</f>
        <v>0</v>
      </c>
      <c r="F34" s="12">
        <v>1000</v>
      </c>
      <c r="G34" s="74"/>
      <c r="H34" s="207"/>
      <c r="I34" s="208"/>
      <c r="J34" s="209"/>
      <c r="O34" t="s">
        <v>67</v>
      </c>
      <c r="P34" s="4">
        <v>832</v>
      </c>
      <c r="Q34" s="4">
        <v>120</v>
      </c>
      <c r="R34" s="5">
        <f t="shared" si="0"/>
        <v>952</v>
      </c>
    </row>
    <row r="35" spans="1:18" ht="15.75" x14ac:dyDescent="0.25">
      <c r="A35" s="128"/>
      <c r="B35" s="27" t="s">
        <v>68</v>
      </c>
      <c r="C35" s="52"/>
      <c r="D35" s="30">
        <f>C35*84</f>
        <v>0</v>
      </c>
      <c r="F35" s="58">
        <v>500</v>
      </c>
      <c r="G35" s="41"/>
      <c r="H35" s="207"/>
      <c r="I35" s="208"/>
      <c r="J35" s="209"/>
      <c r="O35" t="s">
        <v>69</v>
      </c>
      <c r="P35" s="4">
        <v>1102</v>
      </c>
      <c r="Q35" s="4"/>
      <c r="R35" s="5">
        <f t="shared" si="0"/>
        <v>1102</v>
      </c>
    </row>
    <row r="36" spans="1:18" ht="15.75" x14ac:dyDescent="0.25">
      <c r="A36" s="129"/>
      <c r="B36" s="26" t="s">
        <v>70</v>
      </c>
      <c r="C36" s="10"/>
      <c r="D36" s="12">
        <f>C36*1.5</f>
        <v>0</v>
      </c>
      <c r="F36" s="12">
        <v>200</v>
      </c>
      <c r="G36" s="37"/>
      <c r="H36" s="207"/>
      <c r="I36" s="208"/>
      <c r="J36" s="209"/>
      <c r="O36" t="s">
        <v>71</v>
      </c>
      <c r="P36" s="4">
        <v>852</v>
      </c>
      <c r="Q36" s="4">
        <v>120</v>
      </c>
      <c r="R36" s="5">
        <f t="shared" si="0"/>
        <v>972</v>
      </c>
    </row>
    <row r="37" spans="1:18" ht="15.75" x14ac:dyDescent="0.25">
      <c r="A37" s="127" t="s">
        <v>72</v>
      </c>
      <c r="B37" s="28" t="s">
        <v>66</v>
      </c>
      <c r="C37" s="53"/>
      <c r="D37" s="12">
        <f>C37*111</f>
        <v>0</v>
      </c>
      <c r="F37" s="12">
        <v>100</v>
      </c>
      <c r="G37" s="39"/>
      <c r="H37" s="207"/>
      <c r="I37" s="208"/>
      <c r="J37" s="209"/>
      <c r="O37" t="s">
        <v>73</v>
      </c>
      <c r="P37" s="4">
        <v>1020</v>
      </c>
      <c r="Q37" s="4">
        <v>120</v>
      </c>
      <c r="R37" s="5">
        <f t="shared" si="0"/>
        <v>1140</v>
      </c>
    </row>
    <row r="38" spans="1:18" ht="15.75" x14ac:dyDescent="0.25">
      <c r="A38" s="128"/>
      <c r="B38" s="29" t="s">
        <v>68</v>
      </c>
      <c r="C38" s="54"/>
      <c r="D38" s="12">
        <f>C38*84</f>
        <v>0</v>
      </c>
      <c r="F38" s="30">
        <v>50</v>
      </c>
      <c r="G38" s="39"/>
      <c r="H38" s="207"/>
      <c r="I38" s="208"/>
      <c r="J38" s="209"/>
      <c r="O38" t="s">
        <v>74</v>
      </c>
      <c r="P38" s="4">
        <v>596</v>
      </c>
      <c r="Q38" s="4">
        <v>111</v>
      </c>
      <c r="R38" s="5">
        <f t="shared" si="0"/>
        <v>707</v>
      </c>
    </row>
    <row r="39" spans="1:18" ht="15.75" x14ac:dyDescent="0.25">
      <c r="A39" s="129"/>
      <c r="B39" s="29" t="s">
        <v>70</v>
      </c>
      <c r="C39" s="52"/>
      <c r="D39" s="31">
        <f>C39*4.5</f>
        <v>0</v>
      </c>
      <c r="F39" s="12">
        <v>20</v>
      </c>
      <c r="G39" s="37"/>
      <c r="H39" s="207"/>
      <c r="I39" s="208"/>
      <c r="J39" s="209"/>
      <c r="O39" t="s">
        <v>75</v>
      </c>
      <c r="P39" s="4">
        <v>1175</v>
      </c>
      <c r="Q39" s="4"/>
      <c r="R39" s="5">
        <f t="shared" si="0"/>
        <v>1175</v>
      </c>
    </row>
    <row r="40" spans="1:18" ht="15.75" x14ac:dyDescent="0.25">
      <c r="A40" s="127" t="s">
        <v>76</v>
      </c>
      <c r="B40" s="27" t="s">
        <v>66</v>
      </c>
      <c r="C40" s="63"/>
      <c r="D40" s="12">
        <f>C40*111</f>
        <v>0</v>
      </c>
      <c r="F40" s="12">
        <v>10</v>
      </c>
      <c r="G40" s="42"/>
      <c r="H40" s="207"/>
      <c r="I40" s="208"/>
      <c r="J40" s="209"/>
      <c r="O40" t="s">
        <v>77</v>
      </c>
      <c r="P40" s="4">
        <v>913</v>
      </c>
      <c r="Q40" s="4">
        <v>120</v>
      </c>
      <c r="R40" s="5">
        <f t="shared" si="0"/>
        <v>1033</v>
      </c>
    </row>
    <row r="41" spans="1:18" ht="15.75" x14ac:dyDescent="0.25">
      <c r="A41" s="128"/>
      <c r="B41" s="27" t="s">
        <v>68</v>
      </c>
      <c r="C41" s="10"/>
      <c r="D41" s="12">
        <f>C41*84</f>
        <v>0</v>
      </c>
      <c r="F41" s="12">
        <v>5</v>
      </c>
      <c r="G41" s="42"/>
      <c r="H41" s="207"/>
      <c r="I41" s="208"/>
      <c r="J41" s="209"/>
      <c r="K41" s="21"/>
      <c r="O41" t="s">
        <v>78</v>
      </c>
      <c r="P41" s="4">
        <v>614</v>
      </c>
      <c r="Q41" s="4">
        <v>111</v>
      </c>
      <c r="R41" s="5">
        <f t="shared" si="0"/>
        <v>725</v>
      </c>
    </row>
    <row r="42" spans="1:18" ht="15.75" x14ac:dyDescent="0.25">
      <c r="A42" s="129"/>
      <c r="B42" s="27" t="s">
        <v>70</v>
      </c>
      <c r="C42" s="11"/>
      <c r="D42" s="12">
        <f>C42*2.25</f>
        <v>0</v>
      </c>
      <c r="F42" s="39" t="s">
        <v>79</v>
      </c>
      <c r="G42" s="207"/>
      <c r="H42" s="208"/>
      <c r="I42" s="208"/>
      <c r="J42" s="209"/>
      <c r="K42" s="36"/>
      <c r="O42" t="s">
        <v>80</v>
      </c>
      <c r="P42" s="4">
        <v>626</v>
      </c>
      <c r="Q42" s="4">
        <v>111</v>
      </c>
      <c r="R42" s="5">
        <f t="shared" si="0"/>
        <v>737</v>
      </c>
    </row>
    <row r="43" spans="1:18" ht="15.75" x14ac:dyDescent="0.25">
      <c r="A43" s="210" t="s">
        <v>81</v>
      </c>
      <c r="C43" s="11"/>
      <c r="D43" s="12"/>
      <c r="F43" s="59" t="s">
        <v>82</v>
      </c>
      <c r="G43" s="104" t="s">
        <v>83</v>
      </c>
      <c r="H43" s="213" t="s">
        <v>13</v>
      </c>
      <c r="I43" s="214"/>
      <c r="J43" s="215"/>
      <c r="K43" s="21"/>
      <c r="P43" s="4"/>
      <c r="Q43" s="4"/>
      <c r="R43" s="5"/>
    </row>
    <row r="44" spans="1:18" ht="15.75" x14ac:dyDescent="0.25">
      <c r="A44" s="211"/>
      <c r="B44" s="27" t="s">
        <v>66</v>
      </c>
      <c r="C44" s="10"/>
      <c r="D44" s="12">
        <f>C44*120</f>
        <v>0</v>
      </c>
      <c r="F44" s="37"/>
      <c r="G44" s="76"/>
      <c r="H44" s="191"/>
      <c r="I44" s="191"/>
      <c r="J44" s="191"/>
      <c r="K44" s="21"/>
      <c r="P44" s="4"/>
      <c r="Q44" s="4"/>
      <c r="R44" s="5"/>
    </row>
    <row r="45" spans="1:18" ht="15.75" x14ac:dyDescent="0.25">
      <c r="A45" s="211"/>
      <c r="B45" s="27" t="s">
        <v>68</v>
      </c>
      <c r="C45" s="33"/>
      <c r="D45" s="12">
        <f>C45*84</f>
        <v>0</v>
      </c>
      <c r="F45" s="37"/>
      <c r="G45" s="76"/>
      <c r="H45" s="191"/>
      <c r="I45" s="191"/>
      <c r="J45" s="191"/>
      <c r="K45" s="21"/>
      <c r="P45" s="4"/>
      <c r="Q45" s="4"/>
      <c r="R45" s="5"/>
    </row>
    <row r="46" spans="1:18" ht="15.75" x14ac:dyDescent="0.25">
      <c r="A46" s="211"/>
      <c r="B46" s="49" t="s">
        <v>70</v>
      </c>
      <c r="C46" s="81"/>
      <c r="D46" s="12">
        <f>C46*1.5</f>
        <v>0</v>
      </c>
      <c r="F46" s="37"/>
      <c r="G46" s="62"/>
      <c r="H46" s="216"/>
      <c r="I46" s="216"/>
      <c r="J46" s="216"/>
      <c r="K46" s="21"/>
      <c r="P46" s="4"/>
      <c r="Q46" s="4"/>
      <c r="R46" s="5"/>
    </row>
    <row r="47" spans="1:18" ht="15.75" x14ac:dyDescent="0.25">
      <c r="A47" s="212"/>
      <c r="B47" s="27"/>
      <c r="C47" s="11"/>
      <c r="D47" s="12"/>
      <c r="F47" s="59"/>
      <c r="G47" s="59"/>
      <c r="H47" s="217"/>
      <c r="I47" s="218"/>
      <c r="J47" s="219"/>
      <c r="K47" s="21"/>
      <c r="P47" s="4"/>
      <c r="Q47" s="4"/>
      <c r="R47" s="5"/>
    </row>
    <row r="48" spans="1:18" ht="15" customHeight="1" x14ac:dyDescent="0.25">
      <c r="A48" s="210" t="s">
        <v>32</v>
      </c>
      <c r="B48" s="27" t="s">
        <v>66</v>
      </c>
      <c r="C48" s="10"/>
      <c r="D48" s="12">
        <f>C48*78</f>
        <v>0</v>
      </c>
      <c r="F48" s="59"/>
      <c r="G48" s="59"/>
      <c r="H48" s="217"/>
      <c r="I48" s="218"/>
      <c r="J48" s="219"/>
      <c r="K48" s="35"/>
      <c r="O48" t="s">
        <v>84</v>
      </c>
      <c r="P48" s="4">
        <v>1175</v>
      </c>
      <c r="Q48" s="4"/>
      <c r="R48" s="5">
        <f t="shared" si="0"/>
        <v>1175</v>
      </c>
    </row>
    <row r="49" spans="1:18" ht="15.75" x14ac:dyDescent="0.25">
      <c r="A49" s="211"/>
      <c r="B49" s="29" t="s">
        <v>68</v>
      </c>
      <c r="C49" s="33"/>
      <c r="D49" s="12">
        <f>C49*42</f>
        <v>0</v>
      </c>
      <c r="F49" s="232" t="s">
        <v>86</v>
      </c>
      <c r="G49" s="179">
        <f>H34+H35+H36+H37+H38+H39+H40+H41+G42+H44+H45+H46</f>
        <v>0</v>
      </c>
      <c r="H49" s="180"/>
      <c r="I49" s="180"/>
      <c r="J49" s="181"/>
      <c r="O49" t="s">
        <v>85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211"/>
      <c r="B50" s="32" t="s">
        <v>70</v>
      </c>
      <c r="C50" s="11"/>
      <c r="D50" s="12">
        <f>C50*1.5</f>
        <v>0</v>
      </c>
      <c r="F50" s="233"/>
      <c r="G50" s="182"/>
      <c r="H50" s="183"/>
      <c r="I50" s="183"/>
      <c r="J50" s="184"/>
      <c r="P50" s="4"/>
      <c r="Q50" s="4"/>
      <c r="R50" s="5"/>
    </row>
    <row r="51" spans="1:18" ht="15" customHeight="1" x14ac:dyDescent="0.25">
      <c r="A51" s="211"/>
      <c r="B51" s="27"/>
      <c r="C51" s="10"/>
      <c r="D51" s="31"/>
      <c r="F51" s="234" t="s">
        <v>128</v>
      </c>
      <c r="G51" s="236">
        <f>G49-H29</f>
        <v>0</v>
      </c>
      <c r="H51" s="237"/>
      <c r="I51" s="237"/>
      <c r="J51" s="238"/>
      <c r="K51" s="21"/>
      <c r="O51" t="s">
        <v>87</v>
      </c>
      <c r="P51" s="4">
        <v>703</v>
      </c>
      <c r="Q51" s="4">
        <v>120</v>
      </c>
      <c r="R51" s="5">
        <f t="shared" si="0"/>
        <v>823</v>
      </c>
    </row>
    <row r="52" spans="1:18" ht="15.75" x14ac:dyDescent="0.25">
      <c r="A52" s="211"/>
      <c r="B52" s="29"/>
      <c r="C52" s="33"/>
      <c r="D52" s="45"/>
      <c r="F52" s="235"/>
      <c r="G52" s="239"/>
      <c r="H52" s="240"/>
      <c r="I52" s="240"/>
      <c r="J52" s="241"/>
      <c r="K52" s="21"/>
      <c r="O52" t="s">
        <v>88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212"/>
      <c r="B53" s="32"/>
      <c r="C53" s="11"/>
      <c r="D53" s="12"/>
      <c r="F53" s="35"/>
      <c r="G53" s="24"/>
      <c r="H53" s="24"/>
      <c r="I53" s="24"/>
      <c r="J53" s="17"/>
      <c r="N53" s="1"/>
      <c r="O53" t="s">
        <v>89</v>
      </c>
      <c r="P53" s="4">
        <v>1142</v>
      </c>
    </row>
    <row r="54" spans="1:18" x14ac:dyDescent="0.25">
      <c r="A54" s="175" t="s">
        <v>90</v>
      </c>
      <c r="B54" s="220"/>
      <c r="C54" s="221"/>
      <c r="D54" s="224">
        <f>SUM(D34:D53)</f>
        <v>0</v>
      </c>
      <c r="F54" s="21"/>
      <c r="J54" s="34"/>
    </row>
    <row r="55" spans="1:18" x14ac:dyDescent="0.25">
      <c r="A55" s="177"/>
      <c r="B55" s="222"/>
      <c r="C55" s="223"/>
      <c r="D55" s="225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D57" s="34"/>
      <c r="F57" s="36"/>
      <c r="G57" s="50"/>
      <c r="H57" s="50"/>
      <c r="I57" s="50"/>
      <c r="J57" s="43"/>
    </row>
    <row r="58" spans="1:18" x14ac:dyDescent="0.25">
      <c r="A58" s="226" t="s">
        <v>91</v>
      </c>
      <c r="B58" s="227"/>
      <c r="C58" s="227"/>
      <c r="D58" s="228"/>
      <c r="F58" s="226" t="s">
        <v>92</v>
      </c>
      <c r="G58" s="227"/>
      <c r="H58" s="227"/>
      <c r="I58" s="227"/>
      <c r="J58" s="228"/>
    </row>
    <row r="59" spans="1:18" x14ac:dyDescent="0.25">
      <c r="A59" s="229"/>
      <c r="B59" s="230"/>
      <c r="C59" s="230"/>
      <c r="D59" s="231"/>
      <c r="F59" s="229"/>
      <c r="G59" s="230"/>
      <c r="H59" s="230"/>
      <c r="I59" s="230"/>
      <c r="J59" s="231"/>
    </row>
  </sheetData>
  <mergeCells count="68"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  <mergeCell ref="H13:J13"/>
    <mergeCell ref="F14:G14"/>
    <mergeCell ref="H14:J14"/>
    <mergeCell ref="F15:G15"/>
    <mergeCell ref="H15:J15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A32:D32"/>
    <mergeCell ref="F32:J32"/>
    <mergeCell ref="H33:J33"/>
    <mergeCell ref="A34:A36"/>
    <mergeCell ref="H34:J34"/>
    <mergeCell ref="H35:J35"/>
    <mergeCell ref="H36:J36"/>
    <mergeCell ref="A37:A39"/>
    <mergeCell ref="H37:J37"/>
    <mergeCell ref="H38:J38"/>
    <mergeCell ref="H39:J39"/>
    <mergeCell ref="A40:A42"/>
    <mergeCell ref="H40:J40"/>
    <mergeCell ref="H41:J41"/>
    <mergeCell ref="G42:J42"/>
    <mergeCell ref="A43:A47"/>
    <mergeCell ref="H43:J43"/>
    <mergeCell ref="H44:J44"/>
    <mergeCell ref="H45:J45"/>
    <mergeCell ref="H46:J46"/>
    <mergeCell ref="H47:J47"/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5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06E6ABA-654F-4FB2-BAF9-0C2134F7E02E}">
  <dimension ref="A1:R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bestFit="1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113" t="s">
        <v>1</v>
      </c>
      <c r="O1" s="113"/>
      <c r="P1" s="105" t="s">
        <v>2</v>
      </c>
      <c r="Q1" s="105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14" t="s">
        <v>7</v>
      </c>
      <c r="B4" s="115"/>
      <c r="C4" s="115"/>
      <c r="D4" s="116"/>
      <c r="F4" s="117" t="s">
        <v>8</v>
      </c>
      <c r="G4" s="119">
        <v>1</v>
      </c>
      <c r="H4" s="121" t="s">
        <v>9</v>
      </c>
      <c r="I4" s="123">
        <v>45979</v>
      </c>
      <c r="J4" s="124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27" t="s">
        <v>7</v>
      </c>
      <c r="B5" s="15" t="s">
        <v>11</v>
      </c>
      <c r="C5" s="9" t="s">
        <v>12</v>
      </c>
      <c r="D5" s="25" t="s">
        <v>13</v>
      </c>
      <c r="F5" s="118"/>
      <c r="G5" s="120"/>
      <c r="H5" s="122"/>
      <c r="I5" s="125"/>
      <c r="J5" s="126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28"/>
      <c r="B6" s="16" t="s">
        <v>15</v>
      </c>
      <c r="C6" s="89"/>
      <c r="D6" s="13">
        <f t="shared" ref="D6:D28" si="1">C6*L6</f>
        <v>0</v>
      </c>
      <c r="F6" s="130" t="s">
        <v>16</v>
      </c>
      <c r="G6" s="132" t="s">
        <v>129</v>
      </c>
      <c r="H6" s="133"/>
      <c r="I6" s="133"/>
      <c r="J6" s="134"/>
      <c r="K6" s="8"/>
      <c r="L6" s="6">
        <f>R42</f>
        <v>737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28"/>
      <c r="B7" s="16" t="s">
        <v>18</v>
      </c>
      <c r="C7" s="89"/>
      <c r="D7" s="13">
        <f t="shared" si="1"/>
        <v>0</v>
      </c>
      <c r="F7" s="131"/>
      <c r="G7" s="135"/>
      <c r="H7" s="136"/>
      <c r="I7" s="136"/>
      <c r="J7" s="137"/>
      <c r="K7" s="8"/>
      <c r="L7" s="6">
        <f>R41</f>
        <v>725</v>
      </c>
      <c r="P7" s="4"/>
      <c r="Q7" s="4"/>
      <c r="R7" s="5"/>
    </row>
    <row r="8" spans="1:18" ht="14.45" customHeight="1" x14ac:dyDescent="0.25">
      <c r="A8" s="128"/>
      <c r="B8" s="16" t="s">
        <v>20</v>
      </c>
      <c r="C8" s="89"/>
      <c r="D8" s="13">
        <f t="shared" si="1"/>
        <v>0</v>
      </c>
      <c r="F8" s="138" t="s">
        <v>21</v>
      </c>
      <c r="G8" s="140" t="s">
        <v>112</v>
      </c>
      <c r="H8" s="141"/>
      <c r="I8" s="141"/>
      <c r="J8" s="142"/>
      <c r="K8" s="8"/>
      <c r="L8" s="6">
        <f>R40</f>
        <v>1033</v>
      </c>
      <c r="P8" s="4"/>
      <c r="Q8" s="4"/>
      <c r="R8" s="5"/>
    </row>
    <row r="9" spans="1:18" ht="14.45" customHeight="1" x14ac:dyDescent="0.25">
      <c r="A9" s="128"/>
      <c r="B9" s="16" t="s">
        <v>23</v>
      </c>
      <c r="C9" s="89"/>
      <c r="D9" s="13">
        <f t="shared" si="1"/>
        <v>0</v>
      </c>
      <c r="F9" s="131"/>
      <c r="G9" s="143"/>
      <c r="H9" s="144"/>
      <c r="I9" s="144"/>
      <c r="J9" s="145"/>
      <c r="K9" s="8"/>
      <c r="L9" s="6">
        <f>R38</f>
        <v>707</v>
      </c>
      <c r="P9" s="4"/>
      <c r="Q9" s="4"/>
      <c r="R9" s="5"/>
    </row>
    <row r="10" spans="1:18" ht="14.45" customHeight="1" x14ac:dyDescent="0.25">
      <c r="A10" s="128"/>
      <c r="B10" t="s">
        <v>25</v>
      </c>
      <c r="C10" s="89"/>
      <c r="D10" s="13">
        <f t="shared" si="1"/>
        <v>0</v>
      </c>
      <c r="F10" s="130" t="s">
        <v>26</v>
      </c>
      <c r="G10" s="146" t="s">
        <v>130</v>
      </c>
      <c r="H10" s="147"/>
      <c r="I10" s="147"/>
      <c r="J10" s="148"/>
      <c r="K10" s="8"/>
      <c r="L10" s="6">
        <f>R36</f>
        <v>972</v>
      </c>
      <c r="P10" s="4"/>
      <c r="Q10" s="4"/>
      <c r="R10" s="5"/>
    </row>
    <row r="11" spans="1:18" ht="15.75" x14ac:dyDescent="0.25">
      <c r="A11" s="128"/>
      <c r="B11" s="17" t="s">
        <v>28</v>
      </c>
      <c r="C11" s="89"/>
      <c r="D11" s="13">
        <f t="shared" si="1"/>
        <v>0</v>
      </c>
      <c r="F11" s="131"/>
      <c r="G11" s="143"/>
      <c r="H11" s="144"/>
      <c r="I11" s="144"/>
      <c r="J11" s="145"/>
      <c r="K11" s="22"/>
      <c r="L11" s="6">
        <f>R32</f>
        <v>1125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28"/>
      <c r="B12" s="17" t="s">
        <v>30</v>
      </c>
      <c r="C12" s="89"/>
      <c r="D12" s="48">
        <f t="shared" si="1"/>
        <v>0</v>
      </c>
      <c r="F12" s="149" t="s">
        <v>33</v>
      </c>
      <c r="G12" s="150"/>
      <c r="H12" s="150"/>
      <c r="I12" s="150"/>
      <c r="J12" s="151"/>
      <c r="K12" s="23"/>
      <c r="L12" s="6">
        <f>R34</f>
        <v>952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28"/>
      <c r="B13" s="17" t="s">
        <v>32</v>
      </c>
      <c r="C13" s="89"/>
      <c r="D13" s="48">
        <f t="shared" si="1"/>
        <v>0</v>
      </c>
      <c r="F13" s="152" t="s">
        <v>36</v>
      </c>
      <c r="G13" s="153"/>
      <c r="H13" s="154">
        <f>D29</f>
        <v>0</v>
      </c>
      <c r="I13" s="155"/>
      <c r="J13" s="156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28"/>
      <c r="B14" s="14" t="s">
        <v>35</v>
      </c>
      <c r="C14" s="89"/>
      <c r="D14" s="31">
        <f t="shared" si="1"/>
        <v>0</v>
      </c>
      <c r="F14" s="157" t="s">
        <v>39</v>
      </c>
      <c r="G14" s="158"/>
      <c r="H14" s="159">
        <f>D54</f>
        <v>0</v>
      </c>
      <c r="I14" s="160"/>
      <c r="J14" s="161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28"/>
      <c r="B15" s="14" t="s">
        <v>38</v>
      </c>
      <c r="C15" s="89"/>
      <c r="D15" s="31">
        <f t="shared" si="1"/>
        <v>0</v>
      </c>
      <c r="F15" s="162" t="s">
        <v>40</v>
      </c>
      <c r="G15" s="153"/>
      <c r="H15" s="163">
        <f>H13-H14</f>
        <v>0</v>
      </c>
      <c r="I15" s="164"/>
      <c r="J15" s="165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28"/>
      <c r="B16" s="18" t="s">
        <v>94</v>
      </c>
      <c r="C16" s="89"/>
      <c r="D16" s="48">
        <f t="shared" si="1"/>
        <v>0</v>
      </c>
      <c r="F16" s="67" t="s">
        <v>42</v>
      </c>
      <c r="G16" s="66" t="s">
        <v>43</v>
      </c>
      <c r="H16" s="166"/>
      <c r="I16" s="166"/>
      <c r="J16" s="166"/>
      <c r="L16" s="6">
        <f>R28</f>
        <v>1567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28"/>
      <c r="B17" t="s">
        <v>140</v>
      </c>
      <c r="C17" s="89"/>
      <c r="D17" s="48">
        <f t="shared" si="1"/>
        <v>0</v>
      </c>
      <c r="F17" s="56"/>
      <c r="G17" s="66" t="s">
        <v>45</v>
      </c>
      <c r="H17" s="139"/>
      <c r="I17" s="139"/>
      <c r="J17" s="139"/>
      <c r="L17" s="6">
        <f>1582</f>
        <v>1582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28"/>
      <c r="B18" s="19" t="s">
        <v>95</v>
      </c>
      <c r="C18" s="89"/>
      <c r="D18" s="48">
        <f t="shared" si="1"/>
        <v>0</v>
      </c>
      <c r="F18" s="56"/>
      <c r="G18" s="66" t="s">
        <v>47</v>
      </c>
      <c r="H18" s="139"/>
      <c r="I18" s="139"/>
      <c r="J18" s="139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28"/>
      <c r="B19" s="14" t="s">
        <v>136</v>
      </c>
      <c r="C19" s="89"/>
      <c r="D19" s="48">
        <f t="shared" si="1"/>
        <v>0</v>
      </c>
      <c r="F19" s="56"/>
      <c r="G19" s="68" t="s">
        <v>50</v>
      </c>
      <c r="H19" s="139"/>
      <c r="I19" s="139"/>
      <c r="J19" s="139"/>
      <c r="L19" s="6">
        <v>1102</v>
      </c>
      <c r="Q19" s="4"/>
      <c r="R19" s="5">
        <f t="shared" si="0"/>
        <v>0</v>
      </c>
    </row>
    <row r="20" spans="1:18" ht="15.75" x14ac:dyDescent="0.25">
      <c r="A20" s="128"/>
      <c r="B20" s="83" t="s">
        <v>125</v>
      </c>
      <c r="C20" s="89"/>
      <c r="D20" s="13">
        <f t="shared" si="1"/>
        <v>0</v>
      </c>
      <c r="F20" s="57"/>
      <c r="G20" s="70" t="s">
        <v>120</v>
      </c>
      <c r="H20" s="166"/>
      <c r="I20" s="166"/>
      <c r="J20" s="166"/>
      <c r="L20" s="6">
        <f>R39</f>
        <v>1175</v>
      </c>
      <c r="N20" s="1" t="s">
        <v>41</v>
      </c>
      <c r="Q20" s="4"/>
      <c r="R20" s="5">
        <f t="shared" si="0"/>
        <v>0</v>
      </c>
    </row>
    <row r="21" spans="1:18" ht="15.75" x14ac:dyDescent="0.25">
      <c r="A21" s="128"/>
      <c r="B21" s="14" t="s">
        <v>138</v>
      </c>
      <c r="C21" s="89"/>
      <c r="D21" s="48">
        <f t="shared" si="1"/>
        <v>0</v>
      </c>
      <c r="F21" s="69" t="s">
        <v>99</v>
      </c>
      <c r="G21" s="82" t="s">
        <v>98</v>
      </c>
      <c r="H21" s="186" t="s">
        <v>13</v>
      </c>
      <c r="I21" s="187"/>
      <c r="J21" s="188"/>
      <c r="L21" s="7">
        <v>650</v>
      </c>
      <c r="O21" t="s">
        <v>44</v>
      </c>
      <c r="P21" s="4">
        <v>1447</v>
      </c>
      <c r="Q21" s="4">
        <v>120</v>
      </c>
      <c r="R21" s="5">
        <f t="shared" si="0"/>
        <v>1567</v>
      </c>
    </row>
    <row r="22" spans="1:18" ht="15.75" x14ac:dyDescent="0.25">
      <c r="A22" s="128"/>
      <c r="B22" s="46" t="s">
        <v>127</v>
      </c>
      <c r="C22" s="89"/>
      <c r="D22" s="48">
        <f t="shared" si="1"/>
        <v>0</v>
      </c>
      <c r="F22" s="77"/>
      <c r="G22" s="73"/>
      <c r="H22" s="189"/>
      <c r="I22" s="189"/>
      <c r="J22" s="189"/>
      <c r="L22" s="7">
        <v>1582</v>
      </c>
      <c r="O22" t="s">
        <v>46</v>
      </c>
      <c r="P22" s="4">
        <v>1582</v>
      </c>
      <c r="Q22" s="4"/>
      <c r="R22" s="5">
        <f t="shared" si="0"/>
        <v>1582</v>
      </c>
    </row>
    <row r="23" spans="1:18" ht="15.75" x14ac:dyDescent="0.25">
      <c r="A23" s="128"/>
      <c r="B23" s="14" t="s">
        <v>101</v>
      </c>
      <c r="C23" s="89"/>
      <c r="D23" s="48">
        <f t="shared" si="1"/>
        <v>0</v>
      </c>
      <c r="F23" s="77"/>
      <c r="G23" s="79"/>
      <c r="H23" s="242"/>
      <c r="I23" s="243"/>
      <c r="J23" s="243"/>
      <c r="L23" s="47">
        <v>1667</v>
      </c>
      <c r="N23" s="1"/>
      <c r="O23" t="s">
        <v>48</v>
      </c>
      <c r="P23" s="4">
        <v>1728</v>
      </c>
      <c r="Q23" s="4"/>
      <c r="R23" s="5">
        <f t="shared" si="0"/>
        <v>1728</v>
      </c>
    </row>
    <row r="24" spans="1:18" ht="15.75" x14ac:dyDescent="0.25">
      <c r="A24" s="128"/>
      <c r="B24" s="14" t="s">
        <v>121</v>
      </c>
      <c r="C24" s="89"/>
      <c r="D24" s="48">
        <f t="shared" si="1"/>
        <v>0</v>
      </c>
      <c r="F24" s="77"/>
      <c r="G24" s="79"/>
      <c r="H24" s="242"/>
      <c r="I24" s="243"/>
      <c r="J24" s="243"/>
      <c r="L24" s="47">
        <f>913/24+1.5</f>
        <v>39.541666666666664</v>
      </c>
      <c r="N24" s="1"/>
      <c r="O24" t="s">
        <v>49</v>
      </c>
      <c r="P24" s="4">
        <v>1728</v>
      </c>
      <c r="Q24" s="4"/>
      <c r="R24" s="5">
        <f t="shared" si="0"/>
        <v>1728</v>
      </c>
    </row>
    <row r="25" spans="1:18" ht="15.75" x14ac:dyDescent="0.25">
      <c r="A25" s="128"/>
      <c r="B25" s="14" t="s">
        <v>141</v>
      </c>
      <c r="C25" s="89"/>
      <c r="D25" s="48">
        <f t="shared" si="1"/>
        <v>0</v>
      </c>
      <c r="F25" s="60" t="s">
        <v>100</v>
      </c>
      <c r="G25" s="55" t="s">
        <v>98</v>
      </c>
      <c r="H25" s="192" t="s">
        <v>13</v>
      </c>
      <c r="I25" s="193"/>
      <c r="J25" s="194"/>
      <c r="L25" s="47">
        <f>1052+120</f>
        <v>1172</v>
      </c>
      <c r="O25" t="s">
        <v>51</v>
      </c>
      <c r="P25" s="4">
        <v>1582</v>
      </c>
      <c r="Q25" s="4"/>
      <c r="R25" s="5">
        <f t="shared" si="0"/>
        <v>1582</v>
      </c>
    </row>
    <row r="26" spans="1:18" ht="15.75" x14ac:dyDescent="0.25">
      <c r="A26" s="128"/>
      <c r="B26" s="14" t="s">
        <v>139</v>
      </c>
      <c r="C26" s="89"/>
      <c r="D26" s="48">
        <f t="shared" si="1"/>
        <v>0</v>
      </c>
      <c r="F26" s="75"/>
      <c r="G26" s="65"/>
      <c r="H26" s="191"/>
      <c r="I26" s="191"/>
      <c r="J26" s="191"/>
      <c r="L26" s="7">
        <f>1447+120</f>
        <v>1567</v>
      </c>
      <c r="O26" t="s">
        <v>52</v>
      </c>
      <c r="P26" s="4">
        <v>1447</v>
      </c>
      <c r="Q26" s="4">
        <v>120</v>
      </c>
      <c r="R26" s="5">
        <f t="shared" si="0"/>
        <v>1567</v>
      </c>
    </row>
    <row r="27" spans="1:18" ht="14.45" customHeight="1" x14ac:dyDescent="0.25">
      <c r="A27" s="128"/>
      <c r="B27" s="14" t="s">
        <v>110</v>
      </c>
      <c r="C27" s="89"/>
      <c r="D27" s="44">
        <f t="shared" si="1"/>
        <v>0</v>
      </c>
      <c r="F27" s="71"/>
      <c r="G27" s="109"/>
      <c r="H27" s="244"/>
      <c r="I27" s="245"/>
      <c r="J27" s="245"/>
      <c r="L27" s="7">
        <v>1142</v>
      </c>
      <c r="O27" t="s">
        <v>53</v>
      </c>
      <c r="P27" s="4">
        <v>1582</v>
      </c>
      <c r="Q27" s="4"/>
      <c r="R27" s="5">
        <f t="shared" si="0"/>
        <v>1582</v>
      </c>
    </row>
    <row r="28" spans="1:18" ht="15.75" x14ac:dyDescent="0.25">
      <c r="A28" s="129"/>
      <c r="B28" s="46" t="s">
        <v>97</v>
      </c>
      <c r="C28" s="89"/>
      <c r="D28" s="48">
        <f t="shared" si="1"/>
        <v>0</v>
      </c>
      <c r="F28" s="106"/>
      <c r="G28" s="61"/>
      <c r="H28" s="201"/>
      <c r="I28" s="202"/>
      <c r="J28" s="203"/>
      <c r="L28" s="7">
        <v>785</v>
      </c>
      <c r="O28" t="s">
        <v>54</v>
      </c>
      <c r="P28" s="4">
        <v>1447</v>
      </c>
      <c r="Q28" s="4">
        <v>120</v>
      </c>
      <c r="R28" s="5">
        <f t="shared" si="0"/>
        <v>1567</v>
      </c>
    </row>
    <row r="29" spans="1:18" x14ac:dyDescent="0.25">
      <c r="A29" s="167" t="s">
        <v>36</v>
      </c>
      <c r="B29" s="168"/>
      <c r="C29" s="169"/>
      <c r="D29" s="173">
        <f>SUM(D6:D28)</f>
        <v>0</v>
      </c>
      <c r="F29" s="175" t="s">
        <v>55</v>
      </c>
      <c r="G29" s="176"/>
      <c r="H29" s="179">
        <f>H15-H16-H17-H18-H19-H20-H22-H23-H24+H26+H27+H28</f>
        <v>0</v>
      </c>
      <c r="I29" s="180"/>
      <c r="J29" s="181"/>
      <c r="O29" t="s">
        <v>56</v>
      </c>
      <c r="P29" s="4">
        <v>1582</v>
      </c>
      <c r="Q29" s="4"/>
      <c r="R29" s="5">
        <f t="shared" si="0"/>
        <v>1582</v>
      </c>
    </row>
    <row r="30" spans="1:18" x14ac:dyDescent="0.25">
      <c r="A30" s="170"/>
      <c r="B30" s="171"/>
      <c r="C30" s="172"/>
      <c r="D30" s="174"/>
      <c r="F30" s="177"/>
      <c r="G30" s="178"/>
      <c r="H30" s="182"/>
      <c r="I30" s="183"/>
      <c r="J30" s="184"/>
      <c r="N30" s="1"/>
      <c r="Q30" s="4"/>
      <c r="R30" s="5">
        <f t="shared" si="0"/>
        <v>0</v>
      </c>
    </row>
    <row r="31" spans="1:18" x14ac:dyDescent="0.25">
      <c r="A31" s="24"/>
      <c r="B31" s="24"/>
      <c r="C31" s="24"/>
      <c r="D31" s="24"/>
      <c r="F31" s="24"/>
      <c r="G31" s="24"/>
      <c r="O31" t="s">
        <v>57</v>
      </c>
      <c r="P31" s="4">
        <v>1052</v>
      </c>
      <c r="Q31" s="4">
        <v>120</v>
      </c>
      <c r="R31" s="5">
        <f t="shared" si="0"/>
        <v>1172</v>
      </c>
    </row>
    <row r="32" spans="1:18" x14ac:dyDescent="0.25">
      <c r="A32" s="114" t="s">
        <v>58</v>
      </c>
      <c r="B32" s="115"/>
      <c r="C32" s="115"/>
      <c r="D32" s="116"/>
      <c r="F32" s="204" t="s">
        <v>59</v>
      </c>
      <c r="G32" s="205"/>
      <c r="H32" s="205"/>
      <c r="I32" s="205"/>
      <c r="J32" s="206"/>
      <c r="O32" t="s">
        <v>60</v>
      </c>
      <c r="P32" s="4">
        <v>1005</v>
      </c>
      <c r="Q32" s="4">
        <v>120</v>
      </c>
      <c r="R32" s="5">
        <f t="shared" si="0"/>
        <v>1125</v>
      </c>
    </row>
    <row r="33" spans="1:18" x14ac:dyDescent="0.25">
      <c r="A33" s="25"/>
      <c r="B33" s="25" t="s">
        <v>11</v>
      </c>
      <c r="C33" s="25" t="s">
        <v>61</v>
      </c>
      <c r="D33" s="25" t="s">
        <v>13</v>
      </c>
      <c r="F33" s="25" t="s">
        <v>62</v>
      </c>
      <c r="G33" s="107" t="s">
        <v>63</v>
      </c>
      <c r="H33" s="204" t="s">
        <v>13</v>
      </c>
      <c r="I33" s="205"/>
      <c r="J33" s="206"/>
      <c r="O33" t="s">
        <v>64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27" t="s">
        <v>65</v>
      </c>
      <c r="B34" s="26" t="s">
        <v>66</v>
      </c>
      <c r="C34" s="51"/>
      <c r="D34" s="30">
        <f>C34*120</f>
        <v>0</v>
      </c>
      <c r="F34" s="12">
        <v>1000</v>
      </c>
      <c r="G34" s="40"/>
      <c r="H34" s="207">
        <f t="shared" ref="H34:H39" si="2">F34*G34</f>
        <v>0</v>
      </c>
      <c r="I34" s="208"/>
      <c r="J34" s="209"/>
      <c r="O34" t="s">
        <v>67</v>
      </c>
      <c r="P34" s="4">
        <v>832</v>
      </c>
      <c r="Q34" s="4">
        <v>120</v>
      </c>
      <c r="R34" s="5">
        <f t="shared" si="0"/>
        <v>952</v>
      </c>
    </row>
    <row r="35" spans="1:18" ht="15.75" x14ac:dyDescent="0.25">
      <c r="A35" s="128"/>
      <c r="B35" s="27" t="s">
        <v>68</v>
      </c>
      <c r="C35" s="52"/>
      <c r="D35" s="30">
        <f>C35*84</f>
        <v>0</v>
      </c>
      <c r="F35" s="58">
        <v>500</v>
      </c>
      <c r="G35" s="41"/>
      <c r="H35" s="207">
        <f t="shared" si="2"/>
        <v>0</v>
      </c>
      <c r="I35" s="208"/>
      <c r="J35" s="209"/>
      <c r="O35" t="s">
        <v>69</v>
      </c>
      <c r="P35" s="4">
        <v>1102</v>
      </c>
      <c r="Q35" s="4"/>
      <c r="R35" s="5">
        <f t="shared" si="0"/>
        <v>1102</v>
      </c>
    </row>
    <row r="36" spans="1:18" ht="15.75" x14ac:dyDescent="0.25">
      <c r="A36" s="129"/>
      <c r="B36" s="26" t="s">
        <v>70</v>
      </c>
      <c r="C36" s="10"/>
      <c r="D36" s="12">
        <f>C36*1.5</f>
        <v>0</v>
      </c>
      <c r="F36" s="12">
        <v>200</v>
      </c>
      <c r="G36" s="37"/>
      <c r="H36" s="207">
        <f t="shared" si="2"/>
        <v>0</v>
      </c>
      <c r="I36" s="208"/>
      <c r="J36" s="209"/>
      <c r="O36" t="s">
        <v>71</v>
      </c>
      <c r="P36" s="4">
        <v>852</v>
      </c>
      <c r="Q36" s="4">
        <v>120</v>
      </c>
      <c r="R36" s="5">
        <f t="shared" si="0"/>
        <v>972</v>
      </c>
    </row>
    <row r="37" spans="1:18" ht="15.75" x14ac:dyDescent="0.25">
      <c r="A37" s="127" t="s">
        <v>72</v>
      </c>
      <c r="B37" s="28" t="s">
        <v>66</v>
      </c>
      <c r="C37" s="53"/>
      <c r="D37" s="12">
        <f>C37*111</f>
        <v>0</v>
      </c>
      <c r="F37" s="12">
        <v>100</v>
      </c>
      <c r="G37" s="39"/>
      <c r="H37" s="207">
        <f t="shared" si="2"/>
        <v>0</v>
      </c>
      <c r="I37" s="208"/>
      <c r="J37" s="209"/>
      <c r="O37" t="s">
        <v>73</v>
      </c>
      <c r="P37" s="4">
        <v>1020</v>
      </c>
      <c r="Q37" s="4">
        <v>120</v>
      </c>
      <c r="R37" s="5">
        <f t="shared" si="0"/>
        <v>1140</v>
      </c>
    </row>
    <row r="38" spans="1:18" ht="15.75" x14ac:dyDescent="0.25">
      <c r="A38" s="128"/>
      <c r="B38" s="29" t="s">
        <v>68</v>
      </c>
      <c r="C38" s="54"/>
      <c r="D38" s="12">
        <f>C38*84</f>
        <v>0</v>
      </c>
      <c r="F38" s="30">
        <v>50</v>
      </c>
      <c r="G38" s="39"/>
      <c r="H38" s="207">
        <f t="shared" si="2"/>
        <v>0</v>
      </c>
      <c r="I38" s="208"/>
      <c r="J38" s="209"/>
      <c r="O38" t="s">
        <v>74</v>
      </c>
      <c r="P38" s="4">
        <v>596</v>
      </c>
      <c r="Q38" s="4">
        <v>111</v>
      </c>
      <c r="R38" s="5">
        <f t="shared" si="0"/>
        <v>707</v>
      </c>
    </row>
    <row r="39" spans="1:18" ht="15.75" x14ac:dyDescent="0.25">
      <c r="A39" s="129"/>
      <c r="B39" s="29" t="s">
        <v>70</v>
      </c>
      <c r="C39" s="52"/>
      <c r="D39" s="31">
        <f>C39*4.5</f>
        <v>0</v>
      </c>
      <c r="F39" s="12">
        <v>20</v>
      </c>
      <c r="G39" s="37"/>
      <c r="H39" s="207">
        <f t="shared" si="2"/>
        <v>0</v>
      </c>
      <c r="I39" s="208"/>
      <c r="J39" s="209"/>
      <c r="O39" t="s">
        <v>75</v>
      </c>
      <c r="P39" s="4">
        <v>1175</v>
      </c>
      <c r="Q39" s="4"/>
      <c r="R39" s="5">
        <f t="shared" si="0"/>
        <v>1175</v>
      </c>
    </row>
    <row r="40" spans="1:18" ht="15.75" x14ac:dyDescent="0.25">
      <c r="A40" s="127" t="s">
        <v>76</v>
      </c>
      <c r="B40" s="27" t="s">
        <v>66</v>
      </c>
      <c r="C40" s="63"/>
      <c r="D40" s="12">
        <f>C40*111</f>
        <v>0</v>
      </c>
      <c r="F40" s="12">
        <v>10</v>
      </c>
      <c r="G40" s="42"/>
      <c r="H40" s="207"/>
      <c r="I40" s="208"/>
      <c r="J40" s="209"/>
      <c r="O40" t="s">
        <v>77</v>
      </c>
      <c r="P40" s="4">
        <v>913</v>
      </c>
      <c r="Q40" s="4">
        <v>120</v>
      </c>
      <c r="R40" s="5">
        <f t="shared" si="0"/>
        <v>1033</v>
      </c>
    </row>
    <row r="41" spans="1:18" ht="15.75" x14ac:dyDescent="0.25">
      <c r="A41" s="128"/>
      <c r="B41" s="27" t="s">
        <v>68</v>
      </c>
      <c r="C41" s="10"/>
      <c r="D41" s="12">
        <f>C41*84</f>
        <v>0</v>
      </c>
      <c r="F41" s="12">
        <v>5</v>
      </c>
      <c r="G41" s="42"/>
      <c r="H41" s="207"/>
      <c r="I41" s="208"/>
      <c r="J41" s="209"/>
      <c r="K41" s="21"/>
      <c r="O41" t="s">
        <v>78</v>
      </c>
      <c r="P41" s="4">
        <v>614</v>
      </c>
      <c r="Q41" s="4">
        <v>111</v>
      </c>
      <c r="R41" s="5">
        <f t="shared" si="0"/>
        <v>725</v>
      </c>
    </row>
    <row r="42" spans="1:18" ht="15.75" x14ac:dyDescent="0.25">
      <c r="A42" s="129"/>
      <c r="B42" s="27" t="s">
        <v>70</v>
      </c>
      <c r="C42" s="11"/>
      <c r="D42" s="12">
        <f>C42*2.25</f>
        <v>0</v>
      </c>
      <c r="F42" s="39" t="s">
        <v>79</v>
      </c>
      <c r="G42" s="207"/>
      <c r="H42" s="208"/>
      <c r="I42" s="208"/>
      <c r="J42" s="209"/>
      <c r="K42" s="36"/>
      <c r="O42" t="s">
        <v>80</v>
      </c>
      <c r="P42" s="4">
        <v>626</v>
      </c>
      <c r="Q42" s="4">
        <v>111</v>
      </c>
      <c r="R42" s="5">
        <f t="shared" si="0"/>
        <v>737</v>
      </c>
    </row>
    <row r="43" spans="1:18" ht="15.75" x14ac:dyDescent="0.25">
      <c r="A43" s="210" t="s">
        <v>81</v>
      </c>
      <c r="C43" s="11"/>
      <c r="D43" s="12"/>
      <c r="F43" s="59" t="s">
        <v>82</v>
      </c>
      <c r="G43" s="109" t="s">
        <v>83</v>
      </c>
      <c r="H43" s="213" t="s">
        <v>13</v>
      </c>
      <c r="I43" s="214"/>
      <c r="J43" s="215"/>
      <c r="K43" s="21"/>
      <c r="O43" t="s">
        <v>103</v>
      </c>
      <c r="P43" s="4">
        <v>1667</v>
      </c>
      <c r="Q43" s="4"/>
      <c r="R43" s="5"/>
    </row>
    <row r="44" spans="1:18" ht="15.75" x14ac:dyDescent="0.25">
      <c r="A44" s="211"/>
      <c r="B44" s="27" t="s">
        <v>66</v>
      </c>
      <c r="C44" s="10"/>
      <c r="D44" s="12">
        <f>C44*120</f>
        <v>0</v>
      </c>
      <c r="F44" s="37"/>
      <c r="G44" s="62"/>
      <c r="H44" s="191"/>
      <c r="I44" s="191"/>
      <c r="J44" s="191"/>
      <c r="K44" s="21"/>
      <c r="O44" t="s">
        <v>106</v>
      </c>
      <c r="P44" s="4">
        <f>785-120</f>
        <v>665</v>
      </c>
      <c r="Q44" s="4">
        <v>120</v>
      </c>
      <c r="R44" s="5">
        <f>Q44+P44</f>
        <v>785</v>
      </c>
    </row>
    <row r="45" spans="1:18" ht="15.75" x14ac:dyDescent="0.25">
      <c r="A45" s="211"/>
      <c r="B45" s="27" t="s">
        <v>68</v>
      </c>
      <c r="C45" s="33"/>
      <c r="D45" s="12">
        <f>C45*84</f>
        <v>0</v>
      </c>
      <c r="F45" s="37"/>
      <c r="G45" s="62"/>
      <c r="H45" s="191"/>
      <c r="I45" s="191"/>
      <c r="J45" s="191"/>
      <c r="K45" s="21"/>
      <c r="P45" s="4"/>
      <c r="Q45" s="4"/>
      <c r="R45" s="5"/>
    </row>
    <row r="46" spans="1:18" ht="15.75" x14ac:dyDescent="0.25">
      <c r="A46" s="211"/>
      <c r="B46" s="49" t="s">
        <v>70</v>
      </c>
      <c r="C46" s="81"/>
      <c r="D46" s="12">
        <f>C46*1.5</f>
        <v>0</v>
      </c>
      <c r="F46" s="37"/>
      <c r="G46" s="62"/>
      <c r="H46" s="191"/>
      <c r="I46" s="191"/>
      <c r="J46" s="191"/>
      <c r="K46" s="21"/>
      <c r="P46" s="4"/>
      <c r="Q46" s="4"/>
      <c r="R46" s="5"/>
    </row>
    <row r="47" spans="1:18" ht="15.75" x14ac:dyDescent="0.25">
      <c r="A47" s="212"/>
      <c r="B47" s="27"/>
      <c r="C47" s="11"/>
      <c r="D47" s="12"/>
      <c r="F47" s="59"/>
      <c r="G47" s="59"/>
      <c r="H47" s="217"/>
      <c r="I47" s="218"/>
      <c r="J47" s="219"/>
      <c r="K47" s="21"/>
      <c r="P47" s="4"/>
      <c r="Q47" s="4"/>
      <c r="R47" s="5"/>
    </row>
    <row r="48" spans="1:18" ht="15" customHeight="1" x14ac:dyDescent="0.25">
      <c r="A48" s="210" t="s">
        <v>32</v>
      </c>
      <c r="B48" s="27" t="s">
        <v>66</v>
      </c>
      <c r="C48" s="10"/>
      <c r="D48" s="12">
        <f>C48*78</f>
        <v>0</v>
      </c>
      <c r="F48" s="59"/>
      <c r="G48" s="59"/>
      <c r="H48" s="217"/>
      <c r="I48" s="218"/>
      <c r="J48" s="219"/>
      <c r="K48" s="35"/>
      <c r="O48" t="s">
        <v>84</v>
      </c>
      <c r="P48" s="4">
        <v>1175</v>
      </c>
      <c r="Q48" s="4"/>
      <c r="R48" s="5">
        <f t="shared" si="0"/>
        <v>1175</v>
      </c>
    </row>
    <row r="49" spans="1:18" ht="15.75" x14ac:dyDescent="0.25">
      <c r="A49" s="211"/>
      <c r="B49" s="29" t="s">
        <v>68</v>
      </c>
      <c r="C49" s="33"/>
      <c r="D49" s="12">
        <f>C49*42</f>
        <v>0</v>
      </c>
      <c r="F49" s="232" t="s">
        <v>86</v>
      </c>
      <c r="G49" s="179">
        <f>H34+H35+H36+H37+H38+H39+H40+H41+G42+H44+H45+H46</f>
        <v>0</v>
      </c>
      <c r="H49" s="180"/>
      <c r="I49" s="180"/>
      <c r="J49" s="181"/>
      <c r="O49" t="s">
        <v>85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211"/>
      <c r="B50" s="32" t="s">
        <v>70</v>
      </c>
      <c r="C50" s="11"/>
      <c r="D50" s="12">
        <f>C50*1.5</f>
        <v>0</v>
      </c>
      <c r="F50" s="233"/>
      <c r="G50" s="182"/>
      <c r="H50" s="183"/>
      <c r="I50" s="183"/>
      <c r="J50" s="184"/>
      <c r="P50" s="4"/>
      <c r="Q50" s="4"/>
      <c r="R50" s="5"/>
    </row>
    <row r="51" spans="1:18" ht="15" customHeight="1" x14ac:dyDescent="0.25">
      <c r="A51" s="211"/>
      <c r="B51" s="27"/>
      <c r="C51" s="10"/>
      <c r="D51" s="31"/>
      <c r="F51" s="234" t="s">
        <v>131</v>
      </c>
      <c r="G51" s="247">
        <f>G49-H29</f>
        <v>0</v>
      </c>
      <c r="H51" s="248"/>
      <c r="I51" s="248"/>
      <c r="J51" s="249"/>
      <c r="K51" s="21"/>
      <c r="O51" t="s">
        <v>87</v>
      </c>
      <c r="P51" s="4">
        <v>703</v>
      </c>
      <c r="Q51" s="4">
        <v>120</v>
      </c>
      <c r="R51" s="5">
        <f t="shared" si="0"/>
        <v>823</v>
      </c>
    </row>
    <row r="52" spans="1:18" ht="15.75" x14ac:dyDescent="0.25">
      <c r="A52" s="211"/>
      <c r="B52" s="29"/>
      <c r="C52" s="33"/>
      <c r="D52" s="45"/>
      <c r="F52" s="235"/>
      <c r="G52" s="250"/>
      <c r="H52" s="251"/>
      <c r="I52" s="251"/>
      <c r="J52" s="252"/>
      <c r="K52" s="21"/>
      <c r="O52" t="s">
        <v>88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212"/>
      <c r="B53" s="32"/>
      <c r="C53" s="11"/>
      <c r="D53" s="12"/>
      <c r="F53" s="35"/>
      <c r="G53" s="24"/>
      <c r="H53" s="24"/>
      <c r="I53" s="24"/>
      <c r="J53" s="17"/>
      <c r="N53" s="1"/>
      <c r="O53" t="s">
        <v>89</v>
      </c>
      <c r="P53" s="4">
        <v>1142</v>
      </c>
    </row>
    <row r="54" spans="1:18" x14ac:dyDescent="0.25">
      <c r="A54" s="175" t="s">
        <v>90</v>
      </c>
      <c r="B54" s="220"/>
      <c r="C54" s="221"/>
      <c r="D54" s="224">
        <f>SUM(D34:D53)</f>
        <v>0</v>
      </c>
      <c r="F54" s="21"/>
      <c r="J54" s="34"/>
      <c r="O54" t="s">
        <v>102</v>
      </c>
      <c r="P54" s="4">
        <v>1582</v>
      </c>
      <c r="R54" s="3">
        <v>1582</v>
      </c>
    </row>
    <row r="55" spans="1:18" x14ac:dyDescent="0.25">
      <c r="A55" s="177"/>
      <c r="B55" s="222"/>
      <c r="C55" s="223"/>
      <c r="D55" s="225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133</v>
      </c>
      <c r="D57" s="34"/>
      <c r="F57" s="36"/>
      <c r="G57" s="50"/>
      <c r="H57" s="50"/>
      <c r="I57" s="50"/>
      <c r="J57" s="43"/>
    </row>
    <row r="58" spans="1:18" x14ac:dyDescent="0.25">
      <c r="A58" s="226" t="s">
        <v>91</v>
      </c>
      <c r="B58" s="227"/>
      <c r="C58" s="227"/>
      <c r="D58" s="228"/>
      <c r="F58" s="226" t="s">
        <v>92</v>
      </c>
      <c r="G58" s="227"/>
      <c r="H58" s="227"/>
      <c r="I58" s="227"/>
      <c r="J58" s="228"/>
    </row>
    <row r="59" spans="1:18" x14ac:dyDescent="0.25">
      <c r="A59" s="229"/>
      <c r="B59" s="230"/>
      <c r="C59" s="230"/>
      <c r="D59" s="231"/>
      <c r="F59" s="229"/>
      <c r="G59" s="230"/>
      <c r="H59" s="230"/>
      <c r="I59" s="230"/>
      <c r="J59" s="231"/>
    </row>
  </sheetData>
  <mergeCells count="68"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  <mergeCell ref="H13:J13"/>
    <mergeCell ref="F14:G14"/>
    <mergeCell ref="H14:J14"/>
    <mergeCell ref="F15:G15"/>
    <mergeCell ref="H15:J15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A32:D32"/>
    <mergeCell ref="F32:J32"/>
    <mergeCell ref="H33:J33"/>
    <mergeCell ref="A34:A36"/>
    <mergeCell ref="H34:J34"/>
    <mergeCell ref="H35:J35"/>
    <mergeCell ref="H36:J36"/>
    <mergeCell ref="A37:A39"/>
    <mergeCell ref="H37:J37"/>
    <mergeCell ref="H38:J38"/>
    <mergeCell ref="H39:J39"/>
    <mergeCell ref="A40:A42"/>
    <mergeCell ref="H40:J40"/>
    <mergeCell ref="H41:J41"/>
    <mergeCell ref="G42:J42"/>
    <mergeCell ref="A43:A47"/>
    <mergeCell ref="H43:J43"/>
    <mergeCell ref="H44:J44"/>
    <mergeCell ref="H45:J45"/>
    <mergeCell ref="H46:J46"/>
    <mergeCell ref="H47:J47"/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5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CFED7AB-B0FE-41DF-93EB-684805CBFCE5}">
  <dimension ref="A1:R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113" t="s">
        <v>1</v>
      </c>
      <c r="O1" s="113"/>
      <c r="P1" s="105" t="s">
        <v>2</v>
      </c>
      <c r="Q1" s="105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14" t="s">
        <v>7</v>
      </c>
      <c r="B4" s="115"/>
      <c r="C4" s="115"/>
      <c r="D4" s="116"/>
      <c r="F4" s="117" t="s">
        <v>8</v>
      </c>
      <c r="G4" s="119">
        <v>2</v>
      </c>
      <c r="H4" s="121" t="s">
        <v>9</v>
      </c>
      <c r="I4" s="123">
        <v>45979</v>
      </c>
      <c r="J4" s="124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27" t="s">
        <v>7</v>
      </c>
      <c r="B5" s="15" t="s">
        <v>11</v>
      </c>
      <c r="C5" s="9" t="s">
        <v>12</v>
      </c>
      <c r="D5" s="25" t="s">
        <v>13</v>
      </c>
      <c r="F5" s="118"/>
      <c r="G5" s="120"/>
      <c r="H5" s="122"/>
      <c r="I5" s="125"/>
      <c r="J5" s="126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28"/>
      <c r="B6" s="16" t="s">
        <v>15</v>
      </c>
      <c r="C6" s="10"/>
      <c r="D6" s="13">
        <f t="shared" ref="D6:D28" si="1">C6*L6</f>
        <v>0</v>
      </c>
      <c r="F6" s="130" t="s">
        <v>16</v>
      </c>
      <c r="G6" s="132" t="s">
        <v>134</v>
      </c>
      <c r="H6" s="133"/>
      <c r="I6" s="133"/>
      <c r="J6" s="134"/>
      <c r="K6" s="8"/>
      <c r="L6" s="6">
        <f>R42</f>
        <v>737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28"/>
      <c r="B7" s="16" t="s">
        <v>18</v>
      </c>
      <c r="C7" s="10"/>
      <c r="D7" s="13">
        <f t="shared" si="1"/>
        <v>0</v>
      </c>
      <c r="F7" s="131"/>
      <c r="G7" s="135"/>
      <c r="H7" s="136"/>
      <c r="I7" s="136"/>
      <c r="J7" s="137"/>
      <c r="K7" s="8"/>
      <c r="L7" s="6">
        <f>R41</f>
        <v>725</v>
      </c>
      <c r="P7" s="4"/>
      <c r="Q7" s="4"/>
      <c r="R7" s="5"/>
    </row>
    <row r="8" spans="1:18" ht="14.45" customHeight="1" x14ac:dyDescent="0.25">
      <c r="A8" s="128"/>
      <c r="B8" s="16" t="s">
        <v>20</v>
      </c>
      <c r="C8" s="10"/>
      <c r="D8" s="13">
        <f t="shared" si="1"/>
        <v>0</v>
      </c>
      <c r="F8" s="138" t="s">
        <v>21</v>
      </c>
      <c r="G8" s="140" t="s">
        <v>114</v>
      </c>
      <c r="H8" s="141"/>
      <c r="I8" s="141"/>
      <c r="J8" s="142"/>
      <c r="K8" s="8"/>
      <c r="L8" s="6">
        <f>R40</f>
        <v>1033</v>
      </c>
      <c r="P8" s="4"/>
      <c r="Q8" s="4"/>
      <c r="R8" s="5"/>
    </row>
    <row r="9" spans="1:18" ht="14.45" customHeight="1" x14ac:dyDescent="0.25">
      <c r="A9" s="128"/>
      <c r="B9" s="16" t="s">
        <v>23</v>
      </c>
      <c r="C9" s="10"/>
      <c r="D9" s="13">
        <f t="shared" si="1"/>
        <v>0</v>
      </c>
      <c r="F9" s="131"/>
      <c r="G9" s="143"/>
      <c r="H9" s="144"/>
      <c r="I9" s="144"/>
      <c r="J9" s="145"/>
      <c r="K9" s="8"/>
      <c r="L9" s="6">
        <f>R38</f>
        <v>707</v>
      </c>
      <c r="P9" s="4"/>
      <c r="Q9" s="4"/>
      <c r="R9" s="5"/>
    </row>
    <row r="10" spans="1:18" ht="14.45" customHeight="1" x14ac:dyDescent="0.25">
      <c r="A10" s="128"/>
      <c r="B10" t="s">
        <v>25</v>
      </c>
      <c r="C10" s="10"/>
      <c r="D10" s="13">
        <f t="shared" si="1"/>
        <v>0</v>
      </c>
      <c r="F10" s="130" t="s">
        <v>26</v>
      </c>
      <c r="G10" s="146" t="s">
        <v>115</v>
      </c>
      <c r="H10" s="147"/>
      <c r="I10" s="147"/>
      <c r="J10" s="148"/>
      <c r="K10" s="8"/>
      <c r="L10" s="6">
        <f>R36</f>
        <v>972</v>
      </c>
      <c r="P10" s="4"/>
      <c r="Q10" s="4"/>
      <c r="R10" s="5"/>
    </row>
    <row r="11" spans="1:18" ht="15.75" x14ac:dyDescent="0.25">
      <c r="A11" s="128"/>
      <c r="B11" s="17" t="s">
        <v>28</v>
      </c>
      <c r="C11" s="10"/>
      <c r="D11" s="13">
        <f t="shared" si="1"/>
        <v>0</v>
      </c>
      <c r="F11" s="131"/>
      <c r="G11" s="143"/>
      <c r="H11" s="144"/>
      <c r="I11" s="144"/>
      <c r="J11" s="145"/>
      <c r="K11" s="22"/>
      <c r="L11" s="6">
        <f>R32</f>
        <v>1125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28"/>
      <c r="B12" s="17" t="s">
        <v>30</v>
      </c>
      <c r="C12" s="10"/>
      <c r="D12" s="48">
        <f t="shared" si="1"/>
        <v>0</v>
      </c>
      <c r="F12" s="149" t="s">
        <v>33</v>
      </c>
      <c r="G12" s="150"/>
      <c r="H12" s="150"/>
      <c r="I12" s="150"/>
      <c r="J12" s="151"/>
      <c r="K12" s="23"/>
      <c r="L12" s="6">
        <f>R34</f>
        <v>952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28"/>
      <c r="B13" s="17" t="s">
        <v>32</v>
      </c>
      <c r="C13" s="10"/>
      <c r="D13" s="48">
        <f t="shared" si="1"/>
        <v>0</v>
      </c>
      <c r="F13" s="152" t="s">
        <v>36</v>
      </c>
      <c r="G13" s="153"/>
      <c r="H13" s="154">
        <f>D29</f>
        <v>0</v>
      </c>
      <c r="I13" s="155"/>
      <c r="J13" s="156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28"/>
      <c r="B14" s="14" t="s">
        <v>35</v>
      </c>
      <c r="C14" s="10"/>
      <c r="D14" s="31">
        <f t="shared" si="1"/>
        <v>0</v>
      </c>
      <c r="F14" s="157" t="s">
        <v>39</v>
      </c>
      <c r="G14" s="158"/>
      <c r="H14" s="159">
        <f>D54</f>
        <v>0</v>
      </c>
      <c r="I14" s="160"/>
      <c r="J14" s="161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28"/>
      <c r="B15" s="14" t="s">
        <v>38</v>
      </c>
      <c r="C15" s="10"/>
      <c r="D15" s="31">
        <f t="shared" si="1"/>
        <v>0</v>
      </c>
      <c r="F15" s="162" t="s">
        <v>40</v>
      </c>
      <c r="G15" s="153"/>
      <c r="H15" s="163">
        <f>H13-H14</f>
        <v>0</v>
      </c>
      <c r="I15" s="164"/>
      <c r="J15" s="165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28"/>
      <c r="B16" s="18" t="s">
        <v>94</v>
      </c>
      <c r="C16" s="10"/>
      <c r="D16" s="48">
        <f t="shared" si="1"/>
        <v>0</v>
      </c>
      <c r="F16" s="67" t="s">
        <v>42</v>
      </c>
      <c r="G16" s="66" t="s">
        <v>43</v>
      </c>
      <c r="H16" s="166"/>
      <c r="I16" s="166"/>
      <c r="J16" s="166"/>
      <c r="L16" s="6">
        <f>R28</f>
        <v>1567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28"/>
      <c r="B17" t="s">
        <v>93</v>
      </c>
      <c r="C17" s="10"/>
      <c r="D17" s="48">
        <f t="shared" si="1"/>
        <v>0</v>
      </c>
      <c r="F17" s="56"/>
      <c r="G17" s="66" t="s">
        <v>45</v>
      </c>
      <c r="H17" s="139"/>
      <c r="I17" s="139"/>
      <c r="J17" s="139"/>
      <c r="L17" s="6">
        <f>R21</f>
        <v>1567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28"/>
      <c r="B18" s="19" t="s">
        <v>95</v>
      </c>
      <c r="C18" s="10"/>
      <c r="D18" s="48">
        <f t="shared" si="1"/>
        <v>0</v>
      </c>
      <c r="F18" s="56"/>
      <c r="G18" s="66" t="s">
        <v>47</v>
      </c>
      <c r="H18" s="139"/>
      <c r="I18" s="139"/>
      <c r="J18" s="139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28"/>
      <c r="B19" s="14" t="s">
        <v>96</v>
      </c>
      <c r="C19" s="10"/>
      <c r="D19" s="48">
        <f t="shared" si="1"/>
        <v>0</v>
      </c>
      <c r="F19" s="56"/>
      <c r="G19" s="68" t="s">
        <v>50</v>
      </c>
      <c r="H19" s="246"/>
      <c r="I19" s="246"/>
      <c r="J19" s="246"/>
      <c r="L19" s="6">
        <f>R35</f>
        <v>1102</v>
      </c>
      <c r="Q19" s="4"/>
      <c r="R19" s="5">
        <f t="shared" si="0"/>
        <v>0</v>
      </c>
    </row>
    <row r="20" spans="1:18" ht="15.75" x14ac:dyDescent="0.25">
      <c r="A20" s="128"/>
      <c r="B20" s="46" t="s">
        <v>122</v>
      </c>
      <c r="C20" s="10"/>
      <c r="D20" s="13">
        <f t="shared" si="1"/>
        <v>0</v>
      </c>
      <c r="F20" s="57"/>
      <c r="G20" s="70" t="s">
        <v>120</v>
      </c>
      <c r="H20" s="139"/>
      <c r="I20" s="139"/>
      <c r="J20" s="139"/>
      <c r="L20" s="6">
        <f>R39</f>
        <v>1175</v>
      </c>
      <c r="N20" s="1" t="s">
        <v>41</v>
      </c>
      <c r="Q20" s="4"/>
      <c r="R20" s="5">
        <f t="shared" si="0"/>
        <v>0</v>
      </c>
    </row>
    <row r="21" spans="1:18" ht="15.75" x14ac:dyDescent="0.25">
      <c r="A21" s="128"/>
      <c r="B21" s="14" t="s">
        <v>126</v>
      </c>
      <c r="C21" s="10"/>
      <c r="D21" s="48">
        <f t="shared" si="1"/>
        <v>0</v>
      </c>
      <c r="F21" s="69" t="s">
        <v>99</v>
      </c>
      <c r="G21" s="82" t="s">
        <v>98</v>
      </c>
      <c r="H21" s="186" t="s">
        <v>13</v>
      </c>
      <c r="I21" s="187"/>
      <c r="J21" s="188"/>
      <c r="L21" s="7">
        <v>650</v>
      </c>
      <c r="O21" t="s">
        <v>44</v>
      </c>
      <c r="P21" s="4">
        <v>1447</v>
      </c>
      <c r="Q21" s="4">
        <v>120</v>
      </c>
      <c r="R21" s="5">
        <f t="shared" si="0"/>
        <v>1567</v>
      </c>
    </row>
    <row r="22" spans="1:18" ht="15.75" x14ac:dyDescent="0.25">
      <c r="A22" s="128"/>
      <c r="B22" s="46" t="s">
        <v>104</v>
      </c>
      <c r="C22" s="10"/>
      <c r="D22" s="48">
        <f t="shared" si="1"/>
        <v>0</v>
      </c>
      <c r="F22" s="72"/>
      <c r="G22" s="73"/>
      <c r="H22" s="189"/>
      <c r="I22" s="189"/>
      <c r="J22" s="189"/>
      <c r="L22" s="7">
        <f>559+111</f>
        <v>670</v>
      </c>
      <c r="O22" t="s">
        <v>46</v>
      </c>
      <c r="P22" s="4">
        <v>1582</v>
      </c>
      <c r="Q22" s="4"/>
      <c r="R22" s="5">
        <f t="shared" si="0"/>
        <v>1582</v>
      </c>
    </row>
    <row r="23" spans="1:18" ht="15.75" x14ac:dyDescent="0.25">
      <c r="A23" s="128"/>
      <c r="B23" s="14" t="s">
        <v>107</v>
      </c>
      <c r="C23" s="10"/>
      <c r="D23" s="48">
        <f t="shared" si="1"/>
        <v>0</v>
      </c>
      <c r="F23" s="25"/>
      <c r="G23" s="37"/>
      <c r="H23" s="190"/>
      <c r="I23" s="191"/>
      <c r="J23" s="191"/>
      <c r="L23" s="47">
        <f>R33</f>
        <v>1175</v>
      </c>
      <c r="N23" s="1"/>
      <c r="O23" t="s">
        <v>48</v>
      </c>
      <c r="P23" s="4">
        <v>1728</v>
      </c>
      <c r="Q23" s="4"/>
      <c r="R23" s="5">
        <f t="shared" si="0"/>
        <v>1728</v>
      </c>
    </row>
    <row r="24" spans="1:18" ht="15.75" x14ac:dyDescent="0.25">
      <c r="A24" s="128"/>
      <c r="B24" s="14" t="s">
        <v>123</v>
      </c>
      <c r="C24" s="10"/>
      <c r="D24" s="48">
        <f t="shared" si="1"/>
        <v>0</v>
      </c>
      <c r="F24" s="38"/>
      <c r="G24" s="37"/>
      <c r="H24" s="190"/>
      <c r="I24" s="191"/>
      <c r="J24" s="191"/>
      <c r="L24" s="47">
        <f>596/6</f>
        <v>99.333333333333329</v>
      </c>
      <c r="N24" s="1"/>
      <c r="O24" t="s">
        <v>49</v>
      </c>
      <c r="P24" s="4">
        <v>1728</v>
      </c>
      <c r="Q24" s="4"/>
      <c r="R24" s="5">
        <f t="shared" si="0"/>
        <v>1728</v>
      </c>
    </row>
    <row r="25" spans="1:18" ht="15.75" x14ac:dyDescent="0.25">
      <c r="A25" s="128"/>
      <c r="B25" s="14" t="s">
        <v>124</v>
      </c>
      <c r="C25" s="10"/>
      <c r="D25" s="48">
        <f t="shared" si="1"/>
        <v>0</v>
      </c>
      <c r="F25" s="60" t="s">
        <v>100</v>
      </c>
      <c r="G25" s="55" t="s">
        <v>98</v>
      </c>
      <c r="H25" s="192" t="s">
        <v>13</v>
      </c>
      <c r="I25" s="193"/>
      <c r="J25" s="194"/>
      <c r="L25" s="47">
        <f>674/6</f>
        <v>112.33333333333333</v>
      </c>
      <c r="O25" t="s">
        <v>51</v>
      </c>
      <c r="P25" s="4">
        <v>1582</v>
      </c>
      <c r="Q25" s="4"/>
      <c r="R25" s="5">
        <f t="shared" si="0"/>
        <v>1582</v>
      </c>
    </row>
    <row r="26" spans="1:18" ht="15.75" x14ac:dyDescent="0.25">
      <c r="A26" s="128"/>
      <c r="B26" s="14" t="s">
        <v>105</v>
      </c>
      <c r="C26" s="10"/>
      <c r="D26" s="48">
        <f t="shared" si="1"/>
        <v>0</v>
      </c>
      <c r="F26" s="64"/>
      <c r="G26" s="10"/>
      <c r="H26" s="195"/>
      <c r="I26" s="196"/>
      <c r="J26" s="197"/>
      <c r="L26" s="7">
        <f>832/24+1.5</f>
        <v>36.166666666666664</v>
      </c>
      <c r="O26" t="s">
        <v>52</v>
      </c>
      <c r="P26" s="4">
        <v>1447</v>
      </c>
      <c r="Q26" s="4">
        <v>120</v>
      </c>
      <c r="R26" s="5">
        <f t="shared" si="0"/>
        <v>1567</v>
      </c>
    </row>
    <row r="27" spans="1:18" ht="14.45" customHeight="1" x14ac:dyDescent="0.25">
      <c r="A27" s="128"/>
      <c r="B27" s="14" t="s">
        <v>109</v>
      </c>
      <c r="C27" s="10"/>
      <c r="D27" s="44">
        <f t="shared" si="1"/>
        <v>0</v>
      </c>
      <c r="F27" s="14"/>
      <c r="G27" s="14"/>
      <c r="H27" s="198"/>
      <c r="I27" s="199"/>
      <c r="J27" s="200"/>
      <c r="L27" s="7">
        <v>1582</v>
      </c>
      <c r="O27" t="s">
        <v>53</v>
      </c>
      <c r="P27" s="4">
        <v>1582</v>
      </c>
      <c r="Q27" s="4"/>
      <c r="R27" s="5">
        <f t="shared" si="0"/>
        <v>1582</v>
      </c>
    </row>
    <row r="28" spans="1:18" ht="15.75" x14ac:dyDescent="0.25">
      <c r="A28" s="129"/>
      <c r="B28" s="46" t="s">
        <v>97</v>
      </c>
      <c r="C28" s="10"/>
      <c r="D28" s="48">
        <f t="shared" si="1"/>
        <v>0</v>
      </c>
      <c r="F28" s="106"/>
      <c r="G28" s="61"/>
      <c r="H28" s="201"/>
      <c r="I28" s="202"/>
      <c r="J28" s="203"/>
      <c r="L28" s="7">
        <v>785</v>
      </c>
      <c r="O28" t="s">
        <v>54</v>
      </c>
      <c r="P28" s="4">
        <v>1447</v>
      </c>
      <c r="Q28" s="4">
        <v>120</v>
      </c>
      <c r="R28" s="5">
        <f t="shared" si="0"/>
        <v>1567</v>
      </c>
    </row>
    <row r="29" spans="1:18" x14ac:dyDescent="0.25">
      <c r="A29" s="167" t="s">
        <v>36</v>
      </c>
      <c r="B29" s="168"/>
      <c r="C29" s="169"/>
      <c r="D29" s="173">
        <f>SUM(D6:D28)</f>
        <v>0</v>
      </c>
      <c r="F29" s="175" t="s">
        <v>55</v>
      </c>
      <c r="G29" s="176"/>
      <c r="H29" s="179">
        <f>H15-H16-H17-H18-H19-H20-H22-H23-H24+H26+H27</f>
        <v>0</v>
      </c>
      <c r="I29" s="180"/>
      <c r="J29" s="181"/>
      <c r="O29" t="s">
        <v>56</v>
      </c>
      <c r="P29" s="4">
        <v>1582</v>
      </c>
      <c r="Q29" s="4"/>
      <c r="R29" s="5">
        <f t="shared" si="0"/>
        <v>1582</v>
      </c>
    </row>
    <row r="30" spans="1:18" x14ac:dyDescent="0.25">
      <c r="A30" s="170"/>
      <c r="B30" s="171"/>
      <c r="C30" s="172"/>
      <c r="D30" s="174"/>
      <c r="F30" s="177"/>
      <c r="G30" s="178"/>
      <c r="H30" s="182"/>
      <c r="I30" s="183"/>
      <c r="J30" s="184"/>
      <c r="N30" s="1"/>
      <c r="Q30" s="4"/>
      <c r="R30" s="5">
        <f t="shared" si="0"/>
        <v>0</v>
      </c>
    </row>
    <row r="31" spans="1:18" x14ac:dyDescent="0.25">
      <c r="A31" s="24"/>
      <c r="B31" s="24"/>
      <c r="C31" s="24"/>
      <c r="D31" s="24"/>
      <c r="F31" s="24"/>
      <c r="G31" s="24"/>
      <c r="O31" t="s">
        <v>57</v>
      </c>
      <c r="P31" s="4">
        <v>1052</v>
      </c>
      <c r="Q31" s="4">
        <v>120</v>
      </c>
      <c r="R31" s="5">
        <f t="shared" si="0"/>
        <v>1172</v>
      </c>
    </row>
    <row r="32" spans="1:18" x14ac:dyDescent="0.25">
      <c r="A32" s="114" t="s">
        <v>58</v>
      </c>
      <c r="B32" s="115"/>
      <c r="C32" s="115"/>
      <c r="D32" s="116"/>
      <c r="F32" s="204" t="s">
        <v>59</v>
      </c>
      <c r="G32" s="205"/>
      <c r="H32" s="205"/>
      <c r="I32" s="205"/>
      <c r="J32" s="206"/>
      <c r="O32" t="s">
        <v>60</v>
      </c>
      <c r="P32" s="4">
        <v>1005</v>
      </c>
      <c r="Q32" s="4">
        <v>120</v>
      </c>
      <c r="R32" s="5">
        <f t="shared" si="0"/>
        <v>1125</v>
      </c>
    </row>
    <row r="33" spans="1:18" x14ac:dyDescent="0.25">
      <c r="A33" s="25"/>
      <c r="B33" s="25" t="s">
        <v>11</v>
      </c>
      <c r="C33" s="25" t="s">
        <v>61</v>
      </c>
      <c r="D33" s="25" t="s">
        <v>13</v>
      </c>
      <c r="F33" s="25" t="s">
        <v>62</v>
      </c>
      <c r="G33" s="107" t="s">
        <v>63</v>
      </c>
      <c r="H33" s="204" t="s">
        <v>13</v>
      </c>
      <c r="I33" s="205"/>
      <c r="J33" s="206"/>
      <c r="O33" t="s">
        <v>64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27" t="s">
        <v>65</v>
      </c>
      <c r="B34" s="26" t="s">
        <v>66</v>
      </c>
      <c r="C34" s="51"/>
      <c r="D34" s="30">
        <f>C34*120</f>
        <v>0</v>
      </c>
      <c r="F34" s="12">
        <v>1000</v>
      </c>
      <c r="G34" s="74"/>
      <c r="H34" s="207">
        <f>F34*G34</f>
        <v>0</v>
      </c>
      <c r="I34" s="208"/>
      <c r="J34" s="209"/>
      <c r="O34" t="s">
        <v>67</v>
      </c>
      <c r="P34" s="4">
        <v>832</v>
      </c>
      <c r="Q34" s="4">
        <v>120</v>
      </c>
      <c r="R34" s="5">
        <f t="shared" si="0"/>
        <v>952</v>
      </c>
    </row>
    <row r="35" spans="1:18" ht="15.75" x14ac:dyDescent="0.25">
      <c r="A35" s="128"/>
      <c r="B35" s="27" t="s">
        <v>68</v>
      </c>
      <c r="C35" s="52"/>
      <c r="D35" s="30">
        <f>C35*84</f>
        <v>0</v>
      </c>
      <c r="F35" s="58">
        <v>500</v>
      </c>
      <c r="G35" s="41"/>
      <c r="H35" s="207">
        <f t="shared" ref="H35:H39" si="2">F35*G35</f>
        <v>0</v>
      </c>
      <c r="I35" s="208"/>
      <c r="J35" s="209"/>
      <c r="O35" t="s">
        <v>69</v>
      </c>
      <c r="P35" s="4">
        <v>1102</v>
      </c>
      <c r="Q35" s="4"/>
      <c r="R35" s="5">
        <f t="shared" si="0"/>
        <v>1102</v>
      </c>
    </row>
    <row r="36" spans="1:18" ht="15.75" x14ac:dyDescent="0.25">
      <c r="A36" s="129"/>
      <c r="B36" s="26" t="s">
        <v>70</v>
      </c>
      <c r="C36" s="10"/>
      <c r="D36" s="12">
        <f>C36*1.5</f>
        <v>0</v>
      </c>
      <c r="F36" s="12">
        <v>200</v>
      </c>
      <c r="G36" s="37"/>
      <c r="H36" s="207">
        <f>F36*G36</f>
        <v>0</v>
      </c>
      <c r="I36" s="208"/>
      <c r="J36" s="209"/>
      <c r="O36" t="s">
        <v>71</v>
      </c>
      <c r="P36" s="4">
        <v>852</v>
      </c>
      <c r="Q36" s="4">
        <v>120</v>
      </c>
      <c r="R36" s="5">
        <f t="shared" si="0"/>
        <v>972</v>
      </c>
    </row>
    <row r="37" spans="1:18" ht="15.75" x14ac:dyDescent="0.25">
      <c r="A37" s="127" t="s">
        <v>72</v>
      </c>
      <c r="B37" s="28" t="s">
        <v>66</v>
      </c>
      <c r="C37" s="53"/>
      <c r="D37" s="12">
        <f>C37*111</f>
        <v>0</v>
      </c>
      <c r="F37" s="12">
        <v>100</v>
      </c>
      <c r="G37" s="39"/>
      <c r="H37" s="207">
        <f t="shared" si="2"/>
        <v>0</v>
      </c>
      <c r="I37" s="208"/>
      <c r="J37" s="209"/>
      <c r="O37" t="s">
        <v>73</v>
      </c>
      <c r="P37" s="4">
        <v>1020</v>
      </c>
      <c r="Q37" s="4">
        <v>120</v>
      </c>
      <c r="R37" s="5">
        <f t="shared" si="0"/>
        <v>1140</v>
      </c>
    </row>
    <row r="38" spans="1:18" ht="15.75" x14ac:dyDescent="0.25">
      <c r="A38" s="128"/>
      <c r="B38" s="29" t="s">
        <v>68</v>
      </c>
      <c r="C38" s="54"/>
      <c r="D38" s="12">
        <f>C38*84</f>
        <v>0</v>
      </c>
      <c r="F38" s="30">
        <v>50</v>
      </c>
      <c r="G38" s="39"/>
      <c r="H38" s="207">
        <f t="shared" si="2"/>
        <v>0</v>
      </c>
      <c r="I38" s="208"/>
      <c r="J38" s="209"/>
      <c r="O38" t="s">
        <v>74</v>
      </c>
      <c r="P38" s="4">
        <v>596</v>
      </c>
      <c r="Q38" s="4">
        <v>111</v>
      </c>
      <c r="R38" s="5">
        <f t="shared" si="0"/>
        <v>707</v>
      </c>
    </row>
    <row r="39" spans="1:18" ht="15.75" x14ac:dyDescent="0.25">
      <c r="A39" s="129"/>
      <c r="B39" s="29" t="s">
        <v>70</v>
      </c>
      <c r="C39" s="52"/>
      <c r="D39" s="31">
        <f>C39*4.5</f>
        <v>0</v>
      </c>
      <c r="F39" s="12">
        <v>20</v>
      </c>
      <c r="G39" s="37"/>
      <c r="H39" s="207">
        <f t="shared" si="2"/>
        <v>0</v>
      </c>
      <c r="I39" s="208"/>
      <c r="J39" s="209"/>
      <c r="O39" t="s">
        <v>75</v>
      </c>
      <c r="P39" s="4">
        <v>1175</v>
      </c>
      <c r="Q39" s="4"/>
      <c r="R39" s="5">
        <f t="shared" si="0"/>
        <v>1175</v>
      </c>
    </row>
    <row r="40" spans="1:18" ht="15.75" x14ac:dyDescent="0.25">
      <c r="A40" s="127" t="s">
        <v>76</v>
      </c>
      <c r="B40" s="27" t="s">
        <v>66</v>
      </c>
      <c r="C40" s="63"/>
      <c r="D40" s="12">
        <f>C40*111</f>
        <v>0</v>
      </c>
      <c r="F40" s="12">
        <v>10</v>
      </c>
      <c r="G40" s="42"/>
      <c r="H40" s="207"/>
      <c r="I40" s="208"/>
      <c r="J40" s="209"/>
      <c r="O40" t="s">
        <v>77</v>
      </c>
      <c r="P40" s="4">
        <v>913</v>
      </c>
      <c r="Q40" s="4">
        <v>120</v>
      </c>
      <c r="R40" s="5">
        <f t="shared" si="0"/>
        <v>1033</v>
      </c>
    </row>
    <row r="41" spans="1:18" ht="15.75" x14ac:dyDescent="0.25">
      <c r="A41" s="128"/>
      <c r="B41" s="27" t="s">
        <v>68</v>
      </c>
      <c r="C41" s="10"/>
      <c r="D41" s="12">
        <f>C41*84</f>
        <v>0</v>
      </c>
      <c r="F41" s="12">
        <v>5</v>
      </c>
      <c r="G41" s="42"/>
      <c r="H41" s="207"/>
      <c r="I41" s="208"/>
      <c r="J41" s="209"/>
      <c r="K41" s="21"/>
      <c r="O41" t="s">
        <v>78</v>
      </c>
      <c r="P41" s="4">
        <v>614</v>
      </c>
      <c r="Q41" s="4">
        <v>111</v>
      </c>
      <c r="R41" s="5">
        <f t="shared" si="0"/>
        <v>725</v>
      </c>
    </row>
    <row r="42" spans="1:18" ht="15.75" x14ac:dyDescent="0.25">
      <c r="A42" s="129"/>
      <c r="B42" s="27" t="s">
        <v>70</v>
      </c>
      <c r="C42" s="11"/>
      <c r="D42" s="12">
        <f>C42*2.25</f>
        <v>0</v>
      </c>
      <c r="F42" s="39" t="s">
        <v>79</v>
      </c>
      <c r="G42" s="207"/>
      <c r="H42" s="208"/>
      <c r="I42" s="208"/>
      <c r="J42" s="209"/>
      <c r="K42" s="36"/>
      <c r="O42" t="s">
        <v>80</v>
      </c>
      <c r="P42" s="4">
        <v>626</v>
      </c>
      <c r="Q42" s="4">
        <v>111</v>
      </c>
      <c r="R42" s="5">
        <f t="shared" si="0"/>
        <v>737</v>
      </c>
    </row>
    <row r="43" spans="1:18" ht="15.75" x14ac:dyDescent="0.25">
      <c r="A43" s="210" t="s">
        <v>81</v>
      </c>
      <c r="C43" s="11"/>
      <c r="D43" s="12"/>
      <c r="F43" s="59" t="s">
        <v>82</v>
      </c>
      <c r="G43" s="109" t="s">
        <v>83</v>
      </c>
      <c r="H43" s="213" t="s">
        <v>13</v>
      </c>
      <c r="I43" s="214"/>
      <c r="J43" s="215"/>
      <c r="K43" s="21"/>
      <c r="P43" s="4"/>
      <c r="Q43" s="4"/>
      <c r="R43" s="5"/>
    </row>
    <row r="44" spans="1:18" ht="15.75" x14ac:dyDescent="0.25">
      <c r="A44" s="211"/>
      <c r="B44" s="27" t="s">
        <v>66</v>
      </c>
      <c r="C44" s="10"/>
      <c r="D44" s="12">
        <f>C44*120</f>
        <v>0</v>
      </c>
      <c r="F44" s="37"/>
      <c r="G44" s="62"/>
      <c r="H44" s="191"/>
      <c r="I44" s="191"/>
      <c r="J44" s="191"/>
      <c r="K44" s="21"/>
      <c r="P44" s="4"/>
      <c r="Q44" s="4"/>
      <c r="R44" s="5"/>
    </row>
    <row r="45" spans="1:18" ht="15.75" x14ac:dyDescent="0.25">
      <c r="A45" s="211"/>
      <c r="B45" s="27" t="s">
        <v>68</v>
      </c>
      <c r="C45" s="33"/>
      <c r="D45" s="12">
        <f>C45*84</f>
        <v>0</v>
      </c>
      <c r="F45" s="37"/>
      <c r="G45" s="62"/>
      <c r="H45" s="191"/>
      <c r="I45" s="191"/>
      <c r="J45" s="191"/>
      <c r="K45" s="21"/>
      <c r="P45" s="4"/>
      <c r="Q45" s="4"/>
      <c r="R45" s="5"/>
    </row>
    <row r="46" spans="1:18" ht="15.75" x14ac:dyDescent="0.25">
      <c r="A46" s="211"/>
      <c r="B46" s="49" t="s">
        <v>70</v>
      </c>
      <c r="C46" s="81"/>
      <c r="D46" s="12">
        <f>C46*1.5</f>
        <v>0</v>
      </c>
      <c r="F46" s="37"/>
      <c r="G46" s="108"/>
      <c r="H46" s="216"/>
      <c r="I46" s="216"/>
      <c r="J46" s="216"/>
      <c r="K46" s="21"/>
      <c r="P46" s="4"/>
      <c r="Q46" s="4"/>
      <c r="R46" s="5"/>
    </row>
    <row r="47" spans="1:18" ht="15.75" x14ac:dyDescent="0.25">
      <c r="A47" s="212"/>
      <c r="B47" s="27"/>
      <c r="C47" s="11"/>
      <c r="D47" s="12"/>
      <c r="F47" s="59"/>
      <c r="G47" s="59"/>
      <c r="H47" s="217"/>
      <c r="I47" s="218"/>
      <c r="J47" s="219"/>
      <c r="K47" s="21"/>
      <c r="P47" s="4"/>
      <c r="Q47" s="4"/>
      <c r="R47" s="5"/>
    </row>
    <row r="48" spans="1:18" ht="15" customHeight="1" x14ac:dyDescent="0.25">
      <c r="A48" s="210" t="s">
        <v>32</v>
      </c>
      <c r="B48" s="27" t="s">
        <v>66</v>
      </c>
      <c r="C48" s="10"/>
      <c r="D48" s="12">
        <f>C48*78</f>
        <v>0</v>
      </c>
      <c r="F48" s="59"/>
      <c r="G48" s="59"/>
      <c r="H48" s="217"/>
      <c r="I48" s="218"/>
      <c r="J48" s="219"/>
      <c r="K48" s="35"/>
      <c r="O48" t="s">
        <v>84</v>
      </c>
      <c r="P48" s="4">
        <v>1175</v>
      </c>
      <c r="Q48" s="4"/>
      <c r="R48" s="5">
        <f t="shared" si="0"/>
        <v>1175</v>
      </c>
    </row>
    <row r="49" spans="1:18" ht="15.75" x14ac:dyDescent="0.25">
      <c r="A49" s="211"/>
      <c r="B49" s="29" t="s">
        <v>68</v>
      </c>
      <c r="C49" s="33"/>
      <c r="D49" s="12">
        <f>C49*42</f>
        <v>0</v>
      </c>
      <c r="F49" s="232" t="s">
        <v>86</v>
      </c>
      <c r="G49" s="179">
        <f>H34+H35+H36+H37+H38+H39+H40+H41+G42+H44+H45+H46</f>
        <v>0</v>
      </c>
      <c r="H49" s="180"/>
      <c r="I49" s="180"/>
      <c r="J49" s="181"/>
      <c r="O49" t="s">
        <v>85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211"/>
      <c r="B50" s="32" t="s">
        <v>70</v>
      </c>
      <c r="C50" s="11"/>
      <c r="D50" s="12">
        <f>C50*1.5</f>
        <v>0</v>
      </c>
      <c r="F50" s="233"/>
      <c r="G50" s="182"/>
      <c r="H50" s="183"/>
      <c r="I50" s="183"/>
      <c r="J50" s="184"/>
      <c r="P50" s="4"/>
      <c r="Q50" s="4"/>
      <c r="R50" s="5"/>
    </row>
    <row r="51" spans="1:18" ht="15" customHeight="1" x14ac:dyDescent="0.25">
      <c r="A51" s="211"/>
      <c r="B51" s="27"/>
      <c r="C51" s="10"/>
      <c r="D51" s="31"/>
      <c r="F51" s="234" t="s">
        <v>132</v>
      </c>
      <c r="G51" s="247">
        <f>G49-H29</f>
        <v>0</v>
      </c>
      <c r="H51" s="248"/>
      <c r="I51" s="248"/>
      <c r="J51" s="249"/>
      <c r="K51" s="21"/>
      <c r="O51" t="s">
        <v>87</v>
      </c>
      <c r="P51" s="4">
        <v>703</v>
      </c>
      <c r="Q51" s="4">
        <v>120</v>
      </c>
      <c r="R51" s="5">
        <f t="shared" si="0"/>
        <v>823</v>
      </c>
    </row>
    <row r="52" spans="1:18" ht="15.75" x14ac:dyDescent="0.25">
      <c r="A52" s="211"/>
      <c r="B52" s="29"/>
      <c r="C52" s="33"/>
      <c r="D52" s="45"/>
      <c r="F52" s="235"/>
      <c r="G52" s="250"/>
      <c r="H52" s="251"/>
      <c r="I52" s="251"/>
      <c r="J52" s="252"/>
      <c r="K52" s="21"/>
      <c r="O52" t="s">
        <v>88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212"/>
      <c r="B53" s="32"/>
      <c r="C53" s="11"/>
      <c r="D53" s="12"/>
      <c r="F53" s="35"/>
      <c r="G53" s="24"/>
      <c r="H53" s="24"/>
      <c r="I53" s="24"/>
      <c r="J53" s="17"/>
      <c r="N53" s="1"/>
      <c r="O53" t="s">
        <v>89</v>
      </c>
      <c r="P53" s="4">
        <v>1142</v>
      </c>
    </row>
    <row r="54" spans="1:18" x14ac:dyDescent="0.25">
      <c r="A54" s="175" t="s">
        <v>90</v>
      </c>
      <c r="B54" s="220"/>
      <c r="C54" s="221"/>
      <c r="D54" s="224">
        <f>SUM(D34:D53)</f>
        <v>0</v>
      </c>
      <c r="F54" s="21"/>
      <c r="J54" s="34"/>
    </row>
    <row r="55" spans="1:18" x14ac:dyDescent="0.25">
      <c r="A55" s="177"/>
      <c r="B55" s="222"/>
      <c r="C55" s="223"/>
      <c r="D55" s="225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135</v>
      </c>
      <c r="D57" s="34"/>
      <c r="F57" s="36"/>
      <c r="G57" s="50"/>
      <c r="H57" s="50"/>
      <c r="I57" s="50"/>
      <c r="J57" s="43"/>
    </row>
    <row r="58" spans="1:18" x14ac:dyDescent="0.25">
      <c r="A58" s="226" t="s">
        <v>91</v>
      </c>
      <c r="B58" s="227"/>
      <c r="C58" s="227"/>
      <c r="D58" s="228"/>
      <c r="F58" s="226" t="s">
        <v>92</v>
      </c>
      <c r="G58" s="227"/>
      <c r="H58" s="227"/>
      <c r="I58" s="227"/>
      <c r="J58" s="228"/>
    </row>
    <row r="59" spans="1:18" x14ac:dyDescent="0.25">
      <c r="A59" s="229"/>
      <c r="B59" s="230"/>
      <c r="C59" s="230"/>
      <c r="D59" s="231"/>
      <c r="F59" s="229"/>
      <c r="G59" s="230"/>
      <c r="H59" s="230"/>
      <c r="I59" s="230"/>
      <c r="J59" s="231"/>
    </row>
  </sheetData>
  <mergeCells count="68"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  <mergeCell ref="H13:J13"/>
    <mergeCell ref="F14:G14"/>
    <mergeCell ref="H14:J14"/>
    <mergeCell ref="F15:G15"/>
    <mergeCell ref="H15:J15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A32:D32"/>
    <mergeCell ref="F32:J32"/>
    <mergeCell ref="H33:J33"/>
    <mergeCell ref="A34:A36"/>
    <mergeCell ref="H34:J34"/>
    <mergeCell ref="H35:J35"/>
    <mergeCell ref="H36:J36"/>
    <mergeCell ref="A37:A39"/>
    <mergeCell ref="H37:J37"/>
    <mergeCell ref="H38:J38"/>
    <mergeCell ref="H39:J39"/>
    <mergeCell ref="A40:A42"/>
    <mergeCell ref="H40:J40"/>
    <mergeCell ref="H41:J41"/>
    <mergeCell ref="G42:J42"/>
    <mergeCell ref="A43:A47"/>
    <mergeCell ref="H43:J43"/>
    <mergeCell ref="H44:J44"/>
    <mergeCell ref="H45:J45"/>
    <mergeCell ref="H46:J46"/>
    <mergeCell ref="H47:J47"/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5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399A8AF-2816-481D-AB31-8DE8FB52845A}">
  <dimension ref="A1:R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113" t="s">
        <v>1</v>
      </c>
      <c r="O1" s="113"/>
      <c r="P1" s="105" t="s">
        <v>2</v>
      </c>
      <c r="Q1" s="105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14" t="s">
        <v>7</v>
      </c>
      <c r="B4" s="115"/>
      <c r="C4" s="115"/>
      <c r="D4" s="116"/>
      <c r="F4" s="117" t="s">
        <v>8</v>
      </c>
      <c r="G4" s="119">
        <v>3</v>
      </c>
      <c r="H4" s="121" t="s">
        <v>9</v>
      </c>
      <c r="I4" s="123">
        <v>45979</v>
      </c>
      <c r="J4" s="124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27" t="s">
        <v>7</v>
      </c>
      <c r="B5" s="15" t="s">
        <v>11</v>
      </c>
      <c r="C5" s="9" t="s">
        <v>12</v>
      </c>
      <c r="D5" s="25" t="s">
        <v>13</v>
      </c>
      <c r="F5" s="118"/>
      <c r="G5" s="120"/>
      <c r="H5" s="122"/>
      <c r="I5" s="125"/>
      <c r="J5" s="126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28"/>
      <c r="B6" s="16" t="s">
        <v>15</v>
      </c>
      <c r="C6" s="10"/>
      <c r="D6" s="13">
        <f t="shared" ref="D6:D28" si="1">C6*L6</f>
        <v>0</v>
      </c>
      <c r="F6" s="130" t="s">
        <v>16</v>
      </c>
      <c r="G6" s="132" t="s">
        <v>111</v>
      </c>
      <c r="H6" s="133"/>
      <c r="I6" s="133"/>
      <c r="J6" s="134"/>
      <c r="K6" s="8"/>
      <c r="L6" s="6">
        <f>R42</f>
        <v>737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28"/>
      <c r="B7" s="16" t="s">
        <v>18</v>
      </c>
      <c r="C7" s="10"/>
      <c r="D7" s="13">
        <f t="shared" si="1"/>
        <v>0</v>
      </c>
      <c r="F7" s="131"/>
      <c r="G7" s="135"/>
      <c r="H7" s="136"/>
      <c r="I7" s="136"/>
      <c r="J7" s="137"/>
      <c r="K7" s="8"/>
      <c r="L7" s="6">
        <f>R41</f>
        <v>725</v>
      </c>
      <c r="P7" s="4"/>
      <c r="Q7" s="4"/>
      <c r="R7" s="5"/>
    </row>
    <row r="8" spans="1:18" ht="14.45" customHeight="1" x14ac:dyDescent="0.25">
      <c r="A8" s="128"/>
      <c r="B8" s="16" t="s">
        <v>20</v>
      </c>
      <c r="C8" s="10"/>
      <c r="D8" s="13">
        <f t="shared" si="1"/>
        <v>0</v>
      </c>
      <c r="F8" s="138" t="s">
        <v>21</v>
      </c>
      <c r="G8" s="140" t="s">
        <v>119</v>
      </c>
      <c r="H8" s="141"/>
      <c r="I8" s="141"/>
      <c r="J8" s="142"/>
      <c r="K8" s="8"/>
      <c r="L8" s="6">
        <f>R40</f>
        <v>1033</v>
      </c>
      <c r="P8" s="4"/>
      <c r="Q8" s="4"/>
      <c r="R8" s="5"/>
    </row>
    <row r="9" spans="1:18" ht="14.45" customHeight="1" x14ac:dyDescent="0.25">
      <c r="A9" s="128"/>
      <c r="B9" s="16" t="s">
        <v>23</v>
      </c>
      <c r="C9" s="10"/>
      <c r="D9" s="13">
        <f t="shared" si="1"/>
        <v>0</v>
      </c>
      <c r="F9" s="131"/>
      <c r="G9" s="143"/>
      <c r="H9" s="144"/>
      <c r="I9" s="144"/>
      <c r="J9" s="145"/>
      <c r="K9" s="8"/>
      <c r="L9" s="6">
        <f>R38</f>
        <v>707</v>
      </c>
      <c r="P9" s="4"/>
      <c r="Q9" s="4"/>
      <c r="R9" s="5"/>
    </row>
    <row r="10" spans="1:18" ht="14.45" customHeight="1" x14ac:dyDescent="0.25">
      <c r="A10" s="128"/>
      <c r="B10" t="s">
        <v>25</v>
      </c>
      <c r="C10" s="10"/>
      <c r="D10" s="13">
        <f t="shared" si="1"/>
        <v>0</v>
      </c>
      <c r="F10" s="130" t="s">
        <v>26</v>
      </c>
      <c r="G10" s="146" t="s">
        <v>137</v>
      </c>
      <c r="H10" s="147"/>
      <c r="I10" s="147"/>
      <c r="J10" s="148"/>
      <c r="K10" s="8"/>
      <c r="L10" s="6">
        <f>R36</f>
        <v>972</v>
      </c>
      <c r="P10" s="4"/>
      <c r="Q10" s="4"/>
      <c r="R10" s="5"/>
    </row>
    <row r="11" spans="1:18" ht="15.75" x14ac:dyDescent="0.25">
      <c r="A11" s="128"/>
      <c r="B11" s="17" t="s">
        <v>28</v>
      </c>
      <c r="C11" s="10"/>
      <c r="D11" s="13">
        <f t="shared" si="1"/>
        <v>0</v>
      </c>
      <c r="F11" s="131"/>
      <c r="G11" s="143"/>
      <c r="H11" s="144"/>
      <c r="I11" s="144"/>
      <c r="J11" s="145"/>
      <c r="K11" s="22"/>
      <c r="L11" s="6">
        <f>R32</f>
        <v>1125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28"/>
      <c r="B12" s="17" t="s">
        <v>30</v>
      </c>
      <c r="C12" s="10"/>
      <c r="D12" s="48">
        <f t="shared" si="1"/>
        <v>0</v>
      </c>
      <c r="F12" s="149" t="s">
        <v>33</v>
      </c>
      <c r="G12" s="150"/>
      <c r="H12" s="150"/>
      <c r="I12" s="150"/>
      <c r="J12" s="151"/>
      <c r="K12" s="23"/>
      <c r="L12" s="6">
        <f>R34</f>
        <v>952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28"/>
      <c r="B13" s="17" t="s">
        <v>32</v>
      </c>
      <c r="C13" s="10"/>
      <c r="D13" s="48">
        <f t="shared" si="1"/>
        <v>0</v>
      </c>
      <c r="F13" s="152" t="s">
        <v>36</v>
      </c>
      <c r="G13" s="153"/>
      <c r="H13" s="154">
        <f>D29</f>
        <v>0</v>
      </c>
      <c r="I13" s="155"/>
      <c r="J13" s="156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28"/>
      <c r="B14" s="14" t="s">
        <v>35</v>
      </c>
      <c r="C14" s="10"/>
      <c r="D14" s="31">
        <f t="shared" si="1"/>
        <v>0</v>
      </c>
      <c r="F14" s="157" t="s">
        <v>39</v>
      </c>
      <c r="G14" s="158"/>
      <c r="H14" s="159">
        <f>D54</f>
        <v>0</v>
      </c>
      <c r="I14" s="160"/>
      <c r="J14" s="161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28"/>
      <c r="B15" s="14" t="s">
        <v>38</v>
      </c>
      <c r="C15" s="10"/>
      <c r="D15" s="31">
        <f t="shared" si="1"/>
        <v>0</v>
      </c>
      <c r="F15" s="162" t="s">
        <v>40</v>
      </c>
      <c r="G15" s="153"/>
      <c r="H15" s="163">
        <f>H13-H14</f>
        <v>0</v>
      </c>
      <c r="I15" s="164"/>
      <c r="J15" s="165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28"/>
      <c r="B16" s="18" t="s">
        <v>94</v>
      </c>
      <c r="C16" s="10"/>
      <c r="D16" s="48">
        <f t="shared" si="1"/>
        <v>0</v>
      </c>
      <c r="F16" s="67" t="s">
        <v>42</v>
      </c>
      <c r="G16" s="66" t="s">
        <v>43</v>
      </c>
      <c r="H16" s="166"/>
      <c r="I16" s="166"/>
      <c r="J16" s="166"/>
      <c r="L16" s="6">
        <f>R28</f>
        <v>1567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28"/>
      <c r="B17" t="s">
        <v>113</v>
      </c>
      <c r="C17" s="10"/>
      <c r="D17" s="48">
        <f t="shared" si="1"/>
        <v>0</v>
      </c>
      <c r="F17" s="56"/>
      <c r="G17" s="66" t="s">
        <v>45</v>
      </c>
      <c r="H17" s="139"/>
      <c r="I17" s="139"/>
      <c r="J17" s="139"/>
      <c r="L17" s="6">
        <v>1582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28"/>
      <c r="B18" s="19" t="s">
        <v>95</v>
      </c>
      <c r="C18" s="10"/>
      <c r="D18" s="48">
        <f t="shared" si="1"/>
        <v>0</v>
      </c>
      <c r="F18" s="56"/>
      <c r="G18" s="66" t="s">
        <v>47</v>
      </c>
      <c r="H18" s="139"/>
      <c r="I18" s="139"/>
      <c r="J18" s="139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28"/>
      <c r="B19" s="14" t="s">
        <v>117</v>
      </c>
      <c r="C19" s="10"/>
      <c r="D19" s="48">
        <f t="shared" si="1"/>
        <v>0</v>
      </c>
      <c r="F19" s="56"/>
      <c r="G19" s="68" t="s">
        <v>50</v>
      </c>
      <c r="H19" s="253"/>
      <c r="I19" s="253"/>
      <c r="J19" s="253"/>
      <c r="L19" s="6">
        <f>R35</f>
        <v>1102</v>
      </c>
      <c r="Q19" s="4"/>
      <c r="R19" s="5">
        <f t="shared" si="0"/>
        <v>0</v>
      </c>
    </row>
    <row r="20" spans="1:18" ht="15.75" x14ac:dyDescent="0.25">
      <c r="A20" s="128"/>
      <c r="B20" s="46" t="s">
        <v>108</v>
      </c>
      <c r="C20" s="10"/>
      <c r="D20" s="13">
        <f t="shared" si="1"/>
        <v>0</v>
      </c>
      <c r="F20" s="57"/>
      <c r="G20" s="70" t="s">
        <v>120</v>
      </c>
      <c r="H20" s="166"/>
      <c r="I20" s="166"/>
      <c r="J20" s="166"/>
      <c r="L20" s="6">
        <f>1102</f>
        <v>1102</v>
      </c>
      <c r="N20" s="1" t="s">
        <v>41</v>
      </c>
      <c r="Q20" s="4"/>
      <c r="R20" s="5">
        <f t="shared" si="0"/>
        <v>0</v>
      </c>
    </row>
    <row r="21" spans="1:18" ht="15.75" x14ac:dyDescent="0.25">
      <c r="A21" s="128"/>
      <c r="B21" s="14" t="s">
        <v>126</v>
      </c>
      <c r="C21" s="10"/>
      <c r="D21" s="48">
        <f t="shared" si="1"/>
        <v>0</v>
      </c>
      <c r="F21" s="69" t="s">
        <v>99</v>
      </c>
      <c r="G21" s="82" t="s">
        <v>98</v>
      </c>
      <c r="H21" s="186" t="s">
        <v>13</v>
      </c>
      <c r="I21" s="187"/>
      <c r="J21" s="188"/>
      <c r="L21" s="7">
        <v>650</v>
      </c>
      <c r="O21" t="s">
        <v>44</v>
      </c>
      <c r="P21" s="4">
        <v>1447</v>
      </c>
      <c r="Q21" s="4">
        <v>120</v>
      </c>
      <c r="R21" s="5">
        <f t="shared" si="0"/>
        <v>1567</v>
      </c>
    </row>
    <row r="22" spans="1:18" ht="15.75" x14ac:dyDescent="0.25">
      <c r="A22" s="128"/>
      <c r="B22" s="46" t="s">
        <v>104</v>
      </c>
      <c r="C22" s="10"/>
      <c r="D22" s="48">
        <f t="shared" si="1"/>
        <v>0</v>
      </c>
      <c r="F22" s="77"/>
      <c r="G22" s="73"/>
      <c r="H22" s="189"/>
      <c r="I22" s="189"/>
      <c r="J22" s="189"/>
      <c r="L22" s="7">
        <f>559+111</f>
        <v>670</v>
      </c>
      <c r="O22" t="s">
        <v>46</v>
      </c>
      <c r="P22" s="4">
        <v>1582</v>
      </c>
      <c r="Q22" s="4"/>
      <c r="R22" s="5">
        <f t="shared" si="0"/>
        <v>1582</v>
      </c>
    </row>
    <row r="23" spans="1:18" ht="15.75" x14ac:dyDescent="0.25">
      <c r="A23" s="128"/>
      <c r="B23" s="14" t="s">
        <v>107</v>
      </c>
      <c r="C23" s="10"/>
      <c r="D23" s="48">
        <f t="shared" si="1"/>
        <v>0</v>
      </c>
      <c r="F23" s="78"/>
      <c r="G23" s="79"/>
      <c r="H23" s="190"/>
      <c r="I23" s="191"/>
      <c r="J23" s="191"/>
      <c r="L23" s="47">
        <f>R33</f>
        <v>1175</v>
      </c>
      <c r="N23" s="1"/>
      <c r="O23" t="s">
        <v>48</v>
      </c>
      <c r="P23" s="4">
        <v>1728</v>
      </c>
      <c r="Q23" s="4"/>
      <c r="R23" s="5">
        <f t="shared" si="0"/>
        <v>1728</v>
      </c>
    </row>
    <row r="24" spans="1:18" ht="15.75" x14ac:dyDescent="0.25">
      <c r="A24" s="128"/>
      <c r="B24" s="14" t="s">
        <v>101</v>
      </c>
      <c r="C24" s="10"/>
      <c r="D24" s="48">
        <f t="shared" si="1"/>
        <v>0</v>
      </c>
      <c r="F24" s="38"/>
      <c r="G24" s="37"/>
      <c r="H24" s="190"/>
      <c r="I24" s="191"/>
      <c r="J24" s="191"/>
      <c r="L24" s="47">
        <v>1667</v>
      </c>
      <c r="N24" s="1"/>
      <c r="O24" t="s">
        <v>49</v>
      </c>
      <c r="P24" s="4">
        <v>1728</v>
      </c>
      <c r="Q24" s="4"/>
      <c r="R24" s="5">
        <f t="shared" si="0"/>
        <v>1728</v>
      </c>
    </row>
    <row r="25" spans="1:18" ht="15.75" x14ac:dyDescent="0.25">
      <c r="A25" s="128"/>
      <c r="B25" s="14" t="s">
        <v>116</v>
      </c>
      <c r="C25" s="10"/>
      <c r="D25" s="48">
        <f t="shared" si="1"/>
        <v>0</v>
      </c>
      <c r="F25" s="60" t="s">
        <v>100</v>
      </c>
      <c r="G25" s="55" t="s">
        <v>98</v>
      </c>
      <c r="H25" s="192" t="s">
        <v>13</v>
      </c>
      <c r="I25" s="193"/>
      <c r="J25" s="194"/>
      <c r="L25" s="47">
        <f>1582</f>
        <v>1582</v>
      </c>
      <c r="O25" t="s">
        <v>51</v>
      </c>
      <c r="P25" s="4">
        <v>1582</v>
      </c>
      <c r="Q25" s="4"/>
      <c r="R25" s="5">
        <f t="shared" si="0"/>
        <v>1582</v>
      </c>
    </row>
    <row r="26" spans="1:18" ht="15.75" x14ac:dyDescent="0.25">
      <c r="A26" s="128"/>
      <c r="B26" s="14" t="s">
        <v>105</v>
      </c>
      <c r="C26" s="10"/>
      <c r="D26" s="48">
        <f t="shared" si="1"/>
        <v>0</v>
      </c>
      <c r="F26" s="64"/>
      <c r="G26" s="59"/>
      <c r="H26" s="195"/>
      <c r="I26" s="196"/>
      <c r="J26" s="197"/>
      <c r="L26" s="7">
        <f>832/24+1.5</f>
        <v>36.166666666666664</v>
      </c>
      <c r="O26" t="s">
        <v>52</v>
      </c>
      <c r="P26" s="4">
        <v>1447</v>
      </c>
      <c r="Q26" s="4">
        <v>120</v>
      </c>
      <c r="R26" s="5">
        <f t="shared" si="0"/>
        <v>1567</v>
      </c>
    </row>
    <row r="27" spans="1:18" ht="14.45" customHeight="1" x14ac:dyDescent="0.25">
      <c r="A27" s="128"/>
      <c r="B27" s="14" t="s">
        <v>109</v>
      </c>
      <c r="C27" s="10"/>
      <c r="D27" s="44">
        <f t="shared" si="1"/>
        <v>0</v>
      </c>
      <c r="F27" s="25"/>
      <c r="G27" s="80"/>
      <c r="H27" s="198"/>
      <c r="I27" s="199"/>
      <c r="J27" s="200"/>
      <c r="L27" s="7">
        <v>1582</v>
      </c>
      <c r="O27" t="s">
        <v>53</v>
      </c>
      <c r="P27" s="4">
        <v>1582</v>
      </c>
      <c r="Q27" s="4"/>
      <c r="R27" s="5">
        <f t="shared" si="0"/>
        <v>1582</v>
      </c>
    </row>
    <row r="28" spans="1:18" ht="15.75" x14ac:dyDescent="0.25">
      <c r="A28" s="129"/>
      <c r="B28" s="46" t="s">
        <v>97</v>
      </c>
      <c r="C28" s="10"/>
      <c r="D28" s="48">
        <f t="shared" si="1"/>
        <v>0</v>
      </c>
      <c r="F28" s="106"/>
      <c r="G28" s="61"/>
      <c r="H28" s="201"/>
      <c r="I28" s="202"/>
      <c r="J28" s="203"/>
      <c r="L28" s="7">
        <v>785</v>
      </c>
      <c r="O28" t="s">
        <v>54</v>
      </c>
      <c r="P28" s="4">
        <v>1447</v>
      </c>
      <c r="Q28" s="4">
        <v>120</v>
      </c>
      <c r="R28" s="5">
        <f t="shared" si="0"/>
        <v>1567</v>
      </c>
    </row>
    <row r="29" spans="1:18" x14ac:dyDescent="0.25">
      <c r="A29" s="167" t="s">
        <v>36</v>
      </c>
      <c r="B29" s="168"/>
      <c r="C29" s="169"/>
      <c r="D29" s="173">
        <f>SUM(D6:D28)</f>
        <v>0</v>
      </c>
      <c r="F29" s="175" t="s">
        <v>55</v>
      </c>
      <c r="G29" s="176"/>
      <c r="H29" s="179">
        <f>H15-H16-H17-H18-H19-H20-H22-H23-H24+H26+H27</f>
        <v>0</v>
      </c>
      <c r="I29" s="180"/>
      <c r="J29" s="181"/>
      <c r="O29" t="s">
        <v>56</v>
      </c>
      <c r="P29" s="4">
        <v>1582</v>
      </c>
      <c r="Q29" s="4"/>
      <c r="R29" s="5">
        <f t="shared" si="0"/>
        <v>1582</v>
      </c>
    </row>
    <row r="30" spans="1:18" x14ac:dyDescent="0.25">
      <c r="A30" s="170"/>
      <c r="B30" s="171"/>
      <c r="C30" s="172"/>
      <c r="D30" s="174"/>
      <c r="F30" s="177"/>
      <c r="G30" s="178"/>
      <c r="H30" s="182"/>
      <c r="I30" s="183"/>
      <c r="J30" s="184"/>
      <c r="N30" s="1"/>
      <c r="Q30" s="4"/>
      <c r="R30" s="5">
        <f t="shared" si="0"/>
        <v>0</v>
      </c>
    </row>
    <row r="31" spans="1:18" x14ac:dyDescent="0.25">
      <c r="A31" s="24"/>
      <c r="B31" s="24"/>
      <c r="C31" s="24"/>
      <c r="D31" s="24"/>
      <c r="F31" s="24"/>
      <c r="G31" s="24"/>
      <c r="O31" t="s">
        <v>57</v>
      </c>
      <c r="P31" s="4">
        <v>1052</v>
      </c>
      <c r="Q31" s="4">
        <v>120</v>
      </c>
      <c r="R31" s="5">
        <f t="shared" si="0"/>
        <v>1172</v>
      </c>
    </row>
    <row r="32" spans="1:18" x14ac:dyDescent="0.25">
      <c r="A32" s="114" t="s">
        <v>58</v>
      </c>
      <c r="B32" s="115"/>
      <c r="C32" s="115"/>
      <c r="D32" s="116"/>
      <c r="F32" s="204" t="s">
        <v>59</v>
      </c>
      <c r="G32" s="205"/>
      <c r="H32" s="205"/>
      <c r="I32" s="205"/>
      <c r="J32" s="206"/>
      <c r="O32" t="s">
        <v>60</v>
      </c>
      <c r="P32" s="4">
        <v>1005</v>
      </c>
      <c r="Q32" s="4">
        <v>120</v>
      </c>
      <c r="R32" s="5">
        <f t="shared" si="0"/>
        <v>1125</v>
      </c>
    </row>
    <row r="33" spans="1:18" x14ac:dyDescent="0.25">
      <c r="A33" s="25"/>
      <c r="B33" s="25" t="s">
        <v>11</v>
      </c>
      <c r="C33" s="25" t="s">
        <v>61</v>
      </c>
      <c r="D33" s="25" t="s">
        <v>13</v>
      </c>
      <c r="F33" s="25" t="s">
        <v>62</v>
      </c>
      <c r="G33" s="107" t="s">
        <v>63</v>
      </c>
      <c r="H33" s="204" t="s">
        <v>13</v>
      </c>
      <c r="I33" s="205"/>
      <c r="J33" s="206"/>
      <c r="O33" t="s">
        <v>64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27" t="s">
        <v>65</v>
      </c>
      <c r="B34" s="26" t="s">
        <v>66</v>
      </c>
      <c r="C34" s="51"/>
      <c r="D34" s="30">
        <f>C34*120</f>
        <v>0</v>
      </c>
      <c r="F34" s="12">
        <v>1000</v>
      </c>
      <c r="G34" s="74"/>
      <c r="H34" s="207">
        <f>F34*G34</f>
        <v>0</v>
      </c>
      <c r="I34" s="208"/>
      <c r="J34" s="209"/>
      <c r="O34" t="s">
        <v>67</v>
      </c>
      <c r="P34" s="4">
        <v>832</v>
      </c>
      <c r="Q34" s="4">
        <v>120</v>
      </c>
      <c r="R34" s="5">
        <f t="shared" si="0"/>
        <v>952</v>
      </c>
    </row>
    <row r="35" spans="1:18" ht="15.75" x14ac:dyDescent="0.25">
      <c r="A35" s="128"/>
      <c r="B35" s="27" t="s">
        <v>68</v>
      </c>
      <c r="C35" s="52"/>
      <c r="D35" s="30">
        <f>C35*84</f>
        <v>0</v>
      </c>
      <c r="F35" s="58">
        <v>500</v>
      </c>
      <c r="G35" s="41"/>
      <c r="H35" s="207">
        <f>F35*G35</f>
        <v>0</v>
      </c>
      <c r="I35" s="208"/>
      <c r="J35" s="209"/>
      <c r="O35" t="s">
        <v>69</v>
      </c>
      <c r="P35" s="4">
        <v>1102</v>
      </c>
      <c r="Q35" s="4"/>
      <c r="R35" s="5">
        <f t="shared" si="0"/>
        <v>1102</v>
      </c>
    </row>
    <row r="36" spans="1:18" ht="15.75" x14ac:dyDescent="0.25">
      <c r="A36" s="129"/>
      <c r="B36" s="26" t="s">
        <v>70</v>
      </c>
      <c r="C36" s="10"/>
      <c r="D36" s="12">
        <f>C36*1.5</f>
        <v>0</v>
      </c>
      <c r="F36" s="12">
        <v>200</v>
      </c>
      <c r="G36" s="37"/>
      <c r="H36" s="207">
        <f t="shared" ref="H36:H39" si="2">F36*G36</f>
        <v>0</v>
      </c>
      <c r="I36" s="208"/>
      <c r="J36" s="209"/>
      <c r="O36" t="s">
        <v>71</v>
      </c>
      <c r="P36" s="4">
        <v>852</v>
      </c>
      <c r="Q36" s="4">
        <v>120</v>
      </c>
      <c r="R36" s="5">
        <f t="shared" si="0"/>
        <v>972</v>
      </c>
    </row>
    <row r="37" spans="1:18" ht="15.75" x14ac:dyDescent="0.25">
      <c r="A37" s="127" t="s">
        <v>72</v>
      </c>
      <c r="B37" s="28" t="s">
        <v>66</v>
      </c>
      <c r="C37" s="53"/>
      <c r="D37" s="12">
        <f>C37*111</f>
        <v>0</v>
      </c>
      <c r="F37" s="12">
        <v>100</v>
      </c>
      <c r="G37" s="39"/>
      <c r="H37" s="207">
        <f t="shared" si="2"/>
        <v>0</v>
      </c>
      <c r="I37" s="208"/>
      <c r="J37" s="209"/>
      <c r="O37" t="s">
        <v>73</v>
      </c>
      <c r="P37" s="4">
        <v>1020</v>
      </c>
      <c r="Q37" s="4">
        <v>120</v>
      </c>
      <c r="R37" s="5">
        <f t="shared" si="0"/>
        <v>1140</v>
      </c>
    </row>
    <row r="38" spans="1:18" ht="15.75" x14ac:dyDescent="0.25">
      <c r="A38" s="128"/>
      <c r="B38" s="29" t="s">
        <v>68</v>
      </c>
      <c r="C38" s="54"/>
      <c r="D38" s="12">
        <f>C38*84</f>
        <v>0</v>
      </c>
      <c r="F38" s="30">
        <v>50</v>
      </c>
      <c r="G38" s="39"/>
      <c r="H38" s="207">
        <f t="shared" si="2"/>
        <v>0</v>
      </c>
      <c r="I38" s="208"/>
      <c r="J38" s="209"/>
      <c r="O38" t="s">
        <v>74</v>
      </c>
      <c r="P38" s="4">
        <v>596</v>
      </c>
      <c r="Q38" s="4">
        <v>111</v>
      </c>
      <c r="R38" s="5">
        <f t="shared" si="0"/>
        <v>707</v>
      </c>
    </row>
    <row r="39" spans="1:18" ht="15.75" x14ac:dyDescent="0.25">
      <c r="A39" s="129"/>
      <c r="B39" s="29" t="s">
        <v>70</v>
      </c>
      <c r="C39" s="52"/>
      <c r="D39" s="31">
        <f>C39*4.5</f>
        <v>0</v>
      </c>
      <c r="F39" s="12">
        <v>20</v>
      </c>
      <c r="G39" s="37"/>
      <c r="H39" s="207">
        <f t="shared" si="2"/>
        <v>0</v>
      </c>
      <c r="I39" s="208"/>
      <c r="J39" s="209"/>
      <c r="O39" t="s">
        <v>75</v>
      </c>
      <c r="P39" s="4">
        <v>1175</v>
      </c>
      <c r="Q39" s="4"/>
      <c r="R39" s="5">
        <f t="shared" si="0"/>
        <v>1175</v>
      </c>
    </row>
    <row r="40" spans="1:18" ht="15.75" x14ac:dyDescent="0.25">
      <c r="A40" s="127" t="s">
        <v>76</v>
      </c>
      <c r="B40" s="27" t="s">
        <v>66</v>
      </c>
      <c r="C40" s="63"/>
      <c r="D40" s="12">
        <f>C40*111</f>
        <v>0</v>
      </c>
      <c r="F40" s="12">
        <v>10</v>
      </c>
      <c r="G40" s="42"/>
      <c r="H40" s="207"/>
      <c r="I40" s="208"/>
      <c r="J40" s="209"/>
      <c r="O40" t="s">
        <v>77</v>
      </c>
      <c r="P40" s="4">
        <v>913</v>
      </c>
      <c r="Q40" s="4">
        <v>120</v>
      </c>
      <c r="R40" s="5">
        <f t="shared" si="0"/>
        <v>1033</v>
      </c>
    </row>
    <row r="41" spans="1:18" ht="15.75" x14ac:dyDescent="0.25">
      <c r="A41" s="128"/>
      <c r="B41" s="27" t="s">
        <v>68</v>
      </c>
      <c r="C41" s="10"/>
      <c r="D41" s="12">
        <f>C41*84</f>
        <v>0</v>
      </c>
      <c r="F41" s="12">
        <v>5</v>
      </c>
      <c r="G41" s="42"/>
      <c r="H41" s="207"/>
      <c r="I41" s="208"/>
      <c r="J41" s="209"/>
      <c r="K41" s="21"/>
      <c r="O41" t="s">
        <v>78</v>
      </c>
      <c r="P41" s="4">
        <v>614</v>
      </c>
      <c r="Q41" s="4">
        <v>111</v>
      </c>
      <c r="R41" s="5">
        <f t="shared" si="0"/>
        <v>725</v>
      </c>
    </row>
    <row r="42" spans="1:18" ht="15.75" x14ac:dyDescent="0.25">
      <c r="A42" s="129"/>
      <c r="B42" s="27" t="s">
        <v>70</v>
      </c>
      <c r="C42" s="11"/>
      <c r="D42" s="12">
        <f>C42*2.25</f>
        <v>0</v>
      </c>
      <c r="F42" s="39" t="s">
        <v>79</v>
      </c>
      <c r="G42" s="207"/>
      <c r="H42" s="208"/>
      <c r="I42" s="208"/>
      <c r="J42" s="209"/>
      <c r="K42" s="36"/>
      <c r="O42" t="s">
        <v>80</v>
      </c>
      <c r="P42" s="4">
        <v>626</v>
      </c>
      <c r="Q42" s="4">
        <v>111</v>
      </c>
      <c r="R42" s="5">
        <f t="shared" si="0"/>
        <v>737</v>
      </c>
    </row>
    <row r="43" spans="1:18" ht="15.75" x14ac:dyDescent="0.25">
      <c r="A43" s="210" t="s">
        <v>81</v>
      </c>
      <c r="C43" s="11"/>
      <c r="D43" s="12"/>
      <c r="F43" s="59" t="s">
        <v>82</v>
      </c>
      <c r="G43" s="109" t="s">
        <v>83</v>
      </c>
      <c r="H43" s="213" t="s">
        <v>13</v>
      </c>
      <c r="I43" s="214"/>
      <c r="J43" s="215"/>
      <c r="K43" s="21"/>
      <c r="P43" s="4"/>
      <c r="Q43" s="4"/>
      <c r="R43" s="5"/>
    </row>
    <row r="44" spans="1:18" ht="15.75" x14ac:dyDescent="0.25">
      <c r="A44" s="211"/>
      <c r="B44" s="27" t="s">
        <v>66</v>
      </c>
      <c r="C44" s="10"/>
      <c r="D44" s="12">
        <f>C44*120</f>
        <v>0</v>
      </c>
      <c r="F44" s="37"/>
      <c r="G44" s="76"/>
      <c r="H44" s="191"/>
      <c r="I44" s="191"/>
      <c r="J44" s="191"/>
      <c r="K44" s="21"/>
      <c r="P44" s="4"/>
      <c r="Q44" s="4"/>
      <c r="R44" s="5"/>
    </row>
    <row r="45" spans="1:18" ht="15.75" x14ac:dyDescent="0.25">
      <c r="A45" s="211"/>
      <c r="B45" s="27" t="s">
        <v>68</v>
      </c>
      <c r="C45" s="33"/>
      <c r="D45" s="12">
        <f>C45*84</f>
        <v>0</v>
      </c>
      <c r="F45" s="37"/>
      <c r="G45" s="76"/>
      <c r="H45" s="191"/>
      <c r="I45" s="191"/>
      <c r="J45" s="191"/>
      <c r="K45" s="21"/>
      <c r="P45" s="4"/>
      <c r="Q45" s="4"/>
      <c r="R45" s="5"/>
    </row>
    <row r="46" spans="1:18" ht="15.75" x14ac:dyDescent="0.25">
      <c r="A46" s="211"/>
      <c r="B46" s="49" t="s">
        <v>70</v>
      </c>
      <c r="C46" s="81"/>
      <c r="D46" s="12">
        <f>C46*1.5</f>
        <v>0</v>
      </c>
      <c r="F46" s="37"/>
      <c r="G46" s="62"/>
      <c r="H46" s="216"/>
      <c r="I46" s="216"/>
      <c r="J46" s="216"/>
      <c r="K46" s="21"/>
      <c r="P46" s="4"/>
      <c r="Q46" s="4"/>
      <c r="R46" s="5"/>
    </row>
    <row r="47" spans="1:18" ht="15.75" x14ac:dyDescent="0.25">
      <c r="A47" s="212"/>
      <c r="B47" s="27"/>
      <c r="C47" s="11"/>
      <c r="D47" s="12"/>
      <c r="F47" s="59"/>
      <c r="G47" s="59"/>
      <c r="H47" s="217"/>
      <c r="I47" s="218"/>
      <c r="J47" s="219"/>
      <c r="K47" s="21"/>
      <c r="P47" s="4"/>
      <c r="Q47" s="4"/>
      <c r="R47" s="5"/>
    </row>
    <row r="48" spans="1:18" ht="15" customHeight="1" x14ac:dyDescent="0.25">
      <c r="A48" s="210" t="s">
        <v>32</v>
      </c>
      <c r="B48" s="27" t="s">
        <v>66</v>
      </c>
      <c r="C48" s="10"/>
      <c r="D48" s="12">
        <f>C48*78</f>
        <v>0</v>
      </c>
      <c r="F48" s="59"/>
      <c r="G48" s="59"/>
      <c r="H48" s="217"/>
      <c r="I48" s="218"/>
      <c r="J48" s="219"/>
      <c r="K48" s="35"/>
      <c r="O48" t="s">
        <v>84</v>
      </c>
      <c r="P48" s="4">
        <v>1175</v>
      </c>
      <c r="Q48" s="4"/>
      <c r="R48" s="5">
        <f t="shared" si="0"/>
        <v>1175</v>
      </c>
    </row>
    <row r="49" spans="1:18" ht="15.75" x14ac:dyDescent="0.25">
      <c r="A49" s="211"/>
      <c r="B49" s="29" t="s">
        <v>68</v>
      </c>
      <c r="C49" s="33"/>
      <c r="D49" s="12">
        <f>C49*42</f>
        <v>0</v>
      </c>
      <c r="F49" s="232" t="s">
        <v>86</v>
      </c>
      <c r="G49" s="179">
        <f>H34+H35+H36+H37+H38+H39+H40+H41+G42+H44+H45+H46</f>
        <v>0</v>
      </c>
      <c r="H49" s="180"/>
      <c r="I49" s="180"/>
      <c r="J49" s="181"/>
      <c r="O49" t="s">
        <v>85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211"/>
      <c r="B50" s="32" t="s">
        <v>70</v>
      </c>
      <c r="C50" s="11"/>
      <c r="D50" s="12">
        <f>C50*1.5</f>
        <v>0</v>
      </c>
      <c r="F50" s="233"/>
      <c r="G50" s="182"/>
      <c r="H50" s="183"/>
      <c r="I50" s="183"/>
      <c r="J50" s="184"/>
      <c r="P50" s="4"/>
      <c r="Q50" s="4"/>
      <c r="R50" s="5"/>
    </row>
    <row r="51" spans="1:18" ht="15" customHeight="1" x14ac:dyDescent="0.25">
      <c r="A51" s="211"/>
      <c r="B51" s="27"/>
      <c r="C51" s="10"/>
      <c r="D51" s="31"/>
      <c r="F51" s="234" t="s">
        <v>142</v>
      </c>
      <c r="G51" s="247">
        <f>G49-H29</f>
        <v>0</v>
      </c>
      <c r="H51" s="248"/>
      <c r="I51" s="248"/>
      <c r="J51" s="249"/>
      <c r="K51" s="21"/>
      <c r="O51" t="s">
        <v>87</v>
      </c>
      <c r="P51" s="4">
        <v>703</v>
      </c>
      <c r="Q51" s="4">
        <v>120</v>
      </c>
      <c r="R51" s="5">
        <f t="shared" si="0"/>
        <v>823</v>
      </c>
    </row>
    <row r="52" spans="1:18" ht="15.75" x14ac:dyDescent="0.25">
      <c r="A52" s="211"/>
      <c r="B52" s="29"/>
      <c r="C52" s="33"/>
      <c r="D52" s="45"/>
      <c r="F52" s="235"/>
      <c r="G52" s="250"/>
      <c r="H52" s="251"/>
      <c r="I52" s="251"/>
      <c r="J52" s="252"/>
      <c r="K52" s="21"/>
      <c r="O52" t="s">
        <v>88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212"/>
      <c r="B53" s="32"/>
      <c r="C53" s="11"/>
      <c r="D53" s="12"/>
      <c r="F53" s="35"/>
      <c r="G53" s="24"/>
      <c r="H53" s="24"/>
      <c r="I53" s="24"/>
      <c r="J53" s="17"/>
      <c r="N53" s="1"/>
      <c r="O53" t="s">
        <v>89</v>
      </c>
      <c r="P53" s="4">
        <v>1142</v>
      </c>
    </row>
    <row r="54" spans="1:18" x14ac:dyDescent="0.25">
      <c r="A54" s="175" t="s">
        <v>90</v>
      </c>
      <c r="B54" s="220"/>
      <c r="C54" s="221"/>
      <c r="D54" s="224">
        <f>SUM(D34:D53)</f>
        <v>0</v>
      </c>
      <c r="F54" s="21"/>
      <c r="J54" s="34"/>
    </row>
    <row r="55" spans="1:18" x14ac:dyDescent="0.25">
      <c r="A55" s="177"/>
      <c r="B55" s="222"/>
      <c r="C55" s="223"/>
      <c r="D55" s="225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118</v>
      </c>
      <c r="D57" s="34"/>
      <c r="F57" s="36"/>
      <c r="G57" s="50"/>
      <c r="H57" s="50"/>
      <c r="I57" s="50"/>
      <c r="J57" s="43"/>
    </row>
    <row r="58" spans="1:18" x14ac:dyDescent="0.25">
      <c r="A58" s="226" t="s">
        <v>91</v>
      </c>
      <c r="B58" s="227"/>
      <c r="C58" s="227"/>
      <c r="D58" s="228"/>
      <c r="F58" s="226" t="s">
        <v>92</v>
      </c>
      <c r="G58" s="227"/>
      <c r="H58" s="227"/>
      <c r="I58" s="227"/>
      <c r="J58" s="228"/>
    </row>
    <row r="59" spans="1:18" x14ac:dyDescent="0.25">
      <c r="A59" s="229"/>
      <c r="B59" s="230"/>
      <c r="C59" s="230"/>
      <c r="D59" s="231"/>
      <c r="F59" s="229"/>
      <c r="G59" s="230"/>
      <c r="H59" s="230"/>
      <c r="I59" s="230"/>
      <c r="J59" s="231"/>
    </row>
  </sheetData>
  <mergeCells count="68"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  <mergeCell ref="H13:J13"/>
    <mergeCell ref="F14:G14"/>
    <mergeCell ref="H14:J14"/>
    <mergeCell ref="F15:G15"/>
    <mergeCell ref="H15:J15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A32:D32"/>
    <mergeCell ref="F32:J32"/>
    <mergeCell ref="H33:J33"/>
    <mergeCell ref="A34:A36"/>
    <mergeCell ref="H34:J34"/>
    <mergeCell ref="H35:J35"/>
    <mergeCell ref="H36:J36"/>
    <mergeCell ref="A37:A39"/>
    <mergeCell ref="H37:J37"/>
    <mergeCell ref="H38:J38"/>
    <mergeCell ref="H39:J39"/>
    <mergeCell ref="A40:A42"/>
    <mergeCell ref="H40:J40"/>
    <mergeCell ref="H41:J41"/>
    <mergeCell ref="G42:J42"/>
    <mergeCell ref="A43:A47"/>
    <mergeCell ref="H43:J43"/>
    <mergeCell ref="H44:J44"/>
    <mergeCell ref="H45:J45"/>
    <mergeCell ref="H46:J46"/>
    <mergeCell ref="H47:J47"/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5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993992D-2FC4-4AF3-8779-F093F46214F8}">
  <dimension ref="A1:S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9" x14ac:dyDescent="0.25">
      <c r="A1" t="s">
        <v>0</v>
      </c>
      <c r="N1" s="113" t="s">
        <v>1</v>
      </c>
      <c r="O1" s="113"/>
      <c r="P1" s="105" t="s">
        <v>2</v>
      </c>
      <c r="Q1" s="105" t="s">
        <v>3</v>
      </c>
      <c r="R1" s="2" t="s">
        <v>4</v>
      </c>
    </row>
    <row r="2" spans="1:19" x14ac:dyDescent="0.25">
      <c r="A2" t="s">
        <v>5</v>
      </c>
      <c r="N2" s="1"/>
    </row>
    <row r="3" spans="1:19" x14ac:dyDescent="0.25">
      <c r="N3" s="1" t="s">
        <v>6</v>
      </c>
      <c r="O3" s="4"/>
    </row>
    <row r="4" spans="1:19" x14ac:dyDescent="0.25">
      <c r="A4" s="114" t="s">
        <v>7</v>
      </c>
      <c r="B4" s="115"/>
      <c r="C4" s="115"/>
      <c r="D4" s="116"/>
      <c r="F4" s="117" t="s">
        <v>8</v>
      </c>
      <c r="G4" s="119"/>
      <c r="H4" s="121" t="s">
        <v>9</v>
      </c>
      <c r="I4" s="123"/>
      <c r="J4" s="124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9" x14ac:dyDescent="0.25">
      <c r="A5" s="127" t="s">
        <v>7</v>
      </c>
      <c r="B5" s="15" t="s">
        <v>11</v>
      </c>
      <c r="C5" s="9" t="s">
        <v>12</v>
      </c>
      <c r="D5" s="25" t="s">
        <v>13</v>
      </c>
      <c r="F5" s="118"/>
      <c r="G5" s="120"/>
      <c r="H5" s="122"/>
      <c r="I5" s="125"/>
      <c r="J5" s="126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9" ht="14.45" customHeight="1" x14ac:dyDescent="0.25">
      <c r="A6" s="128"/>
      <c r="B6" s="16"/>
      <c r="C6" s="10"/>
      <c r="D6" s="13">
        <f t="shared" ref="D6:D28" si="1">C6*L6</f>
        <v>0</v>
      </c>
      <c r="F6" s="130" t="s">
        <v>16</v>
      </c>
      <c r="G6" s="132"/>
      <c r="H6" s="133"/>
      <c r="I6" s="133"/>
      <c r="J6" s="134"/>
      <c r="K6" s="8"/>
      <c r="L6" s="6">
        <f>R42</f>
        <v>737</v>
      </c>
      <c r="O6" t="s">
        <v>17</v>
      </c>
      <c r="P6" s="4">
        <v>650</v>
      </c>
      <c r="Q6" s="4"/>
      <c r="R6" s="5">
        <f t="shared" si="0"/>
        <v>650</v>
      </c>
    </row>
    <row r="7" spans="1:19" ht="14.45" customHeight="1" x14ac:dyDescent="0.25">
      <c r="A7" s="128"/>
      <c r="B7" s="16"/>
      <c r="C7" s="10"/>
      <c r="D7" s="13">
        <f t="shared" si="1"/>
        <v>0</v>
      </c>
      <c r="F7" s="131"/>
      <c r="G7" s="135"/>
      <c r="H7" s="136"/>
      <c r="I7" s="136"/>
      <c r="J7" s="137"/>
      <c r="K7" s="8"/>
      <c r="L7" s="6">
        <f>R41</f>
        <v>725</v>
      </c>
      <c r="P7" s="4"/>
      <c r="Q7" s="4"/>
      <c r="R7" s="5"/>
    </row>
    <row r="8" spans="1:19" ht="14.45" customHeight="1" x14ac:dyDescent="0.25">
      <c r="A8" s="128"/>
      <c r="B8" s="16"/>
      <c r="C8" s="10"/>
      <c r="D8" s="13">
        <f t="shared" si="1"/>
        <v>0</v>
      </c>
      <c r="F8" s="138" t="s">
        <v>21</v>
      </c>
      <c r="G8" s="140"/>
      <c r="H8" s="141"/>
      <c r="I8" s="141"/>
      <c r="J8" s="142"/>
      <c r="K8" s="8"/>
      <c r="L8" s="6">
        <f>R40</f>
        <v>1033</v>
      </c>
      <c r="P8" s="4"/>
      <c r="Q8" s="4"/>
      <c r="R8" s="5"/>
    </row>
    <row r="9" spans="1:19" ht="14.45" customHeight="1" x14ac:dyDescent="0.25">
      <c r="A9" s="128"/>
      <c r="B9" s="16"/>
      <c r="C9" s="10"/>
      <c r="D9" s="13">
        <f t="shared" si="1"/>
        <v>0</v>
      </c>
      <c r="F9" s="131"/>
      <c r="G9" s="143"/>
      <c r="H9" s="144"/>
      <c r="I9" s="144"/>
      <c r="J9" s="145"/>
      <c r="K9" s="8"/>
      <c r="L9" s="6">
        <f>R38</f>
        <v>707</v>
      </c>
      <c r="P9" s="4"/>
      <c r="Q9" s="4"/>
      <c r="R9" s="5"/>
    </row>
    <row r="10" spans="1:19" ht="14.45" customHeight="1" x14ac:dyDescent="0.25">
      <c r="A10" s="128"/>
      <c r="C10" s="10"/>
      <c r="D10" s="13">
        <f t="shared" si="1"/>
        <v>0</v>
      </c>
      <c r="F10" s="130" t="s">
        <v>26</v>
      </c>
      <c r="G10" s="146"/>
      <c r="H10" s="147"/>
      <c r="I10" s="147"/>
      <c r="J10" s="148"/>
      <c r="K10" s="8"/>
      <c r="L10" s="6">
        <f>R36</f>
        <v>972</v>
      </c>
      <c r="P10" s="4"/>
      <c r="Q10" s="4"/>
      <c r="R10" s="5"/>
    </row>
    <row r="11" spans="1:19" ht="15.75" x14ac:dyDescent="0.25">
      <c r="A11" s="128"/>
      <c r="B11" s="17"/>
      <c r="C11" s="10"/>
      <c r="D11" s="13">
        <f t="shared" si="1"/>
        <v>0</v>
      </c>
      <c r="F11" s="131"/>
      <c r="G11" s="143"/>
      <c r="H11" s="144"/>
      <c r="I11" s="144"/>
      <c r="J11" s="145"/>
      <c r="K11" s="22"/>
      <c r="L11" s="6">
        <f>R32</f>
        <v>1125</v>
      </c>
      <c r="O11" t="s">
        <v>19</v>
      </c>
      <c r="P11" s="4">
        <v>650</v>
      </c>
      <c r="Q11" s="4"/>
      <c r="R11" s="5">
        <f t="shared" si="0"/>
        <v>650</v>
      </c>
    </row>
    <row r="12" spans="1:19" ht="15.75" x14ac:dyDescent="0.25">
      <c r="A12" s="128"/>
      <c r="B12" s="17"/>
      <c r="C12" s="10"/>
      <c r="D12" s="48">
        <f t="shared" si="1"/>
        <v>0</v>
      </c>
      <c r="F12" s="149" t="s">
        <v>33</v>
      </c>
      <c r="G12" s="150"/>
      <c r="H12" s="150"/>
      <c r="I12" s="150"/>
      <c r="J12" s="151"/>
      <c r="K12" s="23"/>
      <c r="L12" s="6">
        <f>R34</f>
        <v>952</v>
      </c>
      <c r="O12" t="s">
        <v>22</v>
      </c>
      <c r="P12" s="4">
        <v>650</v>
      </c>
      <c r="Q12" s="4"/>
      <c r="R12" s="5">
        <f t="shared" si="0"/>
        <v>650</v>
      </c>
    </row>
    <row r="13" spans="1:19" ht="15.75" x14ac:dyDescent="0.25">
      <c r="A13" s="128"/>
      <c r="B13" s="17"/>
      <c r="C13" s="10"/>
      <c r="D13" s="48">
        <f t="shared" si="1"/>
        <v>0</v>
      </c>
      <c r="F13" s="152" t="s">
        <v>36</v>
      </c>
      <c r="G13" s="153"/>
      <c r="H13" s="154">
        <f>D29</f>
        <v>0</v>
      </c>
      <c r="I13" s="155"/>
      <c r="J13" s="156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9" ht="15.75" x14ac:dyDescent="0.25">
      <c r="A14" s="128"/>
      <c r="B14" s="14"/>
      <c r="C14" s="10"/>
      <c r="D14" s="31">
        <f t="shared" si="1"/>
        <v>0</v>
      </c>
      <c r="F14" s="157" t="s">
        <v>39</v>
      </c>
      <c r="G14" s="158"/>
      <c r="H14" s="159">
        <f>D54</f>
        <v>0</v>
      </c>
      <c r="I14" s="160"/>
      <c r="J14" s="161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  <c r="S14">
        <f>205+78</f>
        <v>283</v>
      </c>
    </row>
    <row r="15" spans="1:19" ht="15.75" x14ac:dyDescent="0.25">
      <c r="A15" s="128"/>
      <c r="B15" s="14"/>
      <c r="C15" s="10"/>
      <c r="D15" s="31">
        <f t="shared" si="1"/>
        <v>0</v>
      </c>
      <c r="F15" s="162" t="s">
        <v>40</v>
      </c>
      <c r="G15" s="153"/>
      <c r="H15" s="163">
        <f>H13-H14</f>
        <v>0</v>
      </c>
      <c r="I15" s="164"/>
      <c r="J15" s="165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  <c r="S15">
        <f>229+78</f>
        <v>307</v>
      </c>
    </row>
    <row r="16" spans="1:19" ht="15.75" x14ac:dyDescent="0.25">
      <c r="A16" s="128"/>
      <c r="B16" s="18"/>
      <c r="C16" s="10"/>
      <c r="D16" s="48">
        <f t="shared" si="1"/>
        <v>0</v>
      </c>
      <c r="F16" s="67" t="s">
        <v>42</v>
      </c>
      <c r="G16" s="66" t="s">
        <v>43</v>
      </c>
      <c r="H16" s="166"/>
      <c r="I16" s="166"/>
      <c r="J16" s="166"/>
      <c r="L16" s="6">
        <f>R28</f>
        <v>1567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28"/>
      <c r="C17" s="10"/>
      <c r="D17" s="48">
        <f t="shared" si="1"/>
        <v>0</v>
      </c>
      <c r="F17" s="56"/>
      <c r="G17" s="66" t="s">
        <v>45</v>
      </c>
      <c r="H17" s="139"/>
      <c r="I17" s="139"/>
      <c r="J17" s="139"/>
      <c r="L17" s="6">
        <v>1582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28"/>
      <c r="B18" s="19"/>
      <c r="C18" s="10"/>
      <c r="D18" s="48">
        <f t="shared" si="1"/>
        <v>0</v>
      </c>
      <c r="F18" s="56"/>
      <c r="G18" s="66" t="s">
        <v>47</v>
      </c>
      <c r="H18" s="139"/>
      <c r="I18" s="139"/>
      <c r="J18" s="139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28"/>
      <c r="B19" s="14"/>
      <c r="C19" s="10"/>
      <c r="D19" s="48">
        <f t="shared" si="1"/>
        <v>0</v>
      </c>
      <c r="F19" s="56"/>
      <c r="G19" s="68" t="s">
        <v>50</v>
      </c>
      <c r="H19" s="185"/>
      <c r="I19" s="185"/>
      <c r="J19" s="185"/>
      <c r="L19" s="6">
        <f>R35</f>
        <v>1102</v>
      </c>
      <c r="Q19" s="4"/>
      <c r="R19" s="5">
        <f t="shared" si="0"/>
        <v>0</v>
      </c>
    </row>
    <row r="20" spans="1:18" ht="15.75" x14ac:dyDescent="0.25">
      <c r="A20" s="128"/>
      <c r="B20" s="46"/>
      <c r="C20" s="10"/>
      <c r="D20" s="13">
        <f t="shared" si="1"/>
        <v>0</v>
      </c>
      <c r="F20" s="57"/>
      <c r="G20" s="70" t="s">
        <v>120</v>
      </c>
      <c r="H20" s="166"/>
      <c r="I20" s="166"/>
      <c r="J20" s="166"/>
      <c r="L20" s="6">
        <f>1102</f>
        <v>1102</v>
      </c>
      <c r="N20" s="1" t="s">
        <v>41</v>
      </c>
      <c r="Q20" s="4"/>
      <c r="R20" s="5">
        <f t="shared" si="0"/>
        <v>0</v>
      </c>
    </row>
    <row r="21" spans="1:18" ht="15.75" x14ac:dyDescent="0.25">
      <c r="A21" s="128"/>
      <c r="B21" s="14"/>
      <c r="C21" s="10"/>
      <c r="D21" s="48">
        <f t="shared" si="1"/>
        <v>0</v>
      </c>
      <c r="F21" s="69" t="s">
        <v>99</v>
      </c>
      <c r="G21" s="82" t="s">
        <v>98</v>
      </c>
      <c r="H21" s="186" t="s">
        <v>13</v>
      </c>
      <c r="I21" s="187"/>
      <c r="J21" s="188"/>
      <c r="L21" s="7">
        <v>650</v>
      </c>
      <c r="O21" t="s">
        <v>44</v>
      </c>
      <c r="P21" s="4">
        <v>1447</v>
      </c>
      <c r="Q21" s="4">
        <v>120</v>
      </c>
      <c r="R21" s="5">
        <f t="shared" si="0"/>
        <v>1567</v>
      </c>
    </row>
    <row r="22" spans="1:18" ht="15.75" x14ac:dyDescent="0.25">
      <c r="A22" s="128"/>
      <c r="B22" s="46"/>
      <c r="C22" s="10"/>
      <c r="D22" s="48">
        <f t="shared" si="1"/>
        <v>0</v>
      </c>
      <c r="F22" s="77"/>
      <c r="G22" s="73"/>
      <c r="H22" s="189"/>
      <c r="I22" s="189"/>
      <c r="J22" s="189"/>
      <c r="L22" s="7">
        <f>559+111</f>
        <v>670</v>
      </c>
      <c r="O22" t="s">
        <v>46</v>
      </c>
      <c r="P22" s="4">
        <v>1582</v>
      </c>
      <c r="Q22" s="4"/>
      <c r="R22" s="5">
        <f t="shared" si="0"/>
        <v>1582</v>
      </c>
    </row>
    <row r="23" spans="1:18" ht="15.75" x14ac:dyDescent="0.25">
      <c r="A23" s="128"/>
      <c r="B23" s="14"/>
      <c r="C23" s="10"/>
      <c r="D23" s="48">
        <f t="shared" si="1"/>
        <v>0</v>
      </c>
      <c r="F23" s="78"/>
      <c r="G23" s="79"/>
      <c r="H23" s="190"/>
      <c r="I23" s="191"/>
      <c r="J23" s="191"/>
      <c r="L23" s="47">
        <f>R33</f>
        <v>1175</v>
      </c>
      <c r="N23" s="1"/>
      <c r="O23" t="s">
        <v>48</v>
      </c>
      <c r="P23" s="4">
        <v>1728</v>
      </c>
      <c r="Q23" s="4"/>
      <c r="R23" s="5">
        <f t="shared" si="0"/>
        <v>1728</v>
      </c>
    </row>
    <row r="24" spans="1:18" ht="15.75" x14ac:dyDescent="0.25">
      <c r="A24" s="128"/>
      <c r="B24" s="14"/>
      <c r="C24" s="10"/>
      <c r="D24" s="48">
        <f t="shared" si="1"/>
        <v>0</v>
      </c>
      <c r="F24" s="38"/>
      <c r="G24" s="37"/>
      <c r="H24" s="190"/>
      <c r="I24" s="191"/>
      <c r="J24" s="191"/>
      <c r="L24" s="47">
        <v>1667</v>
      </c>
      <c r="N24" s="1"/>
      <c r="O24" t="s">
        <v>49</v>
      </c>
      <c r="P24" s="4">
        <v>1728</v>
      </c>
      <c r="Q24" s="4"/>
      <c r="R24" s="5">
        <f t="shared" si="0"/>
        <v>1728</v>
      </c>
    </row>
    <row r="25" spans="1:18" ht="15.75" x14ac:dyDescent="0.25">
      <c r="A25" s="128"/>
      <c r="B25" s="14"/>
      <c r="C25" s="10"/>
      <c r="D25" s="48">
        <f t="shared" si="1"/>
        <v>0</v>
      </c>
      <c r="F25" s="60" t="s">
        <v>100</v>
      </c>
      <c r="G25" s="55" t="s">
        <v>98</v>
      </c>
      <c r="H25" s="192" t="s">
        <v>13</v>
      </c>
      <c r="I25" s="193"/>
      <c r="J25" s="194"/>
      <c r="L25" s="47">
        <f>1582</f>
        <v>1582</v>
      </c>
      <c r="O25" t="s">
        <v>51</v>
      </c>
      <c r="P25" s="4">
        <v>1582</v>
      </c>
      <c r="Q25" s="4"/>
      <c r="R25" s="5">
        <f t="shared" si="0"/>
        <v>1582</v>
      </c>
    </row>
    <row r="26" spans="1:18" ht="15.75" x14ac:dyDescent="0.25">
      <c r="A26" s="128"/>
      <c r="B26" s="14"/>
      <c r="C26" s="10"/>
      <c r="D26" s="48">
        <f t="shared" si="1"/>
        <v>0</v>
      </c>
      <c r="F26" s="64"/>
      <c r="G26" s="59"/>
      <c r="H26" s="195"/>
      <c r="I26" s="196"/>
      <c r="J26" s="197"/>
      <c r="L26" s="7">
        <f>832/24+1.5</f>
        <v>36.166666666666664</v>
      </c>
      <c r="O26" t="s">
        <v>52</v>
      </c>
      <c r="P26" s="4">
        <v>1447</v>
      </c>
      <c r="Q26" s="4">
        <v>120</v>
      </c>
      <c r="R26" s="5">
        <f t="shared" si="0"/>
        <v>1567</v>
      </c>
    </row>
    <row r="27" spans="1:18" ht="14.45" customHeight="1" x14ac:dyDescent="0.25">
      <c r="A27" s="128"/>
      <c r="B27" s="14"/>
      <c r="C27" s="10"/>
      <c r="D27" s="44">
        <f t="shared" si="1"/>
        <v>0</v>
      </c>
      <c r="F27" s="25"/>
      <c r="G27" s="80"/>
      <c r="H27" s="198"/>
      <c r="I27" s="199"/>
      <c r="J27" s="200"/>
      <c r="L27" s="7">
        <v>1582</v>
      </c>
      <c r="O27" t="s">
        <v>53</v>
      </c>
      <c r="P27" s="4">
        <v>1582</v>
      </c>
      <c r="Q27" s="4"/>
      <c r="R27" s="5">
        <f t="shared" si="0"/>
        <v>1582</v>
      </c>
    </row>
    <row r="28" spans="1:18" ht="15.75" x14ac:dyDescent="0.25">
      <c r="A28" s="129"/>
      <c r="B28" s="46"/>
      <c r="C28" s="10"/>
      <c r="D28" s="48">
        <f t="shared" si="1"/>
        <v>0</v>
      </c>
      <c r="F28" s="106"/>
      <c r="G28" s="61"/>
      <c r="H28" s="201"/>
      <c r="I28" s="202"/>
      <c r="J28" s="203"/>
      <c r="L28" s="7">
        <v>785</v>
      </c>
      <c r="O28" t="s">
        <v>54</v>
      </c>
      <c r="P28" s="4">
        <v>1447</v>
      </c>
      <c r="Q28" s="4">
        <v>120</v>
      </c>
      <c r="R28" s="5">
        <f t="shared" si="0"/>
        <v>1567</v>
      </c>
    </row>
    <row r="29" spans="1:18" x14ac:dyDescent="0.25">
      <c r="A29" s="167" t="s">
        <v>36</v>
      </c>
      <c r="B29" s="168"/>
      <c r="C29" s="169"/>
      <c r="D29" s="173">
        <f>SUM(D6:D28)</f>
        <v>0</v>
      </c>
      <c r="F29" s="175" t="s">
        <v>55</v>
      </c>
      <c r="G29" s="176"/>
      <c r="H29" s="179">
        <f>H15-H16-H17-H18-H19-H20-H22-H23-H24+H26+H27</f>
        <v>0</v>
      </c>
      <c r="I29" s="180"/>
      <c r="J29" s="181"/>
      <c r="O29" t="s">
        <v>56</v>
      </c>
      <c r="P29" s="4">
        <v>1582</v>
      </c>
      <c r="Q29" s="4"/>
      <c r="R29" s="5">
        <f t="shared" si="0"/>
        <v>1582</v>
      </c>
    </row>
    <row r="30" spans="1:18" x14ac:dyDescent="0.25">
      <c r="A30" s="170"/>
      <c r="B30" s="171"/>
      <c r="C30" s="172"/>
      <c r="D30" s="174"/>
      <c r="F30" s="177"/>
      <c r="G30" s="178"/>
      <c r="H30" s="182"/>
      <c r="I30" s="183"/>
      <c r="J30" s="184"/>
      <c r="N30" s="1"/>
      <c r="Q30" s="4"/>
      <c r="R30" s="5">
        <f t="shared" si="0"/>
        <v>0</v>
      </c>
    </row>
    <row r="31" spans="1:18" x14ac:dyDescent="0.25">
      <c r="A31" s="24"/>
      <c r="B31" s="24"/>
      <c r="C31" s="24"/>
      <c r="D31" s="24"/>
      <c r="F31" s="24"/>
      <c r="G31" s="24"/>
      <c r="O31" t="s">
        <v>57</v>
      </c>
      <c r="P31" s="4">
        <v>1052</v>
      </c>
      <c r="Q31" s="4">
        <v>120</v>
      </c>
      <c r="R31" s="5">
        <f t="shared" si="0"/>
        <v>1172</v>
      </c>
    </row>
    <row r="32" spans="1:18" x14ac:dyDescent="0.25">
      <c r="A32" s="114" t="s">
        <v>58</v>
      </c>
      <c r="B32" s="115"/>
      <c r="C32" s="115"/>
      <c r="D32" s="116"/>
      <c r="F32" s="204" t="s">
        <v>59</v>
      </c>
      <c r="G32" s="205"/>
      <c r="H32" s="205"/>
      <c r="I32" s="205"/>
      <c r="J32" s="206"/>
      <c r="O32" t="s">
        <v>60</v>
      </c>
      <c r="P32" s="4">
        <v>1005</v>
      </c>
      <c r="Q32" s="4">
        <v>120</v>
      </c>
      <c r="R32" s="5">
        <f t="shared" si="0"/>
        <v>1125</v>
      </c>
    </row>
    <row r="33" spans="1:18" x14ac:dyDescent="0.25">
      <c r="A33" s="25"/>
      <c r="B33" s="25" t="s">
        <v>11</v>
      </c>
      <c r="C33" s="25" t="s">
        <v>61</v>
      </c>
      <c r="D33" s="25" t="s">
        <v>13</v>
      </c>
      <c r="F33" s="25" t="s">
        <v>62</v>
      </c>
      <c r="G33" s="107" t="s">
        <v>63</v>
      </c>
      <c r="H33" s="204" t="s">
        <v>13</v>
      </c>
      <c r="I33" s="205"/>
      <c r="J33" s="206"/>
      <c r="O33" t="s">
        <v>64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27" t="s">
        <v>65</v>
      </c>
      <c r="B34" s="26" t="s">
        <v>66</v>
      </c>
      <c r="C34" s="51"/>
      <c r="D34" s="30">
        <f>C34*120</f>
        <v>0</v>
      </c>
      <c r="F34" s="12">
        <v>1000</v>
      </c>
      <c r="G34" s="74"/>
      <c r="H34" s="207"/>
      <c r="I34" s="208"/>
      <c r="J34" s="209"/>
      <c r="O34" t="s">
        <v>67</v>
      </c>
      <c r="P34" s="4">
        <v>832</v>
      </c>
      <c r="Q34" s="4">
        <v>120</v>
      </c>
      <c r="R34" s="5">
        <f t="shared" si="0"/>
        <v>952</v>
      </c>
    </row>
    <row r="35" spans="1:18" ht="15.75" x14ac:dyDescent="0.25">
      <c r="A35" s="128"/>
      <c r="B35" s="27" t="s">
        <v>68</v>
      </c>
      <c r="C35" s="52"/>
      <c r="D35" s="30">
        <f>C35*84</f>
        <v>0</v>
      </c>
      <c r="F35" s="58">
        <v>500</v>
      </c>
      <c r="G35" s="41"/>
      <c r="H35" s="207"/>
      <c r="I35" s="208"/>
      <c r="J35" s="209"/>
      <c r="O35" t="s">
        <v>69</v>
      </c>
      <c r="P35" s="4">
        <v>1102</v>
      </c>
      <c r="Q35" s="4"/>
      <c r="R35" s="5">
        <f t="shared" si="0"/>
        <v>1102</v>
      </c>
    </row>
    <row r="36" spans="1:18" ht="15.75" x14ac:dyDescent="0.25">
      <c r="A36" s="129"/>
      <c r="B36" s="26" t="s">
        <v>70</v>
      </c>
      <c r="C36" s="10"/>
      <c r="D36" s="12">
        <f>C36*1.5</f>
        <v>0</v>
      </c>
      <c r="F36" s="12">
        <v>200</v>
      </c>
      <c r="G36" s="37"/>
      <c r="H36" s="207"/>
      <c r="I36" s="208"/>
      <c r="J36" s="209"/>
      <c r="O36" t="s">
        <v>71</v>
      </c>
      <c r="P36" s="4">
        <v>852</v>
      </c>
      <c r="Q36" s="4">
        <v>120</v>
      </c>
      <c r="R36" s="5">
        <f t="shared" si="0"/>
        <v>972</v>
      </c>
    </row>
    <row r="37" spans="1:18" ht="15.75" x14ac:dyDescent="0.25">
      <c r="A37" s="127" t="s">
        <v>72</v>
      </c>
      <c r="B37" s="28" t="s">
        <v>66</v>
      </c>
      <c r="C37" s="53"/>
      <c r="D37" s="12">
        <f>C37*111</f>
        <v>0</v>
      </c>
      <c r="F37" s="12">
        <v>100</v>
      </c>
      <c r="G37" s="39"/>
      <c r="H37" s="207"/>
      <c r="I37" s="208"/>
      <c r="J37" s="209"/>
      <c r="O37" t="s">
        <v>73</v>
      </c>
      <c r="P37" s="4">
        <v>1020</v>
      </c>
      <c r="Q37" s="4">
        <v>120</v>
      </c>
      <c r="R37" s="5">
        <f t="shared" si="0"/>
        <v>1140</v>
      </c>
    </row>
    <row r="38" spans="1:18" ht="15.75" x14ac:dyDescent="0.25">
      <c r="A38" s="128"/>
      <c r="B38" s="29" t="s">
        <v>68</v>
      </c>
      <c r="C38" s="54"/>
      <c r="D38" s="12">
        <f>C38*84</f>
        <v>0</v>
      </c>
      <c r="F38" s="30">
        <v>50</v>
      </c>
      <c r="G38" s="39"/>
      <c r="H38" s="207"/>
      <c r="I38" s="208"/>
      <c r="J38" s="209"/>
      <c r="O38" t="s">
        <v>74</v>
      </c>
      <c r="P38" s="4">
        <v>596</v>
      </c>
      <c r="Q38" s="4">
        <v>111</v>
      </c>
      <c r="R38" s="5">
        <f t="shared" si="0"/>
        <v>707</v>
      </c>
    </row>
    <row r="39" spans="1:18" ht="15.75" x14ac:dyDescent="0.25">
      <c r="A39" s="129"/>
      <c r="B39" s="29" t="s">
        <v>70</v>
      </c>
      <c r="C39" s="52"/>
      <c r="D39" s="31">
        <f>C39*4.5</f>
        <v>0</v>
      </c>
      <c r="F39" s="12">
        <v>20</v>
      </c>
      <c r="G39" s="37"/>
      <c r="H39" s="207"/>
      <c r="I39" s="208"/>
      <c r="J39" s="209"/>
      <c r="O39" t="s">
        <v>75</v>
      </c>
      <c r="P39" s="4">
        <v>1175</v>
      </c>
      <c r="Q39" s="4"/>
      <c r="R39" s="5">
        <f t="shared" si="0"/>
        <v>1175</v>
      </c>
    </row>
    <row r="40" spans="1:18" ht="15.75" x14ac:dyDescent="0.25">
      <c r="A40" s="127" t="s">
        <v>76</v>
      </c>
      <c r="B40" s="27" t="s">
        <v>66</v>
      </c>
      <c r="C40" s="63"/>
      <c r="D40" s="12">
        <f>C40*111</f>
        <v>0</v>
      </c>
      <c r="F40" s="12">
        <v>10</v>
      </c>
      <c r="G40" s="42"/>
      <c r="H40" s="207"/>
      <c r="I40" s="208"/>
      <c r="J40" s="209"/>
      <c r="O40" t="s">
        <v>77</v>
      </c>
      <c r="P40" s="4">
        <v>913</v>
      </c>
      <c r="Q40" s="4">
        <v>120</v>
      </c>
      <c r="R40" s="5">
        <f t="shared" si="0"/>
        <v>1033</v>
      </c>
    </row>
    <row r="41" spans="1:18" ht="15.75" x14ac:dyDescent="0.25">
      <c r="A41" s="128"/>
      <c r="B41" s="27" t="s">
        <v>68</v>
      </c>
      <c r="C41" s="10"/>
      <c r="D41" s="12">
        <f>C41*84</f>
        <v>0</v>
      </c>
      <c r="F41" s="12">
        <v>5</v>
      </c>
      <c r="G41" s="42"/>
      <c r="H41" s="207"/>
      <c r="I41" s="208"/>
      <c r="J41" s="209"/>
      <c r="K41" s="21"/>
      <c r="O41" t="s">
        <v>78</v>
      </c>
      <c r="P41" s="4">
        <v>614</v>
      </c>
      <c r="Q41" s="4">
        <v>111</v>
      </c>
      <c r="R41" s="5">
        <f t="shared" si="0"/>
        <v>725</v>
      </c>
    </row>
    <row r="42" spans="1:18" ht="15.75" x14ac:dyDescent="0.25">
      <c r="A42" s="129"/>
      <c r="B42" s="27" t="s">
        <v>70</v>
      </c>
      <c r="C42" s="11"/>
      <c r="D42" s="12">
        <f>C42*2.25</f>
        <v>0</v>
      </c>
      <c r="F42" s="39" t="s">
        <v>79</v>
      </c>
      <c r="G42" s="207"/>
      <c r="H42" s="208"/>
      <c r="I42" s="208"/>
      <c r="J42" s="209"/>
      <c r="K42" s="36"/>
      <c r="O42" t="s">
        <v>80</v>
      </c>
      <c r="P42" s="4">
        <v>626</v>
      </c>
      <c r="Q42" s="4">
        <v>111</v>
      </c>
      <c r="R42" s="5">
        <f t="shared" si="0"/>
        <v>737</v>
      </c>
    </row>
    <row r="43" spans="1:18" ht="15.75" x14ac:dyDescent="0.25">
      <c r="A43" s="210" t="s">
        <v>81</v>
      </c>
      <c r="C43" s="11"/>
      <c r="D43" s="12"/>
      <c r="F43" s="59" t="s">
        <v>82</v>
      </c>
      <c r="G43" s="109" t="s">
        <v>83</v>
      </c>
      <c r="H43" s="213" t="s">
        <v>13</v>
      </c>
      <c r="I43" s="214"/>
      <c r="J43" s="215"/>
      <c r="K43" s="21"/>
      <c r="P43" s="4"/>
      <c r="Q43" s="4"/>
      <c r="R43" s="5"/>
    </row>
    <row r="44" spans="1:18" ht="15.75" x14ac:dyDescent="0.25">
      <c r="A44" s="211"/>
      <c r="B44" s="27" t="s">
        <v>66</v>
      </c>
      <c r="C44" s="10"/>
      <c r="D44" s="12">
        <f>C44*120</f>
        <v>0</v>
      </c>
      <c r="F44" s="37"/>
      <c r="G44" s="76"/>
      <c r="H44" s="191"/>
      <c r="I44" s="191"/>
      <c r="J44" s="191"/>
      <c r="K44" s="21"/>
      <c r="P44" s="4"/>
      <c r="Q44" s="4"/>
      <c r="R44" s="5"/>
    </row>
    <row r="45" spans="1:18" ht="15.75" x14ac:dyDescent="0.25">
      <c r="A45" s="211"/>
      <c r="B45" s="27" t="s">
        <v>68</v>
      </c>
      <c r="C45" s="33"/>
      <c r="D45" s="12">
        <f>C45*84</f>
        <v>0</v>
      </c>
      <c r="F45" s="37"/>
      <c r="G45" s="76"/>
      <c r="H45" s="191"/>
      <c r="I45" s="191"/>
      <c r="J45" s="191"/>
      <c r="K45" s="21"/>
      <c r="P45" s="4"/>
      <c r="Q45" s="4"/>
      <c r="R45" s="5"/>
    </row>
    <row r="46" spans="1:18" ht="15.75" x14ac:dyDescent="0.25">
      <c r="A46" s="211"/>
      <c r="B46" s="49" t="s">
        <v>70</v>
      </c>
      <c r="C46" s="81"/>
      <c r="D46" s="12">
        <f>C46*1.5</f>
        <v>0</v>
      </c>
      <c r="F46" s="37"/>
      <c r="G46" s="62"/>
      <c r="H46" s="216"/>
      <c r="I46" s="216"/>
      <c r="J46" s="216"/>
      <c r="K46" s="21"/>
      <c r="P46" s="4"/>
      <c r="Q46" s="4"/>
      <c r="R46" s="5"/>
    </row>
    <row r="47" spans="1:18" ht="15.75" x14ac:dyDescent="0.25">
      <c r="A47" s="212"/>
      <c r="B47" s="27"/>
      <c r="C47" s="11"/>
      <c r="D47" s="12"/>
      <c r="F47" s="59"/>
      <c r="G47" s="59"/>
      <c r="H47" s="217"/>
      <c r="I47" s="218"/>
      <c r="J47" s="219"/>
      <c r="K47" s="21"/>
      <c r="P47" s="4"/>
      <c r="Q47" s="4"/>
      <c r="R47" s="5"/>
    </row>
    <row r="48" spans="1:18" ht="15" customHeight="1" x14ac:dyDescent="0.25">
      <c r="A48" s="210" t="s">
        <v>32</v>
      </c>
      <c r="B48" s="27" t="s">
        <v>66</v>
      </c>
      <c r="C48" s="10"/>
      <c r="D48" s="12">
        <f>C48*78</f>
        <v>0</v>
      </c>
      <c r="F48" s="59"/>
      <c r="G48" s="59"/>
      <c r="H48" s="217"/>
      <c r="I48" s="218"/>
      <c r="J48" s="219"/>
      <c r="K48" s="35"/>
      <c r="O48" t="s">
        <v>84</v>
      </c>
      <c r="P48" s="4">
        <v>1175</v>
      </c>
      <c r="Q48" s="4"/>
      <c r="R48" s="5">
        <f t="shared" si="0"/>
        <v>1175</v>
      </c>
    </row>
    <row r="49" spans="1:18" ht="15.75" x14ac:dyDescent="0.25">
      <c r="A49" s="211"/>
      <c r="B49" s="29" t="s">
        <v>68</v>
      </c>
      <c r="C49" s="33"/>
      <c r="D49" s="12">
        <f>C49*42</f>
        <v>0</v>
      </c>
      <c r="F49" s="232" t="s">
        <v>86</v>
      </c>
      <c r="G49" s="179">
        <f>H34+H35+H36+H37+H38+H39+H40+H41+G42+H44+H45+H46</f>
        <v>0</v>
      </c>
      <c r="H49" s="180"/>
      <c r="I49" s="180"/>
      <c r="J49" s="181"/>
      <c r="O49" t="s">
        <v>85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211"/>
      <c r="B50" s="32" t="s">
        <v>70</v>
      </c>
      <c r="C50" s="11"/>
      <c r="D50" s="12">
        <f>C50*1.5</f>
        <v>0</v>
      </c>
      <c r="F50" s="233"/>
      <c r="G50" s="182"/>
      <c r="H50" s="183"/>
      <c r="I50" s="183"/>
      <c r="J50" s="184"/>
      <c r="P50" s="4"/>
      <c r="Q50" s="4"/>
      <c r="R50" s="5"/>
    </row>
    <row r="51" spans="1:18" ht="15" customHeight="1" x14ac:dyDescent="0.25">
      <c r="A51" s="211"/>
      <c r="B51" s="27"/>
      <c r="C51" s="10"/>
      <c r="D51" s="31"/>
      <c r="F51" s="234" t="s">
        <v>128</v>
      </c>
      <c r="G51" s="236">
        <f>G49-H29</f>
        <v>0</v>
      </c>
      <c r="H51" s="237"/>
      <c r="I51" s="237"/>
      <c r="J51" s="238"/>
      <c r="K51" s="21"/>
      <c r="O51" t="s">
        <v>87</v>
      </c>
      <c r="P51" s="4">
        <v>703</v>
      </c>
      <c r="Q51" s="4">
        <v>120</v>
      </c>
      <c r="R51" s="5">
        <f t="shared" si="0"/>
        <v>823</v>
      </c>
    </row>
    <row r="52" spans="1:18" ht="15.75" x14ac:dyDescent="0.25">
      <c r="A52" s="211"/>
      <c r="B52" s="29"/>
      <c r="C52" s="33"/>
      <c r="D52" s="45"/>
      <c r="F52" s="235"/>
      <c r="G52" s="239"/>
      <c r="H52" s="240"/>
      <c r="I52" s="240"/>
      <c r="J52" s="241"/>
      <c r="K52" s="21"/>
      <c r="O52" t="s">
        <v>88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212"/>
      <c r="B53" s="32"/>
      <c r="C53" s="11"/>
      <c r="D53" s="12"/>
      <c r="F53" s="35"/>
      <c r="G53" s="24"/>
      <c r="H53" s="24"/>
      <c r="I53" s="24"/>
      <c r="J53" s="17"/>
      <c r="N53" s="1"/>
      <c r="O53" t="s">
        <v>89</v>
      </c>
      <c r="P53" s="4">
        <v>1142</v>
      </c>
    </row>
    <row r="54" spans="1:18" x14ac:dyDescent="0.25">
      <c r="A54" s="175" t="s">
        <v>90</v>
      </c>
      <c r="B54" s="220"/>
      <c r="C54" s="221"/>
      <c r="D54" s="224">
        <f>SUM(D34:D53)</f>
        <v>0</v>
      </c>
      <c r="F54" s="21"/>
      <c r="J54" s="34"/>
    </row>
    <row r="55" spans="1:18" x14ac:dyDescent="0.25">
      <c r="A55" s="177"/>
      <c r="B55" s="222"/>
      <c r="C55" s="223"/>
      <c r="D55" s="225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D57" s="34"/>
      <c r="F57" s="36"/>
      <c r="G57" s="50"/>
      <c r="H57" s="50"/>
      <c r="I57" s="50"/>
      <c r="J57" s="43"/>
    </row>
    <row r="58" spans="1:18" x14ac:dyDescent="0.25">
      <c r="A58" s="226" t="s">
        <v>91</v>
      </c>
      <c r="B58" s="227"/>
      <c r="C58" s="227"/>
      <c r="D58" s="228"/>
      <c r="F58" s="226" t="s">
        <v>92</v>
      </c>
      <c r="G58" s="227"/>
      <c r="H58" s="227"/>
      <c r="I58" s="227"/>
      <c r="J58" s="228"/>
    </row>
    <row r="59" spans="1:18" x14ac:dyDescent="0.25">
      <c r="A59" s="229"/>
      <c r="B59" s="230"/>
      <c r="C59" s="230"/>
      <c r="D59" s="231"/>
      <c r="F59" s="229"/>
      <c r="G59" s="230"/>
      <c r="H59" s="230"/>
      <c r="I59" s="230"/>
      <c r="J59" s="231"/>
    </row>
  </sheetData>
  <mergeCells count="68"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  <mergeCell ref="H13:J13"/>
    <mergeCell ref="F14:G14"/>
    <mergeCell ref="H14:J14"/>
    <mergeCell ref="F15:G15"/>
    <mergeCell ref="H15:J15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A32:D32"/>
    <mergeCell ref="F32:J32"/>
    <mergeCell ref="H33:J33"/>
    <mergeCell ref="A34:A36"/>
    <mergeCell ref="H34:J34"/>
    <mergeCell ref="H35:J35"/>
    <mergeCell ref="H36:J36"/>
    <mergeCell ref="A37:A39"/>
    <mergeCell ref="H37:J37"/>
    <mergeCell ref="H38:J38"/>
    <mergeCell ref="H39:J39"/>
    <mergeCell ref="A40:A42"/>
    <mergeCell ref="H40:J40"/>
    <mergeCell ref="H41:J41"/>
    <mergeCell ref="G42:J42"/>
    <mergeCell ref="A43:A47"/>
    <mergeCell ref="H43:J43"/>
    <mergeCell ref="H44:J44"/>
    <mergeCell ref="H45:J45"/>
    <mergeCell ref="H46:J46"/>
    <mergeCell ref="H47:J47"/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6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5E2DB73-C22F-4CAD-B22E-BDE80128E052}">
  <dimension ref="A1:R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bestFit="1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113" t="s">
        <v>1</v>
      </c>
      <c r="O1" s="113"/>
      <c r="P1" s="105" t="s">
        <v>2</v>
      </c>
      <c r="Q1" s="105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14" t="s">
        <v>7</v>
      </c>
      <c r="B4" s="115"/>
      <c r="C4" s="115"/>
      <c r="D4" s="116"/>
      <c r="F4" s="117" t="s">
        <v>8</v>
      </c>
      <c r="G4" s="119">
        <v>1</v>
      </c>
      <c r="H4" s="121" t="s">
        <v>9</v>
      </c>
      <c r="I4" s="123">
        <v>45980</v>
      </c>
      <c r="J4" s="124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27" t="s">
        <v>7</v>
      </c>
      <c r="B5" s="15" t="s">
        <v>11</v>
      </c>
      <c r="C5" s="9" t="s">
        <v>12</v>
      </c>
      <c r="D5" s="25" t="s">
        <v>13</v>
      </c>
      <c r="F5" s="118"/>
      <c r="G5" s="120"/>
      <c r="H5" s="122"/>
      <c r="I5" s="125"/>
      <c r="J5" s="126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28"/>
      <c r="B6" s="16" t="s">
        <v>15</v>
      </c>
      <c r="C6" s="89"/>
      <c r="D6" s="13">
        <f t="shared" ref="D6:D28" si="1">C6*L6</f>
        <v>0</v>
      </c>
      <c r="F6" s="130" t="s">
        <v>16</v>
      </c>
      <c r="G6" s="132" t="s">
        <v>129</v>
      </c>
      <c r="H6" s="133"/>
      <c r="I6" s="133"/>
      <c r="J6" s="134"/>
      <c r="K6" s="8"/>
      <c r="L6" s="6">
        <f>R42</f>
        <v>737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28"/>
      <c r="B7" s="16" t="s">
        <v>18</v>
      </c>
      <c r="C7" s="89"/>
      <c r="D7" s="13">
        <f t="shared" si="1"/>
        <v>0</v>
      </c>
      <c r="F7" s="131"/>
      <c r="G7" s="135"/>
      <c r="H7" s="136"/>
      <c r="I7" s="136"/>
      <c r="J7" s="137"/>
      <c r="K7" s="8"/>
      <c r="L7" s="6">
        <f>R41</f>
        <v>725</v>
      </c>
      <c r="P7" s="4"/>
      <c r="Q7" s="4"/>
      <c r="R7" s="5"/>
    </row>
    <row r="8" spans="1:18" ht="14.45" customHeight="1" x14ac:dyDescent="0.25">
      <c r="A8" s="128"/>
      <c r="B8" s="16" t="s">
        <v>20</v>
      </c>
      <c r="C8" s="89"/>
      <c r="D8" s="13">
        <f t="shared" si="1"/>
        <v>0</v>
      </c>
      <c r="F8" s="138" t="s">
        <v>21</v>
      </c>
      <c r="G8" s="140" t="s">
        <v>112</v>
      </c>
      <c r="H8" s="141"/>
      <c r="I8" s="141"/>
      <c r="J8" s="142"/>
      <c r="K8" s="8"/>
      <c r="L8" s="6">
        <f>R40</f>
        <v>1033</v>
      </c>
      <c r="P8" s="4"/>
      <c r="Q8" s="4"/>
      <c r="R8" s="5"/>
    </row>
    <row r="9" spans="1:18" ht="14.45" customHeight="1" x14ac:dyDescent="0.25">
      <c r="A9" s="128"/>
      <c r="B9" s="16" t="s">
        <v>23</v>
      </c>
      <c r="C9" s="89"/>
      <c r="D9" s="13">
        <f t="shared" si="1"/>
        <v>0</v>
      </c>
      <c r="F9" s="131"/>
      <c r="G9" s="143"/>
      <c r="H9" s="144"/>
      <c r="I9" s="144"/>
      <c r="J9" s="145"/>
      <c r="K9" s="8"/>
      <c r="L9" s="6">
        <f>R38</f>
        <v>707</v>
      </c>
      <c r="P9" s="4"/>
      <c r="Q9" s="4"/>
      <c r="R9" s="5"/>
    </row>
    <row r="10" spans="1:18" ht="14.45" customHeight="1" x14ac:dyDescent="0.25">
      <c r="A10" s="128"/>
      <c r="B10" t="s">
        <v>25</v>
      </c>
      <c r="C10" s="89"/>
      <c r="D10" s="13">
        <f t="shared" si="1"/>
        <v>0</v>
      </c>
      <c r="F10" s="130" t="s">
        <v>26</v>
      </c>
      <c r="G10" s="146" t="s">
        <v>130</v>
      </c>
      <c r="H10" s="147"/>
      <c r="I10" s="147"/>
      <c r="J10" s="148"/>
      <c r="K10" s="8"/>
      <c r="L10" s="6">
        <f>R36</f>
        <v>972</v>
      </c>
      <c r="P10" s="4"/>
      <c r="Q10" s="4"/>
      <c r="R10" s="5"/>
    </row>
    <row r="11" spans="1:18" ht="15.75" x14ac:dyDescent="0.25">
      <c r="A11" s="128"/>
      <c r="B11" s="17" t="s">
        <v>28</v>
      </c>
      <c r="C11" s="89"/>
      <c r="D11" s="13">
        <f t="shared" si="1"/>
        <v>0</v>
      </c>
      <c r="F11" s="131"/>
      <c r="G11" s="143"/>
      <c r="H11" s="144"/>
      <c r="I11" s="144"/>
      <c r="J11" s="145"/>
      <c r="K11" s="22"/>
      <c r="L11" s="6">
        <f>R32</f>
        <v>1125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28"/>
      <c r="B12" s="17" t="s">
        <v>30</v>
      </c>
      <c r="C12" s="89"/>
      <c r="D12" s="48">
        <f t="shared" si="1"/>
        <v>0</v>
      </c>
      <c r="F12" s="149" t="s">
        <v>33</v>
      </c>
      <c r="G12" s="150"/>
      <c r="H12" s="150"/>
      <c r="I12" s="150"/>
      <c r="J12" s="151"/>
      <c r="K12" s="23"/>
      <c r="L12" s="6">
        <f>R34</f>
        <v>952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28"/>
      <c r="B13" s="17" t="s">
        <v>32</v>
      </c>
      <c r="C13" s="89"/>
      <c r="D13" s="48">
        <f t="shared" si="1"/>
        <v>0</v>
      </c>
      <c r="F13" s="152" t="s">
        <v>36</v>
      </c>
      <c r="G13" s="153"/>
      <c r="H13" s="154">
        <f>D29</f>
        <v>0</v>
      </c>
      <c r="I13" s="155"/>
      <c r="J13" s="156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28"/>
      <c r="B14" s="14" t="s">
        <v>35</v>
      </c>
      <c r="C14" s="89"/>
      <c r="D14" s="31">
        <f t="shared" si="1"/>
        <v>0</v>
      </c>
      <c r="F14" s="157" t="s">
        <v>39</v>
      </c>
      <c r="G14" s="158"/>
      <c r="H14" s="159">
        <f>D54</f>
        <v>0</v>
      </c>
      <c r="I14" s="160"/>
      <c r="J14" s="161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28"/>
      <c r="B15" s="14" t="s">
        <v>38</v>
      </c>
      <c r="C15" s="89"/>
      <c r="D15" s="31">
        <f t="shared" si="1"/>
        <v>0</v>
      </c>
      <c r="F15" s="162" t="s">
        <v>40</v>
      </c>
      <c r="G15" s="153"/>
      <c r="H15" s="163">
        <f>H13-H14</f>
        <v>0</v>
      </c>
      <c r="I15" s="164"/>
      <c r="J15" s="165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28"/>
      <c r="B16" s="18" t="s">
        <v>94</v>
      </c>
      <c r="C16" s="89"/>
      <c r="D16" s="48">
        <f t="shared" si="1"/>
        <v>0</v>
      </c>
      <c r="F16" s="67" t="s">
        <v>42</v>
      </c>
      <c r="G16" s="66" t="s">
        <v>43</v>
      </c>
      <c r="H16" s="166"/>
      <c r="I16" s="166"/>
      <c r="J16" s="166"/>
      <c r="L16" s="6">
        <f>R28</f>
        <v>1567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28"/>
      <c r="B17" t="s">
        <v>140</v>
      </c>
      <c r="C17" s="89"/>
      <c r="D17" s="48">
        <f t="shared" si="1"/>
        <v>0</v>
      </c>
      <c r="F17" s="56"/>
      <c r="G17" s="66" t="s">
        <v>45</v>
      </c>
      <c r="H17" s="139"/>
      <c r="I17" s="139"/>
      <c r="J17" s="139"/>
      <c r="L17" s="6">
        <f>1582</f>
        <v>1582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28"/>
      <c r="B18" s="19" t="s">
        <v>95</v>
      </c>
      <c r="C18" s="89"/>
      <c r="D18" s="48">
        <f t="shared" si="1"/>
        <v>0</v>
      </c>
      <c r="F18" s="56"/>
      <c r="G18" s="66" t="s">
        <v>47</v>
      </c>
      <c r="H18" s="139"/>
      <c r="I18" s="139"/>
      <c r="J18" s="139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28"/>
      <c r="B19" s="14" t="s">
        <v>136</v>
      </c>
      <c r="C19" s="89"/>
      <c r="D19" s="48">
        <f t="shared" si="1"/>
        <v>0</v>
      </c>
      <c r="F19" s="56"/>
      <c r="G19" s="68" t="s">
        <v>50</v>
      </c>
      <c r="H19" s="139"/>
      <c r="I19" s="139"/>
      <c r="J19" s="139"/>
      <c r="L19" s="6">
        <v>1102</v>
      </c>
      <c r="Q19" s="4"/>
      <c r="R19" s="5">
        <f t="shared" si="0"/>
        <v>0</v>
      </c>
    </row>
    <row r="20" spans="1:18" ht="15.75" x14ac:dyDescent="0.25">
      <c r="A20" s="128"/>
      <c r="B20" s="83" t="s">
        <v>125</v>
      </c>
      <c r="C20" s="89"/>
      <c r="D20" s="13">
        <f t="shared" si="1"/>
        <v>0</v>
      </c>
      <c r="F20" s="57"/>
      <c r="G20" s="70" t="s">
        <v>120</v>
      </c>
      <c r="H20" s="166"/>
      <c r="I20" s="166"/>
      <c r="J20" s="166"/>
      <c r="L20" s="6">
        <f>R39</f>
        <v>1175</v>
      </c>
      <c r="N20" s="1" t="s">
        <v>41</v>
      </c>
      <c r="Q20" s="4"/>
      <c r="R20" s="5">
        <f t="shared" si="0"/>
        <v>0</v>
      </c>
    </row>
    <row r="21" spans="1:18" ht="15.75" x14ac:dyDescent="0.25">
      <c r="A21" s="128"/>
      <c r="B21" s="14" t="s">
        <v>138</v>
      </c>
      <c r="C21" s="89"/>
      <c r="D21" s="48">
        <f t="shared" si="1"/>
        <v>0</v>
      </c>
      <c r="F21" s="69" t="s">
        <v>99</v>
      </c>
      <c r="G21" s="82" t="s">
        <v>98</v>
      </c>
      <c r="H21" s="186" t="s">
        <v>13</v>
      </c>
      <c r="I21" s="187"/>
      <c r="J21" s="188"/>
      <c r="L21" s="7">
        <v>650</v>
      </c>
      <c r="O21" t="s">
        <v>44</v>
      </c>
      <c r="P21" s="4">
        <v>1447</v>
      </c>
      <c r="Q21" s="4">
        <v>120</v>
      </c>
      <c r="R21" s="5">
        <f t="shared" si="0"/>
        <v>1567</v>
      </c>
    </row>
    <row r="22" spans="1:18" ht="15.75" x14ac:dyDescent="0.25">
      <c r="A22" s="128"/>
      <c r="B22" s="46" t="s">
        <v>127</v>
      </c>
      <c r="C22" s="89"/>
      <c r="D22" s="48">
        <f t="shared" si="1"/>
        <v>0</v>
      </c>
      <c r="F22" s="77"/>
      <c r="G22" s="73"/>
      <c r="H22" s="189"/>
      <c r="I22" s="189"/>
      <c r="J22" s="189"/>
      <c r="L22" s="7">
        <v>1582</v>
      </c>
      <c r="O22" t="s">
        <v>46</v>
      </c>
      <c r="P22" s="4">
        <v>1582</v>
      </c>
      <c r="Q22" s="4"/>
      <c r="R22" s="5">
        <f t="shared" si="0"/>
        <v>1582</v>
      </c>
    </row>
    <row r="23" spans="1:18" ht="15.75" x14ac:dyDescent="0.25">
      <c r="A23" s="128"/>
      <c r="B23" s="14" t="s">
        <v>101</v>
      </c>
      <c r="C23" s="89"/>
      <c r="D23" s="48">
        <f t="shared" si="1"/>
        <v>0</v>
      </c>
      <c r="F23" s="77"/>
      <c r="G23" s="79"/>
      <c r="H23" s="242"/>
      <c r="I23" s="243"/>
      <c r="J23" s="243"/>
      <c r="L23" s="47">
        <v>1667</v>
      </c>
      <c r="N23" s="1"/>
      <c r="O23" t="s">
        <v>48</v>
      </c>
      <c r="P23" s="4">
        <v>1728</v>
      </c>
      <c r="Q23" s="4"/>
      <c r="R23" s="5">
        <f t="shared" si="0"/>
        <v>1728</v>
      </c>
    </row>
    <row r="24" spans="1:18" ht="15.75" x14ac:dyDescent="0.25">
      <c r="A24" s="128"/>
      <c r="B24" s="14" t="s">
        <v>121</v>
      </c>
      <c r="C24" s="89"/>
      <c r="D24" s="48">
        <f t="shared" si="1"/>
        <v>0</v>
      </c>
      <c r="F24" s="77"/>
      <c r="G24" s="79"/>
      <c r="H24" s="242"/>
      <c r="I24" s="243"/>
      <c r="J24" s="243"/>
      <c r="L24" s="47">
        <f>913/24+1.5</f>
        <v>39.541666666666664</v>
      </c>
      <c r="N24" s="1"/>
      <c r="O24" t="s">
        <v>49</v>
      </c>
      <c r="P24" s="4">
        <v>1728</v>
      </c>
      <c r="Q24" s="4"/>
      <c r="R24" s="5">
        <f t="shared" si="0"/>
        <v>1728</v>
      </c>
    </row>
    <row r="25" spans="1:18" ht="15.75" x14ac:dyDescent="0.25">
      <c r="A25" s="128"/>
      <c r="B25" s="14" t="s">
        <v>141</v>
      </c>
      <c r="C25" s="89"/>
      <c r="D25" s="48">
        <f t="shared" si="1"/>
        <v>0</v>
      </c>
      <c r="F25" s="60" t="s">
        <v>100</v>
      </c>
      <c r="G25" s="55" t="s">
        <v>98</v>
      </c>
      <c r="H25" s="192" t="s">
        <v>13</v>
      </c>
      <c r="I25" s="193"/>
      <c r="J25" s="194"/>
      <c r="L25" s="47">
        <f>1052+120</f>
        <v>1172</v>
      </c>
      <c r="O25" t="s">
        <v>51</v>
      </c>
      <c r="P25" s="4">
        <v>1582</v>
      </c>
      <c r="Q25" s="4"/>
      <c r="R25" s="5">
        <f t="shared" si="0"/>
        <v>1582</v>
      </c>
    </row>
    <row r="26" spans="1:18" ht="15.75" x14ac:dyDescent="0.25">
      <c r="A26" s="128"/>
      <c r="B26" s="14" t="s">
        <v>139</v>
      </c>
      <c r="C26" s="89"/>
      <c r="D26" s="48">
        <f t="shared" si="1"/>
        <v>0</v>
      </c>
      <c r="F26" s="75"/>
      <c r="G26" s="65"/>
      <c r="H26" s="191"/>
      <c r="I26" s="191"/>
      <c r="J26" s="191"/>
      <c r="L26" s="7">
        <f>1447+120</f>
        <v>1567</v>
      </c>
      <c r="O26" t="s">
        <v>52</v>
      </c>
      <c r="P26" s="4">
        <v>1447</v>
      </c>
      <c r="Q26" s="4">
        <v>120</v>
      </c>
      <c r="R26" s="5">
        <f t="shared" si="0"/>
        <v>1567</v>
      </c>
    </row>
    <row r="27" spans="1:18" ht="14.45" customHeight="1" x14ac:dyDescent="0.25">
      <c r="A27" s="128"/>
      <c r="B27" s="14" t="s">
        <v>110</v>
      </c>
      <c r="C27" s="89"/>
      <c r="D27" s="44">
        <f t="shared" si="1"/>
        <v>0</v>
      </c>
      <c r="F27" s="71"/>
      <c r="G27" s="109"/>
      <c r="H27" s="244"/>
      <c r="I27" s="245"/>
      <c r="J27" s="245"/>
      <c r="L27" s="7">
        <v>1142</v>
      </c>
      <c r="O27" t="s">
        <v>53</v>
      </c>
      <c r="P27" s="4">
        <v>1582</v>
      </c>
      <c r="Q27" s="4"/>
      <c r="R27" s="5">
        <f t="shared" si="0"/>
        <v>1582</v>
      </c>
    </row>
    <row r="28" spans="1:18" ht="15.75" x14ac:dyDescent="0.25">
      <c r="A28" s="129"/>
      <c r="B28" s="46" t="s">
        <v>97</v>
      </c>
      <c r="C28" s="89"/>
      <c r="D28" s="48">
        <f t="shared" si="1"/>
        <v>0</v>
      </c>
      <c r="F28" s="106"/>
      <c r="G28" s="61"/>
      <c r="H28" s="201"/>
      <c r="I28" s="202"/>
      <c r="J28" s="203"/>
      <c r="L28" s="7">
        <v>785</v>
      </c>
      <c r="O28" t="s">
        <v>54</v>
      </c>
      <c r="P28" s="4">
        <v>1447</v>
      </c>
      <c r="Q28" s="4">
        <v>120</v>
      </c>
      <c r="R28" s="5">
        <f t="shared" si="0"/>
        <v>1567</v>
      </c>
    </row>
    <row r="29" spans="1:18" x14ac:dyDescent="0.25">
      <c r="A29" s="167" t="s">
        <v>36</v>
      </c>
      <c r="B29" s="168"/>
      <c r="C29" s="169"/>
      <c r="D29" s="173">
        <f>SUM(D6:D28)</f>
        <v>0</v>
      </c>
      <c r="F29" s="175" t="s">
        <v>55</v>
      </c>
      <c r="G29" s="176"/>
      <c r="H29" s="179">
        <f>H15-H16-H17-H18-H19-H20-H22-H23-H24+H26+H27+H28</f>
        <v>0</v>
      </c>
      <c r="I29" s="180"/>
      <c r="J29" s="181"/>
      <c r="O29" t="s">
        <v>56</v>
      </c>
      <c r="P29" s="4">
        <v>1582</v>
      </c>
      <c r="Q29" s="4"/>
      <c r="R29" s="5">
        <f t="shared" si="0"/>
        <v>1582</v>
      </c>
    </row>
    <row r="30" spans="1:18" x14ac:dyDescent="0.25">
      <c r="A30" s="170"/>
      <c r="B30" s="171"/>
      <c r="C30" s="172"/>
      <c r="D30" s="174"/>
      <c r="F30" s="177"/>
      <c r="G30" s="178"/>
      <c r="H30" s="182"/>
      <c r="I30" s="183"/>
      <c r="J30" s="184"/>
      <c r="N30" s="1"/>
      <c r="Q30" s="4"/>
      <c r="R30" s="5">
        <f t="shared" si="0"/>
        <v>0</v>
      </c>
    </row>
    <row r="31" spans="1:18" x14ac:dyDescent="0.25">
      <c r="A31" s="24"/>
      <c r="B31" s="24"/>
      <c r="C31" s="24"/>
      <c r="D31" s="24"/>
      <c r="F31" s="24"/>
      <c r="G31" s="24"/>
      <c r="O31" t="s">
        <v>57</v>
      </c>
      <c r="P31" s="4">
        <v>1052</v>
      </c>
      <c r="Q31" s="4">
        <v>120</v>
      </c>
      <c r="R31" s="5">
        <f t="shared" si="0"/>
        <v>1172</v>
      </c>
    </row>
    <row r="32" spans="1:18" x14ac:dyDescent="0.25">
      <c r="A32" s="114" t="s">
        <v>58</v>
      </c>
      <c r="B32" s="115"/>
      <c r="C32" s="115"/>
      <c r="D32" s="116"/>
      <c r="F32" s="204" t="s">
        <v>59</v>
      </c>
      <c r="G32" s="205"/>
      <c r="H32" s="205"/>
      <c r="I32" s="205"/>
      <c r="J32" s="206"/>
      <c r="O32" t="s">
        <v>60</v>
      </c>
      <c r="P32" s="4">
        <v>1005</v>
      </c>
      <c r="Q32" s="4">
        <v>120</v>
      </c>
      <c r="R32" s="5">
        <f t="shared" si="0"/>
        <v>1125</v>
      </c>
    </row>
    <row r="33" spans="1:18" x14ac:dyDescent="0.25">
      <c r="A33" s="25"/>
      <c r="B33" s="25" t="s">
        <v>11</v>
      </c>
      <c r="C33" s="25" t="s">
        <v>61</v>
      </c>
      <c r="D33" s="25" t="s">
        <v>13</v>
      </c>
      <c r="F33" s="25" t="s">
        <v>62</v>
      </c>
      <c r="G33" s="107" t="s">
        <v>63</v>
      </c>
      <c r="H33" s="204" t="s">
        <v>13</v>
      </c>
      <c r="I33" s="205"/>
      <c r="J33" s="206"/>
      <c r="O33" t="s">
        <v>64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27" t="s">
        <v>65</v>
      </c>
      <c r="B34" s="26" t="s">
        <v>66</v>
      </c>
      <c r="C34" s="51"/>
      <c r="D34" s="30">
        <f>C34*120</f>
        <v>0</v>
      </c>
      <c r="F34" s="12">
        <v>1000</v>
      </c>
      <c r="G34" s="40"/>
      <c r="H34" s="207">
        <f t="shared" ref="H34:H39" si="2">F34*G34</f>
        <v>0</v>
      </c>
      <c r="I34" s="208"/>
      <c r="J34" s="209"/>
      <c r="O34" t="s">
        <v>67</v>
      </c>
      <c r="P34" s="4">
        <v>832</v>
      </c>
      <c r="Q34" s="4">
        <v>120</v>
      </c>
      <c r="R34" s="5">
        <f t="shared" si="0"/>
        <v>952</v>
      </c>
    </row>
    <row r="35" spans="1:18" ht="15.75" x14ac:dyDescent="0.25">
      <c r="A35" s="128"/>
      <c r="B35" s="27" t="s">
        <v>68</v>
      </c>
      <c r="C35" s="52"/>
      <c r="D35" s="30">
        <f>C35*84</f>
        <v>0</v>
      </c>
      <c r="F35" s="58">
        <v>500</v>
      </c>
      <c r="G35" s="41"/>
      <c r="H35" s="207">
        <f t="shared" si="2"/>
        <v>0</v>
      </c>
      <c r="I35" s="208"/>
      <c r="J35" s="209"/>
      <c r="O35" t="s">
        <v>69</v>
      </c>
      <c r="P35" s="4">
        <v>1102</v>
      </c>
      <c r="Q35" s="4"/>
      <c r="R35" s="5">
        <f t="shared" si="0"/>
        <v>1102</v>
      </c>
    </row>
    <row r="36" spans="1:18" ht="15.75" x14ac:dyDescent="0.25">
      <c r="A36" s="129"/>
      <c r="B36" s="26" t="s">
        <v>70</v>
      </c>
      <c r="C36" s="10"/>
      <c r="D36" s="12">
        <f>C36*1.5</f>
        <v>0</v>
      </c>
      <c r="F36" s="12">
        <v>200</v>
      </c>
      <c r="G36" s="37"/>
      <c r="H36" s="207">
        <f t="shared" si="2"/>
        <v>0</v>
      </c>
      <c r="I36" s="208"/>
      <c r="J36" s="209"/>
      <c r="O36" t="s">
        <v>71</v>
      </c>
      <c r="P36" s="4">
        <v>852</v>
      </c>
      <c r="Q36" s="4">
        <v>120</v>
      </c>
      <c r="R36" s="5">
        <f t="shared" si="0"/>
        <v>972</v>
      </c>
    </row>
    <row r="37" spans="1:18" ht="15.75" x14ac:dyDescent="0.25">
      <c r="A37" s="127" t="s">
        <v>72</v>
      </c>
      <c r="B37" s="28" t="s">
        <v>66</v>
      </c>
      <c r="C37" s="53"/>
      <c r="D37" s="12">
        <f>C37*111</f>
        <v>0</v>
      </c>
      <c r="F37" s="12">
        <v>100</v>
      </c>
      <c r="G37" s="39"/>
      <c r="H37" s="207">
        <f t="shared" si="2"/>
        <v>0</v>
      </c>
      <c r="I37" s="208"/>
      <c r="J37" s="209"/>
      <c r="O37" t="s">
        <v>73</v>
      </c>
      <c r="P37" s="4">
        <v>1020</v>
      </c>
      <c r="Q37" s="4">
        <v>120</v>
      </c>
      <c r="R37" s="5">
        <f t="shared" si="0"/>
        <v>1140</v>
      </c>
    </row>
    <row r="38" spans="1:18" ht="15.75" x14ac:dyDescent="0.25">
      <c r="A38" s="128"/>
      <c r="B38" s="29" t="s">
        <v>68</v>
      </c>
      <c r="C38" s="54"/>
      <c r="D38" s="12">
        <f>C38*84</f>
        <v>0</v>
      </c>
      <c r="F38" s="30">
        <v>50</v>
      </c>
      <c r="G38" s="39"/>
      <c r="H38" s="207">
        <f t="shared" si="2"/>
        <v>0</v>
      </c>
      <c r="I38" s="208"/>
      <c r="J38" s="209"/>
      <c r="O38" t="s">
        <v>74</v>
      </c>
      <c r="P38" s="4">
        <v>596</v>
      </c>
      <c r="Q38" s="4">
        <v>111</v>
      </c>
      <c r="R38" s="5">
        <f t="shared" si="0"/>
        <v>707</v>
      </c>
    </row>
    <row r="39" spans="1:18" ht="15.75" x14ac:dyDescent="0.25">
      <c r="A39" s="129"/>
      <c r="B39" s="29" t="s">
        <v>70</v>
      </c>
      <c r="C39" s="52"/>
      <c r="D39" s="31">
        <f>C39*4.5</f>
        <v>0</v>
      </c>
      <c r="F39" s="12">
        <v>20</v>
      </c>
      <c r="G39" s="37"/>
      <c r="H39" s="207">
        <f t="shared" si="2"/>
        <v>0</v>
      </c>
      <c r="I39" s="208"/>
      <c r="J39" s="209"/>
      <c r="O39" t="s">
        <v>75</v>
      </c>
      <c r="P39" s="4">
        <v>1175</v>
      </c>
      <c r="Q39" s="4"/>
      <c r="R39" s="5">
        <f t="shared" si="0"/>
        <v>1175</v>
      </c>
    </row>
    <row r="40" spans="1:18" ht="15.75" x14ac:dyDescent="0.25">
      <c r="A40" s="127" t="s">
        <v>76</v>
      </c>
      <c r="B40" s="27" t="s">
        <v>66</v>
      </c>
      <c r="C40" s="63"/>
      <c r="D40" s="12">
        <f>C40*111</f>
        <v>0</v>
      </c>
      <c r="F40" s="12">
        <v>10</v>
      </c>
      <c r="G40" s="42"/>
      <c r="H40" s="207"/>
      <c r="I40" s="208"/>
      <c r="J40" s="209"/>
      <c r="O40" t="s">
        <v>77</v>
      </c>
      <c r="P40" s="4">
        <v>913</v>
      </c>
      <c r="Q40" s="4">
        <v>120</v>
      </c>
      <c r="R40" s="5">
        <f t="shared" si="0"/>
        <v>1033</v>
      </c>
    </row>
    <row r="41" spans="1:18" ht="15.75" x14ac:dyDescent="0.25">
      <c r="A41" s="128"/>
      <c r="B41" s="27" t="s">
        <v>68</v>
      </c>
      <c r="C41" s="10"/>
      <c r="D41" s="12">
        <f>C41*84</f>
        <v>0</v>
      </c>
      <c r="F41" s="12">
        <v>5</v>
      </c>
      <c r="G41" s="42"/>
      <c r="H41" s="207"/>
      <c r="I41" s="208"/>
      <c r="J41" s="209"/>
      <c r="K41" s="21"/>
      <c r="O41" t="s">
        <v>78</v>
      </c>
      <c r="P41" s="4">
        <v>614</v>
      </c>
      <c r="Q41" s="4">
        <v>111</v>
      </c>
      <c r="R41" s="5">
        <f t="shared" si="0"/>
        <v>725</v>
      </c>
    </row>
    <row r="42" spans="1:18" ht="15.75" x14ac:dyDescent="0.25">
      <c r="A42" s="129"/>
      <c r="B42" s="27" t="s">
        <v>70</v>
      </c>
      <c r="C42" s="11"/>
      <c r="D42" s="12">
        <f>C42*2.25</f>
        <v>0</v>
      </c>
      <c r="F42" s="39" t="s">
        <v>79</v>
      </c>
      <c r="G42" s="207"/>
      <c r="H42" s="208"/>
      <c r="I42" s="208"/>
      <c r="J42" s="209"/>
      <c r="K42" s="36"/>
      <c r="O42" t="s">
        <v>80</v>
      </c>
      <c r="P42" s="4">
        <v>626</v>
      </c>
      <c r="Q42" s="4">
        <v>111</v>
      </c>
      <c r="R42" s="5">
        <f t="shared" si="0"/>
        <v>737</v>
      </c>
    </row>
    <row r="43" spans="1:18" ht="15.75" x14ac:dyDescent="0.25">
      <c r="A43" s="210" t="s">
        <v>81</v>
      </c>
      <c r="C43" s="11"/>
      <c r="D43" s="12"/>
      <c r="F43" s="59" t="s">
        <v>82</v>
      </c>
      <c r="G43" s="109" t="s">
        <v>83</v>
      </c>
      <c r="H43" s="213" t="s">
        <v>13</v>
      </c>
      <c r="I43" s="214"/>
      <c r="J43" s="215"/>
      <c r="K43" s="21"/>
      <c r="O43" t="s">
        <v>103</v>
      </c>
      <c r="P43" s="4">
        <v>1667</v>
      </c>
      <c r="Q43" s="4"/>
      <c r="R43" s="5"/>
    </row>
    <row r="44" spans="1:18" ht="15.75" x14ac:dyDescent="0.25">
      <c r="A44" s="211"/>
      <c r="B44" s="27" t="s">
        <v>66</v>
      </c>
      <c r="C44" s="10"/>
      <c r="D44" s="12">
        <f>C44*120</f>
        <v>0</v>
      </c>
      <c r="F44" s="37"/>
      <c r="G44" s="62"/>
      <c r="H44" s="191"/>
      <c r="I44" s="191"/>
      <c r="J44" s="191"/>
      <c r="K44" s="21"/>
      <c r="O44" t="s">
        <v>106</v>
      </c>
      <c r="P44" s="4">
        <f>785-120</f>
        <v>665</v>
      </c>
      <c r="Q44" s="4">
        <v>120</v>
      </c>
      <c r="R44" s="5">
        <f>Q44+P44</f>
        <v>785</v>
      </c>
    </row>
    <row r="45" spans="1:18" ht="15.75" x14ac:dyDescent="0.25">
      <c r="A45" s="211"/>
      <c r="B45" s="27" t="s">
        <v>68</v>
      </c>
      <c r="C45" s="33"/>
      <c r="D45" s="12">
        <f>C45*84</f>
        <v>0</v>
      </c>
      <c r="F45" s="37"/>
      <c r="G45" s="62"/>
      <c r="H45" s="191"/>
      <c r="I45" s="191"/>
      <c r="J45" s="191"/>
      <c r="K45" s="21"/>
      <c r="P45" s="4"/>
      <c r="Q45" s="4"/>
      <c r="R45" s="5"/>
    </row>
    <row r="46" spans="1:18" ht="15.75" x14ac:dyDescent="0.25">
      <c r="A46" s="211"/>
      <c r="B46" s="49" t="s">
        <v>70</v>
      </c>
      <c r="C46" s="81"/>
      <c r="D46" s="12">
        <f>C46*1.5</f>
        <v>0</v>
      </c>
      <c r="F46" s="37"/>
      <c r="G46" s="62"/>
      <c r="H46" s="191"/>
      <c r="I46" s="191"/>
      <c r="J46" s="191"/>
      <c r="K46" s="21"/>
      <c r="P46" s="4"/>
      <c r="Q46" s="4"/>
      <c r="R46" s="5"/>
    </row>
    <row r="47" spans="1:18" ht="15.75" x14ac:dyDescent="0.25">
      <c r="A47" s="212"/>
      <c r="B47" s="27"/>
      <c r="C47" s="11"/>
      <c r="D47" s="12"/>
      <c r="F47" s="59"/>
      <c r="G47" s="59"/>
      <c r="H47" s="217"/>
      <c r="I47" s="218"/>
      <c r="J47" s="219"/>
      <c r="K47" s="21"/>
      <c r="P47" s="4"/>
      <c r="Q47" s="4"/>
      <c r="R47" s="5"/>
    </row>
    <row r="48" spans="1:18" ht="15" customHeight="1" x14ac:dyDescent="0.25">
      <c r="A48" s="210" t="s">
        <v>32</v>
      </c>
      <c r="B48" s="27" t="s">
        <v>66</v>
      </c>
      <c r="C48" s="10"/>
      <c r="D48" s="12">
        <f>C48*78</f>
        <v>0</v>
      </c>
      <c r="F48" s="59"/>
      <c r="G48" s="59"/>
      <c r="H48" s="217"/>
      <c r="I48" s="218"/>
      <c r="J48" s="219"/>
      <c r="K48" s="35"/>
      <c r="O48" t="s">
        <v>84</v>
      </c>
      <c r="P48" s="4">
        <v>1175</v>
      </c>
      <c r="Q48" s="4"/>
      <c r="R48" s="5">
        <f t="shared" si="0"/>
        <v>1175</v>
      </c>
    </row>
    <row r="49" spans="1:18" ht="15.75" x14ac:dyDescent="0.25">
      <c r="A49" s="211"/>
      <c r="B49" s="29" t="s">
        <v>68</v>
      </c>
      <c r="C49" s="33"/>
      <c r="D49" s="12">
        <f>C49*42</f>
        <v>0</v>
      </c>
      <c r="F49" s="232" t="s">
        <v>86</v>
      </c>
      <c r="G49" s="179">
        <f>H34+H35+H36+H37+H38+H39+H40+H41+G42+H44+H45+H46</f>
        <v>0</v>
      </c>
      <c r="H49" s="180"/>
      <c r="I49" s="180"/>
      <c r="J49" s="181"/>
      <c r="O49" t="s">
        <v>85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211"/>
      <c r="B50" s="32" t="s">
        <v>70</v>
      </c>
      <c r="C50" s="11"/>
      <c r="D50" s="12">
        <f>C50*1.5</f>
        <v>0</v>
      </c>
      <c r="F50" s="233"/>
      <c r="G50" s="182"/>
      <c r="H50" s="183"/>
      <c r="I50" s="183"/>
      <c r="J50" s="184"/>
      <c r="P50" s="4"/>
      <c r="Q50" s="4"/>
      <c r="R50" s="5"/>
    </row>
    <row r="51" spans="1:18" ht="15" customHeight="1" x14ac:dyDescent="0.25">
      <c r="A51" s="211"/>
      <c r="B51" s="27"/>
      <c r="C51" s="10"/>
      <c r="D51" s="31"/>
      <c r="F51" s="234" t="s">
        <v>131</v>
      </c>
      <c r="G51" s="247">
        <f>G49-H29</f>
        <v>0</v>
      </c>
      <c r="H51" s="248"/>
      <c r="I51" s="248"/>
      <c r="J51" s="249"/>
      <c r="K51" s="21"/>
      <c r="O51" t="s">
        <v>87</v>
      </c>
      <c r="P51" s="4">
        <v>703</v>
      </c>
      <c r="Q51" s="4">
        <v>120</v>
      </c>
      <c r="R51" s="5">
        <f t="shared" si="0"/>
        <v>823</v>
      </c>
    </row>
    <row r="52" spans="1:18" ht="15.75" x14ac:dyDescent="0.25">
      <c r="A52" s="211"/>
      <c r="B52" s="29"/>
      <c r="C52" s="33"/>
      <c r="D52" s="45"/>
      <c r="F52" s="235"/>
      <c r="G52" s="250"/>
      <c r="H52" s="251"/>
      <c r="I52" s="251"/>
      <c r="J52" s="252"/>
      <c r="K52" s="21"/>
      <c r="O52" t="s">
        <v>88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212"/>
      <c r="B53" s="32"/>
      <c r="C53" s="11"/>
      <c r="D53" s="12"/>
      <c r="F53" s="35"/>
      <c r="G53" s="24"/>
      <c r="H53" s="24"/>
      <c r="I53" s="24"/>
      <c r="J53" s="17"/>
      <c r="N53" s="1"/>
      <c r="O53" t="s">
        <v>89</v>
      </c>
      <c r="P53" s="4">
        <v>1142</v>
      </c>
    </row>
    <row r="54" spans="1:18" x14ac:dyDescent="0.25">
      <c r="A54" s="175" t="s">
        <v>90</v>
      </c>
      <c r="B54" s="220"/>
      <c r="C54" s="221"/>
      <c r="D54" s="224">
        <f>SUM(D34:D53)</f>
        <v>0</v>
      </c>
      <c r="F54" s="21"/>
      <c r="J54" s="34"/>
      <c r="O54" t="s">
        <v>102</v>
      </c>
      <c r="P54" s="4">
        <v>1582</v>
      </c>
      <c r="R54" s="3">
        <v>1582</v>
      </c>
    </row>
    <row r="55" spans="1:18" x14ac:dyDescent="0.25">
      <c r="A55" s="177"/>
      <c r="B55" s="222"/>
      <c r="C55" s="223"/>
      <c r="D55" s="225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133</v>
      </c>
      <c r="D57" s="34"/>
      <c r="F57" s="36"/>
      <c r="G57" s="50"/>
      <c r="H57" s="50"/>
      <c r="I57" s="50"/>
      <c r="J57" s="43"/>
    </row>
    <row r="58" spans="1:18" x14ac:dyDescent="0.25">
      <c r="A58" s="226" t="s">
        <v>91</v>
      </c>
      <c r="B58" s="227"/>
      <c r="C58" s="227"/>
      <c r="D58" s="228"/>
      <c r="F58" s="226" t="s">
        <v>92</v>
      </c>
      <c r="G58" s="227"/>
      <c r="H58" s="227"/>
      <c r="I58" s="227"/>
      <c r="J58" s="228"/>
    </row>
    <row r="59" spans="1:18" x14ac:dyDescent="0.25">
      <c r="A59" s="229"/>
      <c r="B59" s="230"/>
      <c r="C59" s="230"/>
      <c r="D59" s="231"/>
      <c r="F59" s="229"/>
      <c r="G59" s="230"/>
      <c r="H59" s="230"/>
      <c r="I59" s="230"/>
      <c r="J59" s="231"/>
    </row>
  </sheetData>
  <mergeCells count="68"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  <mergeCell ref="H13:J13"/>
    <mergeCell ref="F14:G14"/>
    <mergeCell ref="H14:J14"/>
    <mergeCell ref="F15:G15"/>
    <mergeCell ref="H15:J15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A32:D32"/>
    <mergeCell ref="F32:J32"/>
    <mergeCell ref="H33:J33"/>
    <mergeCell ref="A34:A36"/>
    <mergeCell ref="H34:J34"/>
    <mergeCell ref="H35:J35"/>
    <mergeCell ref="H36:J36"/>
    <mergeCell ref="A37:A39"/>
    <mergeCell ref="H37:J37"/>
    <mergeCell ref="H38:J38"/>
    <mergeCell ref="H39:J39"/>
    <mergeCell ref="A40:A42"/>
    <mergeCell ref="H40:J40"/>
    <mergeCell ref="H41:J41"/>
    <mergeCell ref="G42:J42"/>
    <mergeCell ref="A43:A47"/>
    <mergeCell ref="H43:J43"/>
    <mergeCell ref="H44:J44"/>
    <mergeCell ref="H45:J45"/>
    <mergeCell ref="H46:J46"/>
    <mergeCell ref="H47:J47"/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6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ABEEB7E-FC1D-4E22-ADEC-2819CD89672F}">
  <dimension ref="A1:R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113" t="s">
        <v>1</v>
      </c>
      <c r="O1" s="113"/>
      <c r="P1" s="105" t="s">
        <v>2</v>
      </c>
      <c r="Q1" s="105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14" t="s">
        <v>7</v>
      </c>
      <c r="B4" s="115"/>
      <c r="C4" s="115"/>
      <c r="D4" s="116"/>
      <c r="F4" s="117" t="s">
        <v>8</v>
      </c>
      <c r="G4" s="119">
        <v>2</v>
      </c>
      <c r="H4" s="121" t="s">
        <v>9</v>
      </c>
      <c r="I4" s="123">
        <v>45980</v>
      </c>
      <c r="J4" s="124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27" t="s">
        <v>7</v>
      </c>
      <c r="B5" s="15" t="s">
        <v>11</v>
      </c>
      <c r="C5" s="9" t="s">
        <v>12</v>
      </c>
      <c r="D5" s="25" t="s">
        <v>13</v>
      </c>
      <c r="F5" s="118"/>
      <c r="G5" s="120"/>
      <c r="H5" s="122"/>
      <c r="I5" s="125"/>
      <c r="J5" s="126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28"/>
      <c r="B6" s="16" t="s">
        <v>15</v>
      </c>
      <c r="C6" s="10"/>
      <c r="D6" s="13">
        <f t="shared" ref="D6:D28" si="1">C6*L6</f>
        <v>0</v>
      </c>
      <c r="F6" s="130" t="s">
        <v>16</v>
      </c>
      <c r="G6" s="132" t="s">
        <v>134</v>
      </c>
      <c r="H6" s="133"/>
      <c r="I6" s="133"/>
      <c r="J6" s="134"/>
      <c r="K6" s="8"/>
      <c r="L6" s="6">
        <f>R42</f>
        <v>737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28"/>
      <c r="B7" s="16" t="s">
        <v>18</v>
      </c>
      <c r="C7" s="10"/>
      <c r="D7" s="13">
        <f t="shared" si="1"/>
        <v>0</v>
      </c>
      <c r="F7" s="131"/>
      <c r="G7" s="135"/>
      <c r="H7" s="136"/>
      <c r="I7" s="136"/>
      <c r="J7" s="137"/>
      <c r="K7" s="8"/>
      <c r="L7" s="6">
        <f>R41</f>
        <v>725</v>
      </c>
      <c r="P7" s="4"/>
      <c r="Q7" s="4"/>
      <c r="R7" s="5"/>
    </row>
    <row r="8" spans="1:18" ht="14.45" customHeight="1" x14ac:dyDescent="0.25">
      <c r="A8" s="128"/>
      <c r="B8" s="16" t="s">
        <v>20</v>
      </c>
      <c r="C8" s="10"/>
      <c r="D8" s="13">
        <f t="shared" si="1"/>
        <v>0</v>
      </c>
      <c r="F8" s="138" t="s">
        <v>21</v>
      </c>
      <c r="G8" s="140" t="s">
        <v>114</v>
      </c>
      <c r="H8" s="141"/>
      <c r="I8" s="141"/>
      <c r="J8" s="142"/>
      <c r="K8" s="8"/>
      <c r="L8" s="6">
        <f>R40</f>
        <v>1033</v>
      </c>
      <c r="P8" s="4"/>
      <c r="Q8" s="4"/>
      <c r="R8" s="5"/>
    </row>
    <row r="9" spans="1:18" ht="14.45" customHeight="1" x14ac:dyDescent="0.25">
      <c r="A9" s="128"/>
      <c r="B9" s="16" t="s">
        <v>23</v>
      </c>
      <c r="C9" s="10"/>
      <c r="D9" s="13">
        <f t="shared" si="1"/>
        <v>0</v>
      </c>
      <c r="F9" s="131"/>
      <c r="G9" s="143"/>
      <c r="H9" s="144"/>
      <c r="I9" s="144"/>
      <c r="J9" s="145"/>
      <c r="K9" s="8"/>
      <c r="L9" s="6">
        <f>R38</f>
        <v>707</v>
      </c>
      <c r="P9" s="4"/>
      <c r="Q9" s="4"/>
      <c r="R9" s="5"/>
    </row>
    <row r="10" spans="1:18" ht="14.45" customHeight="1" x14ac:dyDescent="0.25">
      <c r="A10" s="128"/>
      <c r="B10" t="s">
        <v>25</v>
      </c>
      <c r="C10" s="10"/>
      <c r="D10" s="13">
        <f t="shared" si="1"/>
        <v>0</v>
      </c>
      <c r="F10" s="130" t="s">
        <v>26</v>
      </c>
      <c r="G10" s="146" t="s">
        <v>115</v>
      </c>
      <c r="H10" s="147"/>
      <c r="I10" s="147"/>
      <c r="J10" s="148"/>
      <c r="K10" s="8"/>
      <c r="L10" s="6">
        <f>R36</f>
        <v>972</v>
      </c>
      <c r="P10" s="4"/>
      <c r="Q10" s="4"/>
      <c r="R10" s="5"/>
    </row>
    <row r="11" spans="1:18" ht="15.75" x14ac:dyDescent="0.25">
      <c r="A11" s="128"/>
      <c r="B11" s="17" t="s">
        <v>28</v>
      </c>
      <c r="C11" s="10"/>
      <c r="D11" s="13">
        <f t="shared" si="1"/>
        <v>0</v>
      </c>
      <c r="F11" s="131"/>
      <c r="G11" s="143"/>
      <c r="H11" s="144"/>
      <c r="I11" s="144"/>
      <c r="J11" s="145"/>
      <c r="K11" s="22"/>
      <c r="L11" s="6">
        <f>R32</f>
        <v>1125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28"/>
      <c r="B12" s="17" t="s">
        <v>30</v>
      </c>
      <c r="C12" s="10"/>
      <c r="D12" s="48">
        <f t="shared" si="1"/>
        <v>0</v>
      </c>
      <c r="F12" s="149" t="s">
        <v>33</v>
      </c>
      <c r="G12" s="150"/>
      <c r="H12" s="150"/>
      <c r="I12" s="150"/>
      <c r="J12" s="151"/>
      <c r="K12" s="23"/>
      <c r="L12" s="6">
        <f>R34</f>
        <v>952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28"/>
      <c r="B13" s="17" t="s">
        <v>32</v>
      </c>
      <c r="C13" s="10"/>
      <c r="D13" s="48">
        <f t="shared" si="1"/>
        <v>0</v>
      </c>
      <c r="F13" s="152" t="s">
        <v>36</v>
      </c>
      <c r="G13" s="153"/>
      <c r="H13" s="154">
        <f>D29</f>
        <v>0</v>
      </c>
      <c r="I13" s="155"/>
      <c r="J13" s="156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28"/>
      <c r="B14" s="14" t="s">
        <v>35</v>
      </c>
      <c r="C14" s="10"/>
      <c r="D14" s="31">
        <f t="shared" si="1"/>
        <v>0</v>
      </c>
      <c r="F14" s="157" t="s">
        <v>39</v>
      </c>
      <c r="G14" s="158"/>
      <c r="H14" s="159">
        <f>D54</f>
        <v>0</v>
      </c>
      <c r="I14" s="160"/>
      <c r="J14" s="161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28"/>
      <c r="B15" s="14" t="s">
        <v>38</v>
      </c>
      <c r="C15" s="10"/>
      <c r="D15" s="31">
        <f t="shared" si="1"/>
        <v>0</v>
      </c>
      <c r="F15" s="162" t="s">
        <v>40</v>
      </c>
      <c r="G15" s="153"/>
      <c r="H15" s="163">
        <f>H13-H14</f>
        <v>0</v>
      </c>
      <c r="I15" s="164"/>
      <c r="J15" s="165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28"/>
      <c r="B16" s="18" t="s">
        <v>94</v>
      </c>
      <c r="C16" s="10"/>
      <c r="D16" s="48">
        <f t="shared" si="1"/>
        <v>0</v>
      </c>
      <c r="F16" s="67" t="s">
        <v>42</v>
      </c>
      <c r="G16" s="66" t="s">
        <v>43</v>
      </c>
      <c r="H16" s="166"/>
      <c r="I16" s="166"/>
      <c r="J16" s="166"/>
      <c r="L16" s="6">
        <f>R28</f>
        <v>1567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28"/>
      <c r="B17" t="s">
        <v>93</v>
      </c>
      <c r="C17" s="10"/>
      <c r="D17" s="48">
        <f t="shared" si="1"/>
        <v>0</v>
      </c>
      <c r="F17" s="56"/>
      <c r="G17" s="66" t="s">
        <v>45</v>
      </c>
      <c r="H17" s="139"/>
      <c r="I17" s="139"/>
      <c r="J17" s="139"/>
      <c r="L17" s="6">
        <f>R21</f>
        <v>1567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28"/>
      <c r="B18" s="19" t="s">
        <v>95</v>
      </c>
      <c r="C18" s="10"/>
      <c r="D18" s="48">
        <f t="shared" si="1"/>
        <v>0</v>
      </c>
      <c r="F18" s="56"/>
      <c r="G18" s="66" t="s">
        <v>47</v>
      </c>
      <c r="H18" s="139"/>
      <c r="I18" s="139"/>
      <c r="J18" s="139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28"/>
      <c r="B19" s="14" t="s">
        <v>96</v>
      </c>
      <c r="C19" s="10"/>
      <c r="D19" s="48">
        <f t="shared" si="1"/>
        <v>0</v>
      </c>
      <c r="F19" s="56"/>
      <c r="G19" s="68" t="s">
        <v>50</v>
      </c>
      <c r="H19" s="246"/>
      <c r="I19" s="246"/>
      <c r="J19" s="246"/>
      <c r="L19" s="6">
        <f>R35</f>
        <v>1102</v>
      </c>
      <c r="Q19" s="4"/>
      <c r="R19" s="5">
        <f t="shared" si="0"/>
        <v>0</v>
      </c>
    </row>
    <row r="20" spans="1:18" ht="15.75" x14ac:dyDescent="0.25">
      <c r="A20" s="128"/>
      <c r="B20" s="46" t="s">
        <v>122</v>
      </c>
      <c r="C20" s="10"/>
      <c r="D20" s="13">
        <f t="shared" si="1"/>
        <v>0</v>
      </c>
      <c r="F20" s="57"/>
      <c r="G20" s="70" t="s">
        <v>120</v>
      </c>
      <c r="H20" s="139"/>
      <c r="I20" s="139"/>
      <c r="J20" s="139"/>
      <c r="L20" s="6">
        <f>R39</f>
        <v>1175</v>
      </c>
      <c r="N20" s="1" t="s">
        <v>41</v>
      </c>
      <c r="Q20" s="4"/>
      <c r="R20" s="5">
        <f t="shared" si="0"/>
        <v>0</v>
      </c>
    </row>
    <row r="21" spans="1:18" ht="15.75" x14ac:dyDescent="0.25">
      <c r="A21" s="128"/>
      <c r="B21" s="14" t="s">
        <v>126</v>
      </c>
      <c r="C21" s="10"/>
      <c r="D21" s="48">
        <f t="shared" si="1"/>
        <v>0</v>
      </c>
      <c r="F21" s="69" t="s">
        <v>99</v>
      </c>
      <c r="G21" s="82" t="s">
        <v>98</v>
      </c>
      <c r="H21" s="186" t="s">
        <v>13</v>
      </c>
      <c r="I21" s="187"/>
      <c r="J21" s="188"/>
      <c r="L21" s="7">
        <v>650</v>
      </c>
      <c r="O21" t="s">
        <v>44</v>
      </c>
      <c r="P21" s="4">
        <v>1447</v>
      </c>
      <c r="Q21" s="4">
        <v>120</v>
      </c>
      <c r="R21" s="5">
        <f t="shared" si="0"/>
        <v>1567</v>
      </c>
    </row>
    <row r="22" spans="1:18" ht="15.75" x14ac:dyDescent="0.25">
      <c r="A22" s="128"/>
      <c r="B22" s="46" t="s">
        <v>104</v>
      </c>
      <c r="C22" s="10"/>
      <c r="D22" s="48">
        <f t="shared" si="1"/>
        <v>0</v>
      </c>
      <c r="F22" s="72"/>
      <c r="G22" s="73"/>
      <c r="H22" s="189"/>
      <c r="I22" s="189"/>
      <c r="J22" s="189"/>
      <c r="L22" s="7">
        <f>559+111</f>
        <v>670</v>
      </c>
      <c r="O22" t="s">
        <v>46</v>
      </c>
      <c r="P22" s="4">
        <v>1582</v>
      </c>
      <c r="Q22" s="4"/>
      <c r="R22" s="5">
        <f t="shared" si="0"/>
        <v>1582</v>
      </c>
    </row>
    <row r="23" spans="1:18" ht="15.75" x14ac:dyDescent="0.25">
      <c r="A23" s="128"/>
      <c r="B23" s="14" t="s">
        <v>107</v>
      </c>
      <c r="C23" s="10"/>
      <c r="D23" s="48">
        <f t="shared" si="1"/>
        <v>0</v>
      </c>
      <c r="F23" s="25"/>
      <c r="G23" s="37"/>
      <c r="H23" s="190"/>
      <c r="I23" s="191"/>
      <c r="J23" s="191"/>
      <c r="L23" s="47">
        <f>R33</f>
        <v>1175</v>
      </c>
      <c r="N23" s="1"/>
      <c r="O23" t="s">
        <v>48</v>
      </c>
      <c r="P23" s="4">
        <v>1728</v>
      </c>
      <c r="Q23" s="4"/>
      <c r="R23" s="5">
        <f t="shared" si="0"/>
        <v>1728</v>
      </c>
    </row>
    <row r="24" spans="1:18" ht="15.75" x14ac:dyDescent="0.25">
      <c r="A24" s="128"/>
      <c r="B24" s="14" t="s">
        <v>123</v>
      </c>
      <c r="C24" s="10"/>
      <c r="D24" s="48">
        <f t="shared" si="1"/>
        <v>0</v>
      </c>
      <c r="F24" s="38"/>
      <c r="G24" s="37"/>
      <c r="H24" s="190"/>
      <c r="I24" s="191"/>
      <c r="J24" s="191"/>
      <c r="L24" s="47">
        <f>596/6</f>
        <v>99.333333333333329</v>
      </c>
      <c r="N24" s="1"/>
      <c r="O24" t="s">
        <v>49</v>
      </c>
      <c r="P24" s="4">
        <v>1728</v>
      </c>
      <c r="Q24" s="4"/>
      <c r="R24" s="5">
        <f t="shared" si="0"/>
        <v>1728</v>
      </c>
    </row>
    <row r="25" spans="1:18" ht="15.75" x14ac:dyDescent="0.25">
      <c r="A25" s="128"/>
      <c r="B25" s="14" t="s">
        <v>124</v>
      </c>
      <c r="C25" s="10"/>
      <c r="D25" s="48">
        <f t="shared" si="1"/>
        <v>0</v>
      </c>
      <c r="F25" s="60" t="s">
        <v>100</v>
      </c>
      <c r="G25" s="55" t="s">
        <v>98</v>
      </c>
      <c r="H25" s="192" t="s">
        <v>13</v>
      </c>
      <c r="I25" s="193"/>
      <c r="J25" s="194"/>
      <c r="L25" s="47">
        <f>674/6</f>
        <v>112.33333333333333</v>
      </c>
      <c r="O25" t="s">
        <v>51</v>
      </c>
      <c r="P25" s="4">
        <v>1582</v>
      </c>
      <c r="Q25" s="4"/>
      <c r="R25" s="5">
        <f t="shared" si="0"/>
        <v>1582</v>
      </c>
    </row>
    <row r="26" spans="1:18" ht="15.75" x14ac:dyDescent="0.25">
      <c r="A26" s="128"/>
      <c r="B26" s="14" t="s">
        <v>105</v>
      </c>
      <c r="C26" s="10"/>
      <c r="D26" s="48">
        <f t="shared" si="1"/>
        <v>0</v>
      </c>
      <c r="F26" s="64"/>
      <c r="G26" s="10"/>
      <c r="H26" s="195"/>
      <c r="I26" s="196"/>
      <c r="J26" s="197"/>
      <c r="L26" s="7">
        <f>832/24+1.5</f>
        <v>36.166666666666664</v>
      </c>
      <c r="O26" t="s">
        <v>52</v>
      </c>
      <c r="P26" s="4">
        <v>1447</v>
      </c>
      <c r="Q26" s="4">
        <v>120</v>
      </c>
      <c r="R26" s="5">
        <f t="shared" si="0"/>
        <v>1567</v>
      </c>
    </row>
    <row r="27" spans="1:18" ht="14.45" customHeight="1" x14ac:dyDescent="0.25">
      <c r="A27" s="128"/>
      <c r="B27" s="14" t="s">
        <v>109</v>
      </c>
      <c r="C27" s="10"/>
      <c r="D27" s="44">
        <f t="shared" si="1"/>
        <v>0</v>
      </c>
      <c r="F27" s="14"/>
      <c r="G27" s="14"/>
      <c r="H27" s="198"/>
      <c r="I27" s="199"/>
      <c r="J27" s="200"/>
      <c r="L27" s="7">
        <v>1582</v>
      </c>
      <c r="O27" t="s">
        <v>53</v>
      </c>
      <c r="P27" s="4">
        <v>1582</v>
      </c>
      <c r="Q27" s="4"/>
      <c r="R27" s="5">
        <f t="shared" si="0"/>
        <v>1582</v>
      </c>
    </row>
    <row r="28" spans="1:18" ht="15.75" x14ac:dyDescent="0.25">
      <c r="A28" s="129"/>
      <c r="B28" s="46" t="s">
        <v>97</v>
      </c>
      <c r="C28" s="10"/>
      <c r="D28" s="48">
        <f t="shared" si="1"/>
        <v>0</v>
      </c>
      <c r="F28" s="106"/>
      <c r="G28" s="61"/>
      <c r="H28" s="201"/>
      <c r="I28" s="202"/>
      <c r="J28" s="203"/>
      <c r="L28" s="7">
        <v>785</v>
      </c>
      <c r="O28" t="s">
        <v>54</v>
      </c>
      <c r="P28" s="4">
        <v>1447</v>
      </c>
      <c r="Q28" s="4">
        <v>120</v>
      </c>
      <c r="R28" s="5">
        <f t="shared" si="0"/>
        <v>1567</v>
      </c>
    </row>
    <row r="29" spans="1:18" x14ac:dyDescent="0.25">
      <c r="A29" s="167" t="s">
        <v>36</v>
      </c>
      <c r="B29" s="168"/>
      <c r="C29" s="169"/>
      <c r="D29" s="173">
        <f>SUM(D6:D28)</f>
        <v>0</v>
      </c>
      <c r="F29" s="175" t="s">
        <v>55</v>
      </c>
      <c r="G29" s="176"/>
      <c r="H29" s="179">
        <f>H15-H16-H17-H18-H19-H20-H22-H23-H24+H26+H27</f>
        <v>0</v>
      </c>
      <c r="I29" s="180"/>
      <c r="J29" s="181"/>
      <c r="O29" t="s">
        <v>56</v>
      </c>
      <c r="P29" s="4">
        <v>1582</v>
      </c>
      <c r="Q29" s="4"/>
      <c r="R29" s="5">
        <f t="shared" si="0"/>
        <v>1582</v>
      </c>
    </row>
    <row r="30" spans="1:18" x14ac:dyDescent="0.25">
      <c r="A30" s="170"/>
      <c r="B30" s="171"/>
      <c r="C30" s="172"/>
      <c r="D30" s="174"/>
      <c r="F30" s="177"/>
      <c r="G30" s="178"/>
      <c r="H30" s="182"/>
      <c r="I30" s="183"/>
      <c r="J30" s="184"/>
      <c r="N30" s="1"/>
      <c r="Q30" s="4"/>
      <c r="R30" s="5">
        <f t="shared" si="0"/>
        <v>0</v>
      </c>
    </row>
    <row r="31" spans="1:18" x14ac:dyDescent="0.25">
      <c r="A31" s="24"/>
      <c r="B31" s="24"/>
      <c r="C31" s="24"/>
      <c r="D31" s="24"/>
      <c r="F31" s="24"/>
      <c r="G31" s="24"/>
      <c r="O31" t="s">
        <v>57</v>
      </c>
      <c r="P31" s="4">
        <v>1052</v>
      </c>
      <c r="Q31" s="4">
        <v>120</v>
      </c>
      <c r="R31" s="5">
        <f t="shared" si="0"/>
        <v>1172</v>
      </c>
    </row>
    <row r="32" spans="1:18" x14ac:dyDescent="0.25">
      <c r="A32" s="114" t="s">
        <v>58</v>
      </c>
      <c r="B32" s="115"/>
      <c r="C32" s="115"/>
      <c r="D32" s="116"/>
      <c r="F32" s="204" t="s">
        <v>59</v>
      </c>
      <c r="G32" s="205"/>
      <c r="H32" s="205"/>
      <c r="I32" s="205"/>
      <c r="J32" s="206"/>
      <c r="O32" t="s">
        <v>60</v>
      </c>
      <c r="P32" s="4">
        <v>1005</v>
      </c>
      <c r="Q32" s="4">
        <v>120</v>
      </c>
      <c r="R32" s="5">
        <f t="shared" si="0"/>
        <v>1125</v>
      </c>
    </row>
    <row r="33" spans="1:18" x14ac:dyDescent="0.25">
      <c r="A33" s="25"/>
      <c r="B33" s="25" t="s">
        <v>11</v>
      </c>
      <c r="C33" s="25" t="s">
        <v>61</v>
      </c>
      <c r="D33" s="25" t="s">
        <v>13</v>
      </c>
      <c r="F33" s="25" t="s">
        <v>62</v>
      </c>
      <c r="G33" s="107" t="s">
        <v>63</v>
      </c>
      <c r="H33" s="204" t="s">
        <v>13</v>
      </c>
      <c r="I33" s="205"/>
      <c r="J33" s="206"/>
      <c r="O33" t="s">
        <v>64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27" t="s">
        <v>65</v>
      </c>
      <c r="B34" s="26" t="s">
        <v>66</v>
      </c>
      <c r="C34" s="51"/>
      <c r="D34" s="30">
        <f>C34*120</f>
        <v>0</v>
      </c>
      <c r="F34" s="12">
        <v>1000</v>
      </c>
      <c r="G34" s="74"/>
      <c r="H34" s="207">
        <f>F34*G34</f>
        <v>0</v>
      </c>
      <c r="I34" s="208"/>
      <c r="J34" s="209"/>
      <c r="O34" t="s">
        <v>67</v>
      </c>
      <c r="P34" s="4">
        <v>832</v>
      </c>
      <c r="Q34" s="4">
        <v>120</v>
      </c>
      <c r="R34" s="5">
        <f t="shared" si="0"/>
        <v>952</v>
      </c>
    </row>
    <row r="35" spans="1:18" ht="15.75" x14ac:dyDescent="0.25">
      <c r="A35" s="128"/>
      <c r="B35" s="27" t="s">
        <v>68</v>
      </c>
      <c r="C35" s="52"/>
      <c r="D35" s="30">
        <f>C35*84</f>
        <v>0</v>
      </c>
      <c r="F35" s="58">
        <v>500</v>
      </c>
      <c r="G35" s="41"/>
      <c r="H35" s="207">
        <f t="shared" ref="H35:H39" si="2">F35*G35</f>
        <v>0</v>
      </c>
      <c r="I35" s="208"/>
      <c r="J35" s="209"/>
      <c r="O35" t="s">
        <v>69</v>
      </c>
      <c r="P35" s="4">
        <v>1102</v>
      </c>
      <c r="Q35" s="4"/>
      <c r="R35" s="5">
        <f t="shared" si="0"/>
        <v>1102</v>
      </c>
    </row>
    <row r="36" spans="1:18" ht="15.75" x14ac:dyDescent="0.25">
      <c r="A36" s="129"/>
      <c r="B36" s="26" t="s">
        <v>70</v>
      </c>
      <c r="C36" s="10"/>
      <c r="D36" s="12">
        <f>C36*1.5</f>
        <v>0</v>
      </c>
      <c r="F36" s="12">
        <v>200</v>
      </c>
      <c r="G36" s="37"/>
      <c r="H36" s="207">
        <f>F36*G36</f>
        <v>0</v>
      </c>
      <c r="I36" s="208"/>
      <c r="J36" s="209"/>
      <c r="O36" t="s">
        <v>71</v>
      </c>
      <c r="P36" s="4">
        <v>852</v>
      </c>
      <c r="Q36" s="4">
        <v>120</v>
      </c>
      <c r="R36" s="5">
        <f t="shared" si="0"/>
        <v>972</v>
      </c>
    </row>
    <row r="37" spans="1:18" ht="15.75" x14ac:dyDescent="0.25">
      <c r="A37" s="127" t="s">
        <v>72</v>
      </c>
      <c r="B37" s="28" t="s">
        <v>66</v>
      </c>
      <c r="C37" s="53"/>
      <c r="D37" s="12">
        <f>C37*111</f>
        <v>0</v>
      </c>
      <c r="F37" s="12">
        <v>100</v>
      </c>
      <c r="G37" s="39"/>
      <c r="H37" s="207">
        <f t="shared" si="2"/>
        <v>0</v>
      </c>
      <c r="I37" s="208"/>
      <c r="J37" s="209"/>
      <c r="O37" t="s">
        <v>73</v>
      </c>
      <c r="P37" s="4">
        <v>1020</v>
      </c>
      <c r="Q37" s="4">
        <v>120</v>
      </c>
      <c r="R37" s="5">
        <f t="shared" si="0"/>
        <v>1140</v>
      </c>
    </row>
    <row r="38" spans="1:18" ht="15.75" x14ac:dyDescent="0.25">
      <c r="A38" s="128"/>
      <c r="B38" s="29" t="s">
        <v>68</v>
      </c>
      <c r="C38" s="54"/>
      <c r="D38" s="12">
        <f>C38*84</f>
        <v>0</v>
      </c>
      <c r="F38" s="30">
        <v>50</v>
      </c>
      <c r="G38" s="39"/>
      <c r="H38" s="207">
        <f t="shared" si="2"/>
        <v>0</v>
      </c>
      <c r="I38" s="208"/>
      <c r="J38" s="209"/>
      <c r="O38" t="s">
        <v>74</v>
      </c>
      <c r="P38" s="4">
        <v>596</v>
      </c>
      <c r="Q38" s="4">
        <v>111</v>
      </c>
      <c r="R38" s="5">
        <f t="shared" si="0"/>
        <v>707</v>
      </c>
    </row>
    <row r="39" spans="1:18" ht="15.75" x14ac:dyDescent="0.25">
      <c r="A39" s="129"/>
      <c r="B39" s="29" t="s">
        <v>70</v>
      </c>
      <c r="C39" s="52"/>
      <c r="D39" s="31">
        <f>C39*4.5</f>
        <v>0</v>
      </c>
      <c r="F39" s="12">
        <v>20</v>
      </c>
      <c r="G39" s="37"/>
      <c r="H39" s="207">
        <f t="shared" si="2"/>
        <v>0</v>
      </c>
      <c r="I39" s="208"/>
      <c r="J39" s="209"/>
      <c r="O39" t="s">
        <v>75</v>
      </c>
      <c r="P39" s="4">
        <v>1175</v>
      </c>
      <c r="Q39" s="4"/>
      <c r="R39" s="5">
        <f t="shared" si="0"/>
        <v>1175</v>
      </c>
    </row>
    <row r="40" spans="1:18" ht="15.75" x14ac:dyDescent="0.25">
      <c r="A40" s="127" t="s">
        <v>76</v>
      </c>
      <c r="B40" s="27" t="s">
        <v>66</v>
      </c>
      <c r="C40" s="63"/>
      <c r="D40" s="12">
        <f>C40*111</f>
        <v>0</v>
      </c>
      <c r="F40" s="12">
        <v>10</v>
      </c>
      <c r="G40" s="42"/>
      <c r="H40" s="207"/>
      <c r="I40" s="208"/>
      <c r="J40" s="209"/>
      <c r="O40" t="s">
        <v>77</v>
      </c>
      <c r="P40" s="4">
        <v>913</v>
      </c>
      <c r="Q40" s="4">
        <v>120</v>
      </c>
      <c r="R40" s="5">
        <f t="shared" si="0"/>
        <v>1033</v>
      </c>
    </row>
    <row r="41" spans="1:18" ht="15.75" x14ac:dyDescent="0.25">
      <c r="A41" s="128"/>
      <c r="B41" s="27" t="s">
        <v>68</v>
      </c>
      <c r="C41" s="10"/>
      <c r="D41" s="12">
        <f>C41*84</f>
        <v>0</v>
      </c>
      <c r="F41" s="12">
        <v>5</v>
      </c>
      <c r="G41" s="42"/>
      <c r="H41" s="207"/>
      <c r="I41" s="208"/>
      <c r="J41" s="209"/>
      <c r="K41" s="21"/>
      <c r="O41" t="s">
        <v>78</v>
      </c>
      <c r="P41" s="4">
        <v>614</v>
      </c>
      <c r="Q41" s="4">
        <v>111</v>
      </c>
      <c r="R41" s="5">
        <f t="shared" si="0"/>
        <v>725</v>
      </c>
    </row>
    <row r="42" spans="1:18" ht="15.75" x14ac:dyDescent="0.25">
      <c r="A42" s="129"/>
      <c r="B42" s="27" t="s">
        <v>70</v>
      </c>
      <c r="C42" s="11"/>
      <c r="D42" s="12">
        <f>C42*2.25</f>
        <v>0</v>
      </c>
      <c r="F42" s="39" t="s">
        <v>79</v>
      </c>
      <c r="G42" s="207"/>
      <c r="H42" s="208"/>
      <c r="I42" s="208"/>
      <c r="J42" s="209"/>
      <c r="K42" s="36"/>
      <c r="O42" t="s">
        <v>80</v>
      </c>
      <c r="P42" s="4">
        <v>626</v>
      </c>
      <c r="Q42" s="4">
        <v>111</v>
      </c>
      <c r="R42" s="5">
        <f t="shared" si="0"/>
        <v>737</v>
      </c>
    </row>
    <row r="43" spans="1:18" ht="15.75" x14ac:dyDescent="0.25">
      <c r="A43" s="210" t="s">
        <v>81</v>
      </c>
      <c r="C43" s="11"/>
      <c r="D43" s="12"/>
      <c r="F43" s="59" t="s">
        <v>82</v>
      </c>
      <c r="G43" s="109" t="s">
        <v>83</v>
      </c>
      <c r="H43" s="213" t="s">
        <v>13</v>
      </c>
      <c r="I43" s="214"/>
      <c r="J43" s="215"/>
      <c r="K43" s="21"/>
      <c r="P43" s="4"/>
      <c r="Q43" s="4"/>
      <c r="R43" s="5"/>
    </row>
    <row r="44" spans="1:18" ht="15.75" x14ac:dyDescent="0.25">
      <c r="A44" s="211"/>
      <c r="B44" s="27" t="s">
        <v>66</v>
      </c>
      <c r="C44" s="10"/>
      <c r="D44" s="12">
        <f>C44*120</f>
        <v>0</v>
      </c>
      <c r="F44" s="37"/>
      <c r="G44" s="62"/>
      <c r="H44" s="191"/>
      <c r="I44" s="191"/>
      <c r="J44" s="191"/>
      <c r="K44" s="21"/>
      <c r="P44" s="4"/>
      <c r="Q44" s="4"/>
      <c r="R44" s="5"/>
    </row>
    <row r="45" spans="1:18" ht="15.75" x14ac:dyDescent="0.25">
      <c r="A45" s="211"/>
      <c r="B45" s="27" t="s">
        <v>68</v>
      </c>
      <c r="C45" s="33"/>
      <c r="D45" s="12">
        <f>C45*84</f>
        <v>0</v>
      </c>
      <c r="F45" s="37"/>
      <c r="G45" s="62"/>
      <c r="H45" s="191"/>
      <c r="I45" s="191"/>
      <c r="J45" s="191"/>
      <c r="K45" s="21"/>
      <c r="P45" s="4"/>
      <c r="Q45" s="4"/>
      <c r="R45" s="5"/>
    </row>
    <row r="46" spans="1:18" ht="15.75" x14ac:dyDescent="0.25">
      <c r="A46" s="211"/>
      <c r="B46" s="49" t="s">
        <v>70</v>
      </c>
      <c r="C46" s="81"/>
      <c r="D46" s="12">
        <f>C46*1.5</f>
        <v>0</v>
      </c>
      <c r="F46" s="37"/>
      <c r="G46" s="108"/>
      <c r="H46" s="216"/>
      <c r="I46" s="216"/>
      <c r="J46" s="216"/>
      <c r="K46" s="21"/>
      <c r="P46" s="4"/>
      <c r="Q46" s="4"/>
      <c r="R46" s="5"/>
    </row>
    <row r="47" spans="1:18" ht="15.75" x14ac:dyDescent="0.25">
      <c r="A47" s="212"/>
      <c r="B47" s="27"/>
      <c r="C47" s="11"/>
      <c r="D47" s="12"/>
      <c r="F47" s="59"/>
      <c r="G47" s="59"/>
      <c r="H47" s="217"/>
      <c r="I47" s="218"/>
      <c r="J47" s="219"/>
      <c r="K47" s="21"/>
      <c r="P47" s="4"/>
      <c r="Q47" s="4"/>
      <c r="R47" s="5"/>
    </row>
    <row r="48" spans="1:18" ht="15" customHeight="1" x14ac:dyDescent="0.25">
      <c r="A48" s="210" t="s">
        <v>32</v>
      </c>
      <c r="B48" s="27" t="s">
        <v>66</v>
      </c>
      <c r="C48" s="10"/>
      <c r="D48" s="12">
        <f>C48*78</f>
        <v>0</v>
      </c>
      <c r="F48" s="59"/>
      <c r="G48" s="59"/>
      <c r="H48" s="217"/>
      <c r="I48" s="218"/>
      <c r="J48" s="219"/>
      <c r="K48" s="35"/>
      <c r="O48" t="s">
        <v>84</v>
      </c>
      <c r="P48" s="4">
        <v>1175</v>
      </c>
      <c r="Q48" s="4"/>
      <c r="R48" s="5">
        <f t="shared" si="0"/>
        <v>1175</v>
      </c>
    </row>
    <row r="49" spans="1:18" ht="15.75" x14ac:dyDescent="0.25">
      <c r="A49" s="211"/>
      <c r="B49" s="29" t="s">
        <v>68</v>
      </c>
      <c r="C49" s="33"/>
      <c r="D49" s="12">
        <f>C49*42</f>
        <v>0</v>
      </c>
      <c r="F49" s="232" t="s">
        <v>86</v>
      </c>
      <c r="G49" s="179">
        <f>H34+H35+H36+H37+H38+H39+H40+H41+G42+H44+H45+H46</f>
        <v>0</v>
      </c>
      <c r="H49" s="180"/>
      <c r="I49" s="180"/>
      <c r="J49" s="181"/>
      <c r="O49" t="s">
        <v>85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211"/>
      <c r="B50" s="32" t="s">
        <v>70</v>
      </c>
      <c r="C50" s="11"/>
      <c r="D50" s="12">
        <f>C50*1.5</f>
        <v>0</v>
      </c>
      <c r="F50" s="233"/>
      <c r="G50" s="182"/>
      <c r="H50" s="183"/>
      <c r="I50" s="183"/>
      <c r="J50" s="184"/>
      <c r="P50" s="4"/>
      <c r="Q50" s="4"/>
      <c r="R50" s="5"/>
    </row>
    <row r="51" spans="1:18" ht="15" customHeight="1" x14ac:dyDescent="0.25">
      <c r="A51" s="211"/>
      <c r="B51" s="27"/>
      <c r="C51" s="10"/>
      <c r="D51" s="31"/>
      <c r="F51" s="234" t="s">
        <v>132</v>
      </c>
      <c r="G51" s="247">
        <f>G49-H29</f>
        <v>0</v>
      </c>
      <c r="H51" s="248"/>
      <c r="I51" s="248"/>
      <c r="J51" s="249"/>
      <c r="K51" s="21"/>
      <c r="O51" t="s">
        <v>87</v>
      </c>
      <c r="P51" s="4">
        <v>703</v>
      </c>
      <c r="Q51" s="4">
        <v>120</v>
      </c>
      <c r="R51" s="5">
        <f t="shared" si="0"/>
        <v>823</v>
      </c>
    </row>
    <row r="52" spans="1:18" ht="15.75" x14ac:dyDescent="0.25">
      <c r="A52" s="211"/>
      <c r="B52" s="29"/>
      <c r="C52" s="33"/>
      <c r="D52" s="45"/>
      <c r="F52" s="235"/>
      <c r="G52" s="250"/>
      <c r="H52" s="251"/>
      <c r="I52" s="251"/>
      <c r="J52" s="252"/>
      <c r="K52" s="21"/>
      <c r="O52" t="s">
        <v>88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212"/>
      <c r="B53" s="32"/>
      <c r="C53" s="11"/>
      <c r="D53" s="12"/>
      <c r="F53" s="35"/>
      <c r="G53" s="24"/>
      <c r="H53" s="24"/>
      <c r="I53" s="24"/>
      <c r="J53" s="17"/>
      <c r="N53" s="1"/>
      <c r="O53" t="s">
        <v>89</v>
      </c>
      <c r="P53" s="4">
        <v>1142</v>
      </c>
    </row>
    <row r="54" spans="1:18" x14ac:dyDescent="0.25">
      <c r="A54" s="175" t="s">
        <v>90</v>
      </c>
      <c r="B54" s="220"/>
      <c r="C54" s="221"/>
      <c r="D54" s="224">
        <f>SUM(D34:D53)</f>
        <v>0</v>
      </c>
      <c r="F54" s="21"/>
      <c r="J54" s="34"/>
    </row>
    <row r="55" spans="1:18" x14ac:dyDescent="0.25">
      <c r="A55" s="177"/>
      <c r="B55" s="222"/>
      <c r="C55" s="223"/>
      <c r="D55" s="225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135</v>
      </c>
      <c r="D57" s="34"/>
      <c r="F57" s="36"/>
      <c r="G57" s="50"/>
      <c r="H57" s="50"/>
      <c r="I57" s="50"/>
      <c r="J57" s="43"/>
    </row>
    <row r="58" spans="1:18" x14ac:dyDescent="0.25">
      <c r="A58" s="226" t="s">
        <v>91</v>
      </c>
      <c r="B58" s="227"/>
      <c r="C58" s="227"/>
      <c r="D58" s="228"/>
      <c r="F58" s="226" t="s">
        <v>92</v>
      </c>
      <c r="G58" s="227"/>
      <c r="H58" s="227"/>
      <c r="I58" s="227"/>
      <c r="J58" s="228"/>
    </row>
    <row r="59" spans="1:18" x14ac:dyDescent="0.25">
      <c r="A59" s="229"/>
      <c r="B59" s="230"/>
      <c r="C59" s="230"/>
      <c r="D59" s="231"/>
      <c r="F59" s="229"/>
      <c r="G59" s="230"/>
      <c r="H59" s="230"/>
      <c r="I59" s="230"/>
      <c r="J59" s="231"/>
    </row>
  </sheetData>
  <mergeCells count="68"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  <mergeCell ref="H13:J13"/>
    <mergeCell ref="F14:G14"/>
    <mergeCell ref="H14:J14"/>
    <mergeCell ref="F15:G15"/>
    <mergeCell ref="H15:J15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A32:D32"/>
    <mergeCell ref="F32:J32"/>
    <mergeCell ref="H33:J33"/>
    <mergeCell ref="A34:A36"/>
    <mergeCell ref="H34:J34"/>
    <mergeCell ref="H35:J35"/>
    <mergeCell ref="H36:J36"/>
    <mergeCell ref="A37:A39"/>
    <mergeCell ref="H37:J37"/>
    <mergeCell ref="H38:J38"/>
    <mergeCell ref="H39:J39"/>
    <mergeCell ref="A40:A42"/>
    <mergeCell ref="H40:J40"/>
    <mergeCell ref="H41:J41"/>
    <mergeCell ref="G42:J42"/>
    <mergeCell ref="A43:A47"/>
    <mergeCell ref="H43:J43"/>
    <mergeCell ref="H44:J44"/>
    <mergeCell ref="H45:J45"/>
    <mergeCell ref="H46:J46"/>
    <mergeCell ref="H47:J47"/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6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86B2D79-0B47-47BB-8777-B1ED3EC114D3}">
  <dimension ref="A1:R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113" t="s">
        <v>1</v>
      </c>
      <c r="O1" s="113"/>
      <c r="P1" s="105" t="s">
        <v>2</v>
      </c>
      <c r="Q1" s="105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14" t="s">
        <v>7</v>
      </c>
      <c r="B4" s="115"/>
      <c r="C4" s="115"/>
      <c r="D4" s="116"/>
      <c r="F4" s="117" t="s">
        <v>8</v>
      </c>
      <c r="G4" s="119">
        <v>3</v>
      </c>
      <c r="H4" s="121" t="s">
        <v>9</v>
      </c>
      <c r="I4" s="123">
        <v>45980</v>
      </c>
      <c r="J4" s="124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27" t="s">
        <v>7</v>
      </c>
      <c r="B5" s="15" t="s">
        <v>11</v>
      </c>
      <c r="C5" s="9" t="s">
        <v>12</v>
      </c>
      <c r="D5" s="25" t="s">
        <v>13</v>
      </c>
      <c r="F5" s="118"/>
      <c r="G5" s="120"/>
      <c r="H5" s="122"/>
      <c r="I5" s="125"/>
      <c r="J5" s="126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28"/>
      <c r="B6" s="16" t="s">
        <v>15</v>
      </c>
      <c r="C6" s="10"/>
      <c r="D6" s="13">
        <f t="shared" ref="D6:D28" si="1">C6*L6</f>
        <v>0</v>
      </c>
      <c r="F6" s="130" t="s">
        <v>16</v>
      </c>
      <c r="G6" s="132" t="s">
        <v>111</v>
      </c>
      <c r="H6" s="133"/>
      <c r="I6" s="133"/>
      <c r="J6" s="134"/>
      <c r="K6" s="8"/>
      <c r="L6" s="6">
        <f>R42</f>
        <v>737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28"/>
      <c r="B7" s="16" t="s">
        <v>18</v>
      </c>
      <c r="C7" s="10"/>
      <c r="D7" s="13">
        <f t="shared" si="1"/>
        <v>0</v>
      </c>
      <c r="F7" s="131"/>
      <c r="G7" s="135"/>
      <c r="H7" s="136"/>
      <c r="I7" s="136"/>
      <c r="J7" s="137"/>
      <c r="K7" s="8"/>
      <c r="L7" s="6">
        <f>R41</f>
        <v>725</v>
      </c>
      <c r="P7" s="4"/>
      <c r="Q7" s="4"/>
      <c r="R7" s="5"/>
    </row>
    <row r="8" spans="1:18" ht="14.45" customHeight="1" x14ac:dyDescent="0.25">
      <c r="A8" s="128"/>
      <c r="B8" s="16" t="s">
        <v>20</v>
      </c>
      <c r="C8" s="10"/>
      <c r="D8" s="13">
        <f t="shared" si="1"/>
        <v>0</v>
      </c>
      <c r="F8" s="138" t="s">
        <v>21</v>
      </c>
      <c r="G8" s="140" t="s">
        <v>119</v>
      </c>
      <c r="H8" s="141"/>
      <c r="I8" s="141"/>
      <c r="J8" s="142"/>
      <c r="K8" s="8"/>
      <c r="L8" s="6">
        <f>R40</f>
        <v>1033</v>
      </c>
      <c r="P8" s="4"/>
      <c r="Q8" s="4"/>
      <c r="R8" s="5"/>
    </row>
    <row r="9" spans="1:18" ht="14.45" customHeight="1" x14ac:dyDescent="0.25">
      <c r="A9" s="128"/>
      <c r="B9" s="16" t="s">
        <v>23</v>
      </c>
      <c r="C9" s="10"/>
      <c r="D9" s="13">
        <f t="shared" si="1"/>
        <v>0</v>
      </c>
      <c r="F9" s="131"/>
      <c r="G9" s="143"/>
      <c r="H9" s="144"/>
      <c r="I9" s="144"/>
      <c r="J9" s="145"/>
      <c r="K9" s="8"/>
      <c r="L9" s="6">
        <f>R38</f>
        <v>707</v>
      </c>
      <c r="P9" s="4"/>
      <c r="Q9" s="4"/>
      <c r="R9" s="5"/>
    </row>
    <row r="10" spans="1:18" ht="14.45" customHeight="1" x14ac:dyDescent="0.25">
      <c r="A10" s="128"/>
      <c r="B10" t="s">
        <v>25</v>
      </c>
      <c r="C10" s="10"/>
      <c r="D10" s="13">
        <f t="shared" si="1"/>
        <v>0</v>
      </c>
      <c r="F10" s="130" t="s">
        <v>26</v>
      </c>
      <c r="G10" s="146" t="s">
        <v>137</v>
      </c>
      <c r="H10" s="147"/>
      <c r="I10" s="147"/>
      <c r="J10" s="148"/>
      <c r="K10" s="8"/>
      <c r="L10" s="6">
        <f>R36</f>
        <v>972</v>
      </c>
      <c r="P10" s="4"/>
      <c r="Q10" s="4"/>
      <c r="R10" s="5"/>
    </row>
    <row r="11" spans="1:18" ht="15.75" x14ac:dyDescent="0.25">
      <c r="A11" s="128"/>
      <c r="B11" s="17" t="s">
        <v>28</v>
      </c>
      <c r="C11" s="10"/>
      <c r="D11" s="13">
        <f t="shared" si="1"/>
        <v>0</v>
      </c>
      <c r="F11" s="131"/>
      <c r="G11" s="143"/>
      <c r="H11" s="144"/>
      <c r="I11" s="144"/>
      <c r="J11" s="145"/>
      <c r="K11" s="22"/>
      <c r="L11" s="6">
        <f>R32</f>
        <v>1125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28"/>
      <c r="B12" s="17" t="s">
        <v>30</v>
      </c>
      <c r="C12" s="10"/>
      <c r="D12" s="48">
        <f t="shared" si="1"/>
        <v>0</v>
      </c>
      <c r="F12" s="149" t="s">
        <v>33</v>
      </c>
      <c r="G12" s="150"/>
      <c r="H12" s="150"/>
      <c r="I12" s="150"/>
      <c r="J12" s="151"/>
      <c r="K12" s="23"/>
      <c r="L12" s="6">
        <f>R34</f>
        <v>952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28"/>
      <c r="B13" s="17" t="s">
        <v>32</v>
      </c>
      <c r="C13" s="10"/>
      <c r="D13" s="48">
        <f t="shared" si="1"/>
        <v>0</v>
      </c>
      <c r="F13" s="152" t="s">
        <v>36</v>
      </c>
      <c r="G13" s="153"/>
      <c r="H13" s="154">
        <f>D29</f>
        <v>0</v>
      </c>
      <c r="I13" s="155"/>
      <c r="J13" s="156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28"/>
      <c r="B14" s="14" t="s">
        <v>35</v>
      </c>
      <c r="C14" s="10"/>
      <c r="D14" s="31">
        <f t="shared" si="1"/>
        <v>0</v>
      </c>
      <c r="F14" s="157" t="s">
        <v>39</v>
      </c>
      <c r="G14" s="158"/>
      <c r="H14" s="159">
        <f>D54</f>
        <v>0</v>
      </c>
      <c r="I14" s="160"/>
      <c r="J14" s="161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28"/>
      <c r="B15" s="14" t="s">
        <v>38</v>
      </c>
      <c r="C15" s="10"/>
      <c r="D15" s="31">
        <f t="shared" si="1"/>
        <v>0</v>
      </c>
      <c r="F15" s="162" t="s">
        <v>40</v>
      </c>
      <c r="G15" s="153"/>
      <c r="H15" s="163">
        <f>H13-H14</f>
        <v>0</v>
      </c>
      <c r="I15" s="164"/>
      <c r="J15" s="165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28"/>
      <c r="B16" s="18" t="s">
        <v>94</v>
      </c>
      <c r="C16" s="10"/>
      <c r="D16" s="48">
        <f t="shared" si="1"/>
        <v>0</v>
      </c>
      <c r="F16" s="67" t="s">
        <v>42</v>
      </c>
      <c r="G16" s="66" t="s">
        <v>43</v>
      </c>
      <c r="H16" s="166"/>
      <c r="I16" s="166"/>
      <c r="J16" s="166"/>
      <c r="L16" s="6">
        <f>R28</f>
        <v>1567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28"/>
      <c r="B17" t="s">
        <v>113</v>
      </c>
      <c r="C17" s="10"/>
      <c r="D17" s="48">
        <f t="shared" si="1"/>
        <v>0</v>
      </c>
      <c r="F17" s="56"/>
      <c r="G17" s="66" t="s">
        <v>45</v>
      </c>
      <c r="H17" s="139"/>
      <c r="I17" s="139"/>
      <c r="J17" s="139"/>
      <c r="L17" s="6">
        <v>1582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28"/>
      <c r="B18" s="19" t="s">
        <v>95</v>
      </c>
      <c r="C18" s="10"/>
      <c r="D18" s="48">
        <f t="shared" si="1"/>
        <v>0</v>
      </c>
      <c r="F18" s="56"/>
      <c r="G18" s="66" t="s">
        <v>47</v>
      </c>
      <c r="H18" s="139"/>
      <c r="I18" s="139"/>
      <c r="J18" s="139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28"/>
      <c r="B19" s="14" t="s">
        <v>117</v>
      </c>
      <c r="C19" s="10"/>
      <c r="D19" s="48">
        <f t="shared" si="1"/>
        <v>0</v>
      </c>
      <c r="F19" s="56"/>
      <c r="G19" s="68" t="s">
        <v>50</v>
      </c>
      <c r="H19" s="253"/>
      <c r="I19" s="253"/>
      <c r="J19" s="253"/>
      <c r="L19" s="6">
        <f>R35</f>
        <v>1102</v>
      </c>
      <c r="Q19" s="4"/>
      <c r="R19" s="5">
        <f t="shared" si="0"/>
        <v>0</v>
      </c>
    </row>
    <row r="20" spans="1:18" ht="15.75" x14ac:dyDescent="0.25">
      <c r="A20" s="128"/>
      <c r="B20" s="46" t="s">
        <v>108</v>
      </c>
      <c r="C20" s="10"/>
      <c r="D20" s="13">
        <f t="shared" si="1"/>
        <v>0</v>
      </c>
      <c r="F20" s="57"/>
      <c r="G20" s="70" t="s">
        <v>120</v>
      </c>
      <c r="H20" s="166"/>
      <c r="I20" s="166"/>
      <c r="J20" s="166"/>
      <c r="L20" s="6">
        <f>1102</f>
        <v>1102</v>
      </c>
      <c r="N20" s="1" t="s">
        <v>41</v>
      </c>
      <c r="Q20" s="4"/>
      <c r="R20" s="5">
        <f t="shared" si="0"/>
        <v>0</v>
      </c>
    </row>
    <row r="21" spans="1:18" ht="15.75" x14ac:dyDescent="0.25">
      <c r="A21" s="128"/>
      <c r="B21" s="14" t="s">
        <v>126</v>
      </c>
      <c r="C21" s="10"/>
      <c r="D21" s="48">
        <f t="shared" si="1"/>
        <v>0</v>
      </c>
      <c r="F21" s="69" t="s">
        <v>99</v>
      </c>
      <c r="G21" s="82" t="s">
        <v>98</v>
      </c>
      <c r="H21" s="186" t="s">
        <v>13</v>
      </c>
      <c r="I21" s="187"/>
      <c r="J21" s="188"/>
      <c r="L21" s="7">
        <v>650</v>
      </c>
      <c r="O21" t="s">
        <v>44</v>
      </c>
      <c r="P21" s="4">
        <v>1447</v>
      </c>
      <c r="Q21" s="4">
        <v>120</v>
      </c>
      <c r="R21" s="5">
        <f t="shared" si="0"/>
        <v>1567</v>
      </c>
    </row>
    <row r="22" spans="1:18" ht="15.75" x14ac:dyDescent="0.25">
      <c r="A22" s="128"/>
      <c r="B22" s="46" t="s">
        <v>104</v>
      </c>
      <c r="C22" s="10"/>
      <c r="D22" s="48">
        <f t="shared" si="1"/>
        <v>0</v>
      </c>
      <c r="F22" s="77"/>
      <c r="G22" s="73"/>
      <c r="H22" s="189"/>
      <c r="I22" s="189"/>
      <c r="J22" s="189"/>
      <c r="L22" s="7">
        <f>559+111</f>
        <v>670</v>
      </c>
      <c r="O22" t="s">
        <v>46</v>
      </c>
      <c r="P22" s="4">
        <v>1582</v>
      </c>
      <c r="Q22" s="4"/>
      <c r="R22" s="5">
        <f t="shared" si="0"/>
        <v>1582</v>
      </c>
    </row>
    <row r="23" spans="1:18" ht="15.75" x14ac:dyDescent="0.25">
      <c r="A23" s="128"/>
      <c r="B23" s="14" t="s">
        <v>107</v>
      </c>
      <c r="C23" s="10"/>
      <c r="D23" s="48">
        <f t="shared" si="1"/>
        <v>0</v>
      </c>
      <c r="F23" s="78"/>
      <c r="G23" s="79"/>
      <c r="H23" s="190"/>
      <c r="I23" s="191"/>
      <c r="J23" s="191"/>
      <c r="L23" s="47">
        <f>R33</f>
        <v>1175</v>
      </c>
      <c r="N23" s="1"/>
      <c r="O23" t="s">
        <v>48</v>
      </c>
      <c r="P23" s="4">
        <v>1728</v>
      </c>
      <c r="Q23" s="4"/>
      <c r="R23" s="5">
        <f t="shared" si="0"/>
        <v>1728</v>
      </c>
    </row>
    <row r="24" spans="1:18" ht="15.75" x14ac:dyDescent="0.25">
      <c r="A24" s="128"/>
      <c r="B24" s="14" t="s">
        <v>101</v>
      </c>
      <c r="C24" s="10"/>
      <c r="D24" s="48">
        <f t="shared" si="1"/>
        <v>0</v>
      </c>
      <c r="F24" s="38"/>
      <c r="G24" s="37"/>
      <c r="H24" s="190"/>
      <c r="I24" s="191"/>
      <c r="J24" s="191"/>
      <c r="L24" s="47">
        <v>1667</v>
      </c>
      <c r="N24" s="1"/>
      <c r="O24" t="s">
        <v>49</v>
      </c>
      <c r="P24" s="4">
        <v>1728</v>
      </c>
      <c r="Q24" s="4"/>
      <c r="R24" s="5">
        <f t="shared" si="0"/>
        <v>1728</v>
      </c>
    </row>
    <row r="25" spans="1:18" ht="15.75" x14ac:dyDescent="0.25">
      <c r="A25" s="128"/>
      <c r="B25" s="14" t="s">
        <v>116</v>
      </c>
      <c r="C25" s="10"/>
      <c r="D25" s="48">
        <f t="shared" si="1"/>
        <v>0</v>
      </c>
      <c r="F25" s="60" t="s">
        <v>100</v>
      </c>
      <c r="G25" s="55" t="s">
        <v>98</v>
      </c>
      <c r="H25" s="192" t="s">
        <v>13</v>
      </c>
      <c r="I25" s="193"/>
      <c r="J25" s="194"/>
      <c r="L25" s="47">
        <f>1582</f>
        <v>1582</v>
      </c>
      <c r="O25" t="s">
        <v>51</v>
      </c>
      <c r="P25" s="4">
        <v>1582</v>
      </c>
      <c r="Q25" s="4"/>
      <c r="R25" s="5">
        <f t="shared" si="0"/>
        <v>1582</v>
      </c>
    </row>
    <row r="26" spans="1:18" ht="15.75" x14ac:dyDescent="0.25">
      <c r="A26" s="128"/>
      <c r="B26" s="14" t="s">
        <v>105</v>
      </c>
      <c r="C26" s="10"/>
      <c r="D26" s="48">
        <f t="shared" si="1"/>
        <v>0</v>
      </c>
      <c r="F26" s="64"/>
      <c r="G26" s="59"/>
      <c r="H26" s="195"/>
      <c r="I26" s="196"/>
      <c r="J26" s="197"/>
      <c r="L26" s="7">
        <f>832/24+1.5</f>
        <v>36.166666666666664</v>
      </c>
      <c r="O26" t="s">
        <v>52</v>
      </c>
      <c r="P26" s="4">
        <v>1447</v>
      </c>
      <c r="Q26" s="4">
        <v>120</v>
      </c>
      <c r="R26" s="5">
        <f t="shared" si="0"/>
        <v>1567</v>
      </c>
    </row>
    <row r="27" spans="1:18" ht="14.45" customHeight="1" x14ac:dyDescent="0.25">
      <c r="A27" s="128"/>
      <c r="B27" s="14" t="s">
        <v>109</v>
      </c>
      <c r="C27" s="10"/>
      <c r="D27" s="44">
        <f t="shared" si="1"/>
        <v>0</v>
      </c>
      <c r="F27" s="25"/>
      <c r="G27" s="80"/>
      <c r="H27" s="198"/>
      <c r="I27" s="199"/>
      <c r="J27" s="200"/>
      <c r="L27" s="7">
        <v>1582</v>
      </c>
      <c r="O27" t="s">
        <v>53</v>
      </c>
      <c r="P27" s="4">
        <v>1582</v>
      </c>
      <c r="Q27" s="4"/>
      <c r="R27" s="5">
        <f t="shared" si="0"/>
        <v>1582</v>
      </c>
    </row>
    <row r="28" spans="1:18" ht="15.75" x14ac:dyDescent="0.25">
      <c r="A28" s="129"/>
      <c r="B28" s="46" t="s">
        <v>97</v>
      </c>
      <c r="C28" s="10"/>
      <c r="D28" s="48">
        <f t="shared" si="1"/>
        <v>0</v>
      </c>
      <c r="F28" s="106"/>
      <c r="G28" s="61"/>
      <c r="H28" s="201"/>
      <c r="I28" s="202"/>
      <c r="J28" s="203"/>
      <c r="L28" s="7">
        <v>785</v>
      </c>
      <c r="O28" t="s">
        <v>54</v>
      </c>
      <c r="P28" s="4">
        <v>1447</v>
      </c>
      <c r="Q28" s="4">
        <v>120</v>
      </c>
      <c r="R28" s="5">
        <f t="shared" si="0"/>
        <v>1567</v>
      </c>
    </row>
    <row r="29" spans="1:18" x14ac:dyDescent="0.25">
      <c r="A29" s="167" t="s">
        <v>36</v>
      </c>
      <c r="B29" s="168"/>
      <c r="C29" s="169"/>
      <c r="D29" s="173">
        <f>SUM(D6:D28)</f>
        <v>0</v>
      </c>
      <c r="F29" s="175" t="s">
        <v>55</v>
      </c>
      <c r="G29" s="176"/>
      <c r="H29" s="179">
        <f>H15-H16-H17-H18-H19-H20-H22-H23-H24+H26+H27</f>
        <v>0</v>
      </c>
      <c r="I29" s="180"/>
      <c r="J29" s="181"/>
      <c r="O29" t="s">
        <v>56</v>
      </c>
      <c r="P29" s="4">
        <v>1582</v>
      </c>
      <c r="Q29" s="4"/>
      <c r="R29" s="5">
        <f t="shared" si="0"/>
        <v>1582</v>
      </c>
    </row>
    <row r="30" spans="1:18" x14ac:dyDescent="0.25">
      <c r="A30" s="170"/>
      <c r="B30" s="171"/>
      <c r="C30" s="172"/>
      <c r="D30" s="174"/>
      <c r="F30" s="177"/>
      <c r="G30" s="178"/>
      <c r="H30" s="182"/>
      <c r="I30" s="183"/>
      <c r="J30" s="184"/>
      <c r="N30" s="1"/>
      <c r="Q30" s="4"/>
      <c r="R30" s="5">
        <f t="shared" si="0"/>
        <v>0</v>
      </c>
    </row>
    <row r="31" spans="1:18" x14ac:dyDescent="0.25">
      <c r="A31" s="24"/>
      <c r="B31" s="24"/>
      <c r="C31" s="24"/>
      <c r="D31" s="24"/>
      <c r="F31" s="24"/>
      <c r="G31" s="24"/>
      <c r="O31" t="s">
        <v>57</v>
      </c>
      <c r="P31" s="4">
        <v>1052</v>
      </c>
      <c r="Q31" s="4">
        <v>120</v>
      </c>
      <c r="R31" s="5">
        <f t="shared" si="0"/>
        <v>1172</v>
      </c>
    </row>
    <row r="32" spans="1:18" x14ac:dyDescent="0.25">
      <c r="A32" s="114" t="s">
        <v>58</v>
      </c>
      <c r="B32" s="115"/>
      <c r="C32" s="115"/>
      <c r="D32" s="116"/>
      <c r="F32" s="204" t="s">
        <v>59</v>
      </c>
      <c r="G32" s="205"/>
      <c r="H32" s="205"/>
      <c r="I32" s="205"/>
      <c r="J32" s="206"/>
      <c r="O32" t="s">
        <v>60</v>
      </c>
      <c r="P32" s="4">
        <v>1005</v>
      </c>
      <c r="Q32" s="4">
        <v>120</v>
      </c>
      <c r="R32" s="5">
        <f t="shared" si="0"/>
        <v>1125</v>
      </c>
    </row>
    <row r="33" spans="1:18" x14ac:dyDescent="0.25">
      <c r="A33" s="25"/>
      <c r="B33" s="25" t="s">
        <v>11</v>
      </c>
      <c r="C33" s="25" t="s">
        <v>61</v>
      </c>
      <c r="D33" s="25" t="s">
        <v>13</v>
      </c>
      <c r="F33" s="25" t="s">
        <v>62</v>
      </c>
      <c r="G33" s="107" t="s">
        <v>63</v>
      </c>
      <c r="H33" s="204" t="s">
        <v>13</v>
      </c>
      <c r="I33" s="205"/>
      <c r="J33" s="206"/>
      <c r="O33" t="s">
        <v>64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27" t="s">
        <v>65</v>
      </c>
      <c r="B34" s="26" t="s">
        <v>66</v>
      </c>
      <c r="C34" s="51"/>
      <c r="D34" s="30">
        <f>C34*120</f>
        <v>0</v>
      </c>
      <c r="F34" s="12">
        <v>1000</v>
      </c>
      <c r="G34" s="74"/>
      <c r="H34" s="207">
        <f>F34*G34</f>
        <v>0</v>
      </c>
      <c r="I34" s="208"/>
      <c r="J34" s="209"/>
      <c r="O34" t="s">
        <v>67</v>
      </c>
      <c r="P34" s="4">
        <v>832</v>
      </c>
      <c r="Q34" s="4">
        <v>120</v>
      </c>
      <c r="R34" s="5">
        <f t="shared" si="0"/>
        <v>952</v>
      </c>
    </row>
    <row r="35" spans="1:18" ht="15.75" x14ac:dyDescent="0.25">
      <c r="A35" s="128"/>
      <c r="B35" s="27" t="s">
        <v>68</v>
      </c>
      <c r="C35" s="52"/>
      <c r="D35" s="30">
        <f>C35*84</f>
        <v>0</v>
      </c>
      <c r="F35" s="58">
        <v>500</v>
      </c>
      <c r="G35" s="41"/>
      <c r="H35" s="207">
        <f>F35*G35</f>
        <v>0</v>
      </c>
      <c r="I35" s="208"/>
      <c r="J35" s="209"/>
      <c r="O35" t="s">
        <v>69</v>
      </c>
      <c r="P35" s="4">
        <v>1102</v>
      </c>
      <c r="Q35" s="4"/>
      <c r="R35" s="5">
        <f t="shared" si="0"/>
        <v>1102</v>
      </c>
    </row>
    <row r="36" spans="1:18" ht="15.75" x14ac:dyDescent="0.25">
      <c r="A36" s="129"/>
      <c r="B36" s="26" t="s">
        <v>70</v>
      </c>
      <c r="C36" s="10"/>
      <c r="D36" s="12">
        <f>C36*1.5</f>
        <v>0</v>
      </c>
      <c r="F36" s="12">
        <v>200</v>
      </c>
      <c r="G36" s="37"/>
      <c r="H36" s="207">
        <f t="shared" ref="H36:H39" si="2">F36*G36</f>
        <v>0</v>
      </c>
      <c r="I36" s="208"/>
      <c r="J36" s="209"/>
      <c r="O36" t="s">
        <v>71</v>
      </c>
      <c r="P36" s="4">
        <v>852</v>
      </c>
      <c r="Q36" s="4">
        <v>120</v>
      </c>
      <c r="R36" s="5">
        <f t="shared" si="0"/>
        <v>972</v>
      </c>
    </row>
    <row r="37" spans="1:18" ht="15.75" x14ac:dyDescent="0.25">
      <c r="A37" s="127" t="s">
        <v>72</v>
      </c>
      <c r="B37" s="28" t="s">
        <v>66</v>
      </c>
      <c r="C37" s="53"/>
      <c r="D37" s="12">
        <f>C37*111</f>
        <v>0</v>
      </c>
      <c r="F37" s="12">
        <v>100</v>
      </c>
      <c r="G37" s="39"/>
      <c r="H37" s="207">
        <f t="shared" si="2"/>
        <v>0</v>
      </c>
      <c r="I37" s="208"/>
      <c r="J37" s="209"/>
      <c r="O37" t="s">
        <v>73</v>
      </c>
      <c r="P37" s="4">
        <v>1020</v>
      </c>
      <c r="Q37" s="4">
        <v>120</v>
      </c>
      <c r="R37" s="5">
        <f t="shared" si="0"/>
        <v>1140</v>
      </c>
    </row>
    <row r="38" spans="1:18" ht="15.75" x14ac:dyDescent="0.25">
      <c r="A38" s="128"/>
      <c r="B38" s="29" t="s">
        <v>68</v>
      </c>
      <c r="C38" s="54"/>
      <c r="D38" s="12">
        <f>C38*84</f>
        <v>0</v>
      </c>
      <c r="F38" s="30">
        <v>50</v>
      </c>
      <c r="G38" s="39"/>
      <c r="H38" s="207">
        <f t="shared" si="2"/>
        <v>0</v>
      </c>
      <c r="I38" s="208"/>
      <c r="J38" s="209"/>
      <c r="O38" t="s">
        <v>74</v>
      </c>
      <c r="P38" s="4">
        <v>596</v>
      </c>
      <c r="Q38" s="4">
        <v>111</v>
      </c>
      <c r="R38" s="5">
        <f t="shared" si="0"/>
        <v>707</v>
      </c>
    </row>
    <row r="39" spans="1:18" ht="15.75" x14ac:dyDescent="0.25">
      <c r="A39" s="129"/>
      <c r="B39" s="29" t="s">
        <v>70</v>
      </c>
      <c r="C39" s="52"/>
      <c r="D39" s="31">
        <f>C39*4.5</f>
        <v>0</v>
      </c>
      <c r="F39" s="12">
        <v>20</v>
      </c>
      <c r="G39" s="37"/>
      <c r="H39" s="207">
        <f t="shared" si="2"/>
        <v>0</v>
      </c>
      <c r="I39" s="208"/>
      <c r="J39" s="209"/>
      <c r="O39" t="s">
        <v>75</v>
      </c>
      <c r="P39" s="4">
        <v>1175</v>
      </c>
      <c r="Q39" s="4"/>
      <c r="R39" s="5">
        <f t="shared" si="0"/>
        <v>1175</v>
      </c>
    </row>
    <row r="40" spans="1:18" ht="15.75" x14ac:dyDescent="0.25">
      <c r="A40" s="127" t="s">
        <v>76</v>
      </c>
      <c r="B40" s="27" t="s">
        <v>66</v>
      </c>
      <c r="C40" s="63"/>
      <c r="D40" s="12">
        <f>C40*111</f>
        <v>0</v>
      </c>
      <c r="F40" s="12">
        <v>10</v>
      </c>
      <c r="G40" s="42"/>
      <c r="H40" s="207"/>
      <c r="I40" s="208"/>
      <c r="J40" s="209"/>
      <c r="O40" t="s">
        <v>77</v>
      </c>
      <c r="P40" s="4">
        <v>913</v>
      </c>
      <c r="Q40" s="4">
        <v>120</v>
      </c>
      <c r="R40" s="5">
        <f t="shared" si="0"/>
        <v>1033</v>
      </c>
    </row>
    <row r="41" spans="1:18" ht="15.75" x14ac:dyDescent="0.25">
      <c r="A41" s="128"/>
      <c r="B41" s="27" t="s">
        <v>68</v>
      </c>
      <c r="C41" s="10"/>
      <c r="D41" s="12">
        <f>C41*84</f>
        <v>0</v>
      </c>
      <c r="F41" s="12">
        <v>5</v>
      </c>
      <c r="G41" s="42"/>
      <c r="H41" s="207"/>
      <c r="I41" s="208"/>
      <c r="J41" s="209"/>
      <c r="K41" s="21"/>
      <c r="O41" t="s">
        <v>78</v>
      </c>
      <c r="P41" s="4">
        <v>614</v>
      </c>
      <c r="Q41" s="4">
        <v>111</v>
      </c>
      <c r="R41" s="5">
        <f t="shared" si="0"/>
        <v>725</v>
      </c>
    </row>
    <row r="42" spans="1:18" ht="15.75" x14ac:dyDescent="0.25">
      <c r="A42" s="129"/>
      <c r="B42" s="27" t="s">
        <v>70</v>
      </c>
      <c r="C42" s="11"/>
      <c r="D42" s="12">
        <f>C42*2.25</f>
        <v>0</v>
      </c>
      <c r="F42" s="39" t="s">
        <v>79</v>
      </c>
      <c r="G42" s="207"/>
      <c r="H42" s="208"/>
      <c r="I42" s="208"/>
      <c r="J42" s="209"/>
      <c r="K42" s="36"/>
      <c r="O42" t="s">
        <v>80</v>
      </c>
      <c r="P42" s="4">
        <v>626</v>
      </c>
      <c r="Q42" s="4">
        <v>111</v>
      </c>
      <c r="R42" s="5">
        <f t="shared" si="0"/>
        <v>737</v>
      </c>
    </row>
    <row r="43" spans="1:18" ht="15.75" x14ac:dyDescent="0.25">
      <c r="A43" s="210" t="s">
        <v>81</v>
      </c>
      <c r="C43" s="11"/>
      <c r="D43" s="12"/>
      <c r="F43" s="59" t="s">
        <v>82</v>
      </c>
      <c r="G43" s="109" t="s">
        <v>83</v>
      </c>
      <c r="H43" s="213" t="s">
        <v>13</v>
      </c>
      <c r="I43" s="214"/>
      <c r="J43" s="215"/>
      <c r="K43" s="21"/>
      <c r="P43" s="4"/>
      <c r="Q43" s="4"/>
      <c r="R43" s="5"/>
    </row>
    <row r="44" spans="1:18" ht="15.75" x14ac:dyDescent="0.25">
      <c r="A44" s="211"/>
      <c r="B44" s="27" t="s">
        <v>66</v>
      </c>
      <c r="C44" s="10"/>
      <c r="D44" s="12">
        <f>C44*120</f>
        <v>0</v>
      </c>
      <c r="F44" s="37"/>
      <c r="G44" s="76"/>
      <c r="H44" s="191"/>
      <c r="I44" s="191"/>
      <c r="J44" s="191"/>
      <c r="K44" s="21"/>
      <c r="P44" s="4"/>
      <c r="Q44" s="4"/>
      <c r="R44" s="5"/>
    </row>
    <row r="45" spans="1:18" ht="15.75" x14ac:dyDescent="0.25">
      <c r="A45" s="211"/>
      <c r="B45" s="27" t="s">
        <v>68</v>
      </c>
      <c r="C45" s="33"/>
      <c r="D45" s="12">
        <f>C45*84</f>
        <v>0</v>
      </c>
      <c r="F45" s="37"/>
      <c r="G45" s="76"/>
      <c r="H45" s="191"/>
      <c r="I45" s="191"/>
      <c r="J45" s="191"/>
      <c r="K45" s="21"/>
      <c r="P45" s="4"/>
      <c r="Q45" s="4"/>
      <c r="R45" s="5"/>
    </row>
    <row r="46" spans="1:18" ht="15.75" x14ac:dyDescent="0.25">
      <c r="A46" s="211"/>
      <c r="B46" s="49" t="s">
        <v>70</v>
      </c>
      <c r="C46" s="81"/>
      <c r="D46" s="12">
        <f>C46*1.5</f>
        <v>0</v>
      </c>
      <c r="F46" s="37"/>
      <c r="G46" s="62"/>
      <c r="H46" s="216"/>
      <c r="I46" s="216"/>
      <c r="J46" s="216"/>
      <c r="K46" s="21"/>
      <c r="P46" s="4"/>
      <c r="Q46" s="4"/>
      <c r="R46" s="5"/>
    </row>
    <row r="47" spans="1:18" ht="15.75" x14ac:dyDescent="0.25">
      <c r="A47" s="212"/>
      <c r="B47" s="27"/>
      <c r="C47" s="11"/>
      <c r="D47" s="12"/>
      <c r="F47" s="59"/>
      <c r="G47" s="59"/>
      <c r="H47" s="217"/>
      <c r="I47" s="218"/>
      <c r="J47" s="219"/>
      <c r="K47" s="21"/>
      <c r="P47" s="4"/>
      <c r="Q47" s="4"/>
      <c r="R47" s="5"/>
    </row>
    <row r="48" spans="1:18" ht="15" customHeight="1" x14ac:dyDescent="0.25">
      <c r="A48" s="210" t="s">
        <v>32</v>
      </c>
      <c r="B48" s="27" t="s">
        <v>66</v>
      </c>
      <c r="C48" s="10"/>
      <c r="D48" s="12">
        <f>C48*78</f>
        <v>0</v>
      </c>
      <c r="F48" s="59"/>
      <c r="G48" s="59"/>
      <c r="H48" s="217"/>
      <c r="I48" s="218"/>
      <c r="J48" s="219"/>
      <c r="K48" s="35"/>
      <c r="O48" t="s">
        <v>84</v>
      </c>
      <c r="P48" s="4">
        <v>1175</v>
      </c>
      <c r="Q48" s="4"/>
      <c r="R48" s="5">
        <f t="shared" si="0"/>
        <v>1175</v>
      </c>
    </row>
    <row r="49" spans="1:18" ht="15.75" x14ac:dyDescent="0.25">
      <c r="A49" s="211"/>
      <c r="B49" s="29" t="s">
        <v>68</v>
      </c>
      <c r="C49" s="33"/>
      <c r="D49" s="12">
        <f>C49*42</f>
        <v>0</v>
      </c>
      <c r="F49" s="232" t="s">
        <v>86</v>
      </c>
      <c r="G49" s="179">
        <f>H34+H35+H36+H37+H38+H39+H40+H41+G42+H44+H45+H46</f>
        <v>0</v>
      </c>
      <c r="H49" s="180"/>
      <c r="I49" s="180"/>
      <c r="J49" s="181"/>
      <c r="O49" t="s">
        <v>85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211"/>
      <c r="B50" s="32" t="s">
        <v>70</v>
      </c>
      <c r="C50" s="11"/>
      <c r="D50" s="12">
        <f>C50*1.5</f>
        <v>0</v>
      </c>
      <c r="F50" s="233"/>
      <c r="G50" s="182"/>
      <c r="H50" s="183"/>
      <c r="I50" s="183"/>
      <c r="J50" s="184"/>
      <c r="P50" s="4"/>
      <c r="Q50" s="4"/>
      <c r="R50" s="5"/>
    </row>
    <row r="51" spans="1:18" ht="15" customHeight="1" x14ac:dyDescent="0.25">
      <c r="A51" s="211"/>
      <c r="B51" s="27"/>
      <c r="C51" s="10"/>
      <c r="D51" s="31"/>
      <c r="F51" s="234" t="s">
        <v>142</v>
      </c>
      <c r="G51" s="247">
        <f>G49-H29</f>
        <v>0</v>
      </c>
      <c r="H51" s="248"/>
      <c r="I51" s="248"/>
      <c r="J51" s="249"/>
      <c r="K51" s="21"/>
      <c r="O51" t="s">
        <v>87</v>
      </c>
      <c r="P51" s="4">
        <v>703</v>
      </c>
      <c r="Q51" s="4">
        <v>120</v>
      </c>
      <c r="R51" s="5">
        <f t="shared" si="0"/>
        <v>823</v>
      </c>
    </row>
    <row r="52" spans="1:18" ht="15.75" x14ac:dyDescent="0.25">
      <c r="A52" s="211"/>
      <c r="B52" s="29"/>
      <c r="C52" s="33"/>
      <c r="D52" s="45"/>
      <c r="F52" s="235"/>
      <c r="G52" s="250"/>
      <c r="H52" s="251"/>
      <c r="I52" s="251"/>
      <c r="J52" s="252"/>
      <c r="K52" s="21"/>
      <c r="O52" t="s">
        <v>88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212"/>
      <c r="B53" s="32"/>
      <c r="C53" s="11"/>
      <c r="D53" s="12"/>
      <c r="F53" s="35"/>
      <c r="G53" s="24"/>
      <c r="H53" s="24"/>
      <c r="I53" s="24"/>
      <c r="J53" s="17"/>
      <c r="N53" s="1"/>
      <c r="O53" t="s">
        <v>89</v>
      </c>
      <c r="P53" s="4">
        <v>1142</v>
      </c>
    </row>
    <row r="54" spans="1:18" x14ac:dyDescent="0.25">
      <c r="A54" s="175" t="s">
        <v>90</v>
      </c>
      <c r="B54" s="220"/>
      <c r="C54" s="221"/>
      <c r="D54" s="224">
        <f>SUM(D34:D53)</f>
        <v>0</v>
      </c>
      <c r="F54" s="21"/>
      <c r="J54" s="34"/>
    </row>
    <row r="55" spans="1:18" x14ac:dyDescent="0.25">
      <c r="A55" s="177"/>
      <c r="B55" s="222"/>
      <c r="C55" s="223"/>
      <c r="D55" s="225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118</v>
      </c>
      <c r="D57" s="34"/>
      <c r="F57" s="36"/>
      <c r="G57" s="50"/>
      <c r="H57" s="50"/>
      <c r="I57" s="50"/>
      <c r="J57" s="43"/>
    </row>
    <row r="58" spans="1:18" x14ac:dyDescent="0.25">
      <c r="A58" s="226" t="s">
        <v>91</v>
      </c>
      <c r="B58" s="227"/>
      <c r="C58" s="227"/>
      <c r="D58" s="228"/>
      <c r="F58" s="226" t="s">
        <v>92</v>
      </c>
      <c r="G58" s="227"/>
      <c r="H58" s="227"/>
      <c r="I58" s="227"/>
      <c r="J58" s="228"/>
    </row>
    <row r="59" spans="1:18" x14ac:dyDescent="0.25">
      <c r="A59" s="229"/>
      <c r="B59" s="230"/>
      <c r="C59" s="230"/>
      <c r="D59" s="231"/>
      <c r="F59" s="229"/>
      <c r="G59" s="230"/>
      <c r="H59" s="230"/>
      <c r="I59" s="230"/>
      <c r="J59" s="231"/>
    </row>
  </sheetData>
  <mergeCells count="68"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  <mergeCell ref="H13:J13"/>
    <mergeCell ref="F14:G14"/>
    <mergeCell ref="H14:J14"/>
    <mergeCell ref="F15:G15"/>
    <mergeCell ref="H15:J15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A32:D32"/>
    <mergeCell ref="F32:J32"/>
    <mergeCell ref="H33:J33"/>
    <mergeCell ref="A34:A36"/>
    <mergeCell ref="H34:J34"/>
    <mergeCell ref="H35:J35"/>
    <mergeCell ref="H36:J36"/>
    <mergeCell ref="A37:A39"/>
    <mergeCell ref="H37:J37"/>
    <mergeCell ref="H38:J38"/>
    <mergeCell ref="H39:J39"/>
    <mergeCell ref="A40:A42"/>
    <mergeCell ref="H40:J40"/>
    <mergeCell ref="H41:J41"/>
    <mergeCell ref="G42:J42"/>
    <mergeCell ref="A43:A47"/>
    <mergeCell ref="H43:J43"/>
    <mergeCell ref="H44:J44"/>
    <mergeCell ref="H45:J45"/>
    <mergeCell ref="H46:J46"/>
    <mergeCell ref="H47:J47"/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6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B9E5B03-A6D5-4FAB-9238-50F433366DF9}">
  <dimension ref="A1:S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9" x14ac:dyDescent="0.25">
      <c r="A1" t="s">
        <v>0</v>
      </c>
      <c r="N1" s="113" t="s">
        <v>1</v>
      </c>
      <c r="O1" s="113"/>
      <c r="P1" s="105" t="s">
        <v>2</v>
      </c>
      <c r="Q1" s="105" t="s">
        <v>3</v>
      </c>
      <c r="R1" s="2" t="s">
        <v>4</v>
      </c>
    </row>
    <row r="2" spans="1:19" x14ac:dyDescent="0.25">
      <c r="A2" t="s">
        <v>5</v>
      </c>
      <c r="N2" s="1"/>
    </row>
    <row r="3" spans="1:19" x14ac:dyDescent="0.25">
      <c r="N3" s="1" t="s">
        <v>6</v>
      </c>
      <c r="O3" s="4"/>
    </row>
    <row r="4" spans="1:19" x14ac:dyDescent="0.25">
      <c r="A4" s="114" t="s">
        <v>7</v>
      </c>
      <c r="B4" s="115"/>
      <c r="C4" s="115"/>
      <c r="D4" s="116"/>
      <c r="F4" s="117" t="s">
        <v>8</v>
      </c>
      <c r="G4" s="119"/>
      <c r="H4" s="121" t="s">
        <v>9</v>
      </c>
      <c r="I4" s="123"/>
      <c r="J4" s="124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9" x14ac:dyDescent="0.25">
      <c r="A5" s="127" t="s">
        <v>7</v>
      </c>
      <c r="B5" s="15" t="s">
        <v>11</v>
      </c>
      <c r="C5" s="9" t="s">
        <v>12</v>
      </c>
      <c r="D5" s="25" t="s">
        <v>13</v>
      </c>
      <c r="F5" s="118"/>
      <c r="G5" s="120"/>
      <c r="H5" s="122"/>
      <c r="I5" s="125"/>
      <c r="J5" s="126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9" ht="14.45" customHeight="1" x14ac:dyDescent="0.25">
      <c r="A6" s="128"/>
      <c r="B6" s="16"/>
      <c r="C6" s="10"/>
      <c r="D6" s="13">
        <f t="shared" ref="D6:D28" si="1">C6*L6</f>
        <v>0</v>
      </c>
      <c r="F6" s="130" t="s">
        <v>16</v>
      </c>
      <c r="G6" s="132"/>
      <c r="H6" s="133"/>
      <c r="I6" s="133"/>
      <c r="J6" s="134"/>
      <c r="K6" s="8"/>
      <c r="L6" s="6">
        <f>R42</f>
        <v>737</v>
      </c>
      <c r="O6" t="s">
        <v>17</v>
      </c>
      <c r="P6" s="4">
        <v>650</v>
      </c>
      <c r="Q6" s="4"/>
      <c r="R6" s="5">
        <f t="shared" si="0"/>
        <v>650</v>
      </c>
    </row>
    <row r="7" spans="1:19" ht="14.45" customHeight="1" x14ac:dyDescent="0.25">
      <c r="A7" s="128"/>
      <c r="B7" s="16"/>
      <c r="C7" s="10"/>
      <c r="D7" s="13">
        <f t="shared" si="1"/>
        <v>0</v>
      </c>
      <c r="F7" s="131"/>
      <c r="G7" s="135"/>
      <c r="H7" s="136"/>
      <c r="I7" s="136"/>
      <c r="J7" s="137"/>
      <c r="K7" s="8"/>
      <c r="L7" s="6">
        <f>R41</f>
        <v>725</v>
      </c>
      <c r="P7" s="4"/>
      <c r="Q7" s="4"/>
      <c r="R7" s="5"/>
    </row>
    <row r="8" spans="1:19" ht="14.45" customHeight="1" x14ac:dyDescent="0.25">
      <c r="A8" s="128"/>
      <c r="B8" s="16"/>
      <c r="C8" s="10"/>
      <c r="D8" s="13">
        <f t="shared" si="1"/>
        <v>0</v>
      </c>
      <c r="F8" s="138" t="s">
        <v>21</v>
      </c>
      <c r="G8" s="140"/>
      <c r="H8" s="141"/>
      <c r="I8" s="141"/>
      <c r="J8" s="142"/>
      <c r="K8" s="8"/>
      <c r="L8" s="6">
        <f>R40</f>
        <v>1033</v>
      </c>
      <c r="P8" s="4"/>
      <c r="Q8" s="4"/>
      <c r="R8" s="5"/>
    </row>
    <row r="9" spans="1:19" ht="14.45" customHeight="1" x14ac:dyDescent="0.25">
      <c r="A9" s="128"/>
      <c r="B9" s="16"/>
      <c r="C9" s="10"/>
      <c r="D9" s="13">
        <f t="shared" si="1"/>
        <v>0</v>
      </c>
      <c r="F9" s="131"/>
      <c r="G9" s="143"/>
      <c r="H9" s="144"/>
      <c r="I9" s="144"/>
      <c r="J9" s="145"/>
      <c r="K9" s="8"/>
      <c r="L9" s="6">
        <f>R38</f>
        <v>707</v>
      </c>
      <c r="P9" s="4"/>
      <c r="Q9" s="4"/>
      <c r="R9" s="5"/>
    </row>
    <row r="10" spans="1:19" ht="14.45" customHeight="1" x14ac:dyDescent="0.25">
      <c r="A10" s="128"/>
      <c r="C10" s="10"/>
      <c r="D10" s="13">
        <f t="shared" si="1"/>
        <v>0</v>
      </c>
      <c r="F10" s="130" t="s">
        <v>26</v>
      </c>
      <c r="G10" s="146"/>
      <c r="H10" s="147"/>
      <c r="I10" s="147"/>
      <c r="J10" s="148"/>
      <c r="K10" s="8"/>
      <c r="L10" s="6">
        <f>R36</f>
        <v>972</v>
      </c>
      <c r="P10" s="4"/>
      <c r="Q10" s="4"/>
      <c r="R10" s="5"/>
    </row>
    <row r="11" spans="1:19" ht="15.75" x14ac:dyDescent="0.25">
      <c r="A11" s="128"/>
      <c r="B11" s="17"/>
      <c r="C11" s="10"/>
      <c r="D11" s="13">
        <f t="shared" si="1"/>
        <v>0</v>
      </c>
      <c r="F11" s="131"/>
      <c r="G11" s="143"/>
      <c r="H11" s="144"/>
      <c r="I11" s="144"/>
      <c r="J11" s="145"/>
      <c r="K11" s="22"/>
      <c r="L11" s="6">
        <f>R32</f>
        <v>1125</v>
      </c>
      <c r="O11" t="s">
        <v>19</v>
      </c>
      <c r="P11" s="4">
        <v>650</v>
      </c>
      <c r="Q11" s="4"/>
      <c r="R11" s="5">
        <f t="shared" si="0"/>
        <v>650</v>
      </c>
    </row>
    <row r="12" spans="1:19" ht="15.75" x14ac:dyDescent="0.25">
      <c r="A12" s="128"/>
      <c r="B12" s="17"/>
      <c r="C12" s="10"/>
      <c r="D12" s="48">
        <f t="shared" si="1"/>
        <v>0</v>
      </c>
      <c r="F12" s="149" t="s">
        <v>33</v>
      </c>
      <c r="G12" s="150"/>
      <c r="H12" s="150"/>
      <c r="I12" s="150"/>
      <c r="J12" s="151"/>
      <c r="K12" s="23"/>
      <c r="L12" s="6">
        <f>R34</f>
        <v>952</v>
      </c>
      <c r="O12" t="s">
        <v>22</v>
      </c>
      <c r="P12" s="4">
        <v>650</v>
      </c>
      <c r="Q12" s="4"/>
      <c r="R12" s="5">
        <f t="shared" si="0"/>
        <v>650</v>
      </c>
    </row>
    <row r="13" spans="1:19" ht="15.75" x14ac:dyDescent="0.25">
      <c r="A13" s="128"/>
      <c r="B13" s="17"/>
      <c r="C13" s="10"/>
      <c r="D13" s="48">
        <f t="shared" si="1"/>
        <v>0</v>
      </c>
      <c r="F13" s="152" t="s">
        <v>36</v>
      </c>
      <c r="G13" s="153"/>
      <c r="H13" s="154">
        <f>D29</f>
        <v>0</v>
      </c>
      <c r="I13" s="155"/>
      <c r="J13" s="156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9" ht="15.75" x14ac:dyDescent="0.25">
      <c r="A14" s="128"/>
      <c r="B14" s="14"/>
      <c r="C14" s="10"/>
      <c r="D14" s="31">
        <f t="shared" si="1"/>
        <v>0</v>
      </c>
      <c r="F14" s="157" t="s">
        <v>39</v>
      </c>
      <c r="G14" s="158"/>
      <c r="H14" s="159">
        <f>D54</f>
        <v>0</v>
      </c>
      <c r="I14" s="160"/>
      <c r="J14" s="161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  <c r="S14">
        <f>205+78</f>
        <v>283</v>
      </c>
    </row>
    <row r="15" spans="1:19" ht="15.75" x14ac:dyDescent="0.25">
      <c r="A15" s="128"/>
      <c r="B15" s="14"/>
      <c r="C15" s="10"/>
      <c r="D15" s="31">
        <f t="shared" si="1"/>
        <v>0</v>
      </c>
      <c r="F15" s="162" t="s">
        <v>40</v>
      </c>
      <c r="G15" s="153"/>
      <c r="H15" s="163">
        <f>H13-H14</f>
        <v>0</v>
      </c>
      <c r="I15" s="164"/>
      <c r="J15" s="165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  <c r="S15">
        <f>229+78</f>
        <v>307</v>
      </c>
    </row>
    <row r="16" spans="1:19" ht="15.75" x14ac:dyDescent="0.25">
      <c r="A16" s="128"/>
      <c r="B16" s="18"/>
      <c r="C16" s="10"/>
      <c r="D16" s="48">
        <f t="shared" si="1"/>
        <v>0</v>
      </c>
      <c r="F16" s="67" t="s">
        <v>42</v>
      </c>
      <c r="G16" s="66" t="s">
        <v>43</v>
      </c>
      <c r="H16" s="166"/>
      <c r="I16" s="166"/>
      <c r="J16" s="166"/>
      <c r="L16" s="6">
        <f>R28</f>
        <v>1567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28"/>
      <c r="C17" s="10"/>
      <c r="D17" s="48">
        <f t="shared" si="1"/>
        <v>0</v>
      </c>
      <c r="F17" s="56"/>
      <c r="G17" s="66" t="s">
        <v>45</v>
      </c>
      <c r="H17" s="139"/>
      <c r="I17" s="139"/>
      <c r="J17" s="139"/>
      <c r="L17" s="6">
        <v>1582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28"/>
      <c r="B18" s="19"/>
      <c r="C18" s="10"/>
      <c r="D18" s="48">
        <f t="shared" si="1"/>
        <v>0</v>
      </c>
      <c r="F18" s="56"/>
      <c r="G18" s="66" t="s">
        <v>47</v>
      </c>
      <c r="H18" s="139"/>
      <c r="I18" s="139"/>
      <c r="J18" s="139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28"/>
      <c r="B19" s="14"/>
      <c r="C19" s="10"/>
      <c r="D19" s="48">
        <f t="shared" si="1"/>
        <v>0</v>
      </c>
      <c r="F19" s="56"/>
      <c r="G19" s="68" t="s">
        <v>50</v>
      </c>
      <c r="H19" s="185"/>
      <c r="I19" s="185"/>
      <c r="J19" s="185"/>
      <c r="L19" s="6">
        <f>R35</f>
        <v>1102</v>
      </c>
      <c r="Q19" s="4"/>
      <c r="R19" s="5">
        <f t="shared" si="0"/>
        <v>0</v>
      </c>
    </row>
    <row r="20" spans="1:18" ht="15.75" x14ac:dyDescent="0.25">
      <c r="A20" s="128"/>
      <c r="B20" s="46"/>
      <c r="C20" s="10"/>
      <c r="D20" s="13">
        <f t="shared" si="1"/>
        <v>0</v>
      </c>
      <c r="F20" s="57"/>
      <c r="G20" s="70" t="s">
        <v>120</v>
      </c>
      <c r="H20" s="166"/>
      <c r="I20" s="166"/>
      <c r="J20" s="166"/>
      <c r="L20" s="6">
        <f>1102</f>
        <v>1102</v>
      </c>
      <c r="N20" s="1" t="s">
        <v>41</v>
      </c>
      <c r="Q20" s="4"/>
      <c r="R20" s="5">
        <f t="shared" si="0"/>
        <v>0</v>
      </c>
    </row>
    <row r="21" spans="1:18" ht="15.75" x14ac:dyDescent="0.25">
      <c r="A21" s="128"/>
      <c r="B21" s="14"/>
      <c r="C21" s="10"/>
      <c r="D21" s="48">
        <f t="shared" si="1"/>
        <v>0</v>
      </c>
      <c r="F21" s="69" t="s">
        <v>99</v>
      </c>
      <c r="G21" s="82" t="s">
        <v>98</v>
      </c>
      <c r="H21" s="186" t="s">
        <v>13</v>
      </c>
      <c r="I21" s="187"/>
      <c r="J21" s="188"/>
      <c r="L21" s="7">
        <v>650</v>
      </c>
      <c r="O21" t="s">
        <v>44</v>
      </c>
      <c r="P21" s="4">
        <v>1447</v>
      </c>
      <c r="Q21" s="4">
        <v>120</v>
      </c>
      <c r="R21" s="5">
        <f t="shared" si="0"/>
        <v>1567</v>
      </c>
    </row>
    <row r="22" spans="1:18" ht="15.75" x14ac:dyDescent="0.25">
      <c r="A22" s="128"/>
      <c r="B22" s="46"/>
      <c r="C22" s="10"/>
      <c r="D22" s="48">
        <f t="shared" si="1"/>
        <v>0</v>
      </c>
      <c r="F22" s="77"/>
      <c r="G22" s="73"/>
      <c r="H22" s="189"/>
      <c r="I22" s="189"/>
      <c r="J22" s="189"/>
      <c r="L22" s="7">
        <f>559+111</f>
        <v>670</v>
      </c>
      <c r="O22" t="s">
        <v>46</v>
      </c>
      <c r="P22" s="4">
        <v>1582</v>
      </c>
      <c r="Q22" s="4"/>
      <c r="R22" s="5">
        <f t="shared" si="0"/>
        <v>1582</v>
      </c>
    </row>
    <row r="23" spans="1:18" ht="15.75" x14ac:dyDescent="0.25">
      <c r="A23" s="128"/>
      <c r="B23" s="14"/>
      <c r="C23" s="10"/>
      <c r="D23" s="48">
        <f t="shared" si="1"/>
        <v>0</v>
      </c>
      <c r="F23" s="78"/>
      <c r="G23" s="79"/>
      <c r="H23" s="190"/>
      <c r="I23" s="191"/>
      <c r="J23" s="191"/>
      <c r="L23" s="47">
        <f>R33</f>
        <v>1175</v>
      </c>
      <c r="N23" s="1"/>
      <c r="O23" t="s">
        <v>48</v>
      </c>
      <c r="P23" s="4">
        <v>1728</v>
      </c>
      <c r="Q23" s="4"/>
      <c r="R23" s="5">
        <f t="shared" si="0"/>
        <v>1728</v>
      </c>
    </row>
    <row r="24" spans="1:18" ht="15.75" x14ac:dyDescent="0.25">
      <c r="A24" s="128"/>
      <c r="B24" s="14"/>
      <c r="C24" s="10"/>
      <c r="D24" s="48">
        <f t="shared" si="1"/>
        <v>0</v>
      </c>
      <c r="F24" s="38"/>
      <c r="G24" s="37"/>
      <c r="H24" s="190"/>
      <c r="I24" s="191"/>
      <c r="J24" s="191"/>
      <c r="L24" s="47">
        <v>1667</v>
      </c>
      <c r="N24" s="1"/>
      <c r="O24" t="s">
        <v>49</v>
      </c>
      <c r="P24" s="4">
        <v>1728</v>
      </c>
      <c r="Q24" s="4"/>
      <c r="R24" s="5">
        <f t="shared" si="0"/>
        <v>1728</v>
      </c>
    </row>
    <row r="25" spans="1:18" ht="15.75" x14ac:dyDescent="0.25">
      <c r="A25" s="128"/>
      <c r="B25" s="14"/>
      <c r="C25" s="10"/>
      <c r="D25" s="48">
        <f t="shared" si="1"/>
        <v>0</v>
      </c>
      <c r="F25" s="60" t="s">
        <v>100</v>
      </c>
      <c r="G25" s="55" t="s">
        <v>98</v>
      </c>
      <c r="H25" s="192" t="s">
        <v>13</v>
      </c>
      <c r="I25" s="193"/>
      <c r="J25" s="194"/>
      <c r="L25" s="47">
        <f>1582</f>
        <v>1582</v>
      </c>
      <c r="O25" t="s">
        <v>51</v>
      </c>
      <c r="P25" s="4">
        <v>1582</v>
      </c>
      <c r="Q25" s="4"/>
      <c r="R25" s="5">
        <f t="shared" si="0"/>
        <v>1582</v>
      </c>
    </row>
    <row r="26" spans="1:18" ht="15.75" x14ac:dyDescent="0.25">
      <c r="A26" s="128"/>
      <c r="B26" s="14"/>
      <c r="C26" s="10"/>
      <c r="D26" s="48">
        <f t="shared" si="1"/>
        <v>0</v>
      </c>
      <c r="F26" s="64"/>
      <c r="G26" s="59"/>
      <c r="H26" s="195"/>
      <c r="I26" s="196"/>
      <c r="J26" s="197"/>
      <c r="L26" s="7">
        <f>832/24+1.5</f>
        <v>36.166666666666664</v>
      </c>
      <c r="O26" t="s">
        <v>52</v>
      </c>
      <c r="P26" s="4">
        <v>1447</v>
      </c>
      <c r="Q26" s="4">
        <v>120</v>
      </c>
      <c r="R26" s="5">
        <f t="shared" si="0"/>
        <v>1567</v>
      </c>
    </row>
    <row r="27" spans="1:18" ht="14.45" customHeight="1" x14ac:dyDescent="0.25">
      <c r="A27" s="128"/>
      <c r="B27" s="14"/>
      <c r="C27" s="10"/>
      <c r="D27" s="44">
        <f t="shared" si="1"/>
        <v>0</v>
      </c>
      <c r="F27" s="25"/>
      <c r="G27" s="80"/>
      <c r="H27" s="198"/>
      <c r="I27" s="199"/>
      <c r="J27" s="200"/>
      <c r="L27" s="7">
        <v>1582</v>
      </c>
      <c r="O27" t="s">
        <v>53</v>
      </c>
      <c r="P27" s="4">
        <v>1582</v>
      </c>
      <c r="Q27" s="4"/>
      <c r="R27" s="5">
        <f t="shared" si="0"/>
        <v>1582</v>
      </c>
    </row>
    <row r="28" spans="1:18" ht="15.75" x14ac:dyDescent="0.25">
      <c r="A28" s="129"/>
      <c r="B28" s="46"/>
      <c r="C28" s="10"/>
      <c r="D28" s="48">
        <f t="shared" si="1"/>
        <v>0</v>
      </c>
      <c r="F28" s="106"/>
      <c r="G28" s="61"/>
      <c r="H28" s="201"/>
      <c r="I28" s="202"/>
      <c r="J28" s="203"/>
      <c r="L28" s="7">
        <v>785</v>
      </c>
      <c r="O28" t="s">
        <v>54</v>
      </c>
      <c r="P28" s="4">
        <v>1447</v>
      </c>
      <c r="Q28" s="4">
        <v>120</v>
      </c>
      <c r="R28" s="5">
        <f t="shared" si="0"/>
        <v>1567</v>
      </c>
    </row>
    <row r="29" spans="1:18" x14ac:dyDescent="0.25">
      <c r="A29" s="167" t="s">
        <v>36</v>
      </c>
      <c r="B29" s="168"/>
      <c r="C29" s="169"/>
      <c r="D29" s="173">
        <f>SUM(D6:D28)</f>
        <v>0</v>
      </c>
      <c r="F29" s="175" t="s">
        <v>55</v>
      </c>
      <c r="G29" s="176"/>
      <c r="H29" s="179">
        <f>H15-H16-H17-H18-H19-H20-H22-H23-H24+H26+H27</f>
        <v>0</v>
      </c>
      <c r="I29" s="180"/>
      <c r="J29" s="181"/>
      <c r="O29" t="s">
        <v>56</v>
      </c>
      <c r="P29" s="4">
        <v>1582</v>
      </c>
      <c r="Q29" s="4"/>
      <c r="R29" s="5">
        <f t="shared" si="0"/>
        <v>1582</v>
      </c>
    </row>
    <row r="30" spans="1:18" x14ac:dyDescent="0.25">
      <c r="A30" s="170"/>
      <c r="B30" s="171"/>
      <c r="C30" s="172"/>
      <c r="D30" s="174"/>
      <c r="F30" s="177"/>
      <c r="G30" s="178"/>
      <c r="H30" s="182"/>
      <c r="I30" s="183"/>
      <c r="J30" s="184"/>
      <c r="N30" s="1"/>
      <c r="Q30" s="4"/>
      <c r="R30" s="5">
        <f t="shared" si="0"/>
        <v>0</v>
      </c>
    </row>
    <row r="31" spans="1:18" x14ac:dyDescent="0.25">
      <c r="A31" s="24"/>
      <c r="B31" s="24"/>
      <c r="C31" s="24"/>
      <c r="D31" s="24"/>
      <c r="F31" s="24"/>
      <c r="G31" s="24"/>
      <c r="O31" t="s">
        <v>57</v>
      </c>
      <c r="P31" s="4">
        <v>1052</v>
      </c>
      <c r="Q31" s="4">
        <v>120</v>
      </c>
      <c r="R31" s="5">
        <f t="shared" si="0"/>
        <v>1172</v>
      </c>
    </row>
    <row r="32" spans="1:18" x14ac:dyDescent="0.25">
      <c r="A32" s="114" t="s">
        <v>58</v>
      </c>
      <c r="B32" s="115"/>
      <c r="C32" s="115"/>
      <c r="D32" s="116"/>
      <c r="F32" s="204" t="s">
        <v>59</v>
      </c>
      <c r="G32" s="205"/>
      <c r="H32" s="205"/>
      <c r="I32" s="205"/>
      <c r="J32" s="206"/>
      <c r="O32" t="s">
        <v>60</v>
      </c>
      <c r="P32" s="4">
        <v>1005</v>
      </c>
      <c r="Q32" s="4">
        <v>120</v>
      </c>
      <c r="R32" s="5">
        <f t="shared" si="0"/>
        <v>1125</v>
      </c>
    </row>
    <row r="33" spans="1:18" x14ac:dyDescent="0.25">
      <c r="A33" s="25"/>
      <c r="B33" s="25" t="s">
        <v>11</v>
      </c>
      <c r="C33" s="25" t="s">
        <v>61</v>
      </c>
      <c r="D33" s="25" t="s">
        <v>13</v>
      </c>
      <c r="F33" s="25" t="s">
        <v>62</v>
      </c>
      <c r="G33" s="107" t="s">
        <v>63</v>
      </c>
      <c r="H33" s="204" t="s">
        <v>13</v>
      </c>
      <c r="I33" s="205"/>
      <c r="J33" s="206"/>
      <c r="O33" t="s">
        <v>64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27" t="s">
        <v>65</v>
      </c>
      <c r="B34" s="26" t="s">
        <v>66</v>
      </c>
      <c r="C34" s="51"/>
      <c r="D34" s="30">
        <f>C34*120</f>
        <v>0</v>
      </c>
      <c r="F34" s="12">
        <v>1000</v>
      </c>
      <c r="G34" s="74"/>
      <c r="H34" s="207"/>
      <c r="I34" s="208"/>
      <c r="J34" s="209"/>
      <c r="O34" t="s">
        <v>67</v>
      </c>
      <c r="P34" s="4">
        <v>832</v>
      </c>
      <c r="Q34" s="4">
        <v>120</v>
      </c>
      <c r="R34" s="5">
        <f t="shared" si="0"/>
        <v>952</v>
      </c>
    </row>
    <row r="35" spans="1:18" ht="15.75" x14ac:dyDescent="0.25">
      <c r="A35" s="128"/>
      <c r="B35" s="27" t="s">
        <v>68</v>
      </c>
      <c r="C35" s="52"/>
      <c r="D35" s="30">
        <f>C35*84</f>
        <v>0</v>
      </c>
      <c r="F35" s="58">
        <v>500</v>
      </c>
      <c r="G35" s="41"/>
      <c r="H35" s="207"/>
      <c r="I35" s="208"/>
      <c r="J35" s="209"/>
      <c r="O35" t="s">
        <v>69</v>
      </c>
      <c r="P35" s="4">
        <v>1102</v>
      </c>
      <c r="Q35" s="4"/>
      <c r="R35" s="5">
        <f t="shared" si="0"/>
        <v>1102</v>
      </c>
    </row>
    <row r="36" spans="1:18" ht="15.75" x14ac:dyDescent="0.25">
      <c r="A36" s="129"/>
      <c r="B36" s="26" t="s">
        <v>70</v>
      </c>
      <c r="C36" s="10"/>
      <c r="D36" s="12">
        <f>C36*1.5</f>
        <v>0</v>
      </c>
      <c r="F36" s="12">
        <v>200</v>
      </c>
      <c r="G36" s="37"/>
      <c r="H36" s="207"/>
      <c r="I36" s="208"/>
      <c r="J36" s="209"/>
      <c r="O36" t="s">
        <v>71</v>
      </c>
      <c r="P36" s="4">
        <v>852</v>
      </c>
      <c r="Q36" s="4">
        <v>120</v>
      </c>
      <c r="R36" s="5">
        <f t="shared" si="0"/>
        <v>972</v>
      </c>
    </row>
    <row r="37" spans="1:18" ht="15.75" x14ac:dyDescent="0.25">
      <c r="A37" s="127" t="s">
        <v>72</v>
      </c>
      <c r="B37" s="28" t="s">
        <v>66</v>
      </c>
      <c r="C37" s="53"/>
      <c r="D37" s="12">
        <f>C37*111</f>
        <v>0</v>
      </c>
      <c r="F37" s="12">
        <v>100</v>
      </c>
      <c r="G37" s="39"/>
      <c r="H37" s="207"/>
      <c r="I37" s="208"/>
      <c r="J37" s="209"/>
      <c r="O37" t="s">
        <v>73</v>
      </c>
      <c r="P37" s="4">
        <v>1020</v>
      </c>
      <c r="Q37" s="4">
        <v>120</v>
      </c>
      <c r="R37" s="5">
        <f t="shared" si="0"/>
        <v>1140</v>
      </c>
    </row>
    <row r="38" spans="1:18" ht="15.75" x14ac:dyDescent="0.25">
      <c r="A38" s="128"/>
      <c r="B38" s="29" t="s">
        <v>68</v>
      </c>
      <c r="C38" s="54"/>
      <c r="D38" s="12">
        <f>C38*84</f>
        <v>0</v>
      </c>
      <c r="F38" s="30">
        <v>50</v>
      </c>
      <c r="G38" s="39"/>
      <c r="H38" s="207"/>
      <c r="I38" s="208"/>
      <c r="J38" s="209"/>
      <c r="O38" t="s">
        <v>74</v>
      </c>
      <c r="P38" s="4">
        <v>596</v>
      </c>
      <c r="Q38" s="4">
        <v>111</v>
      </c>
      <c r="R38" s="5">
        <f t="shared" si="0"/>
        <v>707</v>
      </c>
    </row>
    <row r="39" spans="1:18" ht="15.75" x14ac:dyDescent="0.25">
      <c r="A39" s="129"/>
      <c r="B39" s="29" t="s">
        <v>70</v>
      </c>
      <c r="C39" s="52"/>
      <c r="D39" s="31">
        <f>C39*4.5</f>
        <v>0</v>
      </c>
      <c r="F39" s="12">
        <v>20</v>
      </c>
      <c r="G39" s="37"/>
      <c r="H39" s="207"/>
      <c r="I39" s="208"/>
      <c r="J39" s="209"/>
      <c r="O39" t="s">
        <v>75</v>
      </c>
      <c r="P39" s="4">
        <v>1175</v>
      </c>
      <c r="Q39" s="4"/>
      <c r="R39" s="5">
        <f t="shared" si="0"/>
        <v>1175</v>
      </c>
    </row>
    <row r="40" spans="1:18" ht="15.75" x14ac:dyDescent="0.25">
      <c r="A40" s="127" t="s">
        <v>76</v>
      </c>
      <c r="B40" s="27" t="s">
        <v>66</v>
      </c>
      <c r="C40" s="63"/>
      <c r="D40" s="12">
        <f>C40*111</f>
        <v>0</v>
      </c>
      <c r="F40" s="12">
        <v>10</v>
      </c>
      <c r="G40" s="42"/>
      <c r="H40" s="207"/>
      <c r="I40" s="208"/>
      <c r="J40" s="209"/>
      <c r="O40" t="s">
        <v>77</v>
      </c>
      <c r="P40" s="4">
        <v>913</v>
      </c>
      <c r="Q40" s="4">
        <v>120</v>
      </c>
      <c r="R40" s="5">
        <f t="shared" si="0"/>
        <v>1033</v>
      </c>
    </row>
    <row r="41" spans="1:18" ht="15.75" x14ac:dyDescent="0.25">
      <c r="A41" s="128"/>
      <c r="B41" s="27" t="s">
        <v>68</v>
      </c>
      <c r="C41" s="10"/>
      <c r="D41" s="12">
        <f>C41*84</f>
        <v>0</v>
      </c>
      <c r="F41" s="12">
        <v>5</v>
      </c>
      <c r="G41" s="42"/>
      <c r="H41" s="207"/>
      <c r="I41" s="208"/>
      <c r="J41" s="209"/>
      <c r="K41" s="21"/>
      <c r="O41" t="s">
        <v>78</v>
      </c>
      <c r="P41" s="4">
        <v>614</v>
      </c>
      <c r="Q41" s="4">
        <v>111</v>
      </c>
      <c r="R41" s="5">
        <f t="shared" si="0"/>
        <v>725</v>
      </c>
    </row>
    <row r="42" spans="1:18" ht="15.75" x14ac:dyDescent="0.25">
      <c r="A42" s="129"/>
      <c r="B42" s="27" t="s">
        <v>70</v>
      </c>
      <c r="C42" s="11"/>
      <c r="D42" s="12">
        <f>C42*2.25</f>
        <v>0</v>
      </c>
      <c r="F42" s="39" t="s">
        <v>79</v>
      </c>
      <c r="G42" s="207"/>
      <c r="H42" s="208"/>
      <c r="I42" s="208"/>
      <c r="J42" s="209"/>
      <c r="K42" s="36"/>
      <c r="O42" t="s">
        <v>80</v>
      </c>
      <c r="P42" s="4">
        <v>626</v>
      </c>
      <c r="Q42" s="4">
        <v>111</v>
      </c>
      <c r="R42" s="5">
        <f t="shared" si="0"/>
        <v>737</v>
      </c>
    </row>
    <row r="43" spans="1:18" ht="15.75" x14ac:dyDescent="0.25">
      <c r="A43" s="210" t="s">
        <v>81</v>
      </c>
      <c r="C43" s="11"/>
      <c r="D43" s="12"/>
      <c r="F43" s="59" t="s">
        <v>82</v>
      </c>
      <c r="G43" s="109" t="s">
        <v>83</v>
      </c>
      <c r="H43" s="213" t="s">
        <v>13</v>
      </c>
      <c r="I43" s="214"/>
      <c r="J43" s="215"/>
      <c r="K43" s="21"/>
      <c r="P43" s="4"/>
      <c r="Q43" s="4"/>
      <c r="R43" s="5"/>
    </row>
    <row r="44" spans="1:18" ht="15.75" x14ac:dyDescent="0.25">
      <c r="A44" s="211"/>
      <c r="B44" s="27" t="s">
        <v>66</v>
      </c>
      <c r="C44" s="10"/>
      <c r="D44" s="12">
        <f>C44*120</f>
        <v>0</v>
      </c>
      <c r="F44" s="37"/>
      <c r="G44" s="76"/>
      <c r="H44" s="191"/>
      <c r="I44" s="191"/>
      <c r="J44" s="191"/>
      <c r="K44" s="21"/>
      <c r="P44" s="4"/>
      <c r="Q44" s="4"/>
      <c r="R44" s="5"/>
    </row>
    <row r="45" spans="1:18" ht="15.75" x14ac:dyDescent="0.25">
      <c r="A45" s="211"/>
      <c r="B45" s="27" t="s">
        <v>68</v>
      </c>
      <c r="C45" s="33"/>
      <c r="D45" s="12">
        <f>C45*84</f>
        <v>0</v>
      </c>
      <c r="F45" s="37"/>
      <c r="G45" s="76"/>
      <c r="H45" s="191"/>
      <c r="I45" s="191"/>
      <c r="J45" s="191"/>
      <c r="K45" s="21"/>
      <c r="P45" s="4"/>
      <c r="Q45" s="4"/>
      <c r="R45" s="5"/>
    </row>
    <row r="46" spans="1:18" ht="15.75" x14ac:dyDescent="0.25">
      <c r="A46" s="211"/>
      <c r="B46" s="49" t="s">
        <v>70</v>
      </c>
      <c r="C46" s="81"/>
      <c r="D46" s="12">
        <f>C46*1.5</f>
        <v>0</v>
      </c>
      <c r="F46" s="37"/>
      <c r="G46" s="62"/>
      <c r="H46" s="216"/>
      <c r="I46" s="216"/>
      <c r="J46" s="216"/>
      <c r="K46" s="21"/>
      <c r="P46" s="4"/>
      <c r="Q46" s="4"/>
      <c r="R46" s="5"/>
    </row>
    <row r="47" spans="1:18" ht="15.75" x14ac:dyDescent="0.25">
      <c r="A47" s="212"/>
      <c r="B47" s="27"/>
      <c r="C47" s="11"/>
      <c r="D47" s="12"/>
      <c r="F47" s="59"/>
      <c r="G47" s="59"/>
      <c r="H47" s="217"/>
      <c r="I47" s="218"/>
      <c r="J47" s="219"/>
      <c r="K47" s="21"/>
      <c r="P47" s="4"/>
      <c r="Q47" s="4"/>
      <c r="R47" s="5"/>
    </row>
    <row r="48" spans="1:18" ht="15" customHeight="1" x14ac:dyDescent="0.25">
      <c r="A48" s="210" t="s">
        <v>32</v>
      </c>
      <c r="B48" s="27" t="s">
        <v>66</v>
      </c>
      <c r="C48" s="10"/>
      <c r="D48" s="12">
        <f>C48*78</f>
        <v>0</v>
      </c>
      <c r="F48" s="59"/>
      <c r="G48" s="59"/>
      <c r="H48" s="217"/>
      <c r="I48" s="218"/>
      <c r="J48" s="219"/>
      <c r="K48" s="35"/>
      <c r="O48" t="s">
        <v>84</v>
      </c>
      <c r="P48" s="4">
        <v>1175</v>
      </c>
      <c r="Q48" s="4"/>
      <c r="R48" s="5">
        <f t="shared" si="0"/>
        <v>1175</v>
      </c>
    </row>
    <row r="49" spans="1:18" ht="15.75" x14ac:dyDescent="0.25">
      <c r="A49" s="211"/>
      <c r="B49" s="29" t="s">
        <v>68</v>
      </c>
      <c r="C49" s="33"/>
      <c r="D49" s="12">
        <f>C49*42</f>
        <v>0</v>
      </c>
      <c r="F49" s="232" t="s">
        <v>86</v>
      </c>
      <c r="G49" s="179">
        <f>H34+H35+H36+H37+H38+H39+H40+H41+G42+H44+H45+H46</f>
        <v>0</v>
      </c>
      <c r="H49" s="180"/>
      <c r="I49" s="180"/>
      <c r="J49" s="181"/>
      <c r="O49" t="s">
        <v>85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211"/>
      <c r="B50" s="32" t="s">
        <v>70</v>
      </c>
      <c r="C50" s="11"/>
      <c r="D50" s="12">
        <f>C50*1.5</f>
        <v>0</v>
      </c>
      <c r="F50" s="233"/>
      <c r="G50" s="182"/>
      <c r="H50" s="183"/>
      <c r="I50" s="183"/>
      <c r="J50" s="184"/>
      <c r="P50" s="4"/>
      <c r="Q50" s="4"/>
      <c r="R50" s="5"/>
    </row>
    <row r="51" spans="1:18" ht="15" customHeight="1" x14ac:dyDescent="0.25">
      <c r="A51" s="211"/>
      <c r="B51" s="27"/>
      <c r="C51" s="10"/>
      <c r="D51" s="31"/>
      <c r="F51" s="234" t="s">
        <v>128</v>
      </c>
      <c r="G51" s="236">
        <f>G49-H29</f>
        <v>0</v>
      </c>
      <c r="H51" s="237"/>
      <c r="I51" s="237"/>
      <c r="J51" s="238"/>
      <c r="K51" s="21"/>
      <c r="O51" t="s">
        <v>87</v>
      </c>
      <c r="P51" s="4">
        <v>703</v>
      </c>
      <c r="Q51" s="4">
        <v>120</v>
      </c>
      <c r="R51" s="5">
        <f t="shared" si="0"/>
        <v>823</v>
      </c>
    </row>
    <row r="52" spans="1:18" ht="15.75" x14ac:dyDescent="0.25">
      <c r="A52" s="211"/>
      <c r="B52" s="29"/>
      <c r="C52" s="33"/>
      <c r="D52" s="45"/>
      <c r="F52" s="235"/>
      <c r="G52" s="239"/>
      <c r="H52" s="240"/>
      <c r="I52" s="240"/>
      <c r="J52" s="241"/>
      <c r="K52" s="21"/>
      <c r="O52" t="s">
        <v>88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212"/>
      <c r="B53" s="32"/>
      <c r="C53" s="11"/>
      <c r="D53" s="12"/>
      <c r="F53" s="35"/>
      <c r="G53" s="24"/>
      <c r="H53" s="24"/>
      <c r="I53" s="24"/>
      <c r="J53" s="17"/>
      <c r="N53" s="1"/>
      <c r="O53" t="s">
        <v>89</v>
      </c>
      <c r="P53" s="4">
        <v>1142</v>
      </c>
    </row>
    <row r="54" spans="1:18" x14ac:dyDescent="0.25">
      <c r="A54" s="175" t="s">
        <v>90</v>
      </c>
      <c r="B54" s="220"/>
      <c r="C54" s="221"/>
      <c r="D54" s="224">
        <f>SUM(D34:D53)</f>
        <v>0</v>
      </c>
      <c r="F54" s="21"/>
      <c r="J54" s="34"/>
    </row>
    <row r="55" spans="1:18" x14ac:dyDescent="0.25">
      <c r="A55" s="177"/>
      <c r="B55" s="222"/>
      <c r="C55" s="223"/>
      <c r="D55" s="225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D57" s="34"/>
      <c r="F57" s="36"/>
      <c r="G57" s="50"/>
      <c r="H57" s="50"/>
      <c r="I57" s="50"/>
      <c r="J57" s="43"/>
    </row>
    <row r="58" spans="1:18" x14ac:dyDescent="0.25">
      <c r="A58" s="226" t="s">
        <v>91</v>
      </c>
      <c r="B58" s="227"/>
      <c r="C58" s="227"/>
      <c r="D58" s="228"/>
      <c r="F58" s="226" t="s">
        <v>92</v>
      </c>
      <c r="G58" s="227"/>
      <c r="H58" s="227"/>
      <c r="I58" s="227"/>
      <c r="J58" s="228"/>
    </row>
    <row r="59" spans="1:18" x14ac:dyDescent="0.25">
      <c r="A59" s="229"/>
      <c r="B59" s="230"/>
      <c r="C59" s="230"/>
      <c r="D59" s="231"/>
      <c r="F59" s="229"/>
      <c r="G59" s="230"/>
      <c r="H59" s="230"/>
      <c r="I59" s="230"/>
      <c r="J59" s="231"/>
    </row>
  </sheetData>
  <mergeCells count="68"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  <mergeCell ref="H13:J13"/>
    <mergeCell ref="F14:G14"/>
    <mergeCell ref="H14:J14"/>
    <mergeCell ref="F15:G15"/>
    <mergeCell ref="H15:J15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A32:D32"/>
    <mergeCell ref="F32:J32"/>
    <mergeCell ref="H33:J33"/>
    <mergeCell ref="A34:A36"/>
    <mergeCell ref="H34:J34"/>
    <mergeCell ref="H35:J35"/>
    <mergeCell ref="H36:J36"/>
    <mergeCell ref="A37:A39"/>
    <mergeCell ref="H37:J37"/>
    <mergeCell ref="H38:J38"/>
    <mergeCell ref="H39:J39"/>
    <mergeCell ref="A40:A42"/>
    <mergeCell ref="H40:J40"/>
    <mergeCell ref="H41:J41"/>
    <mergeCell ref="G42:J42"/>
    <mergeCell ref="A43:A47"/>
    <mergeCell ref="H43:J43"/>
    <mergeCell ref="H44:J44"/>
    <mergeCell ref="H45:J45"/>
    <mergeCell ref="H46:J46"/>
    <mergeCell ref="H47:J47"/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6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4CAE282-C46B-4F1A-9515-94F5E5779C3E}">
  <dimension ref="A1:R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bestFit="1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113" t="s">
        <v>1</v>
      </c>
      <c r="O1" s="113"/>
      <c r="P1" s="105" t="s">
        <v>2</v>
      </c>
      <c r="Q1" s="105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14" t="s">
        <v>7</v>
      </c>
      <c r="B4" s="115"/>
      <c r="C4" s="115"/>
      <c r="D4" s="116"/>
      <c r="F4" s="117" t="s">
        <v>8</v>
      </c>
      <c r="G4" s="119">
        <v>1</v>
      </c>
      <c r="H4" s="121" t="s">
        <v>9</v>
      </c>
      <c r="I4" s="123">
        <v>45981</v>
      </c>
      <c r="J4" s="124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27" t="s">
        <v>7</v>
      </c>
      <c r="B5" s="15" t="s">
        <v>11</v>
      </c>
      <c r="C5" s="9" t="s">
        <v>12</v>
      </c>
      <c r="D5" s="25" t="s">
        <v>13</v>
      </c>
      <c r="F5" s="118"/>
      <c r="G5" s="120"/>
      <c r="H5" s="122"/>
      <c r="I5" s="125"/>
      <c r="J5" s="126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28"/>
      <c r="B6" s="16" t="s">
        <v>15</v>
      </c>
      <c r="C6" s="89"/>
      <c r="D6" s="13">
        <f t="shared" ref="D6:D28" si="1">C6*L6</f>
        <v>0</v>
      </c>
      <c r="F6" s="130" t="s">
        <v>16</v>
      </c>
      <c r="G6" s="132" t="s">
        <v>129</v>
      </c>
      <c r="H6" s="133"/>
      <c r="I6" s="133"/>
      <c r="J6" s="134"/>
      <c r="K6" s="8"/>
      <c r="L6" s="6">
        <f>R42</f>
        <v>737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28"/>
      <c r="B7" s="16" t="s">
        <v>18</v>
      </c>
      <c r="C7" s="89"/>
      <c r="D7" s="13">
        <f t="shared" si="1"/>
        <v>0</v>
      </c>
      <c r="F7" s="131"/>
      <c r="G7" s="135"/>
      <c r="H7" s="136"/>
      <c r="I7" s="136"/>
      <c r="J7" s="137"/>
      <c r="K7" s="8"/>
      <c r="L7" s="6">
        <f>R41</f>
        <v>725</v>
      </c>
      <c r="P7" s="4"/>
      <c r="Q7" s="4"/>
      <c r="R7" s="5"/>
    </row>
    <row r="8" spans="1:18" ht="14.45" customHeight="1" x14ac:dyDescent="0.25">
      <c r="A8" s="128"/>
      <c r="B8" s="16" t="s">
        <v>20</v>
      </c>
      <c r="C8" s="89"/>
      <c r="D8" s="13">
        <f t="shared" si="1"/>
        <v>0</v>
      </c>
      <c r="F8" s="138" t="s">
        <v>21</v>
      </c>
      <c r="G8" s="140" t="s">
        <v>112</v>
      </c>
      <c r="H8" s="141"/>
      <c r="I8" s="141"/>
      <c r="J8" s="142"/>
      <c r="K8" s="8"/>
      <c r="L8" s="6">
        <f>R40</f>
        <v>1033</v>
      </c>
      <c r="P8" s="4"/>
      <c r="Q8" s="4"/>
      <c r="R8" s="5"/>
    </row>
    <row r="9" spans="1:18" ht="14.45" customHeight="1" x14ac:dyDescent="0.25">
      <c r="A9" s="128"/>
      <c r="B9" s="16" t="s">
        <v>23</v>
      </c>
      <c r="C9" s="89"/>
      <c r="D9" s="13">
        <f t="shared" si="1"/>
        <v>0</v>
      </c>
      <c r="F9" s="131"/>
      <c r="G9" s="143"/>
      <c r="H9" s="144"/>
      <c r="I9" s="144"/>
      <c r="J9" s="145"/>
      <c r="K9" s="8"/>
      <c r="L9" s="6">
        <f>R38</f>
        <v>707</v>
      </c>
      <c r="P9" s="4"/>
      <c r="Q9" s="4"/>
      <c r="R9" s="5"/>
    </row>
    <row r="10" spans="1:18" ht="14.45" customHeight="1" x14ac:dyDescent="0.25">
      <c r="A10" s="128"/>
      <c r="B10" t="s">
        <v>25</v>
      </c>
      <c r="C10" s="89"/>
      <c r="D10" s="13">
        <f t="shared" si="1"/>
        <v>0</v>
      </c>
      <c r="F10" s="130" t="s">
        <v>26</v>
      </c>
      <c r="G10" s="146" t="s">
        <v>130</v>
      </c>
      <c r="H10" s="147"/>
      <c r="I10" s="147"/>
      <c r="J10" s="148"/>
      <c r="K10" s="8"/>
      <c r="L10" s="6">
        <f>R36</f>
        <v>972</v>
      </c>
      <c r="P10" s="4"/>
      <c r="Q10" s="4"/>
      <c r="R10" s="5"/>
    </row>
    <row r="11" spans="1:18" ht="15.75" x14ac:dyDescent="0.25">
      <c r="A11" s="128"/>
      <c r="B11" s="17" t="s">
        <v>28</v>
      </c>
      <c r="C11" s="89"/>
      <c r="D11" s="13">
        <f t="shared" si="1"/>
        <v>0</v>
      </c>
      <c r="F11" s="131"/>
      <c r="G11" s="143"/>
      <c r="H11" s="144"/>
      <c r="I11" s="144"/>
      <c r="J11" s="145"/>
      <c r="K11" s="22"/>
      <c r="L11" s="6">
        <f>R32</f>
        <v>1125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28"/>
      <c r="B12" s="17" t="s">
        <v>30</v>
      </c>
      <c r="C12" s="89"/>
      <c r="D12" s="48">
        <f t="shared" si="1"/>
        <v>0</v>
      </c>
      <c r="F12" s="149" t="s">
        <v>33</v>
      </c>
      <c r="G12" s="150"/>
      <c r="H12" s="150"/>
      <c r="I12" s="150"/>
      <c r="J12" s="151"/>
      <c r="K12" s="23"/>
      <c r="L12" s="6">
        <f>R34</f>
        <v>952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28"/>
      <c r="B13" s="17" t="s">
        <v>32</v>
      </c>
      <c r="C13" s="89"/>
      <c r="D13" s="48">
        <f t="shared" si="1"/>
        <v>0</v>
      </c>
      <c r="F13" s="152" t="s">
        <v>36</v>
      </c>
      <c r="G13" s="153"/>
      <c r="H13" s="154">
        <f>D29</f>
        <v>0</v>
      </c>
      <c r="I13" s="155"/>
      <c r="J13" s="156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28"/>
      <c r="B14" s="14" t="s">
        <v>35</v>
      </c>
      <c r="C14" s="89"/>
      <c r="D14" s="31">
        <f t="shared" si="1"/>
        <v>0</v>
      </c>
      <c r="F14" s="157" t="s">
        <v>39</v>
      </c>
      <c r="G14" s="158"/>
      <c r="H14" s="159">
        <f>D54</f>
        <v>0</v>
      </c>
      <c r="I14" s="160"/>
      <c r="J14" s="161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28"/>
      <c r="B15" s="14" t="s">
        <v>38</v>
      </c>
      <c r="C15" s="89"/>
      <c r="D15" s="31">
        <f t="shared" si="1"/>
        <v>0</v>
      </c>
      <c r="F15" s="162" t="s">
        <v>40</v>
      </c>
      <c r="G15" s="153"/>
      <c r="H15" s="163">
        <f>H13-H14</f>
        <v>0</v>
      </c>
      <c r="I15" s="164"/>
      <c r="J15" s="165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28"/>
      <c r="B16" s="18" t="s">
        <v>94</v>
      </c>
      <c r="C16" s="89"/>
      <c r="D16" s="48">
        <f t="shared" si="1"/>
        <v>0</v>
      </c>
      <c r="F16" s="67" t="s">
        <v>42</v>
      </c>
      <c r="G16" s="66" t="s">
        <v>43</v>
      </c>
      <c r="H16" s="166"/>
      <c r="I16" s="166"/>
      <c r="J16" s="166"/>
      <c r="L16" s="6">
        <f>R28</f>
        <v>1567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28"/>
      <c r="B17" t="s">
        <v>140</v>
      </c>
      <c r="C17" s="89"/>
      <c r="D17" s="48">
        <f t="shared" si="1"/>
        <v>0</v>
      </c>
      <c r="F17" s="56"/>
      <c r="G17" s="66" t="s">
        <v>45</v>
      </c>
      <c r="H17" s="139"/>
      <c r="I17" s="139"/>
      <c r="J17" s="139"/>
      <c r="L17" s="6">
        <f>1582</f>
        <v>1582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28"/>
      <c r="B18" s="19" t="s">
        <v>95</v>
      </c>
      <c r="C18" s="89"/>
      <c r="D18" s="48">
        <f t="shared" si="1"/>
        <v>0</v>
      </c>
      <c r="F18" s="56"/>
      <c r="G18" s="66" t="s">
        <v>47</v>
      </c>
      <c r="H18" s="139"/>
      <c r="I18" s="139"/>
      <c r="J18" s="139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28"/>
      <c r="B19" s="14" t="s">
        <v>136</v>
      </c>
      <c r="C19" s="89"/>
      <c r="D19" s="48">
        <f t="shared" si="1"/>
        <v>0</v>
      </c>
      <c r="F19" s="56"/>
      <c r="G19" s="68" t="s">
        <v>50</v>
      </c>
      <c r="H19" s="139"/>
      <c r="I19" s="139"/>
      <c r="J19" s="139"/>
      <c r="L19" s="6">
        <v>1102</v>
      </c>
      <c r="Q19" s="4"/>
      <c r="R19" s="5">
        <f t="shared" si="0"/>
        <v>0</v>
      </c>
    </row>
    <row r="20" spans="1:18" ht="15.75" x14ac:dyDescent="0.25">
      <c r="A20" s="128"/>
      <c r="B20" s="83" t="s">
        <v>125</v>
      </c>
      <c r="C20" s="89"/>
      <c r="D20" s="13">
        <f t="shared" si="1"/>
        <v>0</v>
      </c>
      <c r="F20" s="57"/>
      <c r="G20" s="70" t="s">
        <v>120</v>
      </c>
      <c r="H20" s="166"/>
      <c r="I20" s="166"/>
      <c r="J20" s="166"/>
      <c r="L20" s="6">
        <f>R39</f>
        <v>1175</v>
      </c>
      <c r="N20" s="1" t="s">
        <v>41</v>
      </c>
      <c r="Q20" s="4"/>
      <c r="R20" s="5">
        <f t="shared" si="0"/>
        <v>0</v>
      </c>
    </row>
    <row r="21" spans="1:18" ht="15.75" x14ac:dyDescent="0.25">
      <c r="A21" s="128"/>
      <c r="B21" s="14" t="s">
        <v>138</v>
      </c>
      <c r="C21" s="89"/>
      <c r="D21" s="48">
        <f t="shared" si="1"/>
        <v>0</v>
      </c>
      <c r="F21" s="69" t="s">
        <v>99</v>
      </c>
      <c r="G21" s="82" t="s">
        <v>98</v>
      </c>
      <c r="H21" s="186" t="s">
        <v>13</v>
      </c>
      <c r="I21" s="187"/>
      <c r="J21" s="188"/>
      <c r="L21" s="7">
        <v>650</v>
      </c>
      <c r="O21" t="s">
        <v>44</v>
      </c>
      <c r="P21" s="4">
        <v>1447</v>
      </c>
      <c r="Q21" s="4">
        <v>120</v>
      </c>
      <c r="R21" s="5">
        <f t="shared" si="0"/>
        <v>1567</v>
      </c>
    </row>
    <row r="22" spans="1:18" ht="15.75" x14ac:dyDescent="0.25">
      <c r="A22" s="128"/>
      <c r="B22" s="46" t="s">
        <v>127</v>
      </c>
      <c r="C22" s="89"/>
      <c r="D22" s="48">
        <f t="shared" si="1"/>
        <v>0</v>
      </c>
      <c r="F22" s="77"/>
      <c r="G22" s="73"/>
      <c r="H22" s="189"/>
      <c r="I22" s="189"/>
      <c r="J22" s="189"/>
      <c r="L22" s="7">
        <v>1582</v>
      </c>
      <c r="O22" t="s">
        <v>46</v>
      </c>
      <c r="P22" s="4">
        <v>1582</v>
      </c>
      <c r="Q22" s="4"/>
      <c r="R22" s="5">
        <f t="shared" si="0"/>
        <v>1582</v>
      </c>
    </row>
    <row r="23" spans="1:18" ht="15.75" x14ac:dyDescent="0.25">
      <c r="A23" s="128"/>
      <c r="B23" s="14" t="s">
        <v>101</v>
      </c>
      <c r="C23" s="89"/>
      <c r="D23" s="48">
        <f t="shared" si="1"/>
        <v>0</v>
      </c>
      <c r="F23" s="77"/>
      <c r="G23" s="79"/>
      <c r="H23" s="242"/>
      <c r="I23" s="243"/>
      <c r="J23" s="243"/>
      <c r="L23" s="47">
        <v>1667</v>
      </c>
      <c r="N23" s="1"/>
      <c r="O23" t="s">
        <v>48</v>
      </c>
      <c r="P23" s="4">
        <v>1728</v>
      </c>
      <c r="Q23" s="4"/>
      <c r="R23" s="5">
        <f t="shared" si="0"/>
        <v>1728</v>
      </c>
    </row>
    <row r="24" spans="1:18" ht="15.75" x14ac:dyDescent="0.25">
      <c r="A24" s="128"/>
      <c r="B24" s="14" t="s">
        <v>121</v>
      </c>
      <c r="C24" s="89"/>
      <c r="D24" s="48">
        <f t="shared" si="1"/>
        <v>0</v>
      </c>
      <c r="F24" s="77"/>
      <c r="G24" s="79"/>
      <c r="H24" s="242"/>
      <c r="I24" s="243"/>
      <c r="J24" s="243"/>
      <c r="L24" s="47">
        <f>913/24+1.5</f>
        <v>39.541666666666664</v>
      </c>
      <c r="N24" s="1"/>
      <c r="O24" t="s">
        <v>49</v>
      </c>
      <c r="P24" s="4">
        <v>1728</v>
      </c>
      <c r="Q24" s="4"/>
      <c r="R24" s="5">
        <f t="shared" si="0"/>
        <v>1728</v>
      </c>
    </row>
    <row r="25" spans="1:18" ht="15.75" x14ac:dyDescent="0.25">
      <c r="A25" s="128"/>
      <c r="B25" s="14" t="s">
        <v>141</v>
      </c>
      <c r="C25" s="89"/>
      <c r="D25" s="48">
        <f t="shared" si="1"/>
        <v>0</v>
      </c>
      <c r="F25" s="60" t="s">
        <v>100</v>
      </c>
      <c r="G25" s="55" t="s">
        <v>98</v>
      </c>
      <c r="H25" s="192" t="s">
        <v>13</v>
      </c>
      <c r="I25" s="193"/>
      <c r="J25" s="194"/>
      <c r="L25" s="47">
        <f>1052+120</f>
        <v>1172</v>
      </c>
      <c r="O25" t="s">
        <v>51</v>
      </c>
      <c r="P25" s="4">
        <v>1582</v>
      </c>
      <c r="Q25" s="4"/>
      <c r="R25" s="5">
        <f t="shared" si="0"/>
        <v>1582</v>
      </c>
    </row>
    <row r="26" spans="1:18" ht="15.75" x14ac:dyDescent="0.25">
      <c r="A26" s="128"/>
      <c r="B26" s="14" t="s">
        <v>139</v>
      </c>
      <c r="C26" s="89"/>
      <c r="D26" s="48">
        <f t="shared" si="1"/>
        <v>0</v>
      </c>
      <c r="F26" s="75"/>
      <c r="G26" s="65"/>
      <c r="H26" s="191"/>
      <c r="I26" s="191"/>
      <c r="J26" s="191"/>
      <c r="L26" s="7">
        <f>1447+120</f>
        <v>1567</v>
      </c>
      <c r="O26" t="s">
        <v>52</v>
      </c>
      <c r="P26" s="4">
        <v>1447</v>
      </c>
      <c r="Q26" s="4">
        <v>120</v>
      </c>
      <c r="R26" s="5">
        <f t="shared" si="0"/>
        <v>1567</v>
      </c>
    </row>
    <row r="27" spans="1:18" ht="14.45" customHeight="1" x14ac:dyDescent="0.25">
      <c r="A27" s="128"/>
      <c r="B27" s="14" t="s">
        <v>110</v>
      </c>
      <c r="C27" s="89"/>
      <c r="D27" s="44">
        <f t="shared" si="1"/>
        <v>0</v>
      </c>
      <c r="F27" s="71"/>
      <c r="G27" s="109"/>
      <c r="H27" s="244"/>
      <c r="I27" s="245"/>
      <c r="J27" s="245"/>
      <c r="L27" s="7">
        <v>1142</v>
      </c>
      <c r="O27" t="s">
        <v>53</v>
      </c>
      <c r="P27" s="4">
        <v>1582</v>
      </c>
      <c r="Q27" s="4"/>
      <c r="R27" s="5">
        <f t="shared" si="0"/>
        <v>1582</v>
      </c>
    </row>
    <row r="28" spans="1:18" ht="15.75" x14ac:dyDescent="0.25">
      <c r="A28" s="129"/>
      <c r="B28" s="46" t="s">
        <v>97</v>
      </c>
      <c r="C28" s="89"/>
      <c r="D28" s="48">
        <f t="shared" si="1"/>
        <v>0</v>
      </c>
      <c r="F28" s="106"/>
      <c r="G28" s="61"/>
      <c r="H28" s="201"/>
      <c r="I28" s="202"/>
      <c r="J28" s="203"/>
      <c r="L28" s="7">
        <v>785</v>
      </c>
      <c r="O28" t="s">
        <v>54</v>
      </c>
      <c r="P28" s="4">
        <v>1447</v>
      </c>
      <c r="Q28" s="4">
        <v>120</v>
      </c>
      <c r="R28" s="5">
        <f t="shared" si="0"/>
        <v>1567</v>
      </c>
    </row>
    <row r="29" spans="1:18" x14ac:dyDescent="0.25">
      <c r="A29" s="167" t="s">
        <v>36</v>
      </c>
      <c r="B29" s="168"/>
      <c r="C29" s="169"/>
      <c r="D29" s="173">
        <f>SUM(D6:D28)</f>
        <v>0</v>
      </c>
      <c r="F29" s="175" t="s">
        <v>55</v>
      </c>
      <c r="G29" s="176"/>
      <c r="H29" s="179">
        <f>H15-H16-H17-H18-H19-H20-H22-H23-H24+H26+H27+H28</f>
        <v>0</v>
      </c>
      <c r="I29" s="180"/>
      <c r="J29" s="181"/>
      <c r="O29" t="s">
        <v>56</v>
      </c>
      <c r="P29" s="4">
        <v>1582</v>
      </c>
      <c r="Q29" s="4"/>
      <c r="R29" s="5">
        <f t="shared" si="0"/>
        <v>1582</v>
      </c>
    </row>
    <row r="30" spans="1:18" x14ac:dyDescent="0.25">
      <c r="A30" s="170"/>
      <c r="B30" s="171"/>
      <c r="C30" s="172"/>
      <c r="D30" s="174"/>
      <c r="F30" s="177"/>
      <c r="G30" s="178"/>
      <c r="H30" s="182"/>
      <c r="I30" s="183"/>
      <c r="J30" s="184"/>
      <c r="N30" s="1"/>
      <c r="Q30" s="4"/>
      <c r="R30" s="5">
        <f t="shared" si="0"/>
        <v>0</v>
      </c>
    </row>
    <row r="31" spans="1:18" x14ac:dyDescent="0.25">
      <c r="A31" s="24"/>
      <c r="B31" s="24"/>
      <c r="C31" s="24"/>
      <c r="D31" s="24"/>
      <c r="F31" s="24"/>
      <c r="G31" s="24"/>
      <c r="O31" t="s">
        <v>57</v>
      </c>
      <c r="P31" s="4">
        <v>1052</v>
      </c>
      <c r="Q31" s="4">
        <v>120</v>
      </c>
      <c r="R31" s="5">
        <f t="shared" si="0"/>
        <v>1172</v>
      </c>
    </row>
    <row r="32" spans="1:18" x14ac:dyDescent="0.25">
      <c r="A32" s="114" t="s">
        <v>58</v>
      </c>
      <c r="B32" s="115"/>
      <c r="C32" s="115"/>
      <c r="D32" s="116"/>
      <c r="F32" s="204" t="s">
        <v>59</v>
      </c>
      <c r="G32" s="205"/>
      <c r="H32" s="205"/>
      <c r="I32" s="205"/>
      <c r="J32" s="206"/>
      <c r="O32" t="s">
        <v>60</v>
      </c>
      <c r="P32" s="4">
        <v>1005</v>
      </c>
      <c r="Q32" s="4">
        <v>120</v>
      </c>
      <c r="R32" s="5">
        <f t="shared" si="0"/>
        <v>1125</v>
      </c>
    </row>
    <row r="33" spans="1:18" x14ac:dyDescent="0.25">
      <c r="A33" s="25"/>
      <c r="B33" s="25" t="s">
        <v>11</v>
      </c>
      <c r="C33" s="25" t="s">
        <v>61</v>
      </c>
      <c r="D33" s="25" t="s">
        <v>13</v>
      </c>
      <c r="F33" s="25" t="s">
        <v>62</v>
      </c>
      <c r="G33" s="107" t="s">
        <v>63</v>
      </c>
      <c r="H33" s="204" t="s">
        <v>13</v>
      </c>
      <c r="I33" s="205"/>
      <c r="J33" s="206"/>
      <c r="O33" t="s">
        <v>64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27" t="s">
        <v>65</v>
      </c>
      <c r="B34" s="26" t="s">
        <v>66</v>
      </c>
      <c r="C34" s="51"/>
      <c r="D34" s="30">
        <f>C34*120</f>
        <v>0</v>
      </c>
      <c r="F34" s="12">
        <v>1000</v>
      </c>
      <c r="G34" s="40"/>
      <c r="H34" s="207">
        <f t="shared" ref="H34:H39" si="2">F34*G34</f>
        <v>0</v>
      </c>
      <c r="I34" s="208"/>
      <c r="J34" s="209"/>
      <c r="O34" t="s">
        <v>67</v>
      </c>
      <c r="P34" s="4">
        <v>832</v>
      </c>
      <c r="Q34" s="4">
        <v>120</v>
      </c>
      <c r="R34" s="5">
        <f t="shared" si="0"/>
        <v>952</v>
      </c>
    </row>
    <row r="35" spans="1:18" ht="15.75" x14ac:dyDescent="0.25">
      <c r="A35" s="128"/>
      <c r="B35" s="27" t="s">
        <v>68</v>
      </c>
      <c r="C35" s="52"/>
      <c r="D35" s="30">
        <f>C35*84</f>
        <v>0</v>
      </c>
      <c r="F35" s="58">
        <v>500</v>
      </c>
      <c r="G35" s="41"/>
      <c r="H35" s="207">
        <f t="shared" si="2"/>
        <v>0</v>
      </c>
      <c r="I35" s="208"/>
      <c r="J35" s="209"/>
      <c r="O35" t="s">
        <v>69</v>
      </c>
      <c r="P35" s="4">
        <v>1102</v>
      </c>
      <c r="Q35" s="4"/>
      <c r="R35" s="5">
        <f t="shared" si="0"/>
        <v>1102</v>
      </c>
    </row>
    <row r="36" spans="1:18" ht="15.75" x14ac:dyDescent="0.25">
      <c r="A36" s="129"/>
      <c r="B36" s="26" t="s">
        <v>70</v>
      </c>
      <c r="C36" s="10"/>
      <c r="D36" s="12">
        <f>C36*1.5</f>
        <v>0</v>
      </c>
      <c r="F36" s="12">
        <v>200</v>
      </c>
      <c r="G36" s="37"/>
      <c r="H36" s="207">
        <f t="shared" si="2"/>
        <v>0</v>
      </c>
      <c r="I36" s="208"/>
      <c r="J36" s="209"/>
      <c r="O36" t="s">
        <v>71</v>
      </c>
      <c r="P36" s="4">
        <v>852</v>
      </c>
      <c r="Q36" s="4">
        <v>120</v>
      </c>
      <c r="R36" s="5">
        <f t="shared" si="0"/>
        <v>972</v>
      </c>
    </row>
    <row r="37" spans="1:18" ht="15.75" x14ac:dyDescent="0.25">
      <c r="A37" s="127" t="s">
        <v>72</v>
      </c>
      <c r="B37" s="28" t="s">
        <v>66</v>
      </c>
      <c r="C37" s="53"/>
      <c r="D37" s="12">
        <f>C37*111</f>
        <v>0</v>
      </c>
      <c r="F37" s="12">
        <v>100</v>
      </c>
      <c r="G37" s="39"/>
      <c r="H37" s="207">
        <f t="shared" si="2"/>
        <v>0</v>
      </c>
      <c r="I37" s="208"/>
      <c r="J37" s="209"/>
      <c r="O37" t="s">
        <v>73</v>
      </c>
      <c r="P37" s="4">
        <v>1020</v>
      </c>
      <c r="Q37" s="4">
        <v>120</v>
      </c>
      <c r="R37" s="5">
        <f t="shared" si="0"/>
        <v>1140</v>
      </c>
    </row>
    <row r="38" spans="1:18" ht="15.75" x14ac:dyDescent="0.25">
      <c r="A38" s="128"/>
      <c r="B38" s="29" t="s">
        <v>68</v>
      </c>
      <c r="C38" s="54"/>
      <c r="D38" s="12">
        <f>C38*84</f>
        <v>0</v>
      </c>
      <c r="F38" s="30">
        <v>50</v>
      </c>
      <c r="G38" s="39"/>
      <c r="H38" s="207">
        <f t="shared" si="2"/>
        <v>0</v>
      </c>
      <c r="I38" s="208"/>
      <c r="J38" s="209"/>
      <c r="O38" t="s">
        <v>74</v>
      </c>
      <c r="P38" s="4">
        <v>596</v>
      </c>
      <c r="Q38" s="4">
        <v>111</v>
      </c>
      <c r="R38" s="5">
        <f t="shared" si="0"/>
        <v>707</v>
      </c>
    </row>
    <row r="39" spans="1:18" ht="15.75" x14ac:dyDescent="0.25">
      <c r="A39" s="129"/>
      <c r="B39" s="29" t="s">
        <v>70</v>
      </c>
      <c r="C39" s="52"/>
      <c r="D39" s="31">
        <f>C39*4.5</f>
        <v>0</v>
      </c>
      <c r="F39" s="12">
        <v>20</v>
      </c>
      <c r="G39" s="37"/>
      <c r="H39" s="207">
        <f t="shared" si="2"/>
        <v>0</v>
      </c>
      <c r="I39" s="208"/>
      <c r="J39" s="209"/>
      <c r="O39" t="s">
        <v>75</v>
      </c>
      <c r="P39" s="4">
        <v>1175</v>
      </c>
      <c r="Q39" s="4"/>
      <c r="R39" s="5">
        <f t="shared" si="0"/>
        <v>1175</v>
      </c>
    </row>
    <row r="40" spans="1:18" ht="15.75" x14ac:dyDescent="0.25">
      <c r="A40" s="127" t="s">
        <v>76</v>
      </c>
      <c r="B40" s="27" t="s">
        <v>66</v>
      </c>
      <c r="C40" s="63"/>
      <c r="D40" s="12">
        <f>C40*111</f>
        <v>0</v>
      </c>
      <c r="F40" s="12">
        <v>10</v>
      </c>
      <c r="G40" s="42"/>
      <c r="H40" s="207"/>
      <c r="I40" s="208"/>
      <c r="J40" s="209"/>
      <c r="O40" t="s">
        <v>77</v>
      </c>
      <c r="P40" s="4">
        <v>913</v>
      </c>
      <c r="Q40" s="4">
        <v>120</v>
      </c>
      <c r="R40" s="5">
        <f t="shared" si="0"/>
        <v>1033</v>
      </c>
    </row>
    <row r="41" spans="1:18" ht="15.75" x14ac:dyDescent="0.25">
      <c r="A41" s="128"/>
      <c r="B41" s="27" t="s">
        <v>68</v>
      </c>
      <c r="C41" s="10"/>
      <c r="D41" s="12">
        <f>C41*84</f>
        <v>0</v>
      </c>
      <c r="F41" s="12">
        <v>5</v>
      </c>
      <c r="G41" s="42"/>
      <c r="H41" s="207"/>
      <c r="I41" s="208"/>
      <c r="J41" s="209"/>
      <c r="K41" s="21"/>
      <c r="O41" t="s">
        <v>78</v>
      </c>
      <c r="P41" s="4">
        <v>614</v>
      </c>
      <c r="Q41" s="4">
        <v>111</v>
      </c>
      <c r="R41" s="5">
        <f t="shared" si="0"/>
        <v>725</v>
      </c>
    </row>
    <row r="42" spans="1:18" ht="15.75" x14ac:dyDescent="0.25">
      <c r="A42" s="129"/>
      <c r="B42" s="27" t="s">
        <v>70</v>
      </c>
      <c r="C42" s="11"/>
      <c r="D42" s="12">
        <f>C42*2.25</f>
        <v>0</v>
      </c>
      <c r="F42" s="39" t="s">
        <v>79</v>
      </c>
      <c r="G42" s="207"/>
      <c r="H42" s="208"/>
      <c r="I42" s="208"/>
      <c r="J42" s="209"/>
      <c r="K42" s="36"/>
      <c r="O42" t="s">
        <v>80</v>
      </c>
      <c r="P42" s="4">
        <v>626</v>
      </c>
      <c r="Q42" s="4">
        <v>111</v>
      </c>
      <c r="R42" s="5">
        <f t="shared" si="0"/>
        <v>737</v>
      </c>
    </row>
    <row r="43" spans="1:18" ht="15.75" x14ac:dyDescent="0.25">
      <c r="A43" s="210" t="s">
        <v>81</v>
      </c>
      <c r="C43" s="11"/>
      <c r="D43" s="12"/>
      <c r="F43" s="59" t="s">
        <v>82</v>
      </c>
      <c r="G43" s="109" t="s">
        <v>83</v>
      </c>
      <c r="H43" s="213" t="s">
        <v>13</v>
      </c>
      <c r="I43" s="214"/>
      <c r="J43" s="215"/>
      <c r="K43" s="21"/>
      <c r="O43" t="s">
        <v>103</v>
      </c>
      <c r="P43" s="4">
        <v>1667</v>
      </c>
      <c r="Q43" s="4"/>
      <c r="R43" s="5"/>
    </row>
    <row r="44" spans="1:18" ht="15.75" x14ac:dyDescent="0.25">
      <c r="A44" s="211"/>
      <c r="B44" s="27" t="s">
        <v>66</v>
      </c>
      <c r="C44" s="10"/>
      <c r="D44" s="12">
        <f>C44*120</f>
        <v>0</v>
      </c>
      <c r="F44" s="37"/>
      <c r="G44" s="62"/>
      <c r="H44" s="191"/>
      <c r="I44" s="191"/>
      <c r="J44" s="191"/>
      <c r="K44" s="21"/>
      <c r="O44" t="s">
        <v>106</v>
      </c>
      <c r="P44" s="4">
        <f>785-120</f>
        <v>665</v>
      </c>
      <c r="Q44" s="4">
        <v>120</v>
      </c>
      <c r="R44" s="5">
        <f>Q44+P44</f>
        <v>785</v>
      </c>
    </row>
    <row r="45" spans="1:18" ht="15.75" x14ac:dyDescent="0.25">
      <c r="A45" s="211"/>
      <c r="B45" s="27" t="s">
        <v>68</v>
      </c>
      <c r="C45" s="33"/>
      <c r="D45" s="12">
        <f>C45*84</f>
        <v>0</v>
      </c>
      <c r="F45" s="37"/>
      <c r="G45" s="62"/>
      <c r="H45" s="191"/>
      <c r="I45" s="191"/>
      <c r="J45" s="191"/>
      <c r="K45" s="21"/>
      <c r="P45" s="4"/>
      <c r="Q45" s="4"/>
      <c r="R45" s="5"/>
    </row>
    <row r="46" spans="1:18" ht="15.75" x14ac:dyDescent="0.25">
      <c r="A46" s="211"/>
      <c r="B46" s="49" t="s">
        <v>70</v>
      </c>
      <c r="C46" s="81"/>
      <c r="D46" s="12">
        <f>C46*1.5</f>
        <v>0</v>
      </c>
      <c r="F46" s="37"/>
      <c r="G46" s="62"/>
      <c r="H46" s="191"/>
      <c r="I46" s="191"/>
      <c r="J46" s="191"/>
      <c r="K46" s="21"/>
      <c r="P46" s="4"/>
      <c r="Q46" s="4"/>
      <c r="R46" s="5"/>
    </row>
    <row r="47" spans="1:18" ht="15.75" x14ac:dyDescent="0.25">
      <c r="A47" s="212"/>
      <c r="B47" s="27"/>
      <c r="C47" s="11"/>
      <c r="D47" s="12"/>
      <c r="F47" s="59"/>
      <c r="G47" s="59"/>
      <c r="H47" s="217"/>
      <c r="I47" s="218"/>
      <c r="J47" s="219"/>
      <c r="K47" s="21"/>
      <c r="P47" s="4"/>
      <c r="Q47" s="4"/>
      <c r="R47" s="5"/>
    </row>
    <row r="48" spans="1:18" ht="15" customHeight="1" x14ac:dyDescent="0.25">
      <c r="A48" s="210" t="s">
        <v>32</v>
      </c>
      <c r="B48" s="27" t="s">
        <v>66</v>
      </c>
      <c r="C48" s="10"/>
      <c r="D48" s="12">
        <f>C48*78</f>
        <v>0</v>
      </c>
      <c r="F48" s="59"/>
      <c r="G48" s="59"/>
      <c r="H48" s="217"/>
      <c r="I48" s="218"/>
      <c r="J48" s="219"/>
      <c r="K48" s="35"/>
      <c r="O48" t="s">
        <v>84</v>
      </c>
      <c r="P48" s="4">
        <v>1175</v>
      </c>
      <c r="Q48" s="4"/>
      <c r="R48" s="5">
        <f t="shared" si="0"/>
        <v>1175</v>
      </c>
    </row>
    <row r="49" spans="1:18" ht="15.75" x14ac:dyDescent="0.25">
      <c r="A49" s="211"/>
      <c r="B49" s="29" t="s">
        <v>68</v>
      </c>
      <c r="C49" s="33"/>
      <c r="D49" s="12">
        <f>C49*42</f>
        <v>0</v>
      </c>
      <c r="F49" s="232" t="s">
        <v>86</v>
      </c>
      <c r="G49" s="179">
        <f>H34+H35+H36+H37+H38+H39+H40+H41+G42+H44+H45+H46</f>
        <v>0</v>
      </c>
      <c r="H49" s="180"/>
      <c r="I49" s="180"/>
      <c r="J49" s="181"/>
      <c r="O49" t="s">
        <v>85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211"/>
      <c r="B50" s="32" t="s">
        <v>70</v>
      </c>
      <c r="C50" s="11"/>
      <c r="D50" s="12">
        <f>C50*1.5</f>
        <v>0</v>
      </c>
      <c r="F50" s="233"/>
      <c r="G50" s="182"/>
      <c r="H50" s="183"/>
      <c r="I50" s="183"/>
      <c r="J50" s="184"/>
      <c r="P50" s="4"/>
      <c r="Q50" s="4"/>
      <c r="R50" s="5"/>
    </row>
    <row r="51" spans="1:18" ht="15" customHeight="1" x14ac:dyDescent="0.25">
      <c r="A51" s="211"/>
      <c r="B51" s="27"/>
      <c r="C51" s="10"/>
      <c r="D51" s="31"/>
      <c r="F51" s="234" t="s">
        <v>131</v>
      </c>
      <c r="G51" s="247">
        <f>G49-H29</f>
        <v>0</v>
      </c>
      <c r="H51" s="248"/>
      <c r="I51" s="248"/>
      <c r="J51" s="249"/>
      <c r="K51" s="21"/>
      <c r="O51" t="s">
        <v>87</v>
      </c>
      <c r="P51" s="4">
        <v>703</v>
      </c>
      <c r="Q51" s="4">
        <v>120</v>
      </c>
      <c r="R51" s="5">
        <f t="shared" si="0"/>
        <v>823</v>
      </c>
    </row>
    <row r="52" spans="1:18" ht="15.75" x14ac:dyDescent="0.25">
      <c r="A52" s="211"/>
      <c r="B52" s="29"/>
      <c r="C52" s="33"/>
      <c r="D52" s="45"/>
      <c r="F52" s="235"/>
      <c r="G52" s="250"/>
      <c r="H52" s="251"/>
      <c r="I52" s="251"/>
      <c r="J52" s="252"/>
      <c r="K52" s="21"/>
      <c r="O52" t="s">
        <v>88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212"/>
      <c r="B53" s="32"/>
      <c r="C53" s="11"/>
      <c r="D53" s="12"/>
      <c r="F53" s="35"/>
      <c r="G53" s="24"/>
      <c r="H53" s="24"/>
      <c r="I53" s="24"/>
      <c r="J53" s="17"/>
      <c r="N53" s="1"/>
      <c r="O53" t="s">
        <v>89</v>
      </c>
      <c r="P53" s="4">
        <v>1142</v>
      </c>
    </row>
    <row r="54" spans="1:18" x14ac:dyDescent="0.25">
      <c r="A54" s="175" t="s">
        <v>90</v>
      </c>
      <c r="B54" s="220"/>
      <c r="C54" s="221"/>
      <c r="D54" s="224">
        <f>SUM(D34:D53)</f>
        <v>0</v>
      </c>
      <c r="F54" s="21"/>
      <c r="J54" s="34"/>
      <c r="O54" t="s">
        <v>102</v>
      </c>
      <c r="P54" s="4">
        <v>1582</v>
      </c>
      <c r="R54" s="3">
        <v>1582</v>
      </c>
    </row>
    <row r="55" spans="1:18" x14ac:dyDescent="0.25">
      <c r="A55" s="177"/>
      <c r="B55" s="222"/>
      <c r="C55" s="223"/>
      <c r="D55" s="225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133</v>
      </c>
      <c r="D57" s="34"/>
      <c r="F57" s="36"/>
      <c r="G57" s="50"/>
      <c r="H57" s="50"/>
      <c r="I57" s="50"/>
      <c r="J57" s="43"/>
    </row>
    <row r="58" spans="1:18" x14ac:dyDescent="0.25">
      <c r="A58" s="226" t="s">
        <v>91</v>
      </c>
      <c r="B58" s="227"/>
      <c r="C58" s="227"/>
      <c r="D58" s="228"/>
      <c r="F58" s="226" t="s">
        <v>92</v>
      </c>
      <c r="G58" s="227"/>
      <c r="H58" s="227"/>
      <c r="I58" s="227"/>
      <c r="J58" s="228"/>
    </row>
    <row r="59" spans="1:18" x14ac:dyDescent="0.25">
      <c r="A59" s="229"/>
      <c r="B59" s="230"/>
      <c r="C59" s="230"/>
      <c r="D59" s="231"/>
      <c r="F59" s="229"/>
      <c r="G59" s="230"/>
      <c r="H59" s="230"/>
      <c r="I59" s="230"/>
      <c r="J59" s="231"/>
    </row>
  </sheetData>
  <mergeCells count="68"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  <mergeCell ref="H13:J13"/>
    <mergeCell ref="F14:G14"/>
    <mergeCell ref="H14:J14"/>
    <mergeCell ref="F15:G15"/>
    <mergeCell ref="H15:J15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A32:D32"/>
    <mergeCell ref="F32:J32"/>
    <mergeCell ref="H33:J33"/>
    <mergeCell ref="A34:A36"/>
    <mergeCell ref="H34:J34"/>
    <mergeCell ref="H35:J35"/>
    <mergeCell ref="H36:J36"/>
    <mergeCell ref="A37:A39"/>
    <mergeCell ref="H37:J37"/>
    <mergeCell ref="H38:J38"/>
    <mergeCell ref="H39:J39"/>
    <mergeCell ref="A40:A42"/>
    <mergeCell ref="H40:J40"/>
    <mergeCell ref="H41:J41"/>
    <mergeCell ref="G42:J42"/>
    <mergeCell ref="A43:A47"/>
    <mergeCell ref="H43:J43"/>
    <mergeCell ref="H44:J44"/>
    <mergeCell ref="H45:J45"/>
    <mergeCell ref="H46:J46"/>
    <mergeCell ref="H47:J47"/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6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E96615A-D1DE-4B18-9DCB-09A0D201FA75}">
  <dimension ref="A1:R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113" t="s">
        <v>1</v>
      </c>
      <c r="O1" s="113"/>
      <c r="P1" s="105" t="s">
        <v>2</v>
      </c>
      <c r="Q1" s="105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14" t="s">
        <v>7</v>
      </c>
      <c r="B4" s="115"/>
      <c r="C4" s="115"/>
      <c r="D4" s="116"/>
      <c r="F4" s="117" t="s">
        <v>8</v>
      </c>
      <c r="G4" s="119">
        <v>2</v>
      </c>
      <c r="H4" s="121" t="s">
        <v>9</v>
      </c>
      <c r="I4" s="123">
        <v>45981</v>
      </c>
      <c r="J4" s="124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27" t="s">
        <v>7</v>
      </c>
      <c r="B5" s="15" t="s">
        <v>11</v>
      </c>
      <c r="C5" s="9" t="s">
        <v>12</v>
      </c>
      <c r="D5" s="25" t="s">
        <v>13</v>
      </c>
      <c r="F5" s="118"/>
      <c r="G5" s="120"/>
      <c r="H5" s="122"/>
      <c r="I5" s="125"/>
      <c r="J5" s="126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28"/>
      <c r="B6" s="16" t="s">
        <v>15</v>
      </c>
      <c r="C6" s="10"/>
      <c r="D6" s="13">
        <f t="shared" ref="D6:D28" si="1">C6*L6</f>
        <v>0</v>
      </c>
      <c r="F6" s="130" t="s">
        <v>16</v>
      </c>
      <c r="G6" s="132" t="s">
        <v>134</v>
      </c>
      <c r="H6" s="133"/>
      <c r="I6" s="133"/>
      <c r="J6" s="134"/>
      <c r="K6" s="8"/>
      <c r="L6" s="6">
        <f>R42</f>
        <v>737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28"/>
      <c r="B7" s="16" t="s">
        <v>18</v>
      </c>
      <c r="C7" s="10"/>
      <c r="D7" s="13">
        <f t="shared" si="1"/>
        <v>0</v>
      </c>
      <c r="F7" s="131"/>
      <c r="G7" s="135"/>
      <c r="H7" s="136"/>
      <c r="I7" s="136"/>
      <c r="J7" s="137"/>
      <c r="K7" s="8"/>
      <c r="L7" s="6">
        <f>R41</f>
        <v>725</v>
      </c>
      <c r="P7" s="4"/>
      <c r="Q7" s="4"/>
      <c r="R7" s="5"/>
    </row>
    <row r="8" spans="1:18" ht="14.45" customHeight="1" x14ac:dyDescent="0.25">
      <c r="A8" s="128"/>
      <c r="B8" s="16" t="s">
        <v>20</v>
      </c>
      <c r="C8" s="10"/>
      <c r="D8" s="13">
        <f t="shared" si="1"/>
        <v>0</v>
      </c>
      <c r="F8" s="138" t="s">
        <v>21</v>
      </c>
      <c r="G8" s="140" t="s">
        <v>114</v>
      </c>
      <c r="H8" s="141"/>
      <c r="I8" s="141"/>
      <c r="J8" s="142"/>
      <c r="K8" s="8"/>
      <c r="L8" s="6">
        <f>R40</f>
        <v>1033</v>
      </c>
      <c r="P8" s="4"/>
      <c r="Q8" s="4"/>
      <c r="R8" s="5"/>
    </row>
    <row r="9" spans="1:18" ht="14.45" customHeight="1" x14ac:dyDescent="0.25">
      <c r="A9" s="128"/>
      <c r="B9" s="16" t="s">
        <v>23</v>
      </c>
      <c r="C9" s="10"/>
      <c r="D9" s="13">
        <f t="shared" si="1"/>
        <v>0</v>
      </c>
      <c r="F9" s="131"/>
      <c r="G9" s="143"/>
      <c r="H9" s="144"/>
      <c r="I9" s="144"/>
      <c r="J9" s="145"/>
      <c r="K9" s="8"/>
      <c r="L9" s="6">
        <f>R38</f>
        <v>707</v>
      </c>
      <c r="P9" s="4"/>
      <c r="Q9" s="4"/>
      <c r="R9" s="5"/>
    </row>
    <row r="10" spans="1:18" ht="14.45" customHeight="1" x14ac:dyDescent="0.25">
      <c r="A10" s="128"/>
      <c r="B10" t="s">
        <v>25</v>
      </c>
      <c r="C10" s="10"/>
      <c r="D10" s="13">
        <f t="shared" si="1"/>
        <v>0</v>
      </c>
      <c r="F10" s="130" t="s">
        <v>26</v>
      </c>
      <c r="G10" s="146" t="s">
        <v>115</v>
      </c>
      <c r="H10" s="147"/>
      <c r="I10" s="147"/>
      <c r="J10" s="148"/>
      <c r="K10" s="8"/>
      <c r="L10" s="6">
        <f>R36</f>
        <v>972</v>
      </c>
      <c r="P10" s="4"/>
      <c r="Q10" s="4"/>
      <c r="R10" s="5"/>
    </row>
    <row r="11" spans="1:18" ht="15.75" x14ac:dyDescent="0.25">
      <c r="A11" s="128"/>
      <c r="B11" s="17" t="s">
        <v>28</v>
      </c>
      <c r="C11" s="10"/>
      <c r="D11" s="13">
        <f t="shared" si="1"/>
        <v>0</v>
      </c>
      <c r="F11" s="131"/>
      <c r="G11" s="143"/>
      <c r="H11" s="144"/>
      <c r="I11" s="144"/>
      <c r="J11" s="145"/>
      <c r="K11" s="22"/>
      <c r="L11" s="6">
        <f>R32</f>
        <v>1125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28"/>
      <c r="B12" s="17" t="s">
        <v>30</v>
      </c>
      <c r="C12" s="10"/>
      <c r="D12" s="48">
        <f t="shared" si="1"/>
        <v>0</v>
      </c>
      <c r="F12" s="149" t="s">
        <v>33</v>
      </c>
      <c r="G12" s="150"/>
      <c r="H12" s="150"/>
      <c r="I12" s="150"/>
      <c r="J12" s="151"/>
      <c r="K12" s="23"/>
      <c r="L12" s="6">
        <f>R34</f>
        <v>952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28"/>
      <c r="B13" s="17" t="s">
        <v>32</v>
      </c>
      <c r="C13" s="10"/>
      <c r="D13" s="48">
        <f t="shared" si="1"/>
        <v>0</v>
      </c>
      <c r="F13" s="152" t="s">
        <v>36</v>
      </c>
      <c r="G13" s="153"/>
      <c r="H13" s="154">
        <f>D29</f>
        <v>0</v>
      </c>
      <c r="I13" s="155"/>
      <c r="J13" s="156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28"/>
      <c r="B14" s="14" t="s">
        <v>35</v>
      </c>
      <c r="C14" s="10"/>
      <c r="D14" s="31">
        <f t="shared" si="1"/>
        <v>0</v>
      </c>
      <c r="F14" s="157" t="s">
        <v>39</v>
      </c>
      <c r="G14" s="158"/>
      <c r="H14" s="159">
        <f>D54</f>
        <v>0</v>
      </c>
      <c r="I14" s="160"/>
      <c r="J14" s="161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28"/>
      <c r="B15" s="14" t="s">
        <v>38</v>
      </c>
      <c r="C15" s="10"/>
      <c r="D15" s="31">
        <f t="shared" si="1"/>
        <v>0</v>
      </c>
      <c r="F15" s="162" t="s">
        <v>40</v>
      </c>
      <c r="G15" s="153"/>
      <c r="H15" s="163">
        <f>H13-H14</f>
        <v>0</v>
      </c>
      <c r="I15" s="164"/>
      <c r="J15" s="165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28"/>
      <c r="B16" s="18" t="s">
        <v>94</v>
      </c>
      <c r="C16" s="10"/>
      <c r="D16" s="48">
        <f t="shared" si="1"/>
        <v>0</v>
      </c>
      <c r="F16" s="67" t="s">
        <v>42</v>
      </c>
      <c r="G16" s="66" t="s">
        <v>43</v>
      </c>
      <c r="H16" s="166"/>
      <c r="I16" s="166"/>
      <c r="J16" s="166"/>
      <c r="L16" s="6">
        <f>R28</f>
        <v>1567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28"/>
      <c r="B17" t="s">
        <v>93</v>
      </c>
      <c r="C17" s="10"/>
      <c r="D17" s="48">
        <f t="shared" si="1"/>
        <v>0</v>
      </c>
      <c r="F17" s="56"/>
      <c r="G17" s="66" t="s">
        <v>45</v>
      </c>
      <c r="H17" s="139"/>
      <c r="I17" s="139"/>
      <c r="J17" s="139"/>
      <c r="L17" s="6">
        <f>R21</f>
        <v>1567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28"/>
      <c r="B18" s="19" t="s">
        <v>95</v>
      </c>
      <c r="C18" s="10"/>
      <c r="D18" s="48">
        <f t="shared" si="1"/>
        <v>0</v>
      </c>
      <c r="F18" s="56"/>
      <c r="G18" s="66" t="s">
        <v>47</v>
      </c>
      <c r="H18" s="139"/>
      <c r="I18" s="139"/>
      <c r="J18" s="139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28"/>
      <c r="B19" s="14" t="s">
        <v>96</v>
      </c>
      <c r="C19" s="10"/>
      <c r="D19" s="48">
        <f t="shared" si="1"/>
        <v>0</v>
      </c>
      <c r="F19" s="56"/>
      <c r="G19" s="68" t="s">
        <v>50</v>
      </c>
      <c r="H19" s="246"/>
      <c r="I19" s="246"/>
      <c r="J19" s="246"/>
      <c r="L19" s="6">
        <f>R35</f>
        <v>1102</v>
      </c>
      <c r="Q19" s="4"/>
      <c r="R19" s="5">
        <f t="shared" si="0"/>
        <v>0</v>
      </c>
    </row>
    <row r="20" spans="1:18" ht="15.75" x14ac:dyDescent="0.25">
      <c r="A20" s="128"/>
      <c r="B20" s="46" t="s">
        <v>122</v>
      </c>
      <c r="C20" s="10"/>
      <c r="D20" s="13">
        <f t="shared" si="1"/>
        <v>0</v>
      </c>
      <c r="F20" s="57"/>
      <c r="G20" s="70" t="s">
        <v>120</v>
      </c>
      <c r="H20" s="139"/>
      <c r="I20" s="139"/>
      <c r="J20" s="139"/>
      <c r="L20" s="6">
        <f>R39</f>
        <v>1175</v>
      </c>
      <c r="N20" s="1" t="s">
        <v>41</v>
      </c>
      <c r="Q20" s="4"/>
      <c r="R20" s="5">
        <f t="shared" si="0"/>
        <v>0</v>
      </c>
    </row>
    <row r="21" spans="1:18" ht="15.75" x14ac:dyDescent="0.25">
      <c r="A21" s="128"/>
      <c r="B21" s="14" t="s">
        <v>126</v>
      </c>
      <c r="C21" s="10"/>
      <c r="D21" s="48">
        <f t="shared" si="1"/>
        <v>0</v>
      </c>
      <c r="F21" s="69" t="s">
        <v>99</v>
      </c>
      <c r="G21" s="82" t="s">
        <v>98</v>
      </c>
      <c r="H21" s="186" t="s">
        <v>13</v>
      </c>
      <c r="I21" s="187"/>
      <c r="J21" s="188"/>
      <c r="L21" s="7">
        <v>650</v>
      </c>
      <c r="O21" t="s">
        <v>44</v>
      </c>
      <c r="P21" s="4">
        <v>1447</v>
      </c>
      <c r="Q21" s="4">
        <v>120</v>
      </c>
      <c r="R21" s="5">
        <f t="shared" si="0"/>
        <v>1567</v>
      </c>
    </row>
    <row r="22" spans="1:18" ht="15.75" x14ac:dyDescent="0.25">
      <c r="A22" s="128"/>
      <c r="B22" s="46" t="s">
        <v>104</v>
      </c>
      <c r="C22" s="10"/>
      <c r="D22" s="48">
        <f t="shared" si="1"/>
        <v>0</v>
      </c>
      <c r="F22" s="72"/>
      <c r="G22" s="73"/>
      <c r="H22" s="189"/>
      <c r="I22" s="189"/>
      <c r="J22" s="189"/>
      <c r="L22" s="7">
        <f>559+111</f>
        <v>670</v>
      </c>
      <c r="O22" t="s">
        <v>46</v>
      </c>
      <c r="P22" s="4">
        <v>1582</v>
      </c>
      <c r="Q22" s="4"/>
      <c r="R22" s="5">
        <f t="shared" si="0"/>
        <v>1582</v>
      </c>
    </row>
    <row r="23" spans="1:18" ht="15.75" x14ac:dyDescent="0.25">
      <c r="A23" s="128"/>
      <c r="B23" s="14" t="s">
        <v>107</v>
      </c>
      <c r="C23" s="10"/>
      <c r="D23" s="48">
        <f t="shared" si="1"/>
        <v>0</v>
      </c>
      <c r="F23" s="25"/>
      <c r="G23" s="37"/>
      <c r="H23" s="190"/>
      <c r="I23" s="191"/>
      <c r="J23" s="191"/>
      <c r="L23" s="47">
        <f>R33</f>
        <v>1175</v>
      </c>
      <c r="N23" s="1"/>
      <c r="O23" t="s">
        <v>48</v>
      </c>
      <c r="P23" s="4">
        <v>1728</v>
      </c>
      <c r="Q23" s="4"/>
      <c r="R23" s="5">
        <f t="shared" si="0"/>
        <v>1728</v>
      </c>
    </row>
    <row r="24" spans="1:18" ht="15.75" x14ac:dyDescent="0.25">
      <c r="A24" s="128"/>
      <c r="B24" s="14" t="s">
        <v>123</v>
      </c>
      <c r="C24" s="10"/>
      <c r="D24" s="48">
        <f t="shared" si="1"/>
        <v>0</v>
      </c>
      <c r="F24" s="38"/>
      <c r="G24" s="37"/>
      <c r="H24" s="190"/>
      <c r="I24" s="191"/>
      <c r="J24" s="191"/>
      <c r="L24" s="47">
        <f>596/6</f>
        <v>99.333333333333329</v>
      </c>
      <c r="N24" s="1"/>
      <c r="O24" t="s">
        <v>49</v>
      </c>
      <c r="P24" s="4">
        <v>1728</v>
      </c>
      <c r="Q24" s="4"/>
      <c r="R24" s="5">
        <f t="shared" si="0"/>
        <v>1728</v>
      </c>
    </row>
    <row r="25" spans="1:18" ht="15.75" x14ac:dyDescent="0.25">
      <c r="A25" s="128"/>
      <c r="B25" s="14" t="s">
        <v>124</v>
      </c>
      <c r="C25" s="10"/>
      <c r="D25" s="48">
        <f t="shared" si="1"/>
        <v>0</v>
      </c>
      <c r="F25" s="60" t="s">
        <v>100</v>
      </c>
      <c r="G25" s="55" t="s">
        <v>98</v>
      </c>
      <c r="H25" s="192" t="s">
        <v>13</v>
      </c>
      <c r="I25" s="193"/>
      <c r="J25" s="194"/>
      <c r="L25" s="47">
        <f>674/6</f>
        <v>112.33333333333333</v>
      </c>
      <c r="O25" t="s">
        <v>51</v>
      </c>
      <c r="P25" s="4">
        <v>1582</v>
      </c>
      <c r="Q25" s="4"/>
      <c r="R25" s="5">
        <f t="shared" si="0"/>
        <v>1582</v>
      </c>
    </row>
    <row r="26" spans="1:18" ht="15.75" x14ac:dyDescent="0.25">
      <c r="A26" s="128"/>
      <c r="B26" s="14" t="s">
        <v>105</v>
      </c>
      <c r="C26" s="10"/>
      <c r="D26" s="48">
        <f t="shared" si="1"/>
        <v>0</v>
      </c>
      <c r="F26" s="64"/>
      <c r="G26" s="10"/>
      <c r="H26" s="195"/>
      <c r="I26" s="196"/>
      <c r="J26" s="197"/>
      <c r="L26" s="7">
        <f>832/24+1.5</f>
        <v>36.166666666666664</v>
      </c>
      <c r="O26" t="s">
        <v>52</v>
      </c>
      <c r="P26" s="4">
        <v>1447</v>
      </c>
      <c r="Q26" s="4">
        <v>120</v>
      </c>
      <c r="R26" s="5">
        <f t="shared" si="0"/>
        <v>1567</v>
      </c>
    </row>
    <row r="27" spans="1:18" ht="14.45" customHeight="1" x14ac:dyDescent="0.25">
      <c r="A27" s="128"/>
      <c r="B27" s="14" t="s">
        <v>109</v>
      </c>
      <c r="C27" s="10"/>
      <c r="D27" s="44">
        <f t="shared" si="1"/>
        <v>0</v>
      </c>
      <c r="F27" s="14"/>
      <c r="G27" s="14"/>
      <c r="H27" s="198"/>
      <c r="I27" s="199"/>
      <c r="J27" s="200"/>
      <c r="L27" s="7">
        <v>1582</v>
      </c>
      <c r="O27" t="s">
        <v>53</v>
      </c>
      <c r="P27" s="4">
        <v>1582</v>
      </c>
      <c r="Q27" s="4"/>
      <c r="R27" s="5">
        <f t="shared" si="0"/>
        <v>1582</v>
      </c>
    </row>
    <row r="28" spans="1:18" ht="15.75" x14ac:dyDescent="0.25">
      <c r="A28" s="129"/>
      <c r="B28" s="46" t="s">
        <v>97</v>
      </c>
      <c r="C28" s="10"/>
      <c r="D28" s="48">
        <f t="shared" si="1"/>
        <v>0</v>
      </c>
      <c r="F28" s="106"/>
      <c r="G28" s="61"/>
      <c r="H28" s="201"/>
      <c r="I28" s="202"/>
      <c r="J28" s="203"/>
      <c r="L28" s="7">
        <v>785</v>
      </c>
      <c r="O28" t="s">
        <v>54</v>
      </c>
      <c r="P28" s="4">
        <v>1447</v>
      </c>
      <c r="Q28" s="4">
        <v>120</v>
      </c>
      <c r="R28" s="5">
        <f t="shared" si="0"/>
        <v>1567</v>
      </c>
    </row>
    <row r="29" spans="1:18" x14ac:dyDescent="0.25">
      <c r="A29" s="167" t="s">
        <v>36</v>
      </c>
      <c r="B29" s="168"/>
      <c r="C29" s="169"/>
      <c r="D29" s="173">
        <f>SUM(D6:D28)</f>
        <v>0</v>
      </c>
      <c r="F29" s="175" t="s">
        <v>55</v>
      </c>
      <c r="G29" s="176"/>
      <c r="H29" s="179">
        <f>H15-H16-H17-H18-H19-H20-H22-H23-H24+H26+H27</f>
        <v>0</v>
      </c>
      <c r="I29" s="180"/>
      <c r="J29" s="181"/>
      <c r="O29" t="s">
        <v>56</v>
      </c>
      <c r="P29" s="4">
        <v>1582</v>
      </c>
      <c r="Q29" s="4"/>
      <c r="R29" s="5">
        <f t="shared" si="0"/>
        <v>1582</v>
      </c>
    </row>
    <row r="30" spans="1:18" x14ac:dyDescent="0.25">
      <c r="A30" s="170"/>
      <c r="B30" s="171"/>
      <c r="C30" s="172"/>
      <c r="D30" s="174"/>
      <c r="F30" s="177"/>
      <c r="G30" s="178"/>
      <c r="H30" s="182"/>
      <c r="I30" s="183"/>
      <c r="J30" s="184"/>
      <c r="N30" s="1"/>
      <c r="Q30" s="4"/>
      <c r="R30" s="5">
        <f t="shared" si="0"/>
        <v>0</v>
      </c>
    </row>
    <row r="31" spans="1:18" x14ac:dyDescent="0.25">
      <c r="A31" s="24"/>
      <c r="B31" s="24"/>
      <c r="C31" s="24"/>
      <c r="D31" s="24"/>
      <c r="F31" s="24"/>
      <c r="G31" s="24"/>
      <c r="O31" t="s">
        <v>57</v>
      </c>
      <c r="P31" s="4">
        <v>1052</v>
      </c>
      <c r="Q31" s="4">
        <v>120</v>
      </c>
      <c r="R31" s="5">
        <f t="shared" si="0"/>
        <v>1172</v>
      </c>
    </row>
    <row r="32" spans="1:18" x14ac:dyDescent="0.25">
      <c r="A32" s="114" t="s">
        <v>58</v>
      </c>
      <c r="B32" s="115"/>
      <c r="C32" s="115"/>
      <c r="D32" s="116"/>
      <c r="F32" s="204" t="s">
        <v>59</v>
      </c>
      <c r="G32" s="205"/>
      <c r="H32" s="205"/>
      <c r="I32" s="205"/>
      <c r="J32" s="206"/>
      <c r="O32" t="s">
        <v>60</v>
      </c>
      <c r="P32" s="4">
        <v>1005</v>
      </c>
      <c r="Q32" s="4">
        <v>120</v>
      </c>
      <c r="R32" s="5">
        <f t="shared" si="0"/>
        <v>1125</v>
      </c>
    </row>
    <row r="33" spans="1:18" x14ac:dyDescent="0.25">
      <c r="A33" s="25"/>
      <c r="B33" s="25" t="s">
        <v>11</v>
      </c>
      <c r="C33" s="25" t="s">
        <v>61</v>
      </c>
      <c r="D33" s="25" t="s">
        <v>13</v>
      </c>
      <c r="F33" s="25" t="s">
        <v>62</v>
      </c>
      <c r="G33" s="107" t="s">
        <v>63</v>
      </c>
      <c r="H33" s="204" t="s">
        <v>13</v>
      </c>
      <c r="I33" s="205"/>
      <c r="J33" s="206"/>
      <c r="O33" t="s">
        <v>64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27" t="s">
        <v>65</v>
      </c>
      <c r="B34" s="26" t="s">
        <v>66</v>
      </c>
      <c r="C34" s="51"/>
      <c r="D34" s="30">
        <f>C34*120</f>
        <v>0</v>
      </c>
      <c r="F34" s="12">
        <v>1000</v>
      </c>
      <c r="G34" s="74"/>
      <c r="H34" s="207">
        <f>F34*G34</f>
        <v>0</v>
      </c>
      <c r="I34" s="208"/>
      <c r="J34" s="209"/>
      <c r="O34" t="s">
        <v>67</v>
      </c>
      <c r="P34" s="4">
        <v>832</v>
      </c>
      <c r="Q34" s="4">
        <v>120</v>
      </c>
      <c r="R34" s="5">
        <f t="shared" si="0"/>
        <v>952</v>
      </c>
    </row>
    <row r="35" spans="1:18" ht="15.75" x14ac:dyDescent="0.25">
      <c r="A35" s="128"/>
      <c r="B35" s="27" t="s">
        <v>68</v>
      </c>
      <c r="C35" s="52"/>
      <c r="D35" s="30">
        <f>C35*84</f>
        <v>0</v>
      </c>
      <c r="F35" s="58">
        <v>500</v>
      </c>
      <c r="G35" s="41"/>
      <c r="H35" s="207">
        <f t="shared" ref="H35:H39" si="2">F35*G35</f>
        <v>0</v>
      </c>
      <c r="I35" s="208"/>
      <c r="J35" s="209"/>
      <c r="O35" t="s">
        <v>69</v>
      </c>
      <c r="P35" s="4">
        <v>1102</v>
      </c>
      <c r="Q35" s="4"/>
      <c r="R35" s="5">
        <f t="shared" si="0"/>
        <v>1102</v>
      </c>
    </row>
    <row r="36" spans="1:18" ht="15.75" x14ac:dyDescent="0.25">
      <c r="A36" s="129"/>
      <c r="B36" s="26" t="s">
        <v>70</v>
      </c>
      <c r="C36" s="10"/>
      <c r="D36" s="12">
        <f>C36*1.5</f>
        <v>0</v>
      </c>
      <c r="F36" s="12">
        <v>200</v>
      </c>
      <c r="G36" s="37"/>
      <c r="H36" s="207">
        <f>F36*G36</f>
        <v>0</v>
      </c>
      <c r="I36" s="208"/>
      <c r="J36" s="209"/>
      <c r="O36" t="s">
        <v>71</v>
      </c>
      <c r="P36" s="4">
        <v>852</v>
      </c>
      <c r="Q36" s="4">
        <v>120</v>
      </c>
      <c r="R36" s="5">
        <f t="shared" si="0"/>
        <v>972</v>
      </c>
    </row>
    <row r="37" spans="1:18" ht="15.75" x14ac:dyDescent="0.25">
      <c r="A37" s="127" t="s">
        <v>72</v>
      </c>
      <c r="B37" s="28" t="s">
        <v>66</v>
      </c>
      <c r="C37" s="53"/>
      <c r="D37" s="12">
        <f>C37*111</f>
        <v>0</v>
      </c>
      <c r="F37" s="12">
        <v>100</v>
      </c>
      <c r="G37" s="39"/>
      <c r="H37" s="207">
        <f t="shared" si="2"/>
        <v>0</v>
      </c>
      <c r="I37" s="208"/>
      <c r="J37" s="209"/>
      <c r="O37" t="s">
        <v>73</v>
      </c>
      <c r="P37" s="4">
        <v>1020</v>
      </c>
      <c r="Q37" s="4">
        <v>120</v>
      </c>
      <c r="R37" s="5">
        <f t="shared" si="0"/>
        <v>1140</v>
      </c>
    </row>
    <row r="38" spans="1:18" ht="15.75" x14ac:dyDescent="0.25">
      <c r="A38" s="128"/>
      <c r="B38" s="29" t="s">
        <v>68</v>
      </c>
      <c r="C38" s="54"/>
      <c r="D38" s="12">
        <f>C38*84</f>
        <v>0</v>
      </c>
      <c r="F38" s="30">
        <v>50</v>
      </c>
      <c r="G38" s="39"/>
      <c r="H38" s="207">
        <f t="shared" si="2"/>
        <v>0</v>
      </c>
      <c r="I38" s="208"/>
      <c r="J38" s="209"/>
      <c r="O38" t="s">
        <v>74</v>
      </c>
      <c r="P38" s="4">
        <v>596</v>
      </c>
      <c r="Q38" s="4">
        <v>111</v>
      </c>
      <c r="R38" s="5">
        <f t="shared" si="0"/>
        <v>707</v>
      </c>
    </row>
    <row r="39" spans="1:18" ht="15.75" x14ac:dyDescent="0.25">
      <c r="A39" s="129"/>
      <c r="B39" s="29" t="s">
        <v>70</v>
      </c>
      <c r="C39" s="52"/>
      <c r="D39" s="31">
        <f>C39*4.5</f>
        <v>0</v>
      </c>
      <c r="F39" s="12">
        <v>20</v>
      </c>
      <c r="G39" s="37"/>
      <c r="H39" s="207">
        <f t="shared" si="2"/>
        <v>0</v>
      </c>
      <c r="I39" s="208"/>
      <c r="J39" s="209"/>
      <c r="O39" t="s">
        <v>75</v>
      </c>
      <c r="P39" s="4">
        <v>1175</v>
      </c>
      <c r="Q39" s="4"/>
      <c r="R39" s="5">
        <f t="shared" si="0"/>
        <v>1175</v>
      </c>
    </row>
    <row r="40" spans="1:18" ht="15.75" x14ac:dyDescent="0.25">
      <c r="A40" s="127" t="s">
        <v>76</v>
      </c>
      <c r="B40" s="27" t="s">
        <v>66</v>
      </c>
      <c r="C40" s="63"/>
      <c r="D40" s="12">
        <f>C40*111</f>
        <v>0</v>
      </c>
      <c r="F40" s="12">
        <v>10</v>
      </c>
      <c r="G40" s="42"/>
      <c r="H40" s="207"/>
      <c r="I40" s="208"/>
      <c r="J40" s="209"/>
      <c r="O40" t="s">
        <v>77</v>
      </c>
      <c r="P40" s="4">
        <v>913</v>
      </c>
      <c r="Q40" s="4">
        <v>120</v>
      </c>
      <c r="R40" s="5">
        <f t="shared" si="0"/>
        <v>1033</v>
      </c>
    </row>
    <row r="41" spans="1:18" ht="15.75" x14ac:dyDescent="0.25">
      <c r="A41" s="128"/>
      <c r="B41" s="27" t="s">
        <v>68</v>
      </c>
      <c r="C41" s="10"/>
      <c r="D41" s="12">
        <f>C41*84</f>
        <v>0</v>
      </c>
      <c r="F41" s="12">
        <v>5</v>
      </c>
      <c r="G41" s="42"/>
      <c r="H41" s="207"/>
      <c r="I41" s="208"/>
      <c r="J41" s="209"/>
      <c r="K41" s="21"/>
      <c r="O41" t="s">
        <v>78</v>
      </c>
      <c r="P41" s="4">
        <v>614</v>
      </c>
      <c r="Q41" s="4">
        <v>111</v>
      </c>
      <c r="R41" s="5">
        <f t="shared" si="0"/>
        <v>725</v>
      </c>
    </row>
    <row r="42" spans="1:18" ht="15.75" x14ac:dyDescent="0.25">
      <c r="A42" s="129"/>
      <c r="B42" s="27" t="s">
        <v>70</v>
      </c>
      <c r="C42" s="11"/>
      <c r="D42" s="12">
        <f>C42*2.25</f>
        <v>0</v>
      </c>
      <c r="F42" s="39" t="s">
        <v>79</v>
      </c>
      <c r="G42" s="207"/>
      <c r="H42" s="208"/>
      <c r="I42" s="208"/>
      <c r="J42" s="209"/>
      <c r="K42" s="36"/>
      <c r="O42" t="s">
        <v>80</v>
      </c>
      <c r="P42" s="4">
        <v>626</v>
      </c>
      <c r="Q42" s="4">
        <v>111</v>
      </c>
      <c r="R42" s="5">
        <f t="shared" si="0"/>
        <v>737</v>
      </c>
    </row>
    <row r="43" spans="1:18" ht="15.75" x14ac:dyDescent="0.25">
      <c r="A43" s="210" t="s">
        <v>81</v>
      </c>
      <c r="C43" s="11"/>
      <c r="D43" s="12"/>
      <c r="F43" s="59" t="s">
        <v>82</v>
      </c>
      <c r="G43" s="109" t="s">
        <v>83</v>
      </c>
      <c r="H43" s="213" t="s">
        <v>13</v>
      </c>
      <c r="I43" s="214"/>
      <c r="J43" s="215"/>
      <c r="K43" s="21"/>
      <c r="P43" s="4"/>
      <c r="Q43" s="4"/>
      <c r="R43" s="5"/>
    </row>
    <row r="44" spans="1:18" ht="15.75" x14ac:dyDescent="0.25">
      <c r="A44" s="211"/>
      <c r="B44" s="27" t="s">
        <v>66</v>
      </c>
      <c r="C44" s="10"/>
      <c r="D44" s="12">
        <f>C44*120</f>
        <v>0</v>
      </c>
      <c r="F44" s="37"/>
      <c r="G44" s="62"/>
      <c r="H44" s="191"/>
      <c r="I44" s="191"/>
      <c r="J44" s="191"/>
      <c r="K44" s="21"/>
      <c r="P44" s="4"/>
      <c r="Q44" s="4"/>
      <c r="R44" s="5"/>
    </row>
    <row r="45" spans="1:18" ht="15.75" x14ac:dyDescent="0.25">
      <c r="A45" s="211"/>
      <c r="B45" s="27" t="s">
        <v>68</v>
      </c>
      <c r="C45" s="33"/>
      <c r="D45" s="12">
        <f>C45*84</f>
        <v>0</v>
      </c>
      <c r="F45" s="37"/>
      <c r="G45" s="62"/>
      <c r="H45" s="191"/>
      <c r="I45" s="191"/>
      <c r="J45" s="191"/>
      <c r="K45" s="21"/>
      <c r="P45" s="4"/>
      <c r="Q45" s="4"/>
      <c r="R45" s="5"/>
    </row>
    <row r="46" spans="1:18" ht="15.75" x14ac:dyDescent="0.25">
      <c r="A46" s="211"/>
      <c r="B46" s="49" t="s">
        <v>70</v>
      </c>
      <c r="C46" s="81"/>
      <c r="D46" s="12">
        <f>C46*1.5</f>
        <v>0</v>
      </c>
      <c r="F46" s="37"/>
      <c r="G46" s="108"/>
      <c r="H46" s="216"/>
      <c r="I46" s="216"/>
      <c r="J46" s="216"/>
      <c r="K46" s="21"/>
      <c r="P46" s="4"/>
      <c r="Q46" s="4"/>
      <c r="R46" s="5"/>
    </row>
    <row r="47" spans="1:18" ht="15.75" x14ac:dyDescent="0.25">
      <c r="A47" s="212"/>
      <c r="B47" s="27"/>
      <c r="C47" s="11"/>
      <c r="D47" s="12"/>
      <c r="F47" s="59"/>
      <c r="G47" s="59"/>
      <c r="H47" s="217"/>
      <c r="I47" s="218"/>
      <c r="J47" s="219"/>
      <c r="K47" s="21"/>
      <c r="P47" s="4"/>
      <c r="Q47" s="4"/>
      <c r="R47" s="5"/>
    </row>
    <row r="48" spans="1:18" ht="15" customHeight="1" x14ac:dyDescent="0.25">
      <c r="A48" s="210" t="s">
        <v>32</v>
      </c>
      <c r="B48" s="27" t="s">
        <v>66</v>
      </c>
      <c r="C48" s="10"/>
      <c r="D48" s="12">
        <f>C48*78</f>
        <v>0</v>
      </c>
      <c r="F48" s="59"/>
      <c r="G48" s="59"/>
      <c r="H48" s="217"/>
      <c r="I48" s="218"/>
      <c r="J48" s="219"/>
      <c r="K48" s="35"/>
      <c r="O48" t="s">
        <v>84</v>
      </c>
      <c r="P48" s="4">
        <v>1175</v>
      </c>
      <c r="Q48" s="4"/>
      <c r="R48" s="5">
        <f t="shared" si="0"/>
        <v>1175</v>
      </c>
    </row>
    <row r="49" spans="1:18" ht="15.75" x14ac:dyDescent="0.25">
      <c r="A49" s="211"/>
      <c r="B49" s="29" t="s">
        <v>68</v>
      </c>
      <c r="C49" s="33"/>
      <c r="D49" s="12">
        <f>C49*42</f>
        <v>0</v>
      </c>
      <c r="F49" s="232" t="s">
        <v>86</v>
      </c>
      <c r="G49" s="179">
        <f>H34+H35+H36+H37+H38+H39+H40+H41+G42+H44+H45+H46</f>
        <v>0</v>
      </c>
      <c r="H49" s="180"/>
      <c r="I49" s="180"/>
      <c r="J49" s="181"/>
      <c r="O49" t="s">
        <v>85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211"/>
      <c r="B50" s="32" t="s">
        <v>70</v>
      </c>
      <c r="C50" s="11"/>
      <c r="D50" s="12">
        <f>C50*1.5</f>
        <v>0</v>
      </c>
      <c r="F50" s="233"/>
      <c r="G50" s="182"/>
      <c r="H50" s="183"/>
      <c r="I50" s="183"/>
      <c r="J50" s="184"/>
      <c r="P50" s="4"/>
      <c r="Q50" s="4"/>
      <c r="R50" s="5"/>
    </row>
    <row r="51" spans="1:18" ht="15" customHeight="1" x14ac:dyDescent="0.25">
      <c r="A51" s="211"/>
      <c r="B51" s="27"/>
      <c r="C51" s="10"/>
      <c r="D51" s="31"/>
      <c r="F51" s="234" t="s">
        <v>132</v>
      </c>
      <c r="G51" s="247">
        <f>G49-H29</f>
        <v>0</v>
      </c>
      <c r="H51" s="248"/>
      <c r="I51" s="248"/>
      <c r="J51" s="249"/>
      <c r="K51" s="21"/>
      <c r="O51" t="s">
        <v>87</v>
      </c>
      <c r="P51" s="4">
        <v>703</v>
      </c>
      <c r="Q51" s="4">
        <v>120</v>
      </c>
      <c r="R51" s="5">
        <f t="shared" si="0"/>
        <v>823</v>
      </c>
    </row>
    <row r="52" spans="1:18" ht="15.75" x14ac:dyDescent="0.25">
      <c r="A52" s="211"/>
      <c r="B52" s="29"/>
      <c r="C52" s="33"/>
      <c r="D52" s="45"/>
      <c r="F52" s="235"/>
      <c r="G52" s="250"/>
      <c r="H52" s="251"/>
      <c r="I52" s="251"/>
      <c r="J52" s="252"/>
      <c r="K52" s="21"/>
      <c r="O52" t="s">
        <v>88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212"/>
      <c r="B53" s="32"/>
      <c r="C53" s="11"/>
      <c r="D53" s="12"/>
      <c r="F53" s="35"/>
      <c r="G53" s="24"/>
      <c r="H53" s="24"/>
      <c r="I53" s="24"/>
      <c r="J53" s="17"/>
      <c r="N53" s="1"/>
      <c r="O53" t="s">
        <v>89</v>
      </c>
      <c r="P53" s="4">
        <v>1142</v>
      </c>
    </row>
    <row r="54" spans="1:18" x14ac:dyDescent="0.25">
      <c r="A54" s="175" t="s">
        <v>90</v>
      </c>
      <c r="B54" s="220"/>
      <c r="C54" s="221"/>
      <c r="D54" s="224">
        <f>SUM(D34:D53)</f>
        <v>0</v>
      </c>
      <c r="F54" s="21"/>
      <c r="J54" s="34"/>
    </row>
    <row r="55" spans="1:18" x14ac:dyDescent="0.25">
      <c r="A55" s="177"/>
      <c r="B55" s="222"/>
      <c r="C55" s="223"/>
      <c r="D55" s="225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135</v>
      </c>
      <c r="D57" s="34"/>
      <c r="F57" s="36"/>
      <c r="G57" s="50"/>
      <c r="H57" s="50"/>
      <c r="I57" s="50"/>
      <c r="J57" s="43"/>
    </row>
    <row r="58" spans="1:18" x14ac:dyDescent="0.25">
      <c r="A58" s="226" t="s">
        <v>91</v>
      </c>
      <c r="B58" s="227"/>
      <c r="C58" s="227"/>
      <c r="D58" s="228"/>
      <c r="F58" s="226" t="s">
        <v>92</v>
      </c>
      <c r="G58" s="227"/>
      <c r="H58" s="227"/>
      <c r="I58" s="227"/>
      <c r="J58" s="228"/>
    </row>
    <row r="59" spans="1:18" x14ac:dyDescent="0.25">
      <c r="A59" s="229"/>
      <c r="B59" s="230"/>
      <c r="C59" s="230"/>
      <c r="D59" s="231"/>
      <c r="F59" s="229"/>
      <c r="G59" s="230"/>
      <c r="H59" s="230"/>
      <c r="I59" s="230"/>
      <c r="J59" s="231"/>
    </row>
  </sheetData>
  <mergeCells count="68"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  <mergeCell ref="H13:J13"/>
    <mergeCell ref="F14:G14"/>
    <mergeCell ref="H14:J14"/>
    <mergeCell ref="F15:G15"/>
    <mergeCell ref="H15:J15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A32:D32"/>
    <mergeCell ref="F32:J32"/>
    <mergeCell ref="H33:J33"/>
    <mergeCell ref="A34:A36"/>
    <mergeCell ref="H34:J34"/>
    <mergeCell ref="H35:J35"/>
    <mergeCell ref="H36:J36"/>
    <mergeCell ref="A37:A39"/>
    <mergeCell ref="H37:J37"/>
    <mergeCell ref="H38:J38"/>
    <mergeCell ref="H39:J39"/>
    <mergeCell ref="A40:A42"/>
    <mergeCell ref="H40:J40"/>
    <mergeCell ref="H41:J41"/>
    <mergeCell ref="G42:J42"/>
    <mergeCell ref="A43:A47"/>
    <mergeCell ref="H43:J43"/>
    <mergeCell ref="H44:J44"/>
    <mergeCell ref="H45:J45"/>
    <mergeCell ref="H46:J46"/>
    <mergeCell ref="H47:J47"/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6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3903D04-3432-4A02-A3A2-69CD1CFBDC08}">
  <dimension ref="A1:R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113" t="s">
        <v>1</v>
      </c>
      <c r="O1" s="113"/>
      <c r="P1" s="105" t="s">
        <v>2</v>
      </c>
      <c r="Q1" s="105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14" t="s">
        <v>7</v>
      </c>
      <c r="B4" s="115"/>
      <c r="C4" s="115"/>
      <c r="D4" s="116"/>
      <c r="F4" s="117" t="s">
        <v>8</v>
      </c>
      <c r="G4" s="119">
        <v>3</v>
      </c>
      <c r="H4" s="121" t="s">
        <v>9</v>
      </c>
      <c r="I4" s="123">
        <v>45981</v>
      </c>
      <c r="J4" s="124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27" t="s">
        <v>7</v>
      </c>
      <c r="B5" s="15" t="s">
        <v>11</v>
      </c>
      <c r="C5" s="9" t="s">
        <v>12</v>
      </c>
      <c r="D5" s="25" t="s">
        <v>13</v>
      </c>
      <c r="F5" s="118"/>
      <c r="G5" s="120"/>
      <c r="H5" s="122"/>
      <c r="I5" s="125"/>
      <c r="J5" s="126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28"/>
      <c r="B6" s="16" t="s">
        <v>15</v>
      </c>
      <c r="C6" s="10"/>
      <c r="D6" s="13">
        <f t="shared" ref="D6:D28" si="1">C6*L6</f>
        <v>0</v>
      </c>
      <c r="F6" s="130" t="s">
        <v>16</v>
      </c>
      <c r="G6" s="132" t="s">
        <v>111</v>
      </c>
      <c r="H6" s="133"/>
      <c r="I6" s="133"/>
      <c r="J6" s="134"/>
      <c r="K6" s="8"/>
      <c r="L6" s="6">
        <f>R42</f>
        <v>737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28"/>
      <c r="B7" s="16" t="s">
        <v>18</v>
      </c>
      <c r="C7" s="10"/>
      <c r="D7" s="13">
        <f t="shared" si="1"/>
        <v>0</v>
      </c>
      <c r="F7" s="131"/>
      <c r="G7" s="135"/>
      <c r="H7" s="136"/>
      <c r="I7" s="136"/>
      <c r="J7" s="137"/>
      <c r="K7" s="8"/>
      <c r="L7" s="6">
        <f>R41</f>
        <v>725</v>
      </c>
      <c r="P7" s="4"/>
      <c r="Q7" s="4"/>
      <c r="R7" s="5"/>
    </row>
    <row r="8" spans="1:18" ht="14.45" customHeight="1" x14ac:dyDescent="0.25">
      <c r="A8" s="128"/>
      <c r="B8" s="16" t="s">
        <v>20</v>
      </c>
      <c r="C8" s="10"/>
      <c r="D8" s="13">
        <f t="shared" si="1"/>
        <v>0</v>
      </c>
      <c r="F8" s="138" t="s">
        <v>21</v>
      </c>
      <c r="G8" s="140" t="s">
        <v>119</v>
      </c>
      <c r="H8" s="141"/>
      <c r="I8" s="141"/>
      <c r="J8" s="142"/>
      <c r="K8" s="8"/>
      <c r="L8" s="6">
        <f>R40</f>
        <v>1033</v>
      </c>
      <c r="P8" s="4"/>
      <c r="Q8" s="4"/>
      <c r="R8" s="5"/>
    </row>
    <row r="9" spans="1:18" ht="14.45" customHeight="1" x14ac:dyDescent="0.25">
      <c r="A9" s="128"/>
      <c r="B9" s="16" t="s">
        <v>23</v>
      </c>
      <c r="C9" s="10"/>
      <c r="D9" s="13">
        <f t="shared" si="1"/>
        <v>0</v>
      </c>
      <c r="F9" s="131"/>
      <c r="G9" s="143"/>
      <c r="H9" s="144"/>
      <c r="I9" s="144"/>
      <c r="J9" s="145"/>
      <c r="K9" s="8"/>
      <c r="L9" s="6">
        <f>R38</f>
        <v>707</v>
      </c>
      <c r="P9" s="4"/>
      <c r="Q9" s="4"/>
      <c r="R9" s="5"/>
    </row>
    <row r="10" spans="1:18" ht="14.45" customHeight="1" x14ac:dyDescent="0.25">
      <c r="A10" s="128"/>
      <c r="B10" t="s">
        <v>25</v>
      </c>
      <c r="C10" s="10"/>
      <c r="D10" s="13">
        <f t="shared" si="1"/>
        <v>0</v>
      </c>
      <c r="F10" s="130" t="s">
        <v>26</v>
      </c>
      <c r="G10" s="146" t="s">
        <v>137</v>
      </c>
      <c r="H10" s="147"/>
      <c r="I10" s="147"/>
      <c r="J10" s="148"/>
      <c r="K10" s="8"/>
      <c r="L10" s="6">
        <f>R36</f>
        <v>972</v>
      </c>
      <c r="P10" s="4"/>
      <c r="Q10" s="4"/>
      <c r="R10" s="5"/>
    </row>
    <row r="11" spans="1:18" ht="15.75" x14ac:dyDescent="0.25">
      <c r="A11" s="128"/>
      <c r="B11" s="17" t="s">
        <v>28</v>
      </c>
      <c r="C11" s="10"/>
      <c r="D11" s="13">
        <f t="shared" si="1"/>
        <v>0</v>
      </c>
      <c r="F11" s="131"/>
      <c r="G11" s="143"/>
      <c r="H11" s="144"/>
      <c r="I11" s="144"/>
      <c r="J11" s="145"/>
      <c r="K11" s="22"/>
      <c r="L11" s="6">
        <f>R32</f>
        <v>1125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28"/>
      <c r="B12" s="17" t="s">
        <v>30</v>
      </c>
      <c r="C12" s="10"/>
      <c r="D12" s="48">
        <f t="shared" si="1"/>
        <v>0</v>
      </c>
      <c r="F12" s="149" t="s">
        <v>33</v>
      </c>
      <c r="G12" s="150"/>
      <c r="H12" s="150"/>
      <c r="I12" s="150"/>
      <c r="J12" s="151"/>
      <c r="K12" s="23"/>
      <c r="L12" s="6">
        <f>R34</f>
        <v>952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28"/>
      <c r="B13" s="17" t="s">
        <v>32</v>
      </c>
      <c r="C13" s="10"/>
      <c r="D13" s="48">
        <f t="shared" si="1"/>
        <v>0</v>
      </c>
      <c r="F13" s="152" t="s">
        <v>36</v>
      </c>
      <c r="G13" s="153"/>
      <c r="H13" s="154">
        <f>D29</f>
        <v>0</v>
      </c>
      <c r="I13" s="155"/>
      <c r="J13" s="156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28"/>
      <c r="B14" s="14" t="s">
        <v>35</v>
      </c>
      <c r="C14" s="10"/>
      <c r="D14" s="31">
        <f t="shared" si="1"/>
        <v>0</v>
      </c>
      <c r="F14" s="157" t="s">
        <v>39</v>
      </c>
      <c r="G14" s="158"/>
      <c r="H14" s="159">
        <f>D54</f>
        <v>0</v>
      </c>
      <c r="I14" s="160"/>
      <c r="J14" s="161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28"/>
      <c r="B15" s="14" t="s">
        <v>38</v>
      </c>
      <c r="C15" s="10"/>
      <c r="D15" s="31">
        <f t="shared" si="1"/>
        <v>0</v>
      </c>
      <c r="F15" s="162" t="s">
        <v>40</v>
      </c>
      <c r="G15" s="153"/>
      <c r="H15" s="163">
        <f>H13-H14</f>
        <v>0</v>
      </c>
      <c r="I15" s="164"/>
      <c r="J15" s="165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28"/>
      <c r="B16" s="18" t="s">
        <v>94</v>
      </c>
      <c r="C16" s="10"/>
      <c r="D16" s="48">
        <f t="shared" si="1"/>
        <v>0</v>
      </c>
      <c r="F16" s="67" t="s">
        <v>42</v>
      </c>
      <c r="G16" s="66" t="s">
        <v>43</v>
      </c>
      <c r="H16" s="166"/>
      <c r="I16" s="166"/>
      <c r="J16" s="166"/>
      <c r="L16" s="6">
        <f>R28</f>
        <v>1567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28"/>
      <c r="B17" t="s">
        <v>113</v>
      </c>
      <c r="C17" s="10"/>
      <c r="D17" s="48">
        <f t="shared" si="1"/>
        <v>0</v>
      </c>
      <c r="F17" s="56"/>
      <c r="G17" s="66" t="s">
        <v>45</v>
      </c>
      <c r="H17" s="139"/>
      <c r="I17" s="139"/>
      <c r="J17" s="139"/>
      <c r="L17" s="6">
        <v>1582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28"/>
      <c r="B18" s="19" t="s">
        <v>95</v>
      </c>
      <c r="C18" s="10"/>
      <c r="D18" s="48">
        <f t="shared" si="1"/>
        <v>0</v>
      </c>
      <c r="F18" s="56"/>
      <c r="G18" s="66" t="s">
        <v>47</v>
      </c>
      <c r="H18" s="139"/>
      <c r="I18" s="139"/>
      <c r="J18" s="139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28"/>
      <c r="B19" s="14" t="s">
        <v>117</v>
      </c>
      <c r="C19" s="10"/>
      <c r="D19" s="48">
        <f t="shared" si="1"/>
        <v>0</v>
      </c>
      <c r="F19" s="56"/>
      <c r="G19" s="68" t="s">
        <v>50</v>
      </c>
      <c r="H19" s="253"/>
      <c r="I19" s="253"/>
      <c r="J19" s="253"/>
      <c r="L19" s="6">
        <f>R35</f>
        <v>1102</v>
      </c>
      <c r="Q19" s="4"/>
      <c r="R19" s="5">
        <f t="shared" si="0"/>
        <v>0</v>
      </c>
    </row>
    <row r="20" spans="1:18" ht="15.75" x14ac:dyDescent="0.25">
      <c r="A20" s="128"/>
      <c r="B20" s="46" t="s">
        <v>108</v>
      </c>
      <c r="C20" s="10"/>
      <c r="D20" s="13">
        <f t="shared" si="1"/>
        <v>0</v>
      </c>
      <c r="F20" s="57"/>
      <c r="G20" s="70" t="s">
        <v>120</v>
      </c>
      <c r="H20" s="166"/>
      <c r="I20" s="166"/>
      <c r="J20" s="166"/>
      <c r="L20" s="6">
        <f>1102</f>
        <v>1102</v>
      </c>
      <c r="N20" s="1" t="s">
        <v>41</v>
      </c>
      <c r="Q20" s="4"/>
      <c r="R20" s="5">
        <f t="shared" si="0"/>
        <v>0</v>
      </c>
    </row>
    <row r="21" spans="1:18" ht="15.75" x14ac:dyDescent="0.25">
      <c r="A21" s="128"/>
      <c r="B21" s="14" t="s">
        <v>126</v>
      </c>
      <c r="C21" s="10"/>
      <c r="D21" s="48">
        <f t="shared" si="1"/>
        <v>0</v>
      </c>
      <c r="F21" s="69" t="s">
        <v>99</v>
      </c>
      <c r="G21" s="82" t="s">
        <v>98</v>
      </c>
      <c r="H21" s="186" t="s">
        <v>13</v>
      </c>
      <c r="I21" s="187"/>
      <c r="J21" s="188"/>
      <c r="L21" s="7">
        <v>650</v>
      </c>
      <c r="O21" t="s">
        <v>44</v>
      </c>
      <c r="P21" s="4">
        <v>1447</v>
      </c>
      <c r="Q21" s="4">
        <v>120</v>
      </c>
      <c r="R21" s="5">
        <f t="shared" si="0"/>
        <v>1567</v>
      </c>
    </row>
    <row r="22" spans="1:18" ht="15.75" x14ac:dyDescent="0.25">
      <c r="A22" s="128"/>
      <c r="B22" s="46" t="s">
        <v>104</v>
      </c>
      <c r="C22" s="10"/>
      <c r="D22" s="48">
        <f t="shared" si="1"/>
        <v>0</v>
      </c>
      <c r="F22" s="77"/>
      <c r="G22" s="73"/>
      <c r="H22" s="189"/>
      <c r="I22" s="189"/>
      <c r="J22" s="189"/>
      <c r="L22" s="7">
        <f>559+111</f>
        <v>670</v>
      </c>
      <c r="O22" t="s">
        <v>46</v>
      </c>
      <c r="P22" s="4">
        <v>1582</v>
      </c>
      <c r="Q22" s="4"/>
      <c r="R22" s="5">
        <f t="shared" si="0"/>
        <v>1582</v>
      </c>
    </row>
    <row r="23" spans="1:18" ht="15.75" x14ac:dyDescent="0.25">
      <c r="A23" s="128"/>
      <c r="B23" s="14" t="s">
        <v>107</v>
      </c>
      <c r="C23" s="10"/>
      <c r="D23" s="48">
        <f t="shared" si="1"/>
        <v>0</v>
      </c>
      <c r="F23" s="78"/>
      <c r="G23" s="79"/>
      <c r="H23" s="190"/>
      <c r="I23" s="191"/>
      <c r="J23" s="191"/>
      <c r="L23" s="47">
        <f>R33</f>
        <v>1175</v>
      </c>
      <c r="N23" s="1"/>
      <c r="O23" t="s">
        <v>48</v>
      </c>
      <c r="P23" s="4">
        <v>1728</v>
      </c>
      <c r="Q23" s="4"/>
      <c r="R23" s="5">
        <f t="shared" si="0"/>
        <v>1728</v>
      </c>
    </row>
    <row r="24" spans="1:18" ht="15.75" x14ac:dyDescent="0.25">
      <c r="A24" s="128"/>
      <c r="B24" s="14" t="s">
        <v>101</v>
      </c>
      <c r="C24" s="10"/>
      <c r="D24" s="48">
        <f t="shared" si="1"/>
        <v>0</v>
      </c>
      <c r="F24" s="38"/>
      <c r="G24" s="37"/>
      <c r="H24" s="190"/>
      <c r="I24" s="191"/>
      <c r="J24" s="191"/>
      <c r="L24" s="47">
        <v>1667</v>
      </c>
      <c r="N24" s="1"/>
      <c r="O24" t="s">
        <v>49</v>
      </c>
      <c r="P24" s="4">
        <v>1728</v>
      </c>
      <c r="Q24" s="4"/>
      <c r="R24" s="5">
        <f t="shared" si="0"/>
        <v>1728</v>
      </c>
    </row>
    <row r="25" spans="1:18" ht="15.75" x14ac:dyDescent="0.25">
      <c r="A25" s="128"/>
      <c r="B25" s="14" t="s">
        <v>116</v>
      </c>
      <c r="C25" s="10"/>
      <c r="D25" s="48">
        <f t="shared" si="1"/>
        <v>0</v>
      </c>
      <c r="F25" s="60" t="s">
        <v>100</v>
      </c>
      <c r="G25" s="55" t="s">
        <v>98</v>
      </c>
      <c r="H25" s="192" t="s">
        <v>13</v>
      </c>
      <c r="I25" s="193"/>
      <c r="J25" s="194"/>
      <c r="L25" s="47">
        <f>1582</f>
        <v>1582</v>
      </c>
      <c r="O25" t="s">
        <v>51</v>
      </c>
      <c r="P25" s="4">
        <v>1582</v>
      </c>
      <c r="Q25" s="4"/>
      <c r="R25" s="5">
        <f t="shared" si="0"/>
        <v>1582</v>
      </c>
    </row>
    <row r="26" spans="1:18" ht="15.75" x14ac:dyDescent="0.25">
      <c r="A26" s="128"/>
      <c r="B26" s="14" t="s">
        <v>105</v>
      </c>
      <c r="C26" s="10"/>
      <c r="D26" s="48">
        <f t="shared" si="1"/>
        <v>0</v>
      </c>
      <c r="F26" s="64"/>
      <c r="G26" s="59"/>
      <c r="H26" s="195"/>
      <c r="I26" s="196"/>
      <c r="J26" s="197"/>
      <c r="L26" s="7">
        <f>832/24+1.5</f>
        <v>36.166666666666664</v>
      </c>
      <c r="O26" t="s">
        <v>52</v>
      </c>
      <c r="P26" s="4">
        <v>1447</v>
      </c>
      <c r="Q26" s="4">
        <v>120</v>
      </c>
      <c r="R26" s="5">
        <f t="shared" si="0"/>
        <v>1567</v>
      </c>
    </row>
    <row r="27" spans="1:18" ht="14.45" customHeight="1" x14ac:dyDescent="0.25">
      <c r="A27" s="128"/>
      <c r="B27" s="14" t="s">
        <v>109</v>
      </c>
      <c r="C27" s="10"/>
      <c r="D27" s="44">
        <f t="shared" si="1"/>
        <v>0</v>
      </c>
      <c r="F27" s="25"/>
      <c r="G27" s="80"/>
      <c r="H27" s="198"/>
      <c r="I27" s="199"/>
      <c r="J27" s="200"/>
      <c r="L27" s="7">
        <v>1582</v>
      </c>
      <c r="O27" t="s">
        <v>53</v>
      </c>
      <c r="P27" s="4">
        <v>1582</v>
      </c>
      <c r="Q27" s="4"/>
      <c r="R27" s="5">
        <f t="shared" si="0"/>
        <v>1582</v>
      </c>
    </row>
    <row r="28" spans="1:18" ht="15.75" x14ac:dyDescent="0.25">
      <c r="A28" s="129"/>
      <c r="B28" s="46" t="s">
        <v>97</v>
      </c>
      <c r="C28" s="10"/>
      <c r="D28" s="48">
        <f t="shared" si="1"/>
        <v>0</v>
      </c>
      <c r="F28" s="106"/>
      <c r="G28" s="61"/>
      <c r="H28" s="201"/>
      <c r="I28" s="202"/>
      <c r="J28" s="203"/>
      <c r="L28" s="7">
        <v>785</v>
      </c>
      <c r="O28" t="s">
        <v>54</v>
      </c>
      <c r="P28" s="4">
        <v>1447</v>
      </c>
      <c r="Q28" s="4">
        <v>120</v>
      </c>
      <c r="R28" s="5">
        <f t="shared" si="0"/>
        <v>1567</v>
      </c>
    </row>
    <row r="29" spans="1:18" x14ac:dyDescent="0.25">
      <c r="A29" s="167" t="s">
        <v>36</v>
      </c>
      <c r="B29" s="168"/>
      <c r="C29" s="169"/>
      <c r="D29" s="173">
        <f>SUM(D6:D28)</f>
        <v>0</v>
      </c>
      <c r="F29" s="175" t="s">
        <v>55</v>
      </c>
      <c r="G29" s="176"/>
      <c r="H29" s="179">
        <f>H15-H16-H17-H18-H19-H20-H22-H23-H24+H26+H27</f>
        <v>0</v>
      </c>
      <c r="I29" s="180"/>
      <c r="J29" s="181"/>
      <c r="O29" t="s">
        <v>56</v>
      </c>
      <c r="P29" s="4">
        <v>1582</v>
      </c>
      <c r="Q29" s="4"/>
      <c r="R29" s="5">
        <f t="shared" si="0"/>
        <v>1582</v>
      </c>
    </row>
    <row r="30" spans="1:18" x14ac:dyDescent="0.25">
      <c r="A30" s="170"/>
      <c r="B30" s="171"/>
      <c r="C30" s="172"/>
      <c r="D30" s="174"/>
      <c r="F30" s="177"/>
      <c r="G30" s="178"/>
      <c r="H30" s="182"/>
      <c r="I30" s="183"/>
      <c r="J30" s="184"/>
      <c r="N30" s="1"/>
      <c r="Q30" s="4"/>
      <c r="R30" s="5">
        <f t="shared" si="0"/>
        <v>0</v>
      </c>
    </row>
    <row r="31" spans="1:18" x14ac:dyDescent="0.25">
      <c r="A31" s="24"/>
      <c r="B31" s="24"/>
      <c r="C31" s="24"/>
      <c r="D31" s="24"/>
      <c r="F31" s="24"/>
      <c r="G31" s="24"/>
      <c r="O31" t="s">
        <v>57</v>
      </c>
      <c r="P31" s="4">
        <v>1052</v>
      </c>
      <c r="Q31" s="4">
        <v>120</v>
      </c>
      <c r="R31" s="5">
        <f t="shared" si="0"/>
        <v>1172</v>
      </c>
    </row>
    <row r="32" spans="1:18" x14ac:dyDescent="0.25">
      <c r="A32" s="114" t="s">
        <v>58</v>
      </c>
      <c r="B32" s="115"/>
      <c r="C32" s="115"/>
      <c r="D32" s="116"/>
      <c r="F32" s="204" t="s">
        <v>59</v>
      </c>
      <c r="G32" s="205"/>
      <c r="H32" s="205"/>
      <c r="I32" s="205"/>
      <c r="J32" s="206"/>
      <c r="O32" t="s">
        <v>60</v>
      </c>
      <c r="P32" s="4">
        <v>1005</v>
      </c>
      <c r="Q32" s="4">
        <v>120</v>
      </c>
      <c r="R32" s="5">
        <f t="shared" si="0"/>
        <v>1125</v>
      </c>
    </row>
    <row r="33" spans="1:18" x14ac:dyDescent="0.25">
      <c r="A33" s="25"/>
      <c r="B33" s="25" t="s">
        <v>11</v>
      </c>
      <c r="C33" s="25" t="s">
        <v>61</v>
      </c>
      <c r="D33" s="25" t="s">
        <v>13</v>
      </c>
      <c r="F33" s="25" t="s">
        <v>62</v>
      </c>
      <c r="G33" s="107" t="s">
        <v>63</v>
      </c>
      <c r="H33" s="204" t="s">
        <v>13</v>
      </c>
      <c r="I33" s="205"/>
      <c r="J33" s="206"/>
      <c r="O33" t="s">
        <v>64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27" t="s">
        <v>65</v>
      </c>
      <c r="B34" s="26" t="s">
        <v>66</v>
      </c>
      <c r="C34" s="51"/>
      <c r="D34" s="30">
        <f>C34*120</f>
        <v>0</v>
      </c>
      <c r="F34" s="12">
        <v>1000</v>
      </c>
      <c r="G34" s="74"/>
      <c r="H34" s="207">
        <f>F34*G34</f>
        <v>0</v>
      </c>
      <c r="I34" s="208"/>
      <c r="J34" s="209"/>
      <c r="O34" t="s">
        <v>67</v>
      </c>
      <c r="P34" s="4">
        <v>832</v>
      </c>
      <c r="Q34" s="4">
        <v>120</v>
      </c>
      <c r="R34" s="5">
        <f t="shared" si="0"/>
        <v>952</v>
      </c>
    </row>
    <row r="35" spans="1:18" ht="15.75" x14ac:dyDescent="0.25">
      <c r="A35" s="128"/>
      <c r="B35" s="27" t="s">
        <v>68</v>
      </c>
      <c r="C35" s="52"/>
      <c r="D35" s="30">
        <f>C35*84</f>
        <v>0</v>
      </c>
      <c r="F35" s="58">
        <v>500</v>
      </c>
      <c r="G35" s="41"/>
      <c r="H35" s="207">
        <f>F35*G35</f>
        <v>0</v>
      </c>
      <c r="I35" s="208"/>
      <c r="J35" s="209"/>
      <c r="O35" t="s">
        <v>69</v>
      </c>
      <c r="P35" s="4">
        <v>1102</v>
      </c>
      <c r="Q35" s="4"/>
      <c r="R35" s="5">
        <f t="shared" si="0"/>
        <v>1102</v>
      </c>
    </row>
    <row r="36" spans="1:18" ht="15.75" x14ac:dyDescent="0.25">
      <c r="A36" s="129"/>
      <c r="B36" s="26" t="s">
        <v>70</v>
      </c>
      <c r="C36" s="10"/>
      <c r="D36" s="12">
        <f>C36*1.5</f>
        <v>0</v>
      </c>
      <c r="F36" s="12">
        <v>200</v>
      </c>
      <c r="G36" s="37"/>
      <c r="H36" s="207">
        <f t="shared" ref="H36:H39" si="2">F36*G36</f>
        <v>0</v>
      </c>
      <c r="I36" s="208"/>
      <c r="J36" s="209"/>
      <c r="O36" t="s">
        <v>71</v>
      </c>
      <c r="P36" s="4">
        <v>852</v>
      </c>
      <c r="Q36" s="4">
        <v>120</v>
      </c>
      <c r="R36" s="5">
        <f t="shared" si="0"/>
        <v>972</v>
      </c>
    </row>
    <row r="37" spans="1:18" ht="15.75" x14ac:dyDescent="0.25">
      <c r="A37" s="127" t="s">
        <v>72</v>
      </c>
      <c r="B37" s="28" t="s">
        <v>66</v>
      </c>
      <c r="C37" s="53"/>
      <c r="D37" s="12">
        <f>C37*111</f>
        <v>0</v>
      </c>
      <c r="F37" s="12">
        <v>100</v>
      </c>
      <c r="G37" s="39"/>
      <c r="H37" s="207">
        <f t="shared" si="2"/>
        <v>0</v>
      </c>
      <c r="I37" s="208"/>
      <c r="J37" s="209"/>
      <c r="O37" t="s">
        <v>73</v>
      </c>
      <c r="P37" s="4">
        <v>1020</v>
      </c>
      <c r="Q37" s="4">
        <v>120</v>
      </c>
      <c r="R37" s="5">
        <f t="shared" si="0"/>
        <v>1140</v>
      </c>
    </row>
    <row r="38" spans="1:18" ht="15.75" x14ac:dyDescent="0.25">
      <c r="A38" s="128"/>
      <c r="B38" s="29" t="s">
        <v>68</v>
      </c>
      <c r="C38" s="54"/>
      <c r="D38" s="12">
        <f>C38*84</f>
        <v>0</v>
      </c>
      <c r="F38" s="30">
        <v>50</v>
      </c>
      <c r="G38" s="39"/>
      <c r="H38" s="207">
        <f t="shared" si="2"/>
        <v>0</v>
      </c>
      <c r="I38" s="208"/>
      <c r="J38" s="209"/>
      <c r="O38" t="s">
        <v>74</v>
      </c>
      <c r="P38" s="4">
        <v>596</v>
      </c>
      <c r="Q38" s="4">
        <v>111</v>
      </c>
      <c r="R38" s="5">
        <f t="shared" si="0"/>
        <v>707</v>
      </c>
    </row>
    <row r="39" spans="1:18" ht="15.75" x14ac:dyDescent="0.25">
      <c r="A39" s="129"/>
      <c r="B39" s="29" t="s">
        <v>70</v>
      </c>
      <c r="C39" s="52"/>
      <c r="D39" s="31">
        <f>C39*4.5</f>
        <v>0</v>
      </c>
      <c r="F39" s="12">
        <v>20</v>
      </c>
      <c r="G39" s="37"/>
      <c r="H39" s="207">
        <f t="shared" si="2"/>
        <v>0</v>
      </c>
      <c r="I39" s="208"/>
      <c r="J39" s="209"/>
      <c r="O39" t="s">
        <v>75</v>
      </c>
      <c r="P39" s="4">
        <v>1175</v>
      </c>
      <c r="Q39" s="4"/>
      <c r="R39" s="5">
        <f t="shared" si="0"/>
        <v>1175</v>
      </c>
    </row>
    <row r="40" spans="1:18" ht="15.75" x14ac:dyDescent="0.25">
      <c r="A40" s="127" t="s">
        <v>76</v>
      </c>
      <c r="B40" s="27" t="s">
        <v>66</v>
      </c>
      <c r="C40" s="63"/>
      <c r="D40" s="12">
        <f>C40*111</f>
        <v>0</v>
      </c>
      <c r="F40" s="12">
        <v>10</v>
      </c>
      <c r="G40" s="42"/>
      <c r="H40" s="207"/>
      <c r="I40" s="208"/>
      <c r="J40" s="209"/>
      <c r="O40" t="s">
        <v>77</v>
      </c>
      <c r="P40" s="4">
        <v>913</v>
      </c>
      <c r="Q40" s="4">
        <v>120</v>
      </c>
      <c r="R40" s="5">
        <f t="shared" si="0"/>
        <v>1033</v>
      </c>
    </row>
    <row r="41" spans="1:18" ht="15.75" x14ac:dyDescent="0.25">
      <c r="A41" s="128"/>
      <c r="B41" s="27" t="s">
        <v>68</v>
      </c>
      <c r="C41" s="10"/>
      <c r="D41" s="12">
        <f>C41*84</f>
        <v>0</v>
      </c>
      <c r="F41" s="12">
        <v>5</v>
      </c>
      <c r="G41" s="42"/>
      <c r="H41" s="207"/>
      <c r="I41" s="208"/>
      <c r="J41" s="209"/>
      <c r="K41" s="21"/>
      <c r="O41" t="s">
        <v>78</v>
      </c>
      <c r="P41" s="4">
        <v>614</v>
      </c>
      <c r="Q41" s="4">
        <v>111</v>
      </c>
      <c r="R41" s="5">
        <f t="shared" si="0"/>
        <v>725</v>
      </c>
    </row>
    <row r="42" spans="1:18" ht="15.75" x14ac:dyDescent="0.25">
      <c r="A42" s="129"/>
      <c r="B42" s="27" t="s">
        <v>70</v>
      </c>
      <c r="C42" s="11"/>
      <c r="D42" s="12">
        <f>C42*2.25</f>
        <v>0</v>
      </c>
      <c r="F42" s="39" t="s">
        <v>79</v>
      </c>
      <c r="G42" s="207"/>
      <c r="H42" s="208"/>
      <c r="I42" s="208"/>
      <c r="J42" s="209"/>
      <c r="K42" s="36"/>
      <c r="O42" t="s">
        <v>80</v>
      </c>
      <c r="P42" s="4">
        <v>626</v>
      </c>
      <c r="Q42" s="4">
        <v>111</v>
      </c>
      <c r="R42" s="5">
        <f t="shared" si="0"/>
        <v>737</v>
      </c>
    </row>
    <row r="43" spans="1:18" ht="15.75" x14ac:dyDescent="0.25">
      <c r="A43" s="210" t="s">
        <v>81</v>
      </c>
      <c r="C43" s="11"/>
      <c r="D43" s="12"/>
      <c r="F43" s="59" t="s">
        <v>82</v>
      </c>
      <c r="G43" s="109" t="s">
        <v>83</v>
      </c>
      <c r="H43" s="213" t="s">
        <v>13</v>
      </c>
      <c r="I43" s="214"/>
      <c r="J43" s="215"/>
      <c r="K43" s="21"/>
      <c r="P43" s="4"/>
      <c r="Q43" s="4"/>
      <c r="R43" s="5"/>
    </row>
    <row r="44" spans="1:18" ht="15.75" x14ac:dyDescent="0.25">
      <c r="A44" s="211"/>
      <c r="B44" s="27" t="s">
        <v>66</v>
      </c>
      <c r="C44" s="10"/>
      <c r="D44" s="12">
        <f>C44*120</f>
        <v>0</v>
      </c>
      <c r="F44" s="37"/>
      <c r="G44" s="76"/>
      <c r="H44" s="191"/>
      <c r="I44" s="191"/>
      <c r="J44" s="191"/>
      <c r="K44" s="21"/>
      <c r="P44" s="4"/>
      <c r="Q44" s="4"/>
      <c r="R44" s="5"/>
    </row>
    <row r="45" spans="1:18" ht="15.75" x14ac:dyDescent="0.25">
      <c r="A45" s="211"/>
      <c r="B45" s="27" t="s">
        <v>68</v>
      </c>
      <c r="C45" s="33"/>
      <c r="D45" s="12">
        <f>C45*84</f>
        <v>0</v>
      </c>
      <c r="F45" s="37"/>
      <c r="G45" s="76"/>
      <c r="H45" s="191"/>
      <c r="I45" s="191"/>
      <c r="J45" s="191"/>
      <c r="K45" s="21"/>
      <c r="P45" s="4"/>
      <c r="Q45" s="4"/>
      <c r="R45" s="5"/>
    </row>
    <row r="46" spans="1:18" ht="15.75" x14ac:dyDescent="0.25">
      <c r="A46" s="211"/>
      <c r="B46" s="49" t="s">
        <v>70</v>
      </c>
      <c r="C46" s="81"/>
      <c r="D46" s="12">
        <f>C46*1.5</f>
        <v>0</v>
      </c>
      <c r="F46" s="37"/>
      <c r="G46" s="62"/>
      <c r="H46" s="216"/>
      <c r="I46" s="216"/>
      <c r="J46" s="216"/>
      <c r="K46" s="21"/>
      <c r="P46" s="4"/>
      <c r="Q46" s="4"/>
      <c r="R46" s="5"/>
    </row>
    <row r="47" spans="1:18" ht="15.75" x14ac:dyDescent="0.25">
      <c r="A47" s="212"/>
      <c r="B47" s="27"/>
      <c r="C47" s="11"/>
      <c r="D47" s="12"/>
      <c r="F47" s="59"/>
      <c r="G47" s="59"/>
      <c r="H47" s="217"/>
      <c r="I47" s="218"/>
      <c r="J47" s="219"/>
      <c r="K47" s="21"/>
      <c r="P47" s="4"/>
      <c r="Q47" s="4"/>
      <c r="R47" s="5"/>
    </row>
    <row r="48" spans="1:18" ht="15" customHeight="1" x14ac:dyDescent="0.25">
      <c r="A48" s="210" t="s">
        <v>32</v>
      </c>
      <c r="B48" s="27" t="s">
        <v>66</v>
      </c>
      <c r="C48" s="10"/>
      <c r="D48" s="12">
        <f>C48*78</f>
        <v>0</v>
      </c>
      <c r="F48" s="59"/>
      <c r="G48" s="59"/>
      <c r="H48" s="217"/>
      <c r="I48" s="218"/>
      <c r="J48" s="219"/>
      <c r="K48" s="35"/>
      <c r="O48" t="s">
        <v>84</v>
      </c>
      <c r="P48" s="4">
        <v>1175</v>
      </c>
      <c r="Q48" s="4"/>
      <c r="R48" s="5">
        <f t="shared" si="0"/>
        <v>1175</v>
      </c>
    </row>
    <row r="49" spans="1:18" ht="15.75" x14ac:dyDescent="0.25">
      <c r="A49" s="211"/>
      <c r="B49" s="29" t="s">
        <v>68</v>
      </c>
      <c r="C49" s="33"/>
      <c r="D49" s="12">
        <f>C49*42</f>
        <v>0</v>
      </c>
      <c r="F49" s="232" t="s">
        <v>86</v>
      </c>
      <c r="G49" s="179">
        <f>H34+H35+H36+H37+H38+H39+H40+H41+G42+H44+H45+H46</f>
        <v>0</v>
      </c>
      <c r="H49" s="180"/>
      <c r="I49" s="180"/>
      <c r="J49" s="181"/>
      <c r="O49" t="s">
        <v>85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211"/>
      <c r="B50" s="32" t="s">
        <v>70</v>
      </c>
      <c r="C50" s="11"/>
      <c r="D50" s="12">
        <f>C50*1.5</f>
        <v>0</v>
      </c>
      <c r="F50" s="233"/>
      <c r="G50" s="182"/>
      <c r="H50" s="183"/>
      <c r="I50" s="183"/>
      <c r="J50" s="184"/>
      <c r="P50" s="4"/>
      <c r="Q50" s="4"/>
      <c r="R50" s="5"/>
    </row>
    <row r="51" spans="1:18" ht="15" customHeight="1" x14ac:dyDescent="0.25">
      <c r="A51" s="211"/>
      <c r="B51" s="27"/>
      <c r="C51" s="10"/>
      <c r="D51" s="31"/>
      <c r="F51" s="234" t="s">
        <v>142</v>
      </c>
      <c r="G51" s="247">
        <f>G49-H29</f>
        <v>0</v>
      </c>
      <c r="H51" s="248"/>
      <c r="I51" s="248"/>
      <c r="J51" s="249"/>
      <c r="K51" s="21"/>
      <c r="O51" t="s">
        <v>87</v>
      </c>
      <c r="P51" s="4">
        <v>703</v>
      </c>
      <c r="Q51" s="4">
        <v>120</v>
      </c>
      <c r="R51" s="5">
        <f t="shared" si="0"/>
        <v>823</v>
      </c>
    </row>
    <row r="52" spans="1:18" ht="15.75" x14ac:dyDescent="0.25">
      <c r="A52" s="211"/>
      <c r="B52" s="29"/>
      <c r="C52" s="33"/>
      <c r="D52" s="45"/>
      <c r="F52" s="235"/>
      <c r="G52" s="250"/>
      <c r="H52" s="251"/>
      <c r="I52" s="251"/>
      <c r="J52" s="252"/>
      <c r="K52" s="21"/>
      <c r="O52" t="s">
        <v>88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212"/>
      <c r="B53" s="32"/>
      <c r="C53" s="11"/>
      <c r="D53" s="12"/>
      <c r="F53" s="35"/>
      <c r="G53" s="24"/>
      <c r="H53" s="24"/>
      <c r="I53" s="24"/>
      <c r="J53" s="17"/>
      <c r="N53" s="1"/>
      <c r="O53" t="s">
        <v>89</v>
      </c>
      <c r="P53" s="4">
        <v>1142</v>
      </c>
    </row>
    <row r="54" spans="1:18" x14ac:dyDescent="0.25">
      <c r="A54" s="175" t="s">
        <v>90</v>
      </c>
      <c r="B54" s="220"/>
      <c r="C54" s="221"/>
      <c r="D54" s="224">
        <f>SUM(D34:D53)</f>
        <v>0</v>
      </c>
      <c r="F54" s="21"/>
      <c r="J54" s="34"/>
    </row>
    <row r="55" spans="1:18" x14ac:dyDescent="0.25">
      <c r="A55" s="177"/>
      <c r="B55" s="222"/>
      <c r="C55" s="223"/>
      <c r="D55" s="225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118</v>
      </c>
      <c r="D57" s="34"/>
      <c r="F57" s="36"/>
      <c r="G57" s="50"/>
      <c r="H57" s="50"/>
      <c r="I57" s="50"/>
      <c r="J57" s="43"/>
    </row>
    <row r="58" spans="1:18" x14ac:dyDescent="0.25">
      <c r="A58" s="226" t="s">
        <v>91</v>
      </c>
      <c r="B58" s="227"/>
      <c r="C58" s="227"/>
      <c r="D58" s="228"/>
      <c r="F58" s="226" t="s">
        <v>92</v>
      </c>
      <c r="G58" s="227"/>
      <c r="H58" s="227"/>
      <c r="I58" s="227"/>
      <c r="J58" s="228"/>
    </row>
    <row r="59" spans="1:18" x14ac:dyDescent="0.25">
      <c r="A59" s="229"/>
      <c r="B59" s="230"/>
      <c r="C59" s="230"/>
      <c r="D59" s="231"/>
      <c r="F59" s="229"/>
      <c r="G59" s="230"/>
      <c r="H59" s="230"/>
      <c r="I59" s="230"/>
      <c r="J59" s="231"/>
    </row>
  </sheetData>
  <mergeCells count="68"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  <mergeCell ref="H13:J13"/>
    <mergeCell ref="F14:G14"/>
    <mergeCell ref="H14:J14"/>
    <mergeCell ref="F15:G15"/>
    <mergeCell ref="H15:J15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A32:D32"/>
    <mergeCell ref="F32:J32"/>
    <mergeCell ref="H33:J33"/>
    <mergeCell ref="A34:A36"/>
    <mergeCell ref="H34:J34"/>
    <mergeCell ref="H35:J35"/>
    <mergeCell ref="H36:J36"/>
    <mergeCell ref="A37:A39"/>
    <mergeCell ref="H37:J37"/>
    <mergeCell ref="H38:J38"/>
    <mergeCell ref="H39:J39"/>
    <mergeCell ref="A40:A42"/>
    <mergeCell ref="H40:J40"/>
    <mergeCell ref="H41:J41"/>
    <mergeCell ref="G42:J42"/>
    <mergeCell ref="A43:A47"/>
    <mergeCell ref="H43:J43"/>
    <mergeCell ref="H44:J44"/>
    <mergeCell ref="H45:J45"/>
    <mergeCell ref="H46:J46"/>
    <mergeCell ref="H47:J47"/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6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365C9CE-84DC-4780-B516-57D9770D0076}">
  <dimension ref="A1:S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9" x14ac:dyDescent="0.25">
      <c r="A1" t="s">
        <v>0</v>
      </c>
      <c r="N1" s="113" t="s">
        <v>1</v>
      </c>
      <c r="O1" s="113"/>
      <c r="P1" s="105" t="s">
        <v>2</v>
      </c>
      <c r="Q1" s="105" t="s">
        <v>3</v>
      </c>
      <c r="R1" s="2" t="s">
        <v>4</v>
      </c>
    </row>
    <row r="2" spans="1:19" x14ac:dyDescent="0.25">
      <c r="A2" t="s">
        <v>5</v>
      </c>
      <c r="N2" s="1"/>
    </row>
    <row r="3" spans="1:19" x14ac:dyDescent="0.25">
      <c r="N3" s="1" t="s">
        <v>6</v>
      </c>
      <c r="O3" s="4"/>
    </row>
    <row r="4" spans="1:19" x14ac:dyDescent="0.25">
      <c r="A4" s="114" t="s">
        <v>7</v>
      </c>
      <c r="B4" s="115"/>
      <c r="C4" s="115"/>
      <c r="D4" s="116"/>
      <c r="F4" s="117" t="s">
        <v>8</v>
      </c>
      <c r="G4" s="119"/>
      <c r="H4" s="121" t="s">
        <v>9</v>
      </c>
      <c r="I4" s="123"/>
      <c r="J4" s="124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9" x14ac:dyDescent="0.25">
      <c r="A5" s="127" t="s">
        <v>7</v>
      </c>
      <c r="B5" s="15" t="s">
        <v>11</v>
      </c>
      <c r="C5" s="9" t="s">
        <v>12</v>
      </c>
      <c r="D5" s="25" t="s">
        <v>13</v>
      </c>
      <c r="F5" s="118"/>
      <c r="G5" s="120"/>
      <c r="H5" s="122"/>
      <c r="I5" s="125"/>
      <c r="J5" s="126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9" ht="14.45" customHeight="1" x14ac:dyDescent="0.25">
      <c r="A6" s="128"/>
      <c r="B6" s="16"/>
      <c r="C6" s="10"/>
      <c r="D6" s="13">
        <f t="shared" ref="D6:D28" si="1">C6*L6</f>
        <v>0</v>
      </c>
      <c r="F6" s="130" t="s">
        <v>16</v>
      </c>
      <c r="G6" s="132"/>
      <c r="H6" s="133"/>
      <c r="I6" s="133"/>
      <c r="J6" s="134"/>
      <c r="K6" s="8"/>
      <c r="L6" s="6">
        <f>R42</f>
        <v>737</v>
      </c>
      <c r="O6" t="s">
        <v>17</v>
      </c>
      <c r="P6" s="4">
        <v>650</v>
      </c>
      <c r="Q6" s="4"/>
      <c r="R6" s="5">
        <f t="shared" si="0"/>
        <v>650</v>
      </c>
    </row>
    <row r="7" spans="1:19" ht="14.45" customHeight="1" x14ac:dyDescent="0.25">
      <c r="A7" s="128"/>
      <c r="B7" s="16"/>
      <c r="C7" s="10"/>
      <c r="D7" s="13">
        <f t="shared" si="1"/>
        <v>0</v>
      </c>
      <c r="F7" s="131"/>
      <c r="G7" s="135"/>
      <c r="H7" s="136"/>
      <c r="I7" s="136"/>
      <c r="J7" s="137"/>
      <c r="K7" s="8"/>
      <c r="L7" s="6">
        <f>R41</f>
        <v>725</v>
      </c>
      <c r="P7" s="4"/>
      <c r="Q7" s="4"/>
      <c r="R7" s="5"/>
    </row>
    <row r="8" spans="1:19" ht="14.45" customHeight="1" x14ac:dyDescent="0.25">
      <c r="A8" s="128"/>
      <c r="B8" s="16"/>
      <c r="C8" s="10"/>
      <c r="D8" s="13">
        <f t="shared" si="1"/>
        <v>0</v>
      </c>
      <c r="F8" s="138" t="s">
        <v>21</v>
      </c>
      <c r="G8" s="140"/>
      <c r="H8" s="141"/>
      <c r="I8" s="141"/>
      <c r="J8" s="142"/>
      <c r="K8" s="8"/>
      <c r="L8" s="6">
        <f>R40</f>
        <v>1033</v>
      </c>
      <c r="P8" s="4"/>
      <c r="Q8" s="4"/>
      <c r="R8" s="5"/>
    </row>
    <row r="9" spans="1:19" ht="14.45" customHeight="1" x14ac:dyDescent="0.25">
      <c r="A9" s="128"/>
      <c r="B9" s="16"/>
      <c r="C9" s="10"/>
      <c r="D9" s="13">
        <f t="shared" si="1"/>
        <v>0</v>
      </c>
      <c r="F9" s="131"/>
      <c r="G9" s="143"/>
      <c r="H9" s="144"/>
      <c r="I9" s="144"/>
      <c r="J9" s="145"/>
      <c r="K9" s="8"/>
      <c r="L9" s="6">
        <f>R38</f>
        <v>707</v>
      </c>
      <c r="P9" s="4"/>
      <c r="Q9" s="4"/>
      <c r="R9" s="5"/>
    </row>
    <row r="10" spans="1:19" ht="14.45" customHeight="1" x14ac:dyDescent="0.25">
      <c r="A10" s="128"/>
      <c r="C10" s="10"/>
      <c r="D10" s="13">
        <f t="shared" si="1"/>
        <v>0</v>
      </c>
      <c r="F10" s="130" t="s">
        <v>26</v>
      </c>
      <c r="G10" s="146"/>
      <c r="H10" s="147"/>
      <c r="I10" s="147"/>
      <c r="J10" s="148"/>
      <c r="K10" s="8"/>
      <c r="L10" s="6">
        <f>R36</f>
        <v>972</v>
      </c>
      <c r="P10" s="4"/>
      <c r="Q10" s="4"/>
      <c r="R10" s="5"/>
    </row>
    <row r="11" spans="1:19" ht="15.75" x14ac:dyDescent="0.25">
      <c r="A11" s="128"/>
      <c r="B11" s="17"/>
      <c r="C11" s="10"/>
      <c r="D11" s="13">
        <f t="shared" si="1"/>
        <v>0</v>
      </c>
      <c r="F11" s="131"/>
      <c r="G11" s="143"/>
      <c r="H11" s="144"/>
      <c r="I11" s="144"/>
      <c r="J11" s="145"/>
      <c r="K11" s="22"/>
      <c r="L11" s="6">
        <f>R32</f>
        <v>1125</v>
      </c>
      <c r="O11" t="s">
        <v>19</v>
      </c>
      <c r="P11" s="4">
        <v>650</v>
      </c>
      <c r="Q11" s="4"/>
      <c r="R11" s="5">
        <f t="shared" si="0"/>
        <v>650</v>
      </c>
    </row>
    <row r="12" spans="1:19" ht="15.75" x14ac:dyDescent="0.25">
      <c r="A12" s="128"/>
      <c r="B12" s="17"/>
      <c r="C12" s="10"/>
      <c r="D12" s="48">
        <f t="shared" si="1"/>
        <v>0</v>
      </c>
      <c r="F12" s="149" t="s">
        <v>33</v>
      </c>
      <c r="G12" s="150"/>
      <c r="H12" s="150"/>
      <c r="I12" s="150"/>
      <c r="J12" s="151"/>
      <c r="K12" s="23"/>
      <c r="L12" s="6">
        <f>R34</f>
        <v>952</v>
      </c>
      <c r="O12" t="s">
        <v>22</v>
      </c>
      <c r="P12" s="4">
        <v>650</v>
      </c>
      <c r="Q12" s="4"/>
      <c r="R12" s="5">
        <f t="shared" si="0"/>
        <v>650</v>
      </c>
    </row>
    <row r="13" spans="1:19" ht="15.75" x14ac:dyDescent="0.25">
      <c r="A13" s="128"/>
      <c r="B13" s="17"/>
      <c r="C13" s="10"/>
      <c r="D13" s="48">
        <f t="shared" si="1"/>
        <v>0</v>
      </c>
      <c r="F13" s="152" t="s">
        <v>36</v>
      </c>
      <c r="G13" s="153"/>
      <c r="H13" s="154">
        <f>D29</f>
        <v>0</v>
      </c>
      <c r="I13" s="155"/>
      <c r="J13" s="156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9" ht="15.75" x14ac:dyDescent="0.25">
      <c r="A14" s="128"/>
      <c r="B14" s="14"/>
      <c r="C14" s="10"/>
      <c r="D14" s="31">
        <f t="shared" si="1"/>
        <v>0</v>
      </c>
      <c r="F14" s="157" t="s">
        <v>39</v>
      </c>
      <c r="G14" s="158"/>
      <c r="H14" s="159">
        <f>D54</f>
        <v>0</v>
      </c>
      <c r="I14" s="160"/>
      <c r="J14" s="161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  <c r="S14">
        <f>205+78</f>
        <v>283</v>
      </c>
    </row>
    <row r="15" spans="1:19" ht="15.75" x14ac:dyDescent="0.25">
      <c r="A15" s="128"/>
      <c r="B15" s="14"/>
      <c r="C15" s="10"/>
      <c r="D15" s="31">
        <f t="shared" si="1"/>
        <v>0</v>
      </c>
      <c r="F15" s="162" t="s">
        <v>40</v>
      </c>
      <c r="G15" s="153"/>
      <c r="H15" s="163">
        <f>H13-H14</f>
        <v>0</v>
      </c>
      <c r="I15" s="164"/>
      <c r="J15" s="165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  <c r="S15">
        <f>229+78</f>
        <v>307</v>
      </c>
    </row>
    <row r="16" spans="1:19" ht="15.75" x14ac:dyDescent="0.25">
      <c r="A16" s="128"/>
      <c r="B16" s="18"/>
      <c r="C16" s="10"/>
      <c r="D16" s="48">
        <f t="shared" si="1"/>
        <v>0</v>
      </c>
      <c r="F16" s="67" t="s">
        <v>42</v>
      </c>
      <c r="G16" s="66" t="s">
        <v>43</v>
      </c>
      <c r="H16" s="166"/>
      <c r="I16" s="166"/>
      <c r="J16" s="166"/>
      <c r="L16" s="6">
        <f>R28</f>
        <v>1567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28"/>
      <c r="C17" s="10"/>
      <c r="D17" s="48">
        <f t="shared" si="1"/>
        <v>0</v>
      </c>
      <c r="F17" s="56"/>
      <c r="G17" s="66" t="s">
        <v>45</v>
      </c>
      <c r="H17" s="139"/>
      <c r="I17" s="139"/>
      <c r="J17" s="139"/>
      <c r="L17" s="6">
        <v>1582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28"/>
      <c r="B18" s="19"/>
      <c r="C18" s="10"/>
      <c r="D18" s="48">
        <f t="shared" si="1"/>
        <v>0</v>
      </c>
      <c r="F18" s="56"/>
      <c r="G18" s="66" t="s">
        <v>47</v>
      </c>
      <c r="H18" s="139"/>
      <c r="I18" s="139"/>
      <c r="J18" s="139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28"/>
      <c r="B19" s="14"/>
      <c r="C19" s="10"/>
      <c r="D19" s="48">
        <f t="shared" si="1"/>
        <v>0</v>
      </c>
      <c r="F19" s="56"/>
      <c r="G19" s="68" t="s">
        <v>50</v>
      </c>
      <c r="H19" s="185"/>
      <c r="I19" s="185"/>
      <c r="J19" s="185"/>
      <c r="L19" s="6">
        <f>R35</f>
        <v>1102</v>
      </c>
      <c r="Q19" s="4"/>
      <c r="R19" s="5">
        <f t="shared" si="0"/>
        <v>0</v>
      </c>
    </row>
    <row r="20" spans="1:18" ht="15.75" x14ac:dyDescent="0.25">
      <c r="A20" s="128"/>
      <c r="B20" s="46"/>
      <c r="C20" s="10"/>
      <c r="D20" s="13">
        <f t="shared" si="1"/>
        <v>0</v>
      </c>
      <c r="F20" s="57"/>
      <c r="G20" s="70" t="s">
        <v>120</v>
      </c>
      <c r="H20" s="166"/>
      <c r="I20" s="166"/>
      <c r="J20" s="166"/>
      <c r="L20" s="6">
        <f>1102</f>
        <v>1102</v>
      </c>
      <c r="N20" s="1" t="s">
        <v>41</v>
      </c>
      <c r="Q20" s="4"/>
      <c r="R20" s="5">
        <f t="shared" si="0"/>
        <v>0</v>
      </c>
    </row>
    <row r="21" spans="1:18" ht="15.75" x14ac:dyDescent="0.25">
      <c r="A21" s="128"/>
      <c r="B21" s="14"/>
      <c r="C21" s="10"/>
      <c r="D21" s="48">
        <f t="shared" si="1"/>
        <v>0</v>
      </c>
      <c r="F21" s="69" t="s">
        <v>99</v>
      </c>
      <c r="G21" s="82" t="s">
        <v>98</v>
      </c>
      <c r="H21" s="186" t="s">
        <v>13</v>
      </c>
      <c r="I21" s="187"/>
      <c r="J21" s="188"/>
      <c r="L21" s="7">
        <v>650</v>
      </c>
      <c r="O21" t="s">
        <v>44</v>
      </c>
      <c r="P21" s="4">
        <v>1447</v>
      </c>
      <c r="Q21" s="4">
        <v>120</v>
      </c>
      <c r="R21" s="5">
        <f t="shared" si="0"/>
        <v>1567</v>
      </c>
    </row>
    <row r="22" spans="1:18" ht="15.75" x14ac:dyDescent="0.25">
      <c r="A22" s="128"/>
      <c r="B22" s="46"/>
      <c r="C22" s="10"/>
      <c r="D22" s="48">
        <f t="shared" si="1"/>
        <v>0</v>
      </c>
      <c r="F22" s="77"/>
      <c r="G22" s="73"/>
      <c r="H22" s="189"/>
      <c r="I22" s="189"/>
      <c r="J22" s="189"/>
      <c r="L22" s="7">
        <f>559+111</f>
        <v>670</v>
      </c>
      <c r="O22" t="s">
        <v>46</v>
      </c>
      <c r="P22" s="4">
        <v>1582</v>
      </c>
      <c r="Q22" s="4"/>
      <c r="R22" s="5">
        <f t="shared" si="0"/>
        <v>1582</v>
      </c>
    </row>
    <row r="23" spans="1:18" ht="15.75" x14ac:dyDescent="0.25">
      <c r="A23" s="128"/>
      <c r="B23" s="14"/>
      <c r="C23" s="10"/>
      <c r="D23" s="48">
        <f t="shared" si="1"/>
        <v>0</v>
      </c>
      <c r="F23" s="78"/>
      <c r="G23" s="79"/>
      <c r="H23" s="190"/>
      <c r="I23" s="191"/>
      <c r="J23" s="191"/>
      <c r="L23" s="47">
        <f>R33</f>
        <v>1175</v>
      </c>
      <c r="N23" s="1"/>
      <c r="O23" t="s">
        <v>48</v>
      </c>
      <c r="P23" s="4">
        <v>1728</v>
      </c>
      <c r="Q23" s="4"/>
      <c r="R23" s="5">
        <f t="shared" si="0"/>
        <v>1728</v>
      </c>
    </row>
    <row r="24" spans="1:18" ht="15.75" x14ac:dyDescent="0.25">
      <c r="A24" s="128"/>
      <c r="B24" s="14"/>
      <c r="C24" s="10"/>
      <c r="D24" s="48">
        <f t="shared" si="1"/>
        <v>0</v>
      </c>
      <c r="F24" s="38"/>
      <c r="G24" s="37"/>
      <c r="H24" s="190"/>
      <c r="I24" s="191"/>
      <c r="J24" s="191"/>
      <c r="L24" s="47">
        <v>1667</v>
      </c>
      <c r="N24" s="1"/>
      <c r="O24" t="s">
        <v>49</v>
      </c>
      <c r="P24" s="4">
        <v>1728</v>
      </c>
      <c r="Q24" s="4"/>
      <c r="R24" s="5">
        <f t="shared" si="0"/>
        <v>1728</v>
      </c>
    </row>
    <row r="25" spans="1:18" ht="15.75" x14ac:dyDescent="0.25">
      <c r="A25" s="128"/>
      <c r="B25" s="14"/>
      <c r="C25" s="10"/>
      <c r="D25" s="48">
        <f t="shared" si="1"/>
        <v>0</v>
      </c>
      <c r="F25" s="60" t="s">
        <v>100</v>
      </c>
      <c r="G25" s="55" t="s">
        <v>98</v>
      </c>
      <c r="H25" s="192" t="s">
        <v>13</v>
      </c>
      <c r="I25" s="193"/>
      <c r="J25" s="194"/>
      <c r="L25" s="47">
        <f>1582</f>
        <v>1582</v>
      </c>
      <c r="O25" t="s">
        <v>51</v>
      </c>
      <c r="P25" s="4">
        <v>1582</v>
      </c>
      <c r="Q25" s="4"/>
      <c r="R25" s="5">
        <f t="shared" si="0"/>
        <v>1582</v>
      </c>
    </row>
    <row r="26" spans="1:18" ht="15.75" x14ac:dyDescent="0.25">
      <c r="A26" s="128"/>
      <c r="B26" s="14"/>
      <c r="C26" s="10"/>
      <c r="D26" s="48">
        <f t="shared" si="1"/>
        <v>0</v>
      </c>
      <c r="F26" s="64"/>
      <c r="G26" s="59"/>
      <c r="H26" s="195"/>
      <c r="I26" s="196"/>
      <c r="J26" s="197"/>
      <c r="L26" s="7">
        <f>832/24+1.5</f>
        <v>36.166666666666664</v>
      </c>
      <c r="O26" t="s">
        <v>52</v>
      </c>
      <c r="P26" s="4">
        <v>1447</v>
      </c>
      <c r="Q26" s="4">
        <v>120</v>
      </c>
      <c r="R26" s="5">
        <f t="shared" si="0"/>
        <v>1567</v>
      </c>
    </row>
    <row r="27" spans="1:18" ht="14.45" customHeight="1" x14ac:dyDescent="0.25">
      <c r="A27" s="128"/>
      <c r="B27" s="14"/>
      <c r="C27" s="10"/>
      <c r="D27" s="44">
        <f t="shared" si="1"/>
        <v>0</v>
      </c>
      <c r="F27" s="25"/>
      <c r="G27" s="80"/>
      <c r="H27" s="198"/>
      <c r="I27" s="199"/>
      <c r="J27" s="200"/>
      <c r="L27" s="7">
        <v>1582</v>
      </c>
      <c r="O27" t="s">
        <v>53</v>
      </c>
      <c r="P27" s="4">
        <v>1582</v>
      </c>
      <c r="Q27" s="4"/>
      <c r="R27" s="5">
        <f t="shared" si="0"/>
        <v>1582</v>
      </c>
    </row>
    <row r="28" spans="1:18" ht="15.75" x14ac:dyDescent="0.25">
      <c r="A28" s="129"/>
      <c r="B28" s="46"/>
      <c r="C28" s="10"/>
      <c r="D28" s="48">
        <f t="shared" si="1"/>
        <v>0</v>
      </c>
      <c r="F28" s="106"/>
      <c r="G28" s="61"/>
      <c r="H28" s="201"/>
      <c r="I28" s="202"/>
      <c r="J28" s="203"/>
      <c r="L28" s="7">
        <v>785</v>
      </c>
      <c r="O28" t="s">
        <v>54</v>
      </c>
      <c r="P28" s="4">
        <v>1447</v>
      </c>
      <c r="Q28" s="4">
        <v>120</v>
      </c>
      <c r="R28" s="5">
        <f t="shared" si="0"/>
        <v>1567</v>
      </c>
    </row>
    <row r="29" spans="1:18" x14ac:dyDescent="0.25">
      <c r="A29" s="167" t="s">
        <v>36</v>
      </c>
      <c r="B29" s="168"/>
      <c r="C29" s="169"/>
      <c r="D29" s="173">
        <f>SUM(D6:D28)</f>
        <v>0</v>
      </c>
      <c r="F29" s="175" t="s">
        <v>55</v>
      </c>
      <c r="G29" s="176"/>
      <c r="H29" s="179">
        <f>H15-H16-H17-H18-H19-H20-H22-H23-H24+H26+H27</f>
        <v>0</v>
      </c>
      <c r="I29" s="180"/>
      <c r="J29" s="181"/>
      <c r="O29" t="s">
        <v>56</v>
      </c>
      <c r="P29" s="4">
        <v>1582</v>
      </c>
      <c r="Q29" s="4"/>
      <c r="R29" s="5">
        <f t="shared" si="0"/>
        <v>1582</v>
      </c>
    </row>
    <row r="30" spans="1:18" x14ac:dyDescent="0.25">
      <c r="A30" s="170"/>
      <c r="B30" s="171"/>
      <c r="C30" s="172"/>
      <c r="D30" s="174"/>
      <c r="F30" s="177"/>
      <c r="G30" s="178"/>
      <c r="H30" s="182"/>
      <c r="I30" s="183"/>
      <c r="J30" s="184"/>
      <c r="N30" s="1"/>
      <c r="Q30" s="4"/>
      <c r="R30" s="5">
        <f t="shared" si="0"/>
        <v>0</v>
      </c>
    </row>
    <row r="31" spans="1:18" x14ac:dyDescent="0.25">
      <c r="A31" s="24"/>
      <c r="B31" s="24"/>
      <c r="C31" s="24"/>
      <c r="D31" s="24"/>
      <c r="F31" s="24"/>
      <c r="G31" s="24"/>
      <c r="O31" t="s">
        <v>57</v>
      </c>
      <c r="P31" s="4">
        <v>1052</v>
      </c>
      <c r="Q31" s="4">
        <v>120</v>
      </c>
      <c r="R31" s="5">
        <f t="shared" si="0"/>
        <v>1172</v>
      </c>
    </row>
    <row r="32" spans="1:18" x14ac:dyDescent="0.25">
      <c r="A32" s="114" t="s">
        <v>58</v>
      </c>
      <c r="B32" s="115"/>
      <c r="C32" s="115"/>
      <c r="D32" s="116"/>
      <c r="F32" s="204" t="s">
        <v>59</v>
      </c>
      <c r="G32" s="205"/>
      <c r="H32" s="205"/>
      <c r="I32" s="205"/>
      <c r="J32" s="206"/>
      <c r="O32" t="s">
        <v>60</v>
      </c>
      <c r="P32" s="4">
        <v>1005</v>
      </c>
      <c r="Q32" s="4">
        <v>120</v>
      </c>
      <c r="R32" s="5">
        <f t="shared" si="0"/>
        <v>1125</v>
      </c>
    </row>
    <row r="33" spans="1:18" x14ac:dyDescent="0.25">
      <c r="A33" s="25"/>
      <c r="B33" s="25" t="s">
        <v>11</v>
      </c>
      <c r="C33" s="25" t="s">
        <v>61</v>
      </c>
      <c r="D33" s="25" t="s">
        <v>13</v>
      </c>
      <c r="F33" s="25" t="s">
        <v>62</v>
      </c>
      <c r="G33" s="107" t="s">
        <v>63</v>
      </c>
      <c r="H33" s="204" t="s">
        <v>13</v>
      </c>
      <c r="I33" s="205"/>
      <c r="J33" s="206"/>
      <c r="O33" t="s">
        <v>64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27" t="s">
        <v>65</v>
      </c>
      <c r="B34" s="26" t="s">
        <v>66</v>
      </c>
      <c r="C34" s="51"/>
      <c r="D34" s="30">
        <f>C34*120</f>
        <v>0</v>
      </c>
      <c r="F34" s="12">
        <v>1000</v>
      </c>
      <c r="G34" s="74"/>
      <c r="H34" s="207"/>
      <c r="I34" s="208"/>
      <c r="J34" s="209"/>
      <c r="O34" t="s">
        <v>67</v>
      </c>
      <c r="P34" s="4">
        <v>832</v>
      </c>
      <c r="Q34" s="4">
        <v>120</v>
      </c>
      <c r="R34" s="5">
        <f t="shared" si="0"/>
        <v>952</v>
      </c>
    </row>
    <row r="35" spans="1:18" ht="15.75" x14ac:dyDescent="0.25">
      <c r="A35" s="128"/>
      <c r="B35" s="27" t="s">
        <v>68</v>
      </c>
      <c r="C35" s="52"/>
      <c r="D35" s="30">
        <f>C35*84</f>
        <v>0</v>
      </c>
      <c r="F35" s="58">
        <v>500</v>
      </c>
      <c r="G35" s="41"/>
      <c r="H35" s="207"/>
      <c r="I35" s="208"/>
      <c r="J35" s="209"/>
      <c r="O35" t="s">
        <v>69</v>
      </c>
      <c r="P35" s="4">
        <v>1102</v>
      </c>
      <c r="Q35" s="4"/>
      <c r="R35" s="5">
        <f t="shared" si="0"/>
        <v>1102</v>
      </c>
    </row>
    <row r="36" spans="1:18" ht="15.75" x14ac:dyDescent="0.25">
      <c r="A36" s="129"/>
      <c r="B36" s="26" t="s">
        <v>70</v>
      </c>
      <c r="C36" s="10"/>
      <c r="D36" s="12">
        <f>C36*1.5</f>
        <v>0</v>
      </c>
      <c r="F36" s="12">
        <v>200</v>
      </c>
      <c r="G36" s="37"/>
      <c r="H36" s="207"/>
      <c r="I36" s="208"/>
      <c r="J36" s="209"/>
      <c r="O36" t="s">
        <v>71</v>
      </c>
      <c r="P36" s="4">
        <v>852</v>
      </c>
      <c r="Q36" s="4">
        <v>120</v>
      </c>
      <c r="R36" s="5">
        <f t="shared" si="0"/>
        <v>972</v>
      </c>
    </row>
    <row r="37" spans="1:18" ht="15.75" x14ac:dyDescent="0.25">
      <c r="A37" s="127" t="s">
        <v>72</v>
      </c>
      <c r="B37" s="28" t="s">
        <v>66</v>
      </c>
      <c r="C37" s="53"/>
      <c r="D37" s="12">
        <f>C37*111</f>
        <v>0</v>
      </c>
      <c r="F37" s="12">
        <v>100</v>
      </c>
      <c r="G37" s="39"/>
      <c r="H37" s="207"/>
      <c r="I37" s="208"/>
      <c r="J37" s="209"/>
      <c r="O37" t="s">
        <v>73</v>
      </c>
      <c r="P37" s="4">
        <v>1020</v>
      </c>
      <c r="Q37" s="4">
        <v>120</v>
      </c>
      <c r="R37" s="5">
        <f t="shared" si="0"/>
        <v>1140</v>
      </c>
    </row>
    <row r="38" spans="1:18" ht="15.75" x14ac:dyDescent="0.25">
      <c r="A38" s="128"/>
      <c r="B38" s="29" t="s">
        <v>68</v>
      </c>
      <c r="C38" s="54"/>
      <c r="D38" s="12">
        <f>C38*84</f>
        <v>0</v>
      </c>
      <c r="F38" s="30">
        <v>50</v>
      </c>
      <c r="G38" s="39"/>
      <c r="H38" s="207"/>
      <c r="I38" s="208"/>
      <c r="J38" s="209"/>
      <c r="O38" t="s">
        <v>74</v>
      </c>
      <c r="P38" s="4">
        <v>596</v>
      </c>
      <c r="Q38" s="4">
        <v>111</v>
      </c>
      <c r="R38" s="5">
        <f t="shared" si="0"/>
        <v>707</v>
      </c>
    </row>
    <row r="39" spans="1:18" ht="15.75" x14ac:dyDescent="0.25">
      <c r="A39" s="129"/>
      <c r="B39" s="29" t="s">
        <v>70</v>
      </c>
      <c r="C39" s="52"/>
      <c r="D39" s="31">
        <f>C39*4.5</f>
        <v>0</v>
      </c>
      <c r="F39" s="12">
        <v>20</v>
      </c>
      <c r="G39" s="37"/>
      <c r="H39" s="207"/>
      <c r="I39" s="208"/>
      <c r="J39" s="209"/>
      <c r="O39" t="s">
        <v>75</v>
      </c>
      <c r="P39" s="4">
        <v>1175</v>
      </c>
      <c r="Q39" s="4"/>
      <c r="R39" s="5">
        <f t="shared" si="0"/>
        <v>1175</v>
      </c>
    </row>
    <row r="40" spans="1:18" ht="15.75" x14ac:dyDescent="0.25">
      <c r="A40" s="127" t="s">
        <v>76</v>
      </c>
      <c r="B40" s="27" t="s">
        <v>66</v>
      </c>
      <c r="C40" s="63"/>
      <c r="D40" s="12">
        <f>C40*111</f>
        <v>0</v>
      </c>
      <c r="F40" s="12">
        <v>10</v>
      </c>
      <c r="G40" s="42"/>
      <c r="H40" s="207"/>
      <c r="I40" s="208"/>
      <c r="J40" s="209"/>
      <c r="O40" t="s">
        <v>77</v>
      </c>
      <c r="P40" s="4">
        <v>913</v>
      </c>
      <c r="Q40" s="4">
        <v>120</v>
      </c>
      <c r="R40" s="5">
        <f t="shared" si="0"/>
        <v>1033</v>
      </c>
    </row>
    <row r="41" spans="1:18" ht="15.75" x14ac:dyDescent="0.25">
      <c r="A41" s="128"/>
      <c r="B41" s="27" t="s">
        <v>68</v>
      </c>
      <c r="C41" s="10"/>
      <c r="D41" s="12">
        <f>C41*84</f>
        <v>0</v>
      </c>
      <c r="F41" s="12">
        <v>5</v>
      </c>
      <c r="G41" s="42"/>
      <c r="H41" s="207"/>
      <c r="I41" s="208"/>
      <c r="J41" s="209"/>
      <c r="K41" s="21"/>
      <c r="O41" t="s">
        <v>78</v>
      </c>
      <c r="P41" s="4">
        <v>614</v>
      </c>
      <c r="Q41" s="4">
        <v>111</v>
      </c>
      <c r="R41" s="5">
        <f t="shared" si="0"/>
        <v>725</v>
      </c>
    </row>
    <row r="42" spans="1:18" ht="15.75" x14ac:dyDescent="0.25">
      <c r="A42" s="129"/>
      <c r="B42" s="27" t="s">
        <v>70</v>
      </c>
      <c r="C42" s="11"/>
      <c r="D42" s="12">
        <f>C42*2.25</f>
        <v>0</v>
      </c>
      <c r="F42" s="39" t="s">
        <v>79</v>
      </c>
      <c r="G42" s="207"/>
      <c r="H42" s="208"/>
      <c r="I42" s="208"/>
      <c r="J42" s="209"/>
      <c r="K42" s="36"/>
      <c r="O42" t="s">
        <v>80</v>
      </c>
      <c r="P42" s="4">
        <v>626</v>
      </c>
      <c r="Q42" s="4">
        <v>111</v>
      </c>
      <c r="R42" s="5">
        <f t="shared" si="0"/>
        <v>737</v>
      </c>
    </row>
    <row r="43" spans="1:18" ht="15.75" x14ac:dyDescent="0.25">
      <c r="A43" s="210" t="s">
        <v>81</v>
      </c>
      <c r="C43" s="11"/>
      <c r="D43" s="12"/>
      <c r="F43" s="59" t="s">
        <v>82</v>
      </c>
      <c r="G43" s="109" t="s">
        <v>83</v>
      </c>
      <c r="H43" s="213" t="s">
        <v>13</v>
      </c>
      <c r="I43" s="214"/>
      <c r="J43" s="215"/>
      <c r="K43" s="21"/>
      <c r="P43" s="4"/>
      <c r="Q43" s="4"/>
      <c r="R43" s="5"/>
    </row>
    <row r="44" spans="1:18" ht="15.75" x14ac:dyDescent="0.25">
      <c r="A44" s="211"/>
      <c r="B44" s="27" t="s">
        <v>66</v>
      </c>
      <c r="C44" s="10"/>
      <c r="D44" s="12">
        <f>C44*120</f>
        <v>0</v>
      </c>
      <c r="F44" s="37"/>
      <c r="G44" s="76"/>
      <c r="H44" s="191"/>
      <c r="I44" s="191"/>
      <c r="J44" s="191"/>
      <c r="K44" s="21"/>
      <c r="P44" s="4"/>
      <c r="Q44" s="4"/>
      <c r="R44" s="5"/>
    </row>
    <row r="45" spans="1:18" ht="15.75" x14ac:dyDescent="0.25">
      <c r="A45" s="211"/>
      <c r="B45" s="27" t="s">
        <v>68</v>
      </c>
      <c r="C45" s="33"/>
      <c r="D45" s="12">
        <f>C45*84</f>
        <v>0</v>
      </c>
      <c r="F45" s="37"/>
      <c r="G45" s="76"/>
      <c r="H45" s="191"/>
      <c r="I45" s="191"/>
      <c r="J45" s="191"/>
      <c r="K45" s="21"/>
      <c r="P45" s="4"/>
      <c r="Q45" s="4"/>
      <c r="R45" s="5"/>
    </row>
    <row r="46" spans="1:18" ht="15.75" x14ac:dyDescent="0.25">
      <c r="A46" s="211"/>
      <c r="B46" s="49" t="s">
        <v>70</v>
      </c>
      <c r="C46" s="81"/>
      <c r="D46" s="12">
        <f>C46*1.5</f>
        <v>0</v>
      </c>
      <c r="F46" s="37"/>
      <c r="G46" s="62"/>
      <c r="H46" s="216"/>
      <c r="I46" s="216"/>
      <c r="J46" s="216"/>
      <c r="K46" s="21"/>
      <c r="P46" s="4"/>
      <c r="Q46" s="4"/>
      <c r="R46" s="5"/>
    </row>
    <row r="47" spans="1:18" ht="15.75" x14ac:dyDescent="0.25">
      <c r="A47" s="212"/>
      <c r="B47" s="27"/>
      <c r="C47" s="11"/>
      <c r="D47" s="12"/>
      <c r="F47" s="59"/>
      <c r="G47" s="59"/>
      <c r="H47" s="217"/>
      <c r="I47" s="218"/>
      <c r="J47" s="219"/>
      <c r="K47" s="21"/>
      <c r="P47" s="4"/>
      <c r="Q47" s="4"/>
      <c r="R47" s="5"/>
    </row>
    <row r="48" spans="1:18" ht="15" customHeight="1" x14ac:dyDescent="0.25">
      <c r="A48" s="210" t="s">
        <v>32</v>
      </c>
      <c r="B48" s="27" t="s">
        <v>66</v>
      </c>
      <c r="C48" s="10"/>
      <c r="D48" s="12">
        <f>C48*78</f>
        <v>0</v>
      </c>
      <c r="F48" s="59"/>
      <c r="G48" s="59"/>
      <c r="H48" s="217"/>
      <c r="I48" s="218"/>
      <c r="J48" s="219"/>
      <c r="K48" s="35"/>
      <c r="O48" t="s">
        <v>84</v>
      </c>
      <c r="P48" s="4">
        <v>1175</v>
      </c>
      <c r="Q48" s="4"/>
      <c r="R48" s="5">
        <f t="shared" si="0"/>
        <v>1175</v>
      </c>
    </row>
    <row r="49" spans="1:18" ht="15.75" x14ac:dyDescent="0.25">
      <c r="A49" s="211"/>
      <c r="B49" s="29" t="s">
        <v>68</v>
      </c>
      <c r="C49" s="33"/>
      <c r="D49" s="12">
        <f>C49*42</f>
        <v>0</v>
      </c>
      <c r="F49" s="232" t="s">
        <v>86</v>
      </c>
      <c r="G49" s="179">
        <f>H34+H35+H36+H37+H38+H39+H40+H41+G42+H44+H45+H46</f>
        <v>0</v>
      </c>
      <c r="H49" s="180"/>
      <c r="I49" s="180"/>
      <c r="J49" s="181"/>
      <c r="O49" t="s">
        <v>85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211"/>
      <c r="B50" s="32" t="s">
        <v>70</v>
      </c>
      <c r="C50" s="11"/>
      <c r="D50" s="12">
        <f>C50*1.5</f>
        <v>0</v>
      </c>
      <c r="F50" s="233"/>
      <c r="G50" s="182"/>
      <c r="H50" s="183"/>
      <c r="I50" s="183"/>
      <c r="J50" s="184"/>
      <c r="P50" s="4"/>
      <c r="Q50" s="4"/>
      <c r="R50" s="5"/>
    </row>
    <row r="51" spans="1:18" ht="15" customHeight="1" x14ac:dyDescent="0.25">
      <c r="A51" s="211"/>
      <c r="B51" s="27"/>
      <c r="C51" s="10"/>
      <c r="D51" s="31"/>
      <c r="F51" s="234" t="s">
        <v>128</v>
      </c>
      <c r="G51" s="236">
        <f>G49-H29</f>
        <v>0</v>
      </c>
      <c r="H51" s="237"/>
      <c r="I51" s="237"/>
      <c r="J51" s="238"/>
      <c r="K51" s="21"/>
      <c r="O51" t="s">
        <v>87</v>
      </c>
      <c r="P51" s="4">
        <v>703</v>
      </c>
      <c r="Q51" s="4">
        <v>120</v>
      </c>
      <c r="R51" s="5">
        <f t="shared" si="0"/>
        <v>823</v>
      </c>
    </row>
    <row r="52" spans="1:18" ht="15.75" x14ac:dyDescent="0.25">
      <c r="A52" s="211"/>
      <c r="B52" s="29"/>
      <c r="C52" s="33"/>
      <c r="D52" s="45"/>
      <c r="F52" s="235"/>
      <c r="G52" s="239"/>
      <c r="H52" s="240"/>
      <c r="I52" s="240"/>
      <c r="J52" s="241"/>
      <c r="K52" s="21"/>
      <c r="O52" t="s">
        <v>88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212"/>
      <c r="B53" s="32"/>
      <c r="C53" s="11"/>
      <c r="D53" s="12"/>
      <c r="F53" s="35"/>
      <c r="G53" s="24"/>
      <c r="H53" s="24"/>
      <c r="I53" s="24"/>
      <c r="J53" s="17"/>
      <c r="N53" s="1"/>
      <c r="O53" t="s">
        <v>89</v>
      </c>
      <c r="P53" s="4">
        <v>1142</v>
      </c>
    </row>
    <row r="54" spans="1:18" x14ac:dyDescent="0.25">
      <c r="A54" s="175" t="s">
        <v>90</v>
      </c>
      <c r="B54" s="220"/>
      <c r="C54" s="221"/>
      <c r="D54" s="224">
        <f>SUM(D34:D53)</f>
        <v>0</v>
      </c>
      <c r="F54" s="21"/>
      <c r="J54" s="34"/>
    </row>
    <row r="55" spans="1:18" x14ac:dyDescent="0.25">
      <c r="A55" s="177"/>
      <c r="B55" s="222"/>
      <c r="C55" s="223"/>
      <c r="D55" s="225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D57" s="34"/>
      <c r="F57" s="36"/>
      <c r="G57" s="50"/>
      <c r="H57" s="50"/>
      <c r="I57" s="50"/>
      <c r="J57" s="43"/>
    </row>
    <row r="58" spans="1:18" x14ac:dyDescent="0.25">
      <c r="A58" s="226" t="s">
        <v>91</v>
      </c>
      <c r="B58" s="227"/>
      <c r="C58" s="227"/>
      <c r="D58" s="228"/>
      <c r="F58" s="226" t="s">
        <v>92</v>
      </c>
      <c r="G58" s="227"/>
      <c r="H58" s="227"/>
      <c r="I58" s="227"/>
      <c r="J58" s="228"/>
    </row>
    <row r="59" spans="1:18" x14ac:dyDescent="0.25">
      <c r="A59" s="229"/>
      <c r="B59" s="230"/>
      <c r="C59" s="230"/>
      <c r="D59" s="231"/>
      <c r="F59" s="229"/>
      <c r="G59" s="230"/>
      <c r="H59" s="230"/>
      <c r="I59" s="230"/>
      <c r="J59" s="231"/>
    </row>
  </sheetData>
  <mergeCells count="68"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  <mergeCell ref="H13:J13"/>
    <mergeCell ref="F14:G14"/>
    <mergeCell ref="H14:J14"/>
    <mergeCell ref="F15:G15"/>
    <mergeCell ref="H15:J15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A32:D32"/>
    <mergeCell ref="F32:J32"/>
    <mergeCell ref="H33:J33"/>
    <mergeCell ref="A34:A36"/>
    <mergeCell ref="H34:J34"/>
    <mergeCell ref="H35:J35"/>
    <mergeCell ref="H36:J36"/>
    <mergeCell ref="A37:A39"/>
    <mergeCell ref="H37:J37"/>
    <mergeCell ref="H38:J38"/>
    <mergeCell ref="H39:J39"/>
    <mergeCell ref="A40:A42"/>
    <mergeCell ref="H40:J40"/>
    <mergeCell ref="H41:J41"/>
    <mergeCell ref="G42:J42"/>
    <mergeCell ref="A43:A47"/>
    <mergeCell ref="H43:J43"/>
    <mergeCell ref="H44:J44"/>
    <mergeCell ref="H45:J45"/>
    <mergeCell ref="H46:J46"/>
    <mergeCell ref="H47:J47"/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6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DD3F597-9B8B-41E2-935D-DFC1E01DAE86}">
  <dimension ref="A1:R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bestFit="1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113" t="s">
        <v>1</v>
      </c>
      <c r="O1" s="113"/>
      <c r="P1" s="105" t="s">
        <v>2</v>
      </c>
      <c r="Q1" s="105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14" t="s">
        <v>7</v>
      </c>
      <c r="B4" s="115"/>
      <c r="C4" s="115"/>
      <c r="D4" s="116"/>
      <c r="F4" s="117" t="s">
        <v>8</v>
      </c>
      <c r="G4" s="119">
        <v>1</v>
      </c>
      <c r="H4" s="121" t="s">
        <v>9</v>
      </c>
      <c r="I4" s="123">
        <v>45982</v>
      </c>
      <c r="J4" s="124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27" t="s">
        <v>7</v>
      </c>
      <c r="B5" s="15" t="s">
        <v>11</v>
      </c>
      <c r="C5" s="9" t="s">
        <v>12</v>
      </c>
      <c r="D5" s="25" t="s">
        <v>13</v>
      </c>
      <c r="F5" s="118"/>
      <c r="G5" s="120"/>
      <c r="H5" s="122"/>
      <c r="I5" s="125"/>
      <c r="J5" s="126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28"/>
      <c r="B6" s="16" t="s">
        <v>15</v>
      </c>
      <c r="C6" s="89"/>
      <c r="D6" s="13">
        <f t="shared" ref="D6:D28" si="1">C6*L6</f>
        <v>0</v>
      </c>
      <c r="F6" s="130" t="s">
        <v>16</v>
      </c>
      <c r="G6" s="132" t="s">
        <v>129</v>
      </c>
      <c r="H6" s="133"/>
      <c r="I6" s="133"/>
      <c r="J6" s="134"/>
      <c r="K6" s="8"/>
      <c r="L6" s="6">
        <f>R42</f>
        <v>737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28"/>
      <c r="B7" s="16" t="s">
        <v>18</v>
      </c>
      <c r="C7" s="89"/>
      <c r="D7" s="13">
        <f t="shared" si="1"/>
        <v>0</v>
      </c>
      <c r="F7" s="131"/>
      <c r="G7" s="135"/>
      <c r="H7" s="136"/>
      <c r="I7" s="136"/>
      <c r="J7" s="137"/>
      <c r="K7" s="8"/>
      <c r="L7" s="6">
        <f>R41</f>
        <v>725</v>
      </c>
      <c r="P7" s="4"/>
      <c r="Q7" s="4"/>
      <c r="R7" s="5"/>
    </row>
    <row r="8" spans="1:18" ht="14.45" customHeight="1" x14ac:dyDescent="0.25">
      <c r="A8" s="128"/>
      <c r="B8" s="16" t="s">
        <v>20</v>
      </c>
      <c r="C8" s="89"/>
      <c r="D8" s="13">
        <f t="shared" si="1"/>
        <v>0</v>
      </c>
      <c r="F8" s="138" t="s">
        <v>21</v>
      </c>
      <c r="G8" s="140" t="s">
        <v>112</v>
      </c>
      <c r="H8" s="141"/>
      <c r="I8" s="141"/>
      <c r="J8" s="142"/>
      <c r="K8" s="8"/>
      <c r="L8" s="6">
        <f>R40</f>
        <v>1033</v>
      </c>
      <c r="P8" s="4"/>
      <c r="Q8" s="4"/>
      <c r="R8" s="5"/>
    </row>
    <row r="9" spans="1:18" ht="14.45" customHeight="1" x14ac:dyDescent="0.25">
      <c r="A9" s="128"/>
      <c r="B9" s="16" t="s">
        <v>23</v>
      </c>
      <c r="C9" s="89"/>
      <c r="D9" s="13">
        <f t="shared" si="1"/>
        <v>0</v>
      </c>
      <c r="F9" s="131"/>
      <c r="G9" s="143"/>
      <c r="H9" s="144"/>
      <c r="I9" s="144"/>
      <c r="J9" s="145"/>
      <c r="K9" s="8"/>
      <c r="L9" s="6">
        <f>R38</f>
        <v>707</v>
      </c>
      <c r="P9" s="4"/>
      <c r="Q9" s="4"/>
      <c r="R9" s="5"/>
    </row>
    <row r="10" spans="1:18" ht="14.45" customHeight="1" x14ac:dyDescent="0.25">
      <c r="A10" s="128"/>
      <c r="B10" t="s">
        <v>25</v>
      </c>
      <c r="C10" s="89"/>
      <c r="D10" s="13">
        <f t="shared" si="1"/>
        <v>0</v>
      </c>
      <c r="F10" s="130" t="s">
        <v>26</v>
      </c>
      <c r="G10" s="146" t="s">
        <v>130</v>
      </c>
      <c r="H10" s="147"/>
      <c r="I10" s="147"/>
      <c r="J10" s="148"/>
      <c r="K10" s="8"/>
      <c r="L10" s="6">
        <f>R36</f>
        <v>972</v>
      </c>
      <c r="P10" s="4"/>
      <c r="Q10" s="4"/>
      <c r="R10" s="5"/>
    </row>
    <row r="11" spans="1:18" ht="15.75" x14ac:dyDescent="0.25">
      <c r="A11" s="128"/>
      <c r="B11" s="17" t="s">
        <v>28</v>
      </c>
      <c r="C11" s="89"/>
      <c r="D11" s="13">
        <f t="shared" si="1"/>
        <v>0</v>
      </c>
      <c r="F11" s="131"/>
      <c r="G11" s="143"/>
      <c r="H11" s="144"/>
      <c r="I11" s="144"/>
      <c r="J11" s="145"/>
      <c r="K11" s="22"/>
      <c r="L11" s="6">
        <f>R32</f>
        <v>1125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28"/>
      <c r="B12" s="17" t="s">
        <v>30</v>
      </c>
      <c r="C12" s="89"/>
      <c r="D12" s="48">
        <f t="shared" si="1"/>
        <v>0</v>
      </c>
      <c r="F12" s="149" t="s">
        <v>33</v>
      </c>
      <c r="G12" s="150"/>
      <c r="H12" s="150"/>
      <c r="I12" s="150"/>
      <c r="J12" s="151"/>
      <c r="K12" s="23"/>
      <c r="L12" s="6">
        <f>R34</f>
        <v>952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28"/>
      <c r="B13" s="17" t="s">
        <v>32</v>
      </c>
      <c r="C13" s="89"/>
      <c r="D13" s="48">
        <f t="shared" si="1"/>
        <v>0</v>
      </c>
      <c r="F13" s="152" t="s">
        <v>36</v>
      </c>
      <c r="G13" s="153"/>
      <c r="H13" s="154">
        <f>D29</f>
        <v>0</v>
      </c>
      <c r="I13" s="155"/>
      <c r="J13" s="156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28"/>
      <c r="B14" s="14" t="s">
        <v>35</v>
      </c>
      <c r="C14" s="89"/>
      <c r="D14" s="31">
        <f t="shared" si="1"/>
        <v>0</v>
      </c>
      <c r="F14" s="157" t="s">
        <v>39</v>
      </c>
      <c r="G14" s="158"/>
      <c r="H14" s="159">
        <f>D54</f>
        <v>0</v>
      </c>
      <c r="I14" s="160"/>
      <c r="J14" s="161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28"/>
      <c r="B15" s="14" t="s">
        <v>38</v>
      </c>
      <c r="C15" s="89"/>
      <c r="D15" s="31">
        <f t="shared" si="1"/>
        <v>0</v>
      </c>
      <c r="F15" s="162" t="s">
        <v>40</v>
      </c>
      <c r="G15" s="153"/>
      <c r="H15" s="163">
        <f>H13-H14</f>
        <v>0</v>
      </c>
      <c r="I15" s="164"/>
      <c r="J15" s="165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28"/>
      <c r="B16" s="18" t="s">
        <v>94</v>
      </c>
      <c r="C16" s="89"/>
      <c r="D16" s="48">
        <f t="shared" si="1"/>
        <v>0</v>
      </c>
      <c r="F16" s="67" t="s">
        <v>42</v>
      </c>
      <c r="G16" s="66" t="s">
        <v>43</v>
      </c>
      <c r="H16" s="166"/>
      <c r="I16" s="166"/>
      <c r="J16" s="166"/>
      <c r="L16" s="6">
        <f>R28</f>
        <v>1567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28"/>
      <c r="B17" t="s">
        <v>140</v>
      </c>
      <c r="C17" s="89"/>
      <c r="D17" s="48">
        <f t="shared" si="1"/>
        <v>0</v>
      </c>
      <c r="F17" s="56"/>
      <c r="G17" s="66" t="s">
        <v>45</v>
      </c>
      <c r="H17" s="139"/>
      <c r="I17" s="139"/>
      <c r="J17" s="139"/>
      <c r="L17" s="6">
        <f>1582</f>
        <v>1582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28"/>
      <c r="B18" s="19" t="s">
        <v>95</v>
      </c>
      <c r="C18" s="89"/>
      <c r="D18" s="48">
        <f t="shared" si="1"/>
        <v>0</v>
      </c>
      <c r="F18" s="56"/>
      <c r="G18" s="66" t="s">
        <v>47</v>
      </c>
      <c r="H18" s="139"/>
      <c r="I18" s="139"/>
      <c r="J18" s="139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28"/>
      <c r="B19" s="14" t="s">
        <v>136</v>
      </c>
      <c r="C19" s="89"/>
      <c r="D19" s="48">
        <f t="shared" si="1"/>
        <v>0</v>
      </c>
      <c r="F19" s="56"/>
      <c r="G19" s="68" t="s">
        <v>50</v>
      </c>
      <c r="H19" s="139"/>
      <c r="I19" s="139"/>
      <c r="J19" s="139"/>
      <c r="L19" s="6">
        <v>1102</v>
      </c>
      <c r="Q19" s="4"/>
      <c r="R19" s="5">
        <f t="shared" si="0"/>
        <v>0</v>
      </c>
    </row>
    <row r="20" spans="1:18" ht="15.75" x14ac:dyDescent="0.25">
      <c r="A20" s="128"/>
      <c r="B20" s="83" t="s">
        <v>125</v>
      </c>
      <c r="C20" s="89"/>
      <c r="D20" s="13">
        <f t="shared" si="1"/>
        <v>0</v>
      </c>
      <c r="F20" s="57"/>
      <c r="G20" s="70" t="s">
        <v>120</v>
      </c>
      <c r="H20" s="166"/>
      <c r="I20" s="166"/>
      <c r="J20" s="166"/>
      <c r="L20" s="6">
        <f>R39</f>
        <v>1175</v>
      </c>
      <c r="N20" s="1" t="s">
        <v>41</v>
      </c>
      <c r="Q20" s="4"/>
      <c r="R20" s="5">
        <f t="shared" si="0"/>
        <v>0</v>
      </c>
    </row>
    <row r="21" spans="1:18" ht="15.75" x14ac:dyDescent="0.25">
      <c r="A21" s="128"/>
      <c r="B21" s="14" t="s">
        <v>138</v>
      </c>
      <c r="C21" s="89"/>
      <c r="D21" s="48">
        <f t="shared" si="1"/>
        <v>0</v>
      </c>
      <c r="F21" s="69" t="s">
        <v>99</v>
      </c>
      <c r="G21" s="82" t="s">
        <v>98</v>
      </c>
      <c r="H21" s="186" t="s">
        <v>13</v>
      </c>
      <c r="I21" s="187"/>
      <c r="J21" s="188"/>
      <c r="L21" s="7">
        <v>650</v>
      </c>
      <c r="O21" t="s">
        <v>44</v>
      </c>
      <c r="P21" s="4">
        <v>1447</v>
      </c>
      <c r="Q21" s="4">
        <v>120</v>
      </c>
      <c r="R21" s="5">
        <f t="shared" si="0"/>
        <v>1567</v>
      </c>
    </row>
    <row r="22" spans="1:18" ht="15.75" x14ac:dyDescent="0.25">
      <c r="A22" s="128"/>
      <c r="B22" s="46" t="s">
        <v>127</v>
      </c>
      <c r="C22" s="89"/>
      <c r="D22" s="48">
        <f t="shared" si="1"/>
        <v>0</v>
      </c>
      <c r="F22" s="77"/>
      <c r="G22" s="73"/>
      <c r="H22" s="189"/>
      <c r="I22" s="189"/>
      <c r="J22" s="189"/>
      <c r="L22" s="7">
        <v>1582</v>
      </c>
      <c r="O22" t="s">
        <v>46</v>
      </c>
      <c r="P22" s="4">
        <v>1582</v>
      </c>
      <c r="Q22" s="4"/>
      <c r="R22" s="5">
        <f t="shared" si="0"/>
        <v>1582</v>
      </c>
    </row>
    <row r="23" spans="1:18" ht="15.75" x14ac:dyDescent="0.25">
      <c r="A23" s="128"/>
      <c r="B23" s="14" t="s">
        <v>101</v>
      </c>
      <c r="C23" s="89"/>
      <c r="D23" s="48">
        <f t="shared" si="1"/>
        <v>0</v>
      </c>
      <c r="F23" s="77"/>
      <c r="G23" s="79"/>
      <c r="H23" s="242"/>
      <c r="I23" s="243"/>
      <c r="J23" s="243"/>
      <c r="L23" s="47">
        <v>1667</v>
      </c>
      <c r="N23" s="1"/>
      <c r="O23" t="s">
        <v>48</v>
      </c>
      <c r="P23" s="4">
        <v>1728</v>
      </c>
      <c r="Q23" s="4"/>
      <c r="R23" s="5">
        <f t="shared" si="0"/>
        <v>1728</v>
      </c>
    </row>
    <row r="24" spans="1:18" ht="15.75" x14ac:dyDescent="0.25">
      <c r="A24" s="128"/>
      <c r="B24" s="14" t="s">
        <v>121</v>
      </c>
      <c r="C24" s="89"/>
      <c r="D24" s="48">
        <f t="shared" si="1"/>
        <v>0</v>
      </c>
      <c r="F24" s="77"/>
      <c r="G24" s="79"/>
      <c r="H24" s="242"/>
      <c r="I24" s="243"/>
      <c r="J24" s="243"/>
      <c r="L24" s="47">
        <f>913/24+1.5</f>
        <v>39.541666666666664</v>
      </c>
      <c r="N24" s="1"/>
      <c r="O24" t="s">
        <v>49</v>
      </c>
      <c r="P24" s="4">
        <v>1728</v>
      </c>
      <c r="Q24" s="4"/>
      <c r="R24" s="5">
        <f t="shared" si="0"/>
        <v>1728</v>
      </c>
    </row>
    <row r="25" spans="1:18" ht="15.75" x14ac:dyDescent="0.25">
      <c r="A25" s="128"/>
      <c r="B25" s="14" t="s">
        <v>141</v>
      </c>
      <c r="C25" s="89"/>
      <c r="D25" s="48">
        <f t="shared" si="1"/>
        <v>0</v>
      </c>
      <c r="F25" s="60" t="s">
        <v>100</v>
      </c>
      <c r="G25" s="55" t="s">
        <v>98</v>
      </c>
      <c r="H25" s="192" t="s">
        <v>13</v>
      </c>
      <c r="I25" s="193"/>
      <c r="J25" s="194"/>
      <c r="L25" s="47">
        <f>1052+120</f>
        <v>1172</v>
      </c>
      <c r="O25" t="s">
        <v>51</v>
      </c>
      <c r="P25" s="4">
        <v>1582</v>
      </c>
      <c r="Q25" s="4"/>
      <c r="R25" s="5">
        <f t="shared" si="0"/>
        <v>1582</v>
      </c>
    </row>
    <row r="26" spans="1:18" ht="15.75" x14ac:dyDescent="0.25">
      <c r="A26" s="128"/>
      <c r="B26" s="14" t="s">
        <v>139</v>
      </c>
      <c r="C26" s="89"/>
      <c r="D26" s="48">
        <f t="shared" si="1"/>
        <v>0</v>
      </c>
      <c r="F26" s="75"/>
      <c r="G26" s="65"/>
      <c r="H26" s="191"/>
      <c r="I26" s="191"/>
      <c r="J26" s="191"/>
      <c r="L26" s="7">
        <f>1447+120</f>
        <v>1567</v>
      </c>
      <c r="O26" t="s">
        <v>52</v>
      </c>
      <c r="P26" s="4">
        <v>1447</v>
      </c>
      <c r="Q26" s="4">
        <v>120</v>
      </c>
      <c r="R26" s="5">
        <f t="shared" si="0"/>
        <v>1567</v>
      </c>
    </row>
    <row r="27" spans="1:18" ht="14.45" customHeight="1" x14ac:dyDescent="0.25">
      <c r="A27" s="128"/>
      <c r="B27" s="14" t="s">
        <v>110</v>
      </c>
      <c r="C27" s="89"/>
      <c r="D27" s="44">
        <f t="shared" si="1"/>
        <v>0</v>
      </c>
      <c r="F27" s="71"/>
      <c r="G27" s="109"/>
      <c r="H27" s="244"/>
      <c r="I27" s="245"/>
      <c r="J27" s="245"/>
      <c r="L27" s="7">
        <v>1142</v>
      </c>
      <c r="O27" t="s">
        <v>53</v>
      </c>
      <c r="P27" s="4">
        <v>1582</v>
      </c>
      <c r="Q27" s="4"/>
      <c r="R27" s="5">
        <f t="shared" si="0"/>
        <v>1582</v>
      </c>
    </row>
    <row r="28" spans="1:18" ht="15.75" x14ac:dyDescent="0.25">
      <c r="A28" s="129"/>
      <c r="B28" s="46" t="s">
        <v>97</v>
      </c>
      <c r="C28" s="89"/>
      <c r="D28" s="48">
        <f t="shared" si="1"/>
        <v>0</v>
      </c>
      <c r="F28" s="106"/>
      <c r="G28" s="61"/>
      <c r="H28" s="201"/>
      <c r="I28" s="202"/>
      <c r="J28" s="203"/>
      <c r="L28" s="7">
        <v>785</v>
      </c>
      <c r="O28" t="s">
        <v>54</v>
      </c>
      <c r="P28" s="4">
        <v>1447</v>
      </c>
      <c r="Q28" s="4">
        <v>120</v>
      </c>
      <c r="R28" s="5">
        <f t="shared" si="0"/>
        <v>1567</v>
      </c>
    </row>
    <row r="29" spans="1:18" x14ac:dyDescent="0.25">
      <c r="A29" s="167" t="s">
        <v>36</v>
      </c>
      <c r="B29" s="168"/>
      <c r="C29" s="169"/>
      <c r="D29" s="173">
        <f>SUM(D6:D28)</f>
        <v>0</v>
      </c>
      <c r="F29" s="175" t="s">
        <v>55</v>
      </c>
      <c r="G29" s="176"/>
      <c r="H29" s="179">
        <f>H15-H16-H17-H18-H19-H20-H22-H23-H24+H26+H27+H28</f>
        <v>0</v>
      </c>
      <c r="I29" s="180"/>
      <c r="J29" s="181"/>
      <c r="O29" t="s">
        <v>56</v>
      </c>
      <c r="P29" s="4">
        <v>1582</v>
      </c>
      <c r="Q29" s="4"/>
      <c r="R29" s="5">
        <f t="shared" si="0"/>
        <v>1582</v>
      </c>
    </row>
    <row r="30" spans="1:18" x14ac:dyDescent="0.25">
      <c r="A30" s="170"/>
      <c r="B30" s="171"/>
      <c r="C30" s="172"/>
      <c r="D30" s="174"/>
      <c r="F30" s="177"/>
      <c r="G30" s="178"/>
      <c r="H30" s="182"/>
      <c r="I30" s="183"/>
      <c r="J30" s="184"/>
      <c r="N30" s="1"/>
      <c r="Q30" s="4"/>
      <c r="R30" s="5">
        <f t="shared" si="0"/>
        <v>0</v>
      </c>
    </row>
    <row r="31" spans="1:18" x14ac:dyDescent="0.25">
      <c r="A31" s="24"/>
      <c r="B31" s="24"/>
      <c r="C31" s="24"/>
      <c r="D31" s="24"/>
      <c r="F31" s="24"/>
      <c r="G31" s="24"/>
      <c r="O31" t="s">
        <v>57</v>
      </c>
      <c r="P31" s="4">
        <v>1052</v>
      </c>
      <c r="Q31" s="4">
        <v>120</v>
      </c>
      <c r="R31" s="5">
        <f t="shared" si="0"/>
        <v>1172</v>
      </c>
    </row>
    <row r="32" spans="1:18" x14ac:dyDescent="0.25">
      <c r="A32" s="114" t="s">
        <v>58</v>
      </c>
      <c r="B32" s="115"/>
      <c r="C32" s="115"/>
      <c r="D32" s="116"/>
      <c r="F32" s="204" t="s">
        <v>59</v>
      </c>
      <c r="G32" s="205"/>
      <c r="H32" s="205"/>
      <c r="I32" s="205"/>
      <c r="J32" s="206"/>
      <c r="O32" t="s">
        <v>60</v>
      </c>
      <c r="P32" s="4">
        <v>1005</v>
      </c>
      <c r="Q32" s="4">
        <v>120</v>
      </c>
      <c r="R32" s="5">
        <f t="shared" si="0"/>
        <v>1125</v>
      </c>
    </row>
    <row r="33" spans="1:18" x14ac:dyDescent="0.25">
      <c r="A33" s="25"/>
      <c r="B33" s="25" t="s">
        <v>11</v>
      </c>
      <c r="C33" s="25" t="s">
        <v>61</v>
      </c>
      <c r="D33" s="25" t="s">
        <v>13</v>
      </c>
      <c r="F33" s="25" t="s">
        <v>62</v>
      </c>
      <c r="G33" s="107" t="s">
        <v>63</v>
      </c>
      <c r="H33" s="204" t="s">
        <v>13</v>
      </c>
      <c r="I33" s="205"/>
      <c r="J33" s="206"/>
      <c r="O33" t="s">
        <v>64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27" t="s">
        <v>65</v>
      </c>
      <c r="B34" s="26" t="s">
        <v>66</v>
      </c>
      <c r="C34" s="51"/>
      <c r="D34" s="30">
        <f>C34*120</f>
        <v>0</v>
      </c>
      <c r="F34" s="12">
        <v>1000</v>
      </c>
      <c r="G34" s="40"/>
      <c r="H34" s="207">
        <f t="shared" ref="H34:H39" si="2">F34*G34</f>
        <v>0</v>
      </c>
      <c r="I34" s="208"/>
      <c r="J34" s="209"/>
      <c r="O34" t="s">
        <v>67</v>
      </c>
      <c r="P34" s="4">
        <v>832</v>
      </c>
      <c r="Q34" s="4">
        <v>120</v>
      </c>
      <c r="R34" s="5">
        <f t="shared" si="0"/>
        <v>952</v>
      </c>
    </row>
    <row r="35" spans="1:18" ht="15.75" x14ac:dyDescent="0.25">
      <c r="A35" s="128"/>
      <c r="B35" s="27" t="s">
        <v>68</v>
      </c>
      <c r="C35" s="52"/>
      <c r="D35" s="30">
        <f>C35*84</f>
        <v>0</v>
      </c>
      <c r="F35" s="58">
        <v>500</v>
      </c>
      <c r="G35" s="41"/>
      <c r="H35" s="207">
        <f t="shared" si="2"/>
        <v>0</v>
      </c>
      <c r="I35" s="208"/>
      <c r="J35" s="209"/>
      <c r="O35" t="s">
        <v>69</v>
      </c>
      <c r="P35" s="4">
        <v>1102</v>
      </c>
      <c r="Q35" s="4"/>
      <c r="R35" s="5">
        <f t="shared" si="0"/>
        <v>1102</v>
      </c>
    </row>
    <row r="36" spans="1:18" ht="15.75" x14ac:dyDescent="0.25">
      <c r="A36" s="129"/>
      <c r="B36" s="26" t="s">
        <v>70</v>
      </c>
      <c r="C36" s="10"/>
      <c r="D36" s="12">
        <f>C36*1.5</f>
        <v>0</v>
      </c>
      <c r="F36" s="12">
        <v>200</v>
      </c>
      <c r="G36" s="37"/>
      <c r="H36" s="207">
        <f t="shared" si="2"/>
        <v>0</v>
      </c>
      <c r="I36" s="208"/>
      <c r="J36" s="209"/>
      <c r="O36" t="s">
        <v>71</v>
      </c>
      <c r="P36" s="4">
        <v>852</v>
      </c>
      <c r="Q36" s="4">
        <v>120</v>
      </c>
      <c r="R36" s="5">
        <f t="shared" si="0"/>
        <v>972</v>
      </c>
    </row>
    <row r="37" spans="1:18" ht="15.75" x14ac:dyDescent="0.25">
      <c r="A37" s="127" t="s">
        <v>72</v>
      </c>
      <c r="B37" s="28" t="s">
        <v>66</v>
      </c>
      <c r="C37" s="53"/>
      <c r="D37" s="12">
        <f>C37*111</f>
        <v>0</v>
      </c>
      <c r="F37" s="12">
        <v>100</v>
      </c>
      <c r="G37" s="39"/>
      <c r="H37" s="207">
        <f t="shared" si="2"/>
        <v>0</v>
      </c>
      <c r="I37" s="208"/>
      <c r="J37" s="209"/>
      <c r="O37" t="s">
        <v>73</v>
      </c>
      <c r="P37" s="4">
        <v>1020</v>
      </c>
      <c r="Q37" s="4">
        <v>120</v>
      </c>
      <c r="R37" s="5">
        <f t="shared" si="0"/>
        <v>1140</v>
      </c>
    </row>
    <row r="38" spans="1:18" ht="15.75" x14ac:dyDescent="0.25">
      <c r="A38" s="128"/>
      <c r="B38" s="29" t="s">
        <v>68</v>
      </c>
      <c r="C38" s="54"/>
      <c r="D38" s="12">
        <f>C38*84</f>
        <v>0</v>
      </c>
      <c r="F38" s="30">
        <v>50</v>
      </c>
      <c r="G38" s="39"/>
      <c r="H38" s="207">
        <f t="shared" si="2"/>
        <v>0</v>
      </c>
      <c r="I38" s="208"/>
      <c r="J38" s="209"/>
      <c r="O38" t="s">
        <v>74</v>
      </c>
      <c r="P38" s="4">
        <v>596</v>
      </c>
      <c r="Q38" s="4">
        <v>111</v>
      </c>
      <c r="R38" s="5">
        <f t="shared" si="0"/>
        <v>707</v>
      </c>
    </row>
    <row r="39" spans="1:18" ht="15.75" x14ac:dyDescent="0.25">
      <c r="A39" s="129"/>
      <c r="B39" s="29" t="s">
        <v>70</v>
      </c>
      <c r="C39" s="52"/>
      <c r="D39" s="31">
        <f>C39*4.5</f>
        <v>0</v>
      </c>
      <c r="F39" s="12">
        <v>20</v>
      </c>
      <c r="G39" s="37"/>
      <c r="H39" s="207">
        <f t="shared" si="2"/>
        <v>0</v>
      </c>
      <c r="I39" s="208"/>
      <c r="J39" s="209"/>
      <c r="O39" t="s">
        <v>75</v>
      </c>
      <c r="P39" s="4">
        <v>1175</v>
      </c>
      <c r="Q39" s="4"/>
      <c r="R39" s="5">
        <f t="shared" si="0"/>
        <v>1175</v>
      </c>
    </row>
    <row r="40" spans="1:18" ht="15.75" x14ac:dyDescent="0.25">
      <c r="A40" s="127" t="s">
        <v>76</v>
      </c>
      <c r="B40" s="27" t="s">
        <v>66</v>
      </c>
      <c r="C40" s="63"/>
      <c r="D40" s="12">
        <f>C40*111</f>
        <v>0</v>
      </c>
      <c r="F40" s="12">
        <v>10</v>
      </c>
      <c r="G40" s="42"/>
      <c r="H40" s="207"/>
      <c r="I40" s="208"/>
      <c r="J40" s="209"/>
      <c r="O40" t="s">
        <v>77</v>
      </c>
      <c r="P40" s="4">
        <v>913</v>
      </c>
      <c r="Q40" s="4">
        <v>120</v>
      </c>
      <c r="R40" s="5">
        <f t="shared" si="0"/>
        <v>1033</v>
      </c>
    </row>
    <row r="41" spans="1:18" ht="15.75" x14ac:dyDescent="0.25">
      <c r="A41" s="128"/>
      <c r="B41" s="27" t="s">
        <v>68</v>
      </c>
      <c r="C41" s="10"/>
      <c r="D41" s="12">
        <f>C41*84</f>
        <v>0</v>
      </c>
      <c r="F41" s="12">
        <v>5</v>
      </c>
      <c r="G41" s="42"/>
      <c r="H41" s="207"/>
      <c r="I41" s="208"/>
      <c r="J41" s="209"/>
      <c r="K41" s="21"/>
      <c r="O41" t="s">
        <v>78</v>
      </c>
      <c r="P41" s="4">
        <v>614</v>
      </c>
      <c r="Q41" s="4">
        <v>111</v>
      </c>
      <c r="R41" s="5">
        <f t="shared" si="0"/>
        <v>725</v>
      </c>
    </row>
    <row r="42" spans="1:18" ht="15.75" x14ac:dyDescent="0.25">
      <c r="A42" s="129"/>
      <c r="B42" s="27" t="s">
        <v>70</v>
      </c>
      <c r="C42" s="11"/>
      <c r="D42" s="12">
        <f>C42*2.25</f>
        <v>0</v>
      </c>
      <c r="F42" s="39" t="s">
        <v>79</v>
      </c>
      <c r="G42" s="207"/>
      <c r="H42" s="208"/>
      <c r="I42" s="208"/>
      <c r="J42" s="209"/>
      <c r="K42" s="36"/>
      <c r="O42" t="s">
        <v>80</v>
      </c>
      <c r="P42" s="4">
        <v>626</v>
      </c>
      <c r="Q42" s="4">
        <v>111</v>
      </c>
      <c r="R42" s="5">
        <f t="shared" si="0"/>
        <v>737</v>
      </c>
    </row>
    <row r="43" spans="1:18" ht="15.75" x14ac:dyDescent="0.25">
      <c r="A43" s="210" t="s">
        <v>81</v>
      </c>
      <c r="C43" s="11"/>
      <c r="D43" s="12"/>
      <c r="F43" s="59" t="s">
        <v>82</v>
      </c>
      <c r="G43" s="109" t="s">
        <v>83</v>
      </c>
      <c r="H43" s="213" t="s">
        <v>13</v>
      </c>
      <c r="I43" s="214"/>
      <c r="J43" s="215"/>
      <c r="K43" s="21"/>
      <c r="O43" t="s">
        <v>103</v>
      </c>
      <c r="P43" s="4">
        <v>1667</v>
      </c>
      <c r="Q43" s="4"/>
      <c r="R43" s="5"/>
    </row>
    <row r="44" spans="1:18" ht="15.75" x14ac:dyDescent="0.25">
      <c r="A44" s="211"/>
      <c r="B44" s="27" t="s">
        <v>66</v>
      </c>
      <c r="C44" s="10"/>
      <c r="D44" s="12">
        <f>C44*120</f>
        <v>0</v>
      </c>
      <c r="F44" s="37"/>
      <c r="G44" s="62"/>
      <c r="H44" s="191"/>
      <c r="I44" s="191"/>
      <c r="J44" s="191"/>
      <c r="K44" s="21"/>
      <c r="O44" t="s">
        <v>106</v>
      </c>
      <c r="P44" s="4">
        <f>785-120</f>
        <v>665</v>
      </c>
      <c r="Q44" s="4">
        <v>120</v>
      </c>
      <c r="R44" s="5">
        <f>Q44+P44</f>
        <v>785</v>
      </c>
    </row>
    <row r="45" spans="1:18" ht="15.75" x14ac:dyDescent="0.25">
      <c r="A45" s="211"/>
      <c r="B45" s="27" t="s">
        <v>68</v>
      </c>
      <c r="C45" s="33"/>
      <c r="D45" s="12">
        <f>C45*84</f>
        <v>0</v>
      </c>
      <c r="F45" s="37"/>
      <c r="G45" s="62"/>
      <c r="H45" s="191"/>
      <c r="I45" s="191"/>
      <c r="J45" s="191"/>
      <c r="K45" s="21"/>
      <c r="P45" s="4"/>
      <c r="Q45" s="4"/>
      <c r="R45" s="5"/>
    </row>
    <row r="46" spans="1:18" ht="15.75" x14ac:dyDescent="0.25">
      <c r="A46" s="211"/>
      <c r="B46" s="49" t="s">
        <v>70</v>
      </c>
      <c r="C46" s="81"/>
      <c r="D46" s="12">
        <f>C46*1.5</f>
        <v>0</v>
      </c>
      <c r="F46" s="37"/>
      <c r="G46" s="62"/>
      <c r="H46" s="191"/>
      <c r="I46" s="191"/>
      <c r="J46" s="191"/>
      <c r="K46" s="21"/>
      <c r="P46" s="4"/>
      <c r="Q46" s="4"/>
      <c r="R46" s="5"/>
    </row>
    <row r="47" spans="1:18" ht="15.75" x14ac:dyDescent="0.25">
      <c r="A47" s="212"/>
      <c r="B47" s="27"/>
      <c r="C47" s="11"/>
      <c r="D47" s="12"/>
      <c r="F47" s="59"/>
      <c r="G47" s="59"/>
      <c r="H47" s="217"/>
      <c r="I47" s="218"/>
      <c r="J47" s="219"/>
      <c r="K47" s="21"/>
      <c r="P47" s="4"/>
      <c r="Q47" s="4"/>
      <c r="R47" s="5"/>
    </row>
    <row r="48" spans="1:18" ht="15" customHeight="1" x14ac:dyDescent="0.25">
      <c r="A48" s="210" t="s">
        <v>32</v>
      </c>
      <c r="B48" s="27" t="s">
        <v>66</v>
      </c>
      <c r="C48" s="10"/>
      <c r="D48" s="12">
        <f>C48*78</f>
        <v>0</v>
      </c>
      <c r="F48" s="59"/>
      <c r="G48" s="59"/>
      <c r="H48" s="217"/>
      <c r="I48" s="218"/>
      <c r="J48" s="219"/>
      <c r="K48" s="35"/>
      <c r="O48" t="s">
        <v>84</v>
      </c>
      <c r="P48" s="4">
        <v>1175</v>
      </c>
      <c r="Q48" s="4"/>
      <c r="R48" s="5">
        <f t="shared" si="0"/>
        <v>1175</v>
      </c>
    </row>
    <row r="49" spans="1:18" ht="15.75" x14ac:dyDescent="0.25">
      <c r="A49" s="211"/>
      <c r="B49" s="29" t="s">
        <v>68</v>
      </c>
      <c r="C49" s="33"/>
      <c r="D49" s="12">
        <f>C49*42</f>
        <v>0</v>
      </c>
      <c r="F49" s="232" t="s">
        <v>86</v>
      </c>
      <c r="G49" s="179">
        <f>H34+H35+H36+H37+H38+H39+H40+H41+G42+H44+H45+H46</f>
        <v>0</v>
      </c>
      <c r="H49" s="180"/>
      <c r="I49" s="180"/>
      <c r="J49" s="181"/>
      <c r="O49" t="s">
        <v>85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211"/>
      <c r="B50" s="32" t="s">
        <v>70</v>
      </c>
      <c r="C50" s="11"/>
      <c r="D50" s="12">
        <f>C50*1.5</f>
        <v>0</v>
      </c>
      <c r="F50" s="233"/>
      <c r="G50" s="182"/>
      <c r="H50" s="183"/>
      <c r="I50" s="183"/>
      <c r="J50" s="184"/>
      <c r="P50" s="4"/>
      <c r="Q50" s="4"/>
      <c r="R50" s="5"/>
    </row>
    <row r="51" spans="1:18" ht="15" customHeight="1" x14ac:dyDescent="0.25">
      <c r="A51" s="211"/>
      <c r="B51" s="27"/>
      <c r="C51" s="10"/>
      <c r="D51" s="31"/>
      <c r="F51" s="234" t="s">
        <v>131</v>
      </c>
      <c r="G51" s="247">
        <f>G49-H29</f>
        <v>0</v>
      </c>
      <c r="H51" s="248"/>
      <c r="I51" s="248"/>
      <c r="J51" s="249"/>
      <c r="K51" s="21"/>
      <c r="O51" t="s">
        <v>87</v>
      </c>
      <c r="P51" s="4">
        <v>703</v>
      </c>
      <c r="Q51" s="4">
        <v>120</v>
      </c>
      <c r="R51" s="5">
        <f t="shared" si="0"/>
        <v>823</v>
      </c>
    </row>
    <row r="52" spans="1:18" ht="15.75" x14ac:dyDescent="0.25">
      <c r="A52" s="211"/>
      <c r="B52" s="29"/>
      <c r="C52" s="33"/>
      <c r="D52" s="45"/>
      <c r="F52" s="235"/>
      <c r="G52" s="250"/>
      <c r="H52" s="251"/>
      <c r="I52" s="251"/>
      <c r="J52" s="252"/>
      <c r="K52" s="21"/>
      <c r="O52" t="s">
        <v>88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212"/>
      <c r="B53" s="32"/>
      <c r="C53" s="11"/>
      <c r="D53" s="12"/>
      <c r="F53" s="35"/>
      <c r="G53" s="24"/>
      <c r="H53" s="24"/>
      <c r="I53" s="24"/>
      <c r="J53" s="17"/>
      <c r="N53" s="1"/>
      <c r="O53" t="s">
        <v>89</v>
      </c>
      <c r="P53" s="4">
        <v>1142</v>
      </c>
    </row>
    <row r="54" spans="1:18" x14ac:dyDescent="0.25">
      <c r="A54" s="175" t="s">
        <v>90</v>
      </c>
      <c r="B54" s="220"/>
      <c r="C54" s="221"/>
      <c r="D54" s="224">
        <f>SUM(D34:D53)</f>
        <v>0</v>
      </c>
      <c r="F54" s="21"/>
      <c r="J54" s="34"/>
      <c r="O54" t="s">
        <v>102</v>
      </c>
      <c r="P54" s="4">
        <v>1582</v>
      </c>
      <c r="R54" s="3">
        <v>1582</v>
      </c>
    </row>
    <row r="55" spans="1:18" x14ac:dyDescent="0.25">
      <c r="A55" s="177"/>
      <c r="B55" s="222"/>
      <c r="C55" s="223"/>
      <c r="D55" s="225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133</v>
      </c>
      <c r="D57" s="34"/>
      <c r="F57" s="36"/>
      <c r="G57" s="50"/>
      <c r="H57" s="50"/>
      <c r="I57" s="50"/>
      <c r="J57" s="43"/>
    </row>
    <row r="58" spans="1:18" x14ac:dyDescent="0.25">
      <c r="A58" s="226" t="s">
        <v>91</v>
      </c>
      <c r="B58" s="227"/>
      <c r="C58" s="227"/>
      <c r="D58" s="228"/>
      <c r="F58" s="226" t="s">
        <v>92</v>
      </c>
      <c r="G58" s="227"/>
      <c r="H58" s="227"/>
      <c r="I58" s="227"/>
      <c r="J58" s="228"/>
    </row>
    <row r="59" spans="1:18" x14ac:dyDescent="0.25">
      <c r="A59" s="229"/>
      <c r="B59" s="230"/>
      <c r="C59" s="230"/>
      <c r="D59" s="231"/>
      <c r="F59" s="229"/>
      <c r="G59" s="230"/>
      <c r="H59" s="230"/>
      <c r="I59" s="230"/>
      <c r="J59" s="231"/>
    </row>
  </sheetData>
  <mergeCells count="68"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  <mergeCell ref="H13:J13"/>
    <mergeCell ref="F14:G14"/>
    <mergeCell ref="H14:J14"/>
    <mergeCell ref="F15:G15"/>
    <mergeCell ref="H15:J15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A32:D32"/>
    <mergeCell ref="F32:J32"/>
    <mergeCell ref="H33:J33"/>
    <mergeCell ref="A34:A36"/>
    <mergeCell ref="H34:J34"/>
    <mergeCell ref="H35:J35"/>
    <mergeCell ref="H36:J36"/>
    <mergeCell ref="A37:A39"/>
    <mergeCell ref="H37:J37"/>
    <mergeCell ref="H38:J38"/>
    <mergeCell ref="H39:J39"/>
    <mergeCell ref="A40:A42"/>
    <mergeCell ref="H40:J40"/>
    <mergeCell ref="H41:J41"/>
    <mergeCell ref="G42:J42"/>
    <mergeCell ref="A43:A47"/>
    <mergeCell ref="H43:J43"/>
    <mergeCell ref="H44:J44"/>
    <mergeCell ref="H45:J45"/>
    <mergeCell ref="H46:J46"/>
    <mergeCell ref="H47:J47"/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6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63004CF-0206-4A78-A63A-980446B001CC}">
  <dimension ref="A1:R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113" t="s">
        <v>1</v>
      </c>
      <c r="O1" s="113"/>
      <c r="P1" s="105" t="s">
        <v>2</v>
      </c>
      <c r="Q1" s="105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14" t="s">
        <v>7</v>
      </c>
      <c r="B4" s="115"/>
      <c r="C4" s="115"/>
      <c r="D4" s="116"/>
      <c r="F4" s="117" t="s">
        <v>8</v>
      </c>
      <c r="G4" s="119">
        <v>2</v>
      </c>
      <c r="H4" s="121" t="s">
        <v>9</v>
      </c>
      <c r="I4" s="123">
        <v>45982</v>
      </c>
      <c r="J4" s="124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27" t="s">
        <v>7</v>
      </c>
      <c r="B5" s="15" t="s">
        <v>11</v>
      </c>
      <c r="C5" s="9" t="s">
        <v>12</v>
      </c>
      <c r="D5" s="25" t="s">
        <v>13</v>
      </c>
      <c r="F5" s="118"/>
      <c r="G5" s="120"/>
      <c r="H5" s="122"/>
      <c r="I5" s="125"/>
      <c r="J5" s="126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28"/>
      <c r="B6" s="16" t="s">
        <v>15</v>
      </c>
      <c r="C6" s="10"/>
      <c r="D6" s="13">
        <f t="shared" ref="D6:D28" si="1">C6*L6</f>
        <v>0</v>
      </c>
      <c r="F6" s="130" t="s">
        <v>16</v>
      </c>
      <c r="G6" s="132" t="s">
        <v>134</v>
      </c>
      <c r="H6" s="133"/>
      <c r="I6" s="133"/>
      <c r="J6" s="134"/>
      <c r="K6" s="8"/>
      <c r="L6" s="6">
        <f>R42</f>
        <v>737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28"/>
      <c r="B7" s="16" t="s">
        <v>18</v>
      </c>
      <c r="C7" s="10"/>
      <c r="D7" s="13">
        <f t="shared" si="1"/>
        <v>0</v>
      </c>
      <c r="F7" s="131"/>
      <c r="G7" s="135"/>
      <c r="H7" s="136"/>
      <c r="I7" s="136"/>
      <c r="J7" s="137"/>
      <c r="K7" s="8"/>
      <c r="L7" s="6">
        <f>R41</f>
        <v>725</v>
      </c>
      <c r="P7" s="4"/>
      <c r="Q7" s="4"/>
      <c r="R7" s="5"/>
    </row>
    <row r="8" spans="1:18" ht="14.45" customHeight="1" x14ac:dyDescent="0.25">
      <c r="A8" s="128"/>
      <c r="B8" s="16" t="s">
        <v>20</v>
      </c>
      <c r="C8" s="10"/>
      <c r="D8" s="13">
        <f t="shared" si="1"/>
        <v>0</v>
      </c>
      <c r="F8" s="138" t="s">
        <v>21</v>
      </c>
      <c r="G8" s="140" t="s">
        <v>114</v>
      </c>
      <c r="H8" s="141"/>
      <c r="I8" s="141"/>
      <c r="J8" s="142"/>
      <c r="K8" s="8"/>
      <c r="L8" s="6">
        <f>R40</f>
        <v>1033</v>
      </c>
      <c r="P8" s="4"/>
      <c r="Q8" s="4"/>
      <c r="R8" s="5"/>
    </row>
    <row r="9" spans="1:18" ht="14.45" customHeight="1" x14ac:dyDescent="0.25">
      <c r="A9" s="128"/>
      <c r="B9" s="16" t="s">
        <v>23</v>
      </c>
      <c r="C9" s="10"/>
      <c r="D9" s="13">
        <f t="shared" si="1"/>
        <v>0</v>
      </c>
      <c r="F9" s="131"/>
      <c r="G9" s="143"/>
      <c r="H9" s="144"/>
      <c r="I9" s="144"/>
      <c r="J9" s="145"/>
      <c r="K9" s="8"/>
      <c r="L9" s="6">
        <f>R38</f>
        <v>707</v>
      </c>
      <c r="P9" s="4"/>
      <c r="Q9" s="4"/>
      <c r="R9" s="5"/>
    </row>
    <row r="10" spans="1:18" ht="14.45" customHeight="1" x14ac:dyDescent="0.25">
      <c r="A10" s="128"/>
      <c r="B10" t="s">
        <v>25</v>
      </c>
      <c r="C10" s="10"/>
      <c r="D10" s="13">
        <f t="shared" si="1"/>
        <v>0</v>
      </c>
      <c r="F10" s="130" t="s">
        <v>26</v>
      </c>
      <c r="G10" s="146" t="s">
        <v>115</v>
      </c>
      <c r="H10" s="147"/>
      <c r="I10" s="147"/>
      <c r="J10" s="148"/>
      <c r="K10" s="8"/>
      <c r="L10" s="6">
        <f>R36</f>
        <v>972</v>
      </c>
      <c r="P10" s="4"/>
      <c r="Q10" s="4"/>
      <c r="R10" s="5"/>
    </row>
    <row r="11" spans="1:18" ht="15.75" x14ac:dyDescent="0.25">
      <c r="A11" s="128"/>
      <c r="B11" s="17" t="s">
        <v>28</v>
      </c>
      <c r="C11" s="10"/>
      <c r="D11" s="13">
        <f t="shared" si="1"/>
        <v>0</v>
      </c>
      <c r="F11" s="131"/>
      <c r="G11" s="143"/>
      <c r="H11" s="144"/>
      <c r="I11" s="144"/>
      <c r="J11" s="145"/>
      <c r="K11" s="22"/>
      <c r="L11" s="6">
        <f>R32</f>
        <v>1125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28"/>
      <c r="B12" s="17" t="s">
        <v>30</v>
      </c>
      <c r="C12" s="10"/>
      <c r="D12" s="48">
        <f t="shared" si="1"/>
        <v>0</v>
      </c>
      <c r="F12" s="149" t="s">
        <v>33</v>
      </c>
      <c r="G12" s="150"/>
      <c r="H12" s="150"/>
      <c r="I12" s="150"/>
      <c r="J12" s="151"/>
      <c r="K12" s="23"/>
      <c r="L12" s="6">
        <f>R34</f>
        <v>952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28"/>
      <c r="B13" s="17" t="s">
        <v>32</v>
      </c>
      <c r="C13" s="10"/>
      <c r="D13" s="48">
        <f t="shared" si="1"/>
        <v>0</v>
      </c>
      <c r="F13" s="152" t="s">
        <v>36</v>
      </c>
      <c r="G13" s="153"/>
      <c r="H13" s="154">
        <f>D29</f>
        <v>0</v>
      </c>
      <c r="I13" s="155"/>
      <c r="J13" s="156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28"/>
      <c r="B14" s="14" t="s">
        <v>35</v>
      </c>
      <c r="C14" s="10"/>
      <c r="D14" s="31">
        <f t="shared" si="1"/>
        <v>0</v>
      </c>
      <c r="F14" s="157" t="s">
        <v>39</v>
      </c>
      <c r="G14" s="158"/>
      <c r="H14" s="159">
        <f>D54</f>
        <v>0</v>
      </c>
      <c r="I14" s="160"/>
      <c r="J14" s="161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28"/>
      <c r="B15" s="14" t="s">
        <v>38</v>
      </c>
      <c r="C15" s="10"/>
      <c r="D15" s="31">
        <f t="shared" si="1"/>
        <v>0</v>
      </c>
      <c r="F15" s="162" t="s">
        <v>40</v>
      </c>
      <c r="G15" s="153"/>
      <c r="H15" s="163">
        <f>H13-H14</f>
        <v>0</v>
      </c>
      <c r="I15" s="164"/>
      <c r="J15" s="165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28"/>
      <c r="B16" s="18" t="s">
        <v>94</v>
      </c>
      <c r="C16" s="10"/>
      <c r="D16" s="48">
        <f t="shared" si="1"/>
        <v>0</v>
      </c>
      <c r="F16" s="67" t="s">
        <v>42</v>
      </c>
      <c r="G16" s="66" t="s">
        <v>43</v>
      </c>
      <c r="H16" s="166"/>
      <c r="I16" s="166"/>
      <c r="J16" s="166"/>
      <c r="L16" s="6">
        <f>R28</f>
        <v>1567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28"/>
      <c r="B17" t="s">
        <v>93</v>
      </c>
      <c r="C17" s="10"/>
      <c r="D17" s="48">
        <f t="shared" si="1"/>
        <v>0</v>
      </c>
      <c r="F17" s="56"/>
      <c r="G17" s="66" t="s">
        <v>45</v>
      </c>
      <c r="H17" s="139"/>
      <c r="I17" s="139"/>
      <c r="J17" s="139"/>
      <c r="L17" s="6">
        <f>R21</f>
        <v>1567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28"/>
      <c r="B18" s="19" t="s">
        <v>95</v>
      </c>
      <c r="C18" s="10"/>
      <c r="D18" s="48">
        <f t="shared" si="1"/>
        <v>0</v>
      </c>
      <c r="F18" s="56"/>
      <c r="G18" s="66" t="s">
        <v>47</v>
      </c>
      <c r="H18" s="139"/>
      <c r="I18" s="139"/>
      <c r="J18" s="139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28"/>
      <c r="B19" s="14" t="s">
        <v>96</v>
      </c>
      <c r="C19" s="10"/>
      <c r="D19" s="48">
        <f t="shared" si="1"/>
        <v>0</v>
      </c>
      <c r="F19" s="56"/>
      <c r="G19" s="68" t="s">
        <v>50</v>
      </c>
      <c r="H19" s="246"/>
      <c r="I19" s="246"/>
      <c r="J19" s="246"/>
      <c r="L19" s="6">
        <f>R35</f>
        <v>1102</v>
      </c>
      <c r="Q19" s="4"/>
      <c r="R19" s="5">
        <f t="shared" si="0"/>
        <v>0</v>
      </c>
    </row>
    <row r="20" spans="1:18" ht="15.75" x14ac:dyDescent="0.25">
      <c r="A20" s="128"/>
      <c r="B20" s="46" t="s">
        <v>122</v>
      </c>
      <c r="C20" s="10"/>
      <c r="D20" s="13">
        <f t="shared" si="1"/>
        <v>0</v>
      </c>
      <c r="F20" s="57"/>
      <c r="G20" s="70" t="s">
        <v>120</v>
      </c>
      <c r="H20" s="139"/>
      <c r="I20" s="139"/>
      <c r="J20" s="139"/>
      <c r="L20" s="6">
        <f>R39</f>
        <v>1175</v>
      </c>
      <c r="N20" s="1" t="s">
        <v>41</v>
      </c>
      <c r="Q20" s="4"/>
      <c r="R20" s="5">
        <f t="shared" si="0"/>
        <v>0</v>
      </c>
    </row>
    <row r="21" spans="1:18" ht="15.75" x14ac:dyDescent="0.25">
      <c r="A21" s="128"/>
      <c r="B21" s="14" t="s">
        <v>126</v>
      </c>
      <c r="C21" s="10"/>
      <c r="D21" s="48">
        <f t="shared" si="1"/>
        <v>0</v>
      </c>
      <c r="F21" s="69" t="s">
        <v>99</v>
      </c>
      <c r="G21" s="82" t="s">
        <v>98</v>
      </c>
      <c r="H21" s="186" t="s">
        <v>13</v>
      </c>
      <c r="I21" s="187"/>
      <c r="J21" s="188"/>
      <c r="L21" s="7">
        <v>650</v>
      </c>
      <c r="O21" t="s">
        <v>44</v>
      </c>
      <c r="P21" s="4">
        <v>1447</v>
      </c>
      <c r="Q21" s="4">
        <v>120</v>
      </c>
      <c r="R21" s="5">
        <f t="shared" si="0"/>
        <v>1567</v>
      </c>
    </row>
    <row r="22" spans="1:18" ht="15.75" x14ac:dyDescent="0.25">
      <c r="A22" s="128"/>
      <c r="B22" s="46" t="s">
        <v>104</v>
      </c>
      <c r="C22" s="10"/>
      <c r="D22" s="48">
        <f t="shared" si="1"/>
        <v>0</v>
      </c>
      <c r="F22" s="72"/>
      <c r="G22" s="73"/>
      <c r="H22" s="189"/>
      <c r="I22" s="189"/>
      <c r="J22" s="189"/>
      <c r="L22" s="7">
        <f>559+111</f>
        <v>670</v>
      </c>
      <c r="O22" t="s">
        <v>46</v>
      </c>
      <c r="P22" s="4">
        <v>1582</v>
      </c>
      <c r="Q22" s="4"/>
      <c r="R22" s="5">
        <f t="shared" si="0"/>
        <v>1582</v>
      </c>
    </row>
    <row r="23" spans="1:18" ht="15.75" x14ac:dyDescent="0.25">
      <c r="A23" s="128"/>
      <c r="B23" s="14" t="s">
        <v>107</v>
      </c>
      <c r="C23" s="10"/>
      <c r="D23" s="48">
        <f t="shared" si="1"/>
        <v>0</v>
      </c>
      <c r="F23" s="25"/>
      <c r="G23" s="37"/>
      <c r="H23" s="190"/>
      <c r="I23" s="191"/>
      <c r="J23" s="191"/>
      <c r="L23" s="47">
        <f>R33</f>
        <v>1175</v>
      </c>
      <c r="N23" s="1"/>
      <c r="O23" t="s">
        <v>48</v>
      </c>
      <c r="P23" s="4">
        <v>1728</v>
      </c>
      <c r="Q23" s="4"/>
      <c r="R23" s="5">
        <f t="shared" si="0"/>
        <v>1728</v>
      </c>
    </row>
    <row r="24" spans="1:18" ht="15.75" x14ac:dyDescent="0.25">
      <c r="A24" s="128"/>
      <c r="B24" s="14" t="s">
        <v>123</v>
      </c>
      <c r="C24" s="10"/>
      <c r="D24" s="48">
        <f t="shared" si="1"/>
        <v>0</v>
      </c>
      <c r="F24" s="38"/>
      <c r="G24" s="37"/>
      <c r="H24" s="190"/>
      <c r="I24" s="191"/>
      <c r="J24" s="191"/>
      <c r="L24" s="47">
        <f>596/6</f>
        <v>99.333333333333329</v>
      </c>
      <c r="N24" s="1"/>
      <c r="O24" t="s">
        <v>49</v>
      </c>
      <c r="P24" s="4">
        <v>1728</v>
      </c>
      <c r="Q24" s="4"/>
      <c r="R24" s="5">
        <f t="shared" si="0"/>
        <v>1728</v>
      </c>
    </row>
    <row r="25" spans="1:18" ht="15.75" x14ac:dyDescent="0.25">
      <c r="A25" s="128"/>
      <c r="B25" s="14" t="s">
        <v>124</v>
      </c>
      <c r="C25" s="10"/>
      <c r="D25" s="48">
        <f t="shared" si="1"/>
        <v>0</v>
      </c>
      <c r="F25" s="60" t="s">
        <v>100</v>
      </c>
      <c r="G25" s="55" t="s">
        <v>98</v>
      </c>
      <c r="H25" s="192" t="s">
        <v>13</v>
      </c>
      <c r="I25" s="193"/>
      <c r="J25" s="194"/>
      <c r="L25" s="47">
        <f>674/6</f>
        <v>112.33333333333333</v>
      </c>
      <c r="O25" t="s">
        <v>51</v>
      </c>
      <c r="P25" s="4">
        <v>1582</v>
      </c>
      <c r="Q25" s="4"/>
      <c r="R25" s="5">
        <f t="shared" si="0"/>
        <v>1582</v>
      </c>
    </row>
    <row r="26" spans="1:18" ht="15.75" x14ac:dyDescent="0.25">
      <c r="A26" s="128"/>
      <c r="B26" s="14" t="s">
        <v>105</v>
      </c>
      <c r="C26" s="10"/>
      <c r="D26" s="48">
        <f t="shared" si="1"/>
        <v>0</v>
      </c>
      <c r="F26" s="64"/>
      <c r="G26" s="10"/>
      <c r="H26" s="195"/>
      <c r="I26" s="196"/>
      <c r="J26" s="197"/>
      <c r="L26" s="7">
        <f>832/24+1.5</f>
        <v>36.166666666666664</v>
      </c>
      <c r="O26" t="s">
        <v>52</v>
      </c>
      <c r="P26" s="4">
        <v>1447</v>
      </c>
      <c r="Q26" s="4">
        <v>120</v>
      </c>
      <c r="R26" s="5">
        <f t="shared" si="0"/>
        <v>1567</v>
      </c>
    </row>
    <row r="27" spans="1:18" ht="14.45" customHeight="1" x14ac:dyDescent="0.25">
      <c r="A27" s="128"/>
      <c r="B27" s="14" t="s">
        <v>109</v>
      </c>
      <c r="C27" s="10"/>
      <c r="D27" s="44">
        <f t="shared" si="1"/>
        <v>0</v>
      </c>
      <c r="F27" s="14"/>
      <c r="G27" s="14"/>
      <c r="H27" s="198"/>
      <c r="I27" s="199"/>
      <c r="J27" s="200"/>
      <c r="L27" s="7">
        <v>1582</v>
      </c>
      <c r="O27" t="s">
        <v>53</v>
      </c>
      <c r="P27" s="4">
        <v>1582</v>
      </c>
      <c r="Q27" s="4"/>
      <c r="R27" s="5">
        <f t="shared" si="0"/>
        <v>1582</v>
      </c>
    </row>
    <row r="28" spans="1:18" ht="15.75" x14ac:dyDescent="0.25">
      <c r="A28" s="129"/>
      <c r="B28" s="46" t="s">
        <v>97</v>
      </c>
      <c r="C28" s="10"/>
      <c r="D28" s="48">
        <f t="shared" si="1"/>
        <v>0</v>
      </c>
      <c r="F28" s="106"/>
      <c r="G28" s="61"/>
      <c r="H28" s="201"/>
      <c r="I28" s="202"/>
      <c r="J28" s="203"/>
      <c r="L28" s="7">
        <v>785</v>
      </c>
      <c r="O28" t="s">
        <v>54</v>
      </c>
      <c r="P28" s="4">
        <v>1447</v>
      </c>
      <c r="Q28" s="4">
        <v>120</v>
      </c>
      <c r="R28" s="5">
        <f t="shared" si="0"/>
        <v>1567</v>
      </c>
    </row>
    <row r="29" spans="1:18" x14ac:dyDescent="0.25">
      <c r="A29" s="167" t="s">
        <v>36</v>
      </c>
      <c r="B29" s="168"/>
      <c r="C29" s="169"/>
      <c r="D29" s="173">
        <f>SUM(D6:D28)</f>
        <v>0</v>
      </c>
      <c r="F29" s="175" t="s">
        <v>55</v>
      </c>
      <c r="G29" s="176"/>
      <c r="H29" s="179">
        <f>H15-H16-H17-H18-H19-H20-H22-H23-H24+H26+H27</f>
        <v>0</v>
      </c>
      <c r="I29" s="180"/>
      <c r="J29" s="181"/>
      <c r="O29" t="s">
        <v>56</v>
      </c>
      <c r="P29" s="4">
        <v>1582</v>
      </c>
      <c r="Q29" s="4"/>
      <c r="R29" s="5">
        <f t="shared" si="0"/>
        <v>1582</v>
      </c>
    </row>
    <row r="30" spans="1:18" x14ac:dyDescent="0.25">
      <c r="A30" s="170"/>
      <c r="B30" s="171"/>
      <c r="C30" s="172"/>
      <c r="D30" s="174"/>
      <c r="F30" s="177"/>
      <c r="G30" s="178"/>
      <c r="H30" s="182"/>
      <c r="I30" s="183"/>
      <c r="J30" s="184"/>
      <c r="N30" s="1"/>
      <c r="Q30" s="4"/>
      <c r="R30" s="5">
        <f t="shared" si="0"/>
        <v>0</v>
      </c>
    </row>
    <row r="31" spans="1:18" x14ac:dyDescent="0.25">
      <c r="A31" s="24"/>
      <c r="B31" s="24"/>
      <c r="C31" s="24"/>
      <c r="D31" s="24"/>
      <c r="F31" s="24"/>
      <c r="G31" s="24"/>
      <c r="O31" t="s">
        <v>57</v>
      </c>
      <c r="P31" s="4">
        <v>1052</v>
      </c>
      <c r="Q31" s="4">
        <v>120</v>
      </c>
      <c r="R31" s="5">
        <f t="shared" si="0"/>
        <v>1172</v>
      </c>
    </row>
    <row r="32" spans="1:18" x14ac:dyDescent="0.25">
      <c r="A32" s="114" t="s">
        <v>58</v>
      </c>
      <c r="B32" s="115"/>
      <c r="C32" s="115"/>
      <c r="D32" s="116"/>
      <c r="F32" s="204" t="s">
        <v>59</v>
      </c>
      <c r="G32" s="205"/>
      <c r="H32" s="205"/>
      <c r="I32" s="205"/>
      <c r="J32" s="206"/>
      <c r="O32" t="s">
        <v>60</v>
      </c>
      <c r="P32" s="4">
        <v>1005</v>
      </c>
      <c r="Q32" s="4">
        <v>120</v>
      </c>
      <c r="R32" s="5">
        <f t="shared" si="0"/>
        <v>1125</v>
      </c>
    </row>
    <row r="33" spans="1:18" x14ac:dyDescent="0.25">
      <c r="A33" s="25"/>
      <c r="B33" s="25" t="s">
        <v>11</v>
      </c>
      <c r="C33" s="25" t="s">
        <v>61</v>
      </c>
      <c r="D33" s="25" t="s">
        <v>13</v>
      </c>
      <c r="F33" s="25" t="s">
        <v>62</v>
      </c>
      <c r="G33" s="107" t="s">
        <v>63</v>
      </c>
      <c r="H33" s="204" t="s">
        <v>13</v>
      </c>
      <c r="I33" s="205"/>
      <c r="J33" s="206"/>
      <c r="O33" t="s">
        <v>64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27" t="s">
        <v>65</v>
      </c>
      <c r="B34" s="26" t="s">
        <v>66</v>
      </c>
      <c r="C34" s="51"/>
      <c r="D34" s="30">
        <f>C34*120</f>
        <v>0</v>
      </c>
      <c r="F34" s="12">
        <v>1000</v>
      </c>
      <c r="G34" s="74"/>
      <c r="H34" s="207">
        <f>F34*G34</f>
        <v>0</v>
      </c>
      <c r="I34" s="208"/>
      <c r="J34" s="209"/>
      <c r="O34" t="s">
        <v>67</v>
      </c>
      <c r="P34" s="4">
        <v>832</v>
      </c>
      <c r="Q34" s="4">
        <v>120</v>
      </c>
      <c r="R34" s="5">
        <f t="shared" si="0"/>
        <v>952</v>
      </c>
    </row>
    <row r="35" spans="1:18" ht="15.75" x14ac:dyDescent="0.25">
      <c r="A35" s="128"/>
      <c r="B35" s="27" t="s">
        <v>68</v>
      </c>
      <c r="C35" s="52"/>
      <c r="D35" s="30">
        <f>C35*84</f>
        <v>0</v>
      </c>
      <c r="F35" s="58">
        <v>500</v>
      </c>
      <c r="G35" s="41"/>
      <c r="H35" s="207">
        <f t="shared" ref="H35:H39" si="2">F35*G35</f>
        <v>0</v>
      </c>
      <c r="I35" s="208"/>
      <c r="J35" s="209"/>
      <c r="O35" t="s">
        <v>69</v>
      </c>
      <c r="P35" s="4">
        <v>1102</v>
      </c>
      <c r="Q35" s="4"/>
      <c r="R35" s="5">
        <f t="shared" si="0"/>
        <v>1102</v>
      </c>
    </row>
    <row r="36" spans="1:18" ht="15.75" x14ac:dyDescent="0.25">
      <c r="A36" s="129"/>
      <c r="B36" s="26" t="s">
        <v>70</v>
      </c>
      <c r="C36" s="10"/>
      <c r="D36" s="12">
        <f>C36*1.5</f>
        <v>0</v>
      </c>
      <c r="F36" s="12">
        <v>200</v>
      </c>
      <c r="G36" s="37"/>
      <c r="H36" s="207">
        <f>F36*G36</f>
        <v>0</v>
      </c>
      <c r="I36" s="208"/>
      <c r="J36" s="209"/>
      <c r="O36" t="s">
        <v>71</v>
      </c>
      <c r="P36" s="4">
        <v>852</v>
      </c>
      <c r="Q36" s="4">
        <v>120</v>
      </c>
      <c r="R36" s="5">
        <f t="shared" si="0"/>
        <v>972</v>
      </c>
    </row>
    <row r="37" spans="1:18" ht="15.75" x14ac:dyDescent="0.25">
      <c r="A37" s="127" t="s">
        <v>72</v>
      </c>
      <c r="B37" s="28" t="s">
        <v>66</v>
      </c>
      <c r="C37" s="53"/>
      <c r="D37" s="12">
        <f>C37*111</f>
        <v>0</v>
      </c>
      <c r="F37" s="12">
        <v>100</v>
      </c>
      <c r="G37" s="39"/>
      <c r="H37" s="207">
        <f t="shared" si="2"/>
        <v>0</v>
      </c>
      <c r="I37" s="208"/>
      <c r="J37" s="209"/>
      <c r="O37" t="s">
        <v>73</v>
      </c>
      <c r="P37" s="4">
        <v>1020</v>
      </c>
      <c r="Q37" s="4">
        <v>120</v>
      </c>
      <c r="R37" s="5">
        <f t="shared" si="0"/>
        <v>1140</v>
      </c>
    </row>
    <row r="38" spans="1:18" ht="15.75" x14ac:dyDescent="0.25">
      <c r="A38" s="128"/>
      <c r="B38" s="29" t="s">
        <v>68</v>
      </c>
      <c r="C38" s="54"/>
      <c r="D38" s="12">
        <f>C38*84</f>
        <v>0</v>
      </c>
      <c r="F38" s="30">
        <v>50</v>
      </c>
      <c r="G38" s="39"/>
      <c r="H38" s="207">
        <f t="shared" si="2"/>
        <v>0</v>
      </c>
      <c r="I38" s="208"/>
      <c r="J38" s="209"/>
      <c r="O38" t="s">
        <v>74</v>
      </c>
      <c r="P38" s="4">
        <v>596</v>
      </c>
      <c r="Q38" s="4">
        <v>111</v>
      </c>
      <c r="R38" s="5">
        <f t="shared" si="0"/>
        <v>707</v>
      </c>
    </row>
    <row r="39" spans="1:18" ht="15.75" x14ac:dyDescent="0.25">
      <c r="A39" s="129"/>
      <c r="B39" s="29" t="s">
        <v>70</v>
      </c>
      <c r="C39" s="52"/>
      <c r="D39" s="31">
        <f>C39*4.5</f>
        <v>0</v>
      </c>
      <c r="F39" s="12">
        <v>20</v>
      </c>
      <c r="G39" s="37"/>
      <c r="H39" s="207">
        <f t="shared" si="2"/>
        <v>0</v>
      </c>
      <c r="I39" s="208"/>
      <c r="J39" s="209"/>
      <c r="O39" t="s">
        <v>75</v>
      </c>
      <c r="P39" s="4">
        <v>1175</v>
      </c>
      <c r="Q39" s="4"/>
      <c r="R39" s="5">
        <f t="shared" si="0"/>
        <v>1175</v>
      </c>
    </row>
    <row r="40" spans="1:18" ht="15.75" x14ac:dyDescent="0.25">
      <c r="A40" s="127" t="s">
        <v>76</v>
      </c>
      <c r="B40" s="27" t="s">
        <v>66</v>
      </c>
      <c r="C40" s="63"/>
      <c r="D40" s="12">
        <f>C40*111</f>
        <v>0</v>
      </c>
      <c r="F40" s="12">
        <v>10</v>
      </c>
      <c r="G40" s="42"/>
      <c r="H40" s="207"/>
      <c r="I40" s="208"/>
      <c r="J40" s="209"/>
      <c r="O40" t="s">
        <v>77</v>
      </c>
      <c r="P40" s="4">
        <v>913</v>
      </c>
      <c r="Q40" s="4">
        <v>120</v>
      </c>
      <c r="R40" s="5">
        <f t="shared" si="0"/>
        <v>1033</v>
      </c>
    </row>
    <row r="41" spans="1:18" ht="15.75" x14ac:dyDescent="0.25">
      <c r="A41" s="128"/>
      <c r="B41" s="27" t="s">
        <v>68</v>
      </c>
      <c r="C41" s="10"/>
      <c r="D41" s="12">
        <f>C41*84</f>
        <v>0</v>
      </c>
      <c r="F41" s="12">
        <v>5</v>
      </c>
      <c r="G41" s="42"/>
      <c r="H41" s="207"/>
      <c r="I41" s="208"/>
      <c r="J41" s="209"/>
      <c r="K41" s="21"/>
      <c r="O41" t="s">
        <v>78</v>
      </c>
      <c r="P41" s="4">
        <v>614</v>
      </c>
      <c r="Q41" s="4">
        <v>111</v>
      </c>
      <c r="R41" s="5">
        <f t="shared" si="0"/>
        <v>725</v>
      </c>
    </row>
    <row r="42" spans="1:18" ht="15.75" x14ac:dyDescent="0.25">
      <c r="A42" s="129"/>
      <c r="B42" s="27" t="s">
        <v>70</v>
      </c>
      <c r="C42" s="11"/>
      <c r="D42" s="12">
        <f>C42*2.25</f>
        <v>0</v>
      </c>
      <c r="F42" s="39" t="s">
        <v>79</v>
      </c>
      <c r="G42" s="207"/>
      <c r="H42" s="208"/>
      <c r="I42" s="208"/>
      <c r="J42" s="209"/>
      <c r="K42" s="36"/>
      <c r="O42" t="s">
        <v>80</v>
      </c>
      <c r="P42" s="4">
        <v>626</v>
      </c>
      <c r="Q42" s="4">
        <v>111</v>
      </c>
      <c r="R42" s="5">
        <f t="shared" si="0"/>
        <v>737</v>
      </c>
    </row>
    <row r="43" spans="1:18" ht="15.75" x14ac:dyDescent="0.25">
      <c r="A43" s="210" t="s">
        <v>81</v>
      </c>
      <c r="C43" s="11"/>
      <c r="D43" s="12"/>
      <c r="F43" s="59" t="s">
        <v>82</v>
      </c>
      <c r="G43" s="109" t="s">
        <v>83</v>
      </c>
      <c r="H43" s="213" t="s">
        <v>13</v>
      </c>
      <c r="I43" s="214"/>
      <c r="J43" s="215"/>
      <c r="K43" s="21"/>
      <c r="P43" s="4"/>
      <c r="Q43" s="4"/>
      <c r="R43" s="5"/>
    </row>
    <row r="44" spans="1:18" ht="15.75" x14ac:dyDescent="0.25">
      <c r="A44" s="211"/>
      <c r="B44" s="27" t="s">
        <v>66</v>
      </c>
      <c r="C44" s="10"/>
      <c r="D44" s="12">
        <f>C44*120</f>
        <v>0</v>
      </c>
      <c r="F44" s="37"/>
      <c r="G44" s="62"/>
      <c r="H44" s="191"/>
      <c r="I44" s="191"/>
      <c r="J44" s="191"/>
      <c r="K44" s="21"/>
      <c r="P44" s="4"/>
      <c r="Q44" s="4"/>
      <c r="R44" s="5"/>
    </row>
    <row r="45" spans="1:18" ht="15.75" x14ac:dyDescent="0.25">
      <c r="A45" s="211"/>
      <c r="B45" s="27" t="s">
        <v>68</v>
      </c>
      <c r="C45" s="33"/>
      <c r="D45" s="12">
        <f>C45*84</f>
        <v>0</v>
      </c>
      <c r="F45" s="37"/>
      <c r="G45" s="62"/>
      <c r="H45" s="191"/>
      <c r="I45" s="191"/>
      <c r="J45" s="191"/>
      <c r="K45" s="21"/>
      <c r="P45" s="4"/>
      <c r="Q45" s="4"/>
      <c r="R45" s="5"/>
    </row>
    <row r="46" spans="1:18" ht="15.75" x14ac:dyDescent="0.25">
      <c r="A46" s="211"/>
      <c r="B46" s="49" t="s">
        <v>70</v>
      </c>
      <c r="C46" s="81"/>
      <c r="D46" s="12">
        <f>C46*1.5</f>
        <v>0</v>
      </c>
      <c r="F46" s="37"/>
      <c r="G46" s="108"/>
      <c r="H46" s="216"/>
      <c r="I46" s="216"/>
      <c r="J46" s="216"/>
      <c r="K46" s="21"/>
      <c r="P46" s="4"/>
      <c r="Q46" s="4"/>
      <c r="R46" s="5"/>
    </row>
    <row r="47" spans="1:18" ht="15.75" x14ac:dyDescent="0.25">
      <c r="A47" s="212"/>
      <c r="B47" s="27"/>
      <c r="C47" s="11"/>
      <c r="D47" s="12"/>
      <c r="F47" s="59"/>
      <c r="G47" s="59"/>
      <c r="H47" s="217"/>
      <c r="I47" s="218"/>
      <c r="J47" s="219"/>
      <c r="K47" s="21"/>
      <c r="P47" s="4"/>
      <c r="Q47" s="4"/>
      <c r="R47" s="5"/>
    </row>
    <row r="48" spans="1:18" ht="15" customHeight="1" x14ac:dyDescent="0.25">
      <c r="A48" s="210" t="s">
        <v>32</v>
      </c>
      <c r="B48" s="27" t="s">
        <v>66</v>
      </c>
      <c r="C48" s="10"/>
      <c r="D48" s="12">
        <f>C48*78</f>
        <v>0</v>
      </c>
      <c r="F48" s="59"/>
      <c r="G48" s="59"/>
      <c r="H48" s="217"/>
      <c r="I48" s="218"/>
      <c r="J48" s="219"/>
      <c r="K48" s="35"/>
      <c r="O48" t="s">
        <v>84</v>
      </c>
      <c r="P48" s="4">
        <v>1175</v>
      </c>
      <c r="Q48" s="4"/>
      <c r="R48" s="5">
        <f t="shared" si="0"/>
        <v>1175</v>
      </c>
    </row>
    <row r="49" spans="1:18" ht="15.75" x14ac:dyDescent="0.25">
      <c r="A49" s="211"/>
      <c r="B49" s="29" t="s">
        <v>68</v>
      </c>
      <c r="C49" s="33"/>
      <c r="D49" s="12">
        <f>C49*42</f>
        <v>0</v>
      </c>
      <c r="F49" s="232" t="s">
        <v>86</v>
      </c>
      <c r="G49" s="179">
        <f>H34+H35+H36+H37+H38+H39+H40+H41+G42+H44+H45+H46</f>
        <v>0</v>
      </c>
      <c r="H49" s="180"/>
      <c r="I49" s="180"/>
      <c r="J49" s="181"/>
      <c r="O49" t="s">
        <v>85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211"/>
      <c r="B50" s="32" t="s">
        <v>70</v>
      </c>
      <c r="C50" s="11"/>
      <c r="D50" s="12">
        <f>C50*1.5</f>
        <v>0</v>
      </c>
      <c r="F50" s="233"/>
      <c r="G50" s="182"/>
      <c r="H50" s="183"/>
      <c r="I50" s="183"/>
      <c r="J50" s="184"/>
      <c r="P50" s="4"/>
      <c r="Q50" s="4"/>
      <c r="R50" s="5"/>
    </row>
    <row r="51" spans="1:18" ht="15" customHeight="1" x14ac:dyDescent="0.25">
      <c r="A51" s="211"/>
      <c r="B51" s="27"/>
      <c r="C51" s="10"/>
      <c r="D51" s="31"/>
      <c r="F51" s="234" t="s">
        <v>132</v>
      </c>
      <c r="G51" s="247">
        <f>G49-H29</f>
        <v>0</v>
      </c>
      <c r="H51" s="248"/>
      <c r="I51" s="248"/>
      <c r="J51" s="249"/>
      <c r="K51" s="21"/>
      <c r="O51" t="s">
        <v>87</v>
      </c>
      <c r="P51" s="4">
        <v>703</v>
      </c>
      <c r="Q51" s="4">
        <v>120</v>
      </c>
      <c r="R51" s="5">
        <f t="shared" si="0"/>
        <v>823</v>
      </c>
    </row>
    <row r="52" spans="1:18" ht="15.75" x14ac:dyDescent="0.25">
      <c r="A52" s="211"/>
      <c r="B52" s="29"/>
      <c r="C52" s="33"/>
      <c r="D52" s="45"/>
      <c r="F52" s="235"/>
      <c r="G52" s="250"/>
      <c r="H52" s="251"/>
      <c r="I52" s="251"/>
      <c r="J52" s="252"/>
      <c r="K52" s="21"/>
      <c r="O52" t="s">
        <v>88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212"/>
      <c r="B53" s="32"/>
      <c r="C53" s="11"/>
      <c r="D53" s="12"/>
      <c r="F53" s="35"/>
      <c r="G53" s="24"/>
      <c r="H53" s="24"/>
      <c r="I53" s="24"/>
      <c r="J53" s="17"/>
      <c r="N53" s="1"/>
      <c r="O53" t="s">
        <v>89</v>
      </c>
      <c r="P53" s="4">
        <v>1142</v>
      </c>
    </row>
    <row r="54" spans="1:18" x14ac:dyDescent="0.25">
      <c r="A54" s="175" t="s">
        <v>90</v>
      </c>
      <c r="B54" s="220"/>
      <c r="C54" s="221"/>
      <c r="D54" s="224">
        <f>SUM(D34:D53)</f>
        <v>0</v>
      </c>
      <c r="F54" s="21"/>
      <c r="J54" s="34"/>
    </row>
    <row r="55" spans="1:18" x14ac:dyDescent="0.25">
      <c r="A55" s="177"/>
      <c r="B55" s="222"/>
      <c r="C55" s="223"/>
      <c r="D55" s="225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135</v>
      </c>
      <c r="D57" s="34"/>
      <c r="F57" s="36"/>
      <c r="G57" s="50"/>
      <c r="H57" s="50"/>
      <c r="I57" s="50"/>
      <c r="J57" s="43"/>
    </row>
    <row r="58" spans="1:18" x14ac:dyDescent="0.25">
      <c r="A58" s="226" t="s">
        <v>91</v>
      </c>
      <c r="B58" s="227"/>
      <c r="C58" s="227"/>
      <c r="D58" s="228"/>
      <c r="F58" s="226" t="s">
        <v>92</v>
      </c>
      <c r="G58" s="227"/>
      <c r="H58" s="227"/>
      <c r="I58" s="227"/>
      <c r="J58" s="228"/>
    </row>
    <row r="59" spans="1:18" x14ac:dyDescent="0.25">
      <c r="A59" s="229"/>
      <c r="B59" s="230"/>
      <c r="C59" s="230"/>
      <c r="D59" s="231"/>
      <c r="F59" s="229"/>
      <c r="G59" s="230"/>
      <c r="H59" s="230"/>
      <c r="I59" s="230"/>
      <c r="J59" s="231"/>
    </row>
  </sheetData>
  <mergeCells count="68"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  <mergeCell ref="H13:J13"/>
    <mergeCell ref="F14:G14"/>
    <mergeCell ref="H14:J14"/>
    <mergeCell ref="F15:G15"/>
    <mergeCell ref="H15:J15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A32:D32"/>
    <mergeCell ref="F32:J32"/>
    <mergeCell ref="H33:J33"/>
    <mergeCell ref="A34:A36"/>
    <mergeCell ref="H34:J34"/>
    <mergeCell ref="H35:J35"/>
    <mergeCell ref="H36:J36"/>
    <mergeCell ref="A37:A39"/>
    <mergeCell ref="H37:J37"/>
    <mergeCell ref="H38:J38"/>
    <mergeCell ref="H39:J39"/>
    <mergeCell ref="A40:A42"/>
    <mergeCell ref="H40:J40"/>
    <mergeCell ref="H41:J41"/>
    <mergeCell ref="G42:J42"/>
    <mergeCell ref="A43:A47"/>
    <mergeCell ref="H43:J43"/>
    <mergeCell ref="H44:J44"/>
    <mergeCell ref="H45:J45"/>
    <mergeCell ref="H46:J46"/>
    <mergeCell ref="H47:J47"/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7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3E0105C-1975-452C-8A8F-B46AF4EAC21E}">
  <dimension ref="A1:R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113" t="s">
        <v>1</v>
      </c>
      <c r="O1" s="113"/>
      <c r="P1" s="105" t="s">
        <v>2</v>
      </c>
      <c r="Q1" s="105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14" t="s">
        <v>7</v>
      </c>
      <c r="B4" s="115"/>
      <c r="C4" s="115"/>
      <c r="D4" s="116"/>
      <c r="F4" s="117" t="s">
        <v>8</v>
      </c>
      <c r="G4" s="119">
        <v>3</v>
      </c>
      <c r="H4" s="121" t="s">
        <v>9</v>
      </c>
      <c r="I4" s="123">
        <v>45982</v>
      </c>
      <c r="J4" s="124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27" t="s">
        <v>7</v>
      </c>
      <c r="B5" s="15" t="s">
        <v>11</v>
      </c>
      <c r="C5" s="9" t="s">
        <v>12</v>
      </c>
      <c r="D5" s="25" t="s">
        <v>13</v>
      </c>
      <c r="F5" s="118"/>
      <c r="G5" s="120"/>
      <c r="H5" s="122"/>
      <c r="I5" s="125"/>
      <c r="J5" s="126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28"/>
      <c r="B6" s="16" t="s">
        <v>15</v>
      </c>
      <c r="C6" s="10"/>
      <c r="D6" s="13">
        <f t="shared" ref="D6:D28" si="1">C6*L6</f>
        <v>0</v>
      </c>
      <c r="F6" s="130" t="s">
        <v>16</v>
      </c>
      <c r="G6" s="132" t="s">
        <v>111</v>
      </c>
      <c r="H6" s="133"/>
      <c r="I6" s="133"/>
      <c r="J6" s="134"/>
      <c r="K6" s="8"/>
      <c r="L6" s="6">
        <f>R42</f>
        <v>737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28"/>
      <c r="B7" s="16" t="s">
        <v>18</v>
      </c>
      <c r="C7" s="10"/>
      <c r="D7" s="13">
        <f t="shared" si="1"/>
        <v>0</v>
      </c>
      <c r="F7" s="131"/>
      <c r="G7" s="135"/>
      <c r="H7" s="136"/>
      <c r="I7" s="136"/>
      <c r="J7" s="137"/>
      <c r="K7" s="8"/>
      <c r="L7" s="6">
        <f>R41</f>
        <v>725</v>
      </c>
      <c r="P7" s="4"/>
      <c r="Q7" s="4"/>
      <c r="R7" s="5"/>
    </row>
    <row r="8" spans="1:18" ht="14.45" customHeight="1" x14ac:dyDescent="0.25">
      <c r="A8" s="128"/>
      <c r="B8" s="16" t="s">
        <v>20</v>
      </c>
      <c r="C8" s="10"/>
      <c r="D8" s="13">
        <f t="shared" si="1"/>
        <v>0</v>
      </c>
      <c r="F8" s="138" t="s">
        <v>21</v>
      </c>
      <c r="G8" s="140" t="s">
        <v>119</v>
      </c>
      <c r="H8" s="141"/>
      <c r="I8" s="141"/>
      <c r="J8" s="142"/>
      <c r="K8" s="8"/>
      <c r="L8" s="6">
        <f>R40</f>
        <v>1033</v>
      </c>
      <c r="P8" s="4"/>
      <c r="Q8" s="4"/>
      <c r="R8" s="5"/>
    </row>
    <row r="9" spans="1:18" ht="14.45" customHeight="1" x14ac:dyDescent="0.25">
      <c r="A9" s="128"/>
      <c r="B9" s="16" t="s">
        <v>23</v>
      </c>
      <c r="C9" s="10"/>
      <c r="D9" s="13">
        <f t="shared" si="1"/>
        <v>0</v>
      </c>
      <c r="F9" s="131"/>
      <c r="G9" s="143"/>
      <c r="H9" s="144"/>
      <c r="I9" s="144"/>
      <c r="J9" s="145"/>
      <c r="K9" s="8"/>
      <c r="L9" s="6">
        <f>R38</f>
        <v>707</v>
      </c>
      <c r="P9" s="4"/>
      <c r="Q9" s="4"/>
      <c r="R9" s="5"/>
    </row>
    <row r="10" spans="1:18" ht="14.45" customHeight="1" x14ac:dyDescent="0.25">
      <c r="A10" s="128"/>
      <c r="B10" t="s">
        <v>25</v>
      </c>
      <c r="C10" s="10"/>
      <c r="D10" s="13">
        <f t="shared" si="1"/>
        <v>0</v>
      </c>
      <c r="F10" s="130" t="s">
        <v>26</v>
      </c>
      <c r="G10" s="146" t="s">
        <v>137</v>
      </c>
      <c r="H10" s="147"/>
      <c r="I10" s="147"/>
      <c r="J10" s="148"/>
      <c r="K10" s="8"/>
      <c r="L10" s="6">
        <f>R36</f>
        <v>972</v>
      </c>
      <c r="P10" s="4"/>
      <c r="Q10" s="4"/>
      <c r="R10" s="5"/>
    </row>
    <row r="11" spans="1:18" ht="15.75" x14ac:dyDescent="0.25">
      <c r="A11" s="128"/>
      <c r="B11" s="17" t="s">
        <v>28</v>
      </c>
      <c r="C11" s="10"/>
      <c r="D11" s="13">
        <f t="shared" si="1"/>
        <v>0</v>
      </c>
      <c r="F11" s="131"/>
      <c r="G11" s="143"/>
      <c r="H11" s="144"/>
      <c r="I11" s="144"/>
      <c r="J11" s="145"/>
      <c r="K11" s="22"/>
      <c r="L11" s="6">
        <f>R32</f>
        <v>1125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28"/>
      <c r="B12" s="17" t="s">
        <v>30</v>
      </c>
      <c r="C12" s="10"/>
      <c r="D12" s="48">
        <f t="shared" si="1"/>
        <v>0</v>
      </c>
      <c r="F12" s="149" t="s">
        <v>33</v>
      </c>
      <c r="G12" s="150"/>
      <c r="H12" s="150"/>
      <c r="I12" s="150"/>
      <c r="J12" s="151"/>
      <c r="K12" s="23"/>
      <c r="L12" s="6">
        <f>R34</f>
        <v>952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28"/>
      <c r="B13" s="17" t="s">
        <v>32</v>
      </c>
      <c r="C13" s="10"/>
      <c r="D13" s="48">
        <f t="shared" si="1"/>
        <v>0</v>
      </c>
      <c r="F13" s="152" t="s">
        <v>36</v>
      </c>
      <c r="G13" s="153"/>
      <c r="H13" s="154">
        <f>D29</f>
        <v>0</v>
      </c>
      <c r="I13" s="155"/>
      <c r="J13" s="156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28"/>
      <c r="B14" s="14" t="s">
        <v>35</v>
      </c>
      <c r="C14" s="10"/>
      <c r="D14" s="31">
        <f t="shared" si="1"/>
        <v>0</v>
      </c>
      <c r="F14" s="157" t="s">
        <v>39</v>
      </c>
      <c r="G14" s="158"/>
      <c r="H14" s="159">
        <f>D54</f>
        <v>0</v>
      </c>
      <c r="I14" s="160"/>
      <c r="J14" s="161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28"/>
      <c r="B15" s="14" t="s">
        <v>38</v>
      </c>
      <c r="C15" s="10"/>
      <c r="D15" s="31">
        <f t="shared" si="1"/>
        <v>0</v>
      </c>
      <c r="F15" s="162" t="s">
        <v>40</v>
      </c>
      <c r="G15" s="153"/>
      <c r="H15" s="163">
        <f>H13-H14</f>
        <v>0</v>
      </c>
      <c r="I15" s="164"/>
      <c r="J15" s="165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28"/>
      <c r="B16" s="18" t="s">
        <v>94</v>
      </c>
      <c r="C16" s="10"/>
      <c r="D16" s="48">
        <f t="shared" si="1"/>
        <v>0</v>
      </c>
      <c r="F16" s="67" t="s">
        <v>42</v>
      </c>
      <c r="G16" s="66" t="s">
        <v>43</v>
      </c>
      <c r="H16" s="166"/>
      <c r="I16" s="166"/>
      <c r="J16" s="166"/>
      <c r="L16" s="6">
        <f>R28</f>
        <v>1567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28"/>
      <c r="B17" t="s">
        <v>113</v>
      </c>
      <c r="C17" s="10"/>
      <c r="D17" s="48">
        <f t="shared" si="1"/>
        <v>0</v>
      </c>
      <c r="F17" s="56"/>
      <c r="G17" s="66" t="s">
        <v>45</v>
      </c>
      <c r="H17" s="139"/>
      <c r="I17" s="139"/>
      <c r="J17" s="139"/>
      <c r="L17" s="6">
        <v>1582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28"/>
      <c r="B18" s="19" t="s">
        <v>95</v>
      </c>
      <c r="C18" s="10"/>
      <c r="D18" s="48">
        <f t="shared" si="1"/>
        <v>0</v>
      </c>
      <c r="F18" s="56"/>
      <c r="G18" s="66" t="s">
        <v>47</v>
      </c>
      <c r="H18" s="139"/>
      <c r="I18" s="139"/>
      <c r="J18" s="139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28"/>
      <c r="B19" s="14" t="s">
        <v>117</v>
      </c>
      <c r="C19" s="10"/>
      <c r="D19" s="48">
        <f t="shared" si="1"/>
        <v>0</v>
      </c>
      <c r="F19" s="56"/>
      <c r="G19" s="68" t="s">
        <v>50</v>
      </c>
      <c r="H19" s="253"/>
      <c r="I19" s="253"/>
      <c r="J19" s="253"/>
      <c r="L19" s="6">
        <f>R35</f>
        <v>1102</v>
      </c>
      <c r="Q19" s="4"/>
      <c r="R19" s="5">
        <f t="shared" si="0"/>
        <v>0</v>
      </c>
    </row>
    <row r="20" spans="1:18" ht="15.75" x14ac:dyDescent="0.25">
      <c r="A20" s="128"/>
      <c r="B20" s="46" t="s">
        <v>108</v>
      </c>
      <c r="C20" s="10"/>
      <c r="D20" s="13">
        <f t="shared" si="1"/>
        <v>0</v>
      </c>
      <c r="F20" s="57"/>
      <c r="G20" s="70" t="s">
        <v>120</v>
      </c>
      <c r="H20" s="166"/>
      <c r="I20" s="166"/>
      <c r="J20" s="166"/>
      <c r="L20" s="6">
        <f>1102</f>
        <v>1102</v>
      </c>
      <c r="N20" s="1" t="s">
        <v>41</v>
      </c>
      <c r="Q20" s="4"/>
      <c r="R20" s="5">
        <f t="shared" si="0"/>
        <v>0</v>
      </c>
    </row>
    <row r="21" spans="1:18" ht="15.75" x14ac:dyDescent="0.25">
      <c r="A21" s="128"/>
      <c r="B21" s="14" t="s">
        <v>126</v>
      </c>
      <c r="C21" s="10"/>
      <c r="D21" s="48">
        <f t="shared" si="1"/>
        <v>0</v>
      </c>
      <c r="F21" s="69" t="s">
        <v>99</v>
      </c>
      <c r="G21" s="82" t="s">
        <v>98</v>
      </c>
      <c r="H21" s="186" t="s">
        <v>13</v>
      </c>
      <c r="I21" s="187"/>
      <c r="J21" s="188"/>
      <c r="L21" s="7">
        <v>650</v>
      </c>
      <c r="O21" t="s">
        <v>44</v>
      </c>
      <c r="P21" s="4">
        <v>1447</v>
      </c>
      <c r="Q21" s="4">
        <v>120</v>
      </c>
      <c r="R21" s="5">
        <f t="shared" si="0"/>
        <v>1567</v>
      </c>
    </row>
    <row r="22" spans="1:18" ht="15.75" x14ac:dyDescent="0.25">
      <c r="A22" s="128"/>
      <c r="B22" s="46" t="s">
        <v>104</v>
      </c>
      <c r="C22" s="10"/>
      <c r="D22" s="48">
        <f t="shared" si="1"/>
        <v>0</v>
      </c>
      <c r="F22" s="77"/>
      <c r="G22" s="73"/>
      <c r="H22" s="189"/>
      <c r="I22" s="189"/>
      <c r="J22" s="189"/>
      <c r="L22" s="7">
        <f>559+111</f>
        <v>670</v>
      </c>
      <c r="O22" t="s">
        <v>46</v>
      </c>
      <c r="P22" s="4">
        <v>1582</v>
      </c>
      <c r="Q22" s="4"/>
      <c r="R22" s="5">
        <f t="shared" si="0"/>
        <v>1582</v>
      </c>
    </row>
    <row r="23" spans="1:18" ht="15.75" x14ac:dyDescent="0.25">
      <c r="A23" s="128"/>
      <c r="B23" s="14" t="s">
        <v>107</v>
      </c>
      <c r="C23" s="10"/>
      <c r="D23" s="48">
        <f t="shared" si="1"/>
        <v>0</v>
      </c>
      <c r="F23" s="78"/>
      <c r="G23" s="79"/>
      <c r="H23" s="190"/>
      <c r="I23" s="191"/>
      <c r="J23" s="191"/>
      <c r="L23" s="47">
        <f>R33</f>
        <v>1175</v>
      </c>
      <c r="N23" s="1"/>
      <c r="O23" t="s">
        <v>48</v>
      </c>
      <c r="P23" s="4">
        <v>1728</v>
      </c>
      <c r="Q23" s="4"/>
      <c r="R23" s="5">
        <f t="shared" si="0"/>
        <v>1728</v>
      </c>
    </row>
    <row r="24" spans="1:18" ht="15.75" x14ac:dyDescent="0.25">
      <c r="A24" s="128"/>
      <c r="B24" s="14" t="s">
        <v>101</v>
      </c>
      <c r="C24" s="10"/>
      <c r="D24" s="48">
        <f t="shared" si="1"/>
        <v>0</v>
      </c>
      <c r="F24" s="38"/>
      <c r="G24" s="37"/>
      <c r="H24" s="190"/>
      <c r="I24" s="191"/>
      <c r="J24" s="191"/>
      <c r="L24" s="47">
        <v>1667</v>
      </c>
      <c r="N24" s="1"/>
      <c r="O24" t="s">
        <v>49</v>
      </c>
      <c r="P24" s="4">
        <v>1728</v>
      </c>
      <c r="Q24" s="4"/>
      <c r="R24" s="5">
        <f t="shared" si="0"/>
        <v>1728</v>
      </c>
    </row>
    <row r="25" spans="1:18" ht="15.75" x14ac:dyDescent="0.25">
      <c r="A25" s="128"/>
      <c r="B25" s="14" t="s">
        <v>116</v>
      </c>
      <c r="C25" s="10"/>
      <c r="D25" s="48">
        <f t="shared" si="1"/>
        <v>0</v>
      </c>
      <c r="F25" s="60" t="s">
        <v>100</v>
      </c>
      <c r="G25" s="55" t="s">
        <v>98</v>
      </c>
      <c r="H25" s="192" t="s">
        <v>13</v>
      </c>
      <c r="I25" s="193"/>
      <c r="J25" s="194"/>
      <c r="L25" s="47">
        <f>1582</f>
        <v>1582</v>
      </c>
      <c r="O25" t="s">
        <v>51</v>
      </c>
      <c r="P25" s="4">
        <v>1582</v>
      </c>
      <c r="Q25" s="4"/>
      <c r="R25" s="5">
        <f t="shared" si="0"/>
        <v>1582</v>
      </c>
    </row>
    <row r="26" spans="1:18" ht="15.75" x14ac:dyDescent="0.25">
      <c r="A26" s="128"/>
      <c r="B26" s="14" t="s">
        <v>105</v>
      </c>
      <c r="C26" s="10"/>
      <c r="D26" s="48">
        <f t="shared" si="1"/>
        <v>0</v>
      </c>
      <c r="F26" s="64"/>
      <c r="G26" s="59"/>
      <c r="H26" s="195"/>
      <c r="I26" s="196"/>
      <c r="J26" s="197"/>
      <c r="L26" s="7">
        <f>832/24+1.5</f>
        <v>36.166666666666664</v>
      </c>
      <c r="O26" t="s">
        <v>52</v>
      </c>
      <c r="P26" s="4">
        <v>1447</v>
      </c>
      <c r="Q26" s="4">
        <v>120</v>
      </c>
      <c r="R26" s="5">
        <f t="shared" si="0"/>
        <v>1567</v>
      </c>
    </row>
    <row r="27" spans="1:18" ht="14.45" customHeight="1" x14ac:dyDescent="0.25">
      <c r="A27" s="128"/>
      <c r="B27" s="14" t="s">
        <v>109</v>
      </c>
      <c r="C27" s="10"/>
      <c r="D27" s="44">
        <f t="shared" si="1"/>
        <v>0</v>
      </c>
      <c r="F27" s="25"/>
      <c r="G27" s="80"/>
      <c r="H27" s="198"/>
      <c r="I27" s="199"/>
      <c r="J27" s="200"/>
      <c r="L27" s="7">
        <v>1582</v>
      </c>
      <c r="O27" t="s">
        <v>53</v>
      </c>
      <c r="P27" s="4">
        <v>1582</v>
      </c>
      <c r="Q27" s="4"/>
      <c r="R27" s="5">
        <f t="shared" si="0"/>
        <v>1582</v>
      </c>
    </row>
    <row r="28" spans="1:18" ht="15.75" x14ac:dyDescent="0.25">
      <c r="A28" s="129"/>
      <c r="B28" s="46" t="s">
        <v>97</v>
      </c>
      <c r="C28" s="10"/>
      <c r="D28" s="48">
        <f t="shared" si="1"/>
        <v>0</v>
      </c>
      <c r="F28" s="106"/>
      <c r="G28" s="61"/>
      <c r="H28" s="201"/>
      <c r="I28" s="202"/>
      <c r="J28" s="203"/>
      <c r="L28" s="7">
        <v>785</v>
      </c>
      <c r="O28" t="s">
        <v>54</v>
      </c>
      <c r="P28" s="4">
        <v>1447</v>
      </c>
      <c r="Q28" s="4">
        <v>120</v>
      </c>
      <c r="R28" s="5">
        <f t="shared" si="0"/>
        <v>1567</v>
      </c>
    </row>
    <row r="29" spans="1:18" x14ac:dyDescent="0.25">
      <c r="A29" s="167" t="s">
        <v>36</v>
      </c>
      <c r="B29" s="168"/>
      <c r="C29" s="169"/>
      <c r="D29" s="173">
        <f>SUM(D6:D28)</f>
        <v>0</v>
      </c>
      <c r="F29" s="175" t="s">
        <v>55</v>
      </c>
      <c r="G29" s="176"/>
      <c r="H29" s="179">
        <f>H15-H16-H17-H18-H19-H20-H22-H23-H24+H26+H27</f>
        <v>0</v>
      </c>
      <c r="I29" s="180"/>
      <c r="J29" s="181"/>
      <c r="O29" t="s">
        <v>56</v>
      </c>
      <c r="P29" s="4">
        <v>1582</v>
      </c>
      <c r="Q29" s="4"/>
      <c r="R29" s="5">
        <f t="shared" si="0"/>
        <v>1582</v>
      </c>
    </row>
    <row r="30" spans="1:18" x14ac:dyDescent="0.25">
      <c r="A30" s="170"/>
      <c r="B30" s="171"/>
      <c r="C30" s="172"/>
      <c r="D30" s="174"/>
      <c r="F30" s="177"/>
      <c r="G30" s="178"/>
      <c r="H30" s="182"/>
      <c r="I30" s="183"/>
      <c r="J30" s="184"/>
      <c r="N30" s="1"/>
      <c r="Q30" s="4"/>
      <c r="R30" s="5">
        <f t="shared" si="0"/>
        <v>0</v>
      </c>
    </row>
    <row r="31" spans="1:18" x14ac:dyDescent="0.25">
      <c r="A31" s="24"/>
      <c r="B31" s="24"/>
      <c r="C31" s="24"/>
      <c r="D31" s="24"/>
      <c r="F31" s="24"/>
      <c r="G31" s="24"/>
      <c r="O31" t="s">
        <v>57</v>
      </c>
      <c r="P31" s="4">
        <v>1052</v>
      </c>
      <c r="Q31" s="4">
        <v>120</v>
      </c>
      <c r="R31" s="5">
        <f t="shared" si="0"/>
        <v>1172</v>
      </c>
    </row>
    <row r="32" spans="1:18" x14ac:dyDescent="0.25">
      <c r="A32" s="114" t="s">
        <v>58</v>
      </c>
      <c r="B32" s="115"/>
      <c r="C32" s="115"/>
      <c r="D32" s="116"/>
      <c r="F32" s="204" t="s">
        <v>59</v>
      </c>
      <c r="G32" s="205"/>
      <c r="H32" s="205"/>
      <c r="I32" s="205"/>
      <c r="J32" s="206"/>
      <c r="O32" t="s">
        <v>60</v>
      </c>
      <c r="P32" s="4">
        <v>1005</v>
      </c>
      <c r="Q32" s="4">
        <v>120</v>
      </c>
      <c r="R32" s="5">
        <f t="shared" si="0"/>
        <v>1125</v>
      </c>
    </row>
    <row r="33" spans="1:18" x14ac:dyDescent="0.25">
      <c r="A33" s="25"/>
      <c r="B33" s="25" t="s">
        <v>11</v>
      </c>
      <c r="C33" s="25" t="s">
        <v>61</v>
      </c>
      <c r="D33" s="25" t="s">
        <v>13</v>
      </c>
      <c r="F33" s="25" t="s">
        <v>62</v>
      </c>
      <c r="G33" s="107" t="s">
        <v>63</v>
      </c>
      <c r="H33" s="204" t="s">
        <v>13</v>
      </c>
      <c r="I33" s="205"/>
      <c r="J33" s="206"/>
      <c r="O33" t="s">
        <v>64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27" t="s">
        <v>65</v>
      </c>
      <c r="B34" s="26" t="s">
        <v>66</v>
      </c>
      <c r="C34" s="51"/>
      <c r="D34" s="30">
        <f>C34*120</f>
        <v>0</v>
      </c>
      <c r="F34" s="12">
        <v>1000</v>
      </c>
      <c r="G34" s="74"/>
      <c r="H34" s="207">
        <f>F34*G34</f>
        <v>0</v>
      </c>
      <c r="I34" s="208"/>
      <c r="J34" s="209"/>
      <c r="O34" t="s">
        <v>67</v>
      </c>
      <c r="P34" s="4">
        <v>832</v>
      </c>
      <c r="Q34" s="4">
        <v>120</v>
      </c>
      <c r="R34" s="5">
        <f t="shared" si="0"/>
        <v>952</v>
      </c>
    </row>
    <row r="35" spans="1:18" ht="15.75" x14ac:dyDescent="0.25">
      <c r="A35" s="128"/>
      <c r="B35" s="27" t="s">
        <v>68</v>
      </c>
      <c r="C35" s="52"/>
      <c r="D35" s="30">
        <f>C35*84</f>
        <v>0</v>
      </c>
      <c r="F35" s="58">
        <v>500</v>
      </c>
      <c r="G35" s="41"/>
      <c r="H35" s="207">
        <f>F35*G35</f>
        <v>0</v>
      </c>
      <c r="I35" s="208"/>
      <c r="J35" s="209"/>
      <c r="O35" t="s">
        <v>69</v>
      </c>
      <c r="P35" s="4">
        <v>1102</v>
      </c>
      <c r="Q35" s="4"/>
      <c r="R35" s="5">
        <f t="shared" si="0"/>
        <v>1102</v>
      </c>
    </row>
    <row r="36" spans="1:18" ht="15.75" x14ac:dyDescent="0.25">
      <c r="A36" s="129"/>
      <c r="B36" s="26" t="s">
        <v>70</v>
      </c>
      <c r="C36" s="10"/>
      <c r="D36" s="12">
        <f>C36*1.5</f>
        <v>0</v>
      </c>
      <c r="F36" s="12">
        <v>200</v>
      </c>
      <c r="G36" s="37"/>
      <c r="H36" s="207">
        <f t="shared" ref="H36:H39" si="2">F36*G36</f>
        <v>0</v>
      </c>
      <c r="I36" s="208"/>
      <c r="J36" s="209"/>
      <c r="O36" t="s">
        <v>71</v>
      </c>
      <c r="P36" s="4">
        <v>852</v>
      </c>
      <c r="Q36" s="4">
        <v>120</v>
      </c>
      <c r="R36" s="5">
        <f t="shared" si="0"/>
        <v>972</v>
      </c>
    </row>
    <row r="37" spans="1:18" ht="15.75" x14ac:dyDescent="0.25">
      <c r="A37" s="127" t="s">
        <v>72</v>
      </c>
      <c r="B37" s="28" t="s">
        <v>66</v>
      </c>
      <c r="C37" s="53"/>
      <c r="D37" s="12">
        <f>C37*111</f>
        <v>0</v>
      </c>
      <c r="F37" s="12">
        <v>100</v>
      </c>
      <c r="G37" s="39"/>
      <c r="H37" s="207">
        <f t="shared" si="2"/>
        <v>0</v>
      </c>
      <c r="I37" s="208"/>
      <c r="J37" s="209"/>
      <c r="O37" t="s">
        <v>73</v>
      </c>
      <c r="P37" s="4">
        <v>1020</v>
      </c>
      <c r="Q37" s="4">
        <v>120</v>
      </c>
      <c r="R37" s="5">
        <f t="shared" si="0"/>
        <v>1140</v>
      </c>
    </row>
    <row r="38" spans="1:18" ht="15.75" x14ac:dyDescent="0.25">
      <c r="A38" s="128"/>
      <c r="B38" s="29" t="s">
        <v>68</v>
      </c>
      <c r="C38" s="54"/>
      <c r="D38" s="12">
        <f>C38*84</f>
        <v>0</v>
      </c>
      <c r="F38" s="30">
        <v>50</v>
      </c>
      <c r="G38" s="39"/>
      <c r="H38" s="207">
        <f t="shared" si="2"/>
        <v>0</v>
      </c>
      <c r="I38" s="208"/>
      <c r="J38" s="209"/>
      <c r="O38" t="s">
        <v>74</v>
      </c>
      <c r="P38" s="4">
        <v>596</v>
      </c>
      <c r="Q38" s="4">
        <v>111</v>
      </c>
      <c r="R38" s="5">
        <f t="shared" si="0"/>
        <v>707</v>
      </c>
    </row>
    <row r="39" spans="1:18" ht="15.75" x14ac:dyDescent="0.25">
      <c r="A39" s="129"/>
      <c r="B39" s="29" t="s">
        <v>70</v>
      </c>
      <c r="C39" s="52"/>
      <c r="D39" s="31">
        <f>C39*4.5</f>
        <v>0</v>
      </c>
      <c r="F39" s="12">
        <v>20</v>
      </c>
      <c r="G39" s="37"/>
      <c r="H39" s="207">
        <f t="shared" si="2"/>
        <v>0</v>
      </c>
      <c r="I39" s="208"/>
      <c r="J39" s="209"/>
      <c r="O39" t="s">
        <v>75</v>
      </c>
      <c r="P39" s="4">
        <v>1175</v>
      </c>
      <c r="Q39" s="4"/>
      <c r="R39" s="5">
        <f t="shared" si="0"/>
        <v>1175</v>
      </c>
    </row>
    <row r="40" spans="1:18" ht="15.75" x14ac:dyDescent="0.25">
      <c r="A40" s="127" t="s">
        <v>76</v>
      </c>
      <c r="B40" s="27" t="s">
        <v>66</v>
      </c>
      <c r="C40" s="63"/>
      <c r="D40" s="12">
        <f>C40*111</f>
        <v>0</v>
      </c>
      <c r="F40" s="12">
        <v>10</v>
      </c>
      <c r="G40" s="42"/>
      <c r="H40" s="207"/>
      <c r="I40" s="208"/>
      <c r="J40" s="209"/>
      <c r="O40" t="s">
        <v>77</v>
      </c>
      <c r="P40" s="4">
        <v>913</v>
      </c>
      <c r="Q40" s="4">
        <v>120</v>
      </c>
      <c r="R40" s="5">
        <f t="shared" si="0"/>
        <v>1033</v>
      </c>
    </row>
    <row r="41" spans="1:18" ht="15.75" x14ac:dyDescent="0.25">
      <c r="A41" s="128"/>
      <c r="B41" s="27" t="s">
        <v>68</v>
      </c>
      <c r="C41" s="10"/>
      <c r="D41" s="12">
        <f>C41*84</f>
        <v>0</v>
      </c>
      <c r="F41" s="12">
        <v>5</v>
      </c>
      <c r="G41" s="42"/>
      <c r="H41" s="207"/>
      <c r="I41" s="208"/>
      <c r="J41" s="209"/>
      <c r="K41" s="21"/>
      <c r="O41" t="s">
        <v>78</v>
      </c>
      <c r="P41" s="4">
        <v>614</v>
      </c>
      <c r="Q41" s="4">
        <v>111</v>
      </c>
      <c r="R41" s="5">
        <f t="shared" si="0"/>
        <v>725</v>
      </c>
    </row>
    <row r="42" spans="1:18" ht="15.75" x14ac:dyDescent="0.25">
      <c r="A42" s="129"/>
      <c r="B42" s="27" t="s">
        <v>70</v>
      </c>
      <c r="C42" s="11"/>
      <c r="D42" s="12">
        <f>C42*2.25</f>
        <v>0</v>
      </c>
      <c r="F42" s="39" t="s">
        <v>79</v>
      </c>
      <c r="G42" s="207"/>
      <c r="H42" s="208"/>
      <c r="I42" s="208"/>
      <c r="J42" s="209"/>
      <c r="K42" s="36"/>
      <c r="O42" t="s">
        <v>80</v>
      </c>
      <c r="P42" s="4">
        <v>626</v>
      </c>
      <c r="Q42" s="4">
        <v>111</v>
      </c>
      <c r="R42" s="5">
        <f t="shared" si="0"/>
        <v>737</v>
      </c>
    </row>
    <row r="43" spans="1:18" ht="15.75" x14ac:dyDescent="0.25">
      <c r="A43" s="210" t="s">
        <v>81</v>
      </c>
      <c r="C43" s="11"/>
      <c r="D43" s="12"/>
      <c r="F43" s="59" t="s">
        <v>82</v>
      </c>
      <c r="G43" s="109" t="s">
        <v>83</v>
      </c>
      <c r="H43" s="213" t="s">
        <v>13</v>
      </c>
      <c r="I43" s="214"/>
      <c r="J43" s="215"/>
      <c r="K43" s="21"/>
      <c r="P43" s="4"/>
      <c r="Q43" s="4"/>
      <c r="R43" s="5"/>
    </row>
    <row r="44" spans="1:18" ht="15.75" x14ac:dyDescent="0.25">
      <c r="A44" s="211"/>
      <c r="B44" s="27" t="s">
        <v>66</v>
      </c>
      <c r="C44" s="10"/>
      <c r="D44" s="12">
        <f>C44*120</f>
        <v>0</v>
      </c>
      <c r="F44" s="37"/>
      <c r="G44" s="76"/>
      <c r="H44" s="191"/>
      <c r="I44" s="191"/>
      <c r="J44" s="191"/>
      <c r="K44" s="21"/>
      <c r="P44" s="4"/>
      <c r="Q44" s="4"/>
      <c r="R44" s="5"/>
    </row>
    <row r="45" spans="1:18" ht="15.75" x14ac:dyDescent="0.25">
      <c r="A45" s="211"/>
      <c r="B45" s="27" t="s">
        <v>68</v>
      </c>
      <c r="C45" s="33"/>
      <c r="D45" s="12">
        <f>C45*84</f>
        <v>0</v>
      </c>
      <c r="F45" s="37"/>
      <c r="G45" s="76"/>
      <c r="H45" s="191"/>
      <c r="I45" s="191"/>
      <c r="J45" s="191"/>
      <c r="K45" s="21"/>
      <c r="P45" s="4"/>
      <c r="Q45" s="4"/>
      <c r="R45" s="5"/>
    </row>
    <row r="46" spans="1:18" ht="15.75" x14ac:dyDescent="0.25">
      <c r="A46" s="211"/>
      <c r="B46" s="49" t="s">
        <v>70</v>
      </c>
      <c r="C46" s="81"/>
      <c r="D46" s="12">
        <f>C46*1.5</f>
        <v>0</v>
      </c>
      <c r="F46" s="37"/>
      <c r="G46" s="62"/>
      <c r="H46" s="216"/>
      <c r="I46" s="216"/>
      <c r="J46" s="216"/>
      <c r="K46" s="21"/>
      <c r="P46" s="4"/>
      <c r="Q46" s="4"/>
      <c r="R46" s="5"/>
    </row>
    <row r="47" spans="1:18" ht="15.75" x14ac:dyDescent="0.25">
      <c r="A47" s="212"/>
      <c r="B47" s="27"/>
      <c r="C47" s="11"/>
      <c r="D47" s="12"/>
      <c r="F47" s="59"/>
      <c r="G47" s="59"/>
      <c r="H47" s="217"/>
      <c r="I47" s="218"/>
      <c r="J47" s="219"/>
      <c r="K47" s="21"/>
      <c r="P47" s="4"/>
      <c r="Q47" s="4"/>
      <c r="R47" s="5"/>
    </row>
    <row r="48" spans="1:18" ht="15" customHeight="1" x14ac:dyDescent="0.25">
      <c r="A48" s="210" t="s">
        <v>32</v>
      </c>
      <c r="B48" s="27" t="s">
        <v>66</v>
      </c>
      <c r="C48" s="10"/>
      <c r="D48" s="12">
        <f>C48*78</f>
        <v>0</v>
      </c>
      <c r="F48" s="59"/>
      <c r="G48" s="59"/>
      <c r="H48" s="217"/>
      <c r="I48" s="218"/>
      <c r="J48" s="219"/>
      <c r="K48" s="35"/>
      <c r="O48" t="s">
        <v>84</v>
      </c>
      <c r="P48" s="4">
        <v>1175</v>
      </c>
      <c r="Q48" s="4"/>
      <c r="R48" s="5">
        <f t="shared" si="0"/>
        <v>1175</v>
      </c>
    </row>
    <row r="49" spans="1:18" ht="15.75" x14ac:dyDescent="0.25">
      <c r="A49" s="211"/>
      <c r="B49" s="29" t="s">
        <v>68</v>
      </c>
      <c r="C49" s="33"/>
      <c r="D49" s="12">
        <f>C49*42</f>
        <v>0</v>
      </c>
      <c r="F49" s="232" t="s">
        <v>86</v>
      </c>
      <c r="G49" s="179">
        <f>H34+H35+H36+H37+H38+H39+H40+H41+G42+H44+H45+H46</f>
        <v>0</v>
      </c>
      <c r="H49" s="180"/>
      <c r="I49" s="180"/>
      <c r="J49" s="181"/>
      <c r="O49" t="s">
        <v>85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211"/>
      <c r="B50" s="32" t="s">
        <v>70</v>
      </c>
      <c r="C50" s="11"/>
      <c r="D50" s="12">
        <f>C50*1.5</f>
        <v>0</v>
      </c>
      <c r="F50" s="233"/>
      <c r="G50" s="182"/>
      <c r="H50" s="183"/>
      <c r="I50" s="183"/>
      <c r="J50" s="184"/>
      <c r="P50" s="4"/>
      <c r="Q50" s="4"/>
      <c r="R50" s="5"/>
    </row>
    <row r="51" spans="1:18" ht="15" customHeight="1" x14ac:dyDescent="0.25">
      <c r="A51" s="211"/>
      <c r="B51" s="27"/>
      <c r="C51" s="10"/>
      <c r="D51" s="31"/>
      <c r="F51" s="234" t="s">
        <v>142</v>
      </c>
      <c r="G51" s="247">
        <f>G49-H29</f>
        <v>0</v>
      </c>
      <c r="H51" s="248"/>
      <c r="I51" s="248"/>
      <c r="J51" s="249"/>
      <c r="K51" s="21"/>
      <c r="O51" t="s">
        <v>87</v>
      </c>
      <c r="P51" s="4">
        <v>703</v>
      </c>
      <c r="Q51" s="4">
        <v>120</v>
      </c>
      <c r="R51" s="5">
        <f t="shared" si="0"/>
        <v>823</v>
      </c>
    </row>
    <row r="52" spans="1:18" ht="15.75" x14ac:dyDescent="0.25">
      <c r="A52" s="211"/>
      <c r="B52" s="29"/>
      <c r="C52" s="33"/>
      <c r="D52" s="45"/>
      <c r="F52" s="235"/>
      <c r="G52" s="250"/>
      <c r="H52" s="251"/>
      <c r="I52" s="251"/>
      <c r="J52" s="252"/>
      <c r="K52" s="21"/>
      <c r="O52" t="s">
        <v>88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212"/>
      <c r="B53" s="32"/>
      <c r="C53" s="11"/>
      <c r="D53" s="12"/>
      <c r="F53" s="35"/>
      <c r="G53" s="24"/>
      <c r="H53" s="24"/>
      <c r="I53" s="24"/>
      <c r="J53" s="17"/>
      <c r="N53" s="1"/>
      <c r="O53" t="s">
        <v>89</v>
      </c>
      <c r="P53" s="4">
        <v>1142</v>
      </c>
    </row>
    <row r="54" spans="1:18" x14ac:dyDescent="0.25">
      <c r="A54" s="175" t="s">
        <v>90</v>
      </c>
      <c r="B54" s="220"/>
      <c r="C54" s="221"/>
      <c r="D54" s="224">
        <f>SUM(D34:D53)</f>
        <v>0</v>
      </c>
      <c r="F54" s="21"/>
      <c r="J54" s="34"/>
    </row>
    <row r="55" spans="1:18" x14ac:dyDescent="0.25">
      <c r="A55" s="177"/>
      <c r="B55" s="222"/>
      <c r="C55" s="223"/>
      <c r="D55" s="225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118</v>
      </c>
      <c r="D57" s="34"/>
      <c r="F57" s="36"/>
      <c r="G57" s="50"/>
      <c r="H57" s="50"/>
      <c r="I57" s="50"/>
      <c r="J57" s="43"/>
    </row>
    <row r="58" spans="1:18" x14ac:dyDescent="0.25">
      <c r="A58" s="226" t="s">
        <v>91</v>
      </c>
      <c r="B58" s="227"/>
      <c r="C58" s="227"/>
      <c r="D58" s="228"/>
      <c r="F58" s="226" t="s">
        <v>92</v>
      </c>
      <c r="G58" s="227"/>
      <c r="H58" s="227"/>
      <c r="I58" s="227"/>
      <c r="J58" s="228"/>
    </row>
    <row r="59" spans="1:18" x14ac:dyDescent="0.25">
      <c r="A59" s="229"/>
      <c r="B59" s="230"/>
      <c r="C59" s="230"/>
      <c r="D59" s="231"/>
      <c r="F59" s="229"/>
      <c r="G59" s="230"/>
      <c r="H59" s="230"/>
      <c r="I59" s="230"/>
      <c r="J59" s="231"/>
    </row>
  </sheetData>
  <mergeCells count="68"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  <mergeCell ref="H13:J13"/>
    <mergeCell ref="F14:G14"/>
    <mergeCell ref="H14:J14"/>
    <mergeCell ref="F15:G15"/>
    <mergeCell ref="H15:J15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A32:D32"/>
    <mergeCell ref="F32:J32"/>
    <mergeCell ref="H33:J33"/>
    <mergeCell ref="A34:A36"/>
    <mergeCell ref="H34:J34"/>
    <mergeCell ref="H35:J35"/>
    <mergeCell ref="H36:J36"/>
    <mergeCell ref="A37:A39"/>
    <mergeCell ref="H37:J37"/>
    <mergeCell ref="H38:J38"/>
    <mergeCell ref="H39:J39"/>
    <mergeCell ref="A40:A42"/>
    <mergeCell ref="H40:J40"/>
    <mergeCell ref="H41:J41"/>
    <mergeCell ref="G42:J42"/>
    <mergeCell ref="A43:A47"/>
    <mergeCell ref="H43:J43"/>
    <mergeCell ref="H44:J44"/>
    <mergeCell ref="H45:J45"/>
    <mergeCell ref="H46:J46"/>
    <mergeCell ref="H47:J47"/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7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4D259A9-84F0-41FC-A0F6-C6052F4185EB}">
  <dimension ref="A1:S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9" x14ac:dyDescent="0.25">
      <c r="A1" t="s">
        <v>0</v>
      </c>
      <c r="N1" s="113" t="s">
        <v>1</v>
      </c>
      <c r="O1" s="113"/>
      <c r="P1" s="105" t="s">
        <v>2</v>
      </c>
      <c r="Q1" s="105" t="s">
        <v>3</v>
      </c>
      <c r="R1" s="2" t="s">
        <v>4</v>
      </c>
    </row>
    <row r="2" spans="1:19" x14ac:dyDescent="0.25">
      <c r="A2" t="s">
        <v>5</v>
      </c>
      <c r="N2" s="1"/>
    </row>
    <row r="3" spans="1:19" x14ac:dyDescent="0.25">
      <c r="N3" s="1" t="s">
        <v>6</v>
      </c>
      <c r="O3" s="4"/>
    </row>
    <row r="4" spans="1:19" x14ac:dyDescent="0.25">
      <c r="A4" s="114" t="s">
        <v>7</v>
      </c>
      <c r="B4" s="115"/>
      <c r="C4" s="115"/>
      <c r="D4" s="116"/>
      <c r="F4" s="117" t="s">
        <v>8</v>
      </c>
      <c r="G4" s="119"/>
      <c r="H4" s="121" t="s">
        <v>9</v>
      </c>
      <c r="I4" s="123"/>
      <c r="J4" s="124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9" x14ac:dyDescent="0.25">
      <c r="A5" s="127" t="s">
        <v>7</v>
      </c>
      <c r="B5" s="15" t="s">
        <v>11</v>
      </c>
      <c r="C5" s="9" t="s">
        <v>12</v>
      </c>
      <c r="D5" s="25" t="s">
        <v>13</v>
      </c>
      <c r="F5" s="118"/>
      <c r="G5" s="120"/>
      <c r="H5" s="122"/>
      <c r="I5" s="125"/>
      <c r="J5" s="126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9" ht="14.45" customHeight="1" x14ac:dyDescent="0.25">
      <c r="A6" s="128"/>
      <c r="B6" s="16"/>
      <c r="C6" s="10"/>
      <c r="D6" s="13">
        <f t="shared" ref="D6:D28" si="1">C6*L6</f>
        <v>0</v>
      </c>
      <c r="F6" s="130" t="s">
        <v>16</v>
      </c>
      <c r="G6" s="132"/>
      <c r="H6" s="133"/>
      <c r="I6" s="133"/>
      <c r="J6" s="134"/>
      <c r="K6" s="8"/>
      <c r="L6" s="6">
        <f>R42</f>
        <v>737</v>
      </c>
      <c r="O6" t="s">
        <v>17</v>
      </c>
      <c r="P6" s="4">
        <v>650</v>
      </c>
      <c r="Q6" s="4"/>
      <c r="R6" s="5">
        <f t="shared" si="0"/>
        <v>650</v>
      </c>
    </row>
    <row r="7" spans="1:19" ht="14.45" customHeight="1" x14ac:dyDescent="0.25">
      <c r="A7" s="128"/>
      <c r="B7" s="16"/>
      <c r="C7" s="10"/>
      <c r="D7" s="13">
        <f t="shared" si="1"/>
        <v>0</v>
      </c>
      <c r="F7" s="131"/>
      <c r="G7" s="135"/>
      <c r="H7" s="136"/>
      <c r="I7" s="136"/>
      <c r="J7" s="137"/>
      <c r="K7" s="8"/>
      <c r="L7" s="6">
        <f>R41</f>
        <v>725</v>
      </c>
      <c r="P7" s="4"/>
      <c r="Q7" s="4"/>
      <c r="R7" s="5"/>
    </row>
    <row r="8" spans="1:19" ht="14.45" customHeight="1" x14ac:dyDescent="0.25">
      <c r="A8" s="128"/>
      <c r="B8" s="16"/>
      <c r="C8" s="10"/>
      <c r="D8" s="13">
        <f t="shared" si="1"/>
        <v>0</v>
      </c>
      <c r="F8" s="138" t="s">
        <v>21</v>
      </c>
      <c r="G8" s="140"/>
      <c r="H8" s="141"/>
      <c r="I8" s="141"/>
      <c r="J8" s="142"/>
      <c r="K8" s="8"/>
      <c r="L8" s="6">
        <f>R40</f>
        <v>1033</v>
      </c>
      <c r="P8" s="4"/>
      <c r="Q8" s="4"/>
      <c r="R8" s="5"/>
    </row>
    <row r="9" spans="1:19" ht="14.45" customHeight="1" x14ac:dyDescent="0.25">
      <c r="A9" s="128"/>
      <c r="B9" s="16"/>
      <c r="C9" s="10"/>
      <c r="D9" s="13">
        <f t="shared" si="1"/>
        <v>0</v>
      </c>
      <c r="F9" s="131"/>
      <c r="G9" s="143"/>
      <c r="H9" s="144"/>
      <c r="I9" s="144"/>
      <c r="J9" s="145"/>
      <c r="K9" s="8"/>
      <c r="L9" s="6">
        <f>R38</f>
        <v>707</v>
      </c>
      <c r="P9" s="4"/>
      <c r="Q9" s="4"/>
      <c r="R9" s="5"/>
    </row>
    <row r="10" spans="1:19" ht="14.45" customHeight="1" x14ac:dyDescent="0.25">
      <c r="A10" s="128"/>
      <c r="C10" s="10"/>
      <c r="D10" s="13">
        <f t="shared" si="1"/>
        <v>0</v>
      </c>
      <c r="F10" s="130" t="s">
        <v>26</v>
      </c>
      <c r="G10" s="146"/>
      <c r="H10" s="147"/>
      <c r="I10" s="147"/>
      <c r="J10" s="148"/>
      <c r="K10" s="8"/>
      <c r="L10" s="6">
        <f>R36</f>
        <v>972</v>
      </c>
      <c r="P10" s="4"/>
      <c r="Q10" s="4"/>
      <c r="R10" s="5"/>
    </row>
    <row r="11" spans="1:19" ht="15.75" x14ac:dyDescent="0.25">
      <c r="A11" s="128"/>
      <c r="B11" s="17"/>
      <c r="C11" s="10"/>
      <c r="D11" s="13">
        <f t="shared" si="1"/>
        <v>0</v>
      </c>
      <c r="F11" s="131"/>
      <c r="G11" s="143"/>
      <c r="H11" s="144"/>
      <c r="I11" s="144"/>
      <c r="J11" s="145"/>
      <c r="K11" s="22"/>
      <c r="L11" s="6">
        <f>R32</f>
        <v>1125</v>
      </c>
      <c r="O11" t="s">
        <v>19</v>
      </c>
      <c r="P11" s="4">
        <v>650</v>
      </c>
      <c r="Q11" s="4"/>
      <c r="R11" s="5">
        <f t="shared" si="0"/>
        <v>650</v>
      </c>
    </row>
    <row r="12" spans="1:19" ht="15.75" x14ac:dyDescent="0.25">
      <c r="A12" s="128"/>
      <c r="B12" s="17"/>
      <c r="C12" s="10"/>
      <c r="D12" s="48">
        <f t="shared" si="1"/>
        <v>0</v>
      </c>
      <c r="F12" s="149" t="s">
        <v>33</v>
      </c>
      <c r="G12" s="150"/>
      <c r="H12" s="150"/>
      <c r="I12" s="150"/>
      <c r="J12" s="151"/>
      <c r="K12" s="23"/>
      <c r="L12" s="6">
        <f>R34</f>
        <v>952</v>
      </c>
      <c r="O12" t="s">
        <v>22</v>
      </c>
      <c r="P12" s="4">
        <v>650</v>
      </c>
      <c r="Q12" s="4"/>
      <c r="R12" s="5">
        <f t="shared" si="0"/>
        <v>650</v>
      </c>
    </row>
    <row r="13" spans="1:19" ht="15.75" x14ac:dyDescent="0.25">
      <c r="A13" s="128"/>
      <c r="B13" s="17"/>
      <c r="C13" s="10"/>
      <c r="D13" s="48">
        <f t="shared" si="1"/>
        <v>0</v>
      </c>
      <c r="F13" s="152" t="s">
        <v>36</v>
      </c>
      <c r="G13" s="153"/>
      <c r="H13" s="154">
        <f>D29</f>
        <v>0</v>
      </c>
      <c r="I13" s="155"/>
      <c r="J13" s="156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9" ht="15.75" x14ac:dyDescent="0.25">
      <c r="A14" s="128"/>
      <c r="B14" s="14"/>
      <c r="C14" s="10"/>
      <c r="D14" s="31">
        <f t="shared" si="1"/>
        <v>0</v>
      </c>
      <c r="F14" s="157" t="s">
        <v>39</v>
      </c>
      <c r="G14" s="158"/>
      <c r="H14" s="159">
        <f>D54</f>
        <v>0</v>
      </c>
      <c r="I14" s="160"/>
      <c r="J14" s="161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  <c r="S14">
        <f>205+78</f>
        <v>283</v>
      </c>
    </row>
    <row r="15" spans="1:19" ht="15.75" x14ac:dyDescent="0.25">
      <c r="A15" s="128"/>
      <c r="B15" s="14"/>
      <c r="C15" s="10"/>
      <c r="D15" s="31">
        <f t="shared" si="1"/>
        <v>0</v>
      </c>
      <c r="F15" s="162" t="s">
        <v>40</v>
      </c>
      <c r="G15" s="153"/>
      <c r="H15" s="163">
        <f>H13-H14</f>
        <v>0</v>
      </c>
      <c r="I15" s="164"/>
      <c r="J15" s="165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  <c r="S15">
        <f>229+78</f>
        <v>307</v>
      </c>
    </row>
    <row r="16" spans="1:19" ht="15.75" x14ac:dyDescent="0.25">
      <c r="A16" s="128"/>
      <c r="B16" s="18"/>
      <c r="C16" s="10"/>
      <c r="D16" s="48">
        <f t="shared" si="1"/>
        <v>0</v>
      </c>
      <c r="F16" s="67" t="s">
        <v>42</v>
      </c>
      <c r="G16" s="66" t="s">
        <v>43</v>
      </c>
      <c r="H16" s="166"/>
      <c r="I16" s="166"/>
      <c r="J16" s="166"/>
      <c r="L16" s="6">
        <f>R28</f>
        <v>1567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28"/>
      <c r="C17" s="10"/>
      <c r="D17" s="48">
        <f t="shared" si="1"/>
        <v>0</v>
      </c>
      <c r="F17" s="56"/>
      <c r="G17" s="66" t="s">
        <v>45</v>
      </c>
      <c r="H17" s="139"/>
      <c r="I17" s="139"/>
      <c r="J17" s="139"/>
      <c r="L17" s="6">
        <v>1582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28"/>
      <c r="B18" s="19"/>
      <c r="C18" s="10"/>
      <c r="D18" s="48">
        <f t="shared" si="1"/>
        <v>0</v>
      </c>
      <c r="F18" s="56"/>
      <c r="G18" s="66" t="s">
        <v>47</v>
      </c>
      <c r="H18" s="139"/>
      <c r="I18" s="139"/>
      <c r="J18" s="139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28"/>
      <c r="B19" s="14"/>
      <c r="C19" s="10"/>
      <c r="D19" s="48">
        <f t="shared" si="1"/>
        <v>0</v>
      </c>
      <c r="F19" s="56"/>
      <c r="G19" s="68" t="s">
        <v>50</v>
      </c>
      <c r="H19" s="185"/>
      <c r="I19" s="185"/>
      <c r="J19" s="185"/>
      <c r="L19" s="6">
        <f>R35</f>
        <v>1102</v>
      </c>
      <c r="Q19" s="4"/>
      <c r="R19" s="5">
        <f t="shared" si="0"/>
        <v>0</v>
      </c>
    </row>
    <row r="20" spans="1:18" ht="15.75" x14ac:dyDescent="0.25">
      <c r="A20" s="128"/>
      <c r="B20" s="46"/>
      <c r="C20" s="10"/>
      <c r="D20" s="13">
        <f t="shared" si="1"/>
        <v>0</v>
      </c>
      <c r="F20" s="57"/>
      <c r="G20" s="70" t="s">
        <v>120</v>
      </c>
      <c r="H20" s="166"/>
      <c r="I20" s="166"/>
      <c r="J20" s="166"/>
      <c r="L20" s="6">
        <f>1102</f>
        <v>1102</v>
      </c>
      <c r="N20" s="1" t="s">
        <v>41</v>
      </c>
      <c r="Q20" s="4"/>
      <c r="R20" s="5">
        <f t="shared" si="0"/>
        <v>0</v>
      </c>
    </row>
    <row r="21" spans="1:18" ht="15.75" x14ac:dyDescent="0.25">
      <c r="A21" s="128"/>
      <c r="B21" s="14"/>
      <c r="C21" s="10"/>
      <c r="D21" s="48">
        <f t="shared" si="1"/>
        <v>0</v>
      </c>
      <c r="F21" s="69" t="s">
        <v>99</v>
      </c>
      <c r="G21" s="82" t="s">
        <v>98</v>
      </c>
      <c r="H21" s="186" t="s">
        <v>13</v>
      </c>
      <c r="I21" s="187"/>
      <c r="J21" s="188"/>
      <c r="L21" s="7">
        <v>650</v>
      </c>
      <c r="O21" t="s">
        <v>44</v>
      </c>
      <c r="P21" s="4">
        <v>1447</v>
      </c>
      <c r="Q21" s="4">
        <v>120</v>
      </c>
      <c r="R21" s="5">
        <f t="shared" si="0"/>
        <v>1567</v>
      </c>
    </row>
    <row r="22" spans="1:18" ht="15.75" x14ac:dyDescent="0.25">
      <c r="A22" s="128"/>
      <c r="B22" s="46"/>
      <c r="C22" s="10"/>
      <c r="D22" s="48">
        <f t="shared" si="1"/>
        <v>0</v>
      </c>
      <c r="F22" s="77"/>
      <c r="G22" s="73"/>
      <c r="H22" s="189"/>
      <c r="I22" s="189"/>
      <c r="J22" s="189"/>
      <c r="L22" s="7">
        <f>559+111</f>
        <v>670</v>
      </c>
      <c r="O22" t="s">
        <v>46</v>
      </c>
      <c r="P22" s="4">
        <v>1582</v>
      </c>
      <c r="Q22" s="4"/>
      <c r="R22" s="5">
        <f t="shared" si="0"/>
        <v>1582</v>
      </c>
    </row>
    <row r="23" spans="1:18" ht="15.75" x14ac:dyDescent="0.25">
      <c r="A23" s="128"/>
      <c r="B23" s="14"/>
      <c r="C23" s="10"/>
      <c r="D23" s="48">
        <f t="shared" si="1"/>
        <v>0</v>
      </c>
      <c r="F23" s="78"/>
      <c r="G23" s="79"/>
      <c r="H23" s="190"/>
      <c r="I23" s="191"/>
      <c r="J23" s="191"/>
      <c r="L23" s="47">
        <f>R33</f>
        <v>1175</v>
      </c>
      <c r="N23" s="1"/>
      <c r="O23" t="s">
        <v>48</v>
      </c>
      <c r="P23" s="4">
        <v>1728</v>
      </c>
      <c r="Q23" s="4"/>
      <c r="R23" s="5">
        <f t="shared" si="0"/>
        <v>1728</v>
      </c>
    </row>
    <row r="24" spans="1:18" ht="15.75" x14ac:dyDescent="0.25">
      <c r="A24" s="128"/>
      <c r="B24" s="14"/>
      <c r="C24" s="10"/>
      <c r="D24" s="48">
        <f t="shared" si="1"/>
        <v>0</v>
      </c>
      <c r="F24" s="38"/>
      <c r="G24" s="37"/>
      <c r="H24" s="190"/>
      <c r="I24" s="191"/>
      <c r="J24" s="191"/>
      <c r="L24" s="47">
        <v>1667</v>
      </c>
      <c r="N24" s="1"/>
      <c r="O24" t="s">
        <v>49</v>
      </c>
      <c r="P24" s="4">
        <v>1728</v>
      </c>
      <c r="Q24" s="4"/>
      <c r="R24" s="5">
        <f t="shared" si="0"/>
        <v>1728</v>
      </c>
    </row>
    <row r="25" spans="1:18" ht="15.75" x14ac:dyDescent="0.25">
      <c r="A25" s="128"/>
      <c r="B25" s="14"/>
      <c r="C25" s="10"/>
      <c r="D25" s="48">
        <f t="shared" si="1"/>
        <v>0</v>
      </c>
      <c r="F25" s="60" t="s">
        <v>100</v>
      </c>
      <c r="G25" s="55" t="s">
        <v>98</v>
      </c>
      <c r="H25" s="192" t="s">
        <v>13</v>
      </c>
      <c r="I25" s="193"/>
      <c r="J25" s="194"/>
      <c r="L25" s="47">
        <f>1582</f>
        <v>1582</v>
      </c>
      <c r="O25" t="s">
        <v>51</v>
      </c>
      <c r="P25" s="4">
        <v>1582</v>
      </c>
      <c r="Q25" s="4"/>
      <c r="R25" s="5">
        <f t="shared" si="0"/>
        <v>1582</v>
      </c>
    </row>
    <row r="26" spans="1:18" ht="15.75" x14ac:dyDescent="0.25">
      <c r="A26" s="128"/>
      <c r="B26" s="14"/>
      <c r="C26" s="10"/>
      <c r="D26" s="48">
        <f t="shared" si="1"/>
        <v>0</v>
      </c>
      <c r="F26" s="64"/>
      <c r="G26" s="59"/>
      <c r="H26" s="195"/>
      <c r="I26" s="196"/>
      <c r="J26" s="197"/>
      <c r="L26" s="7">
        <f>832/24+1.5</f>
        <v>36.166666666666664</v>
      </c>
      <c r="O26" t="s">
        <v>52</v>
      </c>
      <c r="P26" s="4">
        <v>1447</v>
      </c>
      <c r="Q26" s="4">
        <v>120</v>
      </c>
      <c r="R26" s="5">
        <f t="shared" si="0"/>
        <v>1567</v>
      </c>
    </row>
    <row r="27" spans="1:18" ht="14.45" customHeight="1" x14ac:dyDescent="0.25">
      <c r="A27" s="128"/>
      <c r="B27" s="14"/>
      <c r="C27" s="10"/>
      <c r="D27" s="44">
        <f t="shared" si="1"/>
        <v>0</v>
      </c>
      <c r="F27" s="25"/>
      <c r="G27" s="80"/>
      <c r="H27" s="198"/>
      <c r="I27" s="199"/>
      <c r="J27" s="200"/>
      <c r="L27" s="7">
        <v>1582</v>
      </c>
      <c r="O27" t="s">
        <v>53</v>
      </c>
      <c r="P27" s="4">
        <v>1582</v>
      </c>
      <c r="Q27" s="4"/>
      <c r="R27" s="5">
        <f t="shared" si="0"/>
        <v>1582</v>
      </c>
    </row>
    <row r="28" spans="1:18" ht="15.75" x14ac:dyDescent="0.25">
      <c r="A28" s="129"/>
      <c r="B28" s="46"/>
      <c r="C28" s="10"/>
      <c r="D28" s="48">
        <f t="shared" si="1"/>
        <v>0</v>
      </c>
      <c r="F28" s="106"/>
      <c r="G28" s="61"/>
      <c r="H28" s="201"/>
      <c r="I28" s="202"/>
      <c r="J28" s="203"/>
      <c r="L28" s="7">
        <v>785</v>
      </c>
      <c r="O28" t="s">
        <v>54</v>
      </c>
      <c r="P28" s="4">
        <v>1447</v>
      </c>
      <c r="Q28" s="4">
        <v>120</v>
      </c>
      <c r="R28" s="5">
        <f t="shared" si="0"/>
        <v>1567</v>
      </c>
    </row>
    <row r="29" spans="1:18" x14ac:dyDescent="0.25">
      <c r="A29" s="167" t="s">
        <v>36</v>
      </c>
      <c r="B29" s="168"/>
      <c r="C29" s="169"/>
      <c r="D29" s="173">
        <f>SUM(D6:D28)</f>
        <v>0</v>
      </c>
      <c r="F29" s="175" t="s">
        <v>55</v>
      </c>
      <c r="G29" s="176"/>
      <c r="H29" s="179">
        <f>H15-H16-H17-H18-H19-H20-H22-H23-H24+H26+H27</f>
        <v>0</v>
      </c>
      <c r="I29" s="180"/>
      <c r="J29" s="181"/>
      <c r="O29" t="s">
        <v>56</v>
      </c>
      <c r="P29" s="4">
        <v>1582</v>
      </c>
      <c r="Q29" s="4"/>
      <c r="R29" s="5">
        <f t="shared" si="0"/>
        <v>1582</v>
      </c>
    </row>
    <row r="30" spans="1:18" x14ac:dyDescent="0.25">
      <c r="A30" s="170"/>
      <c r="B30" s="171"/>
      <c r="C30" s="172"/>
      <c r="D30" s="174"/>
      <c r="F30" s="177"/>
      <c r="G30" s="178"/>
      <c r="H30" s="182"/>
      <c r="I30" s="183"/>
      <c r="J30" s="184"/>
      <c r="N30" s="1"/>
      <c r="Q30" s="4"/>
      <c r="R30" s="5">
        <f t="shared" si="0"/>
        <v>0</v>
      </c>
    </row>
    <row r="31" spans="1:18" x14ac:dyDescent="0.25">
      <c r="A31" s="24"/>
      <c r="B31" s="24"/>
      <c r="C31" s="24"/>
      <c r="D31" s="24"/>
      <c r="F31" s="24"/>
      <c r="G31" s="24"/>
      <c r="O31" t="s">
        <v>57</v>
      </c>
      <c r="P31" s="4">
        <v>1052</v>
      </c>
      <c r="Q31" s="4">
        <v>120</v>
      </c>
      <c r="R31" s="5">
        <f t="shared" si="0"/>
        <v>1172</v>
      </c>
    </row>
    <row r="32" spans="1:18" x14ac:dyDescent="0.25">
      <c r="A32" s="114" t="s">
        <v>58</v>
      </c>
      <c r="B32" s="115"/>
      <c r="C32" s="115"/>
      <c r="D32" s="116"/>
      <c r="F32" s="204" t="s">
        <v>59</v>
      </c>
      <c r="G32" s="205"/>
      <c r="H32" s="205"/>
      <c r="I32" s="205"/>
      <c r="J32" s="206"/>
      <c r="O32" t="s">
        <v>60</v>
      </c>
      <c r="P32" s="4">
        <v>1005</v>
      </c>
      <c r="Q32" s="4">
        <v>120</v>
      </c>
      <c r="R32" s="5">
        <f t="shared" si="0"/>
        <v>1125</v>
      </c>
    </row>
    <row r="33" spans="1:18" x14ac:dyDescent="0.25">
      <c r="A33" s="25"/>
      <c r="B33" s="25" t="s">
        <v>11</v>
      </c>
      <c r="C33" s="25" t="s">
        <v>61</v>
      </c>
      <c r="D33" s="25" t="s">
        <v>13</v>
      </c>
      <c r="F33" s="25" t="s">
        <v>62</v>
      </c>
      <c r="G33" s="107" t="s">
        <v>63</v>
      </c>
      <c r="H33" s="204" t="s">
        <v>13</v>
      </c>
      <c r="I33" s="205"/>
      <c r="J33" s="206"/>
      <c r="O33" t="s">
        <v>64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27" t="s">
        <v>65</v>
      </c>
      <c r="B34" s="26" t="s">
        <v>66</v>
      </c>
      <c r="C34" s="51"/>
      <c r="D34" s="30">
        <f>C34*120</f>
        <v>0</v>
      </c>
      <c r="F34" s="12">
        <v>1000</v>
      </c>
      <c r="G34" s="74"/>
      <c r="H34" s="207"/>
      <c r="I34" s="208"/>
      <c r="J34" s="209"/>
      <c r="O34" t="s">
        <v>67</v>
      </c>
      <c r="P34" s="4">
        <v>832</v>
      </c>
      <c r="Q34" s="4">
        <v>120</v>
      </c>
      <c r="R34" s="5">
        <f t="shared" si="0"/>
        <v>952</v>
      </c>
    </row>
    <row r="35" spans="1:18" ht="15.75" x14ac:dyDescent="0.25">
      <c r="A35" s="128"/>
      <c r="B35" s="27" t="s">
        <v>68</v>
      </c>
      <c r="C35" s="52"/>
      <c r="D35" s="30">
        <f>C35*84</f>
        <v>0</v>
      </c>
      <c r="F35" s="58">
        <v>500</v>
      </c>
      <c r="G35" s="41"/>
      <c r="H35" s="207"/>
      <c r="I35" s="208"/>
      <c r="J35" s="209"/>
      <c r="O35" t="s">
        <v>69</v>
      </c>
      <c r="P35" s="4">
        <v>1102</v>
      </c>
      <c r="Q35" s="4"/>
      <c r="R35" s="5">
        <f t="shared" si="0"/>
        <v>1102</v>
      </c>
    </row>
    <row r="36" spans="1:18" ht="15.75" x14ac:dyDescent="0.25">
      <c r="A36" s="129"/>
      <c r="B36" s="26" t="s">
        <v>70</v>
      </c>
      <c r="C36" s="10"/>
      <c r="D36" s="12">
        <f>C36*1.5</f>
        <v>0</v>
      </c>
      <c r="F36" s="12">
        <v>200</v>
      </c>
      <c r="G36" s="37"/>
      <c r="H36" s="207"/>
      <c r="I36" s="208"/>
      <c r="J36" s="209"/>
      <c r="O36" t="s">
        <v>71</v>
      </c>
      <c r="P36" s="4">
        <v>852</v>
      </c>
      <c r="Q36" s="4">
        <v>120</v>
      </c>
      <c r="R36" s="5">
        <f t="shared" si="0"/>
        <v>972</v>
      </c>
    </row>
    <row r="37" spans="1:18" ht="15.75" x14ac:dyDescent="0.25">
      <c r="A37" s="127" t="s">
        <v>72</v>
      </c>
      <c r="B37" s="28" t="s">
        <v>66</v>
      </c>
      <c r="C37" s="53"/>
      <c r="D37" s="12">
        <f>C37*111</f>
        <v>0</v>
      </c>
      <c r="F37" s="12">
        <v>100</v>
      </c>
      <c r="G37" s="39"/>
      <c r="H37" s="207"/>
      <c r="I37" s="208"/>
      <c r="J37" s="209"/>
      <c r="O37" t="s">
        <v>73</v>
      </c>
      <c r="P37" s="4">
        <v>1020</v>
      </c>
      <c r="Q37" s="4">
        <v>120</v>
      </c>
      <c r="R37" s="5">
        <f t="shared" si="0"/>
        <v>1140</v>
      </c>
    </row>
    <row r="38" spans="1:18" ht="15.75" x14ac:dyDescent="0.25">
      <c r="A38" s="128"/>
      <c r="B38" s="29" t="s">
        <v>68</v>
      </c>
      <c r="C38" s="54"/>
      <c r="D38" s="12">
        <f>C38*84</f>
        <v>0</v>
      </c>
      <c r="F38" s="30">
        <v>50</v>
      </c>
      <c r="G38" s="39"/>
      <c r="H38" s="207"/>
      <c r="I38" s="208"/>
      <c r="J38" s="209"/>
      <c r="O38" t="s">
        <v>74</v>
      </c>
      <c r="P38" s="4">
        <v>596</v>
      </c>
      <c r="Q38" s="4">
        <v>111</v>
      </c>
      <c r="R38" s="5">
        <f t="shared" si="0"/>
        <v>707</v>
      </c>
    </row>
    <row r="39" spans="1:18" ht="15.75" x14ac:dyDescent="0.25">
      <c r="A39" s="129"/>
      <c r="B39" s="29" t="s">
        <v>70</v>
      </c>
      <c r="C39" s="52"/>
      <c r="D39" s="31">
        <f>C39*4.5</f>
        <v>0</v>
      </c>
      <c r="F39" s="12">
        <v>20</v>
      </c>
      <c r="G39" s="37"/>
      <c r="H39" s="207"/>
      <c r="I39" s="208"/>
      <c r="J39" s="209"/>
      <c r="O39" t="s">
        <v>75</v>
      </c>
      <c r="P39" s="4">
        <v>1175</v>
      </c>
      <c r="Q39" s="4"/>
      <c r="R39" s="5">
        <f t="shared" si="0"/>
        <v>1175</v>
      </c>
    </row>
    <row r="40" spans="1:18" ht="15.75" x14ac:dyDescent="0.25">
      <c r="A40" s="127" t="s">
        <v>76</v>
      </c>
      <c r="B40" s="27" t="s">
        <v>66</v>
      </c>
      <c r="C40" s="63"/>
      <c r="D40" s="12">
        <f>C40*111</f>
        <v>0</v>
      </c>
      <c r="F40" s="12">
        <v>10</v>
      </c>
      <c r="G40" s="42"/>
      <c r="H40" s="207"/>
      <c r="I40" s="208"/>
      <c r="J40" s="209"/>
      <c r="O40" t="s">
        <v>77</v>
      </c>
      <c r="P40" s="4">
        <v>913</v>
      </c>
      <c r="Q40" s="4">
        <v>120</v>
      </c>
      <c r="R40" s="5">
        <f t="shared" si="0"/>
        <v>1033</v>
      </c>
    </row>
    <row r="41" spans="1:18" ht="15.75" x14ac:dyDescent="0.25">
      <c r="A41" s="128"/>
      <c r="B41" s="27" t="s">
        <v>68</v>
      </c>
      <c r="C41" s="10"/>
      <c r="D41" s="12">
        <f>C41*84</f>
        <v>0</v>
      </c>
      <c r="F41" s="12">
        <v>5</v>
      </c>
      <c r="G41" s="42"/>
      <c r="H41" s="207"/>
      <c r="I41" s="208"/>
      <c r="J41" s="209"/>
      <c r="K41" s="21"/>
      <c r="O41" t="s">
        <v>78</v>
      </c>
      <c r="P41" s="4">
        <v>614</v>
      </c>
      <c r="Q41" s="4">
        <v>111</v>
      </c>
      <c r="R41" s="5">
        <f t="shared" si="0"/>
        <v>725</v>
      </c>
    </row>
    <row r="42" spans="1:18" ht="15.75" x14ac:dyDescent="0.25">
      <c r="A42" s="129"/>
      <c r="B42" s="27" t="s">
        <v>70</v>
      </c>
      <c r="C42" s="11"/>
      <c r="D42" s="12">
        <f>C42*2.25</f>
        <v>0</v>
      </c>
      <c r="F42" s="39" t="s">
        <v>79</v>
      </c>
      <c r="G42" s="207"/>
      <c r="H42" s="208"/>
      <c r="I42" s="208"/>
      <c r="J42" s="209"/>
      <c r="K42" s="36"/>
      <c r="O42" t="s">
        <v>80</v>
      </c>
      <c r="P42" s="4">
        <v>626</v>
      </c>
      <c r="Q42" s="4">
        <v>111</v>
      </c>
      <c r="R42" s="5">
        <f t="shared" si="0"/>
        <v>737</v>
      </c>
    </row>
    <row r="43" spans="1:18" ht="15.75" x14ac:dyDescent="0.25">
      <c r="A43" s="210" t="s">
        <v>81</v>
      </c>
      <c r="C43" s="11"/>
      <c r="D43" s="12"/>
      <c r="F43" s="59" t="s">
        <v>82</v>
      </c>
      <c r="G43" s="109" t="s">
        <v>83</v>
      </c>
      <c r="H43" s="213" t="s">
        <v>13</v>
      </c>
      <c r="I43" s="214"/>
      <c r="J43" s="215"/>
      <c r="K43" s="21"/>
      <c r="P43" s="4"/>
      <c r="Q43" s="4"/>
      <c r="R43" s="5"/>
    </row>
    <row r="44" spans="1:18" ht="15.75" x14ac:dyDescent="0.25">
      <c r="A44" s="211"/>
      <c r="B44" s="27" t="s">
        <v>66</v>
      </c>
      <c r="C44" s="10"/>
      <c r="D44" s="12">
        <f>C44*120</f>
        <v>0</v>
      </c>
      <c r="F44" s="37"/>
      <c r="G44" s="76"/>
      <c r="H44" s="191"/>
      <c r="I44" s="191"/>
      <c r="J44" s="191"/>
      <c r="K44" s="21"/>
      <c r="P44" s="4"/>
      <c r="Q44" s="4"/>
      <c r="R44" s="5"/>
    </row>
    <row r="45" spans="1:18" ht="15.75" x14ac:dyDescent="0.25">
      <c r="A45" s="211"/>
      <c r="B45" s="27" t="s">
        <v>68</v>
      </c>
      <c r="C45" s="33"/>
      <c r="D45" s="12">
        <f>C45*84</f>
        <v>0</v>
      </c>
      <c r="F45" s="37"/>
      <c r="G45" s="76"/>
      <c r="H45" s="191"/>
      <c r="I45" s="191"/>
      <c r="J45" s="191"/>
      <c r="K45" s="21"/>
      <c r="P45" s="4"/>
      <c r="Q45" s="4"/>
      <c r="R45" s="5"/>
    </row>
    <row r="46" spans="1:18" ht="15.75" x14ac:dyDescent="0.25">
      <c r="A46" s="211"/>
      <c r="B46" s="49" t="s">
        <v>70</v>
      </c>
      <c r="C46" s="81"/>
      <c r="D46" s="12">
        <f>C46*1.5</f>
        <v>0</v>
      </c>
      <c r="F46" s="37"/>
      <c r="G46" s="62"/>
      <c r="H46" s="216"/>
      <c r="I46" s="216"/>
      <c r="J46" s="216"/>
      <c r="K46" s="21"/>
      <c r="P46" s="4"/>
      <c r="Q46" s="4"/>
      <c r="R46" s="5"/>
    </row>
    <row r="47" spans="1:18" ht="15.75" x14ac:dyDescent="0.25">
      <c r="A47" s="212"/>
      <c r="B47" s="27"/>
      <c r="C47" s="11"/>
      <c r="D47" s="12"/>
      <c r="F47" s="59"/>
      <c r="G47" s="59"/>
      <c r="H47" s="217"/>
      <c r="I47" s="218"/>
      <c r="J47" s="219"/>
      <c r="K47" s="21"/>
      <c r="P47" s="4"/>
      <c r="Q47" s="4"/>
      <c r="R47" s="5"/>
    </row>
    <row r="48" spans="1:18" ht="15" customHeight="1" x14ac:dyDescent="0.25">
      <c r="A48" s="210" t="s">
        <v>32</v>
      </c>
      <c r="B48" s="27" t="s">
        <v>66</v>
      </c>
      <c r="C48" s="10"/>
      <c r="D48" s="12">
        <f>C48*78</f>
        <v>0</v>
      </c>
      <c r="F48" s="59"/>
      <c r="G48" s="59"/>
      <c r="H48" s="217"/>
      <c r="I48" s="218"/>
      <c r="J48" s="219"/>
      <c r="K48" s="35"/>
      <c r="O48" t="s">
        <v>84</v>
      </c>
      <c r="P48" s="4">
        <v>1175</v>
      </c>
      <c r="Q48" s="4"/>
      <c r="R48" s="5">
        <f t="shared" si="0"/>
        <v>1175</v>
      </c>
    </row>
    <row r="49" spans="1:18" ht="15.75" x14ac:dyDescent="0.25">
      <c r="A49" s="211"/>
      <c r="B49" s="29" t="s">
        <v>68</v>
      </c>
      <c r="C49" s="33"/>
      <c r="D49" s="12">
        <f>C49*42</f>
        <v>0</v>
      </c>
      <c r="F49" s="232" t="s">
        <v>86</v>
      </c>
      <c r="G49" s="179">
        <f>H34+H35+H36+H37+H38+H39+H40+H41+G42+H44+H45+H46</f>
        <v>0</v>
      </c>
      <c r="H49" s="180"/>
      <c r="I49" s="180"/>
      <c r="J49" s="181"/>
      <c r="O49" t="s">
        <v>85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211"/>
      <c r="B50" s="32" t="s">
        <v>70</v>
      </c>
      <c r="C50" s="11"/>
      <c r="D50" s="12">
        <f>C50*1.5</f>
        <v>0</v>
      </c>
      <c r="F50" s="233"/>
      <c r="G50" s="182"/>
      <c r="H50" s="183"/>
      <c r="I50" s="183"/>
      <c r="J50" s="184"/>
      <c r="P50" s="4"/>
      <c r="Q50" s="4"/>
      <c r="R50" s="5"/>
    </row>
    <row r="51" spans="1:18" ht="15" customHeight="1" x14ac:dyDescent="0.25">
      <c r="A51" s="211"/>
      <c r="B51" s="27"/>
      <c r="C51" s="10"/>
      <c r="D51" s="31"/>
      <c r="F51" s="234" t="s">
        <v>128</v>
      </c>
      <c r="G51" s="236">
        <f>G49-H29</f>
        <v>0</v>
      </c>
      <c r="H51" s="237"/>
      <c r="I51" s="237"/>
      <c r="J51" s="238"/>
      <c r="K51" s="21"/>
      <c r="O51" t="s">
        <v>87</v>
      </c>
      <c r="P51" s="4">
        <v>703</v>
      </c>
      <c r="Q51" s="4">
        <v>120</v>
      </c>
      <c r="R51" s="5">
        <f t="shared" si="0"/>
        <v>823</v>
      </c>
    </row>
    <row r="52" spans="1:18" ht="15.75" x14ac:dyDescent="0.25">
      <c r="A52" s="211"/>
      <c r="B52" s="29"/>
      <c r="C52" s="33"/>
      <c r="D52" s="45"/>
      <c r="F52" s="235"/>
      <c r="G52" s="239"/>
      <c r="H52" s="240"/>
      <c r="I52" s="240"/>
      <c r="J52" s="241"/>
      <c r="K52" s="21"/>
      <c r="O52" t="s">
        <v>88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212"/>
      <c r="B53" s="32"/>
      <c r="C53" s="11"/>
      <c r="D53" s="12"/>
      <c r="F53" s="35"/>
      <c r="G53" s="24"/>
      <c r="H53" s="24"/>
      <c r="I53" s="24"/>
      <c r="J53" s="17"/>
      <c r="N53" s="1"/>
      <c r="O53" t="s">
        <v>89</v>
      </c>
      <c r="P53" s="4">
        <v>1142</v>
      </c>
    </row>
    <row r="54" spans="1:18" x14ac:dyDescent="0.25">
      <c r="A54" s="175" t="s">
        <v>90</v>
      </c>
      <c r="B54" s="220"/>
      <c r="C54" s="221"/>
      <c r="D54" s="224">
        <f>SUM(D34:D53)</f>
        <v>0</v>
      </c>
      <c r="F54" s="21"/>
      <c r="J54" s="34"/>
    </row>
    <row r="55" spans="1:18" x14ac:dyDescent="0.25">
      <c r="A55" s="177"/>
      <c r="B55" s="222"/>
      <c r="C55" s="223"/>
      <c r="D55" s="225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D57" s="34"/>
      <c r="F57" s="36"/>
      <c r="G57" s="50"/>
      <c r="H57" s="50"/>
      <c r="I57" s="50"/>
      <c r="J57" s="43"/>
    </row>
    <row r="58" spans="1:18" x14ac:dyDescent="0.25">
      <c r="A58" s="226" t="s">
        <v>91</v>
      </c>
      <c r="B58" s="227"/>
      <c r="C58" s="227"/>
      <c r="D58" s="228"/>
      <c r="F58" s="226" t="s">
        <v>92</v>
      </c>
      <c r="G58" s="227"/>
      <c r="H58" s="227"/>
      <c r="I58" s="227"/>
      <c r="J58" s="228"/>
    </row>
    <row r="59" spans="1:18" x14ac:dyDescent="0.25">
      <c r="A59" s="229"/>
      <c r="B59" s="230"/>
      <c r="C59" s="230"/>
      <c r="D59" s="231"/>
      <c r="F59" s="229"/>
      <c r="G59" s="230"/>
      <c r="H59" s="230"/>
      <c r="I59" s="230"/>
      <c r="J59" s="231"/>
    </row>
  </sheetData>
  <mergeCells count="68"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  <mergeCell ref="H13:J13"/>
    <mergeCell ref="F14:G14"/>
    <mergeCell ref="H14:J14"/>
    <mergeCell ref="F15:G15"/>
    <mergeCell ref="H15:J15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A32:D32"/>
    <mergeCell ref="F32:J32"/>
    <mergeCell ref="H33:J33"/>
    <mergeCell ref="A34:A36"/>
    <mergeCell ref="H34:J34"/>
    <mergeCell ref="H35:J35"/>
    <mergeCell ref="H36:J36"/>
    <mergeCell ref="A37:A39"/>
    <mergeCell ref="H37:J37"/>
    <mergeCell ref="H38:J38"/>
    <mergeCell ref="H39:J39"/>
    <mergeCell ref="A40:A42"/>
    <mergeCell ref="H40:J40"/>
    <mergeCell ref="H41:J41"/>
    <mergeCell ref="G42:J42"/>
    <mergeCell ref="A43:A47"/>
    <mergeCell ref="H43:J43"/>
    <mergeCell ref="H44:J44"/>
    <mergeCell ref="H45:J45"/>
    <mergeCell ref="H46:J46"/>
    <mergeCell ref="H47:J47"/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7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9BB62A7-05FC-497A-8317-8CEE9B749849}">
  <dimension ref="A1:R59"/>
  <sheetViews>
    <sheetView zoomScaleNormal="100" zoomScaleSheetLayoutView="85" workbookViewId="0">
      <selection activeCell="M36" sqref="M36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bestFit="1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113" t="s">
        <v>1</v>
      </c>
      <c r="O1" s="113"/>
      <c r="P1" s="105" t="s">
        <v>2</v>
      </c>
      <c r="Q1" s="105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14" t="s">
        <v>7</v>
      </c>
      <c r="B4" s="115"/>
      <c r="C4" s="115"/>
      <c r="D4" s="116"/>
      <c r="F4" s="117" t="s">
        <v>8</v>
      </c>
      <c r="G4" s="119">
        <v>1</v>
      </c>
      <c r="H4" s="121" t="s">
        <v>9</v>
      </c>
      <c r="I4" s="123">
        <v>45983</v>
      </c>
      <c r="J4" s="124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27" t="s">
        <v>7</v>
      </c>
      <c r="B5" s="15" t="s">
        <v>11</v>
      </c>
      <c r="C5" s="9" t="s">
        <v>12</v>
      </c>
      <c r="D5" s="25" t="s">
        <v>13</v>
      </c>
      <c r="F5" s="118"/>
      <c r="G5" s="120"/>
      <c r="H5" s="122"/>
      <c r="I5" s="125"/>
      <c r="J5" s="126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28"/>
      <c r="B6" s="16" t="s">
        <v>15</v>
      </c>
      <c r="C6" s="89"/>
      <c r="D6" s="13">
        <f t="shared" ref="D6:D28" si="1">C6*L6</f>
        <v>0</v>
      </c>
      <c r="F6" s="130" t="s">
        <v>16</v>
      </c>
      <c r="G6" s="132" t="s">
        <v>129</v>
      </c>
      <c r="H6" s="133"/>
      <c r="I6" s="133"/>
      <c r="J6" s="134"/>
      <c r="K6" s="8"/>
      <c r="L6" s="6">
        <f>R42</f>
        <v>737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28"/>
      <c r="B7" s="16" t="s">
        <v>18</v>
      </c>
      <c r="C7" s="89"/>
      <c r="D7" s="13">
        <f t="shared" si="1"/>
        <v>0</v>
      </c>
      <c r="F7" s="131"/>
      <c r="G7" s="135"/>
      <c r="H7" s="136"/>
      <c r="I7" s="136"/>
      <c r="J7" s="137"/>
      <c r="K7" s="8"/>
      <c r="L7" s="6">
        <f>R41</f>
        <v>725</v>
      </c>
      <c r="P7" s="4"/>
      <c r="Q7" s="4"/>
      <c r="R7" s="5"/>
    </row>
    <row r="8" spans="1:18" ht="14.45" customHeight="1" x14ac:dyDescent="0.25">
      <c r="A8" s="128"/>
      <c r="B8" s="16" t="s">
        <v>20</v>
      </c>
      <c r="C8" s="89"/>
      <c r="D8" s="13">
        <f t="shared" si="1"/>
        <v>0</v>
      </c>
      <c r="F8" s="138" t="s">
        <v>21</v>
      </c>
      <c r="G8" s="140" t="s">
        <v>112</v>
      </c>
      <c r="H8" s="141"/>
      <c r="I8" s="141"/>
      <c r="J8" s="142"/>
      <c r="K8" s="8"/>
      <c r="L8" s="6">
        <f>R40</f>
        <v>1033</v>
      </c>
      <c r="P8" s="4"/>
      <c r="Q8" s="4"/>
      <c r="R8" s="5"/>
    </row>
    <row r="9" spans="1:18" ht="14.45" customHeight="1" x14ac:dyDescent="0.25">
      <c r="A9" s="128"/>
      <c r="B9" s="16" t="s">
        <v>23</v>
      </c>
      <c r="C9" s="89"/>
      <c r="D9" s="13">
        <f t="shared" si="1"/>
        <v>0</v>
      </c>
      <c r="F9" s="131"/>
      <c r="G9" s="143"/>
      <c r="H9" s="144"/>
      <c r="I9" s="144"/>
      <c r="J9" s="145"/>
      <c r="K9" s="8"/>
      <c r="L9" s="6">
        <f>R38</f>
        <v>707</v>
      </c>
      <c r="P9" s="4"/>
      <c r="Q9" s="4"/>
      <c r="R9" s="5"/>
    </row>
    <row r="10" spans="1:18" ht="14.45" customHeight="1" x14ac:dyDescent="0.25">
      <c r="A10" s="128"/>
      <c r="B10" t="s">
        <v>25</v>
      </c>
      <c r="C10" s="89"/>
      <c r="D10" s="13">
        <f t="shared" si="1"/>
        <v>0</v>
      </c>
      <c r="F10" s="130" t="s">
        <v>26</v>
      </c>
      <c r="G10" s="146" t="s">
        <v>130</v>
      </c>
      <c r="H10" s="147"/>
      <c r="I10" s="147"/>
      <c r="J10" s="148"/>
      <c r="K10" s="8"/>
      <c r="L10" s="6">
        <f>R36</f>
        <v>972</v>
      </c>
      <c r="P10" s="4"/>
      <c r="Q10" s="4"/>
      <c r="R10" s="5"/>
    </row>
    <row r="11" spans="1:18" ht="15.75" x14ac:dyDescent="0.25">
      <c r="A11" s="128"/>
      <c r="B11" s="17" t="s">
        <v>28</v>
      </c>
      <c r="C11" s="89"/>
      <c r="D11" s="13">
        <f t="shared" si="1"/>
        <v>0</v>
      </c>
      <c r="F11" s="131"/>
      <c r="G11" s="143"/>
      <c r="H11" s="144"/>
      <c r="I11" s="144"/>
      <c r="J11" s="145"/>
      <c r="K11" s="22"/>
      <c r="L11" s="6">
        <f>R32</f>
        <v>1125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28"/>
      <c r="B12" s="17" t="s">
        <v>30</v>
      </c>
      <c r="C12" s="89"/>
      <c r="D12" s="48">
        <f t="shared" si="1"/>
        <v>0</v>
      </c>
      <c r="F12" s="149" t="s">
        <v>33</v>
      </c>
      <c r="G12" s="150"/>
      <c r="H12" s="150"/>
      <c r="I12" s="150"/>
      <c r="J12" s="151"/>
      <c r="K12" s="23"/>
      <c r="L12" s="6">
        <f>R34</f>
        <v>952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28"/>
      <c r="B13" s="17" t="s">
        <v>32</v>
      </c>
      <c r="C13" s="89"/>
      <c r="D13" s="48">
        <f t="shared" si="1"/>
        <v>0</v>
      </c>
      <c r="F13" s="152" t="s">
        <v>36</v>
      </c>
      <c r="G13" s="153"/>
      <c r="H13" s="154">
        <f>D29</f>
        <v>0</v>
      </c>
      <c r="I13" s="155"/>
      <c r="J13" s="156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28"/>
      <c r="B14" s="14" t="s">
        <v>35</v>
      </c>
      <c r="C14" s="89"/>
      <c r="D14" s="31">
        <f t="shared" si="1"/>
        <v>0</v>
      </c>
      <c r="F14" s="157" t="s">
        <v>39</v>
      </c>
      <c r="G14" s="158"/>
      <c r="H14" s="159">
        <f>D54</f>
        <v>0</v>
      </c>
      <c r="I14" s="160"/>
      <c r="J14" s="161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28"/>
      <c r="B15" s="14" t="s">
        <v>38</v>
      </c>
      <c r="C15" s="89"/>
      <c r="D15" s="31">
        <f t="shared" si="1"/>
        <v>0</v>
      </c>
      <c r="F15" s="162" t="s">
        <v>40</v>
      </c>
      <c r="G15" s="153"/>
      <c r="H15" s="163">
        <f>H13-H14</f>
        <v>0</v>
      </c>
      <c r="I15" s="164"/>
      <c r="J15" s="165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28"/>
      <c r="B16" s="18" t="s">
        <v>94</v>
      </c>
      <c r="C16" s="89"/>
      <c r="D16" s="48">
        <f t="shared" si="1"/>
        <v>0</v>
      </c>
      <c r="F16" s="67" t="s">
        <v>42</v>
      </c>
      <c r="G16" s="66" t="s">
        <v>43</v>
      </c>
      <c r="H16" s="166"/>
      <c r="I16" s="166"/>
      <c r="J16" s="166"/>
      <c r="L16" s="6">
        <f>R28</f>
        <v>1567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28"/>
      <c r="B17" t="s">
        <v>140</v>
      </c>
      <c r="C17" s="89"/>
      <c r="D17" s="48">
        <f t="shared" si="1"/>
        <v>0</v>
      </c>
      <c r="F17" s="56"/>
      <c r="G17" s="66" t="s">
        <v>45</v>
      </c>
      <c r="H17" s="139"/>
      <c r="I17" s="139"/>
      <c r="J17" s="139"/>
      <c r="L17" s="6">
        <f>1582</f>
        <v>1582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28"/>
      <c r="B18" s="19" t="s">
        <v>95</v>
      </c>
      <c r="C18" s="89"/>
      <c r="D18" s="48">
        <f t="shared" si="1"/>
        <v>0</v>
      </c>
      <c r="F18" s="56"/>
      <c r="G18" s="66" t="s">
        <v>47</v>
      </c>
      <c r="H18" s="139"/>
      <c r="I18" s="139"/>
      <c r="J18" s="139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28"/>
      <c r="B19" s="14" t="s">
        <v>136</v>
      </c>
      <c r="C19" s="89"/>
      <c r="D19" s="48">
        <f t="shared" si="1"/>
        <v>0</v>
      </c>
      <c r="F19" s="56"/>
      <c r="G19" s="68" t="s">
        <v>50</v>
      </c>
      <c r="H19" s="139"/>
      <c r="I19" s="139"/>
      <c r="J19" s="139"/>
      <c r="L19" s="6">
        <v>1102</v>
      </c>
      <c r="Q19" s="4"/>
      <c r="R19" s="5">
        <f t="shared" si="0"/>
        <v>0</v>
      </c>
    </row>
    <row r="20" spans="1:18" ht="15.75" x14ac:dyDescent="0.25">
      <c r="A20" s="128"/>
      <c r="B20" s="83" t="s">
        <v>125</v>
      </c>
      <c r="C20" s="89"/>
      <c r="D20" s="13">
        <f t="shared" si="1"/>
        <v>0</v>
      </c>
      <c r="F20" s="57"/>
      <c r="G20" s="70" t="s">
        <v>120</v>
      </c>
      <c r="H20" s="166"/>
      <c r="I20" s="166"/>
      <c r="J20" s="166"/>
      <c r="L20" s="6">
        <f>R39</f>
        <v>1175</v>
      </c>
      <c r="N20" s="1" t="s">
        <v>41</v>
      </c>
      <c r="Q20" s="4"/>
      <c r="R20" s="5">
        <f t="shared" si="0"/>
        <v>0</v>
      </c>
    </row>
    <row r="21" spans="1:18" ht="15.75" x14ac:dyDescent="0.25">
      <c r="A21" s="128"/>
      <c r="B21" s="14" t="s">
        <v>138</v>
      </c>
      <c r="C21" s="89"/>
      <c r="D21" s="48">
        <f t="shared" si="1"/>
        <v>0</v>
      </c>
      <c r="F21" s="69" t="s">
        <v>99</v>
      </c>
      <c r="G21" s="82" t="s">
        <v>98</v>
      </c>
      <c r="H21" s="186" t="s">
        <v>13</v>
      </c>
      <c r="I21" s="187"/>
      <c r="J21" s="188"/>
      <c r="L21" s="7">
        <v>650</v>
      </c>
      <c r="O21" t="s">
        <v>44</v>
      </c>
      <c r="P21" s="4">
        <v>1447</v>
      </c>
      <c r="Q21" s="4">
        <v>120</v>
      </c>
      <c r="R21" s="5">
        <f t="shared" si="0"/>
        <v>1567</v>
      </c>
    </row>
    <row r="22" spans="1:18" ht="15.75" x14ac:dyDescent="0.25">
      <c r="A22" s="128"/>
      <c r="B22" s="46" t="s">
        <v>127</v>
      </c>
      <c r="C22" s="89"/>
      <c r="D22" s="48">
        <f t="shared" si="1"/>
        <v>0</v>
      </c>
      <c r="F22" s="77"/>
      <c r="G22" s="73"/>
      <c r="H22" s="189"/>
      <c r="I22" s="189"/>
      <c r="J22" s="189"/>
      <c r="L22" s="7">
        <v>1582</v>
      </c>
      <c r="O22" t="s">
        <v>46</v>
      </c>
      <c r="P22" s="4">
        <v>1582</v>
      </c>
      <c r="Q22" s="4"/>
      <c r="R22" s="5">
        <f t="shared" si="0"/>
        <v>1582</v>
      </c>
    </row>
    <row r="23" spans="1:18" ht="15.75" x14ac:dyDescent="0.25">
      <c r="A23" s="128"/>
      <c r="B23" s="14" t="s">
        <v>101</v>
      </c>
      <c r="C23" s="89"/>
      <c r="D23" s="48">
        <f t="shared" si="1"/>
        <v>0</v>
      </c>
      <c r="F23" s="77"/>
      <c r="G23" s="79"/>
      <c r="H23" s="242"/>
      <c r="I23" s="243"/>
      <c r="J23" s="243"/>
      <c r="L23" s="47">
        <v>1667</v>
      </c>
      <c r="N23" s="1"/>
      <c r="O23" t="s">
        <v>48</v>
      </c>
      <c r="P23" s="4">
        <v>1728</v>
      </c>
      <c r="Q23" s="4"/>
      <c r="R23" s="5">
        <f t="shared" si="0"/>
        <v>1728</v>
      </c>
    </row>
    <row r="24" spans="1:18" ht="15.75" x14ac:dyDescent="0.25">
      <c r="A24" s="128"/>
      <c r="B24" s="14" t="s">
        <v>121</v>
      </c>
      <c r="C24" s="89"/>
      <c r="D24" s="48">
        <f t="shared" si="1"/>
        <v>0</v>
      </c>
      <c r="F24" s="77"/>
      <c r="G24" s="79"/>
      <c r="H24" s="242"/>
      <c r="I24" s="243"/>
      <c r="J24" s="243"/>
      <c r="L24" s="47">
        <f>913/24+1.5</f>
        <v>39.541666666666664</v>
      </c>
      <c r="N24" s="1"/>
      <c r="O24" t="s">
        <v>49</v>
      </c>
      <c r="P24" s="4">
        <v>1728</v>
      </c>
      <c r="Q24" s="4"/>
      <c r="R24" s="5">
        <f t="shared" si="0"/>
        <v>1728</v>
      </c>
    </row>
    <row r="25" spans="1:18" ht="15.75" x14ac:dyDescent="0.25">
      <c r="A25" s="128"/>
      <c r="B25" s="14" t="s">
        <v>141</v>
      </c>
      <c r="C25" s="89"/>
      <c r="D25" s="48">
        <f t="shared" si="1"/>
        <v>0</v>
      </c>
      <c r="F25" s="60" t="s">
        <v>100</v>
      </c>
      <c r="G25" s="55" t="s">
        <v>98</v>
      </c>
      <c r="H25" s="192" t="s">
        <v>13</v>
      </c>
      <c r="I25" s="193"/>
      <c r="J25" s="194"/>
      <c r="L25" s="47">
        <f>1052+120</f>
        <v>1172</v>
      </c>
      <c r="O25" t="s">
        <v>51</v>
      </c>
      <c r="P25" s="4">
        <v>1582</v>
      </c>
      <c r="Q25" s="4"/>
      <c r="R25" s="5">
        <f t="shared" si="0"/>
        <v>1582</v>
      </c>
    </row>
    <row r="26" spans="1:18" ht="15.75" x14ac:dyDescent="0.25">
      <c r="A26" s="128"/>
      <c r="B26" s="14" t="s">
        <v>139</v>
      </c>
      <c r="C26" s="89"/>
      <c r="D26" s="48">
        <f t="shared" si="1"/>
        <v>0</v>
      </c>
      <c r="F26" s="75"/>
      <c r="G26" s="65"/>
      <c r="H26" s="191"/>
      <c r="I26" s="191"/>
      <c r="J26" s="191"/>
      <c r="L26" s="7">
        <f>1447+120</f>
        <v>1567</v>
      </c>
      <c r="O26" t="s">
        <v>52</v>
      </c>
      <c r="P26" s="4">
        <v>1447</v>
      </c>
      <c r="Q26" s="4">
        <v>120</v>
      </c>
      <c r="R26" s="5">
        <f t="shared" si="0"/>
        <v>1567</v>
      </c>
    </row>
    <row r="27" spans="1:18" ht="14.45" customHeight="1" x14ac:dyDescent="0.25">
      <c r="A27" s="128"/>
      <c r="B27" s="14" t="s">
        <v>110</v>
      </c>
      <c r="C27" s="89"/>
      <c r="D27" s="44">
        <f t="shared" si="1"/>
        <v>0</v>
      </c>
      <c r="F27" s="71"/>
      <c r="G27" s="109"/>
      <c r="H27" s="244"/>
      <c r="I27" s="245"/>
      <c r="J27" s="245"/>
      <c r="L27" s="7">
        <v>1142</v>
      </c>
      <c r="O27" t="s">
        <v>53</v>
      </c>
      <c r="P27" s="4">
        <v>1582</v>
      </c>
      <c r="Q27" s="4"/>
      <c r="R27" s="5">
        <f t="shared" si="0"/>
        <v>1582</v>
      </c>
    </row>
    <row r="28" spans="1:18" ht="15.75" x14ac:dyDescent="0.25">
      <c r="A28" s="129"/>
      <c r="B28" s="46" t="s">
        <v>97</v>
      </c>
      <c r="C28" s="89"/>
      <c r="D28" s="48">
        <f t="shared" si="1"/>
        <v>0</v>
      </c>
      <c r="F28" s="106"/>
      <c r="G28" s="61"/>
      <c r="H28" s="201"/>
      <c r="I28" s="202"/>
      <c r="J28" s="203"/>
      <c r="L28" s="7">
        <v>785</v>
      </c>
      <c r="O28" t="s">
        <v>54</v>
      </c>
      <c r="P28" s="4">
        <v>1447</v>
      </c>
      <c r="Q28" s="4">
        <v>120</v>
      </c>
      <c r="R28" s="5">
        <f t="shared" si="0"/>
        <v>1567</v>
      </c>
    </row>
    <row r="29" spans="1:18" x14ac:dyDescent="0.25">
      <c r="A29" s="167" t="s">
        <v>36</v>
      </c>
      <c r="B29" s="168"/>
      <c r="C29" s="169"/>
      <c r="D29" s="173">
        <f>SUM(D6:D28)</f>
        <v>0</v>
      </c>
      <c r="F29" s="175" t="s">
        <v>55</v>
      </c>
      <c r="G29" s="176"/>
      <c r="H29" s="179">
        <f>H15-H16-H17-H18-H19-H20-H22-H23-H24+H26+H27+H28</f>
        <v>0</v>
      </c>
      <c r="I29" s="180"/>
      <c r="J29" s="181"/>
      <c r="O29" t="s">
        <v>56</v>
      </c>
      <c r="P29" s="4">
        <v>1582</v>
      </c>
      <c r="Q29" s="4"/>
      <c r="R29" s="5">
        <f t="shared" si="0"/>
        <v>1582</v>
      </c>
    </row>
    <row r="30" spans="1:18" x14ac:dyDescent="0.25">
      <c r="A30" s="170"/>
      <c r="B30" s="171"/>
      <c r="C30" s="172"/>
      <c r="D30" s="174"/>
      <c r="F30" s="177"/>
      <c r="G30" s="178"/>
      <c r="H30" s="182"/>
      <c r="I30" s="183"/>
      <c r="J30" s="184"/>
      <c r="N30" s="1"/>
      <c r="Q30" s="4"/>
      <c r="R30" s="5">
        <f t="shared" si="0"/>
        <v>0</v>
      </c>
    </row>
    <row r="31" spans="1:18" x14ac:dyDescent="0.25">
      <c r="A31" s="24"/>
      <c r="B31" s="24"/>
      <c r="C31" s="24"/>
      <c r="D31" s="24"/>
      <c r="F31" s="24"/>
      <c r="G31" s="24"/>
      <c r="O31" t="s">
        <v>57</v>
      </c>
      <c r="P31" s="4">
        <v>1052</v>
      </c>
      <c r="Q31" s="4">
        <v>120</v>
      </c>
      <c r="R31" s="5">
        <f t="shared" si="0"/>
        <v>1172</v>
      </c>
    </row>
    <row r="32" spans="1:18" x14ac:dyDescent="0.25">
      <c r="A32" s="114" t="s">
        <v>58</v>
      </c>
      <c r="B32" s="115"/>
      <c r="C32" s="115"/>
      <c r="D32" s="116"/>
      <c r="F32" s="204" t="s">
        <v>59</v>
      </c>
      <c r="G32" s="205"/>
      <c r="H32" s="205"/>
      <c r="I32" s="205"/>
      <c r="J32" s="206"/>
      <c r="O32" t="s">
        <v>60</v>
      </c>
      <c r="P32" s="4">
        <v>1005</v>
      </c>
      <c r="Q32" s="4">
        <v>120</v>
      </c>
      <c r="R32" s="5">
        <f t="shared" si="0"/>
        <v>1125</v>
      </c>
    </row>
    <row r="33" spans="1:18" x14ac:dyDescent="0.25">
      <c r="A33" s="25"/>
      <c r="B33" s="25" t="s">
        <v>11</v>
      </c>
      <c r="C33" s="25" t="s">
        <v>61</v>
      </c>
      <c r="D33" s="25" t="s">
        <v>13</v>
      </c>
      <c r="F33" s="25" t="s">
        <v>62</v>
      </c>
      <c r="G33" s="107" t="s">
        <v>63</v>
      </c>
      <c r="H33" s="204" t="s">
        <v>13</v>
      </c>
      <c r="I33" s="205"/>
      <c r="J33" s="206"/>
      <c r="O33" t="s">
        <v>64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27" t="s">
        <v>65</v>
      </c>
      <c r="B34" s="26" t="s">
        <v>66</v>
      </c>
      <c r="C34" s="51"/>
      <c r="D34" s="30">
        <f>C34*120</f>
        <v>0</v>
      </c>
      <c r="F34" s="12">
        <v>1000</v>
      </c>
      <c r="G34" s="40"/>
      <c r="H34" s="207">
        <f t="shared" ref="H34:H39" si="2">F34*G34</f>
        <v>0</v>
      </c>
      <c r="I34" s="208"/>
      <c r="J34" s="209"/>
      <c r="O34" t="s">
        <v>67</v>
      </c>
      <c r="P34" s="4">
        <v>832</v>
      </c>
      <c r="Q34" s="4">
        <v>120</v>
      </c>
      <c r="R34" s="5">
        <f t="shared" si="0"/>
        <v>952</v>
      </c>
    </row>
    <row r="35" spans="1:18" ht="15.75" x14ac:dyDescent="0.25">
      <c r="A35" s="128"/>
      <c r="B35" s="27" t="s">
        <v>68</v>
      </c>
      <c r="C35" s="52"/>
      <c r="D35" s="30">
        <f>C35*84</f>
        <v>0</v>
      </c>
      <c r="F35" s="58">
        <v>500</v>
      </c>
      <c r="G35" s="41"/>
      <c r="H35" s="207">
        <f t="shared" si="2"/>
        <v>0</v>
      </c>
      <c r="I35" s="208"/>
      <c r="J35" s="209"/>
      <c r="O35" t="s">
        <v>69</v>
      </c>
      <c r="P35" s="4">
        <v>1102</v>
      </c>
      <c r="Q35" s="4"/>
      <c r="R35" s="5">
        <f t="shared" si="0"/>
        <v>1102</v>
      </c>
    </row>
    <row r="36" spans="1:18" ht="15.75" x14ac:dyDescent="0.25">
      <c r="A36" s="129"/>
      <c r="B36" s="26" t="s">
        <v>70</v>
      </c>
      <c r="C36" s="10"/>
      <c r="D36" s="12">
        <f>C36*1.5</f>
        <v>0</v>
      </c>
      <c r="F36" s="12">
        <v>200</v>
      </c>
      <c r="G36" s="37"/>
      <c r="H36" s="207">
        <f t="shared" si="2"/>
        <v>0</v>
      </c>
      <c r="I36" s="208"/>
      <c r="J36" s="209"/>
      <c r="O36" t="s">
        <v>71</v>
      </c>
      <c r="P36" s="4">
        <v>852</v>
      </c>
      <c r="Q36" s="4">
        <v>120</v>
      </c>
      <c r="R36" s="5">
        <f t="shared" si="0"/>
        <v>972</v>
      </c>
    </row>
    <row r="37" spans="1:18" ht="15.75" x14ac:dyDescent="0.25">
      <c r="A37" s="127" t="s">
        <v>72</v>
      </c>
      <c r="B37" s="28" t="s">
        <v>66</v>
      </c>
      <c r="C37" s="53"/>
      <c r="D37" s="12">
        <f>C37*111</f>
        <v>0</v>
      </c>
      <c r="F37" s="12">
        <v>100</v>
      </c>
      <c r="G37" s="39"/>
      <c r="H37" s="207">
        <f t="shared" si="2"/>
        <v>0</v>
      </c>
      <c r="I37" s="208"/>
      <c r="J37" s="209"/>
      <c r="O37" t="s">
        <v>73</v>
      </c>
      <c r="P37" s="4">
        <v>1020</v>
      </c>
      <c r="Q37" s="4">
        <v>120</v>
      </c>
      <c r="R37" s="5">
        <f t="shared" si="0"/>
        <v>1140</v>
      </c>
    </row>
    <row r="38" spans="1:18" ht="15.75" x14ac:dyDescent="0.25">
      <c r="A38" s="128"/>
      <c r="B38" s="29" t="s">
        <v>68</v>
      </c>
      <c r="C38" s="54"/>
      <c r="D38" s="12">
        <f>C38*84</f>
        <v>0</v>
      </c>
      <c r="F38" s="30">
        <v>50</v>
      </c>
      <c r="G38" s="39"/>
      <c r="H38" s="207">
        <f t="shared" si="2"/>
        <v>0</v>
      </c>
      <c r="I38" s="208"/>
      <c r="J38" s="209"/>
      <c r="O38" t="s">
        <v>74</v>
      </c>
      <c r="P38" s="4">
        <v>596</v>
      </c>
      <c r="Q38" s="4">
        <v>111</v>
      </c>
      <c r="R38" s="5">
        <f t="shared" si="0"/>
        <v>707</v>
      </c>
    </row>
    <row r="39" spans="1:18" ht="15.75" x14ac:dyDescent="0.25">
      <c r="A39" s="129"/>
      <c r="B39" s="29" t="s">
        <v>70</v>
      </c>
      <c r="C39" s="52"/>
      <c r="D39" s="31">
        <f>C39*4.5</f>
        <v>0</v>
      </c>
      <c r="F39" s="12">
        <v>20</v>
      </c>
      <c r="G39" s="37"/>
      <c r="H39" s="207">
        <f t="shared" si="2"/>
        <v>0</v>
      </c>
      <c r="I39" s="208"/>
      <c r="J39" s="209"/>
      <c r="O39" t="s">
        <v>75</v>
      </c>
      <c r="P39" s="4">
        <v>1175</v>
      </c>
      <c r="Q39" s="4"/>
      <c r="R39" s="5">
        <f t="shared" si="0"/>
        <v>1175</v>
      </c>
    </row>
    <row r="40" spans="1:18" ht="15.75" x14ac:dyDescent="0.25">
      <c r="A40" s="127" t="s">
        <v>76</v>
      </c>
      <c r="B40" s="27" t="s">
        <v>66</v>
      </c>
      <c r="C40" s="63"/>
      <c r="D40" s="12">
        <f>C40*111</f>
        <v>0</v>
      </c>
      <c r="F40" s="12">
        <v>10</v>
      </c>
      <c r="G40" s="42"/>
      <c r="H40" s="207"/>
      <c r="I40" s="208"/>
      <c r="J40" s="209"/>
      <c r="O40" t="s">
        <v>77</v>
      </c>
      <c r="P40" s="4">
        <v>913</v>
      </c>
      <c r="Q40" s="4">
        <v>120</v>
      </c>
      <c r="R40" s="5">
        <f t="shared" si="0"/>
        <v>1033</v>
      </c>
    </row>
    <row r="41" spans="1:18" ht="15.75" x14ac:dyDescent="0.25">
      <c r="A41" s="128"/>
      <c r="B41" s="27" t="s">
        <v>68</v>
      </c>
      <c r="C41" s="10"/>
      <c r="D41" s="12">
        <f>C41*84</f>
        <v>0</v>
      </c>
      <c r="F41" s="12">
        <v>5</v>
      </c>
      <c r="G41" s="42"/>
      <c r="H41" s="207"/>
      <c r="I41" s="208"/>
      <c r="J41" s="209"/>
      <c r="K41" s="21"/>
      <c r="O41" t="s">
        <v>78</v>
      </c>
      <c r="P41" s="4">
        <v>614</v>
      </c>
      <c r="Q41" s="4">
        <v>111</v>
      </c>
      <c r="R41" s="5">
        <f t="shared" si="0"/>
        <v>725</v>
      </c>
    </row>
    <row r="42" spans="1:18" ht="15.75" x14ac:dyDescent="0.25">
      <c r="A42" s="129"/>
      <c r="B42" s="27" t="s">
        <v>70</v>
      </c>
      <c r="C42" s="11"/>
      <c r="D42" s="12">
        <f>C42*2.25</f>
        <v>0</v>
      </c>
      <c r="F42" s="39" t="s">
        <v>79</v>
      </c>
      <c r="G42" s="207"/>
      <c r="H42" s="208"/>
      <c r="I42" s="208"/>
      <c r="J42" s="209"/>
      <c r="K42" s="36"/>
      <c r="O42" t="s">
        <v>80</v>
      </c>
      <c r="P42" s="4">
        <v>626</v>
      </c>
      <c r="Q42" s="4">
        <v>111</v>
      </c>
      <c r="R42" s="5">
        <f t="shared" si="0"/>
        <v>737</v>
      </c>
    </row>
    <row r="43" spans="1:18" ht="15.75" x14ac:dyDescent="0.25">
      <c r="A43" s="210" t="s">
        <v>81</v>
      </c>
      <c r="C43" s="11"/>
      <c r="D43" s="12"/>
      <c r="F43" s="59" t="s">
        <v>82</v>
      </c>
      <c r="G43" s="109" t="s">
        <v>83</v>
      </c>
      <c r="H43" s="213" t="s">
        <v>13</v>
      </c>
      <c r="I43" s="214"/>
      <c r="J43" s="215"/>
      <c r="K43" s="21"/>
      <c r="O43" t="s">
        <v>103</v>
      </c>
      <c r="P43" s="4">
        <v>1667</v>
      </c>
      <c r="Q43" s="4"/>
      <c r="R43" s="5"/>
    </row>
    <row r="44" spans="1:18" ht="15.75" x14ac:dyDescent="0.25">
      <c r="A44" s="211"/>
      <c r="B44" s="27" t="s">
        <v>66</v>
      </c>
      <c r="C44" s="10"/>
      <c r="D44" s="12">
        <f>C44*120</f>
        <v>0</v>
      </c>
      <c r="F44" s="37"/>
      <c r="G44" s="62"/>
      <c r="H44" s="191"/>
      <c r="I44" s="191"/>
      <c r="J44" s="191"/>
      <c r="K44" s="21"/>
      <c r="O44" t="s">
        <v>106</v>
      </c>
      <c r="P44" s="4">
        <f>785-120</f>
        <v>665</v>
      </c>
      <c r="Q44" s="4">
        <v>120</v>
      </c>
      <c r="R44" s="5">
        <f>Q44+P44</f>
        <v>785</v>
      </c>
    </row>
    <row r="45" spans="1:18" ht="15.75" x14ac:dyDescent="0.25">
      <c r="A45" s="211"/>
      <c r="B45" s="27" t="s">
        <v>68</v>
      </c>
      <c r="C45" s="33"/>
      <c r="D45" s="12">
        <f>C45*84</f>
        <v>0</v>
      </c>
      <c r="F45" s="37"/>
      <c r="G45" s="62"/>
      <c r="H45" s="191"/>
      <c r="I45" s="191"/>
      <c r="J45" s="191"/>
      <c r="K45" s="21"/>
      <c r="P45" s="4"/>
      <c r="Q45" s="4"/>
      <c r="R45" s="5"/>
    </row>
    <row r="46" spans="1:18" ht="15.75" x14ac:dyDescent="0.25">
      <c r="A46" s="211"/>
      <c r="B46" s="49" t="s">
        <v>70</v>
      </c>
      <c r="C46" s="81"/>
      <c r="D46" s="12">
        <f>C46*1.5</f>
        <v>0</v>
      </c>
      <c r="F46" s="37"/>
      <c r="G46" s="62"/>
      <c r="H46" s="191"/>
      <c r="I46" s="191"/>
      <c r="J46" s="191"/>
      <c r="K46" s="21"/>
      <c r="P46" s="4"/>
      <c r="Q46" s="4"/>
      <c r="R46" s="5"/>
    </row>
    <row r="47" spans="1:18" ht="15.75" x14ac:dyDescent="0.25">
      <c r="A47" s="212"/>
      <c r="B47" s="27"/>
      <c r="C47" s="11"/>
      <c r="D47" s="12"/>
      <c r="F47" s="59"/>
      <c r="G47" s="59"/>
      <c r="H47" s="217"/>
      <c r="I47" s="218"/>
      <c r="J47" s="219"/>
      <c r="K47" s="21"/>
      <c r="P47" s="4"/>
      <c r="Q47" s="4"/>
      <c r="R47" s="5"/>
    </row>
    <row r="48" spans="1:18" ht="15" customHeight="1" x14ac:dyDescent="0.25">
      <c r="A48" s="210" t="s">
        <v>32</v>
      </c>
      <c r="B48" s="27" t="s">
        <v>66</v>
      </c>
      <c r="C48" s="10"/>
      <c r="D48" s="12">
        <f>C48*78</f>
        <v>0</v>
      </c>
      <c r="F48" s="59"/>
      <c r="G48" s="59"/>
      <c r="H48" s="217"/>
      <c r="I48" s="218"/>
      <c r="J48" s="219"/>
      <c r="K48" s="35"/>
      <c r="O48" t="s">
        <v>84</v>
      </c>
      <c r="P48" s="4">
        <v>1175</v>
      </c>
      <c r="Q48" s="4"/>
      <c r="R48" s="5">
        <f t="shared" si="0"/>
        <v>1175</v>
      </c>
    </row>
    <row r="49" spans="1:18" ht="15.75" x14ac:dyDescent="0.25">
      <c r="A49" s="211"/>
      <c r="B49" s="29" t="s">
        <v>68</v>
      </c>
      <c r="C49" s="33"/>
      <c r="D49" s="12">
        <f>C49*42</f>
        <v>0</v>
      </c>
      <c r="F49" s="232" t="s">
        <v>86</v>
      </c>
      <c r="G49" s="179">
        <f>H34+H35+H36+H37+H38+H39+H40+H41+G42+H44+H45+H46</f>
        <v>0</v>
      </c>
      <c r="H49" s="180"/>
      <c r="I49" s="180"/>
      <c r="J49" s="181"/>
      <c r="O49" t="s">
        <v>85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211"/>
      <c r="B50" s="32" t="s">
        <v>70</v>
      </c>
      <c r="C50" s="11"/>
      <c r="D50" s="12">
        <f>C50*1.5</f>
        <v>0</v>
      </c>
      <c r="F50" s="233"/>
      <c r="G50" s="182"/>
      <c r="H50" s="183"/>
      <c r="I50" s="183"/>
      <c r="J50" s="184"/>
      <c r="P50" s="4"/>
      <c r="Q50" s="4"/>
      <c r="R50" s="5"/>
    </row>
    <row r="51" spans="1:18" ht="15" customHeight="1" x14ac:dyDescent="0.25">
      <c r="A51" s="211"/>
      <c r="B51" s="27"/>
      <c r="C51" s="10"/>
      <c r="D51" s="31"/>
      <c r="F51" s="234" t="s">
        <v>131</v>
      </c>
      <c r="G51" s="247">
        <f>G49-H29</f>
        <v>0</v>
      </c>
      <c r="H51" s="248"/>
      <c r="I51" s="248"/>
      <c r="J51" s="249"/>
      <c r="K51" s="21"/>
      <c r="O51" t="s">
        <v>87</v>
      </c>
      <c r="P51" s="4">
        <v>703</v>
      </c>
      <c r="Q51" s="4">
        <v>120</v>
      </c>
      <c r="R51" s="5">
        <f t="shared" si="0"/>
        <v>823</v>
      </c>
    </row>
    <row r="52" spans="1:18" ht="15.75" x14ac:dyDescent="0.25">
      <c r="A52" s="211"/>
      <c r="B52" s="29"/>
      <c r="C52" s="33"/>
      <c r="D52" s="45"/>
      <c r="F52" s="235"/>
      <c r="G52" s="250"/>
      <c r="H52" s="251"/>
      <c r="I52" s="251"/>
      <c r="J52" s="252"/>
      <c r="K52" s="21"/>
      <c r="O52" t="s">
        <v>88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212"/>
      <c r="B53" s="32"/>
      <c r="C53" s="11"/>
      <c r="D53" s="12"/>
      <c r="F53" s="35"/>
      <c r="G53" s="24"/>
      <c r="H53" s="24"/>
      <c r="I53" s="24"/>
      <c r="J53" s="17"/>
      <c r="N53" s="1"/>
      <c r="O53" t="s">
        <v>89</v>
      </c>
      <c r="P53" s="4">
        <v>1142</v>
      </c>
    </row>
    <row r="54" spans="1:18" x14ac:dyDescent="0.25">
      <c r="A54" s="175" t="s">
        <v>90</v>
      </c>
      <c r="B54" s="220"/>
      <c r="C54" s="221"/>
      <c r="D54" s="224">
        <f>SUM(D34:D53)</f>
        <v>0</v>
      </c>
      <c r="F54" s="21"/>
      <c r="J54" s="34"/>
      <c r="O54" t="s">
        <v>102</v>
      </c>
      <c r="P54" s="4">
        <v>1582</v>
      </c>
      <c r="R54" s="3">
        <v>1582</v>
      </c>
    </row>
    <row r="55" spans="1:18" x14ac:dyDescent="0.25">
      <c r="A55" s="177"/>
      <c r="B55" s="222"/>
      <c r="C55" s="223"/>
      <c r="D55" s="225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133</v>
      </c>
      <c r="D57" s="34"/>
      <c r="F57" s="36"/>
      <c r="G57" s="50"/>
      <c r="H57" s="50"/>
      <c r="I57" s="50"/>
      <c r="J57" s="43"/>
    </row>
    <row r="58" spans="1:18" x14ac:dyDescent="0.25">
      <c r="A58" s="226" t="s">
        <v>91</v>
      </c>
      <c r="B58" s="227"/>
      <c r="C58" s="227"/>
      <c r="D58" s="228"/>
      <c r="F58" s="226" t="s">
        <v>92</v>
      </c>
      <c r="G58" s="227"/>
      <c r="H58" s="227"/>
      <c r="I58" s="227"/>
      <c r="J58" s="228"/>
    </row>
    <row r="59" spans="1:18" x14ac:dyDescent="0.25">
      <c r="A59" s="229"/>
      <c r="B59" s="230"/>
      <c r="C59" s="230"/>
      <c r="D59" s="231"/>
      <c r="F59" s="229"/>
      <c r="G59" s="230"/>
      <c r="H59" s="230"/>
      <c r="I59" s="230"/>
      <c r="J59" s="231"/>
    </row>
  </sheetData>
  <mergeCells count="68"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  <mergeCell ref="H13:J13"/>
    <mergeCell ref="F14:G14"/>
    <mergeCell ref="H14:J14"/>
    <mergeCell ref="F15:G15"/>
    <mergeCell ref="H15:J15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A32:D32"/>
    <mergeCell ref="F32:J32"/>
    <mergeCell ref="H33:J33"/>
    <mergeCell ref="A34:A36"/>
    <mergeCell ref="H34:J34"/>
    <mergeCell ref="H35:J35"/>
    <mergeCell ref="H36:J36"/>
    <mergeCell ref="A37:A39"/>
    <mergeCell ref="H37:J37"/>
    <mergeCell ref="H38:J38"/>
    <mergeCell ref="H39:J39"/>
    <mergeCell ref="A40:A42"/>
    <mergeCell ref="H40:J40"/>
    <mergeCell ref="H41:J41"/>
    <mergeCell ref="G42:J42"/>
    <mergeCell ref="A43:A47"/>
    <mergeCell ref="H43:J43"/>
    <mergeCell ref="H44:J44"/>
    <mergeCell ref="H45:J45"/>
    <mergeCell ref="H46:J46"/>
    <mergeCell ref="H47:J47"/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7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812B31C-76E0-416C-90A7-5651DCB50ADF}">
  <dimension ref="A1:R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113" t="s">
        <v>1</v>
      </c>
      <c r="O1" s="113"/>
      <c r="P1" s="105" t="s">
        <v>2</v>
      </c>
      <c r="Q1" s="105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14" t="s">
        <v>7</v>
      </c>
      <c r="B4" s="115"/>
      <c r="C4" s="115"/>
      <c r="D4" s="116"/>
      <c r="F4" s="117" t="s">
        <v>8</v>
      </c>
      <c r="G4" s="119">
        <v>2</v>
      </c>
      <c r="H4" s="121" t="s">
        <v>9</v>
      </c>
      <c r="I4" s="123">
        <v>45983</v>
      </c>
      <c r="J4" s="124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27" t="s">
        <v>7</v>
      </c>
      <c r="B5" s="15" t="s">
        <v>11</v>
      </c>
      <c r="C5" s="9" t="s">
        <v>12</v>
      </c>
      <c r="D5" s="25" t="s">
        <v>13</v>
      </c>
      <c r="F5" s="118"/>
      <c r="G5" s="120"/>
      <c r="H5" s="122"/>
      <c r="I5" s="125"/>
      <c r="J5" s="126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28"/>
      <c r="B6" s="16" t="s">
        <v>15</v>
      </c>
      <c r="C6" s="10"/>
      <c r="D6" s="13">
        <f t="shared" ref="D6:D28" si="1">C6*L6</f>
        <v>0</v>
      </c>
      <c r="F6" s="130" t="s">
        <v>16</v>
      </c>
      <c r="G6" s="132" t="s">
        <v>134</v>
      </c>
      <c r="H6" s="133"/>
      <c r="I6" s="133"/>
      <c r="J6" s="134"/>
      <c r="K6" s="8"/>
      <c r="L6" s="6">
        <f>R42</f>
        <v>737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28"/>
      <c r="B7" s="16" t="s">
        <v>18</v>
      </c>
      <c r="C7" s="10"/>
      <c r="D7" s="13">
        <f t="shared" si="1"/>
        <v>0</v>
      </c>
      <c r="F7" s="131"/>
      <c r="G7" s="135"/>
      <c r="H7" s="136"/>
      <c r="I7" s="136"/>
      <c r="J7" s="137"/>
      <c r="K7" s="8"/>
      <c r="L7" s="6">
        <f>R41</f>
        <v>725</v>
      </c>
      <c r="P7" s="4"/>
      <c r="Q7" s="4"/>
      <c r="R7" s="5"/>
    </row>
    <row r="8" spans="1:18" ht="14.45" customHeight="1" x14ac:dyDescent="0.25">
      <c r="A8" s="128"/>
      <c r="B8" s="16" t="s">
        <v>20</v>
      </c>
      <c r="C8" s="10"/>
      <c r="D8" s="13">
        <f t="shared" si="1"/>
        <v>0</v>
      </c>
      <c r="F8" s="138" t="s">
        <v>21</v>
      </c>
      <c r="G8" s="140" t="s">
        <v>114</v>
      </c>
      <c r="H8" s="141"/>
      <c r="I8" s="141"/>
      <c r="J8" s="142"/>
      <c r="K8" s="8"/>
      <c r="L8" s="6">
        <f>R40</f>
        <v>1033</v>
      </c>
      <c r="P8" s="4"/>
      <c r="Q8" s="4"/>
      <c r="R8" s="5"/>
    </row>
    <row r="9" spans="1:18" ht="14.45" customHeight="1" x14ac:dyDescent="0.25">
      <c r="A9" s="128"/>
      <c r="B9" s="16" t="s">
        <v>23</v>
      </c>
      <c r="C9" s="10"/>
      <c r="D9" s="13">
        <f t="shared" si="1"/>
        <v>0</v>
      </c>
      <c r="F9" s="131"/>
      <c r="G9" s="143"/>
      <c r="H9" s="144"/>
      <c r="I9" s="144"/>
      <c r="J9" s="145"/>
      <c r="K9" s="8"/>
      <c r="L9" s="6">
        <f>R38</f>
        <v>707</v>
      </c>
      <c r="P9" s="4"/>
      <c r="Q9" s="4"/>
      <c r="R9" s="5"/>
    </row>
    <row r="10" spans="1:18" ht="14.45" customHeight="1" x14ac:dyDescent="0.25">
      <c r="A10" s="128"/>
      <c r="B10" t="s">
        <v>25</v>
      </c>
      <c r="C10" s="10"/>
      <c r="D10" s="13">
        <f t="shared" si="1"/>
        <v>0</v>
      </c>
      <c r="F10" s="130" t="s">
        <v>26</v>
      </c>
      <c r="G10" s="146" t="s">
        <v>115</v>
      </c>
      <c r="H10" s="147"/>
      <c r="I10" s="147"/>
      <c r="J10" s="148"/>
      <c r="K10" s="8"/>
      <c r="L10" s="6">
        <f>R36</f>
        <v>972</v>
      </c>
      <c r="P10" s="4"/>
      <c r="Q10" s="4"/>
      <c r="R10" s="5"/>
    </row>
    <row r="11" spans="1:18" ht="15.75" x14ac:dyDescent="0.25">
      <c r="A11" s="128"/>
      <c r="B11" s="17" t="s">
        <v>28</v>
      </c>
      <c r="C11" s="10"/>
      <c r="D11" s="13">
        <f t="shared" si="1"/>
        <v>0</v>
      </c>
      <c r="F11" s="131"/>
      <c r="G11" s="143"/>
      <c r="H11" s="144"/>
      <c r="I11" s="144"/>
      <c r="J11" s="145"/>
      <c r="K11" s="22"/>
      <c r="L11" s="6">
        <f>R32</f>
        <v>1125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28"/>
      <c r="B12" s="17" t="s">
        <v>30</v>
      </c>
      <c r="C12" s="10"/>
      <c r="D12" s="48">
        <f t="shared" si="1"/>
        <v>0</v>
      </c>
      <c r="F12" s="149" t="s">
        <v>33</v>
      </c>
      <c r="G12" s="150"/>
      <c r="H12" s="150"/>
      <c r="I12" s="150"/>
      <c r="J12" s="151"/>
      <c r="K12" s="23"/>
      <c r="L12" s="6">
        <f>R34</f>
        <v>952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28"/>
      <c r="B13" s="17" t="s">
        <v>32</v>
      </c>
      <c r="C13" s="10"/>
      <c r="D13" s="48">
        <f t="shared" si="1"/>
        <v>0</v>
      </c>
      <c r="F13" s="152" t="s">
        <v>36</v>
      </c>
      <c r="G13" s="153"/>
      <c r="H13" s="154">
        <f>D29</f>
        <v>0</v>
      </c>
      <c r="I13" s="155"/>
      <c r="J13" s="156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28"/>
      <c r="B14" s="14" t="s">
        <v>35</v>
      </c>
      <c r="C14" s="10"/>
      <c r="D14" s="31">
        <f t="shared" si="1"/>
        <v>0</v>
      </c>
      <c r="F14" s="157" t="s">
        <v>39</v>
      </c>
      <c r="G14" s="158"/>
      <c r="H14" s="159">
        <f>D54</f>
        <v>0</v>
      </c>
      <c r="I14" s="160"/>
      <c r="J14" s="161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28"/>
      <c r="B15" s="14" t="s">
        <v>38</v>
      </c>
      <c r="C15" s="10"/>
      <c r="D15" s="31">
        <f t="shared" si="1"/>
        <v>0</v>
      </c>
      <c r="F15" s="162" t="s">
        <v>40</v>
      </c>
      <c r="G15" s="153"/>
      <c r="H15" s="163">
        <f>H13-H14</f>
        <v>0</v>
      </c>
      <c r="I15" s="164"/>
      <c r="J15" s="165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28"/>
      <c r="B16" s="18" t="s">
        <v>94</v>
      </c>
      <c r="C16" s="10"/>
      <c r="D16" s="48">
        <f t="shared" si="1"/>
        <v>0</v>
      </c>
      <c r="F16" s="67" t="s">
        <v>42</v>
      </c>
      <c r="G16" s="66" t="s">
        <v>43</v>
      </c>
      <c r="H16" s="166"/>
      <c r="I16" s="166"/>
      <c r="J16" s="166"/>
      <c r="L16" s="6">
        <f>R28</f>
        <v>1567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28"/>
      <c r="B17" t="s">
        <v>93</v>
      </c>
      <c r="C17" s="10"/>
      <c r="D17" s="48">
        <f t="shared" si="1"/>
        <v>0</v>
      </c>
      <c r="F17" s="56"/>
      <c r="G17" s="66" t="s">
        <v>45</v>
      </c>
      <c r="H17" s="139"/>
      <c r="I17" s="139"/>
      <c r="J17" s="139"/>
      <c r="L17" s="6">
        <f>R21</f>
        <v>1567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28"/>
      <c r="B18" s="19" t="s">
        <v>95</v>
      </c>
      <c r="C18" s="10"/>
      <c r="D18" s="48">
        <f t="shared" si="1"/>
        <v>0</v>
      </c>
      <c r="F18" s="56"/>
      <c r="G18" s="66" t="s">
        <v>47</v>
      </c>
      <c r="H18" s="139"/>
      <c r="I18" s="139"/>
      <c r="J18" s="139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28"/>
      <c r="B19" s="14" t="s">
        <v>96</v>
      </c>
      <c r="C19" s="10"/>
      <c r="D19" s="48">
        <f t="shared" si="1"/>
        <v>0</v>
      </c>
      <c r="F19" s="56"/>
      <c r="G19" s="68" t="s">
        <v>50</v>
      </c>
      <c r="H19" s="246"/>
      <c r="I19" s="246"/>
      <c r="J19" s="246"/>
      <c r="L19" s="6">
        <f>R35</f>
        <v>1102</v>
      </c>
      <c r="Q19" s="4"/>
      <c r="R19" s="5">
        <f t="shared" si="0"/>
        <v>0</v>
      </c>
    </row>
    <row r="20" spans="1:18" ht="15.75" x14ac:dyDescent="0.25">
      <c r="A20" s="128"/>
      <c r="B20" s="46" t="s">
        <v>122</v>
      </c>
      <c r="C20" s="10"/>
      <c r="D20" s="13">
        <f t="shared" si="1"/>
        <v>0</v>
      </c>
      <c r="F20" s="57"/>
      <c r="G20" s="70" t="s">
        <v>120</v>
      </c>
      <c r="H20" s="139"/>
      <c r="I20" s="139"/>
      <c r="J20" s="139"/>
      <c r="L20" s="6">
        <f>R39</f>
        <v>1175</v>
      </c>
      <c r="N20" s="1" t="s">
        <v>41</v>
      </c>
      <c r="Q20" s="4"/>
      <c r="R20" s="5">
        <f t="shared" si="0"/>
        <v>0</v>
      </c>
    </row>
    <row r="21" spans="1:18" ht="15.75" x14ac:dyDescent="0.25">
      <c r="A21" s="128"/>
      <c r="B21" s="14" t="s">
        <v>126</v>
      </c>
      <c r="C21" s="10"/>
      <c r="D21" s="48">
        <f t="shared" si="1"/>
        <v>0</v>
      </c>
      <c r="F21" s="69" t="s">
        <v>99</v>
      </c>
      <c r="G21" s="82" t="s">
        <v>98</v>
      </c>
      <c r="H21" s="186" t="s">
        <v>13</v>
      </c>
      <c r="I21" s="187"/>
      <c r="J21" s="188"/>
      <c r="L21" s="7">
        <v>650</v>
      </c>
      <c r="O21" t="s">
        <v>44</v>
      </c>
      <c r="P21" s="4">
        <v>1447</v>
      </c>
      <c r="Q21" s="4">
        <v>120</v>
      </c>
      <c r="R21" s="5">
        <f t="shared" si="0"/>
        <v>1567</v>
      </c>
    </row>
    <row r="22" spans="1:18" ht="15.75" x14ac:dyDescent="0.25">
      <c r="A22" s="128"/>
      <c r="B22" s="46" t="s">
        <v>104</v>
      </c>
      <c r="C22" s="10"/>
      <c r="D22" s="48">
        <f t="shared" si="1"/>
        <v>0</v>
      </c>
      <c r="F22" s="72"/>
      <c r="G22" s="73"/>
      <c r="H22" s="189"/>
      <c r="I22" s="189"/>
      <c r="J22" s="189"/>
      <c r="L22" s="7">
        <f>559+111</f>
        <v>670</v>
      </c>
      <c r="O22" t="s">
        <v>46</v>
      </c>
      <c r="P22" s="4">
        <v>1582</v>
      </c>
      <c r="Q22" s="4"/>
      <c r="R22" s="5">
        <f t="shared" si="0"/>
        <v>1582</v>
      </c>
    </row>
    <row r="23" spans="1:18" ht="15.75" x14ac:dyDescent="0.25">
      <c r="A23" s="128"/>
      <c r="B23" s="14" t="s">
        <v>107</v>
      </c>
      <c r="C23" s="10"/>
      <c r="D23" s="48">
        <f t="shared" si="1"/>
        <v>0</v>
      </c>
      <c r="F23" s="25"/>
      <c r="G23" s="37"/>
      <c r="H23" s="190"/>
      <c r="I23" s="191"/>
      <c r="J23" s="191"/>
      <c r="L23" s="47">
        <f>R33</f>
        <v>1175</v>
      </c>
      <c r="N23" s="1"/>
      <c r="O23" t="s">
        <v>48</v>
      </c>
      <c r="P23" s="4">
        <v>1728</v>
      </c>
      <c r="Q23" s="4"/>
      <c r="R23" s="5">
        <f t="shared" si="0"/>
        <v>1728</v>
      </c>
    </row>
    <row r="24" spans="1:18" ht="15.75" x14ac:dyDescent="0.25">
      <c r="A24" s="128"/>
      <c r="B24" s="14" t="s">
        <v>123</v>
      </c>
      <c r="C24" s="10"/>
      <c r="D24" s="48">
        <f t="shared" si="1"/>
        <v>0</v>
      </c>
      <c r="F24" s="38"/>
      <c r="G24" s="37"/>
      <c r="H24" s="190"/>
      <c r="I24" s="191"/>
      <c r="J24" s="191"/>
      <c r="L24" s="47">
        <f>596/6</f>
        <v>99.333333333333329</v>
      </c>
      <c r="N24" s="1"/>
      <c r="O24" t="s">
        <v>49</v>
      </c>
      <c r="P24" s="4">
        <v>1728</v>
      </c>
      <c r="Q24" s="4"/>
      <c r="R24" s="5">
        <f t="shared" si="0"/>
        <v>1728</v>
      </c>
    </row>
    <row r="25" spans="1:18" ht="15.75" x14ac:dyDescent="0.25">
      <c r="A25" s="128"/>
      <c r="B25" s="14" t="s">
        <v>124</v>
      </c>
      <c r="C25" s="10"/>
      <c r="D25" s="48">
        <f t="shared" si="1"/>
        <v>0</v>
      </c>
      <c r="F25" s="60" t="s">
        <v>100</v>
      </c>
      <c r="G25" s="55" t="s">
        <v>98</v>
      </c>
      <c r="H25" s="192" t="s">
        <v>13</v>
      </c>
      <c r="I25" s="193"/>
      <c r="J25" s="194"/>
      <c r="L25" s="47">
        <f>674/6</f>
        <v>112.33333333333333</v>
      </c>
      <c r="O25" t="s">
        <v>51</v>
      </c>
      <c r="P25" s="4">
        <v>1582</v>
      </c>
      <c r="Q25" s="4"/>
      <c r="R25" s="5">
        <f t="shared" si="0"/>
        <v>1582</v>
      </c>
    </row>
    <row r="26" spans="1:18" ht="15.75" x14ac:dyDescent="0.25">
      <c r="A26" s="128"/>
      <c r="B26" s="14" t="s">
        <v>105</v>
      </c>
      <c r="C26" s="10"/>
      <c r="D26" s="48">
        <f t="shared" si="1"/>
        <v>0</v>
      </c>
      <c r="F26" s="64"/>
      <c r="G26" s="10"/>
      <c r="H26" s="195"/>
      <c r="I26" s="196"/>
      <c r="J26" s="197"/>
      <c r="L26" s="7">
        <f>832/24+1.5</f>
        <v>36.166666666666664</v>
      </c>
      <c r="O26" t="s">
        <v>52</v>
      </c>
      <c r="P26" s="4">
        <v>1447</v>
      </c>
      <c r="Q26" s="4">
        <v>120</v>
      </c>
      <c r="R26" s="5">
        <f t="shared" si="0"/>
        <v>1567</v>
      </c>
    </row>
    <row r="27" spans="1:18" ht="14.45" customHeight="1" x14ac:dyDescent="0.25">
      <c r="A27" s="128"/>
      <c r="B27" s="14" t="s">
        <v>109</v>
      </c>
      <c r="C27" s="10"/>
      <c r="D27" s="44">
        <f t="shared" si="1"/>
        <v>0</v>
      </c>
      <c r="F27" s="14"/>
      <c r="G27" s="14"/>
      <c r="H27" s="198"/>
      <c r="I27" s="199"/>
      <c r="J27" s="200"/>
      <c r="L27" s="7">
        <v>1582</v>
      </c>
      <c r="O27" t="s">
        <v>53</v>
      </c>
      <c r="P27" s="4">
        <v>1582</v>
      </c>
      <c r="Q27" s="4"/>
      <c r="R27" s="5">
        <f t="shared" si="0"/>
        <v>1582</v>
      </c>
    </row>
    <row r="28" spans="1:18" ht="15.75" x14ac:dyDescent="0.25">
      <c r="A28" s="129"/>
      <c r="B28" s="46" t="s">
        <v>97</v>
      </c>
      <c r="C28" s="10"/>
      <c r="D28" s="48">
        <f t="shared" si="1"/>
        <v>0</v>
      </c>
      <c r="F28" s="106"/>
      <c r="G28" s="61"/>
      <c r="H28" s="201"/>
      <c r="I28" s="202"/>
      <c r="J28" s="203"/>
      <c r="L28" s="7">
        <v>785</v>
      </c>
      <c r="O28" t="s">
        <v>54</v>
      </c>
      <c r="P28" s="4">
        <v>1447</v>
      </c>
      <c r="Q28" s="4">
        <v>120</v>
      </c>
      <c r="R28" s="5">
        <f t="shared" si="0"/>
        <v>1567</v>
      </c>
    </row>
    <row r="29" spans="1:18" x14ac:dyDescent="0.25">
      <c r="A29" s="167" t="s">
        <v>36</v>
      </c>
      <c r="B29" s="168"/>
      <c r="C29" s="169"/>
      <c r="D29" s="173">
        <f>SUM(D6:D28)</f>
        <v>0</v>
      </c>
      <c r="F29" s="175" t="s">
        <v>55</v>
      </c>
      <c r="G29" s="176"/>
      <c r="H29" s="179">
        <f>H15-H16-H17-H18-H19-H20-H22-H23-H24+H26+H27</f>
        <v>0</v>
      </c>
      <c r="I29" s="180"/>
      <c r="J29" s="181"/>
      <c r="O29" t="s">
        <v>56</v>
      </c>
      <c r="P29" s="4">
        <v>1582</v>
      </c>
      <c r="Q29" s="4"/>
      <c r="R29" s="5">
        <f t="shared" si="0"/>
        <v>1582</v>
      </c>
    </row>
    <row r="30" spans="1:18" x14ac:dyDescent="0.25">
      <c r="A30" s="170"/>
      <c r="B30" s="171"/>
      <c r="C30" s="172"/>
      <c r="D30" s="174"/>
      <c r="F30" s="177"/>
      <c r="G30" s="178"/>
      <c r="H30" s="182"/>
      <c r="I30" s="183"/>
      <c r="J30" s="184"/>
      <c r="N30" s="1"/>
      <c r="Q30" s="4"/>
      <c r="R30" s="5">
        <f t="shared" si="0"/>
        <v>0</v>
      </c>
    </row>
    <row r="31" spans="1:18" x14ac:dyDescent="0.25">
      <c r="A31" s="24"/>
      <c r="B31" s="24"/>
      <c r="C31" s="24"/>
      <c r="D31" s="24"/>
      <c r="F31" s="24"/>
      <c r="G31" s="24"/>
      <c r="O31" t="s">
        <v>57</v>
      </c>
      <c r="P31" s="4">
        <v>1052</v>
      </c>
      <c r="Q31" s="4">
        <v>120</v>
      </c>
      <c r="R31" s="5">
        <f t="shared" si="0"/>
        <v>1172</v>
      </c>
    </row>
    <row r="32" spans="1:18" x14ac:dyDescent="0.25">
      <c r="A32" s="114" t="s">
        <v>58</v>
      </c>
      <c r="B32" s="115"/>
      <c r="C32" s="115"/>
      <c r="D32" s="116"/>
      <c r="F32" s="204" t="s">
        <v>59</v>
      </c>
      <c r="G32" s="205"/>
      <c r="H32" s="205"/>
      <c r="I32" s="205"/>
      <c r="J32" s="206"/>
      <c r="O32" t="s">
        <v>60</v>
      </c>
      <c r="P32" s="4">
        <v>1005</v>
      </c>
      <c r="Q32" s="4">
        <v>120</v>
      </c>
      <c r="R32" s="5">
        <f t="shared" si="0"/>
        <v>1125</v>
      </c>
    </row>
    <row r="33" spans="1:18" x14ac:dyDescent="0.25">
      <c r="A33" s="25"/>
      <c r="B33" s="25" t="s">
        <v>11</v>
      </c>
      <c r="C33" s="25" t="s">
        <v>61</v>
      </c>
      <c r="D33" s="25" t="s">
        <v>13</v>
      </c>
      <c r="F33" s="25" t="s">
        <v>62</v>
      </c>
      <c r="G33" s="107" t="s">
        <v>63</v>
      </c>
      <c r="H33" s="204" t="s">
        <v>13</v>
      </c>
      <c r="I33" s="205"/>
      <c r="J33" s="206"/>
      <c r="O33" t="s">
        <v>64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27" t="s">
        <v>65</v>
      </c>
      <c r="B34" s="26" t="s">
        <v>66</v>
      </c>
      <c r="C34" s="51"/>
      <c r="D34" s="30">
        <f>C34*120</f>
        <v>0</v>
      </c>
      <c r="F34" s="12">
        <v>1000</v>
      </c>
      <c r="G34" s="74"/>
      <c r="H34" s="207">
        <f>F34*G34</f>
        <v>0</v>
      </c>
      <c r="I34" s="208"/>
      <c r="J34" s="209"/>
      <c r="O34" t="s">
        <v>67</v>
      </c>
      <c r="P34" s="4">
        <v>832</v>
      </c>
      <c r="Q34" s="4">
        <v>120</v>
      </c>
      <c r="R34" s="5">
        <f t="shared" si="0"/>
        <v>952</v>
      </c>
    </row>
    <row r="35" spans="1:18" ht="15.75" x14ac:dyDescent="0.25">
      <c r="A35" s="128"/>
      <c r="B35" s="27" t="s">
        <v>68</v>
      </c>
      <c r="C35" s="52"/>
      <c r="D35" s="30">
        <f>C35*84</f>
        <v>0</v>
      </c>
      <c r="F35" s="58">
        <v>500</v>
      </c>
      <c r="G35" s="41"/>
      <c r="H35" s="207">
        <f t="shared" ref="H35:H39" si="2">F35*G35</f>
        <v>0</v>
      </c>
      <c r="I35" s="208"/>
      <c r="J35" s="209"/>
      <c r="O35" t="s">
        <v>69</v>
      </c>
      <c r="P35" s="4">
        <v>1102</v>
      </c>
      <c r="Q35" s="4"/>
      <c r="R35" s="5">
        <f t="shared" si="0"/>
        <v>1102</v>
      </c>
    </row>
    <row r="36" spans="1:18" ht="15.75" x14ac:dyDescent="0.25">
      <c r="A36" s="129"/>
      <c r="B36" s="26" t="s">
        <v>70</v>
      </c>
      <c r="C36" s="10"/>
      <c r="D36" s="12">
        <f>C36*1.5</f>
        <v>0</v>
      </c>
      <c r="F36" s="12">
        <v>200</v>
      </c>
      <c r="G36" s="37"/>
      <c r="H36" s="207">
        <f>F36*G36</f>
        <v>0</v>
      </c>
      <c r="I36" s="208"/>
      <c r="J36" s="209"/>
      <c r="O36" t="s">
        <v>71</v>
      </c>
      <c r="P36" s="4">
        <v>852</v>
      </c>
      <c r="Q36" s="4">
        <v>120</v>
      </c>
      <c r="R36" s="5">
        <f t="shared" si="0"/>
        <v>972</v>
      </c>
    </row>
    <row r="37" spans="1:18" ht="15.75" x14ac:dyDescent="0.25">
      <c r="A37" s="127" t="s">
        <v>72</v>
      </c>
      <c r="B37" s="28" t="s">
        <v>66</v>
      </c>
      <c r="C37" s="53"/>
      <c r="D37" s="12">
        <f>C37*111</f>
        <v>0</v>
      </c>
      <c r="F37" s="12">
        <v>100</v>
      </c>
      <c r="G37" s="39"/>
      <c r="H37" s="207">
        <f t="shared" si="2"/>
        <v>0</v>
      </c>
      <c r="I37" s="208"/>
      <c r="J37" s="209"/>
      <c r="O37" t="s">
        <v>73</v>
      </c>
      <c r="P37" s="4">
        <v>1020</v>
      </c>
      <c r="Q37" s="4">
        <v>120</v>
      </c>
      <c r="R37" s="5">
        <f t="shared" si="0"/>
        <v>1140</v>
      </c>
    </row>
    <row r="38" spans="1:18" ht="15.75" x14ac:dyDescent="0.25">
      <c r="A38" s="128"/>
      <c r="B38" s="29" t="s">
        <v>68</v>
      </c>
      <c r="C38" s="54"/>
      <c r="D38" s="12">
        <f>C38*84</f>
        <v>0</v>
      </c>
      <c r="F38" s="30">
        <v>50</v>
      </c>
      <c r="G38" s="39"/>
      <c r="H38" s="207">
        <f t="shared" si="2"/>
        <v>0</v>
      </c>
      <c r="I38" s="208"/>
      <c r="J38" s="209"/>
      <c r="O38" t="s">
        <v>74</v>
      </c>
      <c r="P38" s="4">
        <v>596</v>
      </c>
      <c r="Q38" s="4">
        <v>111</v>
      </c>
      <c r="R38" s="5">
        <f t="shared" si="0"/>
        <v>707</v>
      </c>
    </row>
    <row r="39" spans="1:18" ht="15.75" x14ac:dyDescent="0.25">
      <c r="A39" s="129"/>
      <c r="B39" s="29" t="s">
        <v>70</v>
      </c>
      <c r="C39" s="52"/>
      <c r="D39" s="31">
        <f>C39*4.5</f>
        <v>0</v>
      </c>
      <c r="F39" s="12">
        <v>20</v>
      </c>
      <c r="G39" s="37"/>
      <c r="H39" s="207">
        <f t="shared" si="2"/>
        <v>0</v>
      </c>
      <c r="I39" s="208"/>
      <c r="J39" s="209"/>
      <c r="O39" t="s">
        <v>75</v>
      </c>
      <c r="P39" s="4">
        <v>1175</v>
      </c>
      <c r="Q39" s="4"/>
      <c r="R39" s="5">
        <f t="shared" si="0"/>
        <v>1175</v>
      </c>
    </row>
    <row r="40" spans="1:18" ht="15.75" x14ac:dyDescent="0.25">
      <c r="A40" s="127" t="s">
        <v>76</v>
      </c>
      <c r="B40" s="27" t="s">
        <v>66</v>
      </c>
      <c r="C40" s="63"/>
      <c r="D40" s="12">
        <f>C40*111</f>
        <v>0</v>
      </c>
      <c r="F40" s="12">
        <v>10</v>
      </c>
      <c r="G40" s="42"/>
      <c r="H40" s="207"/>
      <c r="I40" s="208"/>
      <c r="J40" s="209"/>
      <c r="O40" t="s">
        <v>77</v>
      </c>
      <c r="P40" s="4">
        <v>913</v>
      </c>
      <c r="Q40" s="4">
        <v>120</v>
      </c>
      <c r="R40" s="5">
        <f t="shared" si="0"/>
        <v>1033</v>
      </c>
    </row>
    <row r="41" spans="1:18" ht="15.75" x14ac:dyDescent="0.25">
      <c r="A41" s="128"/>
      <c r="B41" s="27" t="s">
        <v>68</v>
      </c>
      <c r="C41" s="10"/>
      <c r="D41" s="12">
        <f>C41*84</f>
        <v>0</v>
      </c>
      <c r="F41" s="12">
        <v>5</v>
      </c>
      <c r="G41" s="42"/>
      <c r="H41" s="207"/>
      <c r="I41" s="208"/>
      <c r="J41" s="209"/>
      <c r="K41" s="21"/>
      <c r="O41" t="s">
        <v>78</v>
      </c>
      <c r="P41" s="4">
        <v>614</v>
      </c>
      <c r="Q41" s="4">
        <v>111</v>
      </c>
      <c r="R41" s="5">
        <f t="shared" si="0"/>
        <v>725</v>
      </c>
    </row>
    <row r="42" spans="1:18" ht="15.75" x14ac:dyDescent="0.25">
      <c r="A42" s="129"/>
      <c r="B42" s="27" t="s">
        <v>70</v>
      </c>
      <c r="C42" s="11"/>
      <c r="D42" s="12">
        <f>C42*2.25</f>
        <v>0</v>
      </c>
      <c r="F42" s="39" t="s">
        <v>79</v>
      </c>
      <c r="G42" s="207"/>
      <c r="H42" s="208"/>
      <c r="I42" s="208"/>
      <c r="J42" s="209"/>
      <c r="K42" s="36"/>
      <c r="O42" t="s">
        <v>80</v>
      </c>
      <c r="P42" s="4">
        <v>626</v>
      </c>
      <c r="Q42" s="4">
        <v>111</v>
      </c>
      <c r="R42" s="5">
        <f t="shared" si="0"/>
        <v>737</v>
      </c>
    </row>
    <row r="43" spans="1:18" ht="15.75" x14ac:dyDescent="0.25">
      <c r="A43" s="210" t="s">
        <v>81</v>
      </c>
      <c r="C43" s="11"/>
      <c r="D43" s="12"/>
      <c r="F43" s="59" t="s">
        <v>82</v>
      </c>
      <c r="G43" s="109" t="s">
        <v>83</v>
      </c>
      <c r="H43" s="213" t="s">
        <v>13</v>
      </c>
      <c r="I43" s="214"/>
      <c r="J43" s="215"/>
      <c r="K43" s="21"/>
      <c r="P43" s="4"/>
      <c r="Q43" s="4"/>
      <c r="R43" s="5"/>
    </row>
    <row r="44" spans="1:18" ht="15.75" x14ac:dyDescent="0.25">
      <c r="A44" s="211"/>
      <c r="B44" s="27" t="s">
        <v>66</v>
      </c>
      <c r="C44" s="10"/>
      <c r="D44" s="12">
        <f>C44*120</f>
        <v>0</v>
      </c>
      <c r="F44" s="37"/>
      <c r="G44" s="62"/>
      <c r="H44" s="191"/>
      <c r="I44" s="191"/>
      <c r="J44" s="191"/>
      <c r="K44" s="21"/>
      <c r="P44" s="4"/>
      <c r="Q44" s="4"/>
      <c r="R44" s="5"/>
    </row>
    <row r="45" spans="1:18" ht="15.75" x14ac:dyDescent="0.25">
      <c r="A45" s="211"/>
      <c r="B45" s="27" t="s">
        <v>68</v>
      </c>
      <c r="C45" s="33"/>
      <c r="D45" s="12">
        <f>C45*84</f>
        <v>0</v>
      </c>
      <c r="F45" s="37"/>
      <c r="G45" s="62"/>
      <c r="H45" s="191"/>
      <c r="I45" s="191"/>
      <c r="J45" s="191"/>
      <c r="K45" s="21"/>
      <c r="P45" s="4"/>
      <c r="Q45" s="4"/>
      <c r="R45" s="5"/>
    </row>
    <row r="46" spans="1:18" ht="15.75" x14ac:dyDescent="0.25">
      <c r="A46" s="211"/>
      <c r="B46" s="49" t="s">
        <v>70</v>
      </c>
      <c r="C46" s="81"/>
      <c r="D46" s="12">
        <f>C46*1.5</f>
        <v>0</v>
      </c>
      <c r="F46" s="37"/>
      <c r="G46" s="108"/>
      <c r="H46" s="216"/>
      <c r="I46" s="216"/>
      <c r="J46" s="216"/>
      <c r="K46" s="21"/>
      <c r="P46" s="4"/>
      <c r="Q46" s="4"/>
      <c r="R46" s="5"/>
    </row>
    <row r="47" spans="1:18" ht="15.75" x14ac:dyDescent="0.25">
      <c r="A47" s="212"/>
      <c r="B47" s="27"/>
      <c r="C47" s="11"/>
      <c r="D47" s="12"/>
      <c r="F47" s="59"/>
      <c r="G47" s="59"/>
      <c r="H47" s="217"/>
      <c r="I47" s="218"/>
      <c r="J47" s="219"/>
      <c r="K47" s="21"/>
      <c r="P47" s="4"/>
      <c r="Q47" s="4"/>
      <c r="R47" s="5"/>
    </row>
    <row r="48" spans="1:18" ht="15" customHeight="1" x14ac:dyDescent="0.25">
      <c r="A48" s="210" t="s">
        <v>32</v>
      </c>
      <c r="B48" s="27" t="s">
        <v>66</v>
      </c>
      <c r="C48" s="10"/>
      <c r="D48" s="12">
        <f>C48*78</f>
        <v>0</v>
      </c>
      <c r="F48" s="59"/>
      <c r="G48" s="59"/>
      <c r="H48" s="217"/>
      <c r="I48" s="218"/>
      <c r="J48" s="219"/>
      <c r="K48" s="35"/>
      <c r="O48" t="s">
        <v>84</v>
      </c>
      <c r="P48" s="4">
        <v>1175</v>
      </c>
      <c r="Q48" s="4"/>
      <c r="R48" s="5">
        <f t="shared" si="0"/>
        <v>1175</v>
      </c>
    </row>
    <row r="49" spans="1:18" ht="15.75" x14ac:dyDescent="0.25">
      <c r="A49" s="211"/>
      <c r="B49" s="29" t="s">
        <v>68</v>
      </c>
      <c r="C49" s="33"/>
      <c r="D49" s="12">
        <f>C49*42</f>
        <v>0</v>
      </c>
      <c r="F49" s="232" t="s">
        <v>86</v>
      </c>
      <c r="G49" s="179">
        <f>H34+H35+H36+H37+H38+H39+H40+H41+G42+H44+H45+H46</f>
        <v>0</v>
      </c>
      <c r="H49" s="180"/>
      <c r="I49" s="180"/>
      <c r="J49" s="181"/>
      <c r="O49" t="s">
        <v>85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211"/>
      <c r="B50" s="32" t="s">
        <v>70</v>
      </c>
      <c r="C50" s="11"/>
      <c r="D50" s="12">
        <f>C50*1.5</f>
        <v>0</v>
      </c>
      <c r="F50" s="233"/>
      <c r="G50" s="182"/>
      <c r="H50" s="183"/>
      <c r="I50" s="183"/>
      <c r="J50" s="184"/>
      <c r="P50" s="4"/>
      <c r="Q50" s="4"/>
      <c r="R50" s="5"/>
    </row>
    <row r="51" spans="1:18" ht="15" customHeight="1" x14ac:dyDescent="0.25">
      <c r="A51" s="211"/>
      <c r="B51" s="27"/>
      <c r="C51" s="10"/>
      <c r="D51" s="31"/>
      <c r="F51" s="234" t="s">
        <v>132</v>
      </c>
      <c r="G51" s="247">
        <f>G49-H29</f>
        <v>0</v>
      </c>
      <c r="H51" s="248"/>
      <c r="I51" s="248"/>
      <c r="J51" s="249"/>
      <c r="K51" s="21"/>
      <c r="O51" t="s">
        <v>87</v>
      </c>
      <c r="P51" s="4">
        <v>703</v>
      </c>
      <c r="Q51" s="4">
        <v>120</v>
      </c>
      <c r="R51" s="5">
        <f t="shared" si="0"/>
        <v>823</v>
      </c>
    </row>
    <row r="52" spans="1:18" ht="15.75" x14ac:dyDescent="0.25">
      <c r="A52" s="211"/>
      <c r="B52" s="29"/>
      <c r="C52" s="33"/>
      <c r="D52" s="45"/>
      <c r="F52" s="235"/>
      <c r="G52" s="250"/>
      <c r="H52" s="251"/>
      <c r="I52" s="251"/>
      <c r="J52" s="252"/>
      <c r="K52" s="21"/>
      <c r="O52" t="s">
        <v>88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212"/>
      <c r="B53" s="32"/>
      <c r="C53" s="11"/>
      <c r="D53" s="12"/>
      <c r="F53" s="35"/>
      <c r="G53" s="24"/>
      <c r="H53" s="24"/>
      <c r="I53" s="24"/>
      <c r="J53" s="17"/>
      <c r="N53" s="1"/>
      <c r="O53" t="s">
        <v>89</v>
      </c>
      <c r="P53" s="4">
        <v>1142</v>
      </c>
    </row>
    <row r="54" spans="1:18" x14ac:dyDescent="0.25">
      <c r="A54" s="175" t="s">
        <v>90</v>
      </c>
      <c r="B54" s="220"/>
      <c r="C54" s="221"/>
      <c r="D54" s="224">
        <f>SUM(D34:D53)</f>
        <v>0</v>
      </c>
      <c r="F54" s="21"/>
      <c r="J54" s="34"/>
    </row>
    <row r="55" spans="1:18" x14ac:dyDescent="0.25">
      <c r="A55" s="177"/>
      <c r="B55" s="222"/>
      <c r="C55" s="223"/>
      <c r="D55" s="225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135</v>
      </c>
      <c r="D57" s="34"/>
      <c r="F57" s="36"/>
      <c r="G57" s="50"/>
      <c r="H57" s="50"/>
      <c r="I57" s="50"/>
      <c r="J57" s="43"/>
    </row>
    <row r="58" spans="1:18" x14ac:dyDescent="0.25">
      <c r="A58" s="226" t="s">
        <v>91</v>
      </c>
      <c r="B58" s="227"/>
      <c r="C58" s="227"/>
      <c r="D58" s="228"/>
      <c r="F58" s="226" t="s">
        <v>92</v>
      </c>
      <c r="G58" s="227"/>
      <c r="H58" s="227"/>
      <c r="I58" s="227"/>
      <c r="J58" s="228"/>
    </row>
    <row r="59" spans="1:18" x14ac:dyDescent="0.25">
      <c r="A59" s="229"/>
      <c r="B59" s="230"/>
      <c r="C59" s="230"/>
      <c r="D59" s="231"/>
      <c r="F59" s="229"/>
      <c r="G59" s="230"/>
      <c r="H59" s="230"/>
      <c r="I59" s="230"/>
      <c r="J59" s="231"/>
    </row>
  </sheetData>
  <mergeCells count="68"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  <mergeCell ref="H13:J13"/>
    <mergeCell ref="F14:G14"/>
    <mergeCell ref="H14:J14"/>
    <mergeCell ref="F15:G15"/>
    <mergeCell ref="H15:J15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A32:D32"/>
    <mergeCell ref="F32:J32"/>
    <mergeCell ref="H33:J33"/>
    <mergeCell ref="A34:A36"/>
    <mergeCell ref="H34:J34"/>
    <mergeCell ref="H35:J35"/>
    <mergeCell ref="H36:J36"/>
    <mergeCell ref="A37:A39"/>
    <mergeCell ref="H37:J37"/>
    <mergeCell ref="H38:J38"/>
    <mergeCell ref="H39:J39"/>
    <mergeCell ref="A40:A42"/>
    <mergeCell ref="H40:J40"/>
    <mergeCell ref="H41:J41"/>
    <mergeCell ref="G42:J42"/>
    <mergeCell ref="A43:A47"/>
    <mergeCell ref="H43:J43"/>
    <mergeCell ref="H44:J44"/>
    <mergeCell ref="H45:J45"/>
    <mergeCell ref="H46:J46"/>
    <mergeCell ref="H47:J47"/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7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D00AFF2-7D56-4D00-A4D8-12E3046BBAC3}">
  <dimension ref="A1:R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113" t="s">
        <v>1</v>
      </c>
      <c r="O1" s="113"/>
      <c r="P1" s="105" t="s">
        <v>2</v>
      </c>
      <c r="Q1" s="105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14" t="s">
        <v>7</v>
      </c>
      <c r="B4" s="115"/>
      <c r="C4" s="115"/>
      <c r="D4" s="116"/>
      <c r="F4" s="117" t="s">
        <v>8</v>
      </c>
      <c r="G4" s="119">
        <v>3</v>
      </c>
      <c r="H4" s="121" t="s">
        <v>9</v>
      </c>
      <c r="I4" s="123">
        <v>45983</v>
      </c>
      <c r="J4" s="124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27" t="s">
        <v>7</v>
      </c>
      <c r="B5" s="15" t="s">
        <v>11</v>
      </c>
      <c r="C5" s="9" t="s">
        <v>12</v>
      </c>
      <c r="D5" s="25" t="s">
        <v>13</v>
      </c>
      <c r="F5" s="118"/>
      <c r="G5" s="120"/>
      <c r="H5" s="122"/>
      <c r="I5" s="125"/>
      <c r="J5" s="126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28"/>
      <c r="B6" s="16" t="s">
        <v>15</v>
      </c>
      <c r="C6" s="10"/>
      <c r="D6" s="13">
        <f t="shared" ref="D6:D28" si="1">C6*L6</f>
        <v>0</v>
      </c>
      <c r="F6" s="130" t="s">
        <v>16</v>
      </c>
      <c r="G6" s="132" t="s">
        <v>111</v>
      </c>
      <c r="H6" s="133"/>
      <c r="I6" s="133"/>
      <c r="J6" s="134"/>
      <c r="K6" s="8"/>
      <c r="L6" s="6">
        <f>R42</f>
        <v>737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28"/>
      <c r="B7" s="16" t="s">
        <v>18</v>
      </c>
      <c r="C7" s="10"/>
      <c r="D7" s="13">
        <f t="shared" si="1"/>
        <v>0</v>
      </c>
      <c r="F7" s="131"/>
      <c r="G7" s="135"/>
      <c r="H7" s="136"/>
      <c r="I7" s="136"/>
      <c r="J7" s="137"/>
      <c r="K7" s="8"/>
      <c r="L7" s="6">
        <f>R41</f>
        <v>725</v>
      </c>
      <c r="P7" s="4"/>
      <c r="Q7" s="4"/>
      <c r="R7" s="5"/>
    </row>
    <row r="8" spans="1:18" ht="14.45" customHeight="1" x14ac:dyDescent="0.25">
      <c r="A8" s="128"/>
      <c r="B8" s="16" t="s">
        <v>20</v>
      </c>
      <c r="C8" s="10"/>
      <c r="D8" s="13">
        <f t="shared" si="1"/>
        <v>0</v>
      </c>
      <c r="F8" s="138" t="s">
        <v>21</v>
      </c>
      <c r="G8" s="140" t="s">
        <v>119</v>
      </c>
      <c r="H8" s="141"/>
      <c r="I8" s="141"/>
      <c r="J8" s="142"/>
      <c r="K8" s="8"/>
      <c r="L8" s="6">
        <f>R40</f>
        <v>1033</v>
      </c>
      <c r="P8" s="4"/>
      <c r="Q8" s="4"/>
      <c r="R8" s="5"/>
    </row>
    <row r="9" spans="1:18" ht="14.45" customHeight="1" x14ac:dyDescent="0.25">
      <c r="A9" s="128"/>
      <c r="B9" s="16" t="s">
        <v>23</v>
      </c>
      <c r="C9" s="10"/>
      <c r="D9" s="13">
        <f t="shared" si="1"/>
        <v>0</v>
      </c>
      <c r="F9" s="131"/>
      <c r="G9" s="143"/>
      <c r="H9" s="144"/>
      <c r="I9" s="144"/>
      <c r="J9" s="145"/>
      <c r="K9" s="8"/>
      <c r="L9" s="6">
        <f>R38</f>
        <v>707</v>
      </c>
      <c r="P9" s="4"/>
      <c r="Q9" s="4"/>
      <c r="R9" s="5"/>
    </row>
    <row r="10" spans="1:18" ht="14.45" customHeight="1" x14ac:dyDescent="0.25">
      <c r="A10" s="128"/>
      <c r="B10" t="s">
        <v>25</v>
      </c>
      <c r="C10" s="10"/>
      <c r="D10" s="13">
        <f t="shared" si="1"/>
        <v>0</v>
      </c>
      <c r="F10" s="130" t="s">
        <v>26</v>
      </c>
      <c r="G10" s="146" t="s">
        <v>137</v>
      </c>
      <c r="H10" s="147"/>
      <c r="I10" s="147"/>
      <c r="J10" s="148"/>
      <c r="K10" s="8"/>
      <c r="L10" s="6">
        <f>R36</f>
        <v>972</v>
      </c>
      <c r="P10" s="4"/>
      <c r="Q10" s="4"/>
      <c r="R10" s="5"/>
    </row>
    <row r="11" spans="1:18" ht="15.75" x14ac:dyDescent="0.25">
      <c r="A11" s="128"/>
      <c r="B11" s="17" t="s">
        <v>28</v>
      </c>
      <c r="C11" s="10"/>
      <c r="D11" s="13">
        <f t="shared" si="1"/>
        <v>0</v>
      </c>
      <c r="F11" s="131"/>
      <c r="G11" s="143"/>
      <c r="H11" s="144"/>
      <c r="I11" s="144"/>
      <c r="J11" s="145"/>
      <c r="K11" s="22"/>
      <c r="L11" s="6">
        <f>R32</f>
        <v>1125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28"/>
      <c r="B12" s="17" t="s">
        <v>30</v>
      </c>
      <c r="C12" s="10"/>
      <c r="D12" s="48">
        <f t="shared" si="1"/>
        <v>0</v>
      </c>
      <c r="F12" s="149" t="s">
        <v>33</v>
      </c>
      <c r="G12" s="150"/>
      <c r="H12" s="150"/>
      <c r="I12" s="150"/>
      <c r="J12" s="151"/>
      <c r="K12" s="23"/>
      <c r="L12" s="6">
        <f>R34</f>
        <v>952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28"/>
      <c r="B13" s="17" t="s">
        <v>32</v>
      </c>
      <c r="C13" s="10"/>
      <c r="D13" s="48">
        <f t="shared" si="1"/>
        <v>0</v>
      </c>
      <c r="F13" s="152" t="s">
        <v>36</v>
      </c>
      <c r="G13" s="153"/>
      <c r="H13" s="154">
        <f>D29</f>
        <v>0</v>
      </c>
      <c r="I13" s="155"/>
      <c r="J13" s="156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28"/>
      <c r="B14" s="14" t="s">
        <v>35</v>
      </c>
      <c r="C14" s="10"/>
      <c r="D14" s="31">
        <f t="shared" si="1"/>
        <v>0</v>
      </c>
      <c r="F14" s="157" t="s">
        <v>39</v>
      </c>
      <c r="G14" s="158"/>
      <c r="H14" s="159">
        <f>D54</f>
        <v>0</v>
      </c>
      <c r="I14" s="160"/>
      <c r="J14" s="161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28"/>
      <c r="B15" s="14" t="s">
        <v>38</v>
      </c>
      <c r="C15" s="10"/>
      <c r="D15" s="31">
        <f t="shared" si="1"/>
        <v>0</v>
      </c>
      <c r="F15" s="162" t="s">
        <v>40</v>
      </c>
      <c r="G15" s="153"/>
      <c r="H15" s="163">
        <f>H13-H14</f>
        <v>0</v>
      </c>
      <c r="I15" s="164"/>
      <c r="J15" s="165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28"/>
      <c r="B16" s="18" t="s">
        <v>94</v>
      </c>
      <c r="C16" s="10"/>
      <c r="D16" s="48">
        <f t="shared" si="1"/>
        <v>0</v>
      </c>
      <c r="F16" s="67" t="s">
        <v>42</v>
      </c>
      <c r="G16" s="66" t="s">
        <v>43</v>
      </c>
      <c r="H16" s="166"/>
      <c r="I16" s="166"/>
      <c r="J16" s="166"/>
      <c r="L16" s="6">
        <f>R28</f>
        <v>1567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28"/>
      <c r="B17" t="s">
        <v>113</v>
      </c>
      <c r="C17" s="10"/>
      <c r="D17" s="48">
        <f t="shared" si="1"/>
        <v>0</v>
      </c>
      <c r="F17" s="56"/>
      <c r="G17" s="66" t="s">
        <v>45</v>
      </c>
      <c r="H17" s="139"/>
      <c r="I17" s="139"/>
      <c r="J17" s="139"/>
      <c r="L17" s="6">
        <v>1582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28"/>
      <c r="B18" s="19" t="s">
        <v>95</v>
      </c>
      <c r="C18" s="10"/>
      <c r="D18" s="48">
        <f t="shared" si="1"/>
        <v>0</v>
      </c>
      <c r="F18" s="56"/>
      <c r="G18" s="66" t="s">
        <v>47</v>
      </c>
      <c r="H18" s="139"/>
      <c r="I18" s="139"/>
      <c r="J18" s="139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28"/>
      <c r="B19" s="14" t="s">
        <v>117</v>
      </c>
      <c r="C19" s="10"/>
      <c r="D19" s="48">
        <f t="shared" si="1"/>
        <v>0</v>
      </c>
      <c r="F19" s="56"/>
      <c r="G19" s="68" t="s">
        <v>50</v>
      </c>
      <c r="H19" s="253"/>
      <c r="I19" s="253"/>
      <c r="J19" s="253"/>
      <c r="L19" s="6">
        <f>R35</f>
        <v>1102</v>
      </c>
      <c r="Q19" s="4"/>
      <c r="R19" s="5">
        <f t="shared" si="0"/>
        <v>0</v>
      </c>
    </row>
    <row r="20" spans="1:18" ht="15.75" x14ac:dyDescent="0.25">
      <c r="A20" s="128"/>
      <c r="B20" s="46" t="s">
        <v>108</v>
      </c>
      <c r="C20" s="10"/>
      <c r="D20" s="13">
        <f t="shared" si="1"/>
        <v>0</v>
      </c>
      <c r="F20" s="57"/>
      <c r="G20" s="70" t="s">
        <v>120</v>
      </c>
      <c r="H20" s="166"/>
      <c r="I20" s="166"/>
      <c r="J20" s="166"/>
      <c r="L20" s="6">
        <f>1102</f>
        <v>1102</v>
      </c>
      <c r="N20" s="1" t="s">
        <v>41</v>
      </c>
      <c r="Q20" s="4"/>
      <c r="R20" s="5">
        <f t="shared" si="0"/>
        <v>0</v>
      </c>
    </row>
    <row r="21" spans="1:18" ht="15.75" x14ac:dyDescent="0.25">
      <c r="A21" s="128"/>
      <c r="B21" s="14" t="s">
        <v>126</v>
      </c>
      <c r="C21" s="10"/>
      <c r="D21" s="48">
        <f t="shared" si="1"/>
        <v>0</v>
      </c>
      <c r="F21" s="69" t="s">
        <v>99</v>
      </c>
      <c r="G21" s="82" t="s">
        <v>98</v>
      </c>
      <c r="H21" s="186" t="s">
        <v>13</v>
      </c>
      <c r="I21" s="187"/>
      <c r="J21" s="188"/>
      <c r="L21" s="7">
        <v>650</v>
      </c>
      <c r="O21" t="s">
        <v>44</v>
      </c>
      <c r="P21" s="4">
        <v>1447</v>
      </c>
      <c r="Q21" s="4">
        <v>120</v>
      </c>
      <c r="R21" s="5">
        <f t="shared" si="0"/>
        <v>1567</v>
      </c>
    </row>
    <row r="22" spans="1:18" ht="15.75" x14ac:dyDescent="0.25">
      <c r="A22" s="128"/>
      <c r="B22" s="46" t="s">
        <v>104</v>
      </c>
      <c r="C22" s="10"/>
      <c r="D22" s="48">
        <f t="shared" si="1"/>
        <v>0</v>
      </c>
      <c r="F22" s="77"/>
      <c r="G22" s="73"/>
      <c r="H22" s="189"/>
      <c r="I22" s="189"/>
      <c r="J22" s="189"/>
      <c r="L22" s="7">
        <f>559+111</f>
        <v>670</v>
      </c>
      <c r="O22" t="s">
        <v>46</v>
      </c>
      <c r="P22" s="4">
        <v>1582</v>
      </c>
      <c r="Q22" s="4"/>
      <c r="R22" s="5">
        <f t="shared" si="0"/>
        <v>1582</v>
      </c>
    </row>
    <row r="23" spans="1:18" ht="15.75" x14ac:dyDescent="0.25">
      <c r="A23" s="128"/>
      <c r="B23" s="14" t="s">
        <v>107</v>
      </c>
      <c r="C23" s="10"/>
      <c r="D23" s="48">
        <f t="shared" si="1"/>
        <v>0</v>
      </c>
      <c r="F23" s="78"/>
      <c r="G23" s="79"/>
      <c r="H23" s="190"/>
      <c r="I23" s="191"/>
      <c r="J23" s="191"/>
      <c r="L23" s="47">
        <f>R33</f>
        <v>1175</v>
      </c>
      <c r="N23" s="1"/>
      <c r="O23" t="s">
        <v>48</v>
      </c>
      <c r="P23" s="4">
        <v>1728</v>
      </c>
      <c r="Q23" s="4"/>
      <c r="R23" s="5">
        <f t="shared" si="0"/>
        <v>1728</v>
      </c>
    </row>
    <row r="24" spans="1:18" ht="15.75" x14ac:dyDescent="0.25">
      <c r="A24" s="128"/>
      <c r="B24" s="14" t="s">
        <v>101</v>
      </c>
      <c r="C24" s="10"/>
      <c r="D24" s="48">
        <f t="shared" si="1"/>
        <v>0</v>
      </c>
      <c r="F24" s="38"/>
      <c r="G24" s="37"/>
      <c r="H24" s="190"/>
      <c r="I24" s="191"/>
      <c r="J24" s="191"/>
      <c r="L24" s="47">
        <v>1667</v>
      </c>
      <c r="N24" s="1"/>
      <c r="O24" t="s">
        <v>49</v>
      </c>
      <c r="P24" s="4">
        <v>1728</v>
      </c>
      <c r="Q24" s="4"/>
      <c r="R24" s="5">
        <f t="shared" si="0"/>
        <v>1728</v>
      </c>
    </row>
    <row r="25" spans="1:18" ht="15.75" x14ac:dyDescent="0.25">
      <c r="A25" s="128"/>
      <c r="B25" s="14" t="s">
        <v>116</v>
      </c>
      <c r="C25" s="10"/>
      <c r="D25" s="48">
        <f t="shared" si="1"/>
        <v>0</v>
      </c>
      <c r="F25" s="60" t="s">
        <v>100</v>
      </c>
      <c r="G25" s="55" t="s">
        <v>98</v>
      </c>
      <c r="H25" s="192" t="s">
        <v>13</v>
      </c>
      <c r="I25" s="193"/>
      <c r="J25" s="194"/>
      <c r="L25" s="47">
        <f>1582</f>
        <v>1582</v>
      </c>
      <c r="O25" t="s">
        <v>51</v>
      </c>
      <c r="P25" s="4">
        <v>1582</v>
      </c>
      <c r="Q25" s="4"/>
      <c r="R25" s="5">
        <f t="shared" si="0"/>
        <v>1582</v>
      </c>
    </row>
    <row r="26" spans="1:18" ht="15.75" x14ac:dyDescent="0.25">
      <c r="A26" s="128"/>
      <c r="B26" s="14" t="s">
        <v>105</v>
      </c>
      <c r="C26" s="10"/>
      <c r="D26" s="48">
        <f t="shared" si="1"/>
        <v>0</v>
      </c>
      <c r="F26" s="64"/>
      <c r="G26" s="59"/>
      <c r="H26" s="195"/>
      <c r="I26" s="196"/>
      <c r="J26" s="197"/>
      <c r="L26" s="7">
        <f>832/24+1.5</f>
        <v>36.166666666666664</v>
      </c>
      <c r="O26" t="s">
        <v>52</v>
      </c>
      <c r="P26" s="4">
        <v>1447</v>
      </c>
      <c r="Q26" s="4">
        <v>120</v>
      </c>
      <c r="R26" s="5">
        <f t="shared" si="0"/>
        <v>1567</v>
      </c>
    </row>
    <row r="27" spans="1:18" ht="14.45" customHeight="1" x14ac:dyDescent="0.25">
      <c r="A27" s="128"/>
      <c r="B27" s="14" t="s">
        <v>109</v>
      </c>
      <c r="C27" s="10"/>
      <c r="D27" s="44">
        <f t="shared" si="1"/>
        <v>0</v>
      </c>
      <c r="F27" s="25"/>
      <c r="G27" s="80"/>
      <c r="H27" s="198"/>
      <c r="I27" s="199"/>
      <c r="J27" s="200"/>
      <c r="L27" s="7">
        <v>1582</v>
      </c>
      <c r="O27" t="s">
        <v>53</v>
      </c>
      <c r="P27" s="4">
        <v>1582</v>
      </c>
      <c r="Q27" s="4"/>
      <c r="R27" s="5">
        <f t="shared" si="0"/>
        <v>1582</v>
      </c>
    </row>
    <row r="28" spans="1:18" ht="15.75" x14ac:dyDescent="0.25">
      <c r="A28" s="129"/>
      <c r="B28" s="46" t="s">
        <v>97</v>
      </c>
      <c r="C28" s="10"/>
      <c r="D28" s="48">
        <f t="shared" si="1"/>
        <v>0</v>
      </c>
      <c r="F28" s="106"/>
      <c r="G28" s="61"/>
      <c r="H28" s="201"/>
      <c r="I28" s="202"/>
      <c r="J28" s="203"/>
      <c r="L28" s="7">
        <v>785</v>
      </c>
      <c r="O28" t="s">
        <v>54</v>
      </c>
      <c r="P28" s="4">
        <v>1447</v>
      </c>
      <c r="Q28" s="4">
        <v>120</v>
      </c>
      <c r="R28" s="5">
        <f t="shared" si="0"/>
        <v>1567</v>
      </c>
    </row>
    <row r="29" spans="1:18" x14ac:dyDescent="0.25">
      <c r="A29" s="167" t="s">
        <v>36</v>
      </c>
      <c r="B29" s="168"/>
      <c r="C29" s="169"/>
      <c r="D29" s="173">
        <f>SUM(D6:D28)</f>
        <v>0</v>
      </c>
      <c r="F29" s="175" t="s">
        <v>55</v>
      </c>
      <c r="G29" s="176"/>
      <c r="H29" s="179">
        <f>H15-H16-H17-H18-H19-H20-H22-H23-H24+H26+H27</f>
        <v>0</v>
      </c>
      <c r="I29" s="180"/>
      <c r="J29" s="181"/>
      <c r="O29" t="s">
        <v>56</v>
      </c>
      <c r="P29" s="4">
        <v>1582</v>
      </c>
      <c r="Q29" s="4"/>
      <c r="R29" s="5">
        <f t="shared" si="0"/>
        <v>1582</v>
      </c>
    </row>
    <row r="30" spans="1:18" x14ac:dyDescent="0.25">
      <c r="A30" s="170"/>
      <c r="B30" s="171"/>
      <c r="C30" s="172"/>
      <c r="D30" s="174"/>
      <c r="F30" s="177"/>
      <c r="G30" s="178"/>
      <c r="H30" s="182"/>
      <c r="I30" s="183"/>
      <c r="J30" s="184"/>
      <c r="N30" s="1"/>
      <c r="Q30" s="4"/>
      <c r="R30" s="5">
        <f t="shared" si="0"/>
        <v>0</v>
      </c>
    </row>
    <row r="31" spans="1:18" x14ac:dyDescent="0.25">
      <c r="A31" s="24"/>
      <c r="B31" s="24"/>
      <c r="C31" s="24"/>
      <c r="D31" s="24"/>
      <c r="F31" s="24"/>
      <c r="G31" s="24"/>
      <c r="O31" t="s">
        <v>57</v>
      </c>
      <c r="P31" s="4">
        <v>1052</v>
      </c>
      <c r="Q31" s="4">
        <v>120</v>
      </c>
      <c r="R31" s="5">
        <f t="shared" si="0"/>
        <v>1172</v>
      </c>
    </row>
    <row r="32" spans="1:18" x14ac:dyDescent="0.25">
      <c r="A32" s="114" t="s">
        <v>58</v>
      </c>
      <c r="B32" s="115"/>
      <c r="C32" s="115"/>
      <c r="D32" s="116"/>
      <c r="F32" s="204" t="s">
        <v>59</v>
      </c>
      <c r="G32" s="205"/>
      <c r="H32" s="205"/>
      <c r="I32" s="205"/>
      <c r="J32" s="206"/>
      <c r="O32" t="s">
        <v>60</v>
      </c>
      <c r="P32" s="4">
        <v>1005</v>
      </c>
      <c r="Q32" s="4">
        <v>120</v>
      </c>
      <c r="R32" s="5">
        <f t="shared" si="0"/>
        <v>1125</v>
      </c>
    </row>
    <row r="33" spans="1:18" x14ac:dyDescent="0.25">
      <c r="A33" s="25"/>
      <c r="B33" s="25" t="s">
        <v>11</v>
      </c>
      <c r="C33" s="25" t="s">
        <v>61</v>
      </c>
      <c r="D33" s="25" t="s">
        <v>13</v>
      </c>
      <c r="F33" s="25" t="s">
        <v>62</v>
      </c>
      <c r="G33" s="107" t="s">
        <v>63</v>
      </c>
      <c r="H33" s="204" t="s">
        <v>13</v>
      </c>
      <c r="I33" s="205"/>
      <c r="J33" s="206"/>
      <c r="O33" t="s">
        <v>64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27" t="s">
        <v>65</v>
      </c>
      <c r="B34" s="26" t="s">
        <v>66</v>
      </c>
      <c r="C34" s="51"/>
      <c r="D34" s="30">
        <f>C34*120</f>
        <v>0</v>
      </c>
      <c r="F34" s="12">
        <v>1000</v>
      </c>
      <c r="G34" s="74"/>
      <c r="H34" s="207">
        <f>F34*G34</f>
        <v>0</v>
      </c>
      <c r="I34" s="208"/>
      <c r="J34" s="209"/>
      <c r="O34" t="s">
        <v>67</v>
      </c>
      <c r="P34" s="4">
        <v>832</v>
      </c>
      <c r="Q34" s="4">
        <v>120</v>
      </c>
      <c r="R34" s="5">
        <f t="shared" si="0"/>
        <v>952</v>
      </c>
    </row>
    <row r="35" spans="1:18" ht="15.75" x14ac:dyDescent="0.25">
      <c r="A35" s="128"/>
      <c r="B35" s="27" t="s">
        <v>68</v>
      </c>
      <c r="C35" s="52"/>
      <c r="D35" s="30">
        <f>C35*84</f>
        <v>0</v>
      </c>
      <c r="F35" s="58">
        <v>500</v>
      </c>
      <c r="G35" s="41"/>
      <c r="H35" s="207">
        <f>F35*G35</f>
        <v>0</v>
      </c>
      <c r="I35" s="208"/>
      <c r="J35" s="209"/>
      <c r="O35" t="s">
        <v>69</v>
      </c>
      <c r="P35" s="4">
        <v>1102</v>
      </c>
      <c r="Q35" s="4"/>
      <c r="R35" s="5">
        <f t="shared" si="0"/>
        <v>1102</v>
      </c>
    </row>
    <row r="36" spans="1:18" ht="15.75" x14ac:dyDescent="0.25">
      <c r="A36" s="129"/>
      <c r="B36" s="26" t="s">
        <v>70</v>
      </c>
      <c r="C36" s="10"/>
      <c r="D36" s="12">
        <f>C36*1.5</f>
        <v>0</v>
      </c>
      <c r="F36" s="12">
        <v>200</v>
      </c>
      <c r="G36" s="37"/>
      <c r="H36" s="207">
        <f t="shared" ref="H36:H39" si="2">F36*G36</f>
        <v>0</v>
      </c>
      <c r="I36" s="208"/>
      <c r="J36" s="209"/>
      <c r="O36" t="s">
        <v>71</v>
      </c>
      <c r="P36" s="4">
        <v>852</v>
      </c>
      <c r="Q36" s="4">
        <v>120</v>
      </c>
      <c r="R36" s="5">
        <f t="shared" si="0"/>
        <v>972</v>
      </c>
    </row>
    <row r="37" spans="1:18" ht="15.75" x14ac:dyDescent="0.25">
      <c r="A37" s="127" t="s">
        <v>72</v>
      </c>
      <c r="B37" s="28" t="s">
        <v>66</v>
      </c>
      <c r="C37" s="53"/>
      <c r="D37" s="12">
        <f>C37*111</f>
        <v>0</v>
      </c>
      <c r="F37" s="12">
        <v>100</v>
      </c>
      <c r="G37" s="39"/>
      <c r="H37" s="207">
        <f t="shared" si="2"/>
        <v>0</v>
      </c>
      <c r="I37" s="208"/>
      <c r="J37" s="209"/>
      <c r="O37" t="s">
        <v>73</v>
      </c>
      <c r="P37" s="4">
        <v>1020</v>
      </c>
      <c r="Q37" s="4">
        <v>120</v>
      </c>
      <c r="R37" s="5">
        <f t="shared" si="0"/>
        <v>1140</v>
      </c>
    </row>
    <row r="38" spans="1:18" ht="15.75" x14ac:dyDescent="0.25">
      <c r="A38" s="128"/>
      <c r="B38" s="29" t="s">
        <v>68</v>
      </c>
      <c r="C38" s="54"/>
      <c r="D38" s="12">
        <f>C38*84</f>
        <v>0</v>
      </c>
      <c r="F38" s="30">
        <v>50</v>
      </c>
      <c r="G38" s="39"/>
      <c r="H38" s="207">
        <f t="shared" si="2"/>
        <v>0</v>
      </c>
      <c r="I38" s="208"/>
      <c r="J38" s="209"/>
      <c r="O38" t="s">
        <v>74</v>
      </c>
      <c r="P38" s="4">
        <v>596</v>
      </c>
      <c r="Q38" s="4">
        <v>111</v>
      </c>
      <c r="R38" s="5">
        <f t="shared" si="0"/>
        <v>707</v>
      </c>
    </row>
    <row r="39" spans="1:18" ht="15.75" x14ac:dyDescent="0.25">
      <c r="A39" s="129"/>
      <c r="B39" s="29" t="s">
        <v>70</v>
      </c>
      <c r="C39" s="52"/>
      <c r="D39" s="31">
        <f>C39*4.5</f>
        <v>0</v>
      </c>
      <c r="F39" s="12">
        <v>20</v>
      </c>
      <c r="G39" s="37"/>
      <c r="H39" s="207">
        <f t="shared" si="2"/>
        <v>0</v>
      </c>
      <c r="I39" s="208"/>
      <c r="J39" s="209"/>
      <c r="O39" t="s">
        <v>75</v>
      </c>
      <c r="P39" s="4">
        <v>1175</v>
      </c>
      <c r="Q39" s="4"/>
      <c r="R39" s="5">
        <f t="shared" si="0"/>
        <v>1175</v>
      </c>
    </row>
    <row r="40" spans="1:18" ht="15.75" x14ac:dyDescent="0.25">
      <c r="A40" s="127" t="s">
        <v>76</v>
      </c>
      <c r="B40" s="27" t="s">
        <v>66</v>
      </c>
      <c r="C40" s="63"/>
      <c r="D40" s="12">
        <f>C40*111</f>
        <v>0</v>
      </c>
      <c r="F40" s="12">
        <v>10</v>
      </c>
      <c r="G40" s="42"/>
      <c r="H40" s="207"/>
      <c r="I40" s="208"/>
      <c r="J40" s="209"/>
      <c r="O40" t="s">
        <v>77</v>
      </c>
      <c r="P40" s="4">
        <v>913</v>
      </c>
      <c r="Q40" s="4">
        <v>120</v>
      </c>
      <c r="R40" s="5">
        <f t="shared" si="0"/>
        <v>1033</v>
      </c>
    </row>
    <row r="41" spans="1:18" ht="15.75" x14ac:dyDescent="0.25">
      <c r="A41" s="128"/>
      <c r="B41" s="27" t="s">
        <v>68</v>
      </c>
      <c r="C41" s="10"/>
      <c r="D41" s="12">
        <f>C41*84</f>
        <v>0</v>
      </c>
      <c r="F41" s="12">
        <v>5</v>
      </c>
      <c r="G41" s="42"/>
      <c r="H41" s="207"/>
      <c r="I41" s="208"/>
      <c r="J41" s="209"/>
      <c r="K41" s="21"/>
      <c r="O41" t="s">
        <v>78</v>
      </c>
      <c r="P41" s="4">
        <v>614</v>
      </c>
      <c r="Q41" s="4">
        <v>111</v>
      </c>
      <c r="R41" s="5">
        <f t="shared" si="0"/>
        <v>725</v>
      </c>
    </row>
    <row r="42" spans="1:18" ht="15.75" x14ac:dyDescent="0.25">
      <c r="A42" s="129"/>
      <c r="B42" s="27" t="s">
        <v>70</v>
      </c>
      <c r="C42" s="11"/>
      <c r="D42" s="12">
        <f>C42*2.25</f>
        <v>0</v>
      </c>
      <c r="F42" s="39" t="s">
        <v>79</v>
      </c>
      <c r="G42" s="207"/>
      <c r="H42" s="208"/>
      <c r="I42" s="208"/>
      <c r="J42" s="209"/>
      <c r="K42" s="36"/>
      <c r="O42" t="s">
        <v>80</v>
      </c>
      <c r="P42" s="4">
        <v>626</v>
      </c>
      <c r="Q42" s="4">
        <v>111</v>
      </c>
      <c r="R42" s="5">
        <f t="shared" si="0"/>
        <v>737</v>
      </c>
    </row>
    <row r="43" spans="1:18" ht="15.75" x14ac:dyDescent="0.25">
      <c r="A43" s="210" t="s">
        <v>81</v>
      </c>
      <c r="C43" s="11"/>
      <c r="D43" s="12"/>
      <c r="F43" s="59" t="s">
        <v>82</v>
      </c>
      <c r="G43" s="109" t="s">
        <v>83</v>
      </c>
      <c r="H43" s="213" t="s">
        <v>13</v>
      </c>
      <c r="I43" s="214"/>
      <c r="J43" s="215"/>
      <c r="K43" s="21"/>
      <c r="P43" s="4"/>
      <c r="Q43" s="4"/>
      <c r="R43" s="5"/>
    </row>
    <row r="44" spans="1:18" ht="15.75" x14ac:dyDescent="0.25">
      <c r="A44" s="211"/>
      <c r="B44" s="27" t="s">
        <v>66</v>
      </c>
      <c r="C44" s="10"/>
      <c r="D44" s="12">
        <f>C44*120</f>
        <v>0</v>
      </c>
      <c r="F44" s="37"/>
      <c r="G44" s="76"/>
      <c r="H44" s="191"/>
      <c r="I44" s="191"/>
      <c r="J44" s="191"/>
      <c r="K44" s="21"/>
      <c r="P44" s="4"/>
      <c r="Q44" s="4"/>
      <c r="R44" s="5"/>
    </row>
    <row r="45" spans="1:18" ht="15.75" x14ac:dyDescent="0.25">
      <c r="A45" s="211"/>
      <c r="B45" s="27" t="s">
        <v>68</v>
      </c>
      <c r="C45" s="33"/>
      <c r="D45" s="12">
        <f>C45*84</f>
        <v>0</v>
      </c>
      <c r="F45" s="37"/>
      <c r="G45" s="76"/>
      <c r="H45" s="191"/>
      <c r="I45" s="191"/>
      <c r="J45" s="191"/>
      <c r="K45" s="21"/>
      <c r="P45" s="4"/>
      <c r="Q45" s="4"/>
      <c r="R45" s="5"/>
    </row>
    <row r="46" spans="1:18" ht="15.75" x14ac:dyDescent="0.25">
      <c r="A46" s="211"/>
      <c r="B46" s="49" t="s">
        <v>70</v>
      </c>
      <c r="C46" s="81"/>
      <c r="D46" s="12">
        <f>C46*1.5</f>
        <v>0</v>
      </c>
      <c r="F46" s="37"/>
      <c r="G46" s="62"/>
      <c r="H46" s="216"/>
      <c r="I46" s="216"/>
      <c r="J46" s="216"/>
      <c r="K46" s="21"/>
      <c r="P46" s="4"/>
      <c r="Q46" s="4"/>
      <c r="R46" s="5"/>
    </row>
    <row r="47" spans="1:18" ht="15.75" x14ac:dyDescent="0.25">
      <c r="A47" s="212"/>
      <c r="B47" s="27"/>
      <c r="C47" s="11"/>
      <c r="D47" s="12"/>
      <c r="F47" s="59"/>
      <c r="G47" s="59"/>
      <c r="H47" s="217"/>
      <c r="I47" s="218"/>
      <c r="J47" s="219"/>
      <c r="K47" s="21"/>
      <c r="P47" s="4"/>
      <c r="Q47" s="4"/>
      <c r="R47" s="5"/>
    </row>
    <row r="48" spans="1:18" ht="15" customHeight="1" x14ac:dyDescent="0.25">
      <c r="A48" s="210" t="s">
        <v>32</v>
      </c>
      <c r="B48" s="27" t="s">
        <v>66</v>
      </c>
      <c r="C48" s="10"/>
      <c r="D48" s="12">
        <f>C48*78</f>
        <v>0</v>
      </c>
      <c r="F48" s="59"/>
      <c r="G48" s="59"/>
      <c r="H48" s="217"/>
      <c r="I48" s="218"/>
      <c r="J48" s="219"/>
      <c r="K48" s="35"/>
      <c r="O48" t="s">
        <v>84</v>
      </c>
      <c r="P48" s="4">
        <v>1175</v>
      </c>
      <c r="Q48" s="4"/>
      <c r="R48" s="5">
        <f t="shared" si="0"/>
        <v>1175</v>
      </c>
    </row>
    <row r="49" spans="1:18" ht="15.75" x14ac:dyDescent="0.25">
      <c r="A49" s="211"/>
      <c r="B49" s="29" t="s">
        <v>68</v>
      </c>
      <c r="C49" s="33"/>
      <c r="D49" s="12">
        <f>C49*42</f>
        <v>0</v>
      </c>
      <c r="F49" s="232" t="s">
        <v>86</v>
      </c>
      <c r="G49" s="179">
        <f>H34+H35+H36+H37+H38+H39+H40+H41+G42+H44+H45+H46</f>
        <v>0</v>
      </c>
      <c r="H49" s="180"/>
      <c r="I49" s="180"/>
      <c r="J49" s="181"/>
      <c r="O49" t="s">
        <v>85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211"/>
      <c r="B50" s="32" t="s">
        <v>70</v>
      </c>
      <c r="C50" s="11"/>
      <c r="D50" s="12">
        <f>C50*1.5</f>
        <v>0</v>
      </c>
      <c r="F50" s="233"/>
      <c r="G50" s="182"/>
      <c r="H50" s="183"/>
      <c r="I50" s="183"/>
      <c r="J50" s="184"/>
      <c r="P50" s="4"/>
      <c r="Q50" s="4"/>
      <c r="R50" s="5"/>
    </row>
    <row r="51" spans="1:18" ht="15" customHeight="1" x14ac:dyDescent="0.25">
      <c r="A51" s="211"/>
      <c r="B51" s="27"/>
      <c r="C51" s="10"/>
      <c r="D51" s="31"/>
      <c r="F51" s="234" t="s">
        <v>142</v>
      </c>
      <c r="G51" s="247">
        <f>G49-H29</f>
        <v>0</v>
      </c>
      <c r="H51" s="248"/>
      <c r="I51" s="248"/>
      <c r="J51" s="249"/>
      <c r="K51" s="21"/>
      <c r="O51" t="s">
        <v>87</v>
      </c>
      <c r="P51" s="4">
        <v>703</v>
      </c>
      <c r="Q51" s="4">
        <v>120</v>
      </c>
      <c r="R51" s="5">
        <f t="shared" si="0"/>
        <v>823</v>
      </c>
    </row>
    <row r="52" spans="1:18" ht="15.75" x14ac:dyDescent="0.25">
      <c r="A52" s="211"/>
      <c r="B52" s="29"/>
      <c r="C52" s="33"/>
      <c r="D52" s="45"/>
      <c r="F52" s="235"/>
      <c r="G52" s="250"/>
      <c r="H52" s="251"/>
      <c r="I52" s="251"/>
      <c r="J52" s="252"/>
      <c r="K52" s="21"/>
      <c r="O52" t="s">
        <v>88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212"/>
      <c r="B53" s="32"/>
      <c r="C53" s="11"/>
      <c r="D53" s="12"/>
      <c r="F53" s="35"/>
      <c r="G53" s="24"/>
      <c r="H53" s="24"/>
      <c r="I53" s="24"/>
      <c r="J53" s="17"/>
      <c r="N53" s="1"/>
      <c r="O53" t="s">
        <v>89</v>
      </c>
      <c r="P53" s="4">
        <v>1142</v>
      </c>
    </row>
    <row r="54" spans="1:18" x14ac:dyDescent="0.25">
      <c r="A54" s="175" t="s">
        <v>90</v>
      </c>
      <c r="B54" s="220"/>
      <c r="C54" s="221"/>
      <c r="D54" s="224">
        <f>SUM(D34:D53)</f>
        <v>0</v>
      </c>
      <c r="F54" s="21"/>
      <c r="J54" s="34"/>
    </row>
    <row r="55" spans="1:18" x14ac:dyDescent="0.25">
      <c r="A55" s="177"/>
      <c r="B55" s="222"/>
      <c r="C55" s="223"/>
      <c r="D55" s="225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118</v>
      </c>
      <c r="D57" s="34"/>
      <c r="F57" s="36"/>
      <c r="G57" s="50"/>
      <c r="H57" s="50"/>
      <c r="I57" s="50"/>
      <c r="J57" s="43"/>
    </row>
    <row r="58" spans="1:18" x14ac:dyDescent="0.25">
      <c r="A58" s="226" t="s">
        <v>91</v>
      </c>
      <c r="B58" s="227"/>
      <c r="C58" s="227"/>
      <c r="D58" s="228"/>
      <c r="F58" s="226" t="s">
        <v>92</v>
      </c>
      <c r="G58" s="227"/>
      <c r="H58" s="227"/>
      <c r="I58" s="227"/>
      <c r="J58" s="228"/>
    </row>
    <row r="59" spans="1:18" x14ac:dyDescent="0.25">
      <c r="A59" s="229"/>
      <c r="B59" s="230"/>
      <c r="C59" s="230"/>
      <c r="D59" s="231"/>
      <c r="F59" s="229"/>
      <c r="G59" s="230"/>
      <c r="H59" s="230"/>
      <c r="I59" s="230"/>
      <c r="J59" s="231"/>
    </row>
  </sheetData>
  <mergeCells count="68"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  <mergeCell ref="H13:J13"/>
    <mergeCell ref="F14:G14"/>
    <mergeCell ref="H14:J14"/>
    <mergeCell ref="F15:G15"/>
    <mergeCell ref="H15:J15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A32:D32"/>
    <mergeCell ref="F32:J32"/>
    <mergeCell ref="H33:J33"/>
    <mergeCell ref="A34:A36"/>
    <mergeCell ref="H34:J34"/>
    <mergeCell ref="H35:J35"/>
    <mergeCell ref="H36:J36"/>
    <mergeCell ref="A37:A39"/>
    <mergeCell ref="H37:J37"/>
    <mergeCell ref="H38:J38"/>
    <mergeCell ref="H39:J39"/>
    <mergeCell ref="A40:A42"/>
    <mergeCell ref="H40:J40"/>
    <mergeCell ref="H41:J41"/>
    <mergeCell ref="G42:J42"/>
    <mergeCell ref="A43:A47"/>
    <mergeCell ref="H43:J43"/>
    <mergeCell ref="H44:J44"/>
    <mergeCell ref="H45:J45"/>
    <mergeCell ref="H46:J46"/>
    <mergeCell ref="H47:J47"/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7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E5D6F05-57EA-4B6D-BFC7-E42F3F981FB3}">
  <dimension ref="A1:S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9" x14ac:dyDescent="0.25">
      <c r="A1" t="s">
        <v>0</v>
      </c>
      <c r="N1" s="113" t="s">
        <v>1</v>
      </c>
      <c r="O1" s="113"/>
      <c r="P1" s="105" t="s">
        <v>2</v>
      </c>
      <c r="Q1" s="105" t="s">
        <v>3</v>
      </c>
      <c r="R1" s="2" t="s">
        <v>4</v>
      </c>
    </row>
    <row r="2" spans="1:19" x14ac:dyDescent="0.25">
      <c r="A2" t="s">
        <v>5</v>
      </c>
      <c r="N2" s="1"/>
    </row>
    <row r="3" spans="1:19" x14ac:dyDescent="0.25">
      <c r="N3" s="1" t="s">
        <v>6</v>
      </c>
      <c r="O3" s="4"/>
    </row>
    <row r="4" spans="1:19" x14ac:dyDescent="0.25">
      <c r="A4" s="114" t="s">
        <v>7</v>
      </c>
      <c r="B4" s="115"/>
      <c r="C4" s="115"/>
      <c r="D4" s="116"/>
      <c r="F4" s="117" t="s">
        <v>8</v>
      </c>
      <c r="G4" s="119"/>
      <c r="H4" s="121" t="s">
        <v>9</v>
      </c>
      <c r="I4" s="123"/>
      <c r="J4" s="124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9" x14ac:dyDescent="0.25">
      <c r="A5" s="127" t="s">
        <v>7</v>
      </c>
      <c r="B5" s="15" t="s">
        <v>11</v>
      </c>
      <c r="C5" s="9" t="s">
        <v>12</v>
      </c>
      <c r="D5" s="25" t="s">
        <v>13</v>
      </c>
      <c r="F5" s="118"/>
      <c r="G5" s="120"/>
      <c r="H5" s="122"/>
      <c r="I5" s="125"/>
      <c r="J5" s="126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9" ht="14.45" customHeight="1" x14ac:dyDescent="0.25">
      <c r="A6" s="128"/>
      <c r="B6" s="16"/>
      <c r="C6" s="10"/>
      <c r="D6" s="13">
        <f t="shared" ref="D6:D28" si="1">C6*L6</f>
        <v>0</v>
      </c>
      <c r="F6" s="130" t="s">
        <v>16</v>
      </c>
      <c r="G6" s="132"/>
      <c r="H6" s="133"/>
      <c r="I6" s="133"/>
      <c r="J6" s="134"/>
      <c r="K6" s="8"/>
      <c r="L6" s="6">
        <f>R42</f>
        <v>737</v>
      </c>
      <c r="O6" t="s">
        <v>17</v>
      </c>
      <c r="P6" s="4">
        <v>650</v>
      </c>
      <c r="Q6" s="4"/>
      <c r="R6" s="5">
        <f t="shared" si="0"/>
        <v>650</v>
      </c>
    </row>
    <row r="7" spans="1:19" ht="14.45" customHeight="1" x14ac:dyDescent="0.25">
      <c r="A7" s="128"/>
      <c r="B7" s="16"/>
      <c r="C7" s="10"/>
      <c r="D7" s="13">
        <f t="shared" si="1"/>
        <v>0</v>
      </c>
      <c r="F7" s="131"/>
      <c r="G7" s="135"/>
      <c r="H7" s="136"/>
      <c r="I7" s="136"/>
      <c r="J7" s="137"/>
      <c r="K7" s="8"/>
      <c r="L7" s="6">
        <f>R41</f>
        <v>725</v>
      </c>
      <c r="P7" s="4"/>
      <c r="Q7" s="4"/>
      <c r="R7" s="5"/>
    </row>
    <row r="8" spans="1:19" ht="14.45" customHeight="1" x14ac:dyDescent="0.25">
      <c r="A8" s="128"/>
      <c r="B8" s="16"/>
      <c r="C8" s="10"/>
      <c r="D8" s="13">
        <f t="shared" si="1"/>
        <v>0</v>
      </c>
      <c r="F8" s="138" t="s">
        <v>21</v>
      </c>
      <c r="G8" s="140"/>
      <c r="H8" s="141"/>
      <c r="I8" s="141"/>
      <c r="J8" s="142"/>
      <c r="K8" s="8"/>
      <c r="L8" s="6">
        <f>R40</f>
        <v>1033</v>
      </c>
      <c r="P8" s="4"/>
      <c r="Q8" s="4"/>
      <c r="R8" s="5"/>
    </row>
    <row r="9" spans="1:19" ht="14.45" customHeight="1" x14ac:dyDescent="0.25">
      <c r="A9" s="128"/>
      <c r="B9" s="16"/>
      <c r="C9" s="10"/>
      <c r="D9" s="13">
        <f t="shared" si="1"/>
        <v>0</v>
      </c>
      <c r="F9" s="131"/>
      <c r="G9" s="143"/>
      <c r="H9" s="144"/>
      <c r="I9" s="144"/>
      <c r="J9" s="145"/>
      <c r="K9" s="8"/>
      <c r="L9" s="6">
        <f>R38</f>
        <v>707</v>
      </c>
      <c r="P9" s="4"/>
      <c r="Q9" s="4"/>
      <c r="R9" s="5"/>
    </row>
    <row r="10" spans="1:19" ht="14.45" customHeight="1" x14ac:dyDescent="0.25">
      <c r="A10" s="128"/>
      <c r="C10" s="10"/>
      <c r="D10" s="13">
        <f t="shared" si="1"/>
        <v>0</v>
      </c>
      <c r="F10" s="130" t="s">
        <v>26</v>
      </c>
      <c r="G10" s="146"/>
      <c r="H10" s="147"/>
      <c r="I10" s="147"/>
      <c r="J10" s="148"/>
      <c r="K10" s="8"/>
      <c r="L10" s="6">
        <f>R36</f>
        <v>972</v>
      </c>
      <c r="P10" s="4"/>
      <c r="Q10" s="4"/>
      <c r="R10" s="5"/>
    </row>
    <row r="11" spans="1:19" ht="15.75" x14ac:dyDescent="0.25">
      <c r="A11" s="128"/>
      <c r="B11" s="17"/>
      <c r="C11" s="10"/>
      <c r="D11" s="13">
        <f t="shared" si="1"/>
        <v>0</v>
      </c>
      <c r="F11" s="131"/>
      <c r="G11" s="143"/>
      <c r="H11" s="144"/>
      <c r="I11" s="144"/>
      <c r="J11" s="145"/>
      <c r="K11" s="22"/>
      <c r="L11" s="6">
        <f>R32</f>
        <v>1125</v>
      </c>
      <c r="O11" t="s">
        <v>19</v>
      </c>
      <c r="P11" s="4">
        <v>650</v>
      </c>
      <c r="Q11" s="4"/>
      <c r="R11" s="5">
        <f t="shared" si="0"/>
        <v>650</v>
      </c>
    </row>
    <row r="12" spans="1:19" ht="15.75" x14ac:dyDescent="0.25">
      <c r="A12" s="128"/>
      <c r="B12" s="17"/>
      <c r="C12" s="10"/>
      <c r="D12" s="48">
        <f t="shared" si="1"/>
        <v>0</v>
      </c>
      <c r="F12" s="149" t="s">
        <v>33</v>
      </c>
      <c r="G12" s="150"/>
      <c r="H12" s="150"/>
      <c r="I12" s="150"/>
      <c r="J12" s="151"/>
      <c r="K12" s="23"/>
      <c r="L12" s="6">
        <f>R34</f>
        <v>952</v>
      </c>
      <c r="O12" t="s">
        <v>22</v>
      </c>
      <c r="P12" s="4">
        <v>650</v>
      </c>
      <c r="Q12" s="4"/>
      <c r="R12" s="5">
        <f t="shared" si="0"/>
        <v>650</v>
      </c>
    </row>
    <row r="13" spans="1:19" ht="15.75" x14ac:dyDescent="0.25">
      <c r="A13" s="128"/>
      <c r="B13" s="17"/>
      <c r="C13" s="10"/>
      <c r="D13" s="48">
        <f t="shared" si="1"/>
        <v>0</v>
      </c>
      <c r="F13" s="152" t="s">
        <v>36</v>
      </c>
      <c r="G13" s="153"/>
      <c r="H13" s="154">
        <f>D29</f>
        <v>0</v>
      </c>
      <c r="I13" s="155"/>
      <c r="J13" s="156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9" ht="15.75" x14ac:dyDescent="0.25">
      <c r="A14" s="128"/>
      <c r="B14" s="14"/>
      <c r="C14" s="10"/>
      <c r="D14" s="31">
        <f t="shared" si="1"/>
        <v>0</v>
      </c>
      <c r="F14" s="157" t="s">
        <v>39</v>
      </c>
      <c r="G14" s="158"/>
      <c r="H14" s="159">
        <f>D54</f>
        <v>0</v>
      </c>
      <c r="I14" s="160"/>
      <c r="J14" s="161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  <c r="S14">
        <f>205+78</f>
        <v>283</v>
      </c>
    </row>
    <row r="15" spans="1:19" ht="15.75" x14ac:dyDescent="0.25">
      <c r="A15" s="128"/>
      <c r="B15" s="14"/>
      <c r="C15" s="10"/>
      <c r="D15" s="31">
        <f t="shared" si="1"/>
        <v>0</v>
      </c>
      <c r="F15" s="162" t="s">
        <v>40</v>
      </c>
      <c r="G15" s="153"/>
      <c r="H15" s="163">
        <f>H13-H14</f>
        <v>0</v>
      </c>
      <c r="I15" s="164"/>
      <c r="J15" s="165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  <c r="S15">
        <f>229+78</f>
        <v>307</v>
      </c>
    </row>
    <row r="16" spans="1:19" ht="15.75" x14ac:dyDescent="0.25">
      <c r="A16" s="128"/>
      <c r="B16" s="18"/>
      <c r="C16" s="10"/>
      <c r="D16" s="48">
        <f t="shared" si="1"/>
        <v>0</v>
      </c>
      <c r="F16" s="67" t="s">
        <v>42</v>
      </c>
      <c r="G16" s="66" t="s">
        <v>43</v>
      </c>
      <c r="H16" s="166"/>
      <c r="I16" s="166"/>
      <c r="J16" s="166"/>
      <c r="L16" s="6">
        <f>R28</f>
        <v>1567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28"/>
      <c r="C17" s="10"/>
      <c r="D17" s="48">
        <f t="shared" si="1"/>
        <v>0</v>
      </c>
      <c r="F17" s="56"/>
      <c r="G17" s="66" t="s">
        <v>45</v>
      </c>
      <c r="H17" s="139"/>
      <c r="I17" s="139"/>
      <c r="J17" s="139"/>
      <c r="L17" s="6">
        <v>1582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28"/>
      <c r="B18" s="19"/>
      <c r="C18" s="10"/>
      <c r="D18" s="48">
        <f t="shared" si="1"/>
        <v>0</v>
      </c>
      <c r="F18" s="56"/>
      <c r="G18" s="66" t="s">
        <v>47</v>
      </c>
      <c r="H18" s="139"/>
      <c r="I18" s="139"/>
      <c r="J18" s="139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28"/>
      <c r="B19" s="14"/>
      <c r="C19" s="10"/>
      <c r="D19" s="48">
        <f t="shared" si="1"/>
        <v>0</v>
      </c>
      <c r="F19" s="56"/>
      <c r="G19" s="68" t="s">
        <v>50</v>
      </c>
      <c r="H19" s="185"/>
      <c r="I19" s="185"/>
      <c r="J19" s="185"/>
      <c r="L19" s="6">
        <f>R35</f>
        <v>1102</v>
      </c>
      <c r="Q19" s="4"/>
      <c r="R19" s="5">
        <f t="shared" si="0"/>
        <v>0</v>
      </c>
    </row>
    <row r="20" spans="1:18" ht="15.75" x14ac:dyDescent="0.25">
      <c r="A20" s="128"/>
      <c r="B20" s="46"/>
      <c r="C20" s="10"/>
      <c r="D20" s="13">
        <f t="shared" si="1"/>
        <v>0</v>
      </c>
      <c r="F20" s="57"/>
      <c r="G20" s="70" t="s">
        <v>120</v>
      </c>
      <c r="H20" s="166"/>
      <c r="I20" s="166"/>
      <c r="J20" s="166"/>
      <c r="L20" s="6">
        <f>1102</f>
        <v>1102</v>
      </c>
      <c r="N20" s="1" t="s">
        <v>41</v>
      </c>
      <c r="Q20" s="4"/>
      <c r="R20" s="5">
        <f t="shared" si="0"/>
        <v>0</v>
      </c>
    </row>
    <row r="21" spans="1:18" ht="15.75" x14ac:dyDescent="0.25">
      <c r="A21" s="128"/>
      <c r="B21" s="14"/>
      <c r="C21" s="10"/>
      <c r="D21" s="48">
        <f t="shared" si="1"/>
        <v>0</v>
      </c>
      <c r="F21" s="69" t="s">
        <v>99</v>
      </c>
      <c r="G21" s="82" t="s">
        <v>98</v>
      </c>
      <c r="H21" s="186" t="s">
        <v>13</v>
      </c>
      <c r="I21" s="187"/>
      <c r="J21" s="188"/>
      <c r="L21" s="7">
        <v>650</v>
      </c>
      <c r="O21" t="s">
        <v>44</v>
      </c>
      <c r="P21" s="4">
        <v>1447</v>
      </c>
      <c r="Q21" s="4">
        <v>120</v>
      </c>
      <c r="R21" s="5">
        <f t="shared" si="0"/>
        <v>1567</v>
      </c>
    </row>
    <row r="22" spans="1:18" ht="15.75" x14ac:dyDescent="0.25">
      <c r="A22" s="128"/>
      <c r="B22" s="46"/>
      <c r="C22" s="10"/>
      <c r="D22" s="48">
        <f t="shared" si="1"/>
        <v>0</v>
      </c>
      <c r="F22" s="77"/>
      <c r="G22" s="73"/>
      <c r="H22" s="189"/>
      <c r="I22" s="189"/>
      <c r="J22" s="189"/>
      <c r="L22" s="7">
        <f>559+111</f>
        <v>670</v>
      </c>
      <c r="O22" t="s">
        <v>46</v>
      </c>
      <c r="P22" s="4">
        <v>1582</v>
      </c>
      <c r="Q22" s="4"/>
      <c r="R22" s="5">
        <f t="shared" si="0"/>
        <v>1582</v>
      </c>
    </row>
    <row r="23" spans="1:18" ht="15.75" x14ac:dyDescent="0.25">
      <c r="A23" s="128"/>
      <c r="B23" s="14"/>
      <c r="C23" s="10"/>
      <c r="D23" s="48">
        <f t="shared" si="1"/>
        <v>0</v>
      </c>
      <c r="F23" s="78"/>
      <c r="G23" s="79"/>
      <c r="H23" s="190"/>
      <c r="I23" s="191"/>
      <c r="J23" s="191"/>
      <c r="L23" s="47">
        <f>R33</f>
        <v>1175</v>
      </c>
      <c r="N23" s="1"/>
      <c r="O23" t="s">
        <v>48</v>
      </c>
      <c r="P23" s="4">
        <v>1728</v>
      </c>
      <c r="Q23" s="4"/>
      <c r="R23" s="5">
        <f t="shared" si="0"/>
        <v>1728</v>
      </c>
    </row>
    <row r="24" spans="1:18" ht="15.75" x14ac:dyDescent="0.25">
      <c r="A24" s="128"/>
      <c r="B24" s="14"/>
      <c r="C24" s="10"/>
      <c r="D24" s="48">
        <f t="shared" si="1"/>
        <v>0</v>
      </c>
      <c r="F24" s="38"/>
      <c r="G24" s="37"/>
      <c r="H24" s="190"/>
      <c r="I24" s="191"/>
      <c r="J24" s="191"/>
      <c r="L24" s="47">
        <v>1667</v>
      </c>
      <c r="N24" s="1"/>
      <c r="O24" t="s">
        <v>49</v>
      </c>
      <c r="P24" s="4">
        <v>1728</v>
      </c>
      <c r="Q24" s="4"/>
      <c r="R24" s="5">
        <f t="shared" si="0"/>
        <v>1728</v>
      </c>
    </row>
    <row r="25" spans="1:18" ht="15.75" x14ac:dyDescent="0.25">
      <c r="A25" s="128"/>
      <c r="B25" s="14"/>
      <c r="C25" s="10"/>
      <c r="D25" s="48">
        <f t="shared" si="1"/>
        <v>0</v>
      </c>
      <c r="F25" s="60" t="s">
        <v>100</v>
      </c>
      <c r="G25" s="55" t="s">
        <v>98</v>
      </c>
      <c r="H25" s="192" t="s">
        <v>13</v>
      </c>
      <c r="I25" s="193"/>
      <c r="J25" s="194"/>
      <c r="L25" s="47">
        <f>1582</f>
        <v>1582</v>
      </c>
      <c r="O25" t="s">
        <v>51</v>
      </c>
      <c r="P25" s="4">
        <v>1582</v>
      </c>
      <c r="Q25" s="4"/>
      <c r="R25" s="5">
        <f t="shared" si="0"/>
        <v>1582</v>
      </c>
    </row>
    <row r="26" spans="1:18" ht="15.75" x14ac:dyDescent="0.25">
      <c r="A26" s="128"/>
      <c r="B26" s="14"/>
      <c r="C26" s="10"/>
      <c r="D26" s="48">
        <f t="shared" si="1"/>
        <v>0</v>
      </c>
      <c r="F26" s="64"/>
      <c r="G26" s="59"/>
      <c r="H26" s="195"/>
      <c r="I26" s="196"/>
      <c r="J26" s="197"/>
      <c r="L26" s="7">
        <f>832/24+1.5</f>
        <v>36.166666666666664</v>
      </c>
      <c r="O26" t="s">
        <v>52</v>
      </c>
      <c r="P26" s="4">
        <v>1447</v>
      </c>
      <c r="Q26" s="4">
        <v>120</v>
      </c>
      <c r="R26" s="5">
        <f t="shared" si="0"/>
        <v>1567</v>
      </c>
    </row>
    <row r="27" spans="1:18" ht="14.45" customHeight="1" x14ac:dyDescent="0.25">
      <c r="A27" s="128"/>
      <c r="B27" s="14"/>
      <c r="C27" s="10"/>
      <c r="D27" s="44">
        <f t="shared" si="1"/>
        <v>0</v>
      </c>
      <c r="F27" s="25"/>
      <c r="G27" s="80"/>
      <c r="H27" s="198"/>
      <c r="I27" s="199"/>
      <c r="J27" s="200"/>
      <c r="L27" s="7">
        <v>1582</v>
      </c>
      <c r="O27" t="s">
        <v>53</v>
      </c>
      <c r="P27" s="4">
        <v>1582</v>
      </c>
      <c r="Q27" s="4"/>
      <c r="R27" s="5">
        <f t="shared" si="0"/>
        <v>1582</v>
      </c>
    </row>
    <row r="28" spans="1:18" ht="15.75" x14ac:dyDescent="0.25">
      <c r="A28" s="129"/>
      <c r="B28" s="46"/>
      <c r="C28" s="10"/>
      <c r="D28" s="48">
        <f t="shared" si="1"/>
        <v>0</v>
      </c>
      <c r="F28" s="106"/>
      <c r="G28" s="61"/>
      <c r="H28" s="201"/>
      <c r="I28" s="202"/>
      <c r="J28" s="203"/>
      <c r="L28" s="7">
        <v>785</v>
      </c>
      <c r="O28" t="s">
        <v>54</v>
      </c>
      <c r="P28" s="4">
        <v>1447</v>
      </c>
      <c r="Q28" s="4">
        <v>120</v>
      </c>
      <c r="R28" s="5">
        <f t="shared" si="0"/>
        <v>1567</v>
      </c>
    </row>
    <row r="29" spans="1:18" x14ac:dyDescent="0.25">
      <c r="A29" s="167" t="s">
        <v>36</v>
      </c>
      <c r="B29" s="168"/>
      <c r="C29" s="169"/>
      <c r="D29" s="173">
        <f>SUM(D6:D28)</f>
        <v>0</v>
      </c>
      <c r="F29" s="175" t="s">
        <v>55</v>
      </c>
      <c r="G29" s="176"/>
      <c r="H29" s="179">
        <f>H15-H16-H17-H18-H19-H20-H22-H23-H24+H26+H27</f>
        <v>0</v>
      </c>
      <c r="I29" s="180"/>
      <c r="J29" s="181"/>
      <c r="O29" t="s">
        <v>56</v>
      </c>
      <c r="P29" s="4">
        <v>1582</v>
      </c>
      <c r="Q29" s="4"/>
      <c r="R29" s="5">
        <f t="shared" si="0"/>
        <v>1582</v>
      </c>
    </row>
    <row r="30" spans="1:18" x14ac:dyDescent="0.25">
      <c r="A30" s="170"/>
      <c r="B30" s="171"/>
      <c r="C30" s="172"/>
      <c r="D30" s="174"/>
      <c r="F30" s="177"/>
      <c r="G30" s="178"/>
      <c r="H30" s="182"/>
      <c r="I30" s="183"/>
      <c r="J30" s="184"/>
      <c r="N30" s="1"/>
      <c r="Q30" s="4"/>
      <c r="R30" s="5">
        <f t="shared" si="0"/>
        <v>0</v>
      </c>
    </row>
    <row r="31" spans="1:18" x14ac:dyDescent="0.25">
      <c r="A31" s="24"/>
      <c r="B31" s="24"/>
      <c r="C31" s="24"/>
      <c r="D31" s="24"/>
      <c r="F31" s="24"/>
      <c r="G31" s="24"/>
      <c r="O31" t="s">
        <v>57</v>
      </c>
      <c r="P31" s="4">
        <v>1052</v>
      </c>
      <c r="Q31" s="4">
        <v>120</v>
      </c>
      <c r="R31" s="5">
        <f t="shared" si="0"/>
        <v>1172</v>
      </c>
    </row>
    <row r="32" spans="1:18" x14ac:dyDescent="0.25">
      <c r="A32" s="114" t="s">
        <v>58</v>
      </c>
      <c r="B32" s="115"/>
      <c r="C32" s="115"/>
      <c r="D32" s="116"/>
      <c r="F32" s="204" t="s">
        <v>59</v>
      </c>
      <c r="G32" s="205"/>
      <c r="H32" s="205"/>
      <c r="I32" s="205"/>
      <c r="J32" s="206"/>
      <c r="O32" t="s">
        <v>60</v>
      </c>
      <c r="P32" s="4">
        <v>1005</v>
      </c>
      <c r="Q32" s="4">
        <v>120</v>
      </c>
      <c r="R32" s="5">
        <f t="shared" si="0"/>
        <v>1125</v>
      </c>
    </row>
    <row r="33" spans="1:18" x14ac:dyDescent="0.25">
      <c r="A33" s="25"/>
      <c r="B33" s="25" t="s">
        <v>11</v>
      </c>
      <c r="C33" s="25" t="s">
        <v>61</v>
      </c>
      <c r="D33" s="25" t="s">
        <v>13</v>
      </c>
      <c r="F33" s="25" t="s">
        <v>62</v>
      </c>
      <c r="G33" s="107" t="s">
        <v>63</v>
      </c>
      <c r="H33" s="204" t="s">
        <v>13</v>
      </c>
      <c r="I33" s="205"/>
      <c r="J33" s="206"/>
      <c r="O33" t="s">
        <v>64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27" t="s">
        <v>65</v>
      </c>
      <c r="B34" s="26" t="s">
        <v>66</v>
      </c>
      <c r="C34" s="51"/>
      <c r="D34" s="30">
        <f>C34*120</f>
        <v>0</v>
      </c>
      <c r="F34" s="12">
        <v>1000</v>
      </c>
      <c r="G34" s="74"/>
      <c r="H34" s="207"/>
      <c r="I34" s="208"/>
      <c r="J34" s="209"/>
      <c r="O34" t="s">
        <v>67</v>
      </c>
      <c r="P34" s="4">
        <v>832</v>
      </c>
      <c r="Q34" s="4">
        <v>120</v>
      </c>
      <c r="R34" s="5">
        <f t="shared" si="0"/>
        <v>952</v>
      </c>
    </row>
    <row r="35" spans="1:18" ht="15.75" x14ac:dyDescent="0.25">
      <c r="A35" s="128"/>
      <c r="B35" s="27" t="s">
        <v>68</v>
      </c>
      <c r="C35" s="52"/>
      <c r="D35" s="30">
        <f>C35*84</f>
        <v>0</v>
      </c>
      <c r="F35" s="58">
        <v>500</v>
      </c>
      <c r="G35" s="41"/>
      <c r="H35" s="207"/>
      <c r="I35" s="208"/>
      <c r="J35" s="209"/>
      <c r="O35" t="s">
        <v>69</v>
      </c>
      <c r="P35" s="4">
        <v>1102</v>
      </c>
      <c r="Q35" s="4"/>
      <c r="R35" s="5">
        <f t="shared" si="0"/>
        <v>1102</v>
      </c>
    </row>
    <row r="36" spans="1:18" ht="15.75" x14ac:dyDescent="0.25">
      <c r="A36" s="129"/>
      <c r="B36" s="26" t="s">
        <v>70</v>
      </c>
      <c r="C36" s="10"/>
      <c r="D36" s="12">
        <f>C36*1.5</f>
        <v>0</v>
      </c>
      <c r="F36" s="12">
        <v>200</v>
      </c>
      <c r="G36" s="37"/>
      <c r="H36" s="207"/>
      <c r="I36" s="208"/>
      <c r="J36" s="209"/>
      <c r="O36" t="s">
        <v>71</v>
      </c>
      <c r="P36" s="4">
        <v>852</v>
      </c>
      <c r="Q36" s="4">
        <v>120</v>
      </c>
      <c r="R36" s="5">
        <f t="shared" si="0"/>
        <v>972</v>
      </c>
    </row>
    <row r="37" spans="1:18" ht="15.75" x14ac:dyDescent="0.25">
      <c r="A37" s="127" t="s">
        <v>72</v>
      </c>
      <c r="B37" s="28" t="s">
        <v>66</v>
      </c>
      <c r="C37" s="53"/>
      <c r="D37" s="12">
        <f>C37*111</f>
        <v>0</v>
      </c>
      <c r="F37" s="12">
        <v>100</v>
      </c>
      <c r="G37" s="39"/>
      <c r="H37" s="207"/>
      <c r="I37" s="208"/>
      <c r="J37" s="209"/>
      <c r="O37" t="s">
        <v>73</v>
      </c>
      <c r="P37" s="4">
        <v>1020</v>
      </c>
      <c r="Q37" s="4">
        <v>120</v>
      </c>
      <c r="R37" s="5">
        <f t="shared" si="0"/>
        <v>1140</v>
      </c>
    </row>
    <row r="38" spans="1:18" ht="15.75" x14ac:dyDescent="0.25">
      <c r="A38" s="128"/>
      <c r="B38" s="29" t="s">
        <v>68</v>
      </c>
      <c r="C38" s="54"/>
      <c r="D38" s="12">
        <f>C38*84</f>
        <v>0</v>
      </c>
      <c r="F38" s="30">
        <v>50</v>
      </c>
      <c r="G38" s="39"/>
      <c r="H38" s="207"/>
      <c r="I38" s="208"/>
      <c r="J38" s="209"/>
      <c r="O38" t="s">
        <v>74</v>
      </c>
      <c r="P38" s="4">
        <v>596</v>
      </c>
      <c r="Q38" s="4">
        <v>111</v>
      </c>
      <c r="R38" s="5">
        <f t="shared" si="0"/>
        <v>707</v>
      </c>
    </row>
    <row r="39" spans="1:18" ht="15.75" x14ac:dyDescent="0.25">
      <c r="A39" s="129"/>
      <c r="B39" s="29" t="s">
        <v>70</v>
      </c>
      <c r="C39" s="52"/>
      <c r="D39" s="31">
        <f>C39*4.5</f>
        <v>0</v>
      </c>
      <c r="F39" s="12">
        <v>20</v>
      </c>
      <c r="G39" s="37"/>
      <c r="H39" s="207"/>
      <c r="I39" s="208"/>
      <c r="J39" s="209"/>
      <c r="O39" t="s">
        <v>75</v>
      </c>
      <c r="P39" s="4">
        <v>1175</v>
      </c>
      <c r="Q39" s="4"/>
      <c r="R39" s="5">
        <f t="shared" si="0"/>
        <v>1175</v>
      </c>
    </row>
    <row r="40" spans="1:18" ht="15.75" x14ac:dyDescent="0.25">
      <c r="A40" s="127" t="s">
        <v>76</v>
      </c>
      <c r="B40" s="27" t="s">
        <v>66</v>
      </c>
      <c r="C40" s="63"/>
      <c r="D40" s="12">
        <f>C40*111</f>
        <v>0</v>
      </c>
      <c r="F40" s="12">
        <v>10</v>
      </c>
      <c r="G40" s="42"/>
      <c r="H40" s="207"/>
      <c r="I40" s="208"/>
      <c r="J40" s="209"/>
      <c r="O40" t="s">
        <v>77</v>
      </c>
      <c r="P40" s="4">
        <v>913</v>
      </c>
      <c r="Q40" s="4">
        <v>120</v>
      </c>
      <c r="R40" s="5">
        <f t="shared" si="0"/>
        <v>1033</v>
      </c>
    </row>
    <row r="41" spans="1:18" ht="15.75" x14ac:dyDescent="0.25">
      <c r="A41" s="128"/>
      <c r="B41" s="27" t="s">
        <v>68</v>
      </c>
      <c r="C41" s="10"/>
      <c r="D41" s="12">
        <f>C41*84</f>
        <v>0</v>
      </c>
      <c r="F41" s="12">
        <v>5</v>
      </c>
      <c r="G41" s="42"/>
      <c r="H41" s="207"/>
      <c r="I41" s="208"/>
      <c r="J41" s="209"/>
      <c r="K41" s="21"/>
      <c r="O41" t="s">
        <v>78</v>
      </c>
      <c r="P41" s="4">
        <v>614</v>
      </c>
      <c r="Q41" s="4">
        <v>111</v>
      </c>
      <c r="R41" s="5">
        <f t="shared" si="0"/>
        <v>725</v>
      </c>
    </row>
    <row r="42" spans="1:18" ht="15.75" x14ac:dyDescent="0.25">
      <c r="A42" s="129"/>
      <c r="B42" s="27" t="s">
        <v>70</v>
      </c>
      <c r="C42" s="11"/>
      <c r="D42" s="12">
        <f>C42*2.25</f>
        <v>0</v>
      </c>
      <c r="F42" s="39" t="s">
        <v>79</v>
      </c>
      <c r="G42" s="207"/>
      <c r="H42" s="208"/>
      <c r="I42" s="208"/>
      <c r="J42" s="209"/>
      <c r="K42" s="36"/>
      <c r="O42" t="s">
        <v>80</v>
      </c>
      <c r="P42" s="4">
        <v>626</v>
      </c>
      <c r="Q42" s="4">
        <v>111</v>
      </c>
      <c r="R42" s="5">
        <f t="shared" si="0"/>
        <v>737</v>
      </c>
    </row>
    <row r="43" spans="1:18" ht="15.75" x14ac:dyDescent="0.25">
      <c r="A43" s="210" t="s">
        <v>81</v>
      </c>
      <c r="C43" s="11"/>
      <c r="D43" s="12"/>
      <c r="F43" s="59" t="s">
        <v>82</v>
      </c>
      <c r="G43" s="109" t="s">
        <v>83</v>
      </c>
      <c r="H43" s="213" t="s">
        <v>13</v>
      </c>
      <c r="I43" s="214"/>
      <c r="J43" s="215"/>
      <c r="K43" s="21"/>
      <c r="P43" s="4"/>
      <c r="Q43" s="4"/>
      <c r="R43" s="5"/>
    </row>
    <row r="44" spans="1:18" ht="15.75" x14ac:dyDescent="0.25">
      <c r="A44" s="211"/>
      <c r="B44" s="27" t="s">
        <v>66</v>
      </c>
      <c r="C44" s="10"/>
      <c r="D44" s="12">
        <f>C44*120</f>
        <v>0</v>
      </c>
      <c r="F44" s="37"/>
      <c r="G44" s="76"/>
      <c r="H44" s="191"/>
      <c r="I44" s="191"/>
      <c r="J44" s="191"/>
      <c r="K44" s="21"/>
      <c r="P44" s="4"/>
      <c r="Q44" s="4"/>
      <c r="R44" s="5"/>
    </row>
    <row r="45" spans="1:18" ht="15.75" x14ac:dyDescent="0.25">
      <c r="A45" s="211"/>
      <c r="B45" s="27" t="s">
        <v>68</v>
      </c>
      <c r="C45" s="33"/>
      <c r="D45" s="12">
        <f>C45*84</f>
        <v>0</v>
      </c>
      <c r="F45" s="37"/>
      <c r="G45" s="76"/>
      <c r="H45" s="191"/>
      <c r="I45" s="191"/>
      <c r="J45" s="191"/>
      <c r="K45" s="21"/>
      <c r="P45" s="4"/>
      <c r="Q45" s="4"/>
      <c r="R45" s="5"/>
    </row>
    <row r="46" spans="1:18" ht="15.75" x14ac:dyDescent="0.25">
      <c r="A46" s="211"/>
      <c r="B46" s="49" t="s">
        <v>70</v>
      </c>
      <c r="C46" s="81"/>
      <c r="D46" s="12">
        <f>C46*1.5</f>
        <v>0</v>
      </c>
      <c r="F46" s="37"/>
      <c r="G46" s="62"/>
      <c r="H46" s="216"/>
      <c r="I46" s="216"/>
      <c r="J46" s="216"/>
      <c r="K46" s="21"/>
      <c r="P46" s="4"/>
      <c r="Q46" s="4"/>
      <c r="R46" s="5"/>
    </row>
    <row r="47" spans="1:18" ht="15.75" x14ac:dyDescent="0.25">
      <c r="A47" s="212"/>
      <c r="B47" s="27"/>
      <c r="C47" s="11"/>
      <c r="D47" s="12"/>
      <c r="F47" s="59"/>
      <c r="G47" s="59"/>
      <c r="H47" s="217"/>
      <c r="I47" s="218"/>
      <c r="J47" s="219"/>
      <c r="K47" s="21"/>
      <c r="P47" s="4"/>
      <c r="Q47" s="4"/>
      <c r="R47" s="5"/>
    </row>
    <row r="48" spans="1:18" ht="15" customHeight="1" x14ac:dyDescent="0.25">
      <c r="A48" s="210" t="s">
        <v>32</v>
      </c>
      <c r="B48" s="27" t="s">
        <v>66</v>
      </c>
      <c r="C48" s="10"/>
      <c r="D48" s="12">
        <f>C48*78</f>
        <v>0</v>
      </c>
      <c r="F48" s="59"/>
      <c r="G48" s="59"/>
      <c r="H48" s="217"/>
      <c r="I48" s="218"/>
      <c r="J48" s="219"/>
      <c r="K48" s="35"/>
      <c r="O48" t="s">
        <v>84</v>
      </c>
      <c r="P48" s="4">
        <v>1175</v>
      </c>
      <c r="Q48" s="4"/>
      <c r="R48" s="5">
        <f t="shared" si="0"/>
        <v>1175</v>
      </c>
    </row>
    <row r="49" spans="1:18" ht="15.75" x14ac:dyDescent="0.25">
      <c r="A49" s="211"/>
      <c r="B49" s="29" t="s">
        <v>68</v>
      </c>
      <c r="C49" s="33"/>
      <c r="D49" s="12">
        <f>C49*42</f>
        <v>0</v>
      </c>
      <c r="F49" s="232" t="s">
        <v>86</v>
      </c>
      <c r="G49" s="179">
        <f>H34+H35+H36+H37+H38+H39+H40+H41+G42+H44+H45+H46</f>
        <v>0</v>
      </c>
      <c r="H49" s="180"/>
      <c r="I49" s="180"/>
      <c r="J49" s="181"/>
      <c r="O49" t="s">
        <v>85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211"/>
      <c r="B50" s="32" t="s">
        <v>70</v>
      </c>
      <c r="C50" s="11"/>
      <c r="D50" s="12">
        <f>C50*1.5</f>
        <v>0</v>
      </c>
      <c r="F50" s="233"/>
      <c r="G50" s="182"/>
      <c r="H50" s="183"/>
      <c r="I50" s="183"/>
      <c r="J50" s="184"/>
      <c r="P50" s="4"/>
      <c r="Q50" s="4"/>
      <c r="R50" s="5"/>
    </row>
    <row r="51" spans="1:18" ht="15" customHeight="1" x14ac:dyDescent="0.25">
      <c r="A51" s="211"/>
      <c r="B51" s="27"/>
      <c r="C51" s="10"/>
      <c r="D51" s="31"/>
      <c r="F51" s="234" t="s">
        <v>128</v>
      </c>
      <c r="G51" s="236">
        <f>G49-H29</f>
        <v>0</v>
      </c>
      <c r="H51" s="237"/>
      <c r="I51" s="237"/>
      <c r="J51" s="238"/>
      <c r="K51" s="21"/>
      <c r="O51" t="s">
        <v>87</v>
      </c>
      <c r="P51" s="4">
        <v>703</v>
      </c>
      <c r="Q51" s="4">
        <v>120</v>
      </c>
      <c r="R51" s="5">
        <f t="shared" si="0"/>
        <v>823</v>
      </c>
    </row>
    <row r="52" spans="1:18" ht="15.75" x14ac:dyDescent="0.25">
      <c r="A52" s="211"/>
      <c r="B52" s="29"/>
      <c r="C52" s="33"/>
      <c r="D52" s="45"/>
      <c r="F52" s="235"/>
      <c r="G52" s="239"/>
      <c r="H52" s="240"/>
      <c r="I52" s="240"/>
      <c r="J52" s="241"/>
      <c r="K52" s="21"/>
      <c r="O52" t="s">
        <v>88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212"/>
      <c r="B53" s="32"/>
      <c r="C53" s="11"/>
      <c r="D53" s="12"/>
      <c r="F53" s="35"/>
      <c r="G53" s="24"/>
      <c r="H53" s="24"/>
      <c r="I53" s="24"/>
      <c r="J53" s="17"/>
      <c r="N53" s="1"/>
      <c r="O53" t="s">
        <v>89</v>
      </c>
      <c r="P53" s="4">
        <v>1142</v>
      </c>
    </row>
    <row r="54" spans="1:18" x14ac:dyDescent="0.25">
      <c r="A54" s="175" t="s">
        <v>90</v>
      </c>
      <c r="B54" s="220"/>
      <c r="C54" s="221"/>
      <c r="D54" s="224">
        <f>SUM(D34:D53)</f>
        <v>0</v>
      </c>
      <c r="F54" s="21"/>
      <c r="J54" s="34"/>
    </row>
    <row r="55" spans="1:18" x14ac:dyDescent="0.25">
      <c r="A55" s="177"/>
      <c r="B55" s="222"/>
      <c r="C55" s="223"/>
      <c r="D55" s="225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D57" s="34"/>
      <c r="F57" s="36"/>
      <c r="G57" s="50"/>
      <c r="H57" s="50"/>
      <c r="I57" s="50"/>
      <c r="J57" s="43"/>
    </row>
    <row r="58" spans="1:18" x14ac:dyDescent="0.25">
      <c r="A58" s="226" t="s">
        <v>91</v>
      </c>
      <c r="B58" s="227"/>
      <c r="C58" s="227"/>
      <c r="D58" s="228"/>
      <c r="F58" s="226" t="s">
        <v>92</v>
      </c>
      <c r="G58" s="227"/>
      <c r="H58" s="227"/>
      <c r="I58" s="227"/>
      <c r="J58" s="228"/>
    </row>
    <row r="59" spans="1:18" x14ac:dyDescent="0.25">
      <c r="A59" s="229"/>
      <c r="B59" s="230"/>
      <c r="C59" s="230"/>
      <c r="D59" s="231"/>
      <c r="F59" s="229"/>
      <c r="G59" s="230"/>
      <c r="H59" s="230"/>
      <c r="I59" s="230"/>
      <c r="J59" s="231"/>
    </row>
  </sheetData>
  <mergeCells count="68"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  <mergeCell ref="H13:J13"/>
    <mergeCell ref="F14:G14"/>
    <mergeCell ref="H14:J14"/>
    <mergeCell ref="F15:G15"/>
    <mergeCell ref="H15:J15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A32:D32"/>
    <mergeCell ref="F32:J32"/>
    <mergeCell ref="H33:J33"/>
    <mergeCell ref="A34:A36"/>
    <mergeCell ref="H34:J34"/>
    <mergeCell ref="H35:J35"/>
    <mergeCell ref="H36:J36"/>
    <mergeCell ref="A37:A39"/>
    <mergeCell ref="H37:J37"/>
    <mergeCell ref="H38:J38"/>
    <mergeCell ref="H39:J39"/>
    <mergeCell ref="A40:A42"/>
    <mergeCell ref="H40:J40"/>
    <mergeCell ref="H41:J41"/>
    <mergeCell ref="G42:J42"/>
    <mergeCell ref="A43:A47"/>
    <mergeCell ref="H43:J43"/>
    <mergeCell ref="H44:J44"/>
    <mergeCell ref="H45:J45"/>
    <mergeCell ref="H46:J46"/>
    <mergeCell ref="H47:J47"/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7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20B907A-695F-41D7-B299-DF0BF71AA6DD}">
  <dimension ref="A1:R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bestFit="1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113" t="s">
        <v>1</v>
      </c>
      <c r="O1" s="113"/>
      <c r="P1" s="105" t="s">
        <v>2</v>
      </c>
      <c r="Q1" s="105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14" t="s">
        <v>7</v>
      </c>
      <c r="B4" s="115"/>
      <c r="C4" s="115"/>
      <c r="D4" s="116"/>
      <c r="F4" s="117" t="s">
        <v>8</v>
      </c>
      <c r="G4" s="119">
        <v>1</v>
      </c>
      <c r="H4" s="121" t="s">
        <v>9</v>
      </c>
      <c r="I4" s="123">
        <v>45985</v>
      </c>
      <c r="J4" s="124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27" t="s">
        <v>7</v>
      </c>
      <c r="B5" s="15" t="s">
        <v>11</v>
      </c>
      <c r="C5" s="9" t="s">
        <v>12</v>
      </c>
      <c r="D5" s="25" t="s">
        <v>13</v>
      </c>
      <c r="F5" s="118"/>
      <c r="G5" s="120"/>
      <c r="H5" s="122"/>
      <c r="I5" s="125"/>
      <c r="J5" s="126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28"/>
      <c r="B6" s="16" t="s">
        <v>15</v>
      </c>
      <c r="C6" s="89"/>
      <c r="D6" s="13">
        <f t="shared" ref="D6:D28" si="1">C6*L6</f>
        <v>0</v>
      </c>
      <c r="F6" s="130" t="s">
        <v>16</v>
      </c>
      <c r="G6" s="132" t="s">
        <v>129</v>
      </c>
      <c r="H6" s="133"/>
      <c r="I6" s="133"/>
      <c r="J6" s="134"/>
      <c r="K6" s="8"/>
      <c r="L6" s="6">
        <f>R42</f>
        <v>737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28"/>
      <c r="B7" s="16" t="s">
        <v>18</v>
      </c>
      <c r="C7" s="89"/>
      <c r="D7" s="13">
        <f t="shared" si="1"/>
        <v>0</v>
      </c>
      <c r="F7" s="131"/>
      <c r="G7" s="135"/>
      <c r="H7" s="136"/>
      <c r="I7" s="136"/>
      <c r="J7" s="137"/>
      <c r="K7" s="8"/>
      <c r="L7" s="6">
        <f>R41</f>
        <v>725</v>
      </c>
      <c r="P7" s="4"/>
      <c r="Q7" s="4"/>
      <c r="R7" s="5"/>
    </row>
    <row r="8" spans="1:18" ht="14.45" customHeight="1" x14ac:dyDescent="0.25">
      <c r="A8" s="128"/>
      <c r="B8" s="16" t="s">
        <v>20</v>
      </c>
      <c r="C8" s="89"/>
      <c r="D8" s="13">
        <f t="shared" si="1"/>
        <v>0</v>
      </c>
      <c r="F8" s="138" t="s">
        <v>21</v>
      </c>
      <c r="G8" s="140" t="s">
        <v>112</v>
      </c>
      <c r="H8" s="141"/>
      <c r="I8" s="141"/>
      <c r="J8" s="142"/>
      <c r="K8" s="8"/>
      <c r="L8" s="6">
        <f>R40</f>
        <v>1033</v>
      </c>
      <c r="P8" s="4"/>
      <c r="Q8" s="4"/>
      <c r="R8" s="5"/>
    </row>
    <row r="9" spans="1:18" ht="14.45" customHeight="1" x14ac:dyDescent="0.25">
      <c r="A9" s="128"/>
      <c r="B9" s="16" t="s">
        <v>23</v>
      </c>
      <c r="C9" s="89"/>
      <c r="D9" s="13">
        <f t="shared" si="1"/>
        <v>0</v>
      </c>
      <c r="F9" s="131"/>
      <c r="G9" s="143"/>
      <c r="H9" s="144"/>
      <c r="I9" s="144"/>
      <c r="J9" s="145"/>
      <c r="K9" s="8"/>
      <c r="L9" s="6">
        <f>R38</f>
        <v>707</v>
      </c>
      <c r="P9" s="4"/>
      <c r="Q9" s="4"/>
      <c r="R9" s="5"/>
    </row>
    <row r="10" spans="1:18" ht="14.45" customHeight="1" x14ac:dyDescent="0.25">
      <c r="A10" s="128"/>
      <c r="B10" t="s">
        <v>25</v>
      </c>
      <c r="C10" s="89"/>
      <c r="D10" s="13">
        <f t="shared" si="1"/>
        <v>0</v>
      </c>
      <c r="F10" s="130" t="s">
        <v>26</v>
      </c>
      <c r="G10" s="146" t="s">
        <v>130</v>
      </c>
      <c r="H10" s="147"/>
      <c r="I10" s="147"/>
      <c r="J10" s="148"/>
      <c r="K10" s="8"/>
      <c r="L10" s="6">
        <f>R36</f>
        <v>972</v>
      </c>
      <c r="P10" s="4"/>
      <c r="Q10" s="4"/>
      <c r="R10" s="5"/>
    </row>
    <row r="11" spans="1:18" ht="15.75" x14ac:dyDescent="0.25">
      <c r="A11" s="128"/>
      <c r="B11" s="17" t="s">
        <v>28</v>
      </c>
      <c r="C11" s="89"/>
      <c r="D11" s="13">
        <f t="shared" si="1"/>
        <v>0</v>
      </c>
      <c r="F11" s="131"/>
      <c r="G11" s="143"/>
      <c r="H11" s="144"/>
      <c r="I11" s="144"/>
      <c r="J11" s="145"/>
      <c r="K11" s="22"/>
      <c r="L11" s="6">
        <f>R32</f>
        <v>1125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28"/>
      <c r="B12" s="17" t="s">
        <v>30</v>
      </c>
      <c r="C12" s="89"/>
      <c r="D12" s="48">
        <f t="shared" si="1"/>
        <v>0</v>
      </c>
      <c r="F12" s="149" t="s">
        <v>33</v>
      </c>
      <c r="G12" s="150"/>
      <c r="H12" s="150"/>
      <c r="I12" s="150"/>
      <c r="J12" s="151"/>
      <c r="K12" s="23"/>
      <c r="L12" s="6">
        <f>R34</f>
        <v>952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28"/>
      <c r="B13" s="17" t="s">
        <v>32</v>
      </c>
      <c r="C13" s="89"/>
      <c r="D13" s="48">
        <f t="shared" si="1"/>
        <v>0</v>
      </c>
      <c r="F13" s="152" t="s">
        <v>36</v>
      </c>
      <c r="G13" s="153"/>
      <c r="H13" s="154">
        <f>D29</f>
        <v>0</v>
      </c>
      <c r="I13" s="155"/>
      <c r="J13" s="156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28"/>
      <c r="B14" s="14" t="s">
        <v>35</v>
      </c>
      <c r="C14" s="89"/>
      <c r="D14" s="31">
        <f t="shared" si="1"/>
        <v>0</v>
      </c>
      <c r="F14" s="157" t="s">
        <v>39</v>
      </c>
      <c r="G14" s="158"/>
      <c r="H14" s="159">
        <f>D54</f>
        <v>0</v>
      </c>
      <c r="I14" s="160"/>
      <c r="J14" s="161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28"/>
      <c r="B15" s="14" t="s">
        <v>38</v>
      </c>
      <c r="C15" s="89"/>
      <c r="D15" s="31">
        <f t="shared" si="1"/>
        <v>0</v>
      </c>
      <c r="F15" s="162" t="s">
        <v>40</v>
      </c>
      <c r="G15" s="153"/>
      <c r="H15" s="163">
        <f>H13-H14</f>
        <v>0</v>
      </c>
      <c r="I15" s="164"/>
      <c r="J15" s="165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28"/>
      <c r="B16" s="18" t="s">
        <v>94</v>
      </c>
      <c r="C16" s="89"/>
      <c r="D16" s="48">
        <f t="shared" si="1"/>
        <v>0</v>
      </c>
      <c r="F16" s="67" t="s">
        <v>42</v>
      </c>
      <c r="G16" s="66" t="s">
        <v>43</v>
      </c>
      <c r="H16" s="166"/>
      <c r="I16" s="166"/>
      <c r="J16" s="166"/>
      <c r="L16" s="6">
        <f>R28</f>
        <v>1567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28"/>
      <c r="B17" t="s">
        <v>140</v>
      </c>
      <c r="C17" s="89"/>
      <c r="D17" s="48">
        <f t="shared" si="1"/>
        <v>0</v>
      </c>
      <c r="F17" s="56"/>
      <c r="G17" s="66" t="s">
        <v>45</v>
      </c>
      <c r="H17" s="139"/>
      <c r="I17" s="139"/>
      <c r="J17" s="139"/>
      <c r="L17" s="6">
        <f>1582</f>
        <v>1582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28"/>
      <c r="B18" s="19" t="s">
        <v>95</v>
      </c>
      <c r="C18" s="89"/>
      <c r="D18" s="48">
        <f t="shared" si="1"/>
        <v>0</v>
      </c>
      <c r="F18" s="56"/>
      <c r="G18" s="66" t="s">
        <v>47</v>
      </c>
      <c r="H18" s="139"/>
      <c r="I18" s="139"/>
      <c r="J18" s="139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28"/>
      <c r="B19" s="14" t="s">
        <v>136</v>
      </c>
      <c r="C19" s="89"/>
      <c r="D19" s="48">
        <f t="shared" si="1"/>
        <v>0</v>
      </c>
      <c r="F19" s="56"/>
      <c r="G19" s="68" t="s">
        <v>50</v>
      </c>
      <c r="H19" s="139"/>
      <c r="I19" s="139"/>
      <c r="J19" s="139"/>
      <c r="L19" s="6">
        <v>1102</v>
      </c>
      <c r="Q19" s="4"/>
      <c r="R19" s="5">
        <f t="shared" si="0"/>
        <v>0</v>
      </c>
    </row>
    <row r="20" spans="1:18" ht="15.75" x14ac:dyDescent="0.25">
      <c r="A20" s="128"/>
      <c r="B20" s="83" t="s">
        <v>125</v>
      </c>
      <c r="C20" s="89"/>
      <c r="D20" s="13">
        <f t="shared" si="1"/>
        <v>0</v>
      </c>
      <c r="F20" s="57"/>
      <c r="G20" s="70" t="s">
        <v>120</v>
      </c>
      <c r="H20" s="166"/>
      <c r="I20" s="166"/>
      <c r="J20" s="166"/>
      <c r="L20" s="6">
        <f>R39</f>
        <v>1175</v>
      </c>
      <c r="N20" s="1" t="s">
        <v>41</v>
      </c>
      <c r="Q20" s="4"/>
      <c r="R20" s="5">
        <f t="shared" si="0"/>
        <v>0</v>
      </c>
    </row>
    <row r="21" spans="1:18" ht="15.75" x14ac:dyDescent="0.25">
      <c r="A21" s="128"/>
      <c r="B21" s="14" t="s">
        <v>138</v>
      </c>
      <c r="C21" s="89"/>
      <c r="D21" s="48">
        <f t="shared" si="1"/>
        <v>0</v>
      </c>
      <c r="F21" s="69" t="s">
        <v>99</v>
      </c>
      <c r="G21" s="82" t="s">
        <v>98</v>
      </c>
      <c r="H21" s="186" t="s">
        <v>13</v>
      </c>
      <c r="I21" s="187"/>
      <c r="J21" s="188"/>
      <c r="L21" s="7">
        <v>650</v>
      </c>
      <c r="O21" t="s">
        <v>44</v>
      </c>
      <c r="P21" s="4">
        <v>1447</v>
      </c>
      <c r="Q21" s="4">
        <v>120</v>
      </c>
      <c r="R21" s="5">
        <f t="shared" si="0"/>
        <v>1567</v>
      </c>
    </row>
    <row r="22" spans="1:18" ht="15.75" x14ac:dyDescent="0.25">
      <c r="A22" s="128"/>
      <c r="B22" s="46" t="s">
        <v>127</v>
      </c>
      <c r="C22" s="89"/>
      <c r="D22" s="48">
        <f t="shared" si="1"/>
        <v>0</v>
      </c>
      <c r="F22" s="77"/>
      <c r="G22" s="73"/>
      <c r="H22" s="189"/>
      <c r="I22" s="189"/>
      <c r="J22" s="189"/>
      <c r="L22" s="7">
        <v>1582</v>
      </c>
      <c r="O22" t="s">
        <v>46</v>
      </c>
      <c r="P22" s="4">
        <v>1582</v>
      </c>
      <c r="Q22" s="4"/>
      <c r="R22" s="5">
        <f t="shared" si="0"/>
        <v>1582</v>
      </c>
    </row>
    <row r="23" spans="1:18" ht="15.75" x14ac:dyDescent="0.25">
      <c r="A23" s="128"/>
      <c r="B23" s="14" t="s">
        <v>101</v>
      </c>
      <c r="C23" s="89"/>
      <c r="D23" s="48">
        <f t="shared" si="1"/>
        <v>0</v>
      </c>
      <c r="F23" s="77"/>
      <c r="G23" s="79"/>
      <c r="H23" s="242"/>
      <c r="I23" s="243"/>
      <c r="J23" s="243"/>
      <c r="L23" s="47">
        <v>1667</v>
      </c>
      <c r="N23" s="1"/>
      <c r="O23" t="s">
        <v>48</v>
      </c>
      <c r="P23" s="4">
        <v>1728</v>
      </c>
      <c r="Q23" s="4"/>
      <c r="R23" s="5">
        <f t="shared" si="0"/>
        <v>1728</v>
      </c>
    </row>
    <row r="24" spans="1:18" ht="15.75" x14ac:dyDescent="0.25">
      <c r="A24" s="128"/>
      <c r="B24" s="14" t="s">
        <v>121</v>
      </c>
      <c r="C24" s="89"/>
      <c r="D24" s="48">
        <f t="shared" si="1"/>
        <v>0</v>
      </c>
      <c r="F24" s="77"/>
      <c r="G24" s="79"/>
      <c r="H24" s="242"/>
      <c r="I24" s="243"/>
      <c r="J24" s="243"/>
      <c r="L24" s="47">
        <f>913/24+1.5</f>
        <v>39.541666666666664</v>
      </c>
      <c r="N24" s="1"/>
      <c r="O24" t="s">
        <v>49</v>
      </c>
      <c r="P24" s="4">
        <v>1728</v>
      </c>
      <c r="Q24" s="4"/>
      <c r="R24" s="5">
        <f t="shared" si="0"/>
        <v>1728</v>
      </c>
    </row>
    <row r="25" spans="1:18" ht="15.75" x14ac:dyDescent="0.25">
      <c r="A25" s="128"/>
      <c r="B25" s="14" t="s">
        <v>141</v>
      </c>
      <c r="C25" s="89"/>
      <c r="D25" s="48">
        <f t="shared" si="1"/>
        <v>0</v>
      </c>
      <c r="F25" s="60" t="s">
        <v>100</v>
      </c>
      <c r="G25" s="55" t="s">
        <v>98</v>
      </c>
      <c r="H25" s="192" t="s">
        <v>13</v>
      </c>
      <c r="I25" s="193"/>
      <c r="J25" s="194"/>
      <c r="L25" s="47">
        <f>1052+120</f>
        <v>1172</v>
      </c>
      <c r="O25" t="s">
        <v>51</v>
      </c>
      <c r="P25" s="4">
        <v>1582</v>
      </c>
      <c r="Q25" s="4"/>
      <c r="R25" s="5">
        <f t="shared" si="0"/>
        <v>1582</v>
      </c>
    </row>
    <row r="26" spans="1:18" ht="15.75" x14ac:dyDescent="0.25">
      <c r="A26" s="128"/>
      <c r="B26" s="14" t="s">
        <v>139</v>
      </c>
      <c r="C26" s="89"/>
      <c r="D26" s="48">
        <f t="shared" si="1"/>
        <v>0</v>
      </c>
      <c r="F26" s="75"/>
      <c r="G26" s="65"/>
      <c r="H26" s="191"/>
      <c r="I26" s="191"/>
      <c r="J26" s="191"/>
      <c r="L26" s="7">
        <f>1447+120</f>
        <v>1567</v>
      </c>
      <c r="O26" t="s">
        <v>52</v>
      </c>
      <c r="P26" s="4">
        <v>1447</v>
      </c>
      <c r="Q26" s="4">
        <v>120</v>
      </c>
      <c r="R26" s="5">
        <f t="shared" si="0"/>
        <v>1567</v>
      </c>
    </row>
    <row r="27" spans="1:18" ht="14.45" customHeight="1" x14ac:dyDescent="0.25">
      <c r="A27" s="128"/>
      <c r="B27" s="14" t="s">
        <v>110</v>
      </c>
      <c r="C27" s="89"/>
      <c r="D27" s="44">
        <f t="shared" si="1"/>
        <v>0</v>
      </c>
      <c r="F27" s="71"/>
      <c r="G27" s="109"/>
      <c r="H27" s="244"/>
      <c r="I27" s="245"/>
      <c r="J27" s="245"/>
      <c r="L27" s="7">
        <v>1142</v>
      </c>
      <c r="O27" t="s">
        <v>53</v>
      </c>
      <c r="P27" s="4">
        <v>1582</v>
      </c>
      <c r="Q27" s="4"/>
      <c r="R27" s="5">
        <f t="shared" si="0"/>
        <v>1582</v>
      </c>
    </row>
    <row r="28" spans="1:18" ht="15.75" x14ac:dyDescent="0.25">
      <c r="A28" s="129"/>
      <c r="B28" s="46" t="s">
        <v>97</v>
      </c>
      <c r="C28" s="89"/>
      <c r="D28" s="48">
        <f t="shared" si="1"/>
        <v>0</v>
      </c>
      <c r="F28" s="106"/>
      <c r="G28" s="61"/>
      <c r="H28" s="201"/>
      <c r="I28" s="202"/>
      <c r="J28" s="203"/>
      <c r="L28" s="7">
        <v>785</v>
      </c>
      <c r="O28" t="s">
        <v>54</v>
      </c>
      <c r="P28" s="4">
        <v>1447</v>
      </c>
      <c r="Q28" s="4">
        <v>120</v>
      </c>
      <c r="R28" s="5">
        <f t="shared" si="0"/>
        <v>1567</v>
      </c>
    </row>
    <row r="29" spans="1:18" x14ac:dyDescent="0.25">
      <c r="A29" s="167" t="s">
        <v>36</v>
      </c>
      <c r="B29" s="168"/>
      <c r="C29" s="169"/>
      <c r="D29" s="173">
        <f>SUM(D6:D28)</f>
        <v>0</v>
      </c>
      <c r="F29" s="175" t="s">
        <v>55</v>
      </c>
      <c r="G29" s="176"/>
      <c r="H29" s="179">
        <f>H15-H16-H17-H18-H19-H20-H22-H23-H24+H26+H27+H28</f>
        <v>0</v>
      </c>
      <c r="I29" s="180"/>
      <c r="J29" s="181"/>
      <c r="O29" t="s">
        <v>56</v>
      </c>
      <c r="P29" s="4">
        <v>1582</v>
      </c>
      <c r="Q29" s="4"/>
      <c r="R29" s="5">
        <f t="shared" si="0"/>
        <v>1582</v>
      </c>
    </row>
    <row r="30" spans="1:18" x14ac:dyDescent="0.25">
      <c r="A30" s="170"/>
      <c r="B30" s="171"/>
      <c r="C30" s="172"/>
      <c r="D30" s="174"/>
      <c r="F30" s="177"/>
      <c r="G30" s="178"/>
      <c r="H30" s="182"/>
      <c r="I30" s="183"/>
      <c r="J30" s="184"/>
      <c r="N30" s="1"/>
      <c r="Q30" s="4"/>
      <c r="R30" s="5">
        <f t="shared" si="0"/>
        <v>0</v>
      </c>
    </row>
    <row r="31" spans="1:18" x14ac:dyDescent="0.25">
      <c r="A31" s="24"/>
      <c r="B31" s="24"/>
      <c r="C31" s="24"/>
      <c r="D31" s="24"/>
      <c r="F31" s="24"/>
      <c r="G31" s="24"/>
      <c r="O31" t="s">
        <v>57</v>
      </c>
      <c r="P31" s="4">
        <v>1052</v>
      </c>
      <c r="Q31" s="4">
        <v>120</v>
      </c>
      <c r="R31" s="5">
        <f t="shared" si="0"/>
        <v>1172</v>
      </c>
    </row>
    <row r="32" spans="1:18" x14ac:dyDescent="0.25">
      <c r="A32" s="114" t="s">
        <v>58</v>
      </c>
      <c r="B32" s="115"/>
      <c r="C32" s="115"/>
      <c r="D32" s="116"/>
      <c r="F32" s="204" t="s">
        <v>59</v>
      </c>
      <c r="G32" s="205"/>
      <c r="H32" s="205"/>
      <c r="I32" s="205"/>
      <c r="J32" s="206"/>
      <c r="O32" t="s">
        <v>60</v>
      </c>
      <c r="P32" s="4">
        <v>1005</v>
      </c>
      <c r="Q32" s="4">
        <v>120</v>
      </c>
      <c r="R32" s="5">
        <f t="shared" si="0"/>
        <v>1125</v>
      </c>
    </row>
    <row r="33" spans="1:18" x14ac:dyDescent="0.25">
      <c r="A33" s="25"/>
      <c r="B33" s="25" t="s">
        <v>11</v>
      </c>
      <c r="C33" s="25" t="s">
        <v>61</v>
      </c>
      <c r="D33" s="25" t="s">
        <v>13</v>
      </c>
      <c r="F33" s="25" t="s">
        <v>62</v>
      </c>
      <c r="G33" s="107" t="s">
        <v>63</v>
      </c>
      <c r="H33" s="204" t="s">
        <v>13</v>
      </c>
      <c r="I33" s="205"/>
      <c r="J33" s="206"/>
      <c r="O33" t="s">
        <v>64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27" t="s">
        <v>65</v>
      </c>
      <c r="B34" s="26" t="s">
        <v>66</v>
      </c>
      <c r="C34" s="51"/>
      <c r="D34" s="30">
        <f>C34*120</f>
        <v>0</v>
      </c>
      <c r="F34" s="12">
        <v>1000</v>
      </c>
      <c r="G34" s="40"/>
      <c r="H34" s="207">
        <f t="shared" ref="H34:H39" si="2">F34*G34</f>
        <v>0</v>
      </c>
      <c r="I34" s="208"/>
      <c r="J34" s="209"/>
      <c r="O34" t="s">
        <v>67</v>
      </c>
      <c r="P34" s="4">
        <v>832</v>
      </c>
      <c r="Q34" s="4">
        <v>120</v>
      </c>
      <c r="R34" s="5">
        <f t="shared" si="0"/>
        <v>952</v>
      </c>
    </row>
    <row r="35" spans="1:18" ht="15.75" x14ac:dyDescent="0.25">
      <c r="A35" s="128"/>
      <c r="B35" s="27" t="s">
        <v>68</v>
      </c>
      <c r="C35" s="52"/>
      <c r="D35" s="30">
        <f>C35*84</f>
        <v>0</v>
      </c>
      <c r="F35" s="58">
        <v>500</v>
      </c>
      <c r="G35" s="41"/>
      <c r="H35" s="207">
        <f t="shared" si="2"/>
        <v>0</v>
      </c>
      <c r="I35" s="208"/>
      <c r="J35" s="209"/>
      <c r="O35" t="s">
        <v>69</v>
      </c>
      <c r="P35" s="4">
        <v>1102</v>
      </c>
      <c r="Q35" s="4"/>
      <c r="R35" s="5">
        <f t="shared" si="0"/>
        <v>1102</v>
      </c>
    </row>
    <row r="36" spans="1:18" ht="15.75" x14ac:dyDescent="0.25">
      <c r="A36" s="129"/>
      <c r="B36" s="26" t="s">
        <v>70</v>
      </c>
      <c r="C36" s="10"/>
      <c r="D36" s="12">
        <f>C36*1.5</f>
        <v>0</v>
      </c>
      <c r="F36" s="12">
        <v>200</v>
      </c>
      <c r="G36" s="37"/>
      <c r="H36" s="207">
        <f t="shared" si="2"/>
        <v>0</v>
      </c>
      <c r="I36" s="208"/>
      <c r="J36" s="209"/>
      <c r="O36" t="s">
        <v>71</v>
      </c>
      <c r="P36" s="4">
        <v>852</v>
      </c>
      <c r="Q36" s="4">
        <v>120</v>
      </c>
      <c r="R36" s="5">
        <f t="shared" si="0"/>
        <v>972</v>
      </c>
    </row>
    <row r="37" spans="1:18" ht="15.75" x14ac:dyDescent="0.25">
      <c r="A37" s="127" t="s">
        <v>72</v>
      </c>
      <c r="B37" s="28" t="s">
        <v>66</v>
      </c>
      <c r="C37" s="53"/>
      <c r="D37" s="12">
        <f>C37*111</f>
        <v>0</v>
      </c>
      <c r="F37" s="12">
        <v>100</v>
      </c>
      <c r="G37" s="39"/>
      <c r="H37" s="207">
        <f t="shared" si="2"/>
        <v>0</v>
      </c>
      <c r="I37" s="208"/>
      <c r="J37" s="209"/>
      <c r="O37" t="s">
        <v>73</v>
      </c>
      <c r="P37" s="4">
        <v>1020</v>
      </c>
      <c r="Q37" s="4">
        <v>120</v>
      </c>
      <c r="R37" s="5">
        <f t="shared" si="0"/>
        <v>1140</v>
      </c>
    </row>
    <row r="38" spans="1:18" ht="15.75" x14ac:dyDescent="0.25">
      <c r="A38" s="128"/>
      <c r="B38" s="29" t="s">
        <v>68</v>
      </c>
      <c r="C38" s="54"/>
      <c r="D38" s="12">
        <f>C38*84</f>
        <v>0</v>
      </c>
      <c r="F38" s="30">
        <v>50</v>
      </c>
      <c r="G38" s="39"/>
      <c r="H38" s="207">
        <f t="shared" si="2"/>
        <v>0</v>
      </c>
      <c r="I38" s="208"/>
      <c r="J38" s="209"/>
      <c r="O38" t="s">
        <v>74</v>
      </c>
      <c r="P38" s="4">
        <v>596</v>
      </c>
      <c r="Q38" s="4">
        <v>111</v>
      </c>
      <c r="R38" s="5">
        <f t="shared" si="0"/>
        <v>707</v>
      </c>
    </row>
    <row r="39" spans="1:18" ht="15.75" x14ac:dyDescent="0.25">
      <c r="A39" s="129"/>
      <c r="B39" s="29" t="s">
        <v>70</v>
      </c>
      <c r="C39" s="52"/>
      <c r="D39" s="31">
        <f>C39*4.5</f>
        <v>0</v>
      </c>
      <c r="F39" s="12">
        <v>20</v>
      </c>
      <c r="G39" s="37"/>
      <c r="H39" s="207">
        <f t="shared" si="2"/>
        <v>0</v>
      </c>
      <c r="I39" s="208"/>
      <c r="J39" s="209"/>
      <c r="O39" t="s">
        <v>75</v>
      </c>
      <c r="P39" s="4">
        <v>1175</v>
      </c>
      <c r="Q39" s="4"/>
      <c r="R39" s="5">
        <f t="shared" si="0"/>
        <v>1175</v>
      </c>
    </row>
    <row r="40" spans="1:18" ht="15.75" x14ac:dyDescent="0.25">
      <c r="A40" s="127" t="s">
        <v>76</v>
      </c>
      <c r="B40" s="27" t="s">
        <v>66</v>
      </c>
      <c r="C40" s="63"/>
      <c r="D40" s="12">
        <f>C40*111</f>
        <v>0</v>
      </c>
      <c r="F40" s="12">
        <v>10</v>
      </c>
      <c r="G40" s="42"/>
      <c r="H40" s="207"/>
      <c r="I40" s="208"/>
      <c r="J40" s="209"/>
      <c r="O40" t="s">
        <v>77</v>
      </c>
      <c r="P40" s="4">
        <v>913</v>
      </c>
      <c r="Q40" s="4">
        <v>120</v>
      </c>
      <c r="R40" s="5">
        <f t="shared" si="0"/>
        <v>1033</v>
      </c>
    </row>
    <row r="41" spans="1:18" ht="15.75" x14ac:dyDescent="0.25">
      <c r="A41" s="128"/>
      <c r="B41" s="27" t="s">
        <v>68</v>
      </c>
      <c r="C41" s="10"/>
      <c r="D41" s="12">
        <f>C41*84</f>
        <v>0</v>
      </c>
      <c r="F41" s="12">
        <v>5</v>
      </c>
      <c r="G41" s="42"/>
      <c r="H41" s="207"/>
      <c r="I41" s="208"/>
      <c r="J41" s="209"/>
      <c r="K41" s="21"/>
      <c r="O41" t="s">
        <v>78</v>
      </c>
      <c r="P41" s="4">
        <v>614</v>
      </c>
      <c r="Q41" s="4">
        <v>111</v>
      </c>
      <c r="R41" s="5">
        <f t="shared" si="0"/>
        <v>725</v>
      </c>
    </row>
    <row r="42" spans="1:18" ht="15.75" x14ac:dyDescent="0.25">
      <c r="A42" s="129"/>
      <c r="B42" s="27" t="s">
        <v>70</v>
      </c>
      <c r="C42" s="11"/>
      <c r="D42" s="12">
        <f>C42*2.25</f>
        <v>0</v>
      </c>
      <c r="F42" s="39" t="s">
        <v>79</v>
      </c>
      <c r="G42" s="207"/>
      <c r="H42" s="208"/>
      <c r="I42" s="208"/>
      <c r="J42" s="209"/>
      <c r="K42" s="36"/>
      <c r="O42" t="s">
        <v>80</v>
      </c>
      <c r="P42" s="4">
        <v>626</v>
      </c>
      <c r="Q42" s="4">
        <v>111</v>
      </c>
      <c r="R42" s="5">
        <f t="shared" si="0"/>
        <v>737</v>
      </c>
    </row>
    <row r="43" spans="1:18" ht="15.75" x14ac:dyDescent="0.25">
      <c r="A43" s="210" t="s">
        <v>81</v>
      </c>
      <c r="C43" s="11"/>
      <c r="D43" s="12"/>
      <c r="F43" s="59" t="s">
        <v>82</v>
      </c>
      <c r="G43" s="109" t="s">
        <v>83</v>
      </c>
      <c r="H43" s="213" t="s">
        <v>13</v>
      </c>
      <c r="I43" s="214"/>
      <c r="J43" s="215"/>
      <c r="K43" s="21"/>
      <c r="O43" t="s">
        <v>103</v>
      </c>
      <c r="P43" s="4">
        <v>1667</v>
      </c>
      <c r="Q43" s="4"/>
      <c r="R43" s="5"/>
    </row>
    <row r="44" spans="1:18" ht="15.75" x14ac:dyDescent="0.25">
      <c r="A44" s="211"/>
      <c r="B44" s="27" t="s">
        <v>66</v>
      </c>
      <c r="C44" s="10"/>
      <c r="D44" s="12">
        <f>C44*120</f>
        <v>0</v>
      </c>
      <c r="F44" s="37"/>
      <c r="G44" s="62"/>
      <c r="H44" s="191"/>
      <c r="I44" s="191"/>
      <c r="J44" s="191"/>
      <c r="K44" s="21"/>
      <c r="O44" t="s">
        <v>106</v>
      </c>
      <c r="P44" s="4">
        <f>785-120</f>
        <v>665</v>
      </c>
      <c r="Q44" s="4">
        <v>120</v>
      </c>
      <c r="R44" s="5">
        <f>Q44+P44</f>
        <v>785</v>
      </c>
    </row>
    <row r="45" spans="1:18" ht="15.75" x14ac:dyDescent="0.25">
      <c r="A45" s="211"/>
      <c r="B45" s="27" t="s">
        <v>68</v>
      </c>
      <c r="C45" s="33"/>
      <c r="D45" s="12">
        <f>C45*84</f>
        <v>0</v>
      </c>
      <c r="F45" s="37"/>
      <c r="G45" s="62"/>
      <c r="H45" s="191"/>
      <c r="I45" s="191"/>
      <c r="J45" s="191"/>
      <c r="K45" s="21"/>
      <c r="P45" s="4"/>
      <c r="Q45" s="4"/>
      <c r="R45" s="5"/>
    </row>
    <row r="46" spans="1:18" ht="15.75" x14ac:dyDescent="0.25">
      <c r="A46" s="211"/>
      <c r="B46" s="49" t="s">
        <v>70</v>
      </c>
      <c r="C46" s="81"/>
      <c r="D46" s="12">
        <f>C46*1.5</f>
        <v>0</v>
      </c>
      <c r="F46" s="37"/>
      <c r="G46" s="62"/>
      <c r="H46" s="191"/>
      <c r="I46" s="191"/>
      <c r="J46" s="191"/>
      <c r="K46" s="21"/>
      <c r="P46" s="4"/>
      <c r="Q46" s="4"/>
      <c r="R46" s="5"/>
    </row>
    <row r="47" spans="1:18" ht="15.75" x14ac:dyDescent="0.25">
      <c r="A47" s="212"/>
      <c r="B47" s="27"/>
      <c r="C47" s="11"/>
      <c r="D47" s="12"/>
      <c r="F47" s="59"/>
      <c r="G47" s="59"/>
      <c r="H47" s="217"/>
      <c r="I47" s="218"/>
      <c r="J47" s="219"/>
      <c r="K47" s="21"/>
      <c r="P47" s="4"/>
      <c r="Q47" s="4"/>
      <c r="R47" s="5"/>
    </row>
    <row r="48" spans="1:18" ht="15" customHeight="1" x14ac:dyDescent="0.25">
      <c r="A48" s="210" t="s">
        <v>32</v>
      </c>
      <c r="B48" s="27" t="s">
        <v>66</v>
      </c>
      <c r="C48" s="10"/>
      <c r="D48" s="12">
        <f>C48*78</f>
        <v>0</v>
      </c>
      <c r="F48" s="59"/>
      <c r="G48" s="59"/>
      <c r="H48" s="217"/>
      <c r="I48" s="218"/>
      <c r="J48" s="219"/>
      <c r="K48" s="35"/>
      <c r="O48" t="s">
        <v>84</v>
      </c>
      <c r="P48" s="4">
        <v>1175</v>
      </c>
      <c r="Q48" s="4"/>
      <c r="R48" s="5">
        <f t="shared" si="0"/>
        <v>1175</v>
      </c>
    </row>
    <row r="49" spans="1:18" ht="15.75" x14ac:dyDescent="0.25">
      <c r="A49" s="211"/>
      <c r="B49" s="29" t="s">
        <v>68</v>
      </c>
      <c r="C49" s="33"/>
      <c r="D49" s="12">
        <f>C49*42</f>
        <v>0</v>
      </c>
      <c r="F49" s="232" t="s">
        <v>86</v>
      </c>
      <c r="G49" s="179">
        <f>H34+H35+H36+H37+H38+H39+H40+H41+G42+H44+H45+H46</f>
        <v>0</v>
      </c>
      <c r="H49" s="180"/>
      <c r="I49" s="180"/>
      <c r="J49" s="181"/>
      <c r="O49" t="s">
        <v>85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211"/>
      <c r="B50" s="32" t="s">
        <v>70</v>
      </c>
      <c r="C50" s="11"/>
      <c r="D50" s="12">
        <f>C50*1.5</f>
        <v>0</v>
      </c>
      <c r="F50" s="233"/>
      <c r="G50" s="182"/>
      <c r="H50" s="183"/>
      <c r="I50" s="183"/>
      <c r="J50" s="184"/>
      <c r="P50" s="4"/>
      <c r="Q50" s="4"/>
      <c r="R50" s="5"/>
    </row>
    <row r="51" spans="1:18" ht="15" customHeight="1" x14ac:dyDescent="0.25">
      <c r="A51" s="211"/>
      <c r="B51" s="27"/>
      <c r="C51" s="10"/>
      <c r="D51" s="31"/>
      <c r="F51" s="234" t="s">
        <v>131</v>
      </c>
      <c r="G51" s="247">
        <f>G49-H29</f>
        <v>0</v>
      </c>
      <c r="H51" s="248"/>
      <c r="I51" s="248"/>
      <c r="J51" s="249"/>
      <c r="K51" s="21"/>
      <c r="O51" t="s">
        <v>87</v>
      </c>
      <c r="P51" s="4">
        <v>703</v>
      </c>
      <c r="Q51" s="4">
        <v>120</v>
      </c>
      <c r="R51" s="5">
        <f t="shared" si="0"/>
        <v>823</v>
      </c>
    </row>
    <row r="52" spans="1:18" ht="15.75" x14ac:dyDescent="0.25">
      <c r="A52" s="211"/>
      <c r="B52" s="29"/>
      <c r="C52" s="33"/>
      <c r="D52" s="45"/>
      <c r="F52" s="235"/>
      <c r="G52" s="250"/>
      <c r="H52" s="251"/>
      <c r="I52" s="251"/>
      <c r="J52" s="252"/>
      <c r="K52" s="21"/>
      <c r="O52" t="s">
        <v>88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212"/>
      <c r="B53" s="32"/>
      <c r="C53" s="11"/>
      <c r="D53" s="12"/>
      <c r="F53" s="35"/>
      <c r="G53" s="24"/>
      <c r="H53" s="24"/>
      <c r="I53" s="24"/>
      <c r="J53" s="17"/>
      <c r="N53" s="1"/>
      <c r="O53" t="s">
        <v>89</v>
      </c>
      <c r="P53" s="4">
        <v>1142</v>
      </c>
    </row>
    <row r="54" spans="1:18" x14ac:dyDescent="0.25">
      <c r="A54" s="175" t="s">
        <v>90</v>
      </c>
      <c r="B54" s="220"/>
      <c r="C54" s="221"/>
      <c r="D54" s="224">
        <f>SUM(D34:D53)</f>
        <v>0</v>
      </c>
      <c r="F54" s="21"/>
      <c r="J54" s="34"/>
      <c r="O54" t="s">
        <v>102</v>
      </c>
      <c r="P54" s="4">
        <v>1582</v>
      </c>
      <c r="R54" s="3">
        <v>1582</v>
      </c>
    </row>
    <row r="55" spans="1:18" x14ac:dyDescent="0.25">
      <c r="A55" s="177"/>
      <c r="B55" s="222"/>
      <c r="C55" s="223"/>
      <c r="D55" s="225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133</v>
      </c>
      <c r="D57" s="34"/>
      <c r="F57" s="36"/>
      <c r="G57" s="50"/>
      <c r="H57" s="50"/>
      <c r="I57" s="50"/>
      <c r="J57" s="43"/>
    </row>
    <row r="58" spans="1:18" x14ac:dyDescent="0.25">
      <c r="A58" s="226" t="s">
        <v>91</v>
      </c>
      <c r="B58" s="227"/>
      <c r="C58" s="227"/>
      <c r="D58" s="228"/>
      <c r="F58" s="226" t="s">
        <v>92</v>
      </c>
      <c r="G58" s="227"/>
      <c r="H58" s="227"/>
      <c r="I58" s="227"/>
      <c r="J58" s="228"/>
    </row>
    <row r="59" spans="1:18" x14ac:dyDescent="0.25">
      <c r="A59" s="229"/>
      <c r="B59" s="230"/>
      <c r="C59" s="230"/>
      <c r="D59" s="231"/>
      <c r="F59" s="229"/>
      <c r="G59" s="230"/>
      <c r="H59" s="230"/>
      <c r="I59" s="230"/>
      <c r="J59" s="231"/>
    </row>
  </sheetData>
  <mergeCells count="68"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  <mergeCell ref="H13:J13"/>
    <mergeCell ref="F14:G14"/>
    <mergeCell ref="H14:J14"/>
    <mergeCell ref="F15:G15"/>
    <mergeCell ref="H15:J15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A32:D32"/>
    <mergeCell ref="F32:J32"/>
    <mergeCell ref="H33:J33"/>
    <mergeCell ref="A34:A36"/>
    <mergeCell ref="H34:J34"/>
    <mergeCell ref="H35:J35"/>
    <mergeCell ref="H36:J36"/>
    <mergeCell ref="A37:A39"/>
    <mergeCell ref="H37:J37"/>
    <mergeCell ref="H38:J38"/>
    <mergeCell ref="H39:J39"/>
    <mergeCell ref="A40:A42"/>
    <mergeCell ref="H40:J40"/>
    <mergeCell ref="H41:J41"/>
    <mergeCell ref="G42:J42"/>
    <mergeCell ref="A43:A47"/>
    <mergeCell ref="H43:J43"/>
    <mergeCell ref="H44:J44"/>
    <mergeCell ref="H45:J45"/>
    <mergeCell ref="H46:J46"/>
    <mergeCell ref="H47:J47"/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7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E964B36-7E32-4CFE-AD33-228185F20D16}">
  <dimension ref="A1:R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113" t="s">
        <v>1</v>
      </c>
      <c r="O1" s="113"/>
      <c r="P1" s="105" t="s">
        <v>2</v>
      </c>
      <c r="Q1" s="105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14" t="s">
        <v>7</v>
      </c>
      <c r="B4" s="115"/>
      <c r="C4" s="115"/>
      <c r="D4" s="116"/>
      <c r="F4" s="117" t="s">
        <v>8</v>
      </c>
      <c r="G4" s="119">
        <v>2</v>
      </c>
      <c r="H4" s="121" t="s">
        <v>9</v>
      </c>
      <c r="I4" s="123">
        <v>45985</v>
      </c>
      <c r="J4" s="124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27" t="s">
        <v>7</v>
      </c>
      <c r="B5" s="15" t="s">
        <v>11</v>
      </c>
      <c r="C5" s="9" t="s">
        <v>12</v>
      </c>
      <c r="D5" s="25" t="s">
        <v>13</v>
      </c>
      <c r="F5" s="118"/>
      <c r="G5" s="120"/>
      <c r="H5" s="122"/>
      <c r="I5" s="125"/>
      <c r="J5" s="126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28"/>
      <c r="B6" s="16" t="s">
        <v>15</v>
      </c>
      <c r="C6" s="10"/>
      <c r="D6" s="13">
        <f t="shared" ref="D6:D28" si="1">C6*L6</f>
        <v>0</v>
      </c>
      <c r="F6" s="130" t="s">
        <v>16</v>
      </c>
      <c r="G6" s="132" t="s">
        <v>134</v>
      </c>
      <c r="H6" s="133"/>
      <c r="I6" s="133"/>
      <c r="J6" s="134"/>
      <c r="K6" s="8"/>
      <c r="L6" s="6">
        <f>R42</f>
        <v>737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28"/>
      <c r="B7" s="16" t="s">
        <v>18</v>
      </c>
      <c r="C7" s="10"/>
      <c r="D7" s="13">
        <f t="shared" si="1"/>
        <v>0</v>
      </c>
      <c r="F7" s="131"/>
      <c r="G7" s="135"/>
      <c r="H7" s="136"/>
      <c r="I7" s="136"/>
      <c r="J7" s="137"/>
      <c r="K7" s="8"/>
      <c r="L7" s="6">
        <f>R41</f>
        <v>725</v>
      </c>
      <c r="P7" s="4"/>
      <c r="Q7" s="4"/>
      <c r="R7" s="5"/>
    </row>
    <row r="8" spans="1:18" ht="14.45" customHeight="1" x14ac:dyDescent="0.25">
      <c r="A8" s="128"/>
      <c r="B8" s="16" t="s">
        <v>20</v>
      </c>
      <c r="C8" s="10"/>
      <c r="D8" s="13">
        <f t="shared" si="1"/>
        <v>0</v>
      </c>
      <c r="F8" s="138" t="s">
        <v>21</v>
      </c>
      <c r="G8" s="140" t="s">
        <v>114</v>
      </c>
      <c r="H8" s="141"/>
      <c r="I8" s="141"/>
      <c r="J8" s="142"/>
      <c r="K8" s="8"/>
      <c r="L8" s="6">
        <f>R40</f>
        <v>1033</v>
      </c>
      <c r="P8" s="4"/>
      <c r="Q8" s="4"/>
      <c r="R8" s="5"/>
    </row>
    <row r="9" spans="1:18" ht="14.45" customHeight="1" x14ac:dyDescent="0.25">
      <c r="A9" s="128"/>
      <c r="B9" s="16" t="s">
        <v>23</v>
      </c>
      <c r="C9" s="10"/>
      <c r="D9" s="13">
        <f t="shared" si="1"/>
        <v>0</v>
      </c>
      <c r="F9" s="131"/>
      <c r="G9" s="143"/>
      <c r="H9" s="144"/>
      <c r="I9" s="144"/>
      <c r="J9" s="145"/>
      <c r="K9" s="8"/>
      <c r="L9" s="6">
        <f>R38</f>
        <v>707</v>
      </c>
      <c r="P9" s="4"/>
      <c r="Q9" s="4"/>
      <c r="R9" s="5"/>
    </row>
    <row r="10" spans="1:18" ht="14.45" customHeight="1" x14ac:dyDescent="0.25">
      <c r="A10" s="128"/>
      <c r="B10" t="s">
        <v>25</v>
      </c>
      <c r="C10" s="10"/>
      <c r="D10" s="13">
        <f t="shared" si="1"/>
        <v>0</v>
      </c>
      <c r="F10" s="130" t="s">
        <v>26</v>
      </c>
      <c r="G10" s="146" t="s">
        <v>115</v>
      </c>
      <c r="H10" s="147"/>
      <c r="I10" s="147"/>
      <c r="J10" s="148"/>
      <c r="K10" s="8"/>
      <c r="L10" s="6">
        <f>R36</f>
        <v>972</v>
      </c>
      <c r="P10" s="4"/>
      <c r="Q10" s="4"/>
      <c r="R10" s="5"/>
    </row>
    <row r="11" spans="1:18" ht="15.75" x14ac:dyDescent="0.25">
      <c r="A11" s="128"/>
      <c r="B11" s="17" t="s">
        <v>28</v>
      </c>
      <c r="C11" s="10"/>
      <c r="D11" s="13">
        <f t="shared" si="1"/>
        <v>0</v>
      </c>
      <c r="F11" s="131"/>
      <c r="G11" s="143"/>
      <c r="H11" s="144"/>
      <c r="I11" s="144"/>
      <c r="J11" s="145"/>
      <c r="K11" s="22"/>
      <c r="L11" s="6">
        <f>R32</f>
        <v>1125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28"/>
      <c r="B12" s="17" t="s">
        <v>30</v>
      </c>
      <c r="C12" s="10"/>
      <c r="D12" s="48">
        <f t="shared" si="1"/>
        <v>0</v>
      </c>
      <c r="F12" s="149" t="s">
        <v>33</v>
      </c>
      <c r="G12" s="150"/>
      <c r="H12" s="150"/>
      <c r="I12" s="150"/>
      <c r="J12" s="151"/>
      <c r="K12" s="23"/>
      <c r="L12" s="6">
        <f>R34</f>
        <v>952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28"/>
      <c r="B13" s="17" t="s">
        <v>32</v>
      </c>
      <c r="C13" s="10"/>
      <c r="D13" s="48">
        <f t="shared" si="1"/>
        <v>0</v>
      </c>
      <c r="F13" s="152" t="s">
        <v>36</v>
      </c>
      <c r="G13" s="153"/>
      <c r="H13" s="154">
        <f>D29</f>
        <v>0</v>
      </c>
      <c r="I13" s="155"/>
      <c r="J13" s="156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28"/>
      <c r="B14" s="14" t="s">
        <v>35</v>
      </c>
      <c r="C14" s="10"/>
      <c r="D14" s="31">
        <f t="shared" si="1"/>
        <v>0</v>
      </c>
      <c r="F14" s="157" t="s">
        <v>39</v>
      </c>
      <c r="G14" s="158"/>
      <c r="H14" s="159">
        <f>D54</f>
        <v>0</v>
      </c>
      <c r="I14" s="160"/>
      <c r="J14" s="161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28"/>
      <c r="B15" s="14" t="s">
        <v>38</v>
      </c>
      <c r="C15" s="10"/>
      <c r="D15" s="31">
        <f t="shared" si="1"/>
        <v>0</v>
      </c>
      <c r="F15" s="162" t="s">
        <v>40</v>
      </c>
      <c r="G15" s="153"/>
      <c r="H15" s="163">
        <f>H13-H14</f>
        <v>0</v>
      </c>
      <c r="I15" s="164"/>
      <c r="J15" s="165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28"/>
      <c r="B16" s="18" t="s">
        <v>94</v>
      </c>
      <c r="C16" s="10"/>
      <c r="D16" s="48">
        <f t="shared" si="1"/>
        <v>0</v>
      </c>
      <c r="F16" s="67" t="s">
        <v>42</v>
      </c>
      <c r="G16" s="66" t="s">
        <v>43</v>
      </c>
      <c r="H16" s="166"/>
      <c r="I16" s="166"/>
      <c r="J16" s="166"/>
      <c r="L16" s="6">
        <f>R28</f>
        <v>1567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28"/>
      <c r="B17" t="s">
        <v>93</v>
      </c>
      <c r="C17" s="10"/>
      <c r="D17" s="48">
        <f t="shared" si="1"/>
        <v>0</v>
      </c>
      <c r="F17" s="56"/>
      <c r="G17" s="66" t="s">
        <v>45</v>
      </c>
      <c r="H17" s="139"/>
      <c r="I17" s="139"/>
      <c r="J17" s="139"/>
      <c r="L17" s="6">
        <f>R21</f>
        <v>1567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28"/>
      <c r="B18" s="19" t="s">
        <v>95</v>
      </c>
      <c r="C18" s="10"/>
      <c r="D18" s="48">
        <f t="shared" si="1"/>
        <v>0</v>
      </c>
      <c r="F18" s="56"/>
      <c r="G18" s="66" t="s">
        <v>47</v>
      </c>
      <c r="H18" s="139"/>
      <c r="I18" s="139"/>
      <c r="J18" s="139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28"/>
      <c r="B19" s="14" t="s">
        <v>96</v>
      </c>
      <c r="C19" s="10"/>
      <c r="D19" s="48">
        <f t="shared" si="1"/>
        <v>0</v>
      </c>
      <c r="F19" s="56"/>
      <c r="G19" s="68" t="s">
        <v>50</v>
      </c>
      <c r="H19" s="246"/>
      <c r="I19" s="246"/>
      <c r="J19" s="246"/>
      <c r="L19" s="6">
        <f>R35</f>
        <v>1102</v>
      </c>
      <c r="Q19" s="4"/>
      <c r="R19" s="5">
        <f t="shared" si="0"/>
        <v>0</v>
      </c>
    </row>
    <row r="20" spans="1:18" ht="15.75" x14ac:dyDescent="0.25">
      <c r="A20" s="128"/>
      <c r="B20" s="46" t="s">
        <v>122</v>
      </c>
      <c r="C20" s="10"/>
      <c r="D20" s="13">
        <f t="shared" si="1"/>
        <v>0</v>
      </c>
      <c r="F20" s="57"/>
      <c r="G20" s="70" t="s">
        <v>120</v>
      </c>
      <c r="H20" s="139"/>
      <c r="I20" s="139"/>
      <c r="J20" s="139"/>
      <c r="L20" s="6">
        <f>R39</f>
        <v>1175</v>
      </c>
      <c r="N20" s="1" t="s">
        <v>41</v>
      </c>
      <c r="Q20" s="4"/>
      <c r="R20" s="5">
        <f t="shared" si="0"/>
        <v>0</v>
      </c>
    </row>
    <row r="21" spans="1:18" ht="15.75" x14ac:dyDescent="0.25">
      <c r="A21" s="128"/>
      <c r="B21" s="14" t="s">
        <v>126</v>
      </c>
      <c r="C21" s="10"/>
      <c r="D21" s="48">
        <f t="shared" si="1"/>
        <v>0</v>
      </c>
      <c r="F21" s="69" t="s">
        <v>99</v>
      </c>
      <c r="G21" s="82" t="s">
        <v>98</v>
      </c>
      <c r="H21" s="186" t="s">
        <v>13</v>
      </c>
      <c r="I21" s="187"/>
      <c r="J21" s="188"/>
      <c r="L21" s="7">
        <v>650</v>
      </c>
      <c r="O21" t="s">
        <v>44</v>
      </c>
      <c r="P21" s="4">
        <v>1447</v>
      </c>
      <c r="Q21" s="4">
        <v>120</v>
      </c>
      <c r="R21" s="5">
        <f t="shared" si="0"/>
        <v>1567</v>
      </c>
    </row>
    <row r="22" spans="1:18" ht="15.75" x14ac:dyDescent="0.25">
      <c r="A22" s="128"/>
      <c r="B22" s="46" t="s">
        <v>104</v>
      </c>
      <c r="C22" s="10"/>
      <c r="D22" s="48">
        <f t="shared" si="1"/>
        <v>0</v>
      </c>
      <c r="F22" s="72"/>
      <c r="G22" s="73"/>
      <c r="H22" s="189"/>
      <c r="I22" s="189"/>
      <c r="J22" s="189"/>
      <c r="L22" s="7">
        <f>559+111</f>
        <v>670</v>
      </c>
      <c r="O22" t="s">
        <v>46</v>
      </c>
      <c r="P22" s="4">
        <v>1582</v>
      </c>
      <c r="Q22" s="4"/>
      <c r="R22" s="5">
        <f t="shared" si="0"/>
        <v>1582</v>
      </c>
    </row>
    <row r="23" spans="1:18" ht="15.75" x14ac:dyDescent="0.25">
      <c r="A23" s="128"/>
      <c r="B23" s="14" t="s">
        <v>107</v>
      </c>
      <c r="C23" s="10"/>
      <c r="D23" s="48">
        <f t="shared" si="1"/>
        <v>0</v>
      </c>
      <c r="F23" s="25"/>
      <c r="G23" s="37"/>
      <c r="H23" s="190"/>
      <c r="I23" s="191"/>
      <c r="J23" s="191"/>
      <c r="L23" s="47">
        <f>R33</f>
        <v>1175</v>
      </c>
      <c r="N23" s="1"/>
      <c r="O23" t="s">
        <v>48</v>
      </c>
      <c r="P23" s="4">
        <v>1728</v>
      </c>
      <c r="Q23" s="4"/>
      <c r="R23" s="5">
        <f t="shared" si="0"/>
        <v>1728</v>
      </c>
    </row>
    <row r="24" spans="1:18" ht="15.75" x14ac:dyDescent="0.25">
      <c r="A24" s="128"/>
      <c r="B24" s="14" t="s">
        <v>123</v>
      </c>
      <c r="C24" s="10"/>
      <c r="D24" s="48">
        <f t="shared" si="1"/>
        <v>0</v>
      </c>
      <c r="F24" s="38"/>
      <c r="G24" s="37"/>
      <c r="H24" s="190"/>
      <c r="I24" s="191"/>
      <c r="J24" s="191"/>
      <c r="L24" s="47">
        <f>596/6</f>
        <v>99.333333333333329</v>
      </c>
      <c r="N24" s="1"/>
      <c r="O24" t="s">
        <v>49</v>
      </c>
      <c r="P24" s="4">
        <v>1728</v>
      </c>
      <c r="Q24" s="4"/>
      <c r="R24" s="5">
        <f t="shared" si="0"/>
        <v>1728</v>
      </c>
    </row>
    <row r="25" spans="1:18" ht="15.75" x14ac:dyDescent="0.25">
      <c r="A25" s="128"/>
      <c r="B25" s="14" t="s">
        <v>124</v>
      </c>
      <c r="C25" s="10"/>
      <c r="D25" s="48">
        <f t="shared" si="1"/>
        <v>0</v>
      </c>
      <c r="F25" s="60" t="s">
        <v>100</v>
      </c>
      <c r="G25" s="55" t="s">
        <v>98</v>
      </c>
      <c r="H25" s="192" t="s">
        <v>13</v>
      </c>
      <c r="I25" s="193"/>
      <c r="J25" s="194"/>
      <c r="L25" s="47">
        <f>674/6</f>
        <v>112.33333333333333</v>
      </c>
      <c r="O25" t="s">
        <v>51</v>
      </c>
      <c r="P25" s="4">
        <v>1582</v>
      </c>
      <c r="Q25" s="4"/>
      <c r="R25" s="5">
        <f t="shared" si="0"/>
        <v>1582</v>
      </c>
    </row>
    <row r="26" spans="1:18" ht="15.75" x14ac:dyDescent="0.25">
      <c r="A26" s="128"/>
      <c r="B26" s="14" t="s">
        <v>105</v>
      </c>
      <c r="C26" s="10"/>
      <c r="D26" s="48">
        <f t="shared" si="1"/>
        <v>0</v>
      </c>
      <c r="F26" s="64"/>
      <c r="G26" s="10"/>
      <c r="H26" s="195"/>
      <c r="I26" s="196"/>
      <c r="J26" s="197"/>
      <c r="L26" s="7">
        <f>832/24+1.5</f>
        <v>36.166666666666664</v>
      </c>
      <c r="O26" t="s">
        <v>52</v>
      </c>
      <c r="P26" s="4">
        <v>1447</v>
      </c>
      <c r="Q26" s="4">
        <v>120</v>
      </c>
      <c r="R26" s="5">
        <f t="shared" si="0"/>
        <v>1567</v>
      </c>
    </row>
    <row r="27" spans="1:18" ht="14.45" customHeight="1" x14ac:dyDescent="0.25">
      <c r="A27" s="128"/>
      <c r="B27" s="14" t="s">
        <v>109</v>
      </c>
      <c r="C27" s="10"/>
      <c r="D27" s="44">
        <f t="shared" si="1"/>
        <v>0</v>
      </c>
      <c r="F27" s="14"/>
      <c r="G27" s="14"/>
      <c r="H27" s="198"/>
      <c r="I27" s="199"/>
      <c r="J27" s="200"/>
      <c r="L27" s="7">
        <v>1582</v>
      </c>
      <c r="O27" t="s">
        <v>53</v>
      </c>
      <c r="P27" s="4">
        <v>1582</v>
      </c>
      <c r="Q27" s="4"/>
      <c r="R27" s="5">
        <f t="shared" si="0"/>
        <v>1582</v>
      </c>
    </row>
    <row r="28" spans="1:18" ht="15.75" x14ac:dyDescent="0.25">
      <c r="A28" s="129"/>
      <c r="B28" s="46" t="s">
        <v>97</v>
      </c>
      <c r="C28" s="10"/>
      <c r="D28" s="48">
        <f t="shared" si="1"/>
        <v>0</v>
      </c>
      <c r="F28" s="106"/>
      <c r="G28" s="61"/>
      <c r="H28" s="201"/>
      <c r="I28" s="202"/>
      <c r="J28" s="203"/>
      <c r="L28" s="7">
        <v>785</v>
      </c>
      <c r="O28" t="s">
        <v>54</v>
      </c>
      <c r="P28" s="4">
        <v>1447</v>
      </c>
      <c r="Q28" s="4">
        <v>120</v>
      </c>
      <c r="R28" s="5">
        <f t="shared" si="0"/>
        <v>1567</v>
      </c>
    </row>
    <row r="29" spans="1:18" x14ac:dyDescent="0.25">
      <c r="A29" s="167" t="s">
        <v>36</v>
      </c>
      <c r="B29" s="168"/>
      <c r="C29" s="169"/>
      <c r="D29" s="173">
        <f>SUM(D6:D28)</f>
        <v>0</v>
      </c>
      <c r="F29" s="175" t="s">
        <v>55</v>
      </c>
      <c r="G29" s="176"/>
      <c r="H29" s="179">
        <f>H15-H16-H17-H18-H19-H20-H22-H23-H24+H26+H27</f>
        <v>0</v>
      </c>
      <c r="I29" s="180"/>
      <c r="J29" s="181"/>
      <c r="O29" t="s">
        <v>56</v>
      </c>
      <c r="P29" s="4">
        <v>1582</v>
      </c>
      <c r="Q29" s="4"/>
      <c r="R29" s="5">
        <f t="shared" si="0"/>
        <v>1582</v>
      </c>
    </row>
    <row r="30" spans="1:18" x14ac:dyDescent="0.25">
      <c r="A30" s="170"/>
      <c r="B30" s="171"/>
      <c r="C30" s="172"/>
      <c r="D30" s="174"/>
      <c r="F30" s="177"/>
      <c r="G30" s="178"/>
      <c r="H30" s="182"/>
      <c r="I30" s="183"/>
      <c r="J30" s="184"/>
      <c r="N30" s="1"/>
      <c r="Q30" s="4"/>
      <c r="R30" s="5">
        <f t="shared" si="0"/>
        <v>0</v>
      </c>
    </row>
    <row r="31" spans="1:18" x14ac:dyDescent="0.25">
      <c r="A31" s="24"/>
      <c r="B31" s="24"/>
      <c r="C31" s="24"/>
      <c r="D31" s="24"/>
      <c r="F31" s="24"/>
      <c r="G31" s="24"/>
      <c r="O31" t="s">
        <v>57</v>
      </c>
      <c r="P31" s="4">
        <v>1052</v>
      </c>
      <c r="Q31" s="4">
        <v>120</v>
      </c>
      <c r="R31" s="5">
        <f t="shared" si="0"/>
        <v>1172</v>
      </c>
    </row>
    <row r="32" spans="1:18" x14ac:dyDescent="0.25">
      <c r="A32" s="114" t="s">
        <v>58</v>
      </c>
      <c r="B32" s="115"/>
      <c r="C32" s="115"/>
      <c r="D32" s="116"/>
      <c r="F32" s="204" t="s">
        <v>59</v>
      </c>
      <c r="G32" s="205"/>
      <c r="H32" s="205"/>
      <c r="I32" s="205"/>
      <c r="J32" s="206"/>
      <c r="O32" t="s">
        <v>60</v>
      </c>
      <c r="P32" s="4">
        <v>1005</v>
      </c>
      <c r="Q32" s="4">
        <v>120</v>
      </c>
      <c r="R32" s="5">
        <f t="shared" si="0"/>
        <v>1125</v>
      </c>
    </row>
    <row r="33" spans="1:18" x14ac:dyDescent="0.25">
      <c r="A33" s="25"/>
      <c r="B33" s="25" t="s">
        <v>11</v>
      </c>
      <c r="C33" s="25" t="s">
        <v>61</v>
      </c>
      <c r="D33" s="25" t="s">
        <v>13</v>
      </c>
      <c r="F33" s="25" t="s">
        <v>62</v>
      </c>
      <c r="G33" s="107" t="s">
        <v>63</v>
      </c>
      <c r="H33" s="204" t="s">
        <v>13</v>
      </c>
      <c r="I33" s="205"/>
      <c r="J33" s="206"/>
      <c r="O33" t="s">
        <v>64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27" t="s">
        <v>65</v>
      </c>
      <c r="B34" s="26" t="s">
        <v>66</v>
      </c>
      <c r="C34" s="51"/>
      <c r="D34" s="30">
        <f>C34*120</f>
        <v>0</v>
      </c>
      <c r="F34" s="12">
        <v>1000</v>
      </c>
      <c r="G34" s="74"/>
      <c r="H34" s="207">
        <f>F34*G34</f>
        <v>0</v>
      </c>
      <c r="I34" s="208"/>
      <c r="J34" s="209"/>
      <c r="O34" t="s">
        <v>67</v>
      </c>
      <c r="P34" s="4">
        <v>832</v>
      </c>
      <c r="Q34" s="4">
        <v>120</v>
      </c>
      <c r="R34" s="5">
        <f t="shared" si="0"/>
        <v>952</v>
      </c>
    </row>
    <row r="35" spans="1:18" ht="15.75" x14ac:dyDescent="0.25">
      <c r="A35" s="128"/>
      <c r="B35" s="27" t="s">
        <v>68</v>
      </c>
      <c r="C35" s="52"/>
      <c r="D35" s="30">
        <f>C35*84</f>
        <v>0</v>
      </c>
      <c r="F35" s="58">
        <v>500</v>
      </c>
      <c r="G35" s="41"/>
      <c r="H35" s="207">
        <f t="shared" ref="H35:H39" si="2">F35*G35</f>
        <v>0</v>
      </c>
      <c r="I35" s="208"/>
      <c r="J35" s="209"/>
      <c r="O35" t="s">
        <v>69</v>
      </c>
      <c r="P35" s="4">
        <v>1102</v>
      </c>
      <c r="Q35" s="4"/>
      <c r="R35" s="5">
        <f t="shared" si="0"/>
        <v>1102</v>
      </c>
    </row>
    <row r="36" spans="1:18" ht="15.75" x14ac:dyDescent="0.25">
      <c r="A36" s="129"/>
      <c r="B36" s="26" t="s">
        <v>70</v>
      </c>
      <c r="C36" s="10"/>
      <c r="D36" s="12">
        <f>C36*1.5</f>
        <v>0</v>
      </c>
      <c r="F36" s="12">
        <v>200</v>
      </c>
      <c r="G36" s="37"/>
      <c r="H36" s="207">
        <f>F36*G36</f>
        <v>0</v>
      </c>
      <c r="I36" s="208"/>
      <c r="J36" s="209"/>
      <c r="O36" t="s">
        <v>71</v>
      </c>
      <c r="P36" s="4">
        <v>852</v>
      </c>
      <c r="Q36" s="4">
        <v>120</v>
      </c>
      <c r="R36" s="5">
        <f t="shared" si="0"/>
        <v>972</v>
      </c>
    </row>
    <row r="37" spans="1:18" ht="15.75" x14ac:dyDescent="0.25">
      <c r="A37" s="127" t="s">
        <v>72</v>
      </c>
      <c r="B37" s="28" t="s">
        <v>66</v>
      </c>
      <c r="C37" s="53"/>
      <c r="D37" s="12">
        <f>C37*111</f>
        <v>0</v>
      </c>
      <c r="F37" s="12">
        <v>100</v>
      </c>
      <c r="G37" s="39"/>
      <c r="H37" s="207">
        <f t="shared" si="2"/>
        <v>0</v>
      </c>
      <c r="I37" s="208"/>
      <c r="J37" s="209"/>
      <c r="O37" t="s">
        <v>73</v>
      </c>
      <c r="P37" s="4">
        <v>1020</v>
      </c>
      <c r="Q37" s="4">
        <v>120</v>
      </c>
      <c r="R37" s="5">
        <f t="shared" si="0"/>
        <v>1140</v>
      </c>
    </row>
    <row r="38" spans="1:18" ht="15.75" x14ac:dyDescent="0.25">
      <c r="A38" s="128"/>
      <c r="B38" s="29" t="s">
        <v>68</v>
      </c>
      <c r="C38" s="54"/>
      <c r="D38" s="12">
        <f>C38*84</f>
        <v>0</v>
      </c>
      <c r="F38" s="30">
        <v>50</v>
      </c>
      <c r="G38" s="39"/>
      <c r="H38" s="207">
        <f t="shared" si="2"/>
        <v>0</v>
      </c>
      <c r="I38" s="208"/>
      <c r="J38" s="209"/>
      <c r="O38" t="s">
        <v>74</v>
      </c>
      <c r="P38" s="4">
        <v>596</v>
      </c>
      <c r="Q38" s="4">
        <v>111</v>
      </c>
      <c r="R38" s="5">
        <f t="shared" si="0"/>
        <v>707</v>
      </c>
    </row>
    <row r="39" spans="1:18" ht="15.75" x14ac:dyDescent="0.25">
      <c r="A39" s="129"/>
      <c r="B39" s="29" t="s">
        <v>70</v>
      </c>
      <c r="C39" s="52"/>
      <c r="D39" s="31">
        <f>C39*4.5</f>
        <v>0</v>
      </c>
      <c r="F39" s="12">
        <v>20</v>
      </c>
      <c r="G39" s="37"/>
      <c r="H39" s="207">
        <f t="shared" si="2"/>
        <v>0</v>
      </c>
      <c r="I39" s="208"/>
      <c r="J39" s="209"/>
      <c r="O39" t="s">
        <v>75</v>
      </c>
      <c r="P39" s="4">
        <v>1175</v>
      </c>
      <c r="Q39" s="4"/>
      <c r="R39" s="5">
        <f t="shared" si="0"/>
        <v>1175</v>
      </c>
    </row>
    <row r="40" spans="1:18" ht="15.75" x14ac:dyDescent="0.25">
      <c r="A40" s="127" t="s">
        <v>76</v>
      </c>
      <c r="B40" s="27" t="s">
        <v>66</v>
      </c>
      <c r="C40" s="63"/>
      <c r="D40" s="12">
        <f>C40*111</f>
        <v>0</v>
      </c>
      <c r="F40" s="12">
        <v>10</v>
      </c>
      <c r="G40" s="42"/>
      <c r="H40" s="207"/>
      <c r="I40" s="208"/>
      <c r="J40" s="209"/>
      <c r="O40" t="s">
        <v>77</v>
      </c>
      <c r="P40" s="4">
        <v>913</v>
      </c>
      <c r="Q40" s="4">
        <v>120</v>
      </c>
      <c r="R40" s="5">
        <f t="shared" si="0"/>
        <v>1033</v>
      </c>
    </row>
    <row r="41" spans="1:18" ht="15.75" x14ac:dyDescent="0.25">
      <c r="A41" s="128"/>
      <c r="B41" s="27" t="s">
        <v>68</v>
      </c>
      <c r="C41" s="10"/>
      <c r="D41" s="12">
        <f>C41*84</f>
        <v>0</v>
      </c>
      <c r="F41" s="12">
        <v>5</v>
      </c>
      <c r="G41" s="42"/>
      <c r="H41" s="207"/>
      <c r="I41" s="208"/>
      <c r="J41" s="209"/>
      <c r="K41" s="21"/>
      <c r="O41" t="s">
        <v>78</v>
      </c>
      <c r="P41" s="4">
        <v>614</v>
      </c>
      <c r="Q41" s="4">
        <v>111</v>
      </c>
      <c r="R41" s="5">
        <f t="shared" si="0"/>
        <v>725</v>
      </c>
    </row>
    <row r="42" spans="1:18" ht="15.75" x14ac:dyDescent="0.25">
      <c r="A42" s="129"/>
      <c r="B42" s="27" t="s">
        <v>70</v>
      </c>
      <c r="C42" s="11"/>
      <c r="D42" s="12">
        <f>C42*2.25</f>
        <v>0</v>
      </c>
      <c r="F42" s="39" t="s">
        <v>79</v>
      </c>
      <c r="G42" s="207"/>
      <c r="H42" s="208"/>
      <c r="I42" s="208"/>
      <c r="J42" s="209"/>
      <c r="K42" s="36"/>
      <c r="O42" t="s">
        <v>80</v>
      </c>
      <c r="P42" s="4">
        <v>626</v>
      </c>
      <c r="Q42" s="4">
        <v>111</v>
      </c>
      <c r="R42" s="5">
        <f t="shared" si="0"/>
        <v>737</v>
      </c>
    </row>
    <row r="43" spans="1:18" ht="15.75" x14ac:dyDescent="0.25">
      <c r="A43" s="210" t="s">
        <v>81</v>
      </c>
      <c r="C43" s="11"/>
      <c r="D43" s="12"/>
      <c r="F43" s="59" t="s">
        <v>82</v>
      </c>
      <c r="G43" s="109" t="s">
        <v>83</v>
      </c>
      <c r="H43" s="213" t="s">
        <v>13</v>
      </c>
      <c r="I43" s="214"/>
      <c r="J43" s="215"/>
      <c r="K43" s="21"/>
      <c r="P43" s="4"/>
      <c r="Q43" s="4"/>
      <c r="R43" s="5"/>
    </row>
    <row r="44" spans="1:18" ht="15.75" x14ac:dyDescent="0.25">
      <c r="A44" s="211"/>
      <c r="B44" s="27" t="s">
        <v>66</v>
      </c>
      <c r="C44" s="10"/>
      <c r="D44" s="12">
        <f>C44*120</f>
        <v>0</v>
      </c>
      <c r="F44" s="37"/>
      <c r="G44" s="62"/>
      <c r="H44" s="191"/>
      <c r="I44" s="191"/>
      <c r="J44" s="191"/>
      <c r="K44" s="21"/>
      <c r="P44" s="4"/>
      <c r="Q44" s="4"/>
      <c r="R44" s="5"/>
    </row>
    <row r="45" spans="1:18" ht="15.75" x14ac:dyDescent="0.25">
      <c r="A45" s="211"/>
      <c r="B45" s="27" t="s">
        <v>68</v>
      </c>
      <c r="C45" s="33"/>
      <c r="D45" s="12">
        <f>C45*84</f>
        <v>0</v>
      </c>
      <c r="F45" s="37"/>
      <c r="G45" s="62"/>
      <c r="H45" s="191"/>
      <c r="I45" s="191"/>
      <c r="J45" s="191"/>
      <c r="K45" s="21"/>
      <c r="P45" s="4"/>
      <c r="Q45" s="4"/>
      <c r="R45" s="5"/>
    </row>
    <row r="46" spans="1:18" ht="15.75" x14ac:dyDescent="0.25">
      <c r="A46" s="211"/>
      <c r="B46" s="49" t="s">
        <v>70</v>
      </c>
      <c r="C46" s="81"/>
      <c r="D46" s="12">
        <f>C46*1.5</f>
        <v>0</v>
      </c>
      <c r="F46" s="37"/>
      <c r="G46" s="108"/>
      <c r="H46" s="216"/>
      <c r="I46" s="216"/>
      <c r="J46" s="216"/>
      <c r="K46" s="21"/>
      <c r="P46" s="4"/>
      <c r="Q46" s="4"/>
      <c r="R46" s="5"/>
    </row>
    <row r="47" spans="1:18" ht="15.75" x14ac:dyDescent="0.25">
      <c r="A47" s="212"/>
      <c r="B47" s="27"/>
      <c r="C47" s="11"/>
      <c r="D47" s="12"/>
      <c r="F47" s="59"/>
      <c r="G47" s="59"/>
      <c r="H47" s="217"/>
      <c r="I47" s="218"/>
      <c r="J47" s="219"/>
      <c r="K47" s="21"/>
      <c r="P47" s="4"/>
      <c r="Q47" s="4"/>
      <c r="R47" s="5"/>
    </row>
    <row r="48" spans="1:18" ht="15" customHeight="1" x14ac:dyDescent="0.25">
      <c r="A48" s="210" t="s">
        <v>32</v>
      </c>
      <c r="B48" s="27" t="s">
        <v>66</v>
      </c>
      <c r="C48" s="10"/>
      <c r="D48" s="12">
        <f>C48*78</f>
        <v>0</v>
      </c>
      <c r="F48" s="59"/>
      <c r="G48" s="59"/>
      <c r="H48" s="217"/>
      <c r="I48" s="218"/>
      <c r="J48" s="219"/>
      <c r="K48" s="35"/>
      <c r="O48" t="s">
        <v>84</v>
      </c>
      <c r="P48" s="4">
        <v>1175</v>
      </c>
      <c r="Q48" s="4"/>
      <c r="R48" s="5">
        <f t="shared" si="0"/>
        <v>1175</v>
      </c>
    </row>
    <row r="49" spans="1:18" ht="15.75" x14ac:dyDescent="0.25">
      <c r="A49" s="211"/>
      <c r="B49" s="29" t="s">
        <v>68</v>
      </c>
      <c r="C49" s="33"/>
      <c r="D49" s="12">
        <f>C49*42</f>
        <v>0</v>
      </c>
      <c r="F49" s="232" t="s">
        <v>86</v>
      </c>
      <c r="G49" s="179">
        <f>H34+H35+H36+H37+H38+H39+H40+H41+G42+H44+H45+H46</f>
        <v>0</v>
      </c>
      <c r="H49" s="180"/>
      <c r="I49" s="180"/>
      <c r="J49" s="181"/>
      <c r="O49" t="s">
        <v>85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211"/>
      <c r="B50" s="32" t="s">
        <v>70</v>
      </c>
      <c r="C50" s="11"/>
      <c r="D50" s="12">
        <f>C50*1.5</f>
        <v>0</v>
      </c>
      <c r="F50" s="233"/>
      <c r="G50" s="182"/>
      <c r="H50" s="183"/>
      <c r="I50" s="183"/>
      <c r="J50" s="184"/>
      <c r="P50" s="4"/>
      <c r="Q50" s="4"/>
      <c r="R50" s="5"/>
    </row>
    <row r="51" spans="1:18" ht="15" customHeight="1" x14ac:dyDescent="0.25">
      <c r="A51" s="211"/>
      <c r="B51" s="27"/>
      <c r="C51" s="10"/>
      <c r="D51" s="31"/>
      <c r="F51" s="234" t="s">
        <v>132</v>
      </c>
      <c r="G51" s="247">
        <f>G49-H29</f>
        <v>0</v>
      </c>
      <c r="H51" s="248"/>
      <c r="I51" s="248"/>
      <c r="J51" s="249"/>
      <c r="K51" s="21"/>
      <c r="O51" t="s">
        <v>87</v>
      </c>
      <c r="P51" s="4">
        <v>703</v>
      </c>
      <c r="Q51" s="4">
        <v>120</v>
      </c>
      <c r="R51" s="5">
        <f t="shared" si="0"/>
        <v>823</v>
      </c>
    </row>
    <row r="52" spans="1:18" ht="15.75" x14ac:dyDescent="0.25">
      <c r="A52" s="211"/>
      <c r="B52" s="29"/>
      <c r="C52" s="33"/>
      <c r="D52" s="45"/>
      <c r="F52" s="235"/>
      <c r="G52" s="250"/>
      <c r="H52" s="251"/>
      <c r="I52" s="251"/>
      <c r="J52" s="252"/>
      <c r="K52" s="21"/>
      <c r="O52" t="s">
        <v>88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212"/>
      <c r="B53" s="32"/>
      <c r="C53" s="11"/>
      <c r="D53" s="12"/>
      <c r="F53" s="35"/>
      <c r="G53" s="24"/>
      <c r="H53" s="24"/>
      <c r="I53" s="24"/>
      <c r="J53" s="17"/>
      <c r="N53" s="1"/>
      <c r="O53" t="s">
        <v>89</v>
      </c>
      <c r="P53" s="4">
        <v>1142</v>
      </c>
    </row>
    <row r="54" spans="1:18" x14ac:dyDescent="0.25">
      <c r="A54" s="175" t="s">
        <v>90</v>
      </c>
      <c r="B54" s="220"/>
      <c r="C54" s="221"/>
      <c r="D54" s="224">
        <f>SUM(D34:D53)</f>
        <v>0</v>
      </c>
      <c r="F54" s="21"/>
      <c r="J54" s="34"/>
    </row>
    <row r="55" spans="1:18" x14ac:dyDescent="0.25">
      <c r="A55" s="177"/>
      <c r="B55" s="222"/>
      <c r="C55" s="223"/>
      <c r="D55" s="225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135</v>
      </c>
      <c r="D57" s="34"/>
      <c r="F57" s="36"/>
      <c r="G57" s="50"/>
      <c r="H57" s="50"/>
      <c r="I57" s="50"/>
      <c r="J57" s="43"/>
    </row>
    <row r="58" spans="1:18" x14ac:dyDescent="0.25">
      <c r="A58" s="226" t="s">
        <v>91</v>
      </c>
      <c r="B58" s="227"/>
      <c r="C58" s="227"/>
      <c r="D58" s="228"/>
      <c r="F58" s="226" t="s">
        <v>92</v>
      </c>
      <c r="G58" s="227"/>
      <c r="H58" s="227"/>
      <c r="I58" s="227"/>
      <c r="J58" s="228"/>
    </row>
    <row r="59" spans="1:18" x14ac:dyDescent="0.25">
      <c r="A59" s="229"/>
      <c r="B59" s="230"/>
      <c r="C59" s="230"/>
      <c r="D59" s="231"/>
      <c r="F59" s="229"/>
      <c r="G59" s="230"/>
      <c r="H59" s="230"/>
      <c r="I59" s="230"/>
      <c r="J59" s="231"/>
    </row>
  </sheetData>
  <mergeCells count="68"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  <mergeCell ref="H13:J13"/>
    <mergeCell ref="F14:G14"/>
    <mergeCell ref="H14:J14"/>
    <mergeCell ref="F15:G15"/>
    <mergeCell ref="H15:J15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A32:D32"/>
    <mergeCell ref="F32:J32"/>
    <mergeCell ref="H33:J33"/>
    <mergeCell ref="A34:A36"/>
    <mergeCell ref="H34:J34"/>
    <mergeCell ref="H35:J35"/>
    <mergeCell ref="H36:J36"/>
    <mergeCell ref="A37:A39"/>
    <mergeCell ref="H37:J37"/>
    <mergeCell ref="H38:J38"/>
    <mergeCell ref="H39:J39"/>
    <mergeCell ref="A40:A42"/>
    <mergeCell ref="H40:J40"/>
    <mergeCell ref="H41:J41"/>
    <mergeCell ref="G42:J42"/>
    <mergeCell ref="A43:A47"/>
    <mergeCell ref="H43:J43"/>
    <mergeCell ref="H44:J44"/>
    <mergeCell ref="H45:J45"/>
    <mergeCell ref="H46:J46"/>
    <mergeCell ref="H47:J47"/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7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1F2D9E9-1AF9-461C-A6CF-F22B7F07CA8D}">
  <dimension ref="A1:R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113" t="s">
        <v>1</v>
      </c>
      <c r="O1" s="113"/>
      <c r="P1" s="105" t="s">
        <v>2</v>
      </c>
      <c r="Q1" s="105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14" t="s">
        <v>7</v>
      </c>
      <c r="B4" s="115"/>
      <c r="C4" s="115"/>
      <c r="D4" s="116"/>
      <c r="F4" s="117" t="s">
        <v>8</v>
      </c>
      <c r="G4" s="119">
        <v>3</v>
      </c>
      <c r="H4" s="121" t="s">
        <v>9</v>
      </c>
      <c r="I4" s="123">
        <v>45985</v>
      </c>
      <c r="J4" s="124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27" t="s">
        <v>7</v>
      </c>
      <c r="B5" s="15" t="s">
        <v>11</v>
      </c>
      <c r="C5" s="9" t="s">
        <v>12</v>
      </c>
      <c r="D5" s="25" t="s">
        <v>13</v>
      </c>
      <c r="F5" s="118"/>
      <c r="G5" s="120"/>
      <c r="H5" s="122"/>
      <c r="I5" s="125"/>
      <c r="J5" s="126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28"/>
      <c r="B6" s="16" t="s">
        <v>15</v>
      </c>
      <c r="C6" s="10"/>
      <c r="D6" s="13">
        <f t="shared" ref="D6:D28" si="1">C6*L6</f>
        <v>0</v>
      </c>
      <c r="F6" s="130" t="s">
        <v>16</v>
      </c>
      <c r="G6" s="132" t="s">
        <v>111</v>
      </c>
      <c r="H6" s="133"/>
      <c r="I6" s="133"/>
      <c r="J6" s="134"/>
      <c r="K6" s="8"/>
      <c r="L6" s="6">
        <f>R42</f>
        <v>737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28"/>
      <c r="B7" s="16" t="s">
        <v>18</v>
      </c>
      <c r="C7" s="10"/>
      <c r="D7" s="13">
        <f t="shared" si="1"/>
        <v>0</v>
      </c>
      <c r="F7" s="131"/>
      <c r="G7" s="135"/>
      <c r="H7" s="136"/>
      <c r="I7" s="136"/>
      <c r="J7" s="137"/>
      <c r="K7" s="8"/>
      <c r="L7" s="6">
        <f>R41</f>
        <v>725</v>
      </c>
      <c r="P7" s="4"/>
      <c r="Q7" s="4"/>
      <c r="R7" s="5"/>
    </row>
    <row r="8" spans="1:18" ht="14.45" customHeight="1" x14ac:dyDescent="0.25">
      <c r="A8" s="128"/>
      <c r="B8" s="16" t="s">
        <v>20</v>
      </c>
      <c r="C8" s="10"/>
      <c r="D8" s="13">
        <f t="shared" si="1"/>
        <v>0</v>
      </c>
      <c r="F8" s="138" t="s">
        <v>21</v>
      </c>
      <c r="G8" s="140" t="s">
        <v>119</v>
      </c>
      <c r="H8" s="141"/>
      <c r="I8" s="141"/>
      <c r="J8" s="142"/>
      <c r="K8" s="8"/>
      <c r="L8" s="6">
        <f>R40</f>
        <v>1033</v>
      </c>
      <c r="P8" s="4"/>
      <c r="Q8" s="4"/>
      <c r="R8" s="5"/>
    </row>
    <row r="9" spans="1:18" ht="14.45" customHeight="1" x14ac:dyDescent="0.25">
      <c r="A9" s="128"/>
      <c r="B9" s="16" t="s">
        <v>23</v>
      </c>
      <c r="C9" s="10"/>
      <c r="D9" s="13">
        <f t="shared" si="1"/>
        <v>0</v>
      </c>
      <c r="F9" s="131"/>
      <c r="G9" s="143"/>
      <c r="H9" s="144"/>
      <c r="I9" s="144"/>
      <c r="J9" s="145"/>
      <c r="K9" s="8"/>
      <c r="L9" s="6">
        <f>R38</f>
        <v>707</v>
      </c>
      <c r="P9" s="4"/>
      <c r="Q9" s="4"/>
      <c r="R9" s="5"/>
    </row>
    <row r="10" spans="1:18" ht="14.45" customHeight="1" x14ac:dyDescent="0.25">
      <c r="A10" s="128"/>
      <c r="B10" t="s">
        <v>25</v>
      </c>
      <c r="C10" s="10"/>
      <c r="D10" s="13">
        <f t="shared" si="1"/>
        <v>0</v>
      </c>
      <c r="F10" s="130" t="s">
        <v>26</v>
      </c>
      <c r="G10" s="146" t="s">
        <v>137</v>
      </c>
      <c r="H10" s="147"/>
      <c r="I10" s="147"/>
      <c r="J10" s="148"/>
      <c r="K10" s="8"/>
      <c r="L10" s="6">
        <f>R36</f>
        <v>972</v>
      </c>
      <c r="P10" s="4"/>
      <c r="Q10" s="4"/>
      <c r="R10" s="5"/>
    </row>
    <row r="11" spans="1:18" ht="15.75" x14ac:dyDescent="0.25">
      <c r="A11" s="128"/>
      <c r="B11" s="17" t="s">
        <v>28</v>
      </c>
      <c r="C11" s="10"/>
      <c r="D11" s="13">
        <f t="shared" si="1"/>
        <v>0</v>
      </c>
      <c r="F11" s="131"/>
      <c r="G11" s="143"/>
      <c r="H11" s="144"/>
      <c r="I11" s="144"/>
      <c r="J11" s="145"/>
      <c r="K11" s="22"/>
      <c r="L11" s="6">
        <f>R32</f>
        <v>1125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28"/>
      <c r="B12" s="17" t="s">
        <v>30</v>
      </c>
      <c r="C12" s="10"/>
      <c r="D12" s="48">
        <f t="shared" si="1"/>
        <v>0</v>
      </c>
      <c r="F12" s="149" t="s">
        <v>33</v>
      </c>
      <c r="G12" s="150"/>
      <c r="H12" s="150"/>
      <c r="I12" s="150"/>
      <c r="J12" s="151"/>
      <c r="K12" s="23"/>
      <c r="L12" s="6">
        <f>R34</f>
        <v>952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28"/>
      <c r="B13" s="17" t="s">
        <v>32</v>
      </c>
      <c r="C13" s="10"/>
      <c r="D13" s="48">
        <f t="shared" si="1"/>
        <v>0</v>
      </c>
      <c r="F13" s="152" t="s">
        <v>36</v>
      </c>
      <c r="G13" s="153"/>
      <c r="H13" s="154">
        <f>D29</f>
        <v>0</v>
      </c>
      <c r="I13" s="155"/>
      <c r="J13" s="156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28"/>
      <c r="B14" s="14" t="s">
        <v>35</v>
      </c>
      <c r="C14" s="10"/>
      <c r="D14" s="31">
        <f t="shared" si="1"/>
        <v>0</v>
      </c>
      <c r="F14" s="157" t="s">
        <v>39</v>
      </c>
      <c r="G14" s="158"/>
      <c r="H14" s="159">
        <f>D54</f>
        <v>0</v>
      </c>
      <c r="I14" s="160"/>
      <c r="J14" s="161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28"/>
      <c r="B15" s="14" t="s">
        <v>38</v>
      </c>
      <c r="C15" s="10"/>
      <c r="D15" s="31">
        <f t="shared" si="1"/>
        <v>0</v>
      </c>
      <c r="F15" s="162" t="s">
        <v>40</v>
      </c>
      <c r="G15" s="153"/>
      <c r="H15" s="163">
        <f>H13-H14</f>
        <v>0</v>
      </c>
      <c r="I15" s="164"/>
      <c r="J15" s="165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28"/>
      <c r="B16" s="18" t="s">
        <v>94</v>
      </c>
      <c r="C16" s="10"/>
      <c r="D16" s="48">
        <f t="shared" si="1"/>
        <v>0</v>
      </c>
      <c r="F16" s="67" t="s">
        <v>42</v>
      </c>
      <c r="G16" s="66" t="s">
        <v>43</v>
      </c>
      <c r="H16" s="166"/>
      <c r="I16" s="166"/>
      <c r="J16" s="166"/>
      <c r="L16" s="6">
        <f>R28</f>
        <v>1567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28"/>
      <c r="B17" t="s">
        <v>113</v>
      </c>
      <c r="C17" s="10"/>
      <c r="D17" s="48">
        <f t="shared" si="1"/>
        <v>0</v>
      </c>
      <c r="F17" s="56"/>
      <c r="G17" s="66" t="s">
        <v>45</v>
      </c>
      <c r="H17" s="139"/>
      <c r="I17" s="139"/>
      <c r="J17" s="139"/>
      <c r="L17" s="6">
        <v>1582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28"/>
      <c r="B18" s="19" t="s">
        <v>95</v>
      </c>
      <c r="C18" s="10"/>
      <c r="D18" s="48">
        <f t="shared" si="1"/>
        <v>0</v>
      </c>
      <c r="F18" s="56"/>
      <c r="G18" s="66" t="s">
        <v>47</v>
      </c>
      <c r="H18" s="139"/>
      <c r="I18" s="139"/>
      <c r="J18" s="139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28"/>
      <c r="B19" s="14" t="s">
        <v>117</v>
      </c>
      <c r="C19" s="10"/>
      <c r="D19" s="48">
        <f t="shared" si="1"/>
        <v>0</v>
      </c>
      <c r="F19" s="56"/>
      <c r="G19" s="68" t="s">
        <v>50</v>
      </c>
      <c r="H19" s="253"/>
      <c r="I19" s="253"/>
      <c r="J19" s="253"/>
      <c r="L19" s="6">
        <f>R35</f>
        <v>1102</v>
      </c>
      <c r="Q19" s="4"/>
      <c r="R19" s="5">
        <f t="shared" si="0"/>
        <v>0</v>
      </c>
    </row>
    <row r="20" spans="1:18" ht="15.75" x14ac:dyDescent="0.25">
      <c r="A20" s="128"/>
      <c r="B20" s="46" t="s">
        <v>108</v>
      </c>
      <c r="C20" s="10"/>
      <c r="D20" s="13">
        <f t="shared" si="1"/>
        <v>0</v>
      </c>
      <c r="F20" s="57"/>
      <c r="G20" s="70" t="s">
        <v>120</v>
      </c>
      <c r="H20" s="166"/>
      <c r="I20" s="166"/>
      <c r="J20" s="166"/>
      <c r="L20" s="6">
        <f>1102</f>
        <v>1102</v>
      </c>
      <c r="N20" s="1" t="s">
        <v>41</v>
      </c>
      <c r="Q20" s="4"/>
      <c r="R20" s="5">
        <f t="shared" si="0"/>
        <v>0</v>
      </c>
    </row>
    <row r="21" spans="1:18" ht="15.75" x14ac:dyDescent="0.25">
      <c r="A21" s="128"/>
      <c r="B21" s="14" t="s">
        <v>126</v>
      </c>
      <c r="C21" s="10"/>
      <c r="D21" s="48">
        <f t="shared" si="1"/>
        <v>0</v>
      </c>
      <c r="F21" s="69" t="s">
        <v>99</v>
      </c>
      <c r="G21" s="82" t="s">
        <v>98</v>
      </c>
      <c r="H21" s="186" t="s">
        <v>13</v>
      </c>
      <c r="I21" s="187"/>
      <c r="J21" s="188"/>
      <c r="L21" s="7">
        <v>650</v>
      </c>
      <c r="O21" t="s">
        <v>44</v>
      </c>
      <c r="P21" s="4">
        <v>1447</v>
      </c>
      <c r="Q21" s="4">
        <v>120</v>
      </c>
      <c r="R21" s="5">
        <f t="shared" si="0"/>
        <v>1567</v>
      </c>
    </row>
    <row r="22" spans="1:18" ht="15.75" x14ac:dyDescent="0.25">
      <c r="A22" s="128"/>
      <c r="B22" s="46" t="s">
        <v>104</v>
      </c>
      <c r="C22" s="10"/>
      <c r="D22" s="48">
        <f t="shared" si="1"/>
        <v>0</v>
      </c>
      <c r="F22" s="77"/>
      <c r="G22" s="73"/>
      <c r="H22" s="189"/>
      <c r="I22" s="189"/>
      <c r="J22" s="189"/>
      <c r="L22" s="7">
        <f>559+111</f>
        <v>670</v>
      </c>
      <c r="O22" t="s">
        <v>46</v>
      </c>
      <c r="P22" s="4">
        <v>1582</v>
      </c>
      <c r="Q22" s="4"/>
      <c r="R22" s="5">
        <f t="shared" si="0"/>
        <v>1582</v>
      </c>
    </row>
    <row r="23" spans="1:18" ht="15.75" x14ac:dyDescent="0.25">
      <c r="A23" s="128"/>
      <c r="B23" s="14" t="s">
        <v>107</v>
      </c>
      <c r="C23" s="10"/>
      <c r="D23" s="48">
        <f t="shared" si="1"/>
        <v>0</v>
      </c>
      <c r="F23" s="78"/>
      <c r="G23" s="79"/>
      <c r="H23" s="190"/>
      <c r="I23" s="191"/>
      <c r="J23" s="191"/>
      <c r="L23" s="47">
        <f>R33</f>
        <v>1175</v>
      </c>
      <c r="N23" s="1"/>
      <c r="O23" t="s">
        <v>48</v>
      </c>
      <c r="P23" s="4">
        <v>1728</v>
      </c>
      <c r="Q23" s="4"/>
      <c r="R23" s="5">
        <f t="shared" si="0"/>
        <v>1728</v>
      </c>
    </row>
    <row r="24" spans="1:18" ht="15.75" x14ac:dyDescent="0.25">
      <c r="A24" s="128"/>
      <c r="B24" s="14" t="s">
        <v>101</v>
      </c>
      <c r="C24" s="10"/>
      <c r="D24" s="48">
        <f t="shared" si="1"/>
        <v>0</v>
      </c>
      <c r="F24" s="38"/>
      <c r="G24" s="37"/>
      <c r="H24" s="190"/>
      <c r="I24" s="191"/>
      <c r="J24" s="191"/>
      <c r="L24" s="47">
        <v>1667</v>
      </c>
      <c r="N24" s="1"/>
      <c r="O24" t="s">
        <v>49</v>
      </c>
      <c r="P24" s="4">
        <v>1728</v>
      </c>
      <c r="Q24" s="4"/>
      <c r="R24" s="5">
        <f t="shared" si="0"/>
        <v>1728</v>
      </c>
    </row>
    <row r="25" spans="1:18" ht="15.75" x14ac:dyDescent="0.25">
      <c r="A25" s="128"/>
      <c r="B25" s="14" t="s">
        <v>116</v>
      </c>
      <c r="C25" s="10"/>
      <c r="D25" s="48">
        <f t="shared" si="1"/>
        <v>0</v>
      </c>
      <c r="F25" s="60" t="s">
        <v>100</v>
      </c>
      <c r="G25" s="55" t="s">
        <v>98</v>
      </c>
      <c r="H25" s="192" t="s">
        <v>13</v>
      </c>
      <c r="I25" s="193"/>
      <c r="J25" s="194"/>
      <c r="L25" s="47">
        <f>1582</f>
        <v>1582</v>
      </c>
      <c r="O25" t="s">
        <v>51</v>
      </c>
      <c r="P25" s="4">
        <v>1582</v>
      </c>
      <c r="Q25" s="4"/>
      <c r="R25" s="5">
        <f t="shared" si="0"/>
        <v>1582</v>
      </c>
    </row>
    <row r="26" spans="1:18" ht="15.75" x14ac:dyDescent="0.25">
      <c r="A26" s="128"/>
      <c r="B26" s="14" t="s">
        <v>105</v>
      </c>
      <c r="C26" s="10"/>
      <c r="D26" s="48">
        <f t="shared" si="1"/>
        <v>0</v>
      </c>
      <c r="F26" s="64"/>
      <c r="G26" s="59"/>
      <c r="H26" s="195"/>
      <c r="I26" s="196"/>
      <c r="J26" s="197"/>
      <c r="L26" s="7">
        <f>832/24+1.5</f>
        <v>36.166666666666664</v>
      </c>
      <c r="O26" t="s">
        <v>52</v>
      </c>
      <c r="P26" s="4">
        <v>1447</v>
      </c>
      <c r="Q26" s="4">
        <v>120</v>
      </c>
      <c r="R26" s="5">
        <f t="shared" si="0"/>
        <v>1567</v>
      </c>
    </row>
    <row r="27" spans="1:18" ht="14.45" customHeight="1" x14ac:dyDescent="0.25">
      <c r="A27" s="128"/>
      <c r="B27" s="14" t="s">
        <v>109</v>
      </c>
      <c r="C27" s="10"/>
      <c r="D27" s="44">
        <f t="shared" si="1"/>
        <v>0</v>
      </c>
      <c r="F27" s="25"/>
      <c r="G27" s="80"/>
      <c r="H27" s="198"/>
      <c r="I27" s="199"/>
      <c r="J27" s="200"/>
      <c r="L27" s="7">
        <v>1582</v>
      </c>
      <c r="O27" t="s">
        <v>53</v>
      </c>
      <c r="P27" s="4">
        <v>1582</v>
      </c>
      <c r="Q27" s="4"/>
      <c r="R27" s="5">
        <f t="shared" si="0"/>
        <v>1582</v>
      </c>
    </row>
    <row r="28" spans="1:18" ht="15.75" x14ac:dyDescent="0.25">
      <c r="A28" s="129"/>
      <c r="B28" s="46" t="s">
        <v>97</v>
      </c>
      <c r="C28" s="10"/>
      <c r="D28" s="48">
        <f t="shared" si="1"/>
        <v>0</v>
      </c>
      <c r="F28" s="106"/>
      <c r="G28" s="61"/>
      <c r="H28" s="201"/>
      <c r="I28" s="202"/>
      <c r="J28" s="203"/>
      <c r="L28" s="7">
        <v>785</v>
      </c>
      <c r="O28" t="s">
        <v>54</v>
      </c>
      <c r="P28" s="4">
        <v>1447</v>
      </c>
      <c r="Q28" s="4">
        <v>120</v>
      </c>
      <c r="R28" s="5">
        <f t="shared" si="0"/>
        <v>1567</v>
      </c>
    </row>
    <row r="29" spans="1:18" x14ac:dyDescent="0.25">
      <c r="A29" s="167" t="s">
        <v>36</v>
      </c>
      <c r="B29" s="168"/>
      <c r="C29" s="169"/>
      <c r="D29" s="173">
        <f>SUM(D6:D28)</f>
        <v>0</v>
      </c>
      <c r="F29" s="175" t="s">
        <v>55</v>
      </c>
      <c r="G29" s="176"/>
      <c r="H29" s="179">
        <f>H15-H16-H17-H18-H19-H20-H22-H23-H24+H26+H27</f>
        <v>0</v>
      </c>
      <c r="I29" s="180"/>
      <c r="J29" s="181"/>
      <c r="O29" t="s">
        <v>56</v>
      </c>
      <c r="P29" s="4">
        <v>1582</v>
      </c>
      <c r="Q29" s="4"/>
      <c r="R29" s="5">
        <f t="shared" si="0"/>
        <v>1582</v>
      </c>
    </row>
    <row r="30" spans="1:18" x14ac:dyDescent="0.25">
      <c r="A30" s="170"/>
      <c r="B30" s="171"/>
      <c r="C30" s="172"/>
      <c r="D30" s="174"/>
      <c r="F30" s="177"/>
      <c r="G30" s="178"/>
      <c r="H30" s="182"/>
      <c r="I30" s="183"/>
      <c r="J30" s="184"/>
      <c r="N30" s="1"/>
      <c r="Q30" s="4"/>
      <c r="R30" s="5">
        <f t="shared" si="0"/>
        <v>0</v>
      </c>
    </row>
    <row r="31" spans="1:18" x14ac:dyDescent="0.25">
      <c r="A31" s="24"/>
      <c r="B31" s="24"/>
      <c r="C31" s="24"/>
      <c r="D31" s="24"/>
      <c r="F31" s="24"/>
      <c r="G31" s="24"/>
      <c r="O31" t="s">
        <v>57</v>
      </c>
      <c r="P31" s="4">
        <v>1052</v>
      </c>
      <c r="Q31" s="4">
        <v>120</v>
      </c>
      <c r="R31" s="5">
        <f t="shared" si="0"/>
        <v>1172</v>
      </c>
    </row>
    <row r="32" spans="1:18" x14ac:dyDescent="0.25">
      <c r="A32" s="114" t="s">
        <v>58</v>
      </c>
      <c r="B32" s="115"/>
      <c r="C32" s="115"/>
      <c r="D32" s="116"/>
      <c r="F32" s="204" t="s">
        <v>59</v>
      </c>
      <c r="G32" s="205"/>
      <c r="H32" s="205"/>
      <c r="I32" s="205"/>
      <c r="J32" s="206"/>
      <c r="O32" t="s">
        <v>60</v>
      </c>
      <c r="P32" s="4">
        <v>1005</v>
      </c>
      <c r="Q32" s="4">
        <v>120</v>
      </c>
      <c r="R32" s="5">
        <f t="shared" si="0"/>
        <v>1125</v>
      </c>
    </row>
    <row r="33" spans="1:18" x14ac:dyDescent="0.25">
      <c r="A33" s="25"/>
      <c r="B33" s="25" t="s">
        <v>11</v>
      </c>
      <c r="C33" s="25" t="s">
        <v>61</v>
      </c>
      <c r="D33" s="25" t="s">
        <v>13</v>
      </c>
      <c r="F33" s="25" t="s">
        <v>62</v>
      </c>
      <c r="G33" s="107" t="s">
        <v>63</v>
      </c>
      <c r="H33" s="204" t="s">
        <v>13</v>
      </c>
      <c r="I33" s="205"/>
      <c r="J33" s="206"/>
      <c r="O33" t="s">
        <v>64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27" t="s">
        <v>65</v>
      </c>
      <c r="B34" s="26" t="s">
        <v>66</v>
      </c>
      <c r="C34" s="51"/>
      <c r="D34" s="30">
        <f>C34*120</f>
        <v>0</v>
      </c>
      <c r="F34" s="12">
        <v>1000</v>
      </c>
      <c r="G34" s="74"/>
      <c r="H34" s="207">
        <f>F34*G34</f>
        <v>0</v>
      </c>
      <c r="I34" s="208"/>
      <c r="J34" s="209"/>
      <c r="O34" t="s">
        <v>67</v>
      </c>
      <c r="P34" s="4">
        <v>832</v>
      </c>
      <c r="Q34" s="4">
        <v>120</v>
      </c>
      <c r="R34" s="5">
        <f t="shared" si="0"/>
        <v>952</v>
      </c>
    </row>
    <row r="35" spans="1:18" ht="15.75" x14ac:dyDescent="0.25">
      <c r="A35" s="128"/>
      <c r="B35" s="27" t="s">
        <v>68</v>
      </c>
      <c r="C35" s="52"/>
      <c r="D35" s="30">
        <f>C35*84</f>
        <v>0</v>
      </c>
      <c r="F35" s="58">
        <v>500</v>
      </c>
      <c r="G35" s="41"/>
      <c r="H35" s="207">
        <f>F35*G35</f>
        <v>0</v>
      </c>
      <c r="I35" s="208"/>
      <c r="J35" s="209"/>
      <c r="O35" t="s">
        <v>69</v>
      </c>
      <c r="P35" s="4">
        <v>1102</v>
      </c>
      <c r="Q35" s="4"/>
      <c r="R35" s="5">
        <f t="shared" si="0"/>
        <v>1102</v>
      </c>
    </row>
    <row r="36" spans="1:18" ht="15.75" x14ac:dyDescent="0.25">
      <c r="A36" s="129"/>
      <c r="B36" s="26" t="s">
        <v>70</v>
      </c>
      <c r="C36" s="10"/>
      <c r="D36" s="12">
        <f>C36*1.5</f>
        <v>0</v>
      </c>
      <c r="F36" s="12">
        <v>200</v>
      </c>
      <c r="G36" s="37"/>
      <c r="H36" s="207">
        <f t="shared" ref="H36:H39" si="2">F36*G36</f>
        <v>0</v>
      </c>
      <c r="I36" s="208"/>
      <c r="J36" s="209"/>
      <c r="O36" t="s">
        <v>71</v>
      </c>
      <c r="P36" s="4">
        <v>852</v>
      </c>
      <c r="Q36" s="4">
        <v>120</v>
      </c>
      <c r="R36" s="5">
        <f t="shared" si="0"/>
        <v>972</v>
      </c>
    </row>
    <row r="37" spans="1:18" ht="15.75" x14ac:dyDescent="0.25">
      <c r="A37" s="127" t="s">
        <v>72</v>
      </c>
      <c r="B37" s="28" t="s">
        <v>66</v>
      </c>
      <c r="C37" s="53"/>
      <c r="D37" s="12">
        <f>C37*111</f>
        <v>0</v>
      </c>
      <c r="F37" s="12">
        <v>100</v>
      </c>
      <c r="G37" s="39"/>
      <c r="H37" s="207">
        <f t="shared" si="2"/>
        <v>0</v>
      </c>
      <c r="I37" s="208"/>
      <c r="J37" s="209"/>
      <c r="O37" t="s">
        <v>73</v>
      </c>
      <c r="P37" s="4">
        <v>1020</v>
      </c>
      <c r="Q37" s="4">
        <v>120</v>
      </c>
      <c r="R37" s="5">
        <f t="shared" si="0"/>
        <v>1140</v>
      </c>
    </row>
    <row r="38" spans="1:18" ht="15.75" x14ac:dyDescent="0.25">
      <c r="A38" s="128"/>
      <c r="B38" s="29" t="s">
        <v>68</v>
      </c>
      <c r="C38" s="54"/>
      <c r="D38" s="12">
        <f>C38*84</f>
        <v>0</v>
      </c>
      <c r="F38" s="30">
        <v>50</v>
      </c>
      <c r="G38" s="39"/>
      <c r="H38" s="207">
        <f t="shared" si="2"/>
        <v>0</v>
      </c>
      <c r="I38" s="208"/>
      <c r="J38" s="209"/>
      <c r="O38" t="s">
        <v>74</v>
      </c>
      <c r="P38" s="4">
        <v>596</v>
      </c>
      <c r="Q38" s="4">
        <v>111</v>
      </c>
      <c r="R38" s="5">
        <f t="shared" si="0"/>
        <v>707</v>
      </c>
    </row>
    <row r="39" spans="1:18" ht="15.75" x14ac:dyDescent="0.25">
      <c r="A39" s="129"/>
      <c r="B39" s="29" t="s">
        <v>70</v>
      </c>
      <c r="C39" s="52"/>
      <c r="D39" s="31">
        <f>C39*4.5</f>
        <v>0</v>
      </c>
      <c r="F39" s="12">
        <v>20</v>
      </c>
      <c r="G39" s="37"/>
      <c r="H39" s="207">
        <f t="shared" si="2"/>
        <v>0</v>
      </c>
      <c r="I39" s="208"/>
      <c r="J39" s="209"/>
      <c r="O39" t="s">
        <v>75</v>
      </c>
      <c r="P39" s="4">
        <v>1175</v>
      </c>
      <c r="Q39" s="4"/>
      <c r="R39" s="5">
        <f t="shared" si="0"/>
        <v>1175</v>
      </c>
    </row>
    <row r="40" spans="1:18" ht="15.75" x14ac:dyDescent="0.25">
      <c r="A40" s="127" t="s">
        <v>76</v>
      </c>
      <c r="B40" s="27" t="s">
        <v>66</v>
      </c>
      <c r="C40" s="63"/>
      <c r="D40" s="12">
        <f>C40*111</f>
        <v>0</v>
      </c>
      <c r="F40" s="12">
        <v>10</v>
      </c>
      <c r="G40" s="42"/>
      <c r="H40" s="207"/>
      <c r="I40" s="208"/>
      <c r="J40" s="209"/>
      <c r="O40" t="s">
        <v>77</v>
      </c>
      <c r="P40" s="4">
        <v>913</v>
      </c>
      <c r="Q40" s="4">
        <v>120</v>
      </c>
      <c r="R40" s="5">
        <f t="shared" si="0"/>
        <v>1033</v>
      </c>
    </row>
    <row r="41" spans="1:18" ht="15.75" x14ac:dyDescent="0.25">
      <c r="A41" s="128"/>
      <c r="B41" s="27" t="s">
        <v>68</v>
      </c>
      <c r="C41" s="10"/>
      <c r="D41" s="12">
        <f>C41*84</f>
        <v>0</v>
      </c>
      <c r="F41" s="12">
        <v>5</v>
      </c>
      <c r="G41" s="42"/>
      <c r="H41" s="207"/>
      <c r="I41" s="208"/>
      <c r="J41" s="209"/>
      <c r="K41" s="21"/>
      <c r="O41" t="s">
        <v>78</v>
      </c>
      <c r="P41" s="4">
        <v>614</v>
      </c>
      <c r="Q41" s="4">
        <v>111</v>
      </c>
      <c r="R41" s="5">
        <f t="shared" si="0"/>
        <v>725</v>
      </c>
    </row>
    <row r="42" spans="1:18" ht="15.75" x14ac:dyDescent="0.25">
      <c r="A42" s="129"/>
      <c r="B42" s="27" t="s">
        <v>70</v>
      </c>
      <c r="C42" s="11"/>
      <c r="D42" s="12">
        <f>C42*2.25</f>
        <v>0</v>
      </c>
      <c r="F42" s="39" t="s">
        <v>79</v>
      </c>
      <c r="G42" s="207"/>
      <c r="H42" s="208"/>
      <c r="I42" s="208"/>
      <c r="J42" s="209"/>
      <c r="K42" s="36"/>
      <c r="O42" t="s">
        <v>80</v>
      </c>
      <c r="P42" s="4">
        <v>626</v>
      </c>
      <c r="Q42" s="4">
        <v>111</v>
      </c>
      <c r="R42" s="5">
        <f t="shared" si="0"/>
        <v>737</v>
      </c>
    </row>
    <row r="43" spans="1:18" ht="15.75" x14ac:dyDescent="0.25">
      <c r="A43" s="210" t="s">
        <v>81</v>
      </c>
      <c r="C43" s="11"/>
      <c r="D43" s="12"/>
      <c r="F43" s="59" t="s">
        <v>82</v>
      </c>
      <c r="G43" s="109" t="s">
        <v>83</v>
      </c>
      <c r="H43" s="213" t="s">
        <v>13</v>
      </c>
      <c r="I43" s="214"/>
      <c r="J43" s="215"/>
      <c r="K43" s="21"/>
      <c r="P43" s="4"/>
      <c r="Q43" s="4"/>
      <c r="R43" s="5"/>
    </row>
    <row r="44" spans="1:18" ht="15.75" x14ac:dyDescent="0.25">
      <c r="A44" s="211"/>
      <c r="B44" s="27" t="s">
        <v>66</v>
      </c>
      <c r="C44" s="10"/>
      <c r="D44" s="12">
        <f>C44*120</f>
        <v>0</v>
      </c>
      <c r="F44" s="37"/>
      <c r="G44" s="76"/>
      <c r="H44" s="191"/>
      <c r="I44" s="191"/>
      <c r="J44" s="191"/>
      <c r="K44" s="21"/>
      <c r="P44" s="4"/>
      <c r="Q44" s="4"/>
      <c r="R44" s="5"/>
    </row>
    <row r="45" spans="1:18" ht="15.75" x14ac:dyDescent="0.25">
      <c r="A45" s="211"/>
      <c r="B45" s="27" t="s">
        <v>68</v>
      </c>
      <c r="C45" s="33"/>
      <c r="D45" s="12">
        <f>C45*84</f>
        <v>0</v>
      </c>
      <c r="F45" s="37"/>
      <c r="G45" s="76"/>
      <c r="H45" s="191"/>
      <c r="I45" s="191"/>
      <c r="J45" s="191"/>
      <c r="K45" s="21"/>
      <c r="P45" s="4"/>
      <c r="Q45" s="4"/>
      <c r="R45" s="5"/>
    </row>
    <row r="46" spans="1:18" ht="15.75" x14ac:dyDescent="0.25">
      <c r="A46" s="211"/>
      <c r="B46" s="49" t="s">
        <v>70</v>
      </c>
      <c r="C46" s="81"/>
      <c r="D46" s="12">
        <f>C46*1.5</f>
        <v>0</v>
      </c>
      <c r="F46" s="37"/>
      <c r="G46" s="62"/>
      <c r="H46" s="216"/>
      <c r="I46" s="216"/>
      <c r="J46" s="216"/>
      <c r="K46" s="21"/>
      <c r="P46" s="4"/>
      <c r="Q46" s="4"/>
      <c r="R46" s="5"/>
    </row>
    <row r="47" spans="1:18" ht="15.75" x14ac:dyDescent="0.25">
      <c r="A47" s="212"/>
      <c r="B47" s="27"/>
      <c r="C47" s="11"/>
      <c r="D47" s="12"/>
      <c r="F47" s="59"/>
      <c r="G47" s="59"/>
      <c r="H47" s="217"/>
      <c r="I47" s="218"/>
      <c r="J47" s="219"/>
      <c r="K47" s="21"/>
      <c r="P47" s="4"/>
      <c r="Q47" s="4"/>
      <c r="R47" s="5"/>
    </row>
    <row r="48" spans="1:18" ht="15" customHeight="1" x14ac:dyDescent="0.25">
      <c r="A48" s="210" t="s">
        <v>32</v>
      </c>
      <c r="B48" s="27" t="s">
        <v>66</v>
      </c>
      <c r="C48" s="10"/>
      <c r="D48" s="12">
        <f>C48*78</f>
        <v>0</v>
      </c>
      <c r="F48" s="59"/>
      <c r="G48" s="59"/>
      <c r="H48" s="217"/>
      <c r="I48" s="218"/>
      <c r="J48" s="219"/>
      <c r="K48" s="35"/>
      <c r="O48" t="s">
        <v>84</v>
      </c>
      <c r="P48" s="4">
        <v>1175</v>
      </c>
      <c r="Q48" s="4"/>
      <c r="R48" s="5">
        <f t="shared" si="0"/>
        <v>1175</v>
      </c>
    </row>
    <row r="49" spans="1:18" ht="15.75" x14ac:dyDescent="0.25">
      <c r="A49" s="211"/>
      <c r="B49" s="29" t="s">
        <v>68</v>
      </c>
      <c r="C49" s="33"/>
      <c r="D49" s="12">
        <f>C49*42</f>
        <v>0</v>
      </c>
      <c r="F49" s="232" t="s">
        <v>86</v>
      </c>
      <c r="G49" s="179">
        <f>H34+H35+H36+H37+H38+H39+H40+H41+G42+H44+H45+H46</f>
        <v>0</v>
      </c>
      <c r="H49" s="180"/>
      <c r="I49" s="180"/>
      <c r="J49" s="181"/>
      <c r="O49" t="s">
        <v>85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211"/>
      <c r="B50" s="32" t="s">
        <v>70</v>
      </c>
      <c r="C50" s="11"/>
      <c r="D50" s="12">
        <f>C50*1.5</f>
        <v>0</v>
      </c>
      <c r="F50" s="233"/>
      <c r="G50" s="182"/>
      <c r="H50" s="183"/>
      <c r="I50" s="183"/>
      <c r="J50" s="184"/>
      <c r="P50" s="4"/>
      <c r="Q50" s="4"/>
      <c r="R50" s="5"/>
    </row>
    <row r="51" spans="1:18" ht="15" customHeight="1" x14ac:dyDescent="0.25">
      <c r="A51" s="211"/>
      <c r="B51" s="27"/>
      <c r="C51" s="10"/>
      <c r="D51" s="31"/>
      <c r="F51" s="234" t="s">
        <v>142</v>
      </c>
      <c r="G51" s="247">
        <f>G49-H29</f>
        <v>0</v>
      </c>
      <c r="H51" s="248"/>
      <c r="I51" s="248"/>
      <c r="J51" s="249"/>
      <c r="K51" s="21"/>
      <c r="O51" t="s">
        <v>87</v>
      </c>
      <c r="P51" s="4">
        <v>703</v>
      </c>
      <c r="Q51" s="4">
        <v>120</v>
      </c>
      <c r="R51" s="5">
        <f t="shared" si="0"/>
        <v>823</v>
      </c>
    </row>
    <row r="52" spans="1:18" ht="15.75" x14ac:dyDescent="0.25">
      <c r="A52" s="211"/>
      <c r="B52" s="29"/>
      <c r="C52" s="33"/>
      <c r="D52" s="45"/>
      <c r="F52" s="235"/>
      <c r="G52" s="250"/>
      <c r="H52" s="251"/>
      <c r="I52" s="251"/>
      <c r="J52" s="252"/>
      <c r="K52" s="21"/>
      <c r="O52" t="s">
        <v>88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212"/>
      <c r="B53" s="32"/>
      <c r="C53" s="11"/>
      <c r="D53" s="12"/>
      <c r="F53" s="35"/>
      <c r="G53" s="24"/>
      <c r="H53" s="24"/>
      <c r="I53" s="24"/>
      <c r="J53" s="17"/>
      <c r="N53" s="1"/>
      <c r="O53" t="s">
        <v>89</v>
      </c>
      <c r="P53" s="4">
        <v>1142</v>
      </c>
    </row>
    <row r="54" spans="1:18" x14ac:dyDescent="0.25">
      <c r="A54" s="175" t="s">
        <v>90</v>
      </c>
      <c r="B54" s="220"/>
      <c r="C54" s="221"/>
      <c r="D54" s="224">
        <f>SUM(D34:D53)</f>
        <v>0</v>
      </c>
      <c r="F54" s="21"/>
      <c r="J54" s="34"/>
    </row>
    <row r="55" spans="1:18" x14ac:dyDescent="0.25">
      <c r="A55" s="177"/>
      <c r="B55" s="222"/>
      <c r="C55" s="223"/>
      <c r="D55" s="225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118</v>
      </c>
      <c r="D57" s="34"/>
      <c r="F57" s="36"/>
      <c r="G57" s="50"/>
      <c r="H57" s="50"/>
      <c r="I57" s="50"/>
      <c r="J57" s="43"/>
    </row>
    <row r="58" spans="1:18" x14ac:dyDescent="0.25">
      <c r="A58" s="226" t="s">
        <v>91</v>
      </c>
      <c r="B58" s="227"/>
      <c r="C58" s="227"/>
      <c r="D58" s="228"/>
      <c r="F58" s="226" t="s">
        <v>92</v>
      </c>
      <c r="G58" s="227"/>
      <c r="H58" s="227"/>
      <c r="I58" s="227"/>
      <c r="J58" s="228"/>
    </row>
    <row r="59" spans="1:18" x14ac:dyDescent="0.25">
      <c r="A59" s="229"/>
      <c r="B59" s="230"/>
      <c r="C59" s="230"/>
      <c r="D59" s="231"/>
      <c r="F59" s="229"/>
      <c r="G59" s="230"/>
      <c r="H59" s="230"/>
      <c r="I59" s="230"/>
      <c r="J59" s="231"/>
    </row>
  </sheetData>
  <mergeCells count="68"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  <mergeCell ref="H13:J13"/>
    <mergeCell ref="F14:G14"/>
    <mergeCell ref="H14:J14"/>
    <mergeCell ref="F15:G15"/>
    <mergeCell ref="H15:J15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A32:D32"/>
    <mergeCell ref="F32:J32"/>
    <mergeCell ref="H33:J33"/>
    <mergeCell ref="A34:A36"/>
    <mergeCell ref="H34:J34"/>
    <mergeCell ref="H35:J35"/>
    <mergeCell ref="H36:J36"/>
    <mergeCell ref="A37:A39"/>
    <mergeCell ref="H37:J37"/>
    <mergeCell ref="H38:J38"/>
    <mergeCell ref="H39:J39"/>
    <mergeCell ref="A40:A42"/>
    <mergeCell ref="H40:J40"/>
    <mergeCell ref="H41:J41"/>
    <mergeCell ref="G42:J42"/>
    <mergeCell ref="A43:A47"/>
    <mergeCell ref="H43:J43"/>
    <mergeCell ref="H44:J44"/>
    <mergeCell ref="H45:J45"/>
    <mergeCell ref="H46:J46"/>
    <mergeCell ref="H47:J47"/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78</vt:i4>
      </vt:variant>
      <vt:variant>
        <vt:lpstr>Named Ranges</vt:lpstr>
      </vt:variant>
      <vt:variant>
        <vt:i4>77</vt:i4>
      </vt:variant>
    </vt:vector>
  </HeadingPairs>
  <TitlesOfParts>
    <vt:vector size="155" baseType="lpstr">
      <vt:lpstr>(November 2025)</vt:lpstr>
      <vt:lpstr>(03)</vt:lpstr>
      <vt:lpstr>03,11 R1</vt:lpstr>
      <vt:lpstr>03,11 R2</vt:lpstr>
      <vt:lpstr>03,11 R3</vt:lpstr>
      <vt:lpstr>(4)</vt:lpstr>
      <vt:lpstr>04,11 R1 No Trip</vt:lpstr>
      <vt:lpstr>04,11 R2</vt:lpstr>
      <vt:lpstr>04,11 R3-A</vt:lpstr>
      <vt:lpstr>04,11 R3-B</vt:lpstr>
      <vt:lpstr>(5)</vt:lpstr>
      <vt:lpstr>05,11 R1</vt:lpstr>
      <vt:lpstr>05,11 R2</vt:lpstr>
      <vt:lpstr>05,11 R3</vt:lpstr>
      <vt:lpstr>(6)</vt:lpstr>
      <vt:lpstr>06,11 R1</vt:lpstr>
      <vt:lpstr>06,11 R2</vt:lpstr>
      <vt:lpstr>06,11 R3</vt:lpstr>
      <vt:lpstr>(7)</vt:lpstr>
      <vt:lpstr>07,11 R1</vt:lpstr>
      <vt:lpstr>07,11 R2 No Trip</vt:lpstr>
      <vt:lpstr>07,11 R3</vt:lpstr>
      <vt:lpstr>(8)</vt:lpstr>
      <vt:lpstr>08,11 R1</vt:lpstr>
      <vt:lpstr>08,11 R2</vt:lpstr>
      <vt:lpstr>08,11 R3</vt:lpstr>
      <vt:lpstr>(10)</vt:lpstr>
      <vt:lpstr>10,11 R1</vt:lpstr>
      <vt:lpstr>10,11 R2</vt:lpstr>
      <vt:lpstr>10,11 R3</vt:lpstr>
      <vt:lpstr>(11)</vt:lpstr>
      <vt:lpstr>11,11 R1</vt:lpstr>
      <vt:lpstr>11,11 R2</vt:lpstr>
      <vt:lpstr>11,11 R3</vt:lpstr>
      <vt:lpstr>(12)</vt:lpstr>
      <vt:lpstr>12,11 R1</vt:lpstr>
      <vt:lpstr>12,11 R2</vt:lpstr>
      <vt:lpstr>12,11 R3</vt:lpstr>
      <vt:lpstr>(13)</vt:lpstr>
      <vt:lpstr>13,11 R1 No Trip</vt:lpstr>
      <vt:lpstr>13,11 R2</vt:lpstr>
      <vt:lpstr>13,11 R3</vt:lpstr>
      <vt:lpstr>(14)</vt:lpstr>
      <vt:lpstr>14,11 R1</vt:lpstr>
      <vt:lpstr>14,11 R2</vt:lpstr>
      <vt:lpstr>14,11 R3</vt:lpstr>
      <vt:lpstr>(15)</vt:lpstr>
      <vt:lpstr>15,11 R1</vt:lpstr>
      <vt:lpstr>15,11 R2 No Trip</vt:lpstr>
      <vt:lpstr>15,11 R3</vt:lpstr>
      <vt:lpstr>(17)</vt:lpstr>
      <vt:lpstr>17,11 R1</vt:lpstr>
      <vt:lpstr>17,11 R2</vt:lpstr>
      <vt:lpstr>17,11 R3</vt:lpstr>
      <vt:lpstr>(18)</vt:lpstr>
      <vt:lpstr>18,11 R1</vt:lpstr>
      <vt:lpstr>18,11 R2</vt:lpstr>
      <vt:lpstr>18,11 R3</vt:lpstr>
      <vt:lpstr>(19)</vt:lpstr>
      <vt:lpstr>19,11 R1</vt:lpstr>
      <vt:lpstr>19,11 R2</vt:lpstr>
      <vt:lpstr>19,11 R3</vt:lpstr>
      <vt:lpstr>(20)</vt:lpstr>
      <vt:lpstr>20,11 R1</vt:lpstr>
      <vt:lpstr>20,11 R2</vt:lpstr>
      <vt:lpstr>20,11 R3</vt:lpstr>
      <vt:lpstr>(21)</vt:lpstr>
      <vt:lpstr>21,11 R1</vt:lpstr>
      <vt:lpstr>21,11 R2</vt:lpstr>
      <vt:lpstr>21,11 R3</vt:lpstr>
      <vt:lpstr>(22)</vt:lpstr>
      <vt:lpstr>22,11 R1</vt:lpstr>
      <vt:lpstr>22,11 R2</vt:lpstr>
      <vt:lpstr>22,11 R3</vt:lpstr>
      <vt:lpstr>(24)</vt:lpstr>
      <vt:lpstr>24,11 R1</vt:lpstr>
      <vt:lpstr>24,11 R2</vt:lpstr>
      <vt:lpstr>24,11 R3</vt:lpstr>
      <vt:lpstr>'(03)'!Print_Area</vt:lpstr>
      <vt:lpstr>'(10)'!Print_Area</vt:lpstr>
      <vt:lpstr>'(11)'!Print_Area</vt:lpstr>
      <vt:lpstr>'(12)'!Print_Area</vt:lpstr>
      <vt:lpstr>'(13)'!Print_Area</vt:lpstr>
      <vt:lpstr>'(14)'!Print_Area</vt:lpstr>
      <vt:lpstr>'(15)'!Print_Area</vt:lpstr>
      <vt:lpstr>'(17)'!Print_Area</vt:lpstr>
      <vt:lpstr>'(18)'!Print_Area</vt:lpstr>
      <vt:lpstr>'(19)'!Print_Area</vt:lpstr>
      <vt:lpstr>'(20)'!Print_Area</vt:lpstr>
      <vt:lpstr>'(21)'!Print_Area</vt:lpstr>
      <vt:lpstr>'(22)'!Print_Area</vt:lpstr>
      <vt:lpstr>'(24)'!Print_Area</vt:lpstr>
      <vt:lpstr>'(4)'!Print_Area</vt:lpstr>
      <vt:lpstr>'(5)'!Print_Area</vt:lpstr>
      <vt:lpstr>'(6)'!Print_Area</vt:lpstr>
      <vt:lpstr>'(7)'!Print_Area</vt:lpstr>
      <vt:lpstr>'(8)'!Print_Area</vt:lpstr>
      <vt:lpstr>'03,11 R1'!Print_Area</vt:lpstr>
      <vt:lpstr>'03,11 R2'!Print_Area</vt:lpstr>
      <vt:lpstr>'03,11 R3'!Print_Area</vt:lpstr>
      <vt:lpstr>'04,11 R1 No Trip'!Print_Area</vt:lpstr>
      <vt:lpstr>'04,11 R2'!Print_Area</vt:lpstr>
      <vt:lpstr>'04,11 R3-A'!Print_Area</vt:lpstr>
      <vt:lpstr>'04,11 R3-B'!Print_Area</vt:lpstr>
      <vt:lpstr>'05,11 R1'!Print_Area</vt:lpstr>
      <vt:lpstr>'05,11 R2'!Print_Area</vt:lpstr>
      <vt:lpstr>'05,11 R3'!Print_Area</vt:lpstr>
      <vt:lpstr>'06,11 R1'!Print_Area</vt:lpstr>
      <vt:lpstr>'06,11 R2'!Print_Area</vt:lpstr>
      <vt:lpstr>'06,11 R3'!Print_Area</vt:lpstr>
      <vt:lpstr>'07,11 R1'!Print_Area</vt:lpstr>
      <vt:lpstr>'07,11 R2 No Trip'!Print_Area</vt:lpstr>
      <vt:lpstr>'07,11 R3'!Print_Area</vt:lpstr>
      <vt:lpstr>'08,11 R1'!Print_Area</vt:lpstr>
      <vt:lpstr>'08,11 R2'!Print_Area</vt:lpstr>
      <vt:lpstr>'08,11 R3'!Print_Area</vt:lpstr>
      <vt:lpstr>'10,11 R1'!Print_Area</vt:lpstr>
      <vt:lpstr>'10,11 R2'!Print_Area</vt:lpstr>
      <vt:lpstr>'10,11 R3'!Print_Area</vt:lpstr>
      <vt:lpstr>'11,11 R1'!Print_Area</vt:lpstr>
      <vt:lpstr>'11,11 R2'!Print_Area</vt:lpstr>
      <vt:lpstr>'11,11 R3'!Print_Area</vt:lpstr>
      <vt:lpstr>'12,11 R1'!Print_Area</vt:lpstr>
      <vt:lpstr>'12,11 R2'!Print_Area</vt:lpstr>
      <vt:lpstr>'12,11 R3'!Print_Area</vt:lpstr>
      <vt:lpstr>'13,11 R1 No Trip'!Print_Area</vt:lpstr>
      <vt:lpstr>'13,11 R2'!Print_Area</vt:lpstr>
      <vt:lpstr>'13,11 R3'!Print_Area</vt:lpstr>
      <vt:lpstr>'14,11 R1'!Print_Area</vt:lpstr>
      <vt:lpstr>'14,11 R2'!Print_Area</vt:lpstr>
      <vt:lpstr>'14,11 R3'!Print_Area</vt:lpstr>
      <vt:lpstr>'15,11 R1'!Print_Area</vt:lpstr>
      <vt:lpstr>'15,11 R2 No Trip'!Print_Area</vt:lpstr>
      <vt:lpstr>'15,11 R3'!Print_Area</vt:lpstr>
      <vt:lpstr>'17,11 R1'!Print_Area</vt:lpstr>
      <vt:lpstr>'17,11 R2'!Print_Area</vt:lpstr>
      <vt:lpstr>'17,11 R3'!Print_Area</vt:lpstr>
      <vt:lpstr>'18,11 R1'!Print_Area</vt:lpstr>
      <vt:lpstr>'18,11 R2'!Print_Area</vt:lpstr>
      <vt:lpstr>'18,11 R3'!Print_Area</vt:lpstr>
      <vt:lpstr>'19,11 R1'!Print_Area</vt:lpstr>
      <vt:lpstr>'19,11 R2'!Print_Area</vt:lpstr>
      <vt:lpstr>'19,11 R3'!Print_Area</vt:lpstr>
      <vt:lpstr>'20,11 R1'!Print_Area</vt:lpstr>
      <vt:lpstr>'20,11 R2'!Print_Area</vt:lpstr>
      <vt:lpstr>'20,11 R3'!Print_Area</vt:lpstr>
      <vt:lpstr>'21,11 R1'!Print_Area</vt:lpstr>
      <vt:lpstr>'21,11 R2'!Print_Area</vt:lpstr>
      <vt:lpstr>'21,11 R3'!Print_Area</vt:lpstr>
      <vt:lpstr>'22,11 R1'!Print_Area</vt:lpstr>
      <vt:lpstr>'22,11 R2'!Print_Area</vt:lpstr>
      <vt:lpstr>'22,11 R3'!Print_Area</vt:lpstr>
      <vt:lpstr>'24,11 R1'!Print_Area</vt:lpstr>
      <vt:lpstr>'24,11 R2'!Print_Area</vt:lpstr>
      <vt:lpstr>'24,11 R3'!Print_Area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User</dc:creator>
  <cp:lastModifiedBy>User</cp:lastModifiedBy>
  <cp:lastPrinted>2025-11-17T00:03:24Z</cp:lastPrinted>
  <dcterms:created xsi:type="dcterms:W3CDTF">2024-09-01T23:36:50Z</dcterms:created>
  <dcterms:modified xsi:type="dcterms:W3CDTF">2025-11-17T01:17:34Z</dcterms:modified>
</cp:coreProperties>
</file>