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14DDD4F-B52C-40A3-8A3B-61EB34CADB6C}" xr6:coauthVersionLast="45" xr6:coauthVersionMax="47" xr10:uidLastSave="{00000000-0000-0000-0000-000000000000}"/>
  <bookViews>
    <workbookView xWindow="-120" yWindow="-120" windowWidth="29040" windowHeight="15840" firstSheet="10" activeTab="1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454" l="1"/>
  <c r="H16" i="1458" l="1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57" l="1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8" l="1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<sst xmlns="http://schemas.openxmlformats.org/spreadsheetml/2006/main" count="3825" uniqueCount="162">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</sst>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189</v>
      </c>
      <c r="D6" s="13">
        <f t="shared" ref="D6:D28" si="1">C6*L6</f>
        <v>139293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>
        <v>1</v>
      </c>
      <c r="D8" s="13">
        <f t="shared" si="1"/>
        <v>1033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21</v>
      </c>
      <c r="D9" s="13">
        <f t="shared" si="1"/>
        <v>14847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>
        <f>1+1</f>
        <v>2</v>
      </c>
      <c r="D12" s="48">
        <f t="shared" si="1"/>
        <v>1904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f>7</f>
        <v>7</v>
      </c>
      <c r="D13" s="48">
        <f t="shared" si="1"/>
        <v>2149</v>
      </c>
      <c r="F13" s="139" t="s">
        <v>36</v>
      </c>
      <c r="G13" s="140"/>
      <c r="H13" s="141">
        <f>D29</f>
        <v>176285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18</v>
      </c>
      <c r="D14" s="31">
        <f t="shared" si="1"/>
        <v>198</v>
      </c>
      <c r="F14" s="144" t="s">
        <v>39</v>
      </c>
      <c r="G14" s="145"/>
      <c r="H14" s="146">
        <f>D54</f>
        <v>26221.5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150063.5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78">
        <v>87612</v>
      </c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1</v>
      </c>
      <c r="D28" s="48">
        <f t="shared" si="1"/>
        <v>785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62" t="s">
        <v>55</v>
      </c>
      <c r="G29" s="163"/>
      <c r="H29" s="166">
        <f>H15-H16-H17-H18-H19-H20-H22-H23-H24+H26+H27+H28</f>
        <v>237675.5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94">
        <f t="shared" ref="H34:H39" si="2">F34*G34</f>
        <v>120000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94">
        <f t="shared" si="2"/>
        <v>24000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94">
        <f t="shared" si="2"/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94">
        <f t="shared" si="2"/>
        <v>3500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94">
        <f t="shared" si="2"/>
        <v>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6</v>
      </c>
      <c r="D42" s="12">
        <f>C42*2.25</f>
        <v>13.5</v>
      </c>
      <c r="F42" s="39" t="s">
        <v>79</v>
      </c>
      <c r="G42" s="194">
        <v>2143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78">
        <v>87612</v>
      </c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237705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22</v>
      </c>
      <c r="D50" s="12">
        <f>C50*1.5</f>
        <v>33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29.5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329</v>
      </c>
      <c r="D6" s="13">
        <f t="shared" ref="D6:D28" si="1">C6*L6</f>
        <v>242473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13</v>
      </c>
      <c r="D9" s="13">
        <f t="shared" si="1"/>
        <v>9191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10</v>
      </c>
      <c r="D13" s="48">
        <f t="shared" si="1"/>
        <v>3070</v>
      </c>
      <c r="F13" s="139" t="s">
        <v>36</v>
      </c>
      <c r="G13" s="140"/>
      <c r="H13" s="141">
        <f>D29</f>
        <v>254855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11</v>
      </c>
      <c r="D14" s="31">
        <f t="shared" si="1"/>
        <v>121</v>
      </c>
      <c r="F14" s="144" t="s">
        <v>39</v>
      </c>
      <c r="G14" s="145"/>
      <c r="H14" s="146">
        <f>D54</f>
        <v>38556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216299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62" t="s">
        <v>55</v>
      </c>
      <c r="G29" s="163"/>
      <c r="H29" s="166">
        <f>H15-H16-H17-H18-H19-H20-H22-H23-H24+H26+H27</f>
        <v>213230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94">
        <f>F34*G34</f>
        <v>73000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94">
        <f t="shared" ref="H35:H39" si="2">F35*G35</f>
        <v>4500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105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78">
        <v>134760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85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10</v>
      </c>
      <c r="D49" s="12">
        <f>C49*42</f>
        <v>420</v>
      </c>
      <c r="F49" s="219" t="s">
        <v>86</v>
      </c>
      <c r="G49" s="166">
        <f>H34+H35+H36+H37+H38+H39+H40+H41+G42+H44+H45+H46</f>
        <v>212765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10</v>
      </c>
      <c r="D50" s="12">
        <f>C50*1.5</f>
        <v>15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-465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38556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45964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264</v>
      </c>
      <c r="D6" s="13">
        <f t="shared" ref="D6:D28" si="1">C6*L6</f>
        <v>194568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44</v>
      </c>
      <c r="D9" s="13">
        <f t="shared" si="1"/>
        <v>31108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972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1</f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5</v>
      </c>
      <c r="D13" s="48">
        <f t="shared" si="1"/>
        <v>1535</v>
      </c>
      <c r="F13" s="139" t="s">
        <v>36</v>
      </c>
      <c r="G13" s="140"/>
      <c r="H13" s="141">
        <f>D29</f>
        <v>237953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13</v>
      </c>
      <c r="D14" s="31">
        <f t="shared" si="1"/>
        <v>143</v>
      </c>
      <c r="F14" s="144" t="s">
        <v>39</v>
      </c>
      <c r="G14" s="145"/>
      <c r="H14" s="146">
        <f>D54</f>
        <v>37326.75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200626.25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5</v>
      </c>
      <c r="D28" s="48">
        <f t="shared" si="1"/>
        <v>3925</v>
      </c>
      <c r="F28" s="87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62" t="s">
        <v>55</v>
      </c>
      <c r="G29" s="163"/>
      <c r="H29" s="166">
        <f>H15-H16-H17-H18-H19-H20-H22-H23-H24+H26+H27</f>
        <v>198796.25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94">
        <f>F35*G35</f>
        <v>10000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94">
        <f t="shared" si="2"/>
        <v>700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94">
        <f t="shared" si="2"/>
        <v>150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94">
        <v>521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8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78">
        <v>84520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1</v>
      </c>
      <c r="D45" s="12">
        <f>C45*84</f>
        <v>84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3</v>
      </c>
      <c r="D46" s="12">
        <f>C46*1.5</f>
        <v>4.5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198891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94.75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37326.75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342</v>
      </c>
      <c r="D6" s="13">
        <f t="shared" ref="D6:D28" si="1">C6*L6</f>
        <v>252054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10</v>
      </c>
      <c r="D7" s="13">
        <f t="shared" si="1"/>
        <v>7250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50</v>
      </c>
      <c r="D9" s="13">
        <f t="shared" si="1"/>
        <v>35350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299270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</v>
      </c>
      <c r="D14" s="31">
        <f t="shared" si="1"/>
        <v>11</v>
      </c>
      <c r="F14" s="144" t="s">
        <v>39</v>
      </c>
      <c r="G14" s="145"/>
      <c r="H14" s="146">
        <f>D54</f>
        <v>49524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249746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299270</v>
      </c>
      <c r="F29" s="162" t="s">
        <v>55</v>
      </c>
      <c r="G29" s="163"/>
      <c r="H29" s="166">
        <f>H15-H16-H17-H18-H19-H20-H22-H23-H24+H26+H27</f>
        <v>246155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4">
        <f>F34*G34</f>
        <v>103000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94">
        <f t="shared" ref="H35:H39" si="2">F35*G35</f>
        <v>57500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94">
        <f>F36*G36</f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94">
        <f t="shared" si="2"/>
        <v>70800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94">
        <f t="shared" si="2"/>
        <v>15250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20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31</v>
      </c>
      <c r="D49" s="12">
        <f>C49*42</f>
        <v>1302</v>
      </c>
      <c r="F49" s="219" t="s">
        <v>86</v>
      </c>
      <c r="G49" s="166">
        <f>H34+H35+H36+H37+H38+H39+H40+H41+G42+H44+H45+H46</f>
        <v>246770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156</v>
      </c>
      <c r="G51" s="223">
        <f>G49-H29</f>
        <v>615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49524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152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703</v>
      </c>
      <c r="D6" s="13">
        <f t="shared" ref="D6:D28" si="1">C6*L6</f>
        <v>518111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16</v>
      </c>
      <c r="D7" s="13">
        <f t="shared" si="1"/>
        <v>11600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2</v>
      </c>
      <c r="D8" s="13">
        <f t="shared" si="1"/>
        <v>2066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147</v>
      </c>
      <c r="D9" s="13">
        <f t="shared" si="1"/>
        <v>103929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1944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3</v>
      </c>
      <c r="D11" s="13">
        <f t="shared" si="1"/>
        <v>3375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f>2+1</f>
        <v>3</v>
      </c>
      <c r="D12" s="48">
        <f t="shared" si="1"/>
        <v>2856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35</v>
      </c>
      <c r="D13" s="48">
        <f t="shared" si="1"/>
        <v>10745</v>
      </c>
      <c r="F13" s="139" t="s">
        <v>36</v>
      </c>
      <c r="G13" s="140"/>
      <c r="H13" s="141">
        <f>D29</f>
        <v>654670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4</v>
      </c>
      <c r="D14" s="31">
        <f t="shared" si="1"/>
        <v>44</v>
      </c>
      <c r="F14" s="144" t="s">
        <v>39</v>
      </c>
      <c r="G14" s="145"/>
      <c r="H14" s="146">
        <f>D54</f>
        <v>112054.5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542615.5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62" t="s">
        <v>55</v>
      </c>
      <c r="G29" s="163"/>
      <c r="H29" s="166">
        <f>H15-H16-H17-H18-H19-H20-H22-H23-H24+H26+H27</f>
        <v>537149.5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94">
        <f>F34*G34</f>
        <v>29000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94">
        <f>F35*G35</f>
        <v>23000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94">
        <f t="shared" si="2"/>
        <v>200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94">
        <f t="shared" si="2"/>
        <v>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8</v>
      </c>
      <c r="D42" s="12">
        <f>C42*2.25</f>
        <v>18</v>
      </c>
      <c r="F42" s="39" t="s">
        <v>79</v>
      </c>
      <c r="G42" s="194">
        <v>40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78">
        <v>302372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78">
        <v>182588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5</v>
      </c>
      <c r="D46" s="12">
        <f>C46*1.5</f>
        <v>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8</v>
      </c>
      <c r="D49" s="12">
        <f>C49*42</f>
        <v>336</v>
      </c>
      <c r="F49" s="219" t="s">
        <v>86</v>
      </c>
      <c r="G49" s="166">
        <f>H34+H35+H36+H37+H38+H39+H40+H41+G42+H44+H45+H46</f>
        <v>537250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100.5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112054.5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 t="s">
        <v>153</v>
      </c>
      <c r="H4" s="108" t="s">
        <v>9</v>
      </c>
      <c r="I4" s="110">
        <v>45965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213</v>
      </c>
      <c r="D6" s="13">
        <f t="shared" ref="D6:D28" si="1">C6*L6</f>
        <v>156981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2900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10</v>
      </c>
      <c r="D9" s="13">
        <f t="shared" si="1"/>
        <v>7070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7</v>
      </c>
      <c r="D13" s="48">
        <f t="shared" si="1"/>
        <v>2149</v>
      </c>
      <c r="F13" s="139" t="s">
        <v>36</v>
      </c>
      <c r="G13" s="140"/>
      <c r="H13" s="141">
        <f>D29</f>
        <v>169353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23</v>
      </c>
      <c r="D14" s="31">
        <f t="shared" si="1"/>
        <v>253</v>
      </c>
      <c r="F14" s="144" t="s">
        <v>39</v>
      </c>
      <c r="G14" s="145"/>
      <c r="H14" s="146">
        <f>D54</f>
        <v>32837.25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136515.75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6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62" t="s">
        <v>55</v>
      </c>
      <c r="G29" s="163"/>
      <c r="H29" s="166">
        <f>H15-H16-H17-H18-H19-H20-H22-H23-H24+H26+H27</f>
        <v>135255.75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94">
        <f>F34*G34</f>
        <v>98000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94">
        <f>F35*G35</f>
        <v>36500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94">
        <f t="shared" si="2"/>
        <v>500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22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8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25</v>
      </c>
      <c r="D46" s="12">
        <f>C46*1.5</f>
        <v>37.5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3</v>
      </c>
      <c r="D49" s="12">
        <f>C49*42</f>
        <v>126</v>
      </c>
      <c r="F49" s="219" t="s">
        <v>86</v>
      </c>
      <c r="G49" s="166">
        <f>H34+H35+H36+H37+H38+H39+H40+H41+G42+H44+H45+H46</f>
        <v>135022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20</v>
      </c>
      <c r="D50" s="12">
        <f>C50*1.5</f>
        <v>30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-233.75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32837.25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291</v>
      </c>
      <c r="D6" s="13">
        <f t="shared" ref="D6:D28" si="1">C6*L6</f>
        <v>214467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25</v>
      </c>
      <c r="D9" s="13">
        <f t="shared" si="1"/>
        <v>17675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v>5</v>
      </c>
      <c r="D13" s="48">
        <f t="shared" si="1"/>
        <v>1535</v>
      </c>
      <c r="F13" s="139" t="s">
        <v>36</v>
      </c>
      <c r="G13" s="140"/>
      <c r="H13" s="141">
        <f>D29</f>
        <v>238949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7</v>
      </c>
      <c r="D14" s="31">
        <f t="shared" si="1"/>
        <v>77</v>
      </c>
      <c r="F14" s="144" t="s">
        <v>39</v>
      </c>
      <c r="G14" s="145"/>
      <c r="H14" s="146">
        <f>D54</f>
        <v>35661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203288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2</v>
      </c>
      <c r="D28" s="48">
        <f t="shared" si="1"/>
        <v>1570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238949</v>
      </c>
      <c r="F29" s="162" t="s">
        <v>55</v>
      </c>
      <c r="G29" s="163"/>
      <c r="H29" s="166">
        <f>H15-H16-H17-H18-H19-H20-H22-H23-H24+H26+H27+H28</f>
        <v>203288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94">
        <f t="shared" ref="H34:H39" si="2">F34*G34</f>
        <v>119000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4">
        <f t="shared" si="2"/>
        <v>40000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 t="shared" si="2"/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94">
        <f t="shared" si="2"/>
        <v>11300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94">
        <f t="shared" si="2"/>
        <v>1500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394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 t="s">
        <v>157</v>
      </c>
      <c r="G44" s="62"/>
      <c r="H44" s="178">
        <v>30000</v>
      </c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15</v>
      </c>
      <c r="D46" s="12">
        <f>C46*1.5</f>
        <v>22.5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</v>
      </c>
      <c r="D49" s="12">
        <f>C49*42</f>
        <v>42</v>
      </c>
      <c r="F49" s="219" t="s">
        <v>86</v>
      </c>
      <c r="G49" s="166">
        <f>H34+H35+H36+H37+H38+H39+H40+H41+G42+H44+H45+H46</f>
        <v>202614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15</v>
      </c>
      <c r="D50" s="12">
        <f>C50*1.5</f>
        <v>22.5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-674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268</v>
      </c>
      <c r="D6" s="13">
        <f t="shared" ref="D6:D28" si="1">C6*L6</f>
        <v>197516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5</v>
      </c>
      <c r="D7" s="13">
        <f t="shared" si="1"/>
        <v>3625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15</v>
      </c>
      <c r="D9" s="13">
        <f t="shared" si="1"/>
        <v>10605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6</v>
      </c>
      <c r="D12" s="48">
        <f t="shared" si="1"/>
        <v>5712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11</v>
      </c>
      <c r="D13" s="48">
        <f t="shared" si="1"/>
        <v>3377</v>
      </c>
      <c r="F13" s="139" t="s">
        <v>36</v>
      </c>
      <c r="G13" s="140"/>
      <c r="H13" s="141">
        <f>D29</f>
        <v>236512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7</v>
      </c>
      <c r="D14" s="31">
        <f t="shared" si="1"/>
        <v>77</v>
      </c>
      <c r="F14" s="144" t="s">
        <v>39</v>
      </c>
      <c r="G14" s="145"/>
      <c r="H14" s="146">
        <f>D54</f>
        <v>59487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177025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1683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236512</v>
      </c>
      <c r="F29" s="162" t="s">
        <v>55</v>
      </c>
      <c r="G29" s="163"/>
      <c r="H29" s="166">
        <f>H15-H16-H17-H18-H19-H20-H22-H23-H24+H26+H27</f>
        <v>175342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94">
        <f>F34*G34</f>
        <v>51000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94">
        <f t="shared" ref="H35:H39" si="2">F35*G35</f>
        <v>16500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4">
        <f>F36*G36</f>
        <v>400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94">
        <f t="shared" si="2"/>
        <v>2700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94">
        <f t="shared" si="2"/>
        <v>1500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4">
        <f t="shared" si="2"/>
        <v>40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>
        <v>1024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78">
        <v>102187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175351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</v>
      </c>
      <c r="D50" s="12">
        <f>C50*1.5</f>
        <v>4.5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156</v>
      </c>
      <c r="G51" s="223">
        <f>G49-H29</f>
        <v>9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59487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tabSelected="1" topLeftCell="A19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45966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238</v>
      </c>
      <c r="D6" s="13">
        <f t="shared" ref="D6:D28" si="1">C6*L6</f>
        <v>175406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3</v>
      </c>
      <c r="D7" s="13">
        <f t="shared" si="1"/>
        <v>2175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24</v>
      </c>
      <c r="D9" s="13">
        <f t="shared" si="1"/>
        <v>16968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15</v>
      </c>
      <c r="D13" s="48">
        <f t="shared" si="1"/>
        <v>4605</v>
      </c>
      <c r="F13" s="139" t="s">
        <v>36</v>
      </c>
      <c r="G13" s="140"/>
      <c r="H13" s="141">
        <f>D29</f>
        <v>202370.5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21</v>
      </c>
      <c r="D14" s="31">
        <f t="shared" si="1"/>
        <v>231</v>
      </c>
      <c r="F14" s="144" t="s">
        <v>39</v>
      </c>
      <c r="G14" s="145"/>
      <c r="H14" s="146">
        <f>D54</f>
        <v>19476.75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182893.75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864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202370.5</v>
      </c>
      <c r="F29" s="162" t="s">
        <v>55</v>
      </c>
      <c r="G29" s="163"/>
      <c r="H29" s="166">
        <f>H15-H16-H17-H18-H19-H20-H22-H23-H24+H26+H27</f>
        <v>182029.75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94">
        <f>F34*G34</f>
        <v>136000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94">
        <f>F35*G35</f>
        <v>38500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94">
        <f t="shared" ref="H36:H39" si="2">F36*G36</f>
        <v>800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94">
        <f t="shared" si="2"/>
        <v>6600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94">
        <f t="shared" si="2"/>
        <v>200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94">
        <f t="shared" si="2"/>
        <v>20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3</v>
      </c>
      <c r="D42" s="12">
        <f>C42*2.25</f>
        <v>6.75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15</v>
      </c>
      <c r="D46" s="12">
        <f>C46*1.5</f>
        <v>22.5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182120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38</v>
      </c>
      <c r="D50" s="12">
        <f>C50*1.5</f>
        <v>57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143</v>
      </c>
      <c r="G51" s="223">
        <f>G49-H29</f>
        <v>90.25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19476.75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>
        <v>134</v>
      </c>
      <c r="D6" s="13">
        <f t="shared" ref="D6:D28" si="1">C6*L6</f>
        <v>98758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>
        <v>6</v>
      </c>
      <c r="D9" s="13">
        <f t="shared" si="1"/>
        <v>4242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>
        <v>3</v>
      </c>
      <c r="D13" s="48">
        <f t="shared" si="1"/>
        <v>921</v>
      </c>
      <c r="F13" s="139" t="s">
        <v>36</v>
      </c>
      <c r="G13" s="140"/>
      <c r="H13" s="141">
        <f>D29</f>
        <v>106155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>
        <v>4</v>
      </c>
      <c r="D14" s="31">
        <f t="shared" si="1"/>
        <v>44</v>
      </c>
      <c r="F14" s="144" t="s">
        <v>39</v>
      </c>
      <c r="G14" s="145"/>
      <c r="H14" s="146">
        <f>D54</f>
        <v>15195.75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>
        <v>1</v>
      </c>
      <c r="D15" s="31">
        <f t="shared" si="1"/>
        <v>620</v>
      </c>
      <c r="F15" s="149" t="s">
        <v>40</v>
      </c>
      <c r="G15" s="140"/>
      <c r="H15" s="150">
        <f>H13-H14</f>
        <v>90959.25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>
        <v>2</v>
      </c>
      <c r="D28" s="48">
        <f t="shared" si="1"/>
        <v>1570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106155</v>
      </c>
      <c r="F29" s="162" t="s">
        <v>55</v>
      </c>
      <c r="G29" s="163"/>
      <c r="H29" s="166">
        <f>H15-H16-H17-H18-H19-H20-H22-H23-H24+H26+H27+H28</f>
        <v>90959.25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94">
        <f t="shared" ref="H34:H39" si="2">F34*G34</f>
        <v>81000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94">
        <f t="shared" si="2"/>
        <v>5000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94">
        <f t="shared" si="2"/>
        <v>4400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94">
        <f t="shared" si="2"/>
        <v>350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1</v>
      </c>
      <c r="D42" s="12">
        <f>C42*2.25</f>
        <v>2.25</v>
      </c>
      <c r="F42" s="39" t="s">
        <v>79</v>
      </c>
      <c r="G42" s="194">
        <v>80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>
        <v>1</v>
      </c>
      <c r="D44" s="12">
        <f>C44*120</f>
        <v>120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90830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75</v>
      </c>
      <c r="D50" s="12">
        <f>C50*1.5</f>
        <v>112.5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-129.25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196</v>
      </c>
      <c r="D6" s="13">
        <f t="shared" ref="D6:D28" si="1">C6*L6</f>
        <v>144452</v>
      </c>
      <c r="F6" s="117" t="s">
        <v>16</v>
      </c>
      <c r="G6" s="119" t="s">
        <v>150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4</v>
      </c>
      <c r="D7" s="13">
        <f t="shared" si="1"/>
        <v>2900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8</v>
      </c>
      <c r="D9" s="13">
        <f t="shared" si="1"/>
        <v>5656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1</v>
      </c>
      <c r="D10" s="13">
        <f t="shared" si="1"/>
        <v>972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1</v>
      </c>
      <c r="D11" s="13">
        <f t="shared" si="1"/>
        <v>1125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1</v>
      </c>
      <c r="D12" s="48">
        <f t="shared" si="1"/>
        <v>952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4</v>
      </c>
      <c r="D13" s="48">
        <f t="shared" si="1"/>
        <v>1228</v>
      </c>
      <c r="F13" s="139" t="s">
        <v>36</v>
      </c>
      <c r="G13" s="140"/>
      <c r="H13" s="141">
        <f>D29</f>
        <v>158246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16</v>
      </c>
      <c r="D14" s="31">
        <f t="shared" si="1"/>
        <v>176</v>
      </c>
      <c r="F14" s="144" t="s">
        <v>39</v>
      </c>
      <c r="G14" s="145"/>
      <c r="H14" s="146">
        <f>D54</f>
        <v>23723.25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134522.75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656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3">
        <v>50</v>
      </c>
      <c r="I19" s="153"/>
      <c r="J19" s="1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>
        <v>1</v>
      </c>
      <c r="D28" s="48">
        <f t="shared" si="1"/>
        <v>785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158246</v>
      </c>
      <c r="F29" s="162" t="s">
        <v>55</v>
      </c>
      <c r="G29" s="163"/>
      <c r="H29" s="166">
        <f>H15-H16-H17-H18-H19-H20-H22-H23-H24+H26+H27</f>
        <v>133816.75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94">
        <f>F34*G34</f>
        <v>87000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94">
        <f t="shared" ref="H35:H39" si="2">F35*G35</f>
        <v>43000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94">
        <f>F36*G36</f>
        <v>200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94">
        <f t="shared" si="2"/>
        <v>2800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94">
        <f t="shared" si="2"/>
        <v>100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4">
        <v>92</v>
      </c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>
        <v>3</v>
      </c>
      <c r="D45" s="12">
        <f>C45*84</f>
        <v>252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>
        <v>13</v>
      </c>
      <c r="D46" s="12">
        <f>C46*1.5</f>
        <v>19.5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133192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36</v>
      </c>
      <c r="D50" s="12">
        <f>C50*1.5</f>
        <v>54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-624.75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23723.25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45967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>
        <v>522</v>
      </c>
      <c r="D6" s="13">
        <f t="shared" ref="D6:D28" si="1">C6*L6</f>
        <v>384714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>
        <v>20</v>
      </c>
      <c r="D7" s="13">
        <f t="shared" si="1"/>
        <v>14500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>
        <v>1</v>
      </c>
      <c r="D8" s="13">
        <f t="shared" si="1"/>
        <v>1033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>
        <v>112</v>
      </c>
      <c r="D9" s="13">
        <f t="shared" si="1"/>
        <v>79184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>
        <v>2</v>
      </c>
      <c r="D10" s="13">
        <f t="shared" si="1"/>
        <v>1944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>
        <v>2</v>
      </c>
      <c r="D11" s="13">
        <f t="shared" si="1"/>
        <v>2250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>
        <v>2</v>
      </c>
      <c r="D12" s="48">
        <f t="shared" si="1"/>
        <v>1904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>
        <v>26</v>
      </c>
      <c r="D13" s="48">
        <f t="shared" si="1"/>
        <v>7982</v>
      </c>
      <c r="F13" s="139" t="s">
        <v>36</v>
      </c>
      <c r="G13" s="140"/>
      <c r="H13" s="141">
        <f>D29</f>
        <v>494817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>
        <v>6</v>
      </c>
      <c r="D14" s="31">
        <f t="shared" si="1"/>
        <v>66</v>
      </c>
      <c r="F14" s="144" t="s">
        <v>39</v>
      </c>
      <c r="G14" s="145"/>
      <c r="H14" s="146">
        <f>D54</f>
        <v>57405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>
        <v>1</v>
      </c>
      <c r="D15" s="31">
        <f t="shared" si="1"/>
        <v>620</v>
      </c>
      <c r="F15" s="149" t="s">
        <v>40</v>
      </c>
      <c r="G15" s="140"/>
      <c r="H15" s="150">
        <f>H13-H14</f>
        <v>437412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2250+360</f>
        <v>2610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494817</v>
      </c>
      <c r="F29" s="162" t="s">
        <v>55</v>
      </c>
      <c r="G29" s="163"/>
      <c r="H29" s="166">
        <f>H15-H16-H17-H18-H19-H20-H22-H23-H24+H26+H27</f>
        <v>434802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94">
        <f>F34*G34</f>
        <v>42000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94">
        <f>F35*G35</f>
        <v>19000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78">
        <v>226005</v>
      </c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78">
        <v>147693</v>
      </c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>
        <v>15</v>
      </c>
      <c r="D49" s="12">
        <f>C49*42</f>
        <v>630</v>
      </c>
      <c r="F49" s="219" t="s">
        <v>86</v>
      </c>
      <c r="G49" s="166">
        <f>H34+H35+H36+H37+H38+H39+H40+H41+G42+H44+H45+H46</f>
        <v>434698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>
        <v>2</v>
      </c>
      <c r="D50" s="12">
        <f>C50*1.5</f>
        <v>3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-104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57405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45968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45969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1" t="s">
        <v>7</v>
      </c>
      <c r="B4" s="102"/>
      <c r="C4" s="102"/>
      <c r="D4" s="103"/>
      <c r="F4" s="104" t="s">
        <v>8</v>
      </c>
      <c r="G4" s="106"/>
      <c r="H4" s="108" t="s">
        <v>9</v>
      </c>
      <c r="I4" s="110"/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5"/>
      <c r="B6" s="16"/>
      <c r="C6" s="10"/>
      <c r="D6" s="13">
        <f t="shared" ref="D6:D28" si="1">C6*L6</f>
        <v>0</v>
      </c>
      <c r="F6" s="117" t="s">
        <v>16</v>
      </c>
      <c r="G6" s="119"/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5"/>
      <c r="B7" s="16"/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5"/>
      <c r="B8" s="16"/>
      <c r="C8" s="10"/>
      <c r="D8" s="13">
        <f t="shared" si="1"/>
        <v>0</v>
      </c>
      <c r="F8" s="125" t="s">
        <v>21</v>
      </c>
      <c r="G8" s="127"/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5"/>
      <c r="B9" s="16"/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5"/>
      <c r="C10" s="10"/>
      <c r="D10" s="13">
        <f t="shared" si="1"/>
        <v>0</v>
      </c>
      <c r="F10" s="117" t="s">
        <v>26</v>
      </c>
      <c r="G10" s="133"/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9" ht="15.75" x14ac:dyDescent="0.25">
      <c r="A11" s="115"/>
      <c r="B11" s="17"/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5"/>
      <c r="B12" s="17"/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5"/>
      <c r="B13" s="17"/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5"/>
      <c r="B14" s="14"/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5"/>
      <c r="B15" s="14"/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/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/>
      <c r="C19" s="10"/>
      <c r="D19" s="48">
        <f t="shared" si="1"/>
        <v>0</v>
      </c>
      <c r="F19" s="56"/>
      <c r="G19" s="68" t="s">
        <v>50</v>
      </c>
      <c r="H19" s="172"/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/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/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/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/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/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/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/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/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/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/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/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/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128</v>
      </c>
      <c r="G51" s="223">
        <f>G49-H29</f>
        <v>0</v>
      </c>
      <c r="H51" s="224"/>
      <c r="I51" s="224"/>
      <c r="J51" s="22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26"/>
      <c r="H52" s="227"/>
      <c r="I52" s="227"/>
      <c r="J52" s="22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1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89"/>
      <c r="D6" s="13">
        <f t="shared" ref="D6:D28" si="1">C6*L6</f>
        <v>0</v>
      </c>
      <c r="F6" s="117" t="s">
        <v>16</v>
      </c>
      <c r="G6" s="119" t="s">
        <v>129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89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89"/>
      <c r="D8" s="13">
        <f t="shared" si="1"/>
        <v>0</v>
      </c>
      <c r="F8" s="125" t="s">
        <v>21</v>
      </c>
      <c r="G8" s="127" t="s">
        <v>112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89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89"/>
      <c r="D10" s="13">
        <f t="shared" si="1"/>
        <v>0</v>
      </c>
      <c r="F10" s="117" t="s">
        <v>26</v>
      </c>
      <c r="G10" s="133" t="s">
        <v>130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89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89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89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89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89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140</v>
      </c>
      <c r="C17" s="89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26"/>
      <c r="I19" s="126"/>
      <c r="J19" s="126"/>
      <c r="L19" s="6">
        <v>1102</v>
      </c>
      <c r="Q19" s="4"/>
      <c r="R19" s="5">
        <f t="shared" si="0"/>
        <v>0</v>
      </c>
    </row>
    <row r="20" spans="1:18" ht="15.75" x14ac:dyDescent="0.25">
      <c r="A20" s="11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127</v>
      </c>
      <c r="C22" s="89"/>
      <c r="D22" s="48">
        <f t="shared" si="1"/>
        <v>0</v>
      </c>
      <c r="F22" s="77"/>
      <c r="G22" s="73"/>
      <c r="H22" s="176"/>
      <c r="I22" s="176"/>
      <c r="J22" s="17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139</v>
      </c>
      <c r="C26" s="89"/>
      <c r="D26" s="48">
        <f t="shared" si="1"/>
        <v>0</v>
      </c>
      <c r="F26" s="75"/>
      <c r="G26" s="65"/>
      <c r="H26" s="178"/>
      <c r="I26" s="178"/>
      <c r="J26" s="17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89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H15-H16-H17-H18-H19-H20-H22-H23-H24+H26+H27+H28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4">
        <f t="shared" ref="H34:H39" si="2"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si="2"/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si="2"/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131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2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134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114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115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93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3"/>
      <c r="I19" s="233"/>
      <c r="J19" s="23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26"/>
      <c r="I20" s="126"/>
      <c r="J20" s="12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2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25"/>
      <c r="G23" s="37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123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10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14"/>
      <c r="G27" s="14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 t="shared" ref="H35:H39" si="2"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93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132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0" t="s">
        <v>1</v>
      </c>
      <c r="O1" s="100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1" t="s">
        <v>7</v>
      </c>
      <c r="B4" s="102"/>
      <c r="C4" s="102"/>
      <c r="D4" s="103"/>
      <c r="F4" s="104" t="s">
        <v>8</v>
      </c>
      <c r="G4" s="106">
        <v>3</v>
      </c>
      <c r="H4" s="108" t="s">
        <v>9</v>
      </c>
      <c r="I4" s="110">
        <v>45971</v>
      </c>
      <c r="J4" s="11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4" t="s">
        <v>7</v>
      </c>
      <c r="B5" s="15" t="s">
        <v>11</v>
      </c>
      <c r="C5" s="9" t="s">
        <v>12</v>
      </c>
      <c r="D5" s="25" t="s">
        <v>13</v>
      </c>
      <c r="F5" s="105"/>
      <c r="G5" s="107"/>
      <c r="H5" s="109"/>
      <c r="I5" s="112"/>
      <c r="J5" s="11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5"/>
      <c r="B6" s="16" t="s">
        <v>15</v>
      </c>
      <c r="C6" s="10"/>
      <c r="D6" s="13">
        <f t="shared" ref="D6:D28" si="1">C6*L6</f>
        <v>0</v>
      </c>
      <c r="F6" s="117" t="s">
        <v>16</v>
      </c>
      <c r="G6" s="119" t="s">
        <v>111</v>
      </c>
      <c r="H6" s="120"/>
      <c r="I6" s="120"/>
      <c r="J6" s="12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5"/>
      <c r="B7" s="16" t="s">
        <v>18</v>
      </c>
      <c r="C7" s="10"/>
      <c r="D7" s="13">
        <f t="shared" si="1"/>
        <v>0</v>
      </c>
      <c r="F7" s="118"/>
      <c r="G7" s="122"/>
      <c r="H7" s="123"/>
      <c r="I7" s="123"/>
      <c r="J7" s="12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15"/>
      <c r="B8" s="16" t="s">
        <v>20</v>
      </c>
      <c r="C8" s="10"/>
      <c r="D8" s="13">
        <f t="shared" si="1"/>
        <v>0</v>
      </c>
      <c r="F8" s="125" t="s">
        <v>21</v>
      </c>
      <c r="G8" s="127" t="s">
        <v>119</v>
      </c>
      <c r="H8" s="128"/>
      <c r="I8" s="128"/>
      <c r="J8" s="1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15"/>
      <c r="B9" s="16" t="s">
        <v>23</v>
      </c>
      <c r="C9" s="10"/>
      <c r="D9" s="13">
        <f t="shared" si="1"/>
        <v>0</v>
      </c>
      <c r="F9" s="118"/>
      <c r="G9" s="130"/>
      <c r="H9" s="131"/>
      <c r="I9" s="131"/>
      <c r="J9" s="1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15"/>
      <c r="B10" t="s">
        <v>25</v>
      </c>
      <c r="C10" s="10"/>
      <c r="D10" s="13">
        <f t="shared" si="1"/>
        <v>0</v>
      </c>
      <c r="F10" s="117" t="s">
        <v>26</v>
      </c>
      <c r="G10" s="133" t="s">
        <v>137</v>
      </c>
      <c r="H10" s="134"/>
      <c r="I10" s="134"/>
      <c r="J10" s="135"/>
      <c r="K10" s="8"/>
      <c r="L10" s="6">
        <f>R36</f>
        <v>972</v>
      </c>
      <c r="P10" s="4"/>
      <c r="Q10" s="4"/>
      <c r="R10" s="5"/>
    </row>
    <row r="11" spans="1:18" ht="15.75" x14ac:dyDescent="0.25">
      <c r="A11" s="115"/>
      <c r="B11" s="17" t="s">
        <v>28</v>
      </c>
      <c r="C11" s="10"/>
      <c r="D11" s="13">
        <f t="shared" si="1"/>
        <v>0</v>
      </c>
      <c r="F11" s="118"/>
      <c r="G11" s="130"/>
      <c r="H11" s="131"/>
      <c r="I11" s="131"/>
      <c r="J11" s="1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5"/>
      <c r="B12" s="17" t="s">
        <v>30</v>
      </c>
      <c r="C12" s="10"/>
      <c r="D12" s="48">
        <f t="shared" si="1"/>
        <v>0</v>
      </c>
      <c r="F12" s="136" t="s">
        <v>33</v>
      </c>
      <c r="G12" s="137"/>
      <c r="H12" s="137"/>
      <c r="I12" s="137"/>
      <c r="J12" s="1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5"/>
      <c r="B13" s="17" t="s">
        <v>32</v>
      </c>
      <c r="C13" s="10"/>
      <c r="D13" s="48">
        <f t="shared" si="1"/>
        <v>0</v>
      </c>
      <c r="F13" s="139" t="s">
        <v>36</v>
      </c>
      <c r="G13" s="140"/>
      <c r="H13" s="141">
        <f>D29</f>
        <v>0</v>
      </c>
      <c r="I13" s="142"/>
      <c r="J13" s="14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5"/>
      <c r="B14" s="14" t="s">
        <v>35</v>
      </c>
      <c r="C14" s="10"/>
      <c r="D14" s="31">
        <f t="shared" si="1"/>
        <v>0</v>
      </c>
      <c r="F14" s="144" t="s">
        <v>39</v>
      </c>
      <c r="G14" s="145"/>
      <c r="H14" s="146">
        <f>D54</f>
        <v>0</v>
      </c>
      <c r="I14" s="147"/>
      <c r="J14" s="14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5"/>
      <c r="B15" s="14" t="s">
        <v>38</v>
      </c>
      <c r="C15" s="10"/>
      <c r="D15" s="31">
        <f t="shared" si="1"/>
        <v>0</v>
      </c>
      <c r="F15" s="149" t="s">
        <v>40</v>
      </c>
      <c r="G15" s="140"/>
      <c r="H15" s="150">
        <f>H13-H14</f>
        <v>0</v>
      </c>
      <c r="I15" s="151"/>
      <c r="J15" s="15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5"/>
      <c r="B17" t="s">
        <v>113</v>
      </c>
      <c r="C17" s="10"/>
      <c r="D17" s="48">
        <f t="shared" si="1"/>
        <v>0</v>
      </c>
      <c r="F17" s="56"/>
      <c r="G17" s="66" t="s">
        <v>45</v>
      </c>
      <c r="H17" s="126"/>
      <c r="I17" s="126"/>
      <c r="J17" s="12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6"/>
      <c r="I18" s="126"/>
      <c r="J18" s="12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3" t="s">
        <v>13</v>
      </c>
      <c r="I21" s="174"/>
      <c r="J21" s="17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5"/>
      <c r="B22" s="46" t="s">
        <v>104</v>
      </c>
      <c r="C22" s="10"/>
      <c r="D22" s="48">
        <f t="shared" si="1"/>
        <v>0</v>
      </c>
      <c r="F22" s="77"/>
      <c r="G22" s="73"/>
      <c r="H22" s="176"/>
      <c r="I22" s="176"/>
      <c r="J22" s="17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5"/>
      <c r="B23" s="14" t="s">
        <v>107</v>
      </c>
      <c r="C23" s="10"/>
      <c r="D23" s="48">
        <f t="shared" si="1"/>
        <v>0</v>
      </c>
      <c r="F23" s="78"/>
      <c r="G23" s="79"/>
      <c r="H23" s="177"/>
      <c r="I23" s="178"/>
      <c r="J23" s="17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5"/>
      <c r="B24" s="14" t="s">
        <v>101</v>
      </c>
      <c r="C24" s="10"/>
      <c r="D24" s="48">
        <f t="shared" si="1"/>
        <v>0</v>
      </c>
      <c r="F24" s="38"/>
      <c r="G24" s="37"/>
      <c r="H24" s="177"/>
      <c r="I24" s="178"/>
      <c r="J24" s="17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9" t="s">
        <v>13</v>
      </c>
      <c r="I25" s="180"/>
      <c r="J25" s="181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5"/>
      <c r="B26" s="14" t="s">
        <v>105</v>
      </c>
      <c r="C26" s="10"/>
      <c r="D26" s="48">
        <f t="shared" si="1"/>
        <v>0</v>
      </c>
      <c r="F26" s="64"/>
      <c r="G26" s="59"/>
      <c r="H26" s="182"/>
      <c r="I26" s="183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5"/>
      <c r="B27" s="14" t="s">
        <v>109</v>
      </c>
      <c r="C27" s="10"/>
      <c r="D27" s="44">
        <f t="shared" si="1"/>
        <v>0</v>
      </c>
      <c r="F27" s="25"/>
      <c r="G27" s="80"/>
      <c r="H27" s="185"/>
      <c r="I27" s="186"/>
      <c r="J27" s="187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6"/>
      <c r="B28" s="46" t="s">
        <v>97</v>
      </c>
      <c r="C28" s="10"/>
      <c r="D28" s="48">
        <f t="shared" si="1"/>
        <v>0</v>
      </c>
      <c r="F28" s="91"/>
      <c r="G28" s="61"/>
      <c r="H28" s="188"/>
      <c r="I28" s="189"/>
      <c r="J28" s="190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62" t="s">
        <v>55</v>
      </c>
      <c r="G29" s="163"/>
      <c r="H29" s="166">
        <f>H15-H16-H17-H18-H19-H20-H22-H23-H24+H26+H27</f>
        <v>0</v>
      </c>
      <c r="I29" s="167"/>
      <c r="J29" s="16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64"/>
      <c r="G30" s="165"/>
      <c r="H30" s="169"/>
      <c r="I30" s="170"/>
      <c r="J30" s="17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1" t="s">
        <v>58</v>
      </c>
      <c r="B32" s="102"/>
      <c r="C32" s="102"/>
      <c r="D32" s="103"/>
      <c r="F32" s="191" t="s">
        <v>59</v>
      </c>
      <c r="G32" s="192"/>
      <c r="H32" s="192"/>
      <c r="I32" s="192"/>
      <c r="J32" s="19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91" t="s">
        <v>13</v>
      </c>
      <c r="I33" s="192"/>
      <c r="J33" s="19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4">
        <f>F34*G34</f>
        <v>0</v>
      </c>
      <c r="I34" s="195"/>
      <c r="J34" s="19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5"/>
      <c r="B35" s="27" t="s">
        <v>68</v>
      </c>
      <c r="C35" s="52"/>
      <c r="D35" s="30">
        <f>C35*84</f>
        <v>0</v>
      </c>
      <c r="F35" s="58">
        <v>500</v>
      </c>
      <c r="G35" s="41"/>
      <c r="H35" s="194">
        <f>F35*G35</f>
        <v>0</v>
      </c>
      <c r="I35" s="195"/>
      <c r="J35" s="19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6"/>
      <c r="B36" s="26" t="s">
        <v>70</v>
      </c>
      <c r="C36" s="10"/>
      <c r="D36" s="12">
        <f>C36*1.5</f>
        <v>0</v>
      </c>
      <c r="F36" s="12">
        <v>200</v>
      </c>
      <c r="G36" s="37"/>
      <c r="H36" s="194">
        <f t="shared" ref="H36:H39" si="2">F36*G36</f>
        <v>0</v>
      </c>
      <c r="I36" s="195"/>
      <c r="J36" s="19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4">
        <f t="shared" si="2"/>
        <v>0</v>
      </c>
      <c r="I37" s="195"/>
      <c r="J37" s="19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5"/>
      <c r="B38" s="29" t="s">
        <v>68</v>
      </c>
      <c r="C38" s="54"/>
      <c r="D38" s="12">
        <f>C38*84</f>
        <v>0</v>
      </c>
      <c r="F38" s="30">
        <v>50</v>
      </c>
      <c r="G38" s="39"/>
      <c r="H38" s="194">
        <f t="shared" si="2"/>
        <v>0</v>
      </c>
      <c r="I38" s="195"/>
      <c r="J38" s="19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6"/>
      <c r="B39" s="29" t="s">
        <v>70</v>
      </c>
      <c r="C39" s="52"/>
      <c r="D39" s="31">
        <f>C39*4.5</f>
        <v>0</v>
      </c>
      <c r="F39" s="12">
        <v>20</v>
      </c>
      <c r="G39" s="37"/>
      <c r="H39" s="194">
        <f t="shared" si="2"/>
        <v>0</v>
      </c>
      <c r="I39" s="195"/>
      <c r="J39" s="19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4"/>
      <c r="I40" s="195"/>
      <c r="J40" s="19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5"/>
      <c r="B41" s="27" t="s">
        <v>68</v>
      </c>
      <c r="C41" s="10"/>
      <c r="D41" s="12">
        <f>C41*84</f>
        <v>0</v>
      </c>
      <c r="F41" s="12">
        <v>5</v>
      </c>
      <c r="G41" s="42"/>
      <c r="H41" s="194"/>
      <c r="I41" s="195"/>
      <c r="J41" s="19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6"/>
      <c r="B42" s="27" t="s">
        <v>70</v>
      </c>
      <c r="C42" s="11"/>
      <c r="D42" s="12">
        <f>C42*2.25</f>
        <v>0</v>
      </c>
      <c r="F42" s="39" t="s">
        <v>79</v>
      </c>
      <c r="G42" s="194"/>
      <c r="H42" s="195"/>
      <c r="I42" s="195"/>
      <c r="J42" s="19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7" t="s">
        <v>81</v>
      </c>
      <c r="C43" s="11"/>
      <c r="D43" s="12"/>
      <c r="F43" s="59" t="s">
        <v>82</v>
      </c>
      <c r="G43" s="94" t="s">
        <v>83</v>
      </c>
      <c r="H43" s="200" t="s">
        <v>13</v>
      </c>
      <c r="I43" s="201"/>
      <c r="J43" s="202"/>
      <c r="K43" s="21"/>
      <c r="P43" s="4"/>
      <c r="Q43" s="4"/>
      <c r="R43" s="5"/>
    </row>
    <row r="44" spans="1:18" ht="15.75" x14ac:dyDescent="0.25">
      <c r="A44" s="198"/>
      <c r="B44" s="27" t="s">
        <v>66</v>
      </c>
      <c r="C44" s="10"/>
      <c r="D44" s="12">
        <f>C44*120</f>
        <v>0</v>
      </c>
      <c r="F44" s="37"/>
      <c r="G44" s="76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98"/>
      <c r="B45" s="27" t="s">
        <v>68</v>
      </c>
      <c r="C45" s="33"/>
      <c r="D45" s="12">
        <f>C45*84</f>
        <v>0</v>
      </c>
      <c r="F45" s="37"/>
      <c r="G45" s="76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98"/>
      <c r="B46" s="49" t="s">
        <v>70</v>
      </c>
      <c r="C46" s="81"/>
      <c r="D46" s="12">
        <f>C46*1.5</f>
        <v>0</v>
      </c>
      <c r="F46" s="37"/>
      <c r="G46" s="62"/>
      <c r="H46" s="203"/>
      <c r="I46" s="203"/>
      <c r="J46" s="203"/>
      <c r="K46" s="21"/>
      <c r="P46" s="4"/>
      <c r="Q46" s="4"/>
      <c r="R46" s="5"/>
    </row>
    <row r="47" spans="1:18" ht="15.75" x14ac:dyDescent="0.25">
      <c r="A47" s="199"/>
      <c r="B47" s="27"/>
      <c r="C47" s="11"/>
      <c r="D47" s="12"/>
      <c r="F47" s="59"/>
      <c r="G47" s="59"/>
      <c r="H47" s="204"/>
      <c r="I47" s="205"/>
      <c r="J47" s="206"/>
      <c r="K47" s="21"/>
      <c r="P47" s="4"/>
      <c r="Q47" s="4"/>
      <c r="R47" s="5"/>
    </row>
    <row r="48" spans="1:18" ht="15" customHeight="1" x14ac:dyDescent="0.25">
      <c r="A48" s="197" t="s">
        <v>32</v>
      </c>
      <c r="B48" s="27" t="s">
        <v>66</v>
      </c>
      <c r="C48" s="10"/>
      <c r="D48" s="12">
        <f>C48*78</f>
        <v>0</v>
      </c>
      <c r="F48" s="59"/>
      <c r="G48" s="59"/>
      <c r="H48" s="204"/>
      <c r="I48" s="205"/>
      <c r="J48" s="20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8"/>
      <c r="B49" s="29" t="s">
        <v>68</v>
      </c>
      <c r="C49" s="33"/>
      <c r="D49" s="12">
        <f>C49*42</f>
        <v>0</v>
      </c>
      <c r="F49" s="219" t="s">
        <v>86</v>
      </c>
      <c r="G49" s="166">
        <f>H34+H35+H36+H37+H38+H39+H40+H41+G42+H44+H45+H46</f>
        <v>0</v>
      </c>
      <c r="H49" s="167"/>
      <c r="I49" s="167"/>
      <c r="J49" s="16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8"/>
      <c r="B50" s="32" t="s">
        <v>70</v>
      </c>
      <c r="C50" s="11"/>
      <c r="D50" s="12">
        <f>C50*1.5</f>
        <v>0</v>
      </c>
      <c r="F50" s="220"/>
      <c r="G50" s="169"/>
      <c r="H50" s="170"/>
      <c r="I50" s="170"/>
      <c r="J50" s="171"/>
      <c r="P50" s="4"/>
      <c r="Q50" s="4"/>
      <c r="R50" s="5"/>
    </row>
    <row r="51" spans="1:18" ht="15" customHeight="1" x14ac:dyDescent="0.25">
      <c r="A51" s="198"/>
      <c r="B51" s="27"/>
      <c r="C51" s="10"/>
      <c r="D51" s="31"/>
      <c r="F51" s="221" t="s">
        <v>142</v>
      </c>
      <c r="G51" s="234">
        <f>G49-H29</f>
        <v>0</v>
      </c>
      <c r="H51" s="235"/>
      <c r="I51" s="235"/>
      <c r="J51" s="2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8"/>
      <c r="B52" s="29"/>
      <c r="C52" s="33"/>
      <c r="D52" s="45"/>
      <c r="F52" s="222"/>
      <c r="G52" s="237"/>
      <c r="H52" s="238"/>
      <c r="I52" s="238"/>
      <c r="J52" s="2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2" t="s">
        <v>90</v>
      </c>
      <c r="B54" s="207"/>
      <c r="C54" s="208"/>
      <c r="D54" s="211">
        <f>SUM(D34:D53)</f>
        <v>0</v>
      </c>
      <c r="F54" s="21"/>
      <c r="J54" s="34"/>
    </row>
    <row r="55" spans="1:18" x14ac:dyDescent="0.25">
      <c r="A55" s="164"/>
      <c r="B55" s="209"/>
      <c r="C55" s="210"/>
      <c r="D55" s="21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3" t="s">
        <v>91</v>
      </c>
      <c r="B58" s="214"/>
      <c r="C58" s="214"/>
      <c r="D58" s="215"/>
      <c r="F58" s="213" t="s">
        <v>92</v>
      </c>
      <c r="G58" s="214"/>
      <c r="H58" s="214"/>
      <c r="I58" s="214"/>
      <c r="J58" s="215"/>
    </row>
    <row r="59" spans="1:18" x14ac:dyDescent="0.25">
      <c r="A59" s="216"/>
      <c r="B59" s="217"/>
      <c r="C59" s="217"/>
      <c r="D59" s="218"/>
      <c r="F59" s="216"/>
      <c r="G59" s="217"/>
      <c r="H59" s="217"/>
      <c r="I59" s="217"/>
      <c r="J59" s="21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2025-11-07T02:59:05Z</cp:lastPrinted>
  <dcterms:created xsi:type="dcterms:W3CDTF">2024-09-01T23:36:50Z</dcterms:created>
  <dcterms:modified xsi:type="dcterms:W3CDTF">2025-11-07T03:59:46Z</dcterms:modified>
</cp:coreProperties>
</file>