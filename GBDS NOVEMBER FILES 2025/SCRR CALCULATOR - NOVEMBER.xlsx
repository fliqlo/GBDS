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E164233E-A507-4EE1-BC36-B2897106DC9C}" xr6:coauthVersionLast="45" xr6:coauthVersionMax="47" xr10:uidLastSave="{00000000-0000-0000-0000-000000000000}"/>
  <bookViews>
    <workbookView xWindow="-120" yWindow="-120" windowWidth="29040" windowHeight="15840" firstSheet="9" activeTab="21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89" r:id="rId48"/>
    <sheet name="15,11 R2" sheetId="1490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G49" i="1491" s="1"/>
  <c r="D36" i="1491"/>
  <c r="R35" i="1491"/>
  <c r="L19" i="1491" s="1"/>
  <c r="D19" i="1491" s="1"/>
  <c r="H35" i="1491"/>
  <c r="D35" i="1491"/>
  <c r="R34" i="1491"/>
  <c r="H34" i="1491"/>
  <c r="D34" i="1491"/>
  <c r="D54" i="1491" s="1"/>
  <c r="H14" i="1491" s="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G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D54" i="1490" s="1"/>
  <c r="H14" i="1490" s="1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29" i="1489" s="1"/>
  <c r="H13" i="1489" s="1"/>
  <c r="H15" i="1489" s="1"/>
  <c r="H29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D54" i="1489" s="1"/>
  <c r="H14" i="1489" s="1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D54" i="1487" s="1"/>
  <c r="H14" i="1487" s="1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G49" i="1487" s="1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D29" i="1487" s="1"/>
  <c r="H13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G49" i="1486" s="1"/>
  <c r="D34" i="1486"/>
  <c r="D54" i="1486" s="1"/>
  <c r="H14" i="1486" s="1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G49" i="1485" s="1"/>
  <c r="D36" i="1485"/>
  <c r="R35" i="1485"/>
  <c r="H35" i="1485"/>
  <c r="D35" i="1485"/>
  <c r="R34" i="1485"/>
  <c r="H34" i="1485"/>
  <c r="D34" i="1485"/>
  <c r="D54" i="1485" s="1"/>
  <c r="H14" i="1485" s="1"/>
  <c r="R33" i="1485"/>
  <c r="R32" i="1485"/>
  <c r="R31" i="1485"/>
  <c r="R30" i="1485"/>
  <c r="R29" i="1485"/>
  <c r="R28" i="1485"/>
  <c r="D28" i="1485"/>
  <c r="R27" i="1485"/>
  <c r="D27" i="1485"/>
  <c r="R26" i="1485"/>
  <c r="L26" i="1485"/>
  <c r="D26" i="1485" s="1"/>
  <c r="R25" i="1485"/>
  <c r="L25" i="1485"/>
  <c r="D25" i="1485" s="1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D54" i="1483" s="1"/>
  <c r="H14" i="1483" s="1"/>
  <c r="R35" i="1483"/>
  <c r="L19" i="1483" s="1"/>
  <c r="D19" i="1483" s="1"/>
  <c r="H35" i="1483"/>
  <c r="D35" i="1483"/>
  <c r="R34" i="1483"/>
  <c r="H34" i="1483"/>
  <c r="G49" i="1483" s="1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G49" i="1482" s="1"/>
  <c r="D36" i="1482"/>
  <c r="R35" i="1482"/>
  <c r="L19" i="1482" s="1"/>
  <c r="D19" i="1482" s="1"/>
  <c r="H35" i="1482"/>
  <c r="D35" i="1482"/>
  <c r="R34" i="1482"/>
  <c r="H34" i="1482"/>
  <c r="D34" i="1482"/>
  <c r="D54" i="1482" s="1"/>
  <c r="H14" i="1482" s="1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L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D54" i="1479" s="1"/>
  <c r="H14" i="1479" s="1"/>
  <c r="R34" i="1479"/>
  <c r="L12" i="1479" s="1"/>
  <c r="D12" i="1479" s="1"/>
  <c r="H34" i="1479"/>
  <c r="G49" i="1479" s="1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L25" i="1479"/>
  <c r="D25" i="1479" s="1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D54" i="1478" s="1"/>
  <c r="H14" i="1478" s="1"/>
  <c r="R34" i="1478"/>
  <c r="L12" i="1478" s="1"/>
  <c r="D12" i="1478" s="1"/>
  <c r="H34" i="1478"/>
  <c r="G49" i="1478" s="1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G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D34" i="1477"/>
  <c r="D54" i="1477" s="1"/>
  <c r="H14" i="1477" s="1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D54" i="1475" s="1"/>
  <c r="H14" i="1475" s="1"/>
  <c r="R34" i="1475"/>
  <c r="L12" i="1475" s="1"/>
  <c r="D12" i="1475" s="1"/>
  <c r="H34" i="1475"/>
  <c r="G49" i="1475" s="1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G49" i="1474" s="1"/>
  <c r="D36" i="1474"/>
  <c r="R35" i="1474"/>
  <c r="L19" i="1474" s="1"/>
  <c r="D19" i="1474" s="1"/>
  <c r="H35" i="1474"/>
  <c r="D35" i="1474"/>
  <c r="R34" i="1474"/>
  <c r="H34" i="1474"/>
  <c r="D34" i="1474"/>
  <c r="D54" i="1474" s="1"/>
  <c r="H14" i="1474" s="1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G49" i="1473" s="1"/>
  <c r="D34" i="1473"/>
  <c r="D54" i="1473" s="1"/>
  <c r="H14" i="1473" s="1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L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D29" i="1496" l="1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H15" i="1491" s="1"/>
  <c r="H29" i="1491" s="1"/>
  <c r="G51" i="1491" s="1"/>
  <c r="D29" i="1490"/>
  <c r="H13" i="1490" s="1"/>
  <c r="H15" i="1490" s="1"/>
  <c r="H29" i="1490" s="1"/>
  <c r="G51" i="1490" s="1"/>
  <c r="G51" i="1489"/>
  <c r="D29" i="1488"/>
  <c r="H13" i="1488" s="1"/>
  <c r="H15" i="1488" s="1"/>
  <c r="H29" i="1488" s="1"/>
  <c r="G51" i="1488"/>
  <c r="H15" i="1487"/>
  <c r="H29" i="1487" s="1"/>
  <c r="G51" i="1487"/>
  <c r="D29" i="1486"/>
  <c r="H13" i="1486" s="1"/>
  <c r="H15" i="1486" s="1"/>
  <c r="H29" i="1486" s="1"/>
  <c r="G51" i="1486" s="1"/>
  <c r="D29" i="1485"/>
  <c r="H13" i="1485" s="1"/>
  <c r="H15" i="1485" s="1"/>
  <c r="H29" i="1485" s="1"/>
  <c r="G51" i="1485"/>
  <c r="D29" i="1484"/>
  <c r="H13" i="1484" s="1"/>
  <c r="H15" i="1484" s="1"/>
  <c r="H29" i="1484" s="1"/>
  <c r="G51" i="1484" s="1"/>
  <c r="D29" i="1483"/>
  <c r="H13" i="1483" s="1"/>
  <c r="H15" i="1483" s="1"/>
  <c r="H29" i="1483" s="1"/>
  <c r="G51" i="1483" s="1"/>
  <c r="D29" i="1482"/>
  <c r="H13" i="1482" s="1"/>
  <c r="H15" i="1482" s="1"/>
  <c r="H29" i="1482" s="1"/>
  <c r="G51" i="1482" s="1"/>
  <c r="D29" i="1481"/>
  <c r="H13" i="1481" s="1"/>
  <c r="H15" i="1481" s="1"/>
  <c r="H29" i="1481" s="1"/>
  <c r="G51" i="1481"/>
  <c r="D29" i="1479"/>
  <c r="H13" i="1479" s="1"/>
  <c r="H15" i="1479" s="1"/>
  <c r="H29" i="1479" s="1"/>
  <c r="G51" i="1479" s="1"/>
  <c r="D29" i="1478"/>
  <c r="H13" i="1478" s="1"/>
  <c r="H15" i="1478" s="1"/>
  <c r="H29" i="1478" s="1"/>
  <c r="G51" i="1478" s="1"/>
  <c r="D29" i="1477"/>
  <c r="H13" i="1477" s="1"/>
  <c r="H15" i="1477" s="1"/>
  <c r="H29" i="1477" s="1"/>
  <c r="G51" i="1477" s="1"/>
  <c r="D29" i="1476"/>
  <c r="H13" i="1476" s="1"/>
  <c r="H15" i="1476" s="1"/>
  <c r="H29" i="1476" s="1"/>
  <c r="G51" i="1476" s="1"/>
  <c r="G51" i="1475"/>
  <c r="D29" i="1475"/>
  <c r="H13" i="1475" s="1"/>
  <c r="H15" i="1475" s="1"/>
  <c r="H29" i="1475" s="1"/>
  <c r="D29" i="1474"/>
  <c r="H13" i="1474" s="1"/>
  <c r="H15" i="1474" s="1"/>
  <c r="H29" i="1474" s="1"/>
  <c r="G51" i="1474" s="1"/>
  <c r="D29" i="1473"/>
  <c r="H13" i="1473" s="1"/>
  <c r="H15" i="1473" s="1"/>
  <c r="H29" i="1473" s="1"/>
  <c r="G51" i="1473"/>
  <c r="D29" i="1472"/>
  <c r="H13" i="1472" s="1"/>
  <c r="H15" i="1472" s="1"/>
  <c r="H29" i="1472" s="1"/>
  <c r="G51" i="1472"/>
  <c r="L25" i="1454"/>
  <c r="H16" i="1458" l="1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D54" i="1462" l="1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62" l="1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<sst xmlns="http://schemas.openxmlformats.org/spreadsheetml/2006/main" count="7086" uniqueCount="163">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</sst>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C209A7-420F-44E9-882A-762F85C37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D71D9B-D0ED-4A13-8DD8-DE9E9EBCC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078616-F302-41EB-973F-A8A4ECD899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2CDBB-8CF4-4166-8588-2B7AA74D3A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8CEA63-A93C-4C49-9287-68DC141EF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>
        <v>189</v>
      </c>
      <c r="D6" s="13">
        <f t="shared" ref="D6:D28" si="1">C6*L6</f>
        <v>139293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>
        <v>10</v>
      </c>
      <c r="D7" s="13">
        <f t="shared" si="1"/>
        <v>7250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>
        <v>1</v>
      </c>
      <c r="D8" s="13">
        <f t="shared" si="1"/>
        <v>1033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>
        <v>21</v>
      </c>
      <c r="D9" s="13">
        <f t="shared" si="1"/>
        <v>14847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>
        <f>1+1</f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>
        <f>7</f>
        <v>7</v>
      </c>
      <c r="D13" s="48">
        <f t="shared" si="1"/>
        <v>2149</v>
      </c>
      <c r="F13" s="144" t="s">
        <v>36</v>
      </c>
      <c r="G13" s="145"/>
      <c r="H13" s="146">
        <f>D29</f>
        <v>176285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>
        <v>18</v>
      </c>
      <c r="D14" s="31">
        <f t="shared" si="1"/>
        <v>198</v>
      </c>
      <c r="F14" s="149" t="s">
        <v>39</v>
      </c>
      <c r="G14" s="150"/>
      <c r="H14" s="151">
        <f>D54</f>
        <v>26221.5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150063.5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83">
        <v>87612</v>
      </c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8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>
        <v>1</v>
      </c>
      <c r="D28" s="48">
        <f t="shared" si="1"/>
        <v>785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176285</v>
      </c>
      <c r="F29" s="167" t="s">
        <v>55</v>
      </c>
      <c r="G29" s="168"/>
      <c r="H29" s="171">
        <f>H15-H16-H17-H18-H19-H20-H22-H23-H24+H26+H27+H28</f>
        <v>237675.5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99">
        <f t="shared" ref="H34:H39" si="2">F34*G34</f>
        <v>120000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99">
        <f t="shared" si="2"/>
        <v>24000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99">
        <f t="shared" si="2"/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99">
        <f t="shared" si="2"/>
        <v>3500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99">
        <f t="shared" si="2"/>
        <v>250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6</v>
      </c>
      <c r="D42" s="12">
        <f>C42*2.25</f>
        <v>13.5</v>
      </c>
      <c r="F42" s="39" t="s">
        <v>79</v>
      </c>
      <c r="G42" s="199">
        <v>2143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83">
        <v>87612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>
        <v>3</v>
      </c>
      <c r="D45" s="12">
        <f>C45*84</f>
        <v>252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237705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29.5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329</v>
      </c>
      <c r="D6" s="13">
        <f t="shared" ref="D6:D28" si="1">C6*L6</f>
        <v>242473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</v>
      </c>
      <c r="D9" s="13">
        <f t="shared" si="1"/>
        <v>9191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254855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39</v>
      </c>
      <c r="G14" s="150"/>
      <c r="H14" s="151">
        <f>D54</f>
        <v>38556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216299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1998+1071</f>
        <v>3069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254855</v>
      </c>
      <c r="F29" s="167" t="s">
        <v>55</v>
      </c>
      <c r="G29" s="168"/>
      <c r="H29" s="171">
        <f>H15-H16-H17-H18-H19-H20-H22-H23-H24+H26+H27</f>
        <v>213230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99">
        <f>F34*G34</f>
        <v>73000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99">
        <f t="shared" ref="H35:H39" si="2">F35*G35</f>
        <v>4500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9">
        <f>F36*G36</f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105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83">
        <v>134760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85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10</v>
      </c>
      <c r="D49" s="12">
        <f>C49*42</f>
        <v>420</v>
      </c>
      <c r="F49" s="224" t="s">
        <v>86</v>
      </c>
      <c r="G49" s="171">
        <f>H34+H35+H36+H37+H38+H39+H40+H41+G42+H44+H45+H46</f>
        <v>212765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10</v>
      </c>
      <c r="D50" s="12">
        <f>C50*1.5</f>
        <v>15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-465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38556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264</v>
      </c>
      <c r="D6" s="13">
        <f t="shared" ref="D6:D28" si="1">C6*L6</f>
        <v>194568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3625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44</v>
      </c>
      <c r="D9" s="13">
        <f t="shared" si="1"/>
        <v>31108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</f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237953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39</v>
      </c>
      <c r="G14" s="150"/>
      <c r="H14" s="151">
        <f>D54</f>
        <v>37326.75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200626.25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840+990</f>
        <v>1830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5</v>
      </c>
      <c r="D28" s="48">
        <f t="shared" si="1"/>
        <v>3925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237953</v>
      </c>
      <c r="F29" s="167" t="s">
        <v>55</v>
      </c>
      <c r="G29" s="168"/>
      <c r="H29" s="171">
        <f>H15-H16-H17-H18-H19-H20-H22-H23-H24+H26+H27</f>
        <v>198796.25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99">
        <f>F35*G35</f>
        <v>10000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9">
        <v>521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8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83">
        <v>84520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1</v>
      </c>
      <c r="D45" s="12">
        <f>C45*84</f>
        <v>84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3</v>
      </c>
      <c r="D46" s="12">
        <f>C46*1.5</f>
        <v>4.5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198891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94.75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37326.75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342</v>
      </c>
      <c r="D6" s="13">
        <f t="shared" ref="D6:D28" si="1">C6*L6</f>
        <v>252054</v>
      </c>
      <c r="F6" s="122" t="s">
        <v>16</v>
      </c>
      <c r="G6" s="124" t="s">
        <v>150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7250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50</v>
      </c>
      <c r="D9" s="13">
        <f t="shared" si="1"/>
        <v>35350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299270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</v>
      </c>
      <c r="D14" s="31">
        <f t="shared" si="1"/>
        <v>11</v>
      </c>
      <c r="F14" s="149" t="s">
        <v>39</v>
      </c>
      <c r="G14" s="150"/>
      <c r="H14" s="151">
        <f>D54</f>
        <v>49524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249746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399*9</f>
        <v>3591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299270</v>
      </c>
      <c r="F29" s="167" t="s">
        <v>55</v>
      </c>
      <c r="G29" s="168"/>
      <c r="H29" s="171">
        <f>H15-H16-H17-H18-H19-H20-H22-H23-H24+H26+H27</f>
        <v>246155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99">
        <f t="shared" ref="H35:H39" si="2">F35*G35</f>
        <v>57500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99">
        <f t="shared" si="2"/>
        <v>70800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99">
        <f t="shared" si="2"/>
        <v>15250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20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31</v>
      </c>
      <c r="D49" s="12">
        <f>C49*42</f>
        <v>1302</v>
      </c>
      <c r="F49" s="224" t="s">
        <v>86</v>
      </c>
      <c r="G49" s="171">
        <f>H34+H35+H36+H37+H38+H39+H40+H41+G42+H44+H45+H46</f>
        <v>246770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156</v>
      </c>
      <c r="G51" s="228">
        <f>G49-H29</f>
        <v>615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49524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 t="s">
        <v>152</v>
      </c>
      <c r="H4" s="113" t="s">
        <v>9</v>
      </c>
      <c r="I4" s="115">
        <v>45965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703</v>
      </c>
      <c r="D6" s="13">
        <f t="shared" ref="D6:D28" si="1">C6*L6</f>
        <v>518111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16</v>
      </c>
      <c r="D7" s="13">
        <f t="shared" si="1"/>
        <v>11600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2</v>
      </c>
      <c r="D8" s="13">
        <f t="shared" si="1"/>
        <v>2066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147</v>
      </c>
      <c r="D9" s="13">
        <f t="shared" si="1"/>
        <v>103929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1944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3</v>
      </c>
      <c r="D11" s="13">
        <f t="shared" si="1"/>
        <v>3375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2+1</f>
        <v>3</v>
      </c>
      <c r="D12" s="48">
        <f t="shared" si="1"/>
        <v>2856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35</v>
      </c>
      <c r="D13" s="48">
        <f t="shared" si="1"/>
        <v>10745</v>
      </c>
      <c r="F13" s="144" t="s">
        <v>36</v>
      </c>
      <c r="G13" s="145"/>
      <c r="H13" s="146">
        <f>D29</f>
        <v>654670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4</v>
      </c>
      <c r="D14" s="31">
        <f t="shared" si="1"/>
        <v>44</v>
      </c>
      <c r="F14" s="149" t="s">
        <v>39</v>
      </c>
      <c r="G14" s="150"/>
      <c r="H14" s="151">
        <f>D54</f>
        <v>112054.5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542615.5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1794+3000+672</f>
        <v>5466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654670</v>
      </c>
      <c r="F29" s="167" t="s">
        <v>55</v>
      </c>
      <c r="G29" s="168"/>
      <c r="H29" s="171">
        <f>H15-H16-H17-H18-H19-H20-H22-H23-H24+H26+H27</f>
        <v>537149.5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99">
        <f>F34*G34</f>
        <v>29000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99">
        <f>F35*G35</f>
        <v>23000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8</v>
      </c>
      <c r="D42" s="12">
        <f>C42*2.25</f>
        <v>18</v>
      </c>
      <c r="F42" s="39" t="s">
        <v>79</v>
      </c>
      <c r="G42" s="199">
        <v>40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83">
        <v>302372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83">
        <v>182588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5</v>
      </c>
      <c r="D46" s="12">
        <f>C46*1.5</f>
        <v>7.5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8</v>
      </c>
      <c r="D49" s="12">
        <f>C49*42</f>
        <v>336</v>
      </c>
      <c r="F49" s="224" t="s">
        <v>86</v>
      </c>
      <c r="G49" s="171">
        <f>H34+H35+H36+H37+H38+H39+H40+H41+G42+H44+H45+H46</f>
        <v>537250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100.5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112054.5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 t="s">
        <v>153</v>
      </c>
      <c r="H4" s="113" t="s">
        <v>9</v>
      </c>
      <c r="I4" s="115">
        <v>45965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213</v>
      </c>
      <c r="D6" s="13">
        <f t="shared" ref="D6:D28" si="1">C6*L6</f>
        <v>156981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</v>
      </c>
      <c r="D7" s="13">
        <f t="shared" si="1"/>
        <v>2900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7070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169353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23</v>
      </c>
      <c r="D14" s="31">
        <f t="shared" si="1"/>
        <v>253</v>
      </c>
      <c r="F14" s="149" t="s">
        <v>39</v>
      </c>
      <c r="G14" s="150"/>
      <c r="H14" s="151">
        <f>D54</f>
        <v>32837.25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136515.75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936+324</f>
        <v>1260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169353</v>
      </c>
      <c r="F29" s="167" t="s">
        <v>55</v>
      </c>
      <c r="G29" s="168"/>
      <c r="H29" s="171">
        <f>H15-H16-H17-H18-H19-H20-H22-H23-H24+H26+H27</f>
        <v>135255.75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99">
        <f>F34*G34</f>
        <v>98000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99">
        <f>F35*G35</f>
        <v>36500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9">
        <v>22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8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25</v>
      </c>
      <c r="D46" s="12">
        <f>C46*1.5</f>
        <v>37.5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3</v>
      </c>
      <c r="D49" s="12">
        <f>C49*42</f>
        <v>126</v>
      </c>
      <c r="F49" s="224" t="s">
        <v>86</v>
      </c>
      <c r="G49" s="171">
        <f>H34+H35+H36+H37+H38+H39+H40+H41+G42+H44+H45+H46</f>
        <v>135022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20</v>
      </c>
      <c r="D50" s="12">
        <f>C50*1.5</f>
        <v>30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-233.75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32837.25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topLeftCell="A1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>
        <v>291</v>
      </c>
      <c r="D6" s="13">
        <f t="shared" ref="D6:D28" si="1">C6*L6</f>
        <v>214467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>
        <v>5</v>
      </c>
      <c r="D7" s="13">
        <f t="shared" si="1"/>
        <v>3625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>
        <v>25</v>
      </c>
      <c r="D9" s="13">
        <f t="shared" si="1"/>
        <v>17675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>
        <v>5</v>
      </c>
      <c r="D13" s="48">
        <f t="shared" si="1"/>
        <v>1535</v>
      </c>
      <c r="F13" s="144" t="s">
        <v>36</v>
      </c>
      <c r="G13" s="145"/>
      <c r="H13" s="146">
        <f>D29</f>
        <v>238949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>
        <v>7</v>
      </c>
      <c r="D14" s="31">
        <f t="shared" si="1"/>
        <v>77</v>
      </c>
      <c r="F14" s="149" t="s">
        <v>39</v>
      </c>
      <c r="G14" s="150"/>
      <c r="H14" s="151">
        <f>D54</f>
        <v>35661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203288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238949</v>
      </c>
      <c r="F29" s="167" t="s">
        <v>55</v>
      </c>
      <c r="G29" s="168"/>
      <c r="H29" s="171">
        <f>H15-H16-H17-H18-H19-H20-H22-H23-H24+H26+H27+H28</f>
        <v>203288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99">
        <f t="shared" ref="H34:H39" si="2">F34*G34</f>
        <v>119000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9">
        <f t="shared" si="2"/>
        <v>40000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99">
        <f t="shared" si="2"/>
        <v>11300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99">
        <f t="shared" si="2"/>
        <v>1500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394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 t="s">
        <v>157</v>
      </c>
      <c r="G44" s="62"/>
      <c r="H44" s="183">
        <v>30000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15</v>
      </c>
      <c r="D46" s="12">
        <f>C46*1.5</f>
        <v>22.5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202614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-674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268</v>
      </c>
      <c r="D6" s="13">
        <f t="shared" ref="D6:D28" si="1">C6*L6</f>
        <v>197516</v>
      </c>
      <c r="F6" s="122" t="s">
        <v>16</v>
      </c>
      <c r="G6" s="124" t="s">
        <v>150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3625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15</v>
      </c>
      <c r="D9" s="13">
        <f t="shared" si="1"/>
        <v>10605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6</v>
      </c>
      <c r="D12" s="48">
        <f t="shared" si="1"/>
        <v>5712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236512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39</v>
      </c>
      <c r="G14" s="150"/>
      <c r="H14" s="151">
        <f>D54</f>
        <v>59487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177025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1683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236512</v>
      </c>
      <c r="F29" s="167" t="s">
        <v>55</v>
      </c>
      <c r="G29" s="168"/>
      <c r="H29" s="171">
        <f>H15-H16-H17-H18-H19-H20-H22-H23-H24+H26+H27</f>
        <v>175342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99">
        <f>F34*G34</f>
        <v>51000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99">
        <f t="shared" ref="H35:H39" si="2">F35*G35</f>
        <v>16500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9">
        <f>F36*G36</f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99">
        <f t="shared" si="2"/>
        <v>2700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99">
        <f t="shared" si="2"/>
        <v>1500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>
        <v>1024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83">
        <v>102187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175351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156</v>
      </c>
      <c r="G51" s="228">
        <f>G49-H29</f>
        <v>9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59487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45966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238</v>
      </c>
      <c r="D6" s="13">
        <f t="shared" ref="D6:D28" si="1">C6*L6</f>
        <v>175406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2175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16968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202370.5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21</v>
      </c>
      <c r="D14" s="31">
        <f t="shared" si="1"/>
        <v>231</v>
      </c>
      <c r="F14" s="149" t="s">
        <v>39</v>
      </c>
      <c r="G14" s="150"/>
      <c r="H14" s="151">
        <f>D54</f>
        <v>19476.75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182893.75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864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>
        <v>12</v>
      </c>
      <c r="D26" s="48">
        <f t="shared" si="1"/>
        <v>434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202370.5</v>
      </c>
      <c r="F29" s="167" t="s">
        <v>55</v>
      </c>
      <c r="G29" s="168"/>
      <c r="H29" s="171">
        <f>H15-H16-H17-H18-H19-H20-H22-H23-H24+H26+H27</f>
        <v>182029.75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99">
        <f>F34*G34</f>
        <v>136000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99">
        <f>F35*G35</f>
        <v>38500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99">
        <f t="shared" ref="H36:H39" si="2">F36*G36</f>
        <v>800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99">
        <f t="shared" si="2"/>
        <v>6600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3</v>
      </c>
      <c r="D42" s="12">
        <f>C42*2.25</f>
        <v>6.75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15</v>
      </c>
      <c r="D46" s="12">
        <f>C46*1.5</f>
        <v>22.5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182120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38</v>
      </c>
      <c r="D50" s="12">
        <f>C50*1.5</f>
        <v>57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90.25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19476.75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topLeftCell="A10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>
        <v>134</v>
      </c>
      <c r="D6" s="13">
        <f t="shared" ref="D6:D28" si="1">C6*L6</f>
        <v>98758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>
        <v>6</v>
      </c>
      <c r="D9" s="13">
        <f t="shared" si="1"/>
        <v>4242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>
        <v>3</v>
      </c>
      <c r="D13" s="48">
        <f t="shared" si="1"/>
        <v>921</v>
      </c>
      <c r="F13" s="144" t="s">
        <v>36</v>
      </c>
      <c r="G13" s="145"/>
      <c r="H13" s="146">
        <f>D29</f>
        <v>106155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>
        <v>4</v>
      </c>
      <c r="D14" s="31">
        <f t="shared" si="1"/>
        <v>44</v>
      </c>
      <c r="F14" s="149" t="s">
        <v>39</v>
      </c>
      <c r="G14" s="150"/>
      <c r="H14" s="151">
        <f>D54</f>
        <v>15195.75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>
        <v>1</v>
      </c>
      <c r="D15" s="31">
        <f t="shared" si="1"/>
        <v>620</v>
      </c>
      <c r="F15" s="154" t="s">
        <v>40</v>
      </c>
      <c r="G15" s="145"/>
      <c r="H15" s="155">
        <f>H13-H14</f>
        <v>90959.25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106155</v>
      </c>
      <c r="F29" s="167" t="s">
        <v>55</v>
      </c>
      <c r="G29" s="168"/>
      <c r="H29" s="171">
        <f>H15-H16-H17-H18-H19-H20-H22-H23-H24+H26+H27+H28</f>
        <v>90959.25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99">
        <f t="shared" ref="H34:H39" si="2">F34*G34</f>
        <v>81000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99">
        <f t="shared" si="2"/>
        <v>5000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99">
        <f t="shared" si="2"/>
        <v>4400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</v>
      </c>
      <c r="D42" s="12">
        <f>C42*2.25</f>
        <v>2.25</v>
      </c>
      <c r="F42" s="39" t="s">
        <v>79</v>
      </c>
      <c r="G42" s="199">
        <v>80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1</v>
      </c>
      <c r="D44" s="12">
        <f>C44*120</f>
        <v>120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90830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75</v>
      </c>
      <c r="D50" s="12">
        <f>C50*1.5</f>
        <v>112.5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-129.25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196</v>
      </c>
      <c r="D6" s="13">
        <f t="shared" ref="D6:D28" si="1">C6*L6</f>
        <v>144452</v>
      </c>
      <c r="F6" s="122" t="s">
        <v>16</v>
      </c>
      <c r="G6" s="124" t="s">
        <v>150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</v>
      </c>
      <c r="D7" s="13">
        <f t="shared" si="1"/>
        <v>2900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8</v>
      </c>
      <c r="D9" s="13">
        <f t="shared" si="1"/>
        <v>5656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1125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158246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16</v>
      </c>
      <c r="D14" s="31">
        <f t="shared" si="1"/>
        <v>176</v>
      </c>
      <c r="F14" s="149" t="s">
        <v>39</v>
      </c>
      <c r="G14" s="150"/>
      <c r="H14" s="151">
        <f>D54</f>
        <v>23723.25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134522.75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656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8">
        <v>50</v>
      </c>
      <c r="I19" s="158"/>
      <c r="J19" s="1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>
        <v>1</v>
      </c>
      <c r="D28" s="48">
        <f t="shared" si="1"/>
        <v>785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158246</v>
      </c>
      <c r="F29" s="167" t="s">
        <v>55</v>
      </c>
      <c r="G29" s="168"/>
      <c r="H29" s="171">
        <f>H15-H16-H17-H18-H19-H20-H22-H23-H24+H26+H27</f>
        <v>133816.75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99">
        <f>F34*G34</f>
        <v>87000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99">
        <f t="shared" ref="H35:H39" si="2">F35*G35</f>
        <v>43000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99">
        <f t="shared" si="2"/>
        <v>2800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9">
        <v>92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>
        <v>3</v>
      </c>
      <c r="D45" s="12">
        <f>C45*84</f>
        <v>252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13</v>
      </c>
      <c r="D46" s="12">
        <f>C46*1.5</f>
        <v>19.5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133192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36</v>
      </c>
      <c r="D50" s="12">
        <f>C50*1.5</f>
        <v>54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-624.75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23723.25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522</v>
      </c>
      <c r="D6" s="13">
        <f t="shared" ref="D6:D28" si="1">C6*L6</f>
        <v>384714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14500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1033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112</v>
      </c>
      <c r="D9" s="13">
        <f t="shared" si="1"/>
        <v>79184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1944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2250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1904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26</v>
      </c>
      <c r="D13" s="48">
        <f t="shared" si="1"/>
        <v>7982</v>
      </c>
      <c r="F13" s="144" t="s">
        <v>36</v>
      </c>
      <c r="G13" s="145"/>
      <c r="H13" s="146">
        <f>D29</f>
        <v>494817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6</v>
      </c>
      <c r="D14" s="31">
        <f t="shared" si="1"/>
        <v>66</v>
      </c>
      <c r="F14" s="149" t="s">
        <v>39</v>
      </c>
      <c r="G14" s="150"/>
      <c r="H14" s="151">
        <f>D54</f>
        <v>57405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>
        <v>1</v>
      </c>
      <c r="D15" s="31">
        <f t="shared" si="1"/>
        <v>620</v>
      </c>
      <c r="F15" s="154" t="s">
        <v>40</v>
      </c>
      <c r="G15" s="145"/>
      <c r="H15" s="155">
        <f>H13-H14</f>
        <v>437412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f>2250+360</f>
        <v>2610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494817</v>
      </c>
      <c r="F29" s="167" t="s">
        <v>55</v>
      </c>
      <c r="G29" s="168"/>
      <c r="H29" s="171">
        <f>H15-H16-H17-H18-H19-H20-H22-H23-H24+H26+H27</f>
        <v>434802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99">
        <f>F34*G34</f>
        <v>42000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99">
        <f>F35*G35</f>
        <v>19000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83">
        <v>226005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83">
        <v>147693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15</v>
      </c>
      <c r="D49" s="12">
        <f>C49*42</f>
        <v>630</v>
      </c>
      <c r="F49" s="224" t="s">
        <v>86</v>
      </c>
      <c r="G49" s="171">
        <f>H34+H35+H36+H37+H38+H39+H40+H41+G42+H44+H45+H46</f>
        <v>434698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2</v>
      </c>
      <c r="D50" s="12">
        <f>C50*1.5</f>
        <v>3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-104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57405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>
        <v>257</v>
      </c>
      <c r="D6" s="13">
        <f t="shared" ref="D6:D28" si="1">C6*L6</f>
        <v>189409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>
        <v>10</v>
      </c>
      <c r="D7" s="13">
        <f t="shared" si="1"/>
        <v>7250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>
        <v>5</v>
      </c>
      <c r="D8" s="13">
        <f t="shared" si="1"/>
        <v>5165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>
        <v>32</v>
      </c>
      <c r="D9" s="13">
        <f t="shared" si="1"/>
        <v>22624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>
        <v>2</v>
      </c>
      <c r="D10" s="13">
        <f t="shared" si="1"/>
        <v>1944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>
        <v>3</v>
      </c>
      <c r="D12" s="48">
        <f t="shared" si="1"/>
        <v>2856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>
        <v>10</v>
      </c>
      <c r="D13" s="48">
        <f t="shared" si="1"/>
        <v>3070</v>
      </c>
      <c r="F13" s="144" t="s">
        <v>36</v>
      </c>
      <c r="G13" s="145"/>
      <c r="H13" s="146">
        <f>D29</f>
        <v>241468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35980.5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205487.5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1">
        <v>62969</v>
      </c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34">
        <v>2504</v>
      </c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83">
        <v>72491</v>
      </c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>
        <v>10</v>
      </c>
      <c r="D28" s="48">
        <f t="shared" si="1"/>
        <v>7850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241468</v>
      </c>
      <c r="F29" s="167" t="s">
        <v>55</v>
      </c>
      <c r="G29" s="168"/>
      <c r="H29" s="171">
        <f>H15-H16-H17-H18-H19-H20-H22-H23-H24+H26+H27+H28</f>
        <v>212505.5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99">
        <f t="shared" ref="H34:H39" si="2">F34*G34</f>
        <v>107000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99">
        <f t="shared" si="2"/>
        <v>15500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99">
        <f t="shared" si="2"/>
        <v>3100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99">
        <f t="shared" si="2"/>
        <v>300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99">
        <f t="shared" si="2"/>
        <v>180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2</v>
      </c>
      <c r="D42" s="12">
        <f>C42*2.25</f>
        <v>4.5</v>
      </c>
      <c r="F42" s="39" t="s">
        <v>79</v>
      </c>
      <c r="G42" s="199">
        <v>51</v>
      </c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83">
        <v>13593</v>
      </c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 t="s">
        <v>157</v>
      </c>
      <c r="G45" s="62"/>
      <c r="H45" s="183">
        <v>72491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2</v>
      </c>
      <c r="D49" s="12">
        <f>C49*42</f>
        <v>84</v>
      </c>
      <c r="F49" s="224" t="s">
        <v>86</v>
      </c>
      <c r="G49" s="171">
        <f>H34+H35+H36+H37+H38+H39+H40+H41+G42+H44+H45+H46</f>
        <v>212615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13</v>
      </c>
      <c r="D50" s="12">
        <f>C50*1.5</f>
        <v>19.5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143</v>
      </c>
      <c r="G51" s="228">
        <f>G49-H29</f>
        <v>109.5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211</v>
      </c>
      <c r="D6" s="13">
        <f t="shared" ref="D6:D28" si="1">C6*L6</f>
        <v>155507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1450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138</v>
      </c>
      <c r="D9" s="13">
        <f t="shared" si="1"/>
        <v>97566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972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2250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952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</v>
      </c>
      <c r="D13" s="48">
        <f t="shared" si="1"/>
        <v>307</v>
      </c>
      <c r="F13" s="144" t="s">
        <v>36</v>
      </c>
      <c r="G13" s="145"/>
      <c r="H13" s="146">
        <f>D29</f>
        <v>259191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17</v>
      </c>
      <c r="D14" s="31">
        <f t="shared" si="1"/>
        <v>187</v>
      </c>
      <c r="F14" s="149" t="s">
        <v>39</v>
      </c>
      <c r="G14" s="150"/>
      <c r="H14" s="151">
        <f>D54</f>
        <v>36323.25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222867.75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>
        <v>1608</v>
      </c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259191</v>
      </c>
      <c r="F29" s="167" t="s">
        <v>55</v>
      </c>
      <c r="G29" s="168"/>
      <c r="H29" s="171">
        <f>H15-H16-H17-H18-H19-H20-H22-H23-H24+H26+H27</f>
        <v>221259.75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99">
        <f>F34*G34</f>
        <v>15000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99">
        <f>F35*G35</f>
        <v>42500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83">
        <v>163678</v>
      </c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>
        <v>1</v>
      </c>
      <c r="D49" s="12">
        <f>C49*42</f>
        <v>42</v>
      </c>
      <c r="F49" s="224" t="s">
        <v>86</v>
      </c>
      <c r="G49" s="171">
        <f>H34+H35+H36+H37+H38+H39+H40+H41+G42+H44+H45+H46</f>
        <v>221178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>
        <v>5</v>
      </c>
      <c r="D50" s="12">
        <f>C50*1.5</f>
        <v>7.5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-81.75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36323.25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9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9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9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45978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89"/>
      <c r="D6" s="13">
        <f t="shared" ref="D6:D28" si="1">C6*L6</f>
        <v>0</v>
      </c>
      <c r="F6" s="122" t="s">
        <v>16</v>
      </c>
      <c r="G6" s="124" t="s">
        <v>129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89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89"/>
      <c r="D8" s="13">
        <f t="shared" si="1"/>
        <v>0</v>
      </c>
      <c r="F8" s="130" t="s">
        <v>21</v>
      </c>
      <c r="G8" s="132" t="s">
        <v>112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89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89"/>
      <c r="D10" s="13">
        <f t="shared" si="1"/>
        <v>0</v>
      </c>
      <c r="F10" s="122" t="s">
        <v>26</v>
      </c>
      <c r="G10" s="138" t="s">
        <v>130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89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89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89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89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89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140</v>
      </c>
      <c r="C17" s="89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1"/>
      <c r="I19" s="131"/>
      <c r="J19" s="131"/>
      <c r="L19" s="6">
        <v>1102</v>
      </c>
      <c r="Q19" s="4"/>
      <c r="R19" s="5">
        <f t="shared" si="0"/>
        <v>0</v>
      </c>
    </row>
    <row r="20" spans="1:18" ht="15.75" x14ac:dyDescent="0.25">
      <c r="A20" s="120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127</v>
      </c>
      <c r="C22" s="89"/>
      <c r="D22" s="48">
        <f t="shared" si="1"/>
        <v>0</v>
      </c>
      <c r="F22" s="77"/>
      <c r="G22" s="73"/>
      <c r="H22" s="181"/>
      <c r="I22" s="181"/>
      <c r="J22" s="18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101</v>
      </c>
      <c r="C23" s="89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121</v>
      </c>
      <c r="C24" s="89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139</v>
      </c>
      <c r="C26" s="89"/>
      <c r="D26" s="48">
        <f t="shared" si="1"/>
        <v>0</v>
      </c>
      <c r="F26" s="75"/>
      <c r="G26" s="65"/>
      <c r="H26" s="183"/>
      <c r="I26" s="183"/>
      <c r="J26" s="18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110</v>
      </c>
      <c r="C27" s="89"/>
      <c r="D27" s="44">
        <f t="shared" si="1"/>
        <v>0</v>
      </c>
      <c r="F27" s="71"/>
      <c r="G27" s="104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H15-H16-H17-H18-H19-H20-H22-H23-H24+H26+H27+H28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45978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134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114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115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93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1"/>
      <c r="I20" s="131"/>
      <c r="J20" s="13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123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103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45978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111</v>
      </c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119</v>
      </c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137</v>
      </c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38</v>
      </c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t="s">
        <v>113</v>
      </c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5"/>
      <c r="I19" s="245"/>
      <c r="J19" s="24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 t="s">
        <v>104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107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101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39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40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45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47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120</v>
      </c>
      <c r="H20" s="158"/>
      <c r="I20" s="158"/>
      <c r="J20" s="15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8" t="s">
        <v>13</v>
      </c>
      <c r="I21" s="179"/>
      <c r="J21" s="18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55</v>
      </c>
      <c r="G29" s="168"/>
      <c r="H29" s="171">
        <f>H15-H16-H17-H18-H19-H20-H22-H23-H24+H26+H27</f>
        <v>0</v>
      </c>
      <c r="I29" s="172"/>
      <c r="J29" s="17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58</v>
      </c>
      <c r="B32" s="107"/>
      <c r="C32" s="107"/>
      <c r="D32" s="108"/>
      <c r="F32" s="196" t="s">
        <v>59</v>
      </c>
      <c r="G32" s="197"/>
      <c r="H32" s="197"/>
      <c r="I32" s="197"/>
      <c r="J32" s="19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96" t="s">
        <v>13</v>
      </c>
      <c r="I33" s="197"/>
      <c r="J33" s="19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68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70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68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70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68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70</v>
      </c>
      <c r="C42" s="11"/>
      <c r="D42" s="12">
        <f>C42*2.25</f>
        <v>0</v>
      </c>
      <c r="F42" s="39" t="s">
        <v>79</v>
      </c>
      <c r="G42" s="199"/>
      <c r="H42" s="200"/>
      <c r="I42" s="200"/>
      <c r="J42" s="20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81</v>
      </c>
      <c r="C43" s="11"/>
      <c r="D43" s="12"/>
      <c r="F43" s="59" t="s">
        <v>82</v>
      </c>
      <c r="G43" s="104" t="s">
        <v>83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66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68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70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66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68</v>
      </c>
      <c r="C49" s="33"/>
      <c r="D49" s="12">
        <f>C49*42</f>
        <v>0</v>
      </c>
      <c r="F49" s="224" t="s">
        <v>86</v>
      </c>
      <c r="G49" s="171">
        <f>H34+H35+H36+H37+H38+H39+H40+H41+G42+H44+H45+H46</f>
        <v>0</v>
      </c>
      <c r="H49" s="172"/>
      <c r="I49" s="172"/>
      <c r="J49" s="17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70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7" t="s">
        <v>90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91</v>
      </c>
      <c r="B58" s="219"/>
      <c r="C58" s="219"/>
      <c r="D58" s="220"/>
      <c r="F58" s="218" t="s">
        <v>92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55</vt:i4>
      </vt:variant>
      <vt:variant>
        <vt:lpstr>Named Ranges</vt:lpstr>
      </vt:variant>
      <vt:variant>
        <vt:i4>54</vt:i4>
      </vt:variant>
    </vt:vector>
  </HeadingPairs>
  <TitlesOfParts>
    <vt:vector size="10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</vt:lpstr>
      <vt:lpstr>15,11 R3</vt:lpstr>
      <vt:lpstr>(17)</vt:lpstr>
      <vt:lpstr>17,11 R1</vt:lpstr>
      <vt:lpstr>17,11 R2</vt:lpstr>
      <vt:lpstr>17,11 R3</vt:lpstr>
      <vt:lpstr>(18)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R2'!Print_Area</vt:lpstr>
      <vt:lpstr>'15,11 R3'!Print_Area</vt:lpstr>
      <vt:lpstr>'17,11 R1'!Print_Area</vt:lpstr>
      <vt:lpstr>'17,11 R2'!Print_Area</vt:lpstr>
      <vt:lpstr>'17,11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2025-11-08T01:36:20Z</cp:lastPrinted>
  <dcterms:created xsi:type="dcterms:W3CDTF">2024-09-01T23:36:50Z</dcterms:created>
  <dcterms:modified xsi:type="dcterms:W3CDTF">2025-11-08T01:36:25Z</dcterms:modified>
</cp:coreProperties>
</file>