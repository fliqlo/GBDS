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FAB939B-C143-4FB8-B43E-E49581CC535A}" xr6:coauthVersionLast="45" xr6:coauthVersionMax="47" xr10:uidLastSave="{00000000-0000-0000-0000-000000000000}"/>
  <bookViews>
    <workbookView xWindow="-120" yWindow="-120" windowWidth="29040" windowHeight="15840" firstSheet="9" activeTab="2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62" l="1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62" l="1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<sst xmlns="http://schemas.openxmlformats.org/spreadsheetml/2006/main" count="7086" uniqueCount="163">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</sst>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189</v>
      </c>
      <c r="D6" s="13">
        <f t="shared" ref="D6:D28" si="1">C6*L6</f>
        <v>139293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21</v>
      </c>
      <c r="D9" s="13">
        <f t="shared" si="1"/>
        <v>14847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f>7</f>
        <v>7</v>
      </c>
      <c r="D13" s="48">
        <f t="shared" si="1"/>
        <v>2149</v>
      </c>
      <c r="F13" s="233" t="s">
        <v>36</v>
      </c>
      <c r="G13" s="197"/>
      <c r="H13" s="188">
        <f>D29</f>
        <v>176285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18</v>
      </c>
      <c r="D14" s="31">
        <f t="shared" si="1"/>
        <v>198</v>
      </c>
      <c r="F14" s="191" t="s">
        <v>39</v>
      </c>
      <c r="G14" s="192"/>
      <c r="H14" s="193">
        <f>D54</f>
        <v>26221.5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150063.5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44">
        <v>87612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</v>
      </c>
      <c r="D28" s="48">
        <f t="shared" si="1"/>
        <v>785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05" t="s">
        <v>55</v>
      </c>
      <c r="G29" s="167"/>
      <c r="H29" s="127">
        <f>H15-H16-H17-H18-H19-H20-H22-H23-H24+H26+H27+H28</f>
        <v>237675.5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9">
        <f t="shared" ref="H34:H39" si="2">F34*G34</f>
        <v>120000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9">
        <f t="shared" si="2"/>
        <v>24000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9">
        <f t="shared" si="2"/>
        <v>3500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6</v>
      </c>
      <c r="D42" s="12">
        <f>C42*2.25</f>
        <v>13.5</v>
      </c>
      <c r="F42" s="39" t="s">
        <v>79</v>
      </c>
      <c r="G42" s="149">
        <v>2143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44">
        <v>87612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237705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29.5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329</v>
      </c>
      <c r="D6" s="13">
        <f t="shared" ref="D6:D28" si="1">C6*L6</f>
        <v>242473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254855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38556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216299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05" t="s">
        <v>55</v>
      </c>
      <c r="G29" s="167"/>
      <c r="H29" s="127">
        <f>H15-H16-H17-H18-H19-H20-H22-H23-H24+H26+H27</f>
        <v>213230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9">
        <f>F34*G34</f>
        <v>73000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9">
        <f t="shared" ref="H35:H39" si="2">F35*G35</f>
        <v>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44">
        <v>134760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85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10</v>
      </c>
      <c r="D49" s="12">
        <f>C49*42</f>
        <v>420</v>
      </c>
      <c r="F49" s="125" t="s">
        <v>86</v>
      </c>
      <c r="G49" s="127">
        <f>H34+H35+H36+H37+H38+H39+H40+H41+G42+H44+H45+H46</f>
        <v>212765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10</v>
      </c>
      <c r="D50" s="12">
        <f>C50*1.5</f>
        <v>15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-465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38556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264</v>
      </c>
      <c r="D6" s="13">
        <f t="shared" ref="D6:D28" si="1">C6*L6</f>
        <v>194568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44</v>
      </c>
      <c r="D9" s="13">
        <f t="shared" si="1"/>
        <v>31108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</f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237953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37326.75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200626.25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87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05" t="s">
        <v>55</v>
      </c>
      <c r="G29" s="167"/>
      <c r="H29" s="127">
        <f>H15-H16-H17-H18-H19-H20-H22-H23-H24+H26+H27</f>
        <v>198796.25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9">
        <f>F35*G35</f>
        <v>10000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9">
        <f t="shared" si="2"/>
        <v>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521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44">
        <v>84520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198891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94.75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37326.75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342</v>
      </c>
      <c r="D6" s="13">
        <f t="shared" ref="D6:D28" si="1">C6*L6</f>
        <v>252054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50</v>
      </c>
      <c r="D9" s="13">
        <f t="shared" si="1"/>
        <v>35350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299270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49524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249746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05" t="s">
        <v>55</v>
      </c>
      <c r="G29" s="167"/>
      <c r="H29" s="127">
        <f>H15-H16-H17-H18-H19-H20-H22-H23-H24+H26+H27</f>
        <v>246155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9">
        <f t="shared" ref="H35:H39" si="2">F35*G35</f>
        <v>57500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9">
        <f t="shared" si="2"/>
        <v>70800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9">
        <f t="shared" si="2"/>
        <v>15250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31</v>
      </c>
      <c r="D49" s="12">
        <f>C49*42</f>
        <v>1302</v>
      </c>
      <c r="F49" s="125" t="s">
        <v>86</v>
      </c>
      <c r="G49" s="127">
        <f>H34+H35+H36+H37+H38+H39+H40+H41+G42+H44+H45+H46</f>
        <v>246770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615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49524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152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703</v>
      </c>
      <c r="D6" s="13">
        <f t="shared" ref="D6:D28" si="1">C6*L6</f>
        <v>518111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2</v>
      </c>
      <c r="D8" s="13">
        <f t="shared" si="1"/>
        <v>2066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147</v>
      </c>
      <c r="D9" s="13">
        <f t="shared" si="1"/>
        <v>103929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3</v>
      </c>
      <c r="D11" s="13">
        <f t="shared" si="1"/>
        <v>3375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35</v>
      </c>
      <c r="D13" s="48">
        <f t="shared" si="1"/>
        <v>10745</v>
      </c>
      <c r="F13" s="233" t="s">
        <v>36</v>
      </c>
      <c r="G13" s="197"/>
      <c r="H13" s="188">
        <f>D29</f>
        <v>654670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112054.5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542615.5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05" t="s">
        <v>55</v>
      </c>
      <c r="G29" s="167"/>
      <c r="H29" s="127">
        <f>H15-H16-H17-H18-H19-H20-H22-H23-H24+H26+H27</f>
        <v>537149.5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9">
        <f>F34*G34</f>
        <v>29000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9">
        <f>F35*G35</f>
        <v>23000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40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44">
        <v>302372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44">
        <v>182588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8</v>
      </c>
      <c r="D49" s="12">
        <f>C49*42</f>
        <v>336</v>
      </c>
      <c r="F49" s="125" t="s">
        <v>86</v>
      </c>
      <c r="G49" s="127">
        <f>H34+H35+H36+H37+H38+H39+H40+H41+G42+H44+H45+H46</f>
        <v>537250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100.5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112054.5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 t="s">
        <v>153</v>
      </c>
      <c r="H4" s="206" t="s">
        <v>9</v>
      </c>
      <c r="I4" s="208">
        <v>45965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213</v>
      </c>
      <c r="D6" s="13">
        <f t="shared" ref="D6:D28" si="1">C6*L6</f>
        <v>156981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7</v>
      </c>
      <c r="D13" s="48">
        <f t="shared" si="1"/>
        <v>2149</v>
      </c>
      <c r="F13" s="233" t="s">
        <v>36</v>
      </c>
      <c r="G13" s="197"/>
      <c r="H13" s="188">
        <f>D29</f>
        <v>169353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39</v>
      </c>
      <c r="G14" s="192"/>
      <c r="H14" s="193">
        <f>D54</f>
        <v>32837.25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136515.75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6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05" t="s">
        <v>55</v>
      </c>
      <c r="G29" s="167"/>
      <c r="H29" s="127">
        <f>H15-H16-H17-H18-H19-H20-H22-H23-H24+H26+H27</f>
        <v>135255.75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9">
        <f>F34*G34</f>
        <v>98000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9">
        <f>F35*G35</f>
        <v>36500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8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25</v>
      </c>
      <c r="D46" s="12">
        <f>C46*1.5</f>
        <v>37.5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3</v>
      </c>
      <c r="D49" s="12">
        <f>C49*42</f>
        <v>126</v>
      </c>
      <c r="F49" s="125" t="s">
        <v>86</v>
      </c>
      <c r="G49" s="127">
        <f>H34+H35+H36+H37+H38+H39+H40+H41+G42+H44+H45+H46</f>
        <v>135022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-233.75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32837.25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291</v>
      </c>
      <c r="D6" s="13">
        <f t="shared" ref="D6:D28" si="1">C6*L6</f>
        <v>214467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5</v>
      </c>
      <c r="D13" s="48">
        <f t="shared" si="1"/>
        <v>1535</v>
      </c>
      <c r="F13" s="233" t="s">
        <v>36</v>
      </c>
      <c r="G13" s="197"/>
      <c r="H13" s="188">
        <f>D29</f>
        <v>238949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7</v>
      </c>
      <c r="D14" s="31">
        <f t="shared" si="1"/>
        <v>77</v>
      </c>
      <c r="F14" s="191" t="s">
        <v>39</v>
      </c>
      <c r="G14" s="192"/>
      <c r="H14" s="193">
        <f>D54</f>
        <v>35661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203288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05" t="s">
        <v>55</v>
      </c>
      <c r="G29" s="167"/>
      <c r="H29" s="127">
        <f>H15-H16-H17-H18-H19-H20-H22-H23-H24+H26+H27+H28</f>
        <v>203288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9">
        <f t="shared" ref="H34:H39" si="2">F34*G34</f>
        <v>119000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9">
        <f t="shared" si="2"/>
        <v>40000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9">
        <f t="shared" si="2"/>
        <v>11300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394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157</v>
      </c>
      <c r="G44" s="62"/>
      <c r="H44" s="144">
        <v>30000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202614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-674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268</v>
      </c>
      <c r="D6" s="13">
        <f t="shared" ref="D6:D28" si="1">C6*L6</f>
        <v>197516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15</v>
      </c>
      <c r="D9" s="13">
        <f t="shared" si="1"/>
        <v>10605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6</v>
      </c>
      <c r="D12" s="48">
        <f t="shared" si="1"/>
        <v>5712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11</v>
      </c>
      <c r="D13" s="48">
        <f t="shared" si="1"/>
        <v>3377</v>
      </c>
      <c r="F13" s="233" t="s">
        <v>36</v>
      </c>
      <c r="G13" s="197"/>
      <c r="H13" s="188">
        <f>D29</f>
        <v>236512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7</v>
      </c>
      <c r="D14" s="31">
        <f t="shared" si="1"/>
        <v>77</v>
      </c>
      <c r="F14" s="191" t="s">
        <v>39</v>
      </c>
      <c r="G14" s="192"/>
      <c r="H14" s="193">
        <f>D54</f>
        <v>59487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177025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05" t="s">
        <v>55</v>
      </c>
      <c r="G29" s="167"/>
      <c r="H29" s="127">
        <f>H15-H16-H17-H18-H19-H20-H22-H23-H24+H26+H27</f>
        <v>175342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9">
        <f>F34*G34</f>
        <v>51000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9">
        <f t="shared" ref="H35:H39" si="2">F35*G35</f>
        <v>16500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9">
        <f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9">
        <f t="shared" si="2"/>
        <v>2700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9">
        <f t="shared" si="2"/>
        <v>1500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9">
        <f t="shared" si="2"/>
        <v>40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1024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44">
        <v>102187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175351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</v>
      </c>
      <c r="D50" s="12">
        <f>C50*1.5</f>
        <v>4.5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156</v>
      </c>
      <c r="G51" s="135">
        <f>G49-H29</f>
        <v>9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59487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238</v>
      </c>
      <c r="D6" s="13">
        <f t="shared" ref="D6:D28" si="1">C6*L6</f>
        <v>175406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15</v>
      </c>
      <c r="D13" s="48">
        <f t="shared" si="1"/>
        <v>4605</v>
      </c>
      <c r="F13" s="233" t="s">
        <v>36</v>
      </c>
      <c r="G13" s="197"/>
      <c r="H13" s="188">
        <f>D29</f>
        <v>202370.5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21</v>
      </c>
      <c r="D14" s="31">
        <f t="shared" si="1"/>
        <v>231</v>
      </c>
      <c r="F14" s="191" t="s">
        <v>39</v>
      </c>
      <c r="G14" s="192"/>
      <c r="H14" s="193">
        <f>D54</f>
        <v>19476.75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182893.75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>
        <v>12</v>
      </c>
      <c r="D26" s="48">
        <f t="shared" si="1"/>
        <v>434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05" t="s">
        <v>55</v>
      </c>
      <c r="G29" s="167"/>
      <c r="H29" s="127">
        <f>H15-H16-H17-H18-H19-H20-H22-H23-H24+H26+H27</f>
        <v>182029.75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9">
        <f>F34*G34</f>
        <v>136000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9">
        <f>F35*G35</f>
        <v>38500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9">
        <f t="shared" ref="H36:H39" si="2">F36*G36</f>
        <v>800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9">
        <f t="shared" si="2"/>
        <v>6600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3</v>
      </c>
      <c r="D42" s="12">
        <f>C42*2.25</f>
        <v>6.75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15</v>
      </c>
      <c r="D46" s="12">
        <f>C46*1.5</f>
        <v>22.5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182120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38</v>
      </c>
      <c r="D50" s="12">
        <f>C50*1.5</f>
        <v>57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90.25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19476.75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134</v>
      </c>
      <c r="D6" s="13">
        <f t="shared" ref="D6:D28" si="1">C6*L6</f>
        <v>98758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6</v>
      </c>
      <c r="D9" s="13">
        <f t="shared" si="1"/>
        <v>4242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3</v>
      </c>
      <c r="D13" s="48">
        <f t="shared" si="1"/>
        <v>921</v>
      </c>
      <c r="F13" s="233" t="s">
        <v>36</v>
      </c>
      <c r="G13" s="197"/>
      <c r="H13" s="188">
        <f>D29</f>
        <v>106155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>
        <v>4</v>
      </c>
      <c r="D14" s="31">
        <f t="shared" si="1"/>
        <v>44</v>
      </c>
      <c r="F14" s="191" t="s">
        <v>39</v>
      </c>
      <c r="G14" s="192"/>
      <c r="H14" s="193">
        <f>D54</f>
        <v>15195.75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>
        <v>1</v>
      </c>
      <c r="D15" s="31">
        <f t="shared" si="1"/>
        <v>620</v>
      </c>
      <c r="F15" s="196" t="s">
        <v>40</v>
      </c>
      <c r="G15" s="197"/>
      <c r="H15" s="198">
        <f>H13-H14</f>
        <v>90959.25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2</v>
      </c>
      <c r="D28" s="48">
        <f t="shared" si="1"/>
        <v>1570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05" t="s">
        <v>55</v>
      </c>
      <c r="G29" s="167"/>
      <c r="H29" s="127">
        <f>H15-H16-H17-H18-H19-H20-H22-H23-H24+H26+H27+H28</f>
        <v>90959.25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49">
        <f t="shared" ref="H34:H39" si="2">F34*G34</f>
        <v>81000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49">
        <f t="shared" si="2"/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49">
        <f t="shared" si="2"/>
        <v>4400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80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90830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75</v>
      </c>
      <c r="D50" s="12">
        <f>C50*1.5</f>
        <v>112.5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-129.25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196</v>
      </c>
      <c r="D6" s="13">
        <f t="shared" ref="D6:D28" si="1">C6*L6</f>
        <v>144452</v>
      </c>
      <c r="F6" s="212" t="s">
        <v>16</v>
      </c>
      <c r="G6" s="214" t="s">
        <v>150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23723.25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134522.75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05" t="s">
        <v>55</v>
      </c>
      <c r="G29" s="167"/>
      <c r="H29" s="127">
        <f>H15-H16-H17-H18-H19-H20-H22-H23-H24+H26+H27</f>
        <v>133816.75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49">
        <f>F34*G34</f>
        <v>87000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49">
        <f t="shared" ref="H35:H39" si="2">F35*G35</f>
        <v>43000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49">
        <f t="shared" si="2"/>
        <v>2800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92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133192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36</v>
      </c>
      <c r="D50" s="12">
        <f>C50*1.5</f>
        <v>54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-624.75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23723.25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522</v>
      </c>
      <c r="D6" s="13">
        <f t="shared" ref="D6:D28" si="1">C6*L6</f>
        <v>384714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112</v>
      </c>
      <c r="D9" s="13">
        <f t="shared" si="1"/>
        <v>79184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26</v>
      </c>
      <c r="D13" s="48">
        <f t="shared" si="1"/>
        <v>7982</v>
      </c>
      <c r="F13" s="233" t="s">
        <v>36</v>
      </c>
      <c r="G13" s="197"/>
      <c r="H13" s="188">
        <f>D29</f>
        <v>494817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57405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1</v>
      </c>
      <c r="D15" s="31">
        <f t="shared" si="1"/>
        <v>620</v>
      </c>
      <c r="F15" s="196" t="s">
        <v>40</v>
      </c>
      <c r="G15" s="197"/>
      <c r="H15" s="198">
        <f>H13-H14</f>
        <v>437412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05" t="s">
        <v>55</v>
      </c>
      <c r="G29" s="167"/>
      <c r="H29" s="127">
        <f>H15-H16-H17-H18-H19-H20-H22-H23-H24+H26+H27</f>
        <v>434802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49">
        <f>F34*G34</f>
        <v>42000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49">
        <f>F35*G35</f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44">
        <v>226005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44">
        <v>147693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15</v>
      </c>
      <c r="D49" s="12">
        <f>C49*42</f>
        <v>630</v>
      </c>
      <c r="F49" s="125" t="s">
        <v>86</v>
      </c>
      <c r="G49" s="127">
        <f>H34+H35+H36+H37+H38+H39+H40+H41+G42+H44+H45+H46</f>
        <v>434698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-104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57405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>
        <v>257</v>
      </c>
      <c r="D6" s="13">
        <f t="shared" ref="D6:D28" si="1">C6*L6</f>
        <v>189409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>
        <v>5</v>
      </c>
      <c r="D8" s="13">
        <f t="shared" si="1"/>
        <v>5165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>
        <v>32</v>
      </c>
      <c r="D9" s="13">
        <f t="shared" si="1"/>
        <v>22624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>
        <v>2</v>
      </c>
      <c r="D10" s="13">
        <f t="shared" si="1"/>
        <v>1944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>
        <v>10</v>
      </c>
      <c r="D13" s="48">
        <f t="shared" si="1"/>
        <v>3070</v>
      </c>
      <c r="F13" s="233" t="s">
        <v>36</v>
      </c>
      <c r="G13" s="197"/>
      <c r="H13" s="188">
        <f>D29</f>
        <v>241468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35980.5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205487.5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74">
        <v>62969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34">
        <v>2504</v>
      </c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44">
        <v>72491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>
        <v>10</v>
      </c>
      <c r="D28" s="48">
        <f t="shared" si="1"/>
        <v>7850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241468</v>
      </c>
      <c r="F29" s="105" t="s">
        <v>55</v>
      </c>
      <c r="G29" s="167"/>
      <c r="H29" s="127">
        <f>H15-H16-H17-H18-H19-H20-H22-H23-H24+H26+H27+H28</f>
        <v>212505.5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49">
        <f t="shared" ref="H34:H39" si="2">F34*G34</f>
        <v>107000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49">
        <f t="shared" si="2"/>
        <v>3100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49">
        <f t="shared" si="2"/>
        <v>180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51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44">
        <v>13593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157</v>
      </c>
      <c r="G45" s="62"/>
      <c r="H45" s="144">
        <v>72491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4</v>
      </c>
      <c r="D46" s="12">
        <f>C46*1.5</f>
        <v>6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2</v>
      </c>
      <c r="D49" s="12">
        <f>C49*42</f>
        <v>84</v>
      </c>
      <c r="F49" s="125" t="s">
        <v>86</v>
      </c>
      <c r="G49" s="127">
        <f>H34+H35+H36+H37+H38+H39+H40+H41+G42+H44+H45+H46</f>
        <v>212615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13</v>
      </c>
      <c r="D50" s="12">
        <f>C50*1.5</f>
        <v>19.5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143</v>
      </c>
      <c r="G51" s="135">
        <f>G49-H29</f>
        <v>109.5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211</v>
      </c>
      <c r="D6" s="13">
        <f t="shared" ref="D6:D28" si="1">C6*L6</f>
        <v>155507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138</v>
      </c>
      <c r="D9" s="13">
        <f t="shared" si="1"/>
        <v>97566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</v>
      </c>
      <c r="D13" s="48">
        <f t="shared" si="1"/>
        <v>307</v>
      </c>
      <c r="F13" s="233" t="s">
        <v>36</v>
      </c>
      <c r="G13" s="197"/>
      <c r="H13" s="188">
        <f>D29</f>
        <v>259191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17</v>
      </c>
      <c r="D14" s="31">
        <f t="shared" si="1"/>
        <v>187</v>
      </c>
      <c r="F14" s="191" t="s">
        <v>39</v>
      </c>
      <c r="G14" s="192"/>
      <c r="H14" s="193">
        <f>D54</f>
        <v>36323.25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222867.75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1608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259191</v>
      </c>
      <c r="F29" s="105" t="s">
        <v>55</v>
      </c>
      <c r="G29" s="167"/>
      <c r="H29" s="127">
        <f>H15-H16-H17-H18-H19-H20-H22-H23-H24+H26+H27</f>
        <v>221259.75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49">
        <f>F34*G34</f>
        <v>15000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49">
        <f>F35*G35</f>
        <v>42500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44">
        <v>163678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</v>
      </c>
      <c r="D46" s="12">
        <f>C46*1.5</f>
        <v>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221178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5</v>
      </c>
      <c r="D50" s="12">
        <f>C50*1.5</f>
        <v>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-81.75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36323.25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45969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9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9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9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9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9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9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9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9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9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9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140</v>
      </c>
      <c r="C17" s="89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9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139</v>
      </c>
      <c r="C26" s="89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9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134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3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45978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137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1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4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2025-11-08T01:36:20Z</cp:lastPrinted>
  <dcterms:created xsi:type="dcterms:W3CDTF">2024-09-01T23:36:50Z</dcterms:created>
  <dcterms:modified xsi:type="dcterms:W3CDTF">2025-11-08T02:35:25Z</dcterms:modified>
</cp:coreProperties>
</file>