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A03F07B-6713-49F6-8B66-7E037AB33F82}" xr6:coauthVersionLast="45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</sheets>
  <definedNames>
    <definedName name="_xlnm.Print_Area" localSheetId="1">'(03)'!$A$1:$J$60</definedName>
    <definedName name="_xlnm.Print_Area" localSheetId="26">'(10)'!$A$1:$J$60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D54" i="1458" s="1"/>
  <c r="H14" i="1458" s="1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G49" i="1457" s="1"/>
  <c r="D34" i="1457"/>
  <c r="D54" i="1457" s="1"/>
  <c r="H14" i="1457" s="1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G49" i="1456" s="1"/>
  <c r="D34" i="1456"/>
  <c r="D54" i="1456" s="1"/>
  <c r="H14" i="1456" s="1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D29" i="1456" s="1"/>
  <c r="H13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G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D54" i="1454" s="1"/>
  <c r="H14" i="1454" s="1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L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D54" i="1453" s="1"/>
  <c r="H14" i="1453" s="1"/>
  <c r="R35" i="1453"/>
  <c r="L19" i="1453" s="1"/>
  <c r="D19" i="1453" s="1"/>
  <c r="H35" i="1453"/>
  <c r="D35" i="1453"/>
  <c r="R34" i="1453"/>
  <c r="H34" i="1453"/>
  <c r="G49" i="1453" s="1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G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D54" i="1452" s="1"/>
  <c r="H14" i="1452" s="1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D54" i="1450" l="1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H15" i="1458" s="1"/>
  <c r="H29" i="1458" s="1"/>
  <c r="G51" i="1458" s="1"/>
  <c r="D29" i="1457"/>
  <c r="H13" i="1457" s="1"/>
  <c r="H15" i="1457" s="1"/>
  <c r="H29" i="1457" s="1"/>
  <c r="G51" i="1457"/>
  <c r="H15" i="1456"/>
  <c r="H29" i="1456" s="1"/>
  <c r="G51" i="1456" s="1"/>
  <c r="G51" i="1455"/>
  <c r="D29" i="1454"/>
  <c r="H13" i="1454" s="1"/>
  <c r="H15" i="1454" s="1"/>
  <c r="H29" i="1454" s="1"/>
  <c r="G51" i="1454" s="1"/>
  <c r="D29" i="1453"/>
  <c r="H13" i="1453" s="1"/>
  <c r="H15" i="1453" s="1"/>
  <c r="H29" i="1453" s="1"/>
  <c r="G51" i="1453"/>
  <c r="D29" i="1452"/>
  <c r="H13" i="1452" s="1"/>
  <c r="H15" i="1452" s="1"/>
  <c r="H29" i="1452" s="1"/>
  <c r="G51" i="1452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50" l="1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<sst xmlns="http://schemas.openxmlformats.org/spreadsheetml/2006/main" count="3818" uniqueCount="156">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</sst>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48</xdr:row>
      <xdr:rowOff>142875</xdr:rowOff>
    </xdr:from>
    <xdr:to>
      <xdr:col>3</xdr:col>
      <xdr:colOff>723900</xdr:colOff>
      <xdr:row>63</xdr:row>
      <xdr:rowOff>103125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7C256D-22EE-4E6C-AECE-0F2C327D2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" y="9515475"/>
          <a:ext cx="2143125" cy="28558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152400</xdr:rowOff>
    </xdr:from>
    <xdr:to>
      <xdr:col>3</xdr:col>
      <xdr:colOff>752475</xdr:colOff>
      <xdr:row>63</xdr:row>
      <xdr:rowOff>112650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4CF09A-730A-45EB-BAB0-EAD15EF94F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25000"/>
          <a:ext cx="2143125" cy="28558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>
        <v>189</v>
      </c>
      <c r="D6" s="13">
        <f t="shared" ref="D6:D28" si="1">C6*L6</f>
        <v>139293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>
        <v>10</v>
      </c>
      <c r="D7" s="13">
        <f t="shared" si="1"/>
        <v>7250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>
        <v>1</v>
      </c>
      <c r="D8" s="13">
        <f t="shared" si="1"/>
        <v>1033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>
        <v>21</v>
      </c>
      <c r="D9" s="13">
        <f t="shared" si="1"/>
        <v>14847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>
        <f>1+1</f>
        <v>2</v>
      </c>
      <c r="D12" s="48">
        <f t="shared" si="1"/>
        <v>1904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>
        <f>7</f>
        <v>7</v>
      </c>
      <c r="D13" s="48">
        <f t="shared" si="1"/>
        <v>2149</v>
      </c>
      <c r="F13" s="139" t="s">
        <v>36</v>
      </c>
      <c r="G13" s="140"/>
      <c r="H13" s="141">
        <f>D29</f>
        <v>176285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>
        <v>18</v>
      </c>
      <c r="D14" s="31">
        <f t="shared" si="1"/>
        <v>198</v>
      </c>
      <c r="F14" s="144" t="s">
        <v>39</v>
      </c>
      <c r="G14" s="145"/>
      <c r="H14" s="146">
        <f>D54</f>
        <v>26221.5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150063.5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78">
        <v>87612</v>
      </c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8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>
        <v>1</v>
      </c>
      <c r="D28" s="48">
        <f t="shared" si="1"/>
        <v>785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176285</v>
      </c>
      <c r="F29" s="162" t="s">
        <v>55</v>
      </c>
      <c r="G29" s="163"/>
      <c r="H29" s="166">
        <f>H15-H16-H17-H18-H19-H20-H22-H23-H24+H26+H27+H28</f>
        <v>237675.5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94">
        <f t="shared" ref="H34:H39" si="2">F34*G34</f>
        <v>120000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94">
        <f t="shared" si="2"/>
        <v>24000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94">
        <f t="shared" si="2"/>
        <v>200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94">
        <f t="shared" si="2"/>
        <v>3500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6</v>
      </c>
      <c r="D42" s="12">
        <f>C42*2.25</f>
        <v>13.5</v>
      </c>
      <c r="F42" s="39" t="s">
        <v>79</v>
      </c>
      <c r="G42" s="194">
        <v>2143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78">
        <v>87612</v>
      </c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>
        <v>3</v>
      </c>
      <c r="D45" s="12">
        <f>C45*84</f>
        <v>252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237705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22</v>
      </c>
      <c r="D50" s="12">
        <f>C50*1.5</f>
        <v>33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29.5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329</v>
      </c>
      <c r="D6" s="13">
        <f t="shared" ref="D6:D28" si="1">C6*L6</f>
        <v>242473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13</v>
      </c>
      <c r="D9" s="13">
        <f t="shared" si="1"/>
        <v>9191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10</v>
      </c>
      <c r="D13" s="48">
        <f t="shared" si="1"/>
        <v>3070</v>
      </c>
      <c r="F13" s="139" t="s">
        <v>36</v>
      </c>
      <c r="G13" s="140"/>
      <c r="H13" s="141">
        <f>D29</f>
        <v>254855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11</v>
      </c>
      <c r="D14" s="31">
        <f t="shared" si="1"/>
        <v>121</v>
      </c>
      <c r="F14" s="144" t="s">
        <v>39</v>
      </c>
      <c r="G14" s="145"/>
      <c r="H14" s="146">
        <f>D54</f>
        <v>38556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216299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1998+1071</f>
        <v>3069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254855</v>
      </c>
      <c r="F29" s="162" t="s">
        <v>55</v>
      </c>
      <c r="G29" s="163"/>
      <c r="H29" s="166">
        <f>H15-H16-H17-H18-H19-H20-H22-H23-H24+H26+H27</f>
        <v>213230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94">
        <f>F34*G34</f>
        <v>73000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94">
        <f t="shared" ref="H35:H39" si="2">F35*G35</f>
        <v>4500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>F36*G36</f>
        <v>400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105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78">
        <v>134760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10</v>
      </c>
      <c r="D49" s="12">
        <f>C49*42</f>
        <v>420</v>
      </c>
      <c r="F49" s="219" t="s">
        <v>86</v>
      </c>
      <c r="G49" s="166">
        <f>H34+H35+H36+H37+H38+H39+H40+H41+G42+H44+H45+H46</f>
        <v>212765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10</v>
      </c>
      <c r="D50" s="12">
        <f>C50*1.5</f>
        <v>15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-465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38556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264</v>
      </c>
      <c r="D6" s="13">
        <f t="shared" ref="D6:D28" si="1">C6*L6</f>
        <v>194568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5</v>
      </c>
      <c r="D7" s="13">
        <f t="shared" si="1"/>
        <v>3625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44</v>
      </c>
      <c r="D9" s="13">
        <f t="shared" si="1"/>
        <v>31108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</v>
      </c>
      <c r="D10" s="13">
        <f t="shared" si="1"/>
        <v>972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1</f>
        <v>1</v>
      </c>
      <c r="D12" s="48">
        <f t="shared" si="1"/>
        <v>952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5</v>
      </c>
      <c r="D13" s="48">
        <f t="shared" si="1"/>
        <v>1535</v>
      </c>
      <c r="F13" s="139" t="s">
        <v>36</v>
      </c>
      <c r="G13" s="140"/>
      <c r="H13" s="141">
        <f>D29</f>
        <v>237953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13</v>
      </c>
      <c r="D14" s="31">
        <f t="shared" si="1"/>
        <v>143</v>
      </c>
      <c r="F14" s="144" t="s">
        <v>39</v>
      </c>
      <c r="G14" s="145"/>
      <c r="H14" s="146">
        <f>D54</f>
        <v>37326.75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200626.25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840+990</f>
        <v>1830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5</v>
      </c>
      <c r="D28" s="48">
        <f t="shared" si="1"/>
        <v>3925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237953</v>
      </c>
      <c r="F29" s="162" t="s">
        <v>55</v>
      </c>
      <c r="G29" s="163"/>
      <c r="H29" s="166">
        <f>H15-H16-H17-H18-H19-H20-H22-H23-H24+H26+H27</f>
        <v>198796.25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94">
        <f>F34*G34</f>
        <v>103000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94">
        <f>F35*G35</f>
        <v>10000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94">
        <f t="shared" si="2"/>
        <v>700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4">
        <v>521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78">
        <v>84520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3</v>
      </c>
      <c r="D46" s="12">
        <f>C46*1.5</f>
        <v>4.5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198891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</v>
      </c>
      <c r="D50" s="12">
        <f>C50*1.5</f>
        <v>4.5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94.75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37326.75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tabSelected="1"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343</v>
      </c>
      <c r="D6" s="13">
        <f t="shared" ref="D6:D28" si="1">C6*L6</f>
        <v>252791</v>
      </c>
      <c r="F6" s="117" t="s">
        <v>16</v>
      </c>
      <c r="G6" s="119" t="s">
        <v>150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10</v>
      </c>
      <c r="D7" s="13">
        <f t="shared" si="1"/>
        <v>7250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50</v>
      </c>
      <c r="D9" s="13">
        <f t="shared" si="1"/>
        <v>35350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15</v>
      </c>
      <c r="D13" s="48">
        <f t="shared" si="1"/>
        <v>4605</v>
      </c>
      <c r="F13" s="139" t="s">
        <v>36</v>
      </c>
      <c r="G13" s="140"/>
      <c r="H13" s="141">
        <f>D29</f>
        <v>300007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</v>
      </c>
      <c r="D14" s="31">
        <f t="shared" si="1"/>
        <v>11</v>
      </c>
      <c r="F14" s="144" t="s">
        <v>39</v>
      </c>
      <c r="G14" s="145"/>
      <c r="H14" s="146">
        <f>D54</f>
        <v>49635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250372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399*9</f>
        <v>3591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300007</v>
      </c>
      <c r="F29" s="162" t="s">
        <v>55</v>
      </c>
      <c r="G29" s="163"/>
      <c r="H29" s="166">
        <f>H15-H16-H17-H18-H19-H20-H22-H23-H24+H26+H27</f>
        <v>246781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4">
        <f>F34*G34</f>
        <v>103000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94">
        <f t="shared" ref="H35:H39" si="2">F35*G35</f>
        <v>57500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4">
        <f>F36*G36</f>
        <v>200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708</v>
      </c>
      <c r="H37" s="194">
        <f t="shared" si="2"/>
        <v>70800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94">
        <f t="shared" si="2"/>
        <v>15250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20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31</v>
      </c>
      <c r="D49" s="12">
        <f>C49*42</f>
        <v>1302</v>
      </c>
      <c r="F49" s="219" t="s">
        <v>86</v>
      </c>
      <c r="G49" s="166">
        <f>H34+H35+H36+H37+H38+H39+H40+H41+G42+H44+H45+H46</f>
        <v>246770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-11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49635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 t="s">
        <v>152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703</v>
      </c>
      <c r="D6" s="13">
        <f t="shared" ref="D6:D28" si="1">C6*L6</f>
        <v>518111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16</v>
      </c>
      <c r="D7" s="13">
        <f t="shared" si="1"/>
        <v>11600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2</v>
      </c>
      <c r="D8" s="13">
        <f t="shared" si="1"/>
        <v>2066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147</v>
      </c>
      <c r="D9" s="13">
        <f t="shared" si="1"/>
        <v>103929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</v>
      </c>
      <c r="D10" s="13">
        <f t="shared" si="1"/>
        <v>1944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3</v>
      </c>
      <c r="D11" s="13">
        <f t="shared" si="1"/>
        <v>3375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2+1</f>
        <v>3</v>
      </c>
      <c r="D12" s="48">
        <f t="shared" si="1"/>
        <v>2856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35</v>
      </c>
      <c r="D13" s="48">
        <f t="shared" si="1"/>
        <v>10745</v>
      </c>
      <c r="F13" s="139" t="s">
        <v>36</v>
      </c>
      <c r="G13" s="140"/>
      <c r="H13" s="141">
        <f>D29</f>
        <v>654670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4</v>
      </c>
      <c r="D14" s="31">
        <f t="shared" si="1"/>
        <v>44</v>
      </c>
      <c r="F14" s="144" t="s">
        <v>39</v>
      </c>
      <c r="G14" s="145"/>
      <c r="H14" s="146">
        <f>D54</f>
        <v>112054.5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542615.5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1794+3000+672</f>
        <v>5466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654670</v>
      </c>
      <c r="F29" s="162" t="s">
        <v>55</v>
      </c>
      <c r="G29" s="163"/>
      <c r="H29" s="166">
        <f>H15-H16-H17-H18-H19-H20-H22-H23-H24+H26+H27</f>
        <v>537149.5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94">
        <f>F34*G34</f>
        <v>29000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94">
        <f>F35*G35</f>
        <v>23000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8</v>
      </c>
      <c r="D42" s="12">
        <f>C42*2.25</f>
        <v>18</v>
      </c>
      <c r="F42" s="39" t="s">
        <v>79</v>
      </c>
      <c r="G42" s="194">
        <v>40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78">
        <v>302372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78">
        <v>182588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5</v>
      </c>
      <c r="D46" s="12">
        <f>C46*1.5</f>
        <v>7.5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8</v>
      </c>
      <c r="D49" s="12">
        <f>C49*42</f>
        <v>336</v>
      </c>
      <c r="F49" s="219" t="s">
        <v>86</v>
      </c>
      <c r="G49" s="166">
        <f>H34+H35+H36+H37+H38+H39+H40+H41+G42+H44+H45+H46</f>
        <v>537250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100.5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112054.5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 t="s">
        <v>153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213</v>
      </c>
      <c r="D6" s="13">
        <f t="shared" ref="D6:D28" si="1">C6*L6</f>
        <v>156981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4</v>
      </c>
      <c r="D7" s="13">
        <f t="shared" si="1"/>
        <v>2900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10</v>
      </c>
      <c r="D9" s="13">
        <f t="shared" si="1"/>
        <v>7070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7</v>
      </c>
      <c r="D13" s="48">
        <f t="shared" si="1"/>
        <v>2149</v>
      </c>
      <c r="F13" s="139" t="s">
        <v>36</v>
      </c>
      <c r="G13" s="140"/>
      <c r="H13" s="141">
        <f>D29</f>
        <v>169353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23</v>
      </c>
      <c r="D14" s="31">
        <f t="shared" si="1"/>
        <v>253</v>
      </c>
      <c r="F14" s="144" t="s">
        <v>39</v>
      </c>
      <c r="G14" s="145"/>
      <c r="H14" s="146">
        <f>D54</f>
        <v>32837.25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136515.75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936+324</f>
        <v>1260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169353</v>
      </c>
      <c r="F29" s="162" t="s">
        <v>55</v>
      </c>
      <c r="G29" s="163"/>
      <c r="H29" s="166">
        <f>H15-H16-H17-H18-H19-H20-H22-H23-H24+H26+H27</f>
        <v>135255.75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94">
        <f>F34*G34</f>
        <v>98000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94">
        <f>F35*G35</f>
        <v>36500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94">
        <f t="shared" si="2"/>
        <v>500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>
        <v>22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8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25</v>
      </c>
      <c r="D46" s="12">
        <f>C46*1.5</f>
        <v>37.5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</v>
      </c>
      <c r="D49" s="12">
        <f>C49*42</f>
        <v>126</v>
      </c>
      <c r="F49" s="219" t="s">
        <v>86</v>
      </c>
      <c r="G49" s="166">
        <f>H34+H35+H36+H37+H38+H39+H40+H41+G42+H44+H45+H46</f>
        <v>135022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20</v>
      </c>
      <c r="D50" s="12">
        <f>C50*1.5</f>
        <v>30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-233.75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32837.25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29</vt:i4>
      </vt:variant>
    </vt:vector>
  </HeadingPairs>
  <TitlesOfParts>
    <vt:vector size="5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'(03)'!Print_Area</vt:lpstr>
      <vt:lpstr>'(10)'!Print_Area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2025-11-05T00:46:02Z</cp:lastPrinted>
  <dcterms:created xsi:type="dcterms:W3CDTF">2024-09-01T23:36:50Z</dcterms:created>
  <dcterms:modified xsi:type="dcterms:W3CDTF">2025-11-05T00:46:34Z</dcterms:modified>
</cp:coreProperties>
</file>