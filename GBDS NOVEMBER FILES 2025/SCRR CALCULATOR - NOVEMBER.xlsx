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5D44E20-EEFA-476F-9E71-57DC16DA6315}" xr6:coauthVersionLast="45" xr6:coauthVersionMax="47" xr10:uidLastSave="{00000000-0000-0000-0000-000000000000}"/>
  <bookViews>
    <workbookView xWindow="-120" yWindow="-120" windowWidth="29040" windowHeight="15840" firstSheet="51" activeTab="5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99" l="1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G49" i="1499" l="1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499" l="1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<sst xmlns="http://schemas.openxmlformats.org/spreadsheetml/2006/main" count="10166" uniqueCount="185">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</sst>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189</v>
      </c>
      <c r="D6" s="13">
        <f t="shared" ref="D6:D28" si="1">C6*L6</f>
        <v>139293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1+1</f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f>7</f>
        <v>7</v>
      </c>
      <c r="D13" s="48">
        <f t="shared" si="1"/>
        <v>2149</v>
      </c>
      <c r="F13" s="241" t="s">
        <v>36</v>
      </c>
      <c r="G13" s="205"/>
      <c r="H13" s="196">
        <f>D29</f>
        <v>176285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18</v>
      </c>
      <c r="D14" s="31">
        <f t="shared" si="1"/>
        <v>198</v>
      </c>
      <c r="F14" s="199" t="s">
        <v>39</v>
      </c>
      <c r="G14" s="200"/>
      <c r="H14" s="201">
        <f>D54</f>
        <v>26221.5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150063.5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2">
        <v>87612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13" t="s">
        <v>55</v>
      </c>
      <c r="G29" s="175"/>
      <c r="H29" s="135">
        <f>H15-H16-H17-H18-H19-H20-H22-H23-H24+H26+H27+H28</f>
        <v>237675.5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7">
        <f t="shared" ref="H34:H39" si="2">F34*G34</f>
        <v>120000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57">
        <f t="shared" si="2"/>
        <v>24000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2143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2">
        <v>87612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237705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242473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9191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254855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38556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216299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13" t="s">
        <v>55</v>
      </c>
      <c r="G29" s="175"/>
      <c r="H29" s="135">
        <f>H15-H16-H17-H18-H19-H20-H22-H23-H24+H26+H27</f>
        <v>213230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57">
        <f>F34*G34</f>
        <v>73000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57">
        <f t="shared" ref="H35:H39" si="2">F35*G35</f>
        <v>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105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2">
        <v>134760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5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212765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-465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38556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264</v>
      </c>
      <c r="D6" s="13">
        <f t="shared" ref="D6:D28" si="1">C6*L6</f>
        <v>194568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44</v>
      </c>
      <c r="D9" s="13">
        <f t="shared" si="1"/>
        <v>31108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237953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37326.75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200626.25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13" t="s">
        <v>55</v>
      </c>
      <c r="G29" s="175"/>
      <c r="H29" s="135">
        <f>H15-H16-H17-H18-H19-H20-H22-H23-H24+H26+H27</f>
        <v>198796.25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7">
        <f>F35*G35</f>
        <v>10000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521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2">
        <v>84520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198891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37326.75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342</v>
      </c>
      <c r="D6" s="13">
        <f t="shared" ref="D6:D28" si="1">C6*L6</f>
        <v>252054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299270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49524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249746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13" t="s">
        <v>55</v>
      </c>
      <c r="G29" s="175"/>
      <c r="H29" s="135">
        <f>H15-H16-H17-H18-H19-H20-H22-H23-H24+H26+H27</f>
        <v>246155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57">
        <f t="shared" ref="H35:H39" si="2">F35*G35</f>
        <v>57500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57">
        <f t="shared" si="2"/>
        <v>70800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57">
        <f t="shared" si="2"/>
        <v>15250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31</v>
      </c>
      <c r="D49" s="12">
        <f>C49*42</f>
        <v>1302</v>
      </c>
      <c r="F49" s="133" t="s">
        <v>86</v>
      </c>
      <c r="G49" s="135">
        <f>H34+H35+H36+H37+H38+H39+H40+H41+G42+H44+H45+H46</f>
        <v>246770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615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49524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703</v>
      </c>
      <c r="D6" s="13">
        <f t="shared" ref="D6:D28" si="1">C6*L6</f>
        <v>518111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2066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147</v>
      </c>
      <c r="D9" s="13">
        <f t="shared" si="1"/>
        <v>103929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654670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112054.5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542615.5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13" t="s">
        <v>55</v>
      </c>
      <c r="G29" s="175"/>
      <c r="H29" s="135">
        <f>H15-H16-H17-H18-H19-H20-H22-H23-H24+H26+H27</f>
        <v>537149.5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57">
        <f>F34*G34</f>
        <v>29000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57">
        <f>F35*G35</f>
        <v>23000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2">
        <v>302372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2">
        <v>182588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537250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112054.5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153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213</v>
      </c>
      <c r="D6" s="13">
        <f t="shared" ref="D6:D28" si="1">C6*L6</f>
        <v>156981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169353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32837.25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136515.75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13" t="s">
        <v>55</v>
      </c>
      <c r="G29" s="175"/>
      <c r="H29" s="135">
        <f>H15-H16-H17-H18-H19-H20-H22-H23-H24+H26+H27</f>
        <v>135255.75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57">
        <f>F34*G34</f>
        <v>98000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57">
        <f>F35*G35</f>
        <v>36500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8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25</v>
      </c>
      <c r="D46" s="12">
        <f>C46*1.5</f>
        <v>37.5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135022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-233.75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32837.25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291</v>
      </c>
      <c r="D6" s="13">
        <f t="shared" ref="D6:D28" si="1">C6*L6</f>
        <v>214467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25</v>
      </c>
      <c r="D9" s="13">
        <f t="shared" si="1"/>
        <v>17675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238949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7</v>
      </c>
      <c r="D14" s="31">
        <f t="shared" si="1"/>
        <v>77</v>
      </c>
      <c r="F14" s="199" t="s">
        <v>39</v>
      </c>
      <c r="G14" s="200"/>
      <c r="H14" s="201">
        <f>D54</f>
        <v>35661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203288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13" t="s">
        <v>55</v>
      </c>
      <c r="G29" s="175"/>
      <c r="H29" s="135">
        <f>H15-H16-H17-H18-H19-H20-H22-H23-H24+H26+H27+H28</f>
        <v>203288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57">
        <f t="shared" ref="H34:H39" si="2"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si="2"/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57">
        <f t="shared" si="2"/>
        <v>11300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394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157</v>
      </c>
      <c r="G44" s="62"/>
      <c r="H44" s="152">
        <v>30000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202614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15</v>
      </c>
      <c r="D50" s="12">
        <f>C50*1.5</f>
        <v>22.5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-674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268</v>
      </c>
      <c r="D6" s="13">
        <f t="shared" ref="D6:D28" si="1">C6*L6</f>
        <v>197516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10605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6</v>
      </c>
      <c r="D12" s="48">
        <f t="shared" si="1"/>
        <v>5712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236512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59487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177025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13" t="s">
        <v>55</v>
      </c>
      <c r="G29" s="175"/>
      <c r="H29" s="135">
        <f>H15-H16-H17-H18-H19-H20-H22-H23-H24+H26+H27</f>
        <v>175342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57">
        <f>F34*G34</f>
        <v>51000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57">
        <f t="shared" ref="H35:H39" si="2">F35*G35</f>
        <v>16500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1024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2">
        <v>102187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175351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59487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238</v>
      </c>
      <c r="D6" s="13">
        <f t="shared" ref="D6:D28" si="1">C6*L6</f>
        <v>175406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2175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202370.5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19476.75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182893.75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13" t="s">
        <v>55</v>
      </c>
      <c r="G29" s="175"/>
      <c r="H29" s="135">
        <f>H15-H16-H17-H18-H19-H20-H22-H23-H24+H26+H27</f>
        <v>182029.75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57">
        <f>F34*G34</f>
        <v>136000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182120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38</v>
      </c>
      <c r="D50" s="12">
        <f>C50*1.5</f>
        <v>57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19476.75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134</v>
      </c>
      <c r="D6" s="13">
        <f t="shared" ref="D6:D28" si="1">C6*L6</f>
        <v>98758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3</v>
      </c>
      <c r="D13" s="48">
        <f t="shared" si="1"/>
        <v>921</v>
      </c>
      <c r="F13" s="241" t="s">
        <v>36</v>
      </c>
      <c r="G13" s="205"/>
      <c r="H13" s="196">
        <f>D29</f>
        <v>106155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4</v>
      </c>
      <c r="D14" s="31">
        <f t="shared" si="1"/>
        <v>44</v>
      </c>
      <c r="F14" s="199" t="s">
        <v>39</v>
      </c>
      <c r="G14" s="200"/>
      <c r="H14" s="201">
        <f>D54</f>
        <v>15195.75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90959.25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13" t="s">
        <v>55</v>
      </c>
      <c r="G29" s="175"/>
      <c r="H29" s="135">
        <f>H15-H16-H17-H18-H19-H20-H22-H23-H24+H26+H27+H28</f>
        <v>90959.25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57">
        <f t="shared" ref="H34:H39" si="2">F34*G34</f>
        <v>81000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57">
        <f t="shared" si="2"/>
        <v>4400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90830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75</v>
      </c>
      <c r="D50" s="12">
        <f>C50*1.5</f>
        <v>112.5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-129.25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196</v>
      </c>
      <c r="D6" s="13">
        <f t="shared" ref="D6:D28" si="1">C6*L6</f>
        <v>144452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158246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23723.25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134522.75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13" t="s">
        <v>55</v>
      </c>
      <c r="G29" s="175"/>
      <c r="H29" s="135">
        <f>H15-H16-H17-H18-H19-H20-H22-H23-H24+H26+H27</f>
        <v>133816.75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57">
        <f>F34*G34</f>
        <v>87000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92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133192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36</v>
      </c>
      <c r="D50" s="12">
        <f>C50*1.5</f>
        <v>54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-624.75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23723.25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522</v>
      </c>
      <c r="D6" s="13">
        <f t="shared" ref="D6:D28" si="1">C6*L6</f>
        <v>384714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14500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79184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26</v>
      </c>
      <c r="D13" s="48">
        <f t="shared" si="1"/>
        <v>7982</v>
      </c>
      <c r="F13" s="241" t="s">
        <v>36</v>
      </c>
      <c r="G13" s="205"/>
      <c r="H13" s="196">
        <f>D29</f>
        <v>494817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57405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437412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13" t="s">
        <v>55</v>
      </c>
      <c r="G29" s="175"/>
      <c r="H29" s="135">
        <f>H15-H16-H17-H18-H19-H20-H22-H23-H24+H26+H27</f>
        <v>434802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57">
        <f>F34*G34</f>
        <v>42000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2">
        <v>226005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2">
        <v>147693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15</v>
      </c>
      <c r="D49" s="12">
        <f>C49*42</f>
        <v>630</v>
      </c>
      <c r="F49" s="133" t="s">
        <v>86</v>
      </c>
      <c r="G49" s="135">
        <f>H34+H35+H36+H37+H38+H39+H40+H41+G42+H44+H45+H46</f>
        <v>434698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-104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57405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257</v>
      </c>
      <c r="D6" s="13">
        <f t="shared" ref="D6:D28" si="1">C6*L6</f>
        <v>189409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5</v>
      </c>
      <c r="D8" s="13">
        <f t="shared" si="1"/>
        <v>5165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32</v>
      </c>
      <c r="D9" s="13">
        <f t="shared" si="1"/>
        <v>22624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10</v>
      </c>
      <c r="D13" s="48">
        <f t="shared" si="1"/>
        <v>3070</v>
      </c>
      <c r="F13" s="241" t="s">
        <v>36</v>
      </c>
      <c r="G13" s="205"/>
      <c r="H13" s="196">
        <f>D29</f>
        <v>241468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35980.5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205487.5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2">
        <v>62969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2">
        <v>72491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13" t="s">
        <v>55</v>
      </c>
      <c r="G29" s="175"/>
      <c r="H29" s="135">
        <f>H15-H16-H17-H18-H19-H20-H22-H23-H24+H26+H27+H28</f>
        <v>212505.5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57">
        <f t="shared" ref="H34:H39" si="2">F34*G34</f>
        <v>107000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7">
        <f t="shared" si="2"/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57">
        <f t="shared" si="2"/>
        <v>3100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57">
        <f t="shared" si="2"/>
        <v>180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51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13593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72491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212615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211</v>
      </c>
      <c r="D6" s="13">
        <f t="shared" ref="D6:D28" si="1">C6*L6</f>
        <v>155507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1450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138</v>
      </c>
      <c r="D9" s="13">
        <f t="shared" si="1"/>
        <v>97566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259191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36323.25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222867.75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13" t="s">
        <v>55</v>
      </c>
      <c r="G29" s="175"/>
      <c r="H29" s="135">
        <f>H15-H16-H17-H18-H19-H20-H22-H23-H24+H26+H27</f>
        <v>221259.75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57">
        <f>F34*G34</f>
        <v>15000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57">
        <f>F35*G35</f>
        <v>42500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2">
        <v>163678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221178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-81.75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36323.25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593</v>
      </c>
      <c r="D6" s="13">
        <f t="shared" ref="D6:D28" si="1">C6*L6</f>
        <v>437041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42</v>
      </c>
      <c r="D9" s="13">
        <f t="shared" si="1"/>
        <v>29694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23</v>
      </c>
      <c r="D13" s="48">
        <f t="shared" si="1"/>
        <v>7061</v>
      </c>
      <c r="F13" s="241" t="s">
        <v>36</v>
      </c>
      <c r="G13" s="205"/>
      <c r="H13" s="196">
        <f>D29</f>
        <v>477597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16</v>
      </c>
      <c r="D14" s="31">
        <f t="shared" si="1"/>
        <v>176</v>
      </c>
      <c r="F14" s="199" t="s">
        <v>39</v>
      </c>
      <c r="G14" s="200"/>
      <c r="H14" s="201">
        <f>D54</f>
        <v>55938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421659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13" t="s">
        <v>55</v>
      </c>
      <c r="G29" s="175"/>
      <c r="H29" s="135">
        <f>H15-H16-H17-H18-H19-H20-H22-H23-H24+H26+H27+H28</f>
        <v>416691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57">
        <f t="shared" ref="H34:H39" si="2">F34*G34</f>
        <v>206000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57">
        <f t="shared" si="2"/>
        <v>149000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2">
        <v>61244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7</v>
      </c>
      <c r="D46" s="12">
        <f>C46*1.5</f>
        <v>10.5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416677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119</v>
      </c>
      <c r="D6" s="13">
        <f t="shared" ref="D6:D28" si="1">C6*L6</f>
        <v>87703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12019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109447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16447.5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92999.5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13" t="s">
        <v>55</v>
      </c>
      <c r="G29" s="175"/>
      <c r="H29" s="135">
        <f>H15-H16-H17-H18-H19-H20-H22-H23-H24+H26+H27</f>
        <v>92999.5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57">
        <f>F34*G34</f>
        <v>67000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57">
        <f t="shared" ref="H35:H39" si="2"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93047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16447.5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313</v>
      </c>
      <c r="D6" s="13">
        <f t="shared" ref="D6:D28" si="1">C6*L6</f>
        <v>230681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18</v>
      </c>
      <c r="D7" s="13">
        <f t="shared" si="1"/>
        <v>13050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28280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287432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35280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252152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13" t="s">
        <v>55</v>
      </c>
      <c r="G29" s="175"/>
      <c r="H29" s="135">
        <f>H15-H16-H17-H18-H19-H20-H22-H23-H24+H26+H27</f>
        <v>250136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57">
        <f>F34*G34</f>
        <v>225000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7">
        <f>F35*G35</f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757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250757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621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35280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104</v>
      </c>
      <c r="D6" s="13">
        <f t="shared" ref="D6:D28" si="1">C6*L6</f>
        <v>76648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2</v>
      </c>
      <c r="D8" s="13">
        <f t="shared" si="1"/>
        <v>2066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95117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13</v>
      </c>
      <c r="D14" s="31">
        <f t="shared" si="1"/>
        <v>143</v>
      </c>
      <c r="F14" s="199" t="s">
        <v>39</v>
      </c>
      <c r="G14" s="200"/>
      <c r="H14" s="201">
        <f>D54</f>
        <v>13739.25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2</v>
      </c>
      <c r="D15" s="31">
        <f t="shared" si="1"/>
        <v>1240</v>
      </c>
      <c r="F15" s="204" t="s">
        <v>40</v>
      </c>
      <c r="G15" s="205"/>
      <c r="H15" s="206">
        <f>H13-H14</f>
        <v>81377.75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13" t="s">
        <v>55</v>
      </c>
      <c r="G29" s="175"/>
      <c r="H29" s="135">
        <f>H15-H16-H17-H18-H19-H20-H22-H23-H24+H26+H27+H28</f>
        <v>81377.75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57">
        <f t="shared" ref="H34:H39" si="2">F34*G34</f>
        <v>49000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si="2"/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21910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14</v>
      </c>
      <c r="D46" s="12">
        <f>C46*1.5</f>
        <v>21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81398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173</v>
      </c>
      <c r="D6" s="13">
        <f t="shared" ref="D6:D28" si="1">C6*L6</f>
        <v>127501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16261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153590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23355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130235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13" t="s">
        <v>55</v>
      </c>
      <c r="G29" s="175"/>
      <c r="H29" s="135">
        <f>H15-H16-H17-H18-H19-H20-H22-H23-H24+H26+H27</f>
        <v>130235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ref="H35:H39" si="2"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57">
        <f t="shared" si="2"/>
        <v>2400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232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2">
        <v>3118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129070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-1165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23355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261</v>
      </c>
      <c r="D6" s="13">
        <f t="shared" ref="D6:D28" si="1">C6*L6</f>
        <v>192357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50904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5+3</f>
        <v>8</v>
      </c>
      <c r="D12" s="48">
        <f t="shared" si="1"/>
        <v>7616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259983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44370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215613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13" t="s">
        <v>55</v>
      </c>
      <c r="G29" s="175"/>
      <c r="H29" s="135">
        <f>H15-H16-H17-H18-H19-H20-H22-H23-H24+H26+H27</f>
        <v>214365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57">
        <f>F34*G34</f>
        <v>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2">
        <v>125184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2">
        <v>56466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214147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-218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44370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301</v>
      </c>
      <c r="D6" s="13">
        <f t="shared" ref="D6:D28" si="1">C6*L6</f>
        <v>221837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12</v>
      </c>
      <c r="D7" s="13">
        <f t="shared" si="1"/>
        <v>8700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256893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19</v>
      </c>
      <c r="D14" s="31">
        <f t="shared" si="1"/>
        <v>209</v>
      </c>
      <c r="F14" s="199" t="s">
        <v>39</v>
      </c>
      <c r="G14" s="200"/>
      <c r="H14" s="201">
        <f>D54</f>
        <v>38674.5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218218.5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3</v>
      </c>
      <c r="D28" s="48">
        <f t="shared" si="1"/>
        <v>2355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13" t="s">
        <v>55</v>
      </c>
      <c r="G29" s="175"/>
      <c r="H29" s="135">
        <f>H15-H16-H17-H18-H19-H20-H22-H23-H24+H26+H27+H28</f>
        <v>218218.5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57">
        <f t="shared" ref="H34:H39" si="2">F34*G34</f>
        <v>176000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57">
        <f t="shared" si="2"/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57">
        <f t="shared" si="2"/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57">
        <f t="shared" si="2"/>
        <v>6100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57">
        <f t="shared" si="2"/>
        <v>1000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2146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3177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2">
        <v>3756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217279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39</v>
      </c>
      <c r="D50" s="12">
        <f>C50*1.5</f>
        <v>58.5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-939.5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539</v>
      </c>
      <c r="D6" s="13">
        <f t="shared" ref="D6:D28" si="1">C6*L6</f>
        <v>397243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24</v>
      </c>
      <c r="D13" s="48">
        <f t="shared" si="1"/>
        <v>7368</v>
      </c>
      <c r="F13" s="241" t="s">
        <v>36</v>
      </c>
      <c r="G13" s="205"/>
      <c r="H13" s="196">
        <f>D29</f>
        <v>440093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61989.75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378103.25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13" t="s">
        <v>55</v>
      </c>
      <c r="G29" s="175"/>
      <c r="H29" s="135">
        <f>H15-H16-H17-H18-H19-H20-H22-H23-H24+H26+H27</f>
        <v>372586.25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57">
        <f>F34*G34</f>
        <v>104000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57">
        <f t="shared" ref="H35:H39" si="2">F35*G35</f>
        <v>269500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373920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1333.75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61989.75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247</v>
      </c>
      <c r="D6" s="13">
        <f t="shared" ref="D6:D28" si="1">C6*L6</f>
        <v>182039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21210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218610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20649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197961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13" t="s">
        <v>55</v>
      </c>
      <c r="G29" s="175"/>
      <c r="H29" s="135">
        <f>H15-H16-H17-H18-H19-H20-H22-H23-H24+H26+H27</f>
        <v>196217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57">
        <f>F34*G34</f>
        <v>180000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57">
        <f>F35*G35</f>
        <v>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57">
        <f t="shared" si="2"/>
        <v>3050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73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196043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20649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215</v>
      </c>
      <c r="D6" s="13">
        <f t="shared" ref="D6:D28" si="1">C6*L6</f>
        <v>158455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11</v>
      </c>
      <c r="D13" s="48">
        <f t="shared" si="1"/>
        <v>3377</v>
      </c>
      <c r="F13" s="241" t="s">
        <v>36</v>
      </c>
      <c r="G13" s="205"/>
      <c r="H13" s="196">
        <f>D29</f>
        <v>189411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12</v>
      </c>
      <c r="D14" s="31">
        <f t="shared" si="1"/>
        <v>132</v>
      </c>
      <c r="F14" s="199" t="s">
        <v>39</v>
      </c>
      <c r="G14" s="200"/>
      <c r="H14" s="201">
        <f>D54</f>
        <v>29274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160137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2">
        <v>66744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2">
        <v>62969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13" t="s">
        <v>55</v>
      </c>
      <c r="G29" s="175"/>
      <c r="H29" s="135">
        <f>H15-H16-H17-H18-H19-H20-H22-H23-H24+H26+H27+H28</f>
        <v>158866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57">
        <f t="shared" ref="H34:H39" si="2">F34*G34</f>
        <v>71000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7">
        <f t="shared" si="2"/>
        <v>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57">
        <f t="shared" si="2"/>
        <v>8600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2">
        <v>3804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2">
        <v>62969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2">
        <v>2504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159815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207</v>
      </c>
      <c r="D6" s="13">
        <f t="shared" ref="D6:D28" si="1">C6*L6</f>
        <v>152559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162338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21364.5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140973.5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13" t="s">
        <v>55</v>
      </c>
      <c r="G29" s="175"/>
      <c r="H29" s="135">
        <f>H15-H16-H17-H18-H19-H20-H22-H23-H24+H26+H27</f>
        <v>139110.5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57">
        <f>F34*G34</f>
        <v>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7">
        <f t="shared" ref="H35:H39" si="2">F35*G35</f>
        <v>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57">
        <f t="shared" si="2"/>
        <v>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2">
        <v>128294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139111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21364.5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126027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4350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156308.5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99" t="s">
        <v>39</v>
      </c>
      <c r="G14" s="200"/>
      <c r="H14" s="201">
        <f>D54</f>
        <v>35391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120917.5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13" t="s">
        <v>55</v>
      </c>
      <c r="G29" s="175"/>
      <c r="H29" s="135">
        <f>H15-H16-H17-H18-H19-H20-H22-H23-H24+H26+H27</f>
        <v>120555.5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57">
        <f>F35*G35</f>
        <v>37500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57">
        <f t="shared" si="2"/>
        <v>2800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120603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35391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249</v>
      </c>
      <c r="D6" s="13">
        <f t="shared" ref="D6:D28" si="1">C6*L6</f>
        <v>183513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4949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191305.5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59463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131842.5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13" t="s">
        <v>55</v>
      </c>
      <c r="G29" s="175"/>
      <c r="H29" s="135">
        <f>H15-H16-H17-H18-H19-H20-H22-H23-H24+H26+H27</f>
        <v>129844.5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57">
        <f>F34*G34</f>
        <v>18000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ref="H35:H39" si="2">F35*G35</f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57">
        <f t="shared" si="2"/>
        <v>2200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2">
        <v>104376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32</v>
      </c>
      <c r="D46" s="12">
        <f>C46*1.5</f>
        <v>48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26</v>
      </c>
      <c r="D49" s="12">
        <f>C49*42</f>
        <v>1092</v>
      </c>
      <c r="F49" s="133" t="s">
        <v>86</v>
      </c>
      <c r="G49" s="135">
        <f>H34+H35+H36+H37+H38+H39+H40+H41+G42+H44+H45+H46</f>
        <v>129876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12</v>
      </c>
      <c r="D50" s="12">
        <f>C50*1.5</f>
        <v>18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31.5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59463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281</v>
      </c>
      <c r="D6" s="13">
        <f t="shared" ref="D6:D28" si="1">C6*L6</f>
        <v>207097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41713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5</v>
      </c>
      <c r="D11" s="13">
        <f t="shared" si="1"/>
        <v>5625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266979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20738.25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246240.75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13" t="s">
        <v>55</v>
      </c>
      <c r="G29" s="175"/>
      <c r="H29" s="135">
        <f>H15-H16-H17-H18-H19-H20-H22-H23-H24+H26+H27</f>
        <v>244338.75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>F35*G35</f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33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2">
        <v>180501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244554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40</v>
      </c>
      <c r="D50" s="12">
        <f>C50*1.5</f>
        <v>60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215.25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20738.25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45</v>
      </c>
      <c r="D6" s="13">
        <f t="shared" ref="D6:D28" si="1">C6*L6</f>
        <v>33165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45</v>
      </c>
      <c r="D8" s="13">
        <f t="shared" si="1"/>
        <v>46485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9</v>
      </c>
      <c r="D9" s="13">
        <f t="shared" si="1"/>
        <v>6363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6</v>
      </c>
      <c r="D11" s="13">
        <f t="shared" si="1"/>
        <v>6750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7</v>
      </c>
      <c r="D12" s="48">
        <f t="shared" si="1"/>
        <v>6664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109025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2</v>
      </c>
      <c r="D14" s="31">
        <f t="shared" si="1"/>
        <v>22</v>
      </c>
      <c r="F14" s="199" t="s">
        <v>39</v>
      </c>
      <c r="G14" s="200"/>
      <c r="H14" s="201">
        <f>D54</f>
        <v>14175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94850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109025</v>
      </c>
      <c r="F29" s="113" t="s">
        <v>55</v>
      </c>
      <c r="G29" s="175"/>
      <c r="H29" s="135">
        <f>H15-H16-H17-H18-H19-H20-H22-H23-H24+H26+H27+H28</f>
        <v>94850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57">
        <f t="shared" ref="H34:H39" si="2"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2220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2">
        <v>13450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2">
        <v>3249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39</v>
      </c>
      <c r="D46" s="12">
        <f>C46*1.5</f>
        <v>58.5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95169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319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186</v>
      </c>
      <c r="D6" s="13">
        <f t="shared" ref="D6:D28" si="1">C6*L6</f>
        <v>137082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6525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151412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23467.5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127944.5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83*8</f>
        <v>664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151412</v>
      </c>
      <c r="F29" s="113" t="s">
        <v>55</v>
      </c>
      <c r="G29" s="175"/>
      <c r="H29" s="135">
        <f>H15-H16-H17-H18-H19-H20-H22-H23-H24+H26+H27</f>
        <v>127280.5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57">
        <f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 t="shared" ref="H35:H39" si="2"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>F36*G36</f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57">
        <f t="shared" si="2"/>
        <v>8000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57">
        <f t="shared" si="2"/>
        <v>4100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127300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23467.5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399</v>
      </c>
      <c r="D6" s="13">
        <f t="shared" ref="D6:D28" si="1">C6*L6</f>
        <v>294063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10875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82</v>
      </c>
      <c r="D9" s="13">
        <f t="shared" si="1"/>
        <v>57974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371682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41797.5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329884.5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156*6+1752+414</f>
        <v>3102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2">
        <v>110586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371682</v>
      </c>
      <c r="F29" s="113" t="s">
        <v>55</v>
      </c>
      <c r="G29" s="175"/>
      <c r="H29" s="135">
        <f>H15-H16-H17-H18-H19-H20-H22-H23-H24+H26+H27</f>
        <v>216196.5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57">
        <f>F34*G34</f>
        <v>33000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2">
        <v>175156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215656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-540.5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41797.5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151085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20503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181692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99" t="s">
        <v>39</v>
      </c>
      <c r="G14" s="200"/>
      <c r="H14" s="201">
        <f>D54</f>
        <v>27591.75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154100.25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181692</v>
      </c>
      <c r="F29" s="113" t="s">
        <v>55</v>
      </c>
      <c r="G29" s="175"/>
      <c r="H29" s="135">
        <f>H15-H16-H17-H18-H19-H20-H22-H23-H24+H26+H27</f>
        <v>154100.25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57">
        <f>F34*G34</f>
        <v>95000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 t="shared" ref="H35:H39" si="2"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57">
        <f>F36*G36</f>
        <v>1200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57">
        <v>2431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2">
        <v>22576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154107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27591.75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521</v>
      </c>
      <c r="D6" s="13">
        <f t="shared" ref="D6:D28" si="1">C6*L6</f>
        <v>383977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180</v>
      </c>
      <c r="D9" s="13">
        <f t="shared" si="1"/>
        <v>127260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27</v>
      </c>
      <c r="D13" s="48">
        <f t="shared" si="1"/>
        <v>8289</v>
      </c>
      <c r="F13" s="241" t="s">
        <v>36</v>
      </c>
      <c r="G13" s="205"/>
      <c r="H13" s="196">
        <f>D29</f>
        <v>523772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42216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481556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750+312+3120</f>
        <v>4182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523772</v>
      </c>
      <c r="F29" s="113" t="s">
        <v>55</v>
      </c>
      <c r="G29" s="175"/>
      <c r="H29" s="135">
        <f>H15-H16-H17-H18-H19-H20-H22-H23-H24+H26+H27</f>
        <v>477374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57">
        <f>F34*G34</f>
        <v>97000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7">
        <f>F35*G35</f>
        <v>14000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57">
        <f t="shared" si="2"/>
        <v>10000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57">
        <f t="shared" si="2"/>
        <v>450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149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2">
        <v>351432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473031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-4343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42216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266</v>
      </c>
      <c r="D6" s="13">
        <f t="shared" ref="D6:D28" si="1">C6*L6</f>
        <v>196042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9</v>
      </c>
      <c r="D7" s="13">
        <f t="shared" si="1"/>
        <v>6525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16</v>
      </c>
      <c r="D9" s="13">
        <f t="shared" si="1"/>
        <v>11312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7</v>
      </c>
      <c r="D13" s="48">
        <f t="shared" si="1"/>
        <v>2149</v>
      </c>
      <c r="F13" s="241" t="s">
        <v>36</v>
      </c>
      <c r="G13" s="205"/>
      <c r="H13" s="196">
        <f>D29</f>
        <v>220870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15</v>
      </c>
      <c r="D14" s="31">
        <f t="shared" si="1"/>
        <v>165</v>
      </c>
      <c r="F14" s="199" t="s">
        <v>39</v>
      </c>
      <c r="G14" s="200"/>
      <c r="H14" s="201">
        <f>D54</f>
        <v>31911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188959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2">
        <v>81964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2">
        <v>66744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220870</v>
      </c>
      <c r="F29" s="113" t="s">
        <v>55</v>
      </c>
      <c r="G29" s="175"/>
      <c r="H29" s="135">
        <f>H15-H16-H17-H18-H19-H20-H22-H23-H24+H26+H27+H28</f>
        <v>173739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57">
        <f t="shared" ref="H34:H39" si="2">F34*G34</f>
        <v>78000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57">
        <f t="shared" si="2"/>
        <v>1100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17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1906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6179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2">
        <v>66744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172246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30</v>
      </c>
      <c r="D50" s="12">
        <f>C50*1.5</f>
        <v>45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-1493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169</v>
      </c>
      <c r="D6" s="13">
        <f t="shared" ref="D6:D28" si="1">C6*L6</f>
        <v>124553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23331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241" t="s">
        <v>36</v>
      </c>
      <c r="G13" s="205"/>
      <c r="H13" s="196">
        <f>D29</f>
        <v>152888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23528.25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129359.75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424</f>
        <v>424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152888</v>
      </c>
      <c r="F29" s="113" t="s">
        <v>55</v>
      </c>
      <c r="G29" s="175"/>
      <c r="H29" s="135">
        <f>H15-H16-H17-H18-H19-H20-H22-H23-H24+H26+H27</f>
        <v>128935.75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57">
        <f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ref="H35:H39" si="2"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57">
        <v>2277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129227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27</v>
      </c>
      <c r="D50" s="12">
        <f>C50*1.5</f>
        <v>40.5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291.25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23528.25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189</v>
      </c>
      <c r="D6" s="13">
        <f t="shared" ref="D6:D28" si="1">C6*L6</f>
        <v>139293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</v>
      </c>
      <c r="D9" s="13">
        <f t="shared" si="1"/>
        <v>9898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154198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25923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624</f>
        <v>624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154198</v>
      </c>
      <c r="F29" s="113" t="s">
        <v>55</v>
      </c>
      <c r="G29" s="175"/>
      <c r="H29" s="135">
        <f>H15-H16-H17-H18-H19-H20-H22-H23-H24+H26+H27</f>
        <v>127651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57">
        <f>F34*G34</f>
        <v>112000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131444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3793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25923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266</v>
      </c>
      <c r="D6" s="13">
        <f t="shared" ref="D6:D28" si="1">C6*L6</f>
        <v>196042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15</v>
      </c>
      <c r="D9" s="13">
        <f t="shared" si="1"/>
        <v>10605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6</v>
      </c>
      <c r="D13" s="48">
        <f t="shared" si="1"/>
        <v>1842</v>
      </c>
      <c r="F13" s="241" t="s">
        <v>36</v>
      </c>
      <c r="G13" s="205"/>
      <c r="H13" s="196">
        <f>D29</f>
        <v>214998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</v>
      </c>
      <c r="D14" s="31">
        <f t="shared" si="1"/>
        <v>11</v>
      </c>
      <c r="F14" s="199" t="s">
        <v>39</v>
      </c>
      <c r="G14" s="200"/>
      <c r="H14" s="201">
        <f>D54</f>
        <v>32010.75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f>1+1</f>
        <v>2</v>
      </c>
      <c r="D15" s="31">
        <f t="shared" si="1"/>
        <v>1240</v>
      </c>
      <c r="F15" s="204" t="s">
        <v>40</v>
      </c>
      <c r="G15" s="205"/>
      <c r="H15" s="206">
        <f>H13-H14</f>
        <v>182987.25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214998</v>
      </c>
      <c r="F29" s="113" t="s">
        <v>55</v>
      </c>
      <c r="G29" s="175"/>
      <c r="H29" s="135">
        <f>H15-H16-H17-H18-H19-H20-H22-H23-H24+H26+H27+H28</f>
        <v>182987.25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57">
        <f t="shared" ref="H34:H39" si="2">F34*G34</f>
        <v>140000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57">
        <f t="shared" si="2"/>
        <v>16500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742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2">
        <v>4000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2">
        <v>21364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14</v>
      </c>
      <c r="D46" s="12">
        <f>C46*1.5</f>
        <v>21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182926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74</v>
      </c>
      <c r="D50" s="12">
        <f>C50*1.5</f>
        <v>111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-61.25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224</v>
      </c>
      <c r="D6" s="13">
        <f t="shared" ref="D6:D28" si="1">C6*L6</f>
        <v>165088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2175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</v>
      </c>
      <c r="D9" s="13">
        <f t="shared" si="1"/>
        <v>1414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173613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27418.5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146194.5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1854</f>
        <v>1854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785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173613</v>
      </c>
      <c r="F29" s="113" t="s">
        <v>55</v>
      </c>
      <c r="G29" s="175"/>
      <c r="H29" s="135">
        <f>H15-H16-H17-H18-H19-H20-H22-H23-H24+H26+H27</f>
        <v>144340.5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57">
        <f>F34*G34</f>
        <v>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32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2">
        <v>125142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144324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-16.5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27418.5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461</v>
      </c>
      <c r="D6" s="13">
        <f t="shared" ref="D6:D28" si="1">C6*L6</f>
        <v>339757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14500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102</v>
      </c>
      <c r="D9" s="13">
        <f t="shared" si="1"/>
        <v>72114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2916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25</v>
      </c>
      <c r="D13" s="48">
        <f t="shared" si="1"/>
        <v>7675</v>
      </c>
      <c r="F13" s="241" t="s">
        <v>36</v>
      </c>
      <c r="G13" s="205"/>
      <c r="H13" s="196">
        <f>D29</f>
        <v>444659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60058.5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384600.5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630+2682+300</f>
        <v>3612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444659</v>
      </c>
      <c r="F29" s="113" t="s">
        <v>55</v>
      </c>
      <c r="G29" s="175"/>
      <c r="H29" s="135">
        <f>H15-H16-H17-H18-H19-H20-H22-H23-H24+H26+H27</f>
        <v>380988.5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57">
        <f>F34*G34</f>
        <v>98000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7">
        <f>F35*G35</f>
        <v>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57">
        <f t="shared" si="2"/>
        <v>2300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16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2">
        <v>270987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380493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-495.5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60058.5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2025-11-19T00:14:20Z</cp:lastPrinted>
  <dcterms:created xsi:type="dcterms:W3CDTF">2024-09-01T23:36:50Z</dcterms:created>
  <dcterms:modified xsi:type="dcterms:W3CDTF">2025-11-19T00:54:42Z</dcterms:modified>
</cp:coreProperties>
</file>