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BE7AF93-C659-484E-85FE-04CBEBF3E675}" xr6:coauthVersionLast="45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" sheetId="1448" r:id="rId7"/>
    <sheet name="04,11 R2" sheetId="1449" r:id="rId8"/>
    <sheet name="04,11 R3" sheetId="1450" r:id="rId9"/>
    <sheet name="(5)" sheetId="1451" r:id="rId10"/>
    <sheet name="05,11 R1" sheetId="1452" r:id="rId11"/>
    <sheet name="05,11 R2" sheetId="1453" r:id="rId12"/>
    <sheet name="05,11 R3" sheetId="1454" r:id="rId13"/>
    <sheet name="(6)" sheetId="1455" r:id="rId14"/>
    <sheet name="06,11 R1" sheetId="1456" r:id="rId15"/>
    <sheet name="06,11 R2" sheetId="1457" r:id="rId16"/>
    <sheet name="06,11 R3" sheetId="1458" r:id="rId17"/>
    <sheet name="(7)" sheetId="1459" r:id="rId18"/>
    <sheet name="07,11 R1" sheetId="1460" r:id="rId19"/>
    <sheet name="07,11 R2" sheetId="1461" r:id="rId20"/>
    <sheet name="07,11 R3" sheetId="1462" r:id="rId21"/>
    <sheet name="(8)" sheetId="1463" r:id="rId22"/>
    <sheet name="08,11 R1" sheetId="1464" r:id="rId23"/>
    <sheet name="08,11 R2" sheetId="1465" r:id="rId24"/>
    <sheet name="08,11 R3" sheetId="1466" r:id="rId25"/>
    <sheet name="(10)" sheetId="1467" r:id="rId26"/>
    <sheet name="10,11 R1" sheetId="1468" r:id="rId27"/>
    <sheet name="10,11 R2" sheetId="1469" r:id="rId28"/>
    <sheet name="10,11 R3" sheetId="1470" r:id="rId29"/>
  </sheets>
  <definedNames>
    <definedName name="_xlnm.Print_Area" localSheetId="1">'(03)'!$A$1:$J$60</definedName>
    <definedName name="_xlnm.Print_Area" localSheetId="25">'(10)'!$A$1:$J$60</definedName>
    <definedName name="_xlnm.Print_Area" localSheetId="5">'(4)'!$A$1:$J$60</definedName>
    <definedName name="_xlnm.Print_Area" localSheetId="9">'(5)'!$A$1:$J$60</definedName>
    <definedName name="_xlnm.Print_Area" localSheetId="13">'(6)'!$A$1:$J$60</definedName>
    <definedName name="_xlnm.Print_Area" localSheetId="17">'(7)'!$A$1:$J$60</definedName>
    <definedName name="_xlnm.Print_Area" localSheetId="21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R1'!$A$1:$J$60</definedName>
    <definedName name="_xlnm.Print_Area" localSheetId="7">'04,11 R2'!$A$1:$J$60</definedName>
    <definedName name="_xlnm.Print_Area" localSheetId="8">'04,11 R3'!$A$1:$J$60</definedName>
    <definedName name="_xlnm.Print_Area" localSheetId="10">'05,11 R1'!$A$1:$J$60</definedName>
    <definedName name="_xlnm.Print_Area" localSheetId="11">'05,11 R2'!$A$1:$J$60</definedName>
    <definedName name="_xlnm.Print_Area" localSheetId="12">'05,11 R3'!$A$1:$J$60</definedName>
    <definedName name="_xlnm.Print_Area" localSheetId="14">'06,11 R1'!$A$1:$J$60</definedName>
    <definedName name="_xlnm.Print_Area" localSheetId="15">'06,11 R2'!$A$1:$J$60</definedName>
    <definedName name="_xlnm.Print_Area" localSheetId="16">'06,11 R3'!$A$1:$J$60</definedName>
    <definedName name="_xlnm.Print_Area" localSheetId="18">'07,11 R1'!$A$1:$J$60</definedName>
    <definedName name="_xlnm.Print_Area" localSheetId="19">'07,11 R2'!$A$1:$J$60</definedName>
    <definedName name="_xlnm.Print_Area" localSheetId="20">'07,11 R3'!$A$1:$J$60</definedName>
    <definedName name="_xlnm.Print_Area" localSheetId="22">'08,11 R1'!$A$1:$J$60</definedName>
    <definedName name="_xlnm.Print_Area" localSheetId="23">'08,11 R2'!$A$1:$J$60</definedName>
    <definedName name="_xlnm.Print_Area" localSheetId="24">'08,11 R3'!$A$1:$J$60</definedName>
    <definedName name="_xlnm.Print_Area" localSheetId="26">'10,11 R1'!$A$1:$J$60</definedName>
    <definedName name="_xlnm.Print_Area" localSheetId="27">'10,11 R2'!$A$1:$J$60</definedName>
    <definedName name="_xlnm.Print_Area" localSheetId="28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29" l="1"/>
  <c r="H16" i="1428"/>
  <c r="C12" i="1429" l="1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G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D54" i="1454" s="1"/>
  <c r="H14" i="1454" s="1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L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D54" i="1453" s="1"/>
  <c r="H14" i="1453" s="1"/>
  <c r="R35" i="1453"/>
  <c r="L19" i="1453" s="1"/>
  <c r="D19" i="1453" s="1"/>
  <c r="H35" i="1453"/>
  <c r="D35" i="1453"/>
  <c r="R34" i="1453"/>
  <c r="H34" i="1453"/>
  <c r="G49" i="1453" s="1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G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D54" i="1452" s="1"/>
  <c r="H14" i="1452" s="1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G49" i="1450" s="1"/>
  <c r="D35" i="1450"/>
  <c r="D54" i="1450" s="1"/>
  <c r="H14" i="1450" s="1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G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D54" i="1449" s="1"/>
  <c r="H14" i="1449" s="1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29" i="1470" l="1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H15" i="1454" s="1"/>
  <c r="H29" i="1454" s="1"/>
  <c r="G51" i="1454" s="1"/>
  <c r="D29" i="1453"/>
  <c r="H13" i="1453" s="1"/>
  <c r="H15" i="1453" s="1"/>
  <c r="H29" i="1453" s="1"/>
  <c r="G51" i="1453"/>
  <c r="D29" i="1452"/>
  <c r="H13" i="1452" s="1"/>
  <c r="H15" i="1452" s="1"/>
  <c r="H29" i="1452" s="1"/>
  <c r="G51" i="1452"/>
  <c r="D29" i="1451"/>
  <c r="H13" i="1451" s="1"/>
  <c r="H15" i="1451" s="1"/>
  <c r="H29" i="1451" s="1"/>
  <c r="G51" i="1451" s="1"/>
  <c r="D29" i="1450"/>
  <c r="H13" i="1450" s="1"/>
  <c r="H15" i="1450" s="1"/>
  <c r="H29" i="1450" s="1"/>
  <c r="G51" i="1450" s="1"/>
  <c r="D29" i="1449"/>
  <c r="H13" i="1449" s="1"/>
  <c r="H15" i="1449" s="1"/>
  <c r="H29" i="1449" s="1"/>
  <c r="G51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<sst xmlns="http://schemas.openxmlformats.org/spreadsheetml/2006/main" count="3675" uniqueCount="150">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</sst>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9" fontId="23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0A1620-F6A6-4ECE-A5B2-11122A5CC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C256D-22EE-4E6C-AECE-0F2C327D2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>
        <v>189</v>
      </c>
      <c r="D6" s="13">
        <f t="shared" ref="D6:D28" si="1">C6*L6</f>
        <v>139293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>
        <v>10</v>
      </c>
      <c r="D7" s="13">
        <f t="shared" si="1"/>
        <v>7250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>
        <v>1</v>
      </c>
      <c r="D8" s="13">
        <f t="shared" si="1"/>
        <v>1033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>
        <v>21</v>
      </c>
      <c r="D9" s="13">
        <f t="shared" si="1"/>
        <v>14847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>
        <v>1</v>
      </c>
      <c r="D11" s="13">
        <f t="shared" si="1"/>
        <v>1125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>
        <f>1+1</f>
        <v>2</v>
      </c>
      <c r="D12" s="48">
        <f t="shared" si="1"/>
        <v>1904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>
        <f>7</f>
        <v>7</v>
      </c>
      <c r="D13" s="48">
        <f t="shared" si="1"/>
        <v>2149</v>
      </c>
      <c r="F13" s="134" t="s">
        <v>36</v>
      </c>
      <c r="G13" s="135"/>
      <c r="H13" s="136">
        <f>D29</f>
        <v>176285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>
        <v>18</v>
      </c>
      <c r="D14" s="31">
        <f t="shared" si="1"/>
        <v>198</v>
      </c>
      <c r="F14" s="139" t="s">
        <v>39</v>
      </c>
      <c r="G14" s="140"/>
      <c r="H14" s="141">
        <f>D54</f>
        <v>26221.5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150063.5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73">
        <v>87612</v>
      </c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8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>
        <v>1</v>
      </c>
      <c r="D28" s="48">
        <f t="shared" si="1"/>
        <v>785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176285</v>
      </c>
      <c r="F29" s="157" t="s">
        <v>55</v>
      </c>
      <c r="G29" s="158"/>
      <c r="H29" s="161">
        <f>H15-H16-H17-H18-H19-H20-H22-H23-H24+H26+H27+H28</f>
        <v>237675.5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89">
        <f t="shared" ref="H34:H39" si="2">F34*G34</f>
        <v>120000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89">
        <f t="shared" si="2"/>
        <v>24000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89">
        <f t="shared" si="2"/>
        <v>200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89">
        <f t="shared" si="2"/>
        <v>3500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89">
        <f t="shared" si="2"/>
        <v>250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>
        <v>6</v>
      </c>
      <c r="D42" s="12">
        <f>C42*2.25</f>
        <v>13.5</v>
      </c>
      <c r="F42" s="39" t="s">
        <v>79</v>
      </c>
      <c r="G42" s="189">
        <v>2143</v>
      </c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>
        <v>2</v>
      </c>
      <c r="D44" s="12">
        <f>C44*120</f>
        <v>240</v>
      </c>
      <c r="F44" s="37" t="s">
        <v>148</v>
      </c>
      <c r="G44" s="236" t="s">
        <v>149</v>
      </c>
      <c r="H44" s="173">
        <v>87612</v>
      </c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>
        <v>3</v>
      </c>
      <c r="D45" s="12">
        <f>C45*84</f>
        <v>252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237705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>
        <v>22</v>
      </c>
      <c r="D50" s="12">
        <f>C50*1.5</f>
        <v>33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143</v>
      </c>
      <c r="G51" s="218">
        <f>G49-H29</f>
        <v>29.5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>
        <v>329</v>
      </c>
      <c r="D6" s="13">
        <f t="shared" ref="D6:D28" si="1">C6*L6</f>
        <v>242473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>
        <v>13</v>
      </c>
      <c r="D9" s="13">
        <f t="shared" si="1"/>
        <v>9191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>
        <v>10</v>
      </c>
      <c r="D13" s="48">
        <f t="shared" si="1"/>
        <v>3070</v>
      </c>
      <c r="F13" s="134" t="s">
        <v>36</v>
      </c>
      <c r="G13" s="135"/>
      <c r="H13" s="136">
        <f>D29</f>
        <v>254855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>
        <v>11</v>
      </c>
      <c r="D14" s="31">
        <f t="shared" si="1"/>
        <v>121</v>
      </c>
      <c r="F14" s="139" t="s">
        <v>39</v>
      </c>
      <c r="G14" s="140"/>
      <c r="H14" s="141">
        <f>D54</f>
        <v>38556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216299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>
        <f>1998+1071</f>
        <v>3069</v>
      </c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254855</v>
      </c>
      <c r="F29" s="157" t="s">
        <v>55</v>
      </c>
      <c r="G29" s="158"/>
      <c r="H29" s="161">
        <f>H15-H16-H17-H18-H19-H20-H22-H23-H24+H26+H27</f>
        <v>213230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89">
        <f>F34*G34</f>
        <v>73000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89">
        <f t="shared" ref="H35:H39" si="2">F35*G35</f>
        <v>4500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9">
        <f>F36*G36</f>
        <v>400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>
        <v>105</v>
      </c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73">
        <v>134760</v>
      </c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85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>
        <v>10</v>
      </c>
      <c r="D49" s="12">
        <f>C49*42</f>
        <v>420</v>
      </c>
      <c r="F49" s="214" t="s">
        <v>86</v>
      </c>
      <c r="G49" s="161">
        <f>H34+H35+H36+H37+H38+H39+H40+H41+G42+H44+H45+H46</f>
        <v>212765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>
        <v>10</v>
      </c>
      <c r="D50" s="12">
        <f>C50*1.5</f>
        <v>15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-465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38556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>
        <v>264</v>
      </c>
      <c r="D6" s="13">
        <f t="shared" ref="D6:D28" si="1">C6*L6</f>
        <v>194568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>
        <v>5</v>
      </c>
      <c r="D7" s="13">
        <f t="shared" si="1"/>
        <v>3625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>
        <v>44</v>
      </c>
      <c r="D9" s="13">
        <f t="shared" si="1"/>
        <v>31108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>
        <v>1</v>
      </c>
      <c r="D10" s="13">
        <f t="shared" si="1"/>
        <v>972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>
        <v>1</v>
      </c>
      <c r="D11" s="13">
        <f t="shared" si="1"/>
        <v>1125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>
        <f>1</f>
        <v>1</v>
      </c>
      <c r="D12" s="48">
        <f t="shared" si="1"/>
        <v>952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>
        <v>5</v>
      </c>
      <c r="D13" s="48">
        <f t="shared" si="1"/>
        <v>1535</v>
      </c>
      <c r="F13" s="134" t="s">
        <v>36</v>
      </c>
      <c r="G13" s="135"/>
      <c r="H13" s="136">
        <f>D29</f>
        <v>237953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>
        <v>13</v>
      </c>
      <c r="D14" s="31">
        <f t="shared" si="1"/>
        <v>143</v>
      </c>
      <c r="F14" s="139" t="s">
        <v>39</v>
      </c>
      <c r="G14" s="140"/>
      <c r="H14" s="141">
        <f>D54</f>
        <v>37326.75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200626.25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>
        <f>840+990</f>
        <v>1830</v>
      </c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>
        <v>5</v>
      </c>
      <c r="D28" s="48">
        <f t="shared" si="1"/>
        <v>3925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237953</v>
      </c>
      <c r="F29" s="157" t="s">
        <v>55</v>
      </c>
      <c r="G29" s="158"/>
      <c r="H29" s="161">
        <f>H15-H16-H17-H18-H19-H20-H22-H23-H24+H26+H27</f>
        <v>198796.25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89">
        <f>F34*G34</f>
        <v>103000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89">
        <f>F35*G35</f>
        <v>10000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89">
        <f t="shared" si="2"/>
        <v>700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89">
        <f t="shared" si="2"/>
        <v>150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9">
        <v>521</v>
      </c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73">
        <v>84520</v>
      </c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>
        <v>3</v>
      </c>
      <c r="D46" s="12">
        <f>C46*1.5</f>
        <v>4.5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198891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>
        <v>3</v>
      </c>
      <c r="D50" s="12">
        <f>C50*1.5</f>
        <v>4.5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143</v>
      </c>
      <c r="G51" s="218">
        <f>G49-H29</f>
        <v>94.75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37326.75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45971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45971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45971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(November 2025)</vt:lpstr>
      <vt:lpstr>(03)</vt:lpstr>
      <vt:lpstr>03,11 R1</vt:lpstr>
      <vt:lpstr>03,11 R2</vt:lpstr>
      <vt:lpstr>03,11 R3</vt:lpstr>
      <vt:lpstr>(4)</vt:lpstr>
      <vt:lpstr>04,11 R1</vt:lpstr>
      <vt:lpstr>04,11 R2</vt:lpstr>
      <vt:lpstr>04,11 R3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R1'!Print_Area</vt:lpstr>
      <vt:lpstr>'04,11 R2'!Print_Area</vt:lpstr>
      <vt:lpstr>'04,11 R3'!Print_Area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2025-11-04T03:23:52Z</cp:lastPrinted>
  <dcterms:created xsi:type="dcterms:W3CDTF">2024-09-01T23:36:50Z</dcterms:created>
  <dcterms:modified xsi:type="dcterms:W3CDTF">2025-11-04T03:24:31Z</dcterms:modified>
</cp:coreProperties>
</file>