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0B1CB28D-5B4B-4711-BD24-E72CF6F345F3}" xr6:coauthVersionLast="45" xr6:coauthVersionMax="47" xr10:uidLastSave="{00000000-0000-0000-0000-000000000000}"/>
  <bookViews>
    <workbookView xWindow="-120" yWindow="-120" windowWidth="29040" windowHeight="15840" firstSheet="66" activeTab="7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G49" i="1527" s="1"/>
  <c r="D34" i="1527"/>
  <c r="D54" i="1527" s="1"/>
  <c r="H14" i="1527" s="1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D54" i="1526" s="1"/>
  <c r="H14" i="1526" s="1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G49" i="1526" s="1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D54" i="1525" s="1"/>
  <c r="H14" i="1525" s="1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D29" i="1525" s="1"/>
  <c r="H13" i="1525" s="1"/>
  <c r="H15" i="1525" s="1"/>
  <c r="H29" i="1525" s="1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G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D54" i="1523" s="1"/>
  <c r="H14" i="1523" s="1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G49" i="1522" s="1"/>
  <c r="D35" i="1522"/>
  <c r="D54" i="1522" s="1"/>
  <c r="H14" i="1522" s="1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D54" i="1521" s="1"/>
  <c r="H14" i="1521" s="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29" i="1540" l="1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H15" i="1527" s="1"/>
  <c r="H29" i="1527" s="1"/>
  <c r="G51" i="1527"/>
  <c r="D29" i="1526"/>
  <c r="H13" i="1526" s="1"/>
  <c r="H15" i="1526" s="1"/>
  <c r="H29" i="1526" s="1"/>
  <c r="G51" i="1526" s="1"/>
  <c r="G51" i="1525"/>
  <c r="D29" i="1524"/>
  <c r="H13" i="1524" s="1"/>
  <c r="H15" i="1524" s="1"/>
  <c r="H29" i="1524" s="1"/>
  <c r="G51" i="1524" s="1"/>
  <c r="D29" i="1523"/>
  <c r="H13" i="1523" s="1"/>
  <c r="H15" i="1523" s="1"/>
  <c r="H29" i="1523" s="1"/>
  <c r="G51" i="1523" s="1"/>
  <c r="D29" i="1522"/>
  <c r="H13" i="1522" s="1"/>
  <c r="H15" i="1522" s="1"/>
  <c r="H29" i="1522" s="1"/>
  <c r="G51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L25" i="1497" l="1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5" l="1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5" l="1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<sst xmlns="http://schemas.openxmlformats.org/spreadsheetml/2006/main" count="12923" uniqueCount="196">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</sst>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635D74-61C2-443A-8254-EE13711E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B5CDF9-FBCD-49E4-B0FB-7F5FE7875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7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8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189</v>
      </c>
      <c r="D6" s="13">
        <f t="shared" ref="D6:D28" si="1">C6*L6</f>
        <v>139293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1</v>
      </c>
      <c r="D8" s="13">
        <f t="shared" si="1"/>
        <v>1033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21</v>
      </c>
      <c r="D9" s="13">
        <f t="shared" si="1"/>
        <v>14847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f>1+1</f>
        <v>2</v>
      </c>
      <c r="D12" s="48">
        <f t="shared" si="1"/>
        <v>1904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f>7</f>
        <v>7</v>
      </c>
      <c r="D13" s="48">
        <f t="shared" si="1"/>
        <v>2149</v>
      </c>
      <c r="F13" s="157" t="s">
        <v>36</v>
      </c>
      <c r="G13" s="158"/>
      <c r="H13" s="159">
        <f>D29</f>
        <v>176285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18</v>
      </c>
      <c r="D14" s="31">
        <f t="shared" si="1"/>
        <v>198</v>
      </c>
      <c r="F14" s="162" t="s">
        <v>39</v>
      </c>
      <c r="G14" s="163"/>
      <c r="H14" s="164">
        <f>D54</f>
        <v>26221.5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150063.5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96">
        <v>87612</v>
      </c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8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1</v>
      </c>
      <c r="D28" s="48">
        <f t="shared" si="1"/>
        <v>785</v>
      </c>
      <c r="F28" s="87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176285</v>
      </c>
      <c r="F29" s="180" t="s">
        <v>55</v>
      </c>
      <c r="G29" s="181"/>
      <c r="H29" s="184">
        <f>H15-H16-H17-H18-H19-H20-H22-H23-H24+H26+H27+H28</f>
        <v>237675.5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2">
        <f t="shared" ref="H34:H39" si="2">F34*G34</f>
        <v>120000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12">
        <f t="shared" si="2"/>
        <v>24000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12">
        <f t="shared" si="2"/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12">
        <f t="shared" si="2"/>
        <v>3500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12">
        <f t="shared" si="2"/>
        <v>250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6</v>
      </c>
      <c r="D42" s="12">
        <f>C42*2.25</f>
        <v>13.5</v>
      </c>
      <c r="F42" s="39" t="s">
        <v>79</v>
      </c>
      <c r="G42" s="212">
        <v>2143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8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96">
        <v>87612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3</v>
      </c>
      <c r="D45" s="12">
        <f>C45*84</f>
        <v>252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237705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22</v>
      </c>
      <c r="D50" s="12">
        <f>C50*1.5</f>
        <v>33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29.5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329</v>
      </c>
      <c r="D6" s="13">
        <f t="shared" ref="D6:D28" si="1">C6*L6</f>
        <v>242473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13</v>
      </c>
      <c r="D9" s="13">
        <f t="shared" si="1"/>
        <v>9191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157" t="s">
        <v>36</v>
      </c>
      <c r="G13" s="158"/>
      <c r="H13" s="159">
        <f>D29</f>
        <v>254855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11</v>
      </c>
      <c r="D14" s="31">
        <f t="shared" si="1"/>
        <v>121</v>
      </c>
      <c r="F14" s="162" t="s">
        <v>39</v>
      </c>
      <c r="G14" s="163"/>
      <c r="H14" s="164">
        <f>D54</f>
        <v>38556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216299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1998+1071</f>
        <v>3069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7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254855</v>
      </c>
      <c r="F29" s="180" t="s">
        <v>55</v>
      </c>
      <c r="G29" s="181"/>
      <c r="H29" s="184">
        <f>H15-H16-H17-H18-H19-H20-H22-H23-H24+H26+H27</f>
        <v>213230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2">
        <f>F34*G34</f>
        <v>73000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12">
        <f t="shared" ref="H35:H39" si="2">F35*G35</f>
        <v>4500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2">
        <f>F36*G36</f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105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8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96">
        <v>134760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85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10</v>
      </c>
      <c r="D49" s="12">
        <f>C49*42</f>
        <v>420</v>
      </c>
      <c r="F49" s="237" t="s">
        <v>86</v>
      </c>
      <c r="G49" s="184">
        <f>H34+H35+H36+H37+H38+H39+H40+H41+G42+H44+H45+H46</f>
        <v>212765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10</v>
      </c>
      <c r="D50" s="12">
        <f>C50*1.5</f>
        <v>15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-465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38556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264</v>
      </c>
      <c r="D6" s="13">
        <f t="shared" ref="D6:D28" si="1">C6*L6</f>
        <v>194568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44</v>
      </c>
      <c r="D9" s="13">
        <f t="shared" si="1"/>
        <v>31108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972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1</f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5</v>
      </c>
      <c r="D13" s="48">
        <f t="shared" si="1"/>
        <v>1535</v>
      </c>
      <c r="F13" s="157" t="s">
        <v>36</v>
      </c>
      <c r="G13" s="158"/>
      <c r="H13" s="159">
        <f>D29</f>
        <v>237953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13</v>
      </c>
      <c r="D14" s="31">
        <f t="shared" si="1"/>
        <v>143</v>
      </c>
      <c r="F14" s="162" t="s">
        <v>39</v>
      </c>
      <c r="G14" s="163"/>
      <c r="H14" s="164">
        <f>D54</f>
        <v>37326.75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200626.25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840+990</f>
        <v>1830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5</v>
      </c>
      <c r="D28" s="48">
        <f t="shared" si="1"/>
        <v>3925</v>
      </c>
      <c r="F28" s="87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237953</v>
      </c>
      <c r="F29" s="180" t="s">
        <v>55</v>
      </c>
      <c r="G29" s="181"/>
      <c r="H29" s="184">
        <f>H15-H16-H17-H18-H19-H20-H22-H23-H24+H26+H27</f>
        <v>198796.25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12">
        <f>F34*G34</f>
        <v>103000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2">
        <f>F35*G35</f>
        <v>10000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2">
        <f t="shared" si="2"/>
        <v>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2">
        <v>521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8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96">
        <v>84520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3</v>
      </c>
      <c r="D46" s="12">
        <f>C46*1.5</f>
        <v>4.5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198891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</v>
      </c>
      <c r="D50" s="12">
        <f>C50*1.5</f>
        <v>4.5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94.75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37326.75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342</v>
      </c>
      <c r="D6" s="13">
        <f t="shared" ref="D6:D28" si="1">C6*L6</f>
        <v>252054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50</v>
      </c>
      <c r="D9" s="13">
        <f t="shared" si="1"/>
        <v>35350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157" t="s">
        <v>36</v>
      </c>
      <c r="G13" s="158"/>
      <c r="H13" s="159">
        <f>D29</f>
        <v>299270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</v>
      </c>
      <c r="D14" s="31">
        <f t="shared" si="1"/>
        <v>11</v>
      </c>
      <c r="F14" s="162" t="s">
        <v>39</v>
      </c>
      <c r="G14" s="163"/>
      <c r="H14" s="164">
        <f>D54</f>
        <v>49524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249746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399*9</f>
        <v>3591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299270</v>
      </c>
      <c r="F29" s="180" t="s">
        <v>55</v>
      </c>
      <c r="G29" s="181"/>
      <c r="H29" s="184">
        <f>H15-H16-H17-H18-H19-H20-H22-H23-H24+H26+H27</f>
        <v>246155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2">
        <f>F34*G34</f>
        <v>103000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2">
        <f t="shared" ref="H35:H39" si="2">F35*G35</f>
        <v>57500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2">
        <f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12">
        <f t="shared" si="2"/>
        <v>70800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12">
        <f t="shared" si="2"/>
        <v>15250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20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31</v>
      </c>
      <c r="D49" s="12">
        <f>C49*42</f>
        <v>1302</v>
      </c>
      <c r="F49" s="237" t="s">
        <v>86</v>
      </c>
      <c r="G49" s="184">
        <f>H34+H35+H36+H37+H38+H39+H40+H41+G42+H44+H45+H46</f>
        <v>246770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615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49524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 t="s">
        <v>152</v>
      </c>
      <c r="H4" s="126" t="s">
        <v>9</v>
      </c>
      <c r="I4" s="128">
        <v>45965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703</v>
      </c>
      <c r="D6" s="13">
        <f t="shared" ref="D6:D28" si="1">C6*L6</f>
        <v>518111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16</v>
      </c>
      <c r="D7" s="13">
        <f t="shared" si="1"/>
        <v>11600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2</v>
      </c>
      <c r="D8" s="13">
        <f t="shared" si="1"/>
        <v>2066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147</v>
      </c>
      <c r="D9" s="13">
        <f t="shared" si="1"/>
        <v>103929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3</v>
      </c>
      <c r="D11" s="13">
        <f t="shared" si="1"/>
        <v>3375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2+1</f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35</v>
      </c>
      <c r="D13" s="48">
        <f t="shared" si="1"/>
        <v>10745</v>
      </c>
      <c r="F13" s="157" t="s">
        <v>36</v>
      </c>
      <c r="G13" s="158"/>
      <c r="H13" s="159">
        <f>D29</f>
        <v>654670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4</v>
      </c>
      <c r="D14" s="31">
        <f t="shared" si="1"/>
        <v>44</v>
      </c>
      <c r="F14" s="162" t="s">
        <v>39</v>
      </c>
      <c r="G14" s="163"/>
      <c r="H14" s="164">
        <f>D54</f>
        <v>112054.5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542615.5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1794+3000+672</f>
        <v>5466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654670</v>
      </c>
      <c r="F29" s="180" t="s">
        <v>55</v>
      </c>
      <c r="G29" s="181"/>
      <c r="H29" s="184">
        <f>H15-H16-H17-H18-H19-H20-H22-H23-H24+H26+H27</f>
        <v>537149.5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12">
        <f>F34*G34</f>
        <v>29000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12">
        <f>F35*G35</f>
        <v>23000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12">
        <f t="shared" si="2"/>
        <v>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8</v>
      </c>
      <c r="D42" s="12">
        <f>C42*2.25</f>
        <v>18</v>
      </c>
      <c r="F42" s="39" t="s">
        <v>79</v>
      </c>
      <c r="G42" s="212">
        <v>40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96">
        <v>302372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96">
        <v>182588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5</v>
      </c>
      <c r="D46" s="12">
        <f>C46*1.5</f>
        <v>7.5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8</v>
      </c>
      <c r="D49" s="12">
        <f>C49*42</f>
        <v>336</v>
      </c>
      <c r="F49" s="237" t="s">
        <v>86</v>
      </c>
      <c r="G49" s="184">
        <f>H34+H35+H36+H37+H38+H39+H40+H41+G42+H44+H45+H46</f>
        <v>537250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100.5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112054.5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 t="s">
        <v>153</v>
      </c>
      <c r="H4" s="126" t="s">
        <v>9</v>
      </c>
      <c r="I4" s="128">
        <v>45965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213</v>
      </c>
      <c r="D6" s="13">
        <f t="shared" ref="D6:D28" si="1">C6*L6</f>
        <v>156981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</v>
      </c>
      <c r="D9" s="13">
        <f t="shared" si="1"/>
        <v>7070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169353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23</v>
      </c>
      <c r="D14" s="31">
        <f t="shared" si="1"/>
        <v>253</v>
      </c>
      <c r="F14" s="162" t="s">
        <v>39</v>
      </c>
      <c r="G14" s="163"/>
      <c r="H14" s="164">
        <f>D54</f>
        <v>32837.25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136515.75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936+324</f>
        <v>1260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169353</v>
      </c>
      <c r="F29" s="180" t="s">
        <v>55</v>
      </c>
      <c r="G29" s="181"/>
      <c r="H29" s="184">
        <f>H15-H16-H17-H18-H19-H20-H22-H23-H24+H26+H27</f>
        <v>135255.75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12">
        <f>F34*G34</f>
        <v>98000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12">
        <f>F35*G35</f>
        <v>36500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12">
        <f t="shared" si="2"/>
        <v>500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22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8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25</v>
      </c>
      <c r="D46" s="12">
        <f>C46*1.5</f>
        <v>37.5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3</v>
      </c>
      <c r="D49" s="12">
        <f>C49*42</f>
        <v>126</v>
      </c>
      <c r="F49" s="237" t="s">
        <v>86</v>
      </c>
      <c r="G49" s="184">
        <f>H34+H35+H36+H37+H38+H39+H40+H41+G42+H44+H45+H46</f>
        <v>135022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20</v>
      </c>
      <c r="D50" s="12">
        <f>C50*1.5</f>
        <v>30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-233.75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32837.25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291</v>
      </c>
      <c r="D6" s="13">
        <f t="shared" ref="D6:D28" si="1">C6*L6</f>
        <v>214467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25</v>
      </c>
      <c r="D9" s="13">
        <f t="shared" si="1"/>
        <v>17675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5</v>
      </c>
      <c r="D13" s="48">
        <f t="shared" si="1"/>
        <v>1535</v>
      </c>
      <c r="F13" s="157" t="s">
        <v>36</v>
      </c>
      <c r="G13" s="158"/>
      <c r="H13" s="159">
        <f>D29</f>
        <v>238949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7</v>
      </c>
      <c r="D14" s="31">
        <f t="shared" si="1"/>
        <v>77</v>
      </c>
      <c r="F14" s="162" t="s">
        <v>39</v>
      </c>
      <c r="G14" s="163"/>
      <c r="H14" s="164">
        <f>D54</f>
        <v>35661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203288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2</v>
      </c>
      <c r="D28" s="48">
        <f t="shared" si="1"/>
        <v>1570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238949</v>
      </c>
      <c r="F29" s="180" t="s">
        <v>55</v>
      </c>
      <c r="G29" s="181"/>
      <c r="H29" s="184">
        <f>H15-H16-H17-H18-H19-H20-H22-H23-H24+H26+H27+H28</f>
        <v>203288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12">
        <f t="shared" ref="H34:H39" si="2">F34*G34</f>
        <v>119000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2">
        <f t="shared" si="2"/>
        <v>40000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2">
        <f t="shared" si="2"/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12">
        <f t="shared" si="2"/>
        <v>11300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12">
        <f t="shared" si="2"/>
        <v>1500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394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157</v>
      </c>
      <c r="G44" s="62"/>
      <c r="H44" s="196">
        <v>30000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15</v>
      </c>
      <c r="D46" s="12">
        <f>C46*1.5</f>
        <v>22.5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202614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15</v>
      </c>
      <c r="D50" s="12">
        <f>C50*1.5</f>
        <v>22.5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-674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268</v>
      </c>
      <c r="D6" s="13">
        <f t="shared" ref="D6:D28" si="1">C6*L6</f>
        <v>197516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15</v>
      </c>
      <c r="D9" s="13">
        <f t="shared" si="1"/>
        <v>10605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6</v>
      </c>
      <c r="D12" s="48">
        <f t="shared" si="1"/>
        <v>5712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11</v>
      </c>
      <c r="D13" s="48">
        <f t="shared" si="1"/>
        <v>3377</v>
      </c>
      <c r="F13" s="157" t="s">
        <v>36</v>
      </c>
      <c r="G13" s="158"/>
      <c r="H13" s="159">
        <f>D29</f>
        <v>236512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7</v>
      </c>
      <c r="D14" s="31">
        <f t="shared" si="1"/>
        <v>77</v>
      </c>
      <c r="F14" s="162" t="s">
        <v>39</v>
      </c>
      <c r="G14" s="163"/>
      <c r="H14" s="164">
        <f>D54</f>
        <v>59487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177025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236512</v>
      </c>
      <c r="F29" s="180" t="s">
        <v>55</v>
      </c>
      <c r="G29" s="181"/>
      <c r="H29" s="184">
        <f>H15-H16-H17-H18-H19-H20-H22-H23-H24+H26+H27</f>
        <v>175342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12">
        <f>F34*G34</f>
        <v>51000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12">
        <f t="shared" ref="H35:H39" si="2">F35*G35</f>
        <v>16500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2">
        <f>F36*G36</f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12">
        <f t="shared" si="2"/>
        <v>2700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12">
        <f t="shared" si="2"/>
        <v>1500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2">
        <f t="shared" si="2"/>
        <v>40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1024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96">
        <v>102187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175351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</v>
      </c>
      <c r="D50" s="12">
        <f>C50*1.5</f>
        <v>4.5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9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59487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238</v>
      </c>
      <c r="D6" s="13">
        <f t="shared" ref="D6:D28" si="1">C6*L6</f>
        <v>175406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3</v>
      </c>
      <c r="D7" s="13">
        <f t="shared" si="1"/>
        <v>2175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24</v>
      </c>
      <c r="D9" s="13">
        <f t="shared" si="1"/>
        <v>16968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157" t="s">
        <v>36</v>
      </c>
      <c r="G13" s="158"/>
      <c r="H13" s="159">
        <f>D29</f>
        <v>202370.5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21</v>
      </c>
      <c r="D14" s="31">
        <f t="shared" si="1"/>
        <v>231</v>
      </c>
      <c r="F14" s="162" t="s">
        <v>39</v>
      </c>
      <c r="G14" s="163"/>
      <c r="H14" s="164">
        <f>D54</f>
        <v>19476.75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182893.75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864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>
        <v>12</v>
      </c>
      <c r="D26" s="48">
        <f t="shared" si="1"/>
        <v>434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202370.5</v>
      </c>
      <c r="F29" s="180" t="s">
        <v>55</v>
      </c>
      <c r="G29" s="181"/>
      <c r="H29" s="184">
        <f>H15-H16-H17-H18-H19-H20-H22-H23-H24+H26+H27</f>
        <v>182029.75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12">
        <f>F34*G34</f>
        <v>136000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2">
        <f>F35*G35</f>
        <v>38500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12">
        <f t="shared" ref="H36:H39" si="2">F36*G36</f>
        <v>800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12">
        <f t="shared" si="2"/>
        <v>6600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12">
        <f t="shared" si="2"/>
        <v>200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3</v>
      </c>
      <c r="D42" s="12">
        <f>C42*2.25</f>
        <v>6.75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15</v>
      </c>
      <c r="D46" s="12">
        <f>C46*1.5</f>
        <v>22.5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182120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38</v>
      </c>
      <c r="D50" s="12">
        <f>C50*1.5</f>
        <v>57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90.25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19476.75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134</v>
      </c>
      <c r="D6" s="13">
        <f t="shared" ref="D6:D28" si="1">C6*L6</f>
        <v>98758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6</v>
      </c>
      <c r="D9" s="13">
        <f t="shared" si="1"/>
        <v>4242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3</v>
      </c>
      <c r="D13" s="48">
        <f t="shared" si="1"/>
        <v>921</v>
      </c>
      <c r="F13" s="157" t="s">
        <v>36</v>
      </c>
      <c r="G13" s="158"/>
      <c r="H13" s="159">
        <f>D29</f>
        <v>106155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4</v>
      </c>
      <c r="D14" s="31">
        <f t="shared" si="1"/>
        <v>44</v>
      </c>
      <c r="F14" s="162" t="s">
        <v>39</v>
      </c>
      <c r="G14" s="163"/>
      <c r="H14" s="164">
        <f>D54</f>
        <v>15195.75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>
        <v>1</v>
      </c>
      <c r="D15" s="31">
        <f t="shared" si="1"/>
        <v>620</v>
      </c>
      <c r="F15" s="167" t="s">
        <v>40</v>
      </c>
      <c r="G15" s="158"/>
      <c r="H15" s="168">
        <f>H13-H14</f>
        <v>90959.25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2</v>
      </c>
      <c r="D28" s="48">
        <f t="shared" si="1"/>
        <v>1570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106155</v>
      </c>
      <c r="F29" s="180" t="s">
        <v>55</v>
      </c>
      <c r="G29" s="181"/>
      <c r="H29" s="184">
        <f>H15-H16-H17-H18-H19-H20-H22-H23-H24+H26+H27+H28</f>
        <v>90959.25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12">
        <f t="shared" ref="H34:H39" si="2">F34*G34</f>
        <v>81000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2">
        <f t="shared" si="2"/>
        <v>5000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12">
        <f t="shared" si="2"/>
        <v>4400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12">
        <f t="shared" si="2"/>
        <v>350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</v>
      </c>
      <c r="D42" s="12">
        <f>C42*2.25</f>
        <v>2.25</v>
      </c>
      <c r="F42" s="39" t="s">
        <v>79</v>
      </c>
      <c r="G42" s="212">
        <v>80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90830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75</v>
      </c>
      <c r="D50" s="12">
        <f>C50*1.5</f>
        <v>112.5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-129.25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196</v>
      </c>
      <c r="D6" s="13">
        <f t="shared" ref="D6:D28" si="1">C6*L6</f>
        <v>144452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8</v>
      </c>
      <c r="D9" s="13">
        <f t="shared" si="1"/>
        <v>5656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972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4</v>
      </c>
      <c r="D13" s="48">
        <f t="shared" si="1"/>
        <v>1228</v>
      </c>
      <c r="F13" s="157" t="s">
        <v>36</v>
      </c>
      <c r="G13" s="158"/>
      <c r="H13" s="159">
        <f>D29</f>
        <v>158246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16</v>
      </c>
      <c r="D14" s="31">
        <f t="shared" si="1"/>
        <v>176</v>
      </c>
      <c r="F14" s="162" t="s">
        <v>39</v>
      </c>
      <c r="G14" s="163"/>
      <c r="H14" s="164">
        <f>D54</f>
        <v>23723.25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134522.75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656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1">
        <v>50</v>
      </c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1</v>
      </c>
      <c r="D28" s="48">
        <f t="shared" si="1"/>
        <v>785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158246</v>
      </c>
      <c r="F29" s="180" t="s">
        <v>55</v>
      </c>
      <c r="G29" s="181"/>
      <c r="H29" s="184">
        <f>H15-H16-H17-H18-H19-H20-H22-H23-H24+H26+H27</f>
        <v>133816.75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12">
        <f>F34*G34</f>
        <v>87000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12">
        <f t="shared" ref="H35:H39" si="2">F35*G35</f>
        <v>43000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12">
        <f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12">
        <f t="shared" si="2"/>
        <v>2800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92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3</v>
      </c>
      <c r="D45" s="12">
        <f>C45*84</f>
        <v>252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13</v>
      </c>
      <c r="D46" s="12">
        <f>C46*1.5</f>
        <v>19.5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133192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36</v>
      </c>
      <c r="D50" s="12">
        <f>C50*1.5</f>
        <v>54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-624.75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23723.25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522</v>
      </c>
      <c r="D6" s="13">
        <f t="shared" ref="D6:D28" si="1">C6*L6</f>
        <v>384714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14500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1033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112</v>
      </c>
      <c r="D9" s="13">
        <f t="shared" si="1"/>
        <v>79184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1904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26</v>
      </c>
      <c r="D13" s="48">
        <f t="shared" si="1"/>
        <v>7982</v>
      </c>
      <c r="F13" s="157" t="s">
        <v>36</v>
      </c>
      <c r="G13" s="158"/>
      <c r="H13" s="159">
        <f>D29</f>
        <v>494817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62" t="s">
        <v>39</v>
      </c>
      <c r="G14" s="163"/>
      <c r="H14" s="164">
        <f>D54</f>
        <v>57405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67" t="s">
        <v>40</v>
      </c>
      <c r="G15" s="158"/>
      <c r="H15" s="168">
        <f>H13-H14</f>
        <v>437412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2250+360</f>
        <v>2610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494817</v>
      </c>
      <c r="F29" s="180" t="s">
        <v>55</v>
      </c>
      <c r="G29" s="181"/>
      <c r="H29" s="184">
        <f>H15-H16-H17-H18-H19-H20-H22-H23-H24+H26+H27</f>
        <v>434802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12">
        <f>F34*G34</f>
        <v>42000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2">
        <f>F35*G35</f>
        <v>19000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96">
        <v>226005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96">
        <v>147693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15</v>
      </c>
      <c r="D49" s="12">
        <f>C49*42</f>
        <v>630</v>
      </c>
      <c r="F49" s="237" t="s">
        <v>86</v>
      </c>
      <c r="G49" s="184">
        <f>H34+H35+H36+H37+H38+H39+H40+H41+G42+H44+H45+H46</f>
        <v>434698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</v>
      </c>
      <c r="D50" s="12">
        <f>C50*1.5</f>
        <v>3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-104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57405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257</v>
      </c>
      <c r="D6" s="13">
        <f t="shared" ref="D6:D28" si="1">C6*L6</f>
        <v>189409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5</v>
      </c>
      <c r="D8" s="13">
        <f t="shared" si="1"/>
        <v>5165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32</v>
      </c>
      <c r="D9" s="13">
        <f t="shared" si="1"/>
        <v>22624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2</v>
      </c>
      <c r="D10" s="13">
        <f t="shared" si="1"/>
        <v>1944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10</v>
      </c>
      <c r="D13" s="48">
        <f t="shared" si="1"/>
        <v>3070</v>
      </c>
      <c r="F13" s="157" t="s">
        <v>36</v>
      </c>
      <c r="G13" s="158"/>
      <c r="H13" s="159">
        <f>D29</f>
        <v>241468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35980.5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205487.5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4">
        <v>62969</v>
      </c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7">
        <v>2504</v>
      </c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96">
        <v>72491</v>
      </c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10</v>
      </c>
      <c r="D28" s="48">
        <f t="shared" si="1"/>
        <v>7850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241468</v>
      </c>
      <c r="F29" s="180" t="s">
        <v>55</v>
      </c>
      <c r="G29" s="181"/>
      <c r="H29" s="184">
        <f>H15-H16-H17-H18-H19-H20-H22-H23-H24+H26+H27+H28</f>
        <v>212505.5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12">
        <f t="shared" ref="H34:H39" si="2">F34*G34</f>
        <v>107000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2">
        <f t="shared" si="2"/>
        <v>15500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2">
        <f t="shared" si="2"/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12">
        <f t="shared" si="2"/>
        <v>3100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12">
        <f t="shared" si="2"/>
        <v>300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12">
        <f t="shared" si="2"/>
        <v>180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>
        <v>51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6">
        <v>13593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157</v>
      </c>
      <c r="G45" s="62"/>
      <c r="H45" s="196">
        <v>72491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4</v>
      </c>
      <c r="D46" s="12">
        <f>C46*1.5</f>
        <v>6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</v>
      </c>
      <c r="D49" s="12">
        <f>C49*42</f>
        <v>84</v>
      </c>
      <c r="F49" s="237" t="s">
        <v>86</v>
      </c>
      <c r="G49" s="184">
        <f>H34+H35+H36+H37+H38+H39+H40+H41+G42+H44+H45+H46</f>
        <v>212615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13</v>
      </c>
      <c r="D50" s="12">
        <f>C50*1.5</f>
        <v>19.5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109.5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211</v>
      </c>
      <c r="D6" s="13">
        <f t="shared" ref="D6:D28" si="1">C6*L6</f>
        <v>155507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</v>
      </c>
      <c r="D7" s="13">
        <f t="shared" si="1"/>
        <v>1450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138</v>
      </c>
      <c r="D9" s="13">
        <f t="shared" si="1"/>
        <v>97566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972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</v>
      </c>
      <c r="D13" s="48">
        <f t="shared" si="1"/>
        <v>307</v>
      </c>
      <c r="F13" s="157" t="s">
        <v>36</v>
      </c>
      <c r="G13" s="158"/>
      <c r="H13" s="159">
        <f>D29</f>
        <v>259191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17</v>
      </c>
      <c r="D14" s="31">
        <f t="shared" si="1"/>
        <v>187</v>
      </c>
      <c r="F14" s="162" t="s">
        <v>39</v>
      </c>
      <c r="G14" s="163"/>
      <c r="H14" s="164">
        <f>D54</f>
        <v>36323.25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222867.75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1608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259191</v>
      </c>
      <c r="F29" s="180" t="s">
        <v>55</v>
      </c>
      <c r="G29" s="181"/>
      <c r="H29" s="184">
        <f>H15-H16-H17-H18-H19-H20-H22-H23-H24+H26+H27</f>
        <v>221259.75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12">
        <f>F34*G34</f>
        <v>15000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12">
        <f>F35*G35</f>
        <v>42500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96">
        <v>163678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</v>
      </c>
      <c r="D46" s="12">
        <f>C46*1.5</f>
        <v>3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221178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-81.75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36323.25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45969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593</v>
      </c>
      <c r="D6" s="13">
        <f t="shared" ref="D6:D28" si="1">C6*L6</f>
        <v>437041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42</v>
      </c>
      <c r="D9" s="13">
        <f t="shared" si="1"/>
        <v>29694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23</v>
      </c>
      <c r="D13" s="48">
        <f t="shared" si="1"/>
        <v>7061</v>
      </c>
      <c r="F13" s="157" t="s">
        <v>36</v>
      </c>
      <c r="G13" s="158"/>
      <c r="H13" s="159">
        <f>D29</f>
        <v>477597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16</v>
      </c>
      <c r="D14" s="31">
        <f t="shared" si="1"/>
        <v>176</v>
      </c>
      <c r="F14" s="162" t="s">
        <v>39</v>
      </c>
      <c r="G14" s="163"/>
      <c r="H14" s="164">
        <f>D54</f>
        <v>55938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421659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4968</f>
        <v>4968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477597</v>
      </c>
      <c r="F29" s="180" t="s">
        <v>55</v>
      </c>
      <c r="G29" s="181"/>
      <c r="H29" s="184">
        <f>H15-H16-H17-H18-H19-H20-H22-H23-H24+H26+H27+H28</f>
        <v>416691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12">
        <f t="shared" ref="H34:H39" si="2">F34*G34</f>
        <v>206000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12">
        <f t="shared" si="2"/>
        <v>149000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12">
        <f t="shared" si="2"/>
        <v>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83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96">
        <v>61244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7</v>
      </c>
      <c r="D46" s="12">
        <f>C46*1.5</f>
        <v>10.5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7</v>
      </c>
      <c r="D49" s="12">
        <f>C49*42</f>
        <v>294</v>
      </c>
      <c r="F49" s="237" t="s">
        <v>86</v>
      </c>
      <c r="G49" s="184">
        <f>H34+H35+H36+H37+H38+H39+H40+H41+G42+H44+H45+H46</f>
        <v>416677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</v>
      </c>
      <c r="D50" s="12">
        <f>C50*1.5</f>
        <v>4.5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-14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45969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119</v>
      </c>
      <c r="D6" s="13">
        <f t="shared" ref="D6:D28" si="1">C6*L6</f>
        <v>87703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8</v>
      </c>
      <c r="D7" s="13">
        <f t="shared" si="1"/>
        <v>5800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17</v>
      </c>
      <c r="D9" s="13">
        <f t="shared" si="1"/>
        <v>12019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1904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4</v>
      </c>
      <c r="D13" s="48">
        <f t="shared" si="1"/>
        <v>1228</v>
      </c>
      <c r="F13" s="157" t="s">
        <v>36</v>
      </c>
      <c r="G13" s="158"/>
      <c r="H13" s="159">
        <f>D29</f>
        <v>109447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13</v>
      </c>
      <c r="D14" s="31">
        <f t="shared" si="1"/>
        <v>143</v>
      </c>
      <c r="F14" s="162" t="s">
        <v>39</v>
      </c>
      <c r="G14" s="163"/>
      <c r="H14" s="164">
        <f>D54</f>
        <v>16447.5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92999.5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109447</v>
      </c>
      <c r="F29" s="180" t="s">
        <v>55</v>
      </c>
      <c r="G29" s="181"/>
      <c r="H29" s="184">
        <f>H15-H16-H17-H18-H19-H20-H22-H23-H24+H26+H27</f>
        <v>92999.5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12">
        <f>F34*G34</f>
        <v>67000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12">
        <f t="shared" ref="H35:H39" si="2">F35*G35</f>
        <v>15000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2">
        <f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12">
        <f t="shared" si="2"/>
        <v>10600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197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13</v>
      </c>
      <c r="D46" s="12">
        <f>C46*1.5</f>
        <v>19.5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93047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6</v>
      </c>
      <c r="D50" s="12">
        <f>C50*1.5</f>
        <v>9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47.5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16447.5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45969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313</v>
      </c>
      <c r="D6" s="13">
        <f t="shared" ref="D6:D28" si="1">C6*L6</f>
        <v>230681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18</v>
      </c>
      <c r="D7" s="13">
        <f t="shared" si="1"/>
        <v>13050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40</v>
      </c>
      <c r="D9" s="13">
        <f t="shared" si="1"/>
        <v>28280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287432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35280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252152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690+306+1020</f>
        <v>2016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287432</v>
      </c>
      <c r="F29" s="180" t="s">
        <v>55</v>
      </c>
      <c r="G29" s="181"/>
      <c r="H29" s="184">
        <f>H15-H16-H17-H18-H19-H20-H22-H23-H24+H26+H27</f>
        <v>250136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12">
        <f>F34*G34</f>
        <v>225000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2">
        <f>F35*G35</f>
        <v>24500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12">
        <f t="shared" si="2"/>
        <v>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>
        <v>757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15</v>
      </c>
      <c r="D46" s="12">
        <f>C46*1.5</f>
        <v>22.5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7</v>
      </c>
      <c r="D49" s="12">
        <f>C49*42</f>
        <v>294</v>
      </c>
      <c r="F49" s="237" t="s">
        <v>86</v>
      </c>
      <c r="G49" s="184">
        <f>H34+H35+H36+H37+H38+H39+H40+H41+G42+H44+H45+H46</f>
        <v>250757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621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35280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104</v>
      </c>
      <c r="D6" s="13">
        <f t="shared" ref="D6:D28" si="1">C6*L6</f>
        <v>76648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8</v>
      </c>
      <c r="D7" s="13">
        <f t="shared" si="1"/>
        <v>5800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2</v>
      </c>
      <c r="D8" s="13">
        <f t="shared" si="1"/>
        <v>2066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6</v>
      </c>
      <c r="D9" s="13">
        <f t="shared" si="1"/>
        <v>4242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2</v>
      </c>
      <c r="D10" s="13">
        <f t="shared" si="1"/>
        <v>1944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1</v>
      </c>
      <c r="D13" s="48">
        <f t="shared" si="1"/>
        <v>307</v>
      </c>
      <c r="F13" s="157" t="s">
        <v>36</v>
      </c>
      <c r="G13" s="158"/>
      <c r="H13" s="159">
        <f>D29</f>
        <v>95117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13</v>
      </c>
      <c r="D14" s="31">
        <f t="shared" si="1"/>
        <v>143</v>
      </c>
      <c r="F14" s="162" t="s">
        <v>39</v>
      </c>
      <c r="G14" s="163"/>
      <c r="H14" s="164">
        <f>D54</f>
        <v>13739.25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>
        <v>2</v>
      </c>
      <c r="D15" s="31">
        <f t="shared" si="1"/>
        <v>1240</v>
      </c>
      <c r="F15" s="167" t="s">
        <v>40</v>
      </c>
      <c r="G15" s="158"/>
      <c r="H15" s="168">
        <f>H13-H14</f>
        <v>81377.75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95117</v>
      </c>
      <c r="F29" s="180" t="s">
        <v>55</v>
      </c>
      <c r="G29" s="181"/>
      <c r="H29" s="184">
        <f>H15-H16-H17-H18-H19-H20-H22-H23-H24+H26+H27+H28</f>
        <v>81377.75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12">
        <f t="shared" ref="H34:H39" si="2">F34*G34</f>
        <v>49000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 t="shared" si="2"/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12">
        <f t="shared" si="2"/>
        <v>400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12">
        <f t="shared" si="2"/>
        <v>1700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12">
        <f t="shared" si="2"/>
        <v>1350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38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6">
        <v>21910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3</v>
      </c>
      <c r="D45" s="12">
        <f>C45*84</f>
        <v>252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14</v>
      </c>
      <c r="D46" s="12">
        <f>C46*1.5</f>
        <v>21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81398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14</v>
      </c>
      <c r="D50" s="12">
        <f>C50*1.5</f>
        <v>21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20.25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173</v>
      </c>
      <c r="D6" s="13">
        <f t="shared" ref="D6:D28" si="1">C6*L6</f>
        <v>127501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7</v>
      </c>
      <c r="D7" s="13">
        <f t="shared" si="1"/>
        <v>5075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23</v>
      </c>
      <c r="D9" s="13">
        <f t="shared" si="1"/>
        <v>16261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1+1+1</f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6</v>
      </c>
      <c r="D13" s="48">
        <f t="shared" si="1"/>
        <v>1842</v>
      </c>
      <c r="F13" s="157" t="s">
        <v>36</v>
      </c>
      <c r="G13" s="158"/>
      <c r="H13" s="159">
        <f>D29</f>
        <v>153590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62" t="s">
        <v>39</v>
      </c>
      <c r="G14" s="163"/>
      <c r="H14" s="164">
        <f>D54</f>
        <v>23355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130235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153590</v>
      </c>
      <c r="F29" s="180" t="s">
        <v>55</v>
      </c>
      <c r="G29" s="181"/>
      <c r="H29" s="184">
        <f>H15-H16-H17-H18-H19-H20-H22-H23-H24+H26+H27</f>
        <v>130235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2">
        <f>F34*G34</f>
        <v>103000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2">
        <f t="shared" ref="H35:H39" si="2">F35*G35</f>
        <v>19000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12">
        <f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12">
        <f t="shared" si="2"/>
        <v>2400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12">
        <f t="shared" si="2"/>
        <v>1100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4</v>
      </c>
      <c r="D42" s="12">
        <f>C42*2.25</f>
        <v>9</v>
      </c>
      <c r="F42" s="39" t="s">
        <v>79</v>
      </c>
      <c r="G42" s="212">
        <v>232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96">
        <v>3118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8</v>
      </c>
      <c r="D46" s="12">
        <f>C46*1.5</f>
        <v>12</v>
      </c>
      <c r="F46" s="37"/>
      <c r="G46" s="9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129070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10</v>
      </c>
      <c r="D50" s="12">
        <f>C50*1.5</f>
        <v>15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-1165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23355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261</v>
      </c>
      <c r="D6" s="13">
        <f t="shared" ref="D6:D28" si="1">C6*L6</f>
        <v>192357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72</v>
      </c>
      <c r="D9" s="13">
        <f t="shared" si="1"/>
        <v>50904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3</v>
      </c>
      <c r="D11" s="13">
        <f t="shared" si="1"/>
        <v>3375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5+3</f>
        <v>8</v>
      </c>
      <c r="D12" s="48">
        <f t="shared" si="1"/>
        <v>7616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157" t="s">
        <v>36</v>
      </c>
      <c r="G13" s="158"/>
      <c r="H13" s="159">
        <f>D29</f>
        <v>259983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17</v>
      </c>
      <c r="D14" s="31">
        <f t="shared" si="1"/>
        <v>187</v>
      </c>
      <c r="F14" s="162" t="s">
        <v>39</v>
      </c>
      <c r="G14" s="163"/>
      <c r="H14" s="164">
        <f>D54</f>
        <v>44370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3</v>
      </c>
      <c r="D15" s="31">
        <f t="shared" si="1"/>
        <v>1860</v>
      </c>
      <c r="F15" s="167" t="s">
        <v>40</v>
      </c>
      <c r="G15" s="158"/>
      <c r="H15" s="168">
        <f>H13-H14</f>
        <v>215613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1248</f>
        <v>1248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9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259983</v>
      </c>
      <c r="F29" s="180" t="s">
        <v>55</v>
      </c>
      <c r="G29" s="181"/>
      <c r="H29" s="184">
        <f>H15-H16-H17-H18-H19-H20-H22-H23-H24+H26+H27</f>
        <v>214365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2">
        <f>F34*G34</f>
        <v>25000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>F35*G35</f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12">
        <f t="shared" si="2"/>
        <v>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97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9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96">
        <v>125184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96">
        <v>56466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6</v>
      </c>
      <c r="D49" s="12">
        <f>C49*42</f>
        <v>252</v>
      </c>
      <c r="F49" s="237" t="s">
        <v>86</v>
      </c>
      <c r="G49" s="184">
        <f>H34+H35+H36+H37+H38+H39+H40+H41+G42+H44+H45+H46</f>
        <v>214147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-218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44370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301</v>
      </c>
      <c r="D6" s="13">
        <f t="shared" ref="D6:D28" si="1">C6*L6</f>
        <v>221837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12</v>
      </c>
      <c r="D7" s="13">
        <f t="shared" si="1"/>
        <v>8700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21</v>
      </c>
      <c r="D9" s="13">
        <f t="shared" si="1"/>
        <v>14847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f>2+1</f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5</v>
      </c>
      <c r="D13" s="48">
        <f t="shared" si="1"/>
        <v>1535</v>
      </c>
      <c r="F13" s="157" t="s">
        <v>36</v>
      </c>
      <c r="G13" s="158"/>
      <c r="H13" s="159">
        <f>D29</f>
        <v>256893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19</v>
      </c>
      <c r="D14" s="31">
        <f t="shared" si="1"/>
        <v>209</v>
      </c>
      <c r="F14" s="162" t="s">
        <v>39</v>
      </c>
      <c r="G14" s="163"/>
      <c r="H14" s="164">
        <f>D54</f>
        <v>38674.5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218218.5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169</v>
      </c>
      <c r="C26" s="89">
        <v>12</v>
      </c>
      <c r="D26" s="48">
        <f t="shared" si="1"/>
        <v>444</v>
      </c>
      <c r="F26" s="75"/>
      <c r="G26" s="65"/>
      <c r="H26" s="196"/>
      <c r="I26" s="196"/>
      <c r="J26" s="196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3</v>
      </c>
      <c r="D28" s="48">
        <f t="shared" si="1"/>
        <v>2355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256893</v>
      </c>
      <c r="F29" s="180" t="s">
        <v>55</v>
      </c>
      <c r="G29" s="181"/>
      <c r="H29" s="184">
        <f>H15-H16-H17-H18-H19-H20-H22-H23-H24+H26+H27+H28</f>
        <v>218218.5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12">
        <f t="shared" ref="H34:H39" si="2">F34*G34</f>
        <v>176000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12">
        <f t="shared" si="2"/>
        <v>24500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12">
        <f t="shared" si="2"/>
        <v>600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12">
        <f t="shared" si="2"/>
        <v>6100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12">
        <f t="shared" si="2"/>
        <v>1000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8</v>
      </c>
      <c r="D42" s="12">
        <f>C42*2.25</f>
        <v>18</v>
      </c>
      <c r="F42" s="39" t="s">
        <v>79</v>
      </c>
      <c r="G42" s="212">
        <v>2146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6">
        <v>3177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96">
        <v>3756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217279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39</v>
      </c>
      <c r="D50" s="12">
        <f>C50*1.5</f>
        <v>58.5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-939.5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539</v>
      </c>
      <c r="D6" s="13">
        <f t="shared" ref="D6:D28" si="1">C6*L6</f>
        <v>397243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50</v>
      </c>
      <c r="D9" s="13">
        <f t="shared" si="1"/>
        <v>35350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24</v>
      </c>
      <c r="D13" s="48">
        <f t="shared" si="1"/>
        <v>7368</v>
      </c>
      <c r="F13" s="157" t="s">
        <v>36</v>
      </c>
      <c r="G13" s="158"/>
      <c r="H13" s="159">
        <f>D29</f>
        <v>440093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12</v>
      </c>
      <c r="D14" s="31">
        <f t="shared" si="1"/>
        <v>132</v>
      </c>
      <c r="F14" s="162" t="s">
        <v>39</v>
      </c>
      <c r="G14" s="163"/>
      <c r="H14" s="164">
        <f>D54</f>
        <v>61989.75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378103.25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5517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440093</v>
      </c>
      <c r="F29" s="180" t="s">
        <v>55</v>
      </c>
      <c r="G29" s="181"/>
      <c r="H29" s="184">
        <f>H15-H16-H17-H18-H19-H20-H22-H23-H24+H26+H27</f>
        <v>372586.25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12">
        <f>F34*G34</f>
        <v>104000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12">
        <f t="shared" ref="H35:H39" si="2">F35*G35</f>
        <v>269500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12">
        <f t="shared" si="2"/>
        <v>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12">
        <f t="shared" si="2"/>
        <v>250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2">
        <v>50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13</v>
      </c>
      <c r="D46" s="12">
        <f>C46*1.5</f>
        <v>19.5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9</v>
      </c>
      <c r="D49" s="12">
        <f>C49*42</f>
        <v>378</v>
      </c>
      <c r="F49" s="237" t="s">
        <v>86</v>
      </c>
      <c r="G49" s="184">
        <f>H34+H35+H36+H37+H38+H39+H40+H41+G42+H44+H45+H46</f>
        <v>373920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</v>
      </c>
      <c r="D50" s="12">
        <f>C50*1.5</f>
        <v>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1333.75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61989.75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247</v>
      </c>
      <c r="D6" s="13">
        <f t="shared" ref="D6:D28" si="1">C6*L6</f>
        <v>182039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16</v>
      </c>
      <c r="D7" s="13">
        <f t="shared" si="1"/>
        <v>11600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30</v>
      </c>
      <c r="D9" s="13">
        <f t="shared" si="1"/>
        <v>21210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157" t="s">
        <v>36</v>
      </c>
      <c r="G13" s="158"/>
      <c r="H13" s="159">
        <f>D29</f>
        <v>218610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7</v>
      </c>
      <c r="D14" s="31">
        <f t="shared" si="1"/>
        <v>77</v>
      </c>
      <c r="F14" s="162" t="s">
        <v>39</v>
      </c>
      <c r="G14" s="163"/>
      <c r="H14" s="164">
        <f>D54</f>
        <v>20649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197961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960+402+282</f>
        <v>1644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f>50+50</f>
        <v>100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218610</v>
      </c>
      <c r="F29" s="180" t="s">
        <v>55</v>
      </c>
      <c r="G29" s="181"/>
      <c r="H29" s="184">
        <f>H15-H16-H17-H18-H19-H20-H22-H23-H24+H26+H27</f>
        <v>196217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2">
        <f>F34*G34</f>
        <v>180000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12">
        <f>F35*G35</f>
        <v>1500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12">
        <f t="shared" ref="H36:H39" si="2">F36*G36</f>
        <v>800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12">
        <f t="shared" si="2"/>
        <v>10600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12">
        <f t="shared" si="2"/>
        <v>3050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6</v>
      </c>
      <c r="D42" s="12">
        <f>C42*2.25</f>
        <v>13.5</v>
      </c>
      <c r="F42" s="39" t="s">
        <v>79</v>
      </c>
      <c r="G42" s="212">
        <v>73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</v>
      </c>
      <c r="D46" s="12">
        <f>C46*1.5</f>
        <v>1.5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4</v>
      </c>
      <c r="D49" s="12">
        <f>C49*42</f>
        <v>168</v>
      </c>
      <c r="F49" s="237" t="s">
        <v>86</v>
      </c>
      <c r="G49" s="184">
        <f>H34+H35+H36+H37+H38+H39+H40+H41+G42+H44+H45+H46</f>
        <v>196043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-174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20649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215</v>
      </c>
      <c r="D6" s="13">
        <f t="shared" ref="D6:D28" si="1">C6*L6</f>
        <v>158455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1</v>
      </c>
      <c r="D8" s="13">
        <f t="shared" si="1"/>
        <v>1033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21</v>
      </c>
      <c r="D9" s="13">
        <f t="shared" si="1"/>
        <v>14847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1</v>
      </c>
      <c r="D10" s="13">
        <f t="shared" si="1"/>
        <v>972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11</v>
      </c>
      <c r="D13" s="48">
        <f t="shared" si="1"/>
        <v>3377</v>
      </c>
      <c r="F13" s="157" t="s">
        <v>36</v>
      </c>
      <c r="G13" s="158"/>
      <c r="H13" s="159">
        <f>D29</f>
        <v>189411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12</v>
      </c>
      <c r="D14" s="31">
        <f t="shared" si="1"/>
        <v>132</v>
      </c>
      <c r="F14" s="162" t="s">
        <v>39</v>
      </c>
      <c r="G14" s="163"/>
      <c r="H14" s="164">
        <f>D54</f>
        <v>29274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160137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4">
        <v>66744</v>
      </c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96">
        <v>62969</v>
      </c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9">
        <v>2504</v>
      </c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2</v>
      </c>
      <c r="D28" s="48">
        <f t="shared" si="1"/>
        <v>1570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189411</v>
      </c>
      <c r="F29" s="180" t="s">
        <v>55</v>
      </c>
      <c r="G29" s="181"/>
      <c r="H29" s="184">
        <f>H15-H16-H17-H18-H19-H20-H22-H23-H24+H26+H27+H28</f>
        <v>158866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12">
        <f t="shared" ref="H34:H39" si="2">F34*G34</f>
        <v>71000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2">
        <f t="shared" si="2"/>
        <v>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12">
        <f t="shared" si="2"/>
        <v>8600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12">
        <f t="shared" si="2"/>
        <v>1900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2">
        <v>38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96">
        <v>3804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96">
        <v>62969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96">
        <v>2504</v>
      </c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159815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949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207</v>
      </c>
      <c r="D6" s="13">
        <f t="shared" ref="D6:D28" si="1">C6*L6</f>
        <v>152559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</v>
      </c>
      <c r="D9" s="13">
        <f t="shared" si="1"/>
        <v>7070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8</v>
      </c>
      <c r="D13" s="48">
        <f t="shared" si="1"/>
        <v>2456</v>
      </c>
      <c r="F13" s="157" t="s">
        <v>36</v>
      </c>
      <c r="G13" s="158"/>
      <c r="H13" s="159">
        <f>D29</f>
        <v>162338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23</v>
      </c>
      <c r="D14" s="31">
        <f t="shared" si="1"/>
        <v>253</v>
      </c>
      <c r="F14" s="162" t="s">
        <v>39</v>
      </c>
      <c r="G14" s="163"/>
      <c r="H14" s="164">
        <f>D54</f>
        <v>21364.5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140973.5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1863</f>
        <v>1863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162338</v>
      </c>
      <c r="F29" s="180" t="s">
        <v>55</v>
      </c>
      <c r="G29" s="181"/>
      <c r="H29" s="184">
        <f>H15-H16-H17-H18-H19-H20-H22-H23-H24+H26+H27</f>
        <v>139110.5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12">
        <f>F34*G34</f>
        <v>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2">
        <f t="shared" ref="H35:H39" si="2">F35*G35</f>
        <v>1000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12">
        <f t="shared" si="2"/>
        <v>600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67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96">
        <v>128294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139111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</v>
      </c>
      <c r="D50" s="12">
        <f>C50*1.5</f>
        <v>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0.5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21364.5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171</v>
      </c>
      <c r="D6" s="13">
        <f t="shared" ref="D6:D28" si="1">C6*L6</f>
        <v>126027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6</v>
      </c>
      <c r="D7" s="13">
        <f t="shared" si="1"/>
        <v>4350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24</v>
      </c>
      <c r="D9" s="13">
        <f t="shared" si="1"/>
        <v>16968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1904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156308.5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22</v>
      </c>
      <c r="D14" s="31">
        <f t="shared" si="1"/>
        <v>242</v>
      </c>
      <c r="F14" s="162" t="s">
        <v>39</v>
      </c>
      <c r="G14" s="163"/>
      <c r="H14" s="164">
        <f>D54</f>
        <v>35391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67" t="s">
        <v>40</v>
      </c>
      <c r="G15" s="158"/>
      <c r="H15" s="168">
        <f>H13-H14</f>
        <v>120917.5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52*6</f>
        <v>312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>
        <v>12</v>
      </c>
      <c r="D26" s="48">
        <f t="shared" si="1"/>
        <v>434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4</v>
      </c>
      <c r="D28" s="48">
        <f t="shared" si="1"/>
        <v>3140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156308.5</v>
      </c>
      <c r="F29" s="180" t="s">
        <v>55</v>
      </c>
      <c r="G29" s="181"/>
      <c r="H29" s="184">
        <f>H15-H16-H17-H18-H19-H20-H22-H23-H24+H26+H27</f>
        <v>120555.5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12">
        <f>F34*G34</f>
        <v>77000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12">
        <f>F35*G35</f>
        <v>37500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12">
        <f t="shared" ref="H36:H39" si="2"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12">
        <f t="shared" si="2"/>
        <v>2700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12">
        <f t="shared" si="2"/>
        <v>2800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383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3</v>
      </c>
      <c r="D44" s="12">
        <f>C44*120</f>
        <v>360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10</v>
      </c>
      <c r="D46" s="12">
        <f>C46*1.5</f>
        <v>15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</v>
      </c>
      <c r="D49" s="12">
        <f>C49*42</f>
        <v>84</v>
      </c>
      <c r="F49" s="237" t="s">
        <v>86</v>
      </c>
      <c r="G49" s="184">
        <f>H34+H35+H36+H37+H38+H39+H40+H41+G42+H44+H45+H46</f>
        <v>120603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47.5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35391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249</v>
      </c>
      <c r="D6" s="13">
        <f t="shared" ref="D6:D28" si="1">C6*L6</f>
        <v>183513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7</v>
      </c>
      <c r="D9" s="13">
        <f t="shared" si="1"/>
        <v>4949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191305.5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20</v>
      </c>
      <c r="D14" s="31">
        <f t="shared" si="1"/>
        <v>220</v>
      </c>
      <c r="F14" s="162" t="s">
        <v>39</v>
      </c>
      <c r="G14" s="163"/>
      <c r="H14" s="164">
        <f>D54</f>
        <v>59463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131842.5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</f>
        <v>1998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191305.5</v>
      </c>
      <c r="F29" s="180" t="s">
        <v>55</v>
      </c>
      <c r="G29" s="181"/>
      <c r="H29" s="184">
        <f>H15-H16-H17-H18-H19-H20-H22-H23-H24+H26+H27</f>
        <v>129844.5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12">
        <f>F34*G34</f>
        <v>18000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2">
        <f t="shared" ref="H35:H39" si="2">F35*G35</f>
        <v>5000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12">
        <f t="shared" si="2"/>
        <v>2200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12">
        <f t="shared" si="2"/>
        <v>300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96">
        <v>104376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32</v>
      </c>
      <c r="D46" s="12">
        <f>C46*1.5</f>
        <v>48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26</v>
      </c>
      <c r="D49" s="12">
        <f>C49*42</f>
        <v>1092</v>
      </c>
      <c r="F49" s="237" t="s">
        <v>86</v>
      </c>
      <c r="G49" s="184">
        <f>H34+H35+H36+H37+H38+H39+H40+H41+G42+H44+H45+H46</f>
        <v>129876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12</v>
      </c>
      <c r="D50" s="12">
        <f>C50*1.5</f>
        <v>18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31.5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59463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45974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281</v>
      </c>
      <c r="D6" s="13">
        <f t="shared" ref="D6:D28" si="1">C6*L6</f>
        <v>207097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59</v>
      </c>
      <c r="D9" s="13">
        <f t="shared" si="1"/>
        <v>41713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5</v>
      </c>
      <c r="D11" s="13">
        <f t="shared" si="1"/>
        <v>5625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14</v>
      </c>
      <c r="D13" s="48">
        <f t="shared" si="1"/>
        <v>4298</v>
      </c>
      <c r="F13" s="157" t="s">
        <v>36</v>
      </c>
      <c r="G13" s="158"/>
      <c r="H13" s="159">
        <f>D29</f>
        <v>266979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4</v>
      </c>
      <c r="D14" s="31">
        <f t="shared" si="1"/>
        <v>44</v>
      </c>
      <c r="F14" s="162" t="s">
        <v>39</v>
      </c>
      <c r="G14" s="163"/>
      <c r="H14" s="164">
        <f>D54</f>
        <v>20738.25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246240.75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1590+312</f>
        <v>1902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266979</v>
      </c>
      <c r="F29" s="180" t="s">
        <v>55</v>
      </c>
      <c r="G29" s="181"/>
      <c r="H29" s="184">
        <f>H15-H16-H17-H18-H19-H20-H22-H23-H24+H26+H27</f>
        <v>244338.75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2">
        <f>F34*G34</f>
        <v>44000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12">
        <f>F35*G35</f>
        <v>19500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12">
        <f t="shared" si="2"/>
        <v>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2">
        <v>33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96">
        <v>180501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244554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40</v>
      </c>
      <c r="D50" s="12">
        <f>C50*1.5</f>
        <v>60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215.25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20738.25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45</v>
      </c>
      <c r="D6" s="13">
        <f t="shared" ref="D6:D28" si="1">C6*L6</f>
        <v>33165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7</v>
      </c>
      <c r="D7" s="13">
        <f t="shared" si="1"/>
        <v>5075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45</v>
      </c>
      <c r="D8" s="13">
        <f t="shared" si="1"/>
        <v>46485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9</v>
      </c>
      <c r="D9" s="13">
        <f t="shared" si="1"/>
        <v>6363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1</v>
      </c>
      <c r="D10" s="13">
        <f t="shared" si="1"/>
        <v>972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6</v>
      </c>
      <c r="D11" s="13">
        <f t="shared" si="1"/>
        <v>6750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7</v>
      </c>
      <c r="D12" s="48">
        <f t="shared" si="1"/>
        <v>6664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1</v>
      </c>
      <c r="D13" s="48">
        <f t="shared" si="1"/>
        <v>307</v>
      </c>
      <c r="F13" s="157" t="s">
        <v>36</v>
      </c>
      <c r="G13" s="158"/>
      <c r="H13" s="159">
        <f>D29</f>
        <v>109025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2</v>
      </c>
      <c r="D14" s="31">
        <f t="shared" si="1"/>
        <v>22</v>
      </c>
      <c r="F14" s="162" t="s">
        <v>39</v>
      </c>
      <c r="G14" s="163"/>
      <c r="H14" s="164">
        <f>D54</f>
        <v>14175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94850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169</v>
      </c>
      <c r="C26" s="89">
        <v>12</v>
      </c>
      <c r="D26" s="48">
        <f t="shared" si="1"/>
        <v>444</v>
      </c>
      <c r="F26" s="75"/>
      <c r="G26" s="65"/>
      <c r="H26" s="196"/>
      <c r="I26" s="196"/>
      <c r="J26" s="196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109025</v>
      </c>
      <c r="F29" s="180" t="s">
        <v>55</v>
      </c>
      <c r="G29" s="181"/>
      <c r="H29" s="184">
        <f>H15-H16-H17-H18-H19-H20-H22-H23-H24+H26+H27+H28</f>
        <v>94850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12">
        <f t="shared" ref="H34:H39" si="2">F34*G34</f>
        <v>76000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12">
        <f t="shared" si="2"/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4</v>
      </c>
      <c r="D42" s="12">
        <f>C42*2.25</f>
        <v>9</v>
      </c>
      <c r="F42" s="39" t="s">
        <v>79</v>
      </c>
      <c r="G42" s="212">
        <v>2220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96">
        <v>13450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96">
        <v>3249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39</v>
      </c>
      <c r="D46" s="12">
        <f>C46*1.5</f>
        <v>58.5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95169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21</v>
      </c>
      <c r="D50" s="12">
        <f>C50*1.5</f>
        <v>31.5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319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186</v>
      </c>
      <c r="D6" s="13">
        <f t="shared" ref="D6:D28" si="1">C6*L6</f>
        <v>137082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9</v>
      </c>
      <c r="D7" s="13">
        <f t="shared" si="1"/>
        <v>6525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8</v>
      </c>
      <c r="D9" s="13">
        <f t="shared" si="1"/>
        <v>5656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157" t="s">
        <v>36</v>
      </c>
      <c r="G13" s="158"/>
      <c r="H13" s="159">
        <f>D29</f>
        <v>151412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23467.5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127944.5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83*8</f>
        <v>664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151412</v>
      </c>
      <c r="F29" s="180" t="s">
        <v>55</v>
      </c>
      <c r="G29" s="181"/>
      <c r="H29" s="184">
        <f>H15-H16-H17-H18-H19-H20-H22-H23-H24+H26+H27</f>
        <v>127280.5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12">
        <f>F34*G34</f>
        <v>76000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2">
        <f t="shared" ref="H35:H39" si="2">F35*G35</f>
        <v>38500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2">
        <f>F36*G36</f>
        <v>600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12">
        <f t="shared" si="2"/>
        <v>8000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12">
        <f t="shared" si="2"/>
        <v>4100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2">
        <f t="shared" si="2"/>
        <v>40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60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11</v>
      </c>
      <c r="D46" s="12">
        <f>C46*1.5</f>
        <v>16.5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3</v>
      </c>
      <c r="D49" s="12">
        <f>C49*42</f>
        <v>126</v>
      </c>
      <c r="F49" s="237" t="s">
        <v>86</v>
      </c>
      <c r="G49" s="184">
        <f>H34+H35+H36+H37+H38+H39+H40+H41+G42+H44+H45+H46</f>
        <v>127300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22</v>
      </c>
      <c r="D50" s="12">
        <f>C50*1.5</f>
        <v>33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19.5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23467.5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399</v>
      </c>
      <c r="D6" s="13">
        <f t="shared" ref="D6:D28" si="1">C6*L6</f>
        <v>294063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15</v>
      </c>
      <c r="D7" s="13">
        <f t="shared" si="1"/>
        <v>10875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82</v>
      </c>
      <c r="D9" s="13">
        <f t="shared" si="1"/>
        <v>57974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18</v>
      </c>
      <c r="D13" s="48">
        <f t="shared" si="1"/>
        <v>5526</v>
      </c>
      <c r="F13" s="157" t="s">
        <v>36</v>
      </c>
      <c r="G13" s="158"/>
      <c r="H13" s="159">
        <f>D29</f>
        <v>371682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41797.5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329884.5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156*6+1752+414</f>
        <v>3102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4">
        <v>110586</v>
      </c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371682</v>
      </c>
      <c r="F29" s="180" t="s">
        <v>55</v>
      </c>
      <c r="G29" s="181"/>
      <c r="H29" s="184">
        <f>H15-H16-H17-H18-H19-H20-H22-H23-H24+H26+H27</f>
        <v>216196.5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12">
        <f>F34*G34</f>
        <v>33000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>F35*G35</f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2">
        <f t="shared" ref="H36:H39" si="2"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12">
        <f t="shared" si="2"/>
        <v>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2">
        <v>30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96">
        <v>175156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215656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-540.5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41797.5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205</v>
      </c>
      <c r="D6" s="13">
        <f t="shared" ref="D6:D28" si="1">C6*L6</f>
        <v>151085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1033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29</v>
      </c>
      <c r="D9" s="13">
        <f t="shared" si="1"/>
        <v>20503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6</v>
      </c>
      <c r="D13" s="48">
        <f t="shared" si="1"/>
        <v>1842</v>
      </c>
      <c r="F13" s="157" t="s">
        <v>36</v>
      </c>
      <c r="G13" s="158"/>
      <c r="H13" s="159">
        <f>D29</f>
        <v>181692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15</v>
      </c>
      <c r="D14" s="31">
        <f t="shared" si="1"/>
        <v>165</v>
      </c>
      <c r="F14" s="162" t="s">
        <v>39</v>
      </c>
      <c r="G14" s="163"/>
      <c r="H14" s="164">
        <f>D54</f>
        <v>27591.75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154100.25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2</v>
      </c>
      <c r="D28" s="48">
        <f t="shared" si="1"/>
        <v>1570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181692</v>
      </c>
      <c r="F29" s="180" t="s">
        <v>55</v>
      </c>
      <c r="G29" s="181"/>
      <c r="H29" s="184">
        <f>H15-H16-H17-H18-H19-H20-H22-H23-H24+H26+H27</f>
        <v>154100.25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212">
        <f>F34*G34</f>
        <v>95000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2">
        <f t="shared" ref="H35:H39" si="2">F35*G35</f>
        <v>30500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12">
        <f>F36*G36</f>
        <v>1200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212">
        <f t="shared" si="2"/>
        <v>1700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212">
        <f t="shared" si="2"/>
        <v>700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12">
        <v>2431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96">
        <v>22576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4</v>
      </c>
      <c r="D46" s="12">
        <f>C46*1.5</f>
        <v>6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154107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16</v>
      </c>
      <c r="D50" s="12">
        <f>C50*1.5</f>
        <v>24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6.75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27591.75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521</v>
      </c>
      <c r="D6" s="13">
        <f t="shared" ref="D6:D28" si="1">C6*L6</f>
        <v>383977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180</v>
      </c>
      <c r="D9" s="13">
        <f t="shared" si="1"/>
        <v>127260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27</v>
      </c>
      <c r="D13" s="48">
        <f t="shared" si="1"/>
        <v>8289</v>
      </c>
      <c r="F13" s="157" t="s">
        <v>36</v>
      </c>
      <c r="G13" s="158"/>
      <c r="H13" s="159">
        <f>D29</f>
        <v>523772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62" t="s">
        <v>39</v>
      </c>
      <c r="G14" s="163"/>
      <c r="H14" s="164">
        <f>D54</f>
        <v>42216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481556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750+312+3120</f>
        <v>4182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4</v>
      </c>
      <c r="D28" s="48">
        <f t="shared" si="1"/>
        <v>3140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523772</v>
      </c>
      <c r="F29" s="180" t="s">
        <v>55</v>
      </c>
      <c r="G29" s="181"/>
      <c r="H29" s="184">
        <f>H15-H16-H17-H18-H19-H20-H22-H23-H24+H26+H27</f>
        <v>477374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212">
        <f>F34*G34</f>
        <v>97000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2">
        <f>F35*G35</f>
        <v>14000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212">
        <f t="shared" si="2"/>
        <v>10000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212">
        <f t="shared" si="2"/>
        <v>450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>
        <v>149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96">
        <v>351432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6</v>
      </c>
      <c r="D46" s="12">
        <f>C46*1.5</f>
        <v>9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6</v>
      </c>
      <c r="D49" s="12">
        <f>C49*42</f>
        <v>252</v>
      </c>
      <c r="F49" s="237" t="s">
        <v>86</v>
      </c>
      <c r="G49" s="184">
        <f>H34+H35+H36+H37+H38+H39+H40+H41+G42+H44+H45+H46</f>
        <v>473031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21</v>
      </c>
      <c r="D50" s="12">
        <f>C50*1.5</f>
        <v>31.5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-4343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42216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266</v>
      </c>
      <c r="D6" s="13">
        <f t="shared" ref="D6:D28" si="1">C6*L6</f>
        <v>196042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9</v>
      </c>
      <c r="D7" s="13">
        <f t="shared" si="1"/>
        <v>6525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16</v>
      </c>
      <c r="D9" s="13">
        <f t="shared" si="1"/>
        <v>11312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1</v>
      </c>
      <c r="D10" s="13">
        <f t="shared" si="1"/>
        <v>972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</v>
      </c>
      <c r="D11" s="13">
        <f t="shared" si="1"/>
        <v>1125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7</v>
      </c>
      <c r="D13" s="48">
        <f t="shared" si="1"/>
        <v>2149</v>
      </c>
      <c r="F13" s="157" t="s">
        <v>36</v>
      </c>
      <c r="G13" s="158"/>
      <c r="H13" s="159">
        <f>D29</f>
        <v>220870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15</v>
      </c>
      <c r="D14" s="31">
        <f t="shared" si="1"/>
        <v>165</v>
      </c>
      <c r="F14" s="162" t="s">
        <v>39</v>
      </c>
      <c r="G14" s="163"/>
      <c r="H14" s="164">
        <f>D54</f>
        <v>31911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>
        <v>1</v>
      </c>
      <c r="D15" s="31">
        <f t="shared" si="1"/>
        <v>620</v>
      </c>
      <c r="F15" s="167" t="s">
        <v>40</v>
      </c>
      <c r="G15" s="158"/>
      <c r="H15" s="168">
        <f>H13-H14</f>
        <v>188959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4">
        <v>81964</v>
      </c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96">
        <v>66744</v>
      </c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1</v>
      </c>
      <c r="D28" s="48">
        <f t="shared" si="1"/>
        <v>785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220870</v>
      </c>
      <c r="F29" s="180" t="s">
        <v>55</v>
      </c>
      <c r="G29" s="181"/>
      <c r="H29" s="184">
        <f>H15-H16-H17-H18-H19-H20-H22-H23-H24+H26+H27+H28</f>
        <v>173739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212">
        <f t="shared" ref="H34:H39" si="2">F34*G34</f>
        <v>78000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12">
        <f t="shared" si="2"/>
        <v>18000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212">
        <f t="shared" si="2"/>
        <v>1100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212">
        <f t="shared" si="2"/>
        <v>300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16</v>
      </c>
      <c r="D42" s="12">
        <f>C42*2.25</f>
        <v>36</v>
      </c>
      <c r="F42" s="39" t="s">
        <v>79</v>
      </c>
      <c r="G42" s="212">
        <v>17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6">
        <v>1906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157</v>
      </c>
      <c r="G45" s="62"/>
      <c r="H45" s="196">
        <v>6179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96">
        <v>66744</v>
      </c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</v>
      </c>
      <c r="D49" s="12">
        <f>C49*42</f>
        <v>84</v>
      </c>
      <c r="F49" s="237" t="s">
        <v>86</v>
      </c>
      <c r="G49" s="184">
        <f>H34+H35+H36+H37+H38+H39+H40+H41+G42+H44+H45+H46</f>
        <v>172246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30</v>
      </c>
      <c r="D50" s="12">
        <f>C50*1.5</f>
        <v>45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-1493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169</v>
      </c>
      <c r="D6" s="13">
        <f t="shared" ref="D6:D28" si="1">C6*L6</f>
        <v>124553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33</v>
      </c>
      <c r="D9" s="13">
        <f t="shared" si="1"/>
        <v>23331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3</v>
      </c>
      <c r="D13" s="48">
        <f t="shared" si="1"/>
        <v>921</v>
      </c>
      <c r="F13" s="157" t="s">
        <v>36</v>
      </c>
      <c r="G13" s="158"/>
      <c r="H13" s="159">
        <f>D29</f>
        <v>152888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21</v>
      </c>
      <c r="D14" s="31">
        <f t="shared" si="1"/>
        <v>231</v>
      </c>
      <c r="F14" s="162" t="s">
        <v>39</v>
      </c>
      <c r="G14" s="163"/>
      <c r="H14" s="164">
        <f>D54</f>
        <v>23528.25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129359.75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424</f>
        <v>424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152888</v>
      </c>
      <c r="F29" s="180" t="s">
        <v>55</v>
      </c>
      <c r="G29" s="181"/>
      <c r="H29" s="184">
        <f>H15-H16-H17-H18-H19-H20-H22-H23-H24+H26+H27</f>
        <v>128935.75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212">
        <f>F34*G34</f>
        <v>119000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 t="shared" ref="H35:H39" si="2">F35*G35</f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212">
        <f t="shared" si="2"/>
        <v>800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212">
        <v>2277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23</v>
      </c>
      <c r="D46" s="12">
        <f>C46*1.5</f>
        <v>34.5</v>
      </c>
      <c r="F46" s="37"/>
      <c r="G46" s="103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129227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27</v>
      </c>
      <c r="D50" s="12">
        <f>C50*1.5</f>
        <v>40.5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291.25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23528.25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189</v>
      </c>
      <c r="D6" s="13">
        <f t="shared" ref="D6:D28" si="1">C6*L6</f>
        <v>139293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</v>
      </c>
      <c r="D7" s="13">
        <f t="shared" si="1"/>
        <v>3625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14</v>
      </c>
      <c r="D9" s="13">
        <f t="shared" si="1"/>
        <v>9898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4</v>
      </c>
      <c r="D13" s="48">
        <f t="shared" si="1"/>
        <v>1228</v>
      </c>
      <c r="F13" s="157" t="s">
        <v>36</v>
      </c>
      <c r="G13" s="158"/>
      <c r="H13" s="159">
        <f>D29</f>
        <v>154198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62" t="s">
        <v>39</v>
      </c>
      <c r="G14" s="163"/>
      <c r="H14" s="164">
        <f>D54</f>
        <v>25923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128275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624</f>
        <v>624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154198</v>
      </c>
      <c r="F29" s="180" t="s">
        <v>55</v>
      </c>
      <c r="G29" s="181"/>
      <c r="H29" s="184">
        <f>H15-H16-H17-H18-H19-H20-H22-H23-H24+H26+H27</f>
        <v>127651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12">
        <f>F34*G34</f>
        <v>112000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2">
        <f>F35*G35</f>
        <v>16000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2">
        <f t="shared" ref="H36:H39" si="2">F36*G36</f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212">
        <f t="shared" si="2"/>
        <v>2900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2">
        <f t="shared" si="2"/>
        <v>300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44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131444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3793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25923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1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4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45979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266</v>
      </c>
      <c r="D6" s="13">
        <f t="shared" ref="D6:D28" si="1">C6*L6</f>
        <v>196042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4</v>
      </c>
      <c r="D7" s="13">
        <f t="shared" si="1"/>
        <v>2900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15</v>
      </c>
      <c r="D9" s="13">
        <f t="shared" si="1"/>
        <v>10605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1</v>
      </c>
      <c r="D10" s="13">
        <f t="shared" si="1"/>
        <v>972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6</v>
      </c>
      <c r="D13" s="48">
        <f t="shared" si="1"/>
        <v>1842</v>
      </c>
      <c r="F13" s="157" t="s">
        <v>36</v>
      </c>
      <c r="G13" s="158"/>
      <c r="H13" s="159">
        <f>D29</f>
        <v>214998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</v>
      </c>
      <c r="D14" s="31">
        <f t="shared" si="1"/>
        <v>11</v>
      </c>
      <c r="F14" s="162" t="s">
        <v>39</v>
      </c>
      <c r="G14" s="163"/>
      <c r="H14" s="164">
        <f>D54</f>
        <v>32010.75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>
        <f>1+1</f>
        <v>2</v>
      </c>
      <c r="D15" s="31">
        <f t="shared" si="1"/>
        <v>1240</v>
      </c>
      <c r="F15" s="167" t="s">
        <v>40</v>
      </c>
      <c r="G15" s="158"/>
      <c r="H15" s="168">
        <f>H13-H14</f>
        <v>182987.25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214998</v>
      </c>
      <c r="F29" s="180" t="s">
        <v>55</v>
      </c>
      <c r="G29" s="181"/>
      <c r="H29" s="184">
        <f>H15-H16-H17-H18-H19-H20-H22-H23-H24+H26+H27+H28</f>
        <v>182987.25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212">
        <f t="shared" ref="H34:H39" si="2">F34*G34</f>
        <v>140000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212">
        <f t="shared" si="2"/>
        <v>16500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12">
        <f t="shared" si="2"/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742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96">
        <v>4000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96">
        <v>21364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14</v>
      </c>
      <c r="D46" s="12">
        <f>C46*1.5</f>
        <v>21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182926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74</v>
      </c>
      <c r="D50" s="12">
        <f>C50*1.5</f>
        <v>111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-61.25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45979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224</v>
      </c>
      <c r="D6" s="13">
        <f t="shared" ref="D6:D28" si="1">C6*L6</f>
        <v>165088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3</v>
      </c>
      <c r="D7" s="13">
        <f t="shared" si="1"/>
        <v>2175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</v>
      </c>
      <c r="D9" s="13">
        <f t="shared" si="1"/>
        <v>1414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9</v>
      </c>
      <c r="D13" s="48">
        <f t="shared" si="1"/>
        <v>2763</v>
      </c>
      <c r="F13" s="157" t="s">
        <v>36</v>
      </c>
      <c r="G13" s="158"/>
      <c r="H13" s="159">
        <f>D29</f>
        <v>173613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8</v>
      </c>
      <c r="D14" s="31">
        <f t="shared" si="1"/>
        <v>88</v>
      </c>
      <c r="F14" s="162" t="s">
        <v>39</v>
      </c>
      <c r="G14" s="163"/>
      <c r="H14" s="164">
        <f>D54</f>
        <v>27418.5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146194.5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1854</f>
        <v>1854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1</v>
      </c>
      <c r="D28" s="48">
        <f t="shared" si="1"/>
        <v>785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173613</v>
      </c>
      <c r="F29" s="180" t="s">
        <v>55</v>
      </c>
      <c r="G29" s="181"/>
      <c r="H29" s="184">
        <f>H15-H16-H17-H18-H19-H20-H22-H23-H24+H26+H27</f>
        <v>144340.5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212">
        <f>F34*G34</f>
        <v>19000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212">
        <v>32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96">
        <v>125142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16</v>
      </c>
      <c r="D46" s="12">
        <f>C46*1.5</f>
        <v>24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144324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-16.5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27418.5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45979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461</v>
      </c>
      <c r="D6" s="13">
        <f t="shared" ref="D6:D28" si="1">C6*L6</f>
        <v>339757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14500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102</v>
      </c>
      <c r="D9" s="13">
        <f t="shared" si="1"/>
        <v>72114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3</v>
      </c>
      <c r="D10" s="13">
        <f t="shared" si="1"/>
        <v>2916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25</v>
      </c>
      <c r="D13" s="48">
        <f t="shared" si="1"/>
        <v>7675</v>
      </c>
      <c r="F13" s="157" t="s">
        <v>36</v>
      </c>
      <c r="G13" s="158"/>
      <c r="H13" s="159">
        <f>D29</f>
        <v>444659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16</v>
      </c>
      <c r="D14" s="31">
        <f t="shared" si="1"/>
        <v>176</v>
      </c>
      <c r="F14" s="162" t="s">
        <v>39</v>
      </c>
      <c r="G14" s="163"/>
      <c r="H14" s="164">
        <f>D54</f>
        <v>60058.5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384600.5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630+2682+300</f>
        <v>3612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>
        <v>1</v>
      </c>
      <c r="D23" s="48">
        <f t="shared" si="1"/>
        <v>1175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444659</v>
      </c>
      <c r="F29" s="180" t="s">
        <v>55</v>
      </c>
      <c r="G29" s="181"/>
      <c r="H29" s="184">
        <f>H15-H16-H17-H18-H19-H20-H22-H23-H24+H26+H27</f>
        <v>380988.5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212">
        <f>F34*G34</f>
        <v>98000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2">
        <f>F35*G35</f>
        <v>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212">
        <f t="shared" si="2"/>
        <v>2300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2">
        <f t="shared" si="2"/>
        <v>40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16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96">
        <v>270987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11</v>
      </c>
      <c r="D46" s="12">
        <f>C46*1.5</f>
        <v>16.5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11</v>
      </c>
      <c r="D49" s="12">
        <f>C49*42</f>
        <v>462</v>
      </c>
      <c r="F49" s="237" t="s">
        <v>86</v>
      </c>
      <c r="G49" s="184">
        <f>H34+H35+H36+H37+H38+H39+H40+H41+G42+H44+H45+H46</f>
        <v>380493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-495.5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60058.5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143</v>
      </c>
      <c r="D6" s="13">
        <f t="shared" ref="D6:D28" si="1">C6*L6</f>
        <v>105391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61</v>
      </c>
      <c r="D8" s="13">
        <f t="shared" si="1"/>
        <v>63013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>
        <v>35</v>
      </c>
      <c r="D10" s="13">
        <f t="shared" si="1"/>
        <v>34020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>
        <v>15</v>
      </c>
      <c r="D11" s="13">
        <f t="shared" si="1"/>
        <v>16875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>
        <v>30</v>
      </c>
      <c r="D12" s="48">
        <f t="shared" si="1"/>
        <v>28560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5</v>
      </c>
      <c r="D13" s="48">
        <f t="shared" si="1"/>
        <v>1535</v>
      </c>
      <c r="F13" s="157" t="s">
        <v>36</v>
      </c>
      <c r="G13" s="158"/>
      <c r="H13" s="159">
        <f>D29</f>
        <v>256496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123066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133430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1692</f>
        <v>1692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256496</v>
      </c>
      <c r="F29" s="180" t="s">
        <v>55</v>
      </c>
      <c r="G29" s="181"/>
      <c r="H29" s="184">
        <f>H15-H16-H17-H18-H19-H20-H22-H23-H24+H26+H27+H28</f>
        <v>131738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212">
        <f t="shared" ref="H34:H39" si="2">F34*G34</f>
        <v>80000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2">
        <f t="shared" si="2"/>
        <v>2000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212">
        <f t="shared" si="2"/>
        <v>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2">
        <f t="shared" si="2"/>
        <v>150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2">
        <f t="shared" si="2"/>
        <v>40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2">
        <v>10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96">
        <v>41121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96">
        <v>8400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3</v>
      </c>
      <c r="D46" s="12">
        <f>C46*1.5</f>
        <v>4.5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132021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3</v>
      </c>
      <c r="D50" s="12">
        <f>C50*1.5</f>
        <v>4.5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283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225</v>
      </c>
      <c r="D6" s="13">
        <f t="shared" ref="D6:D28" si="1">C6*L6</f>
        <v>165825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50</v>
      </c>
      <c r="D9" s="13">
        <f t="shared" si="1"/>
        <v>35350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157" t="s">
        <v>36</v>
      </c>
      <c r="G13" s="158"/>
      <c r="H13" s="159">
        <f>D29</f>
        <v>212175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62" t="s">
        <v>39</v>
      </c>
      <c r="G14" s="163"/>
      <c r="H14" s="164">
        <f>D54</f>
        <v>34363.5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177811.5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2583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212175</v>
      </c>
      <c r="F29" s="180" t="s">
        <v>55</v>
      </c>
      <c r="G29" s="181"/>
      <c r="H29" s="184">
        <f>H15-H16-H17-H18-H19-H20-H22-H23-H24+H26+H27</f>
        <v>175228.5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12">
        <f>F34*G34</f>
        <v>106000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212">
        <f t="shared" ref="H35:H39" si="2">F35*G35</f>
        <v>69000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212">
        <f t="shared" si="2"/>
        <v>100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222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9</v>
      </c>
      <c r="D49" s="12">
        <f>C49*42</f>
        <v>378</v>
      </c>
      <c r="F49" s="237" t="s">
        <v>86</v>
      </c>
      <c r="G49" s="184">
        <f>H34+H35+H36+H37+H38+H39+H40+H41+G42+H44+H45+H46</f>
        <v>175322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6</v>
      </c>
      <c r="D50" s="12">
        <f>C50*1.5</f>
        <v>9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93.5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34363.5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176</v>
      </c>
      <c r="D6" s="13">
        <f t="shared" ref="D6:D28" si="1">C6*L6</f>
        <v>129712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725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51</v>
      </c>
      <c r="D9" s="13">
        <f t="shared" si="1"/>
        <v>36057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157" t="s">
        <v>36</v>
      </c>
      <c r="G13" s="158"/>
      <c r="H13" s="159">
        <f>D29</f>
        <v>172836.5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62" t="s">
        <v>39</v>
      </c>
      <c r="G14" s="163"/>
      <c r="H14" s="164">
        <f>D54</f>
        <v>26265.75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146570.75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948</f>
        <v>948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4">
        <v>94126</v>
      </c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>
        <v>12</v>
      </c>
      <c r="D26" s="48">
        <f t="shared" si="1"/>
        <v>434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172836.5</v>
      </c>
      <c r="F29" s="180" t="s">
        <v>55</v>
      </c>
      <c r="G29" s="181"/>
      <c r="H29" s="184">
        <f>H15-H16-H17-H18-H19-H20-H22-H23-H24+H26+H27</f>
        <v>51496.75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2">
        <f>F34*G34</f>
        <v>44000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2">
        <f>F35*G35</f>
        <v>7000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2">
        <f t="shared" si="2"/>
        <v>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2">
        <v>30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7</v>
      </c>
      <c r="D46" s="12">
        <f>C46*1.5</f>
        <v>10.5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51280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-216.75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26265.75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197</v>
      </c>
      <c r="D6" s="13">
        <f t="shared" ref="D6:D28" si="1">C6*L6</f>
        <v>145189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10</v>
      </c>
      <c r="D9" s="13">
        <f t="shared" si="1"/>
        <v>7070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6</v>
      </c>
      <c r="D13" s="48">
        <f t="shared" si="1"/>
        <v>1842</v>
      </c>
      <c r="F13" s="157" t="s">
        <v>36</v>
      </c>
      <c r="G13" s="158"/>
      <c r="H13" s="159">
        <f>D29</f>
        <v>154299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18</v>
      </c>
      <c r="D14" s="31">
        <f t="shared" si="1"/>
        <v>198</v>
      </c>
      <c r="F14" s="162" t="s">
        <v>39</v>
      </c>
      <c r="G14" s="163"/>
      <c r="H14" s="164">
        <f>D54</f>
        <v>23727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130572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154299</v>
      </c>
      <c r="F29" s="180" t="s">
        <v>55</v>
      </c>
      <c r="G29" s="181"/>
      <c r="H29" s="184">
        <f>H15-H16-H17-H18-H19-H20-H22-H23-H24+H26+H27+H28</f>
        <v>130572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212">
        <f t="shared" ref="H34:H39" si="2">F34*G34</f>
        <v>130000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2">
        <f t="shared" si="2"/>
        <v>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>
        <v>32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130582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12</v>
      </c>
      <c r="D50" s="12">
        <f>C50*1.5</f>
        <v>18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10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45981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338</v>
      </c>
      <c r="D6" s="13">
        <f t="shared" ref="D6:D28" si="1">C6*L6</f>
        <v>249106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14500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40</v>
      </c>
      <c r="D9" s="13">
        <f t="shared" si="1"/>
        <v>28280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1944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2250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2856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157" t="s">
        <v>36</v>
      </c>
      <c r="G13" s="158"/>
      <c r="H13" s="159">
        <f>D29</f>
        <v>302807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17</v>
      </c>
      <c r="D14" s="31">
        <f t="shared" si="1"/>
        <v>187</v>
      </c>
      <c r="F14" s="162" t="s">
        <v>39</v>
      </c>
      <c r="G14" s="163"/>
      <c r="H14" s="164">
        <f>D54</f>
        <v>64676.25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238130.75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522+102+312</f>
        <v>936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200">
        <v>94126</v>
      </c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302807</v>
      </c>
      <c r="F29" s="180" t="s">
        <v>55</v>
      </c>
      <c r="G29" s="181"/>
      <c r="H29" s="184">
        <f>H15-H16-H17-H18-H19-H20-H22-H23-H24+H26+H27</f>
        <v>331320.75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212">
        <f>F34*G34</f>
        <v>156000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2">
        <f>F35*G35</f>
        <v>57500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212">
        <f t="shared" si="2"/>
        <v>4900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212">
        <f t="shared" si="2"/>
        <v>5100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2">
        <v>128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196">
        <v>13995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196">
        <v>94126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331769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9</v>
      </c>
      <c r="D50" s="12">
        <f>C50*1.5</f>
        <v>13.5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448.25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64676.25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99</v>
      </c>
      <c r="D6" s="13">
        <f t="shared" ref="D6:D28" si="1">C6*L6</f>
        <v>72963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8</v>
      </c>
      <c r="D7" s="13">
        <f t="shared" si="1"/>
        <v>5800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>
        <v>1</v>
      </c>
      <c r="D8" s="13">
        <f t="shared" si="1"/>
        <v>1033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9</v>
      </c>
      <c r="D9" s="13">
        <f t="shared" si="1"/>
        <v>6363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3</v>
      </c>
      <c r="D13" s="48">
        <f t="shared" si="1"/>
        <v>921</v>
      </c>
      <c r="F13" s="157" t="s">
        <v>36</v>
      </c>
      <c r="G13" s="158"/>
      <c r="H13" s="159">
        <f>D29</f>
        <v>88874.5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5</v>
      </c>
      <c r="D14" s="31">
        <f t="shared" si="1"/>
        <v>55</v>
      </c>
      <c r="F14" s="162" t="s">
        <v>39</v>
      </c>
      <c r="G14" s="163"/>
      <c r="H14" s="164">
        <f>D54</f>
        <v>13116.75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75757.75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188</v>
      </c>
      <c r="C26" s="89">
        <v>12</v>
      </c>
      <c r="D26" s="48">
        <f t="shared" si="1"/>
        <v>520.5</v>
      </c>
      <c r="F26" s="75"/>
      <c r="G26" s="65"/>
      <c r="H26" s="196"/>
      <c r="I26" s="196"/>
      <c r="J26" s="196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1</v>
      </c>
      <c r="D28" s="48">
        <f t="shared" si="1"/>
        <v>785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88874.5</v>
      </c>
      <c r="F29" s="180" t="s">
        <v>55</v>
      </c>
      <c r="G29" s="181"/>
      <c r="H29" s="184">
        <f>H15-H16-H17-H18-H19-H20-H22-H23-H24+H26+H27+H28</f>
        <v>75757.75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212">
        <f t="shared" ref="H34:H39" si="2">F34*G34</f>
        <v>56000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2">
        <f t="shared" si="2"/>
        <v>10000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212">
        <f t="shared" si="2"/>
        <v>700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2">
        <v>78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96">
        <v>8931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4</v>
      </c>
      <c r="D46" s="12">
        <f>C46*1.5</f>
        <v>6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75759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18</v>
      </c>
      <c r="D50" s="12">
        <f>C50*1.5</f>
        <v>27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143</v>
      </c>
      <c r="G51" s="241">
        <f>G49-H29</f>
        <v>1.25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204</v>
      </c>
      <c r="D6" s="13">
        <f t="shared" ref="D6:D28" si="1">C6*L6</f>
        <v>150348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8</v>
      </c>
      <c r="D7" s="13">
        <f t="shared" si="1"/>
        <v>5800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15</v>
      </c>
      <c r="D9" s="13">
        <f t="shared" si="1"/>
        <v>10605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9</v>
      </c>
      <c r="D13" s="48">
        <f t="shared" si="1"/>
        <v>2763</v>
      </c>
      <c r="F13" s="157" t="s">
        <v>36</v>
      </c>
      <c r="G13" s="158"/>
      <c r="H13" s="159">
        <f>D29</f>
        <v>169571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62" t="s">
        <v>39</v>
      </c>
      <c r="G14" s="163"/>
      <c r="H14" s="164">
        <f>D54</f>
        <v>25419.75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144151.25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169571</v>
      </c>
      <c r="F29" s="180" t="s">
        <v>55</v>
      </c>
      <c r="G29" s="181"/>
      <c r="H29" s="184">
        <f>H15-H16-H17-H18-H19-H20-H22-H23-H24+H26+H27</f>
        <v>144151.25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212">
        <f>F34*G34</f>
        <v>117000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2">
        <f t="shared" ref="H35:H39" si="2">F35*G35</f>
        <v>15500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212">
        <f t="shared" si="2"/>
        <v>6200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212">
        <f t="shared" si="2"/>
        <v>950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3</v>
      </c>
      <c r="D42" s="12">
        <f>C42*2.25</f>
        <v>6.75</v>
      </c>
      <c r="F42" s="39" t="s">
        <v>79</v>
      </c>
      <c r="G42" s="212">
        <v>41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157</v>
      </c>
      <c r="G44" s="62"/>
      <c r="H44" s="196">
        <v>4448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2</v>
      </c>
      <c r="D49" s="12">
        <f>C49*42</f>
        <v>84</v>
      </c>
      <c r="F49" s="237" t="s">
        <v>86</v>
      </c>
      <c r="G49" s="184">
        <f>H34+H35+H36+H37+H38+H39+H40+H41+G42+H44+H45+H46</f>
        <v>144159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1</v>
      </c>
      <c r="D50" s="12">
        <f>C50*1.5</f>
        <v>1.5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7.75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25419.75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45982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158</v>
      </c>
      <c r="D6" s="13">
        <f t="shared" ref="D6:D28" si="1">C6*L6</f>
        <v>116446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3</v>
      </c>
      <c r="D7" s="13">
        <f t="shared" si="1"/>
        <v>2175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2</v>
      </c>
      <c r="D8" s="13">
        <f t="shared" si="1"/>
        <v>2066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96</v>
      </c>
      <c r="D9" s="13">
        <f t="shared" si="1"/>
        <v>67872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f>4+1</f>
        <v>5</v>
      </c>
      <c r="D12" s="48">
        <f t="shared" si="1"/>
        <v>4760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9</v>
      </c>
      <c r="D13" s="48">
        <f t="shared" si="1"/>
        <v>2763</v>
      </c>
      <c r="F13" s="157" t="s">
        <v>36</v>
      </c>
      <c r="G13" s="158"/>
      <c r="H13" s="159">
        <f>D29</f>
        <v>196801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9</v>
      </c>
      <c r="D14" s="31">
        <f t="shared" si="1"/>
        <v>99</v>
      </c>
      <c r="F14" s="162" t="s">
        <v>39</v>
      </c>
      <c r="G14" s="163"/>
      <c r="H14" s="164">
        <f>D54</f>
        <v>34385.25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67" t="s">
        <v>40</v>
      </c>
      <c r="G15" s="158"/>
      <c r="H15" s="168">
        <f>H13-H14</f>
        <v>162415.75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1326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196801</v>
      </c>
      <c r="F29" s="180" t="s">
        <v>55</v>
      </c>
      <c r="G29" s="181"/>
      <c r="H29" s="184">
        <f>H15-H16-H17-H18-H19-H20-H22-H23-H24+H26+H27</f>
        <v>161089.75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212">
        <f>F34*G34</f>
        <v>27000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2">
        <f>F35*G35</f>
        <v>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212">
        <f t="shared" si="2"/>
        <v>400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2">
        <v>105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196">
        <v>132794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2</v>
      </c>
      <c r="D45" s="12">
        <f>C45*84</f>
        <v>168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160849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6</v>
      </c>
      <c r="D50" s="12">
        <f>C50*1.5</f>
        <v>9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-240.75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34385.25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>
        <v>253</v>
      </c>
      <c r="D6" s="13">
        <f t="shared" ref="D6:D28" si="1">C6*L6</f>
        <v>186461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>
        <v>10</v>
      </c>
      <c r="D7" s="13">
        <f t="shared" si="1"/>
        <v>7250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>
        <v>28</v>
      </c>
      <c r="D9" s="13">
        <f t="shared" si="1"/>
        <v>19796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>
        <v>4</v>
      </c>
      <c r="D13" s="48">
        <f t="shared" si="1"/>
        <v>1228</v>
      </c>
      <c r="F13" s="157" t="s">
        <v>36</v>
      </c>
      <c r="G13" s="158"/>
      <c r="H13" s="159">
        <f>D29</f>
        <v>217908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>
        <v>3</v>
      </c>
      <c r="D14" s="31">
        <f t="shared" si="1"/>
        <v>33</v>
      </c>
      <c r="F14" s="162" t="s">
        <v>39</v>
      </c>
      <c r="G14" s="163"/>
      <c r="H14" s="164">
        <f>D54</f>
        <v>32728.5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185179.5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>
        <v>4</v>
      </c>
      <c r="D28" s="48">
        <f t="shared" si="1"/>
        <v>3140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217908</v>
      </c>
      <c r="F29" s="180" t="s">
        <v>55</v>
      </c>
      <c r="G29" s="181"/>
      <c r="H29" s="184">
        <f>H15-H16-H17-H18-H19-H20-H22-H23-H24+H26+H27+H28</f>
        <v>185179.5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212">
        <f t="shared" ref="H34:H39" si="2">F34*G34</f>
        <v>94000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212">
        <f t="shared" si="2"/>
        <v>13000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2">
        <f t="shared" si="2"/>
        <v>200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212">
        <f t="shared" si="2"/>
        <v>1800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12">
        <f t="shared" si="2"/>
        <v>60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12</v>
      </c>
      <c r="D42" s="12">
        <f>C42*2.25</f>
        <v>27</v>
      </c>
      <c r="F42" s="39" t="s">
        <v>79</v>
      </c>
      <c r="G42" s="212">
        <v>86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196">
        <v>36992</v>
      </c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157</v>
      </c>
      <c r="G45" s="62"/>
      <c r="H45" s="196">
        <v>35578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196">
        <v>3177</v>
      </c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184993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6</v>
      </c>
      <c r="D50" s="12">
        <f>C50*1.5</f>
        <v>9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-186.5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239</v>
      </c>
      <c r="D6" s="13">
        <f t="shared" ref="D6:D28" si="1">C6*L6</f>
        <v>176143</v>
      </c>
      <c r="F6" s="135" t="s">
        <v>16</v>
      </c>
      <c r="G6" s="137" t="s">
        <v>150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</v>
      </c>
      <c r="D7" s="13">
        <f t="shared" si="1"/>
        <v>1450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</v>
      </c>
      <c r="D9" s="13">
        <f t="shared" si="1"/>
        <v>707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6</v>
      </c>
      <c r="D13" s="48">
        <f t="shared" si="1"/>
        <v>1842</v>
      </c>
      <c r="F13" s="157" t="s">
        <v>36</v>
      </c>
      <c r="G13" s="158"/>
      <c r="H13" s="159">
        <f>D29</f>
        <v>180803.5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17</v>
      </c>
      <c r="D14" s="31">
        <f t="shared" si="1"/>
        <v>187</v>
      </c>
      <c r="F14" s="162" t="s">
        <v>39</v>
      </c>
      <c r="G14" s="163"/>
      <c r="H14" s="164">
        <f>D54</f>
        <v>44058.75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136744.75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1989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121</v>
      </c>
      <c r="C26" s="10">
        <v>12</v>
      </c>
      <c r="D26" s="48">
        <f t="shared" si="1"/>
        <v>474.5</v>
      </c>
      <c r="F26" s="64"/>
      <c r="G26" s="10"/>
      <c r="H26" s="200"/>
      <c r="I26" s="201"/>
      <c r="J26" s="202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180803.5</v>
      </c>
      <c r="F29" s="180" t="s">
        <v>55</v>
      </c>
      <c r="G29" s="181"/>
      <c r="H29" s="184">
        <f>H15-H16-H17-H18-H19-H20-H22-H23-H24+H26+H27</f>
        <v>134755.75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212">
        <f>F34*G34</f>
        <v>8000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2">
        <f t="shared" ref="H35:H39" si="2">F35*G35</f>
        <v>8000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212">
        <f t="shared" si="2"/>
        <v>900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2">
        <f t="shared" si="2"/>
        <v>100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2">
        <f t="shared" si="2"/>
        <v>20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196">
        <v>117800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>
        <v>1</v>
      </c>
      <c r="D45" s="12">
        <f>C45*84</f>
        <v>84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>
        <v>17</v>
      </c>
      <c r="D46" s="12">
        <f>C46*1.5</f>
        <v>25.5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</v>
      </c>
      <c r="D49" s="12">
        <f>C49*42</f>
        <v>42</v>
      </c>
      <c r="F49" s="237" t="s">
        <v>86</v>
      </c>
      <c r="G49" s="184">
        <f>H34+H35+H36+H37+H38+H39+H40+H41+G42+H44+H45+H46</f>
        <v>134820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>
        <v>5</v>
      </c>
      <c r="D50" s="12">
        <f>C50*1.5</f>
        <v>7.5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156</v>
      </c>
      <c r="G51" s="241">
        <f>G49-H29</f>
        <v>64.25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44058.75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tabSelected="1" zoomScaleNormal="100" zoomScaleSheetLayoutView="85" workbookViewId="0">
      <selection activeCell="H16" sqref="H16:J1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45983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396</v>
      </c>
      <c r="D6" s="13">
        <f t="shared" ref="D6:D28" si="1">C6*L6</f>
        <v>291852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14500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85</v>
      </c>
      <c r="D9" s="13">
        <f t="shared" si="1"/>
        <v>60095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972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952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20</v>
      </c>
      <c r="D13" s="48">
        <f t="shared" si="1"/>
        <v>6140</v>
      </c>
      <c r="F13" s="157" t="s">
        <v>36</v>
      </c>
      <c r="G13" s="158"/>
      <c r="H13" s="159">
        <f>D29</f>
        <v>374577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62" t="s">
        <v>39</v>
      </c>
      <c r="G14" s="163"/>
      <c r="H14" s="164">
        <f>D54</f>
        <v>43396.5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331180.5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936+600+1404</f>
        <v>2940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4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374577</v>
      </c>
      <c r="F29" s="180" t="s">
        <v>55</v>
      </c>
      <c r="G29" s="181"/>
      <c r="H29" s="184">
        <f>H15-H16-H17-H18-H19-H20-H22-H23-H24+H26+H27</f>
        <v>328240.5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212">
        <f>F34*G34</f>
        <v>19000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2">
        <f>F35*G35</f>
        <v>30500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212">
        <f t="shared" si="2"/>
        <v>300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12">
        <f t="shared" si="2"/>
        <v>50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2">
        <v>24</v>
      </c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196">
        <v>140436</v>
      </c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196">
        <v>101667</v>
      </c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196">
        <v>21513</v>
      </c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37" t="s">
        <v>157</v>
      </c>
      <c r="G47" s="37" t="s">
        <v>194</v>
      </c>
      <c r="H47" s="196">
        <v>13000</v>
      </c>
      <c r="I47" s="196"/>
      <c r="J47" s="196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37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>
        <v>13</v>
      </c>
      <c r="D49" s="12">
        <f>C49*42</f>
        <v>546</v>
      </c>
      <c r="F49" s="237" t="s">
        <v>86</v>
      </c>
      <c r="G49" s="184">
        <f>H34+H35+H36+H37+H38+H39+H40+H41+G42+H44+H45+H46+H47</f>
        <v>326490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-1750.5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43396.5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08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45985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0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09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45986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45987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45988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45989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45989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45989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1</v>
      </c>
      <c r="H4" s="126" t="s">
        <v>9</v>
      </c>
      <c r="I4" s="128">
        <v>45990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89"/>
      <c r="D6" s="13">
        <f t="shared" ref="D6:D28" si="1">C6*L6</f>
        <v>0</v>
      </c>
      <c r="F6" s="135" t="s">
        <v>16</v>
      </c>
      <c r="G6" s="137" t="s">
        <v>129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89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89"/>
      <c r="D8" s="13">
        <f t="shared" si="1"/>
        <v>0</v>
      </c>
      <c r="F8" s="143" t="s">
        <v>21</v>
      </c>
      <c r="G8" s="145" t="s">
        <v>112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89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89"/>
      <c r="D10" s="13">
        <f t="shared" si="1"/>
        <v>0</v>
      </c>
      <c r="F10" s="135" t="s">
        <v>26</v>
      </c>
      <c r="G10" s="151" t="s">
        <v>130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89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89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89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89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89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140</v>
      </c>
      <c r="C17" s="89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127</v>
      </c>
      <c r="C22" s="89"/>
      <c r="D22" s="48">
        <f t="shared" si="1"/>
        <v>0</v>
      </c>
      <c r="F22" s="77"/>
      <c r="G22" s="73"/>
      <c r="H22" s="194"/>
      <c r="I22" s="194"/>
      <c r="J22" s="19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139</v>
      </c>
      <c r="C26" s="89"/>
      <c r="D26" s="48">
        <f t="shared" si="1"/>
        <v>0</v>
      </c>
      <c r="F26" s="75"/>
      <c r="G26" s="65"/>
      <c r="H26" s="196"/>
      <c r="I26" s="196"/>
      <c r="J26" s="196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89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H15-H16-H17-H18-H19-H20-H22-H23-H24+H26+H27+H28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2">
        <f t="shared" ref="H34:H39" si="2"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si="2"/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si="2"/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196"/>
      <c r="I46" s="196"/>
      <c r="J46" s="196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2</v>
      </c>
      <c r="H4" s="126" t="s">
        <v>9</v>
      </c>
      <c r="I4" s="128">
        <v>45990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134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114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115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123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 t="shared" ref="H35:H39" si="2"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62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62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114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9" t="s">
        <v>7</v>
      </c>
      <c r="B4" s="120"/>
      <c r="C4" s="120"/>
      <c r="D4" s="121"/>
      <c r="F4" s="122" t="s">
        <v>8</v>
      </c>
      <c r="G4" s="124">
        <v>3</v>
      </c>
      <c r="H4" s="126" t="s">
        <v>9</v>
      </c>
      <c r="I4" s="128">
        <v>45990</v>
      </c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35" t="s">
        <v>16</v>
      </c>
      <c r="G6" s="137" t="s">
        <v>111</v>
      </c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143" t="s">
        <v>21</v>
      </c>
      <c r="G8" s="145" t="s">
        <v>119</v>
      </c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35" t="s">
        <v>26</v>
      </c>
      <c r="G10" s="151" t="s">
        <v>137</v>
      </c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113</v>
      </c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>
        <f>F34*G34</f>
        <v>0</v>
      </c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>
        <f>F35*G35</f>
        <v>0</v>
      </c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>
        <f t="shared" ref="H36:H39" si="2">F36*G36</f>
        <v>0</v>
      </c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>
        <f t="shared" si="2"/>
        <v>0</v>
      </c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>
        <f t="shared" si="2"/>
        <v>0</v>
      </c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>
        <f t="shared" si="2"/>
        <v>0</v>
      </c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142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8" t="s">
        <v>1</v>
      </c>
      <c r="O1" s="1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9" t="s">
        <v>7</v>
      </c>
      <c r="B4" s="120"/>
      <c r="C4" s="120"/>
      <c r="D4" s="121"/>
      <c r="F4" s="122" t="s">
        <v>8</v>
      </c>
      <c r="G4" s="124"/>
      <c r="H4" s="126" t="s">
        <v>9</v>
      </c>
      <c r="I4" s="128"/>
      <c r="J4" s="12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23"/>
      <c r="G5" s="125"/>
      <c r="H5" s="127"/>
      <c r="I5" s="130"/>
      <c r="J5" s="13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35" t="s">
        <v>16</v>
      </c>
      <c r="G6" s="137"/>
      <c r="H6" s="138"/>
      <c r="I6" s="138"/>
      <c r="J6" s="1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36"/>
      <c r="G7" s="140"/>
      <c r="H7" s="141"/>
      <c r="I7" s="141"/>
      <c r="J7" s="1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143" t="s">
        <v>21</v>
      </c>
      <c r="G8" s="145"/>
      <c r="H8" s="146"/>
      <c r="I8" s="146"/>
      <c r="J8" s="14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36"/>
      <c r="G9" s="148"/>
      <c r="H9" s="149"/>
      <c r="I9" s="149"/>
      <c r="J9" s="15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35" t="s">
        <v>26</v>
      </c>
      <c r="G10" s="151"/>
      <c r="H10" s="152"/>
      <c r="I10" s="152"/>
      <c r="J10" s="153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36"/>
      <c r="G11" s="148"/>
      <c r="H11" s="149"/>
      <c r="I11" s="149"/>
      <c r="J11" s="15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154" t="s">
        <v>33</v>
      </c>
      <c r="G12" s="155"/>
      <c r="H12" s="155"/>
      <c r="I12" s="155"/>
      <c r="J12" s="15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157" t="s">
        <v>36</v>
      </c>
      <c r="G13" s="158"/>
      <c r="H13" s="159">
        <f>D29</f>
        <v>0</v>
      </c>
      <c r="I13" s="160"/>
      <c r="J13" s="16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62" t="s">
        <v>39</v>
      </c>
      <c r="G14" s="163"/>
      <c r="H14" s="164">
        <f>D54</f>
        <v>0</v>
      </c>
      <c r="I14" s="165"/>
      <c r="J14" s="16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67" t="s">
        <v>40</v>
      </c>
      <c r="G15" s="158"/>
      <c r="H15" s="168">
        <f>H13-H14</f>
        <v>0</v>
      </c>
      <c r="I15" s="169"/>
      <c r="J15" s="17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44"/>
      <c r="I17" s="144"/>
      <c r="J17" s="14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44"/>
      <c r="I18" s="144"/>
      <c r="J18" s="14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90"/>
      <c r="I19" s="190"/>
      <c r="J19" s="19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1" t="s">
        <v>13</v>
      </c>
      <c r="I21" s="192"/>
      <c r="J21" s="19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94"/>
      <c r="I22" s="194"/>
      <c r="J22" s="19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95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95"/>
      <c r="I24" s="196"/>
      <c r="J24" s="19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7" t="s">
        <v>13</v>
      </c>
      <c r="I25" s="198"/>
      <c r="J25" s="19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200"/>
      <c r="I26" s="201"/>
      <c r="J26" s="20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203"/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116"/>
      <c r="G28" s="61"/>
      <c r="H28" s="206"/>
      <c r="I28" s="207"/>
      <c r="J28" s="20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80" t="s">
        <v>55</v>
      </c>
      <c r="G29" s="181"/>
      <c r="H29" s="184">
        <f>H15-H16-H17-H18-H19-H20-H22-H23-H24+H26+H27</f>
        <v>0</v>
      </c>
      <c r="I29" s="185"/>
      <c r="J29" s="18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82"/>
      <c r="G30" s="183"/>
      <c r="H30" s="187"/>
      <c r="I30" s="188"/>
      <c r="J30" s="18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9" t="s">
        <v>58</v>
      </c>
      <c r="B32" s="120"/>
      <c r="C32" s="120"/>
      <c r="D32" s="121"/>
      <c r="F32" s="209" t="s">
        <v>59</v>
      </c>
      <c r="G32" s="210"/>
      <c r="H32" s="210"/>
      <c r="I32" s="210"/>
      <c r="J32" s="21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09" t="s">
        <v>13</v>
      </c>
      <c r="I33" s="210"/>
      <c r="J33" s="21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2"/>
      <c r="I34" s="213"/>
      <c r="J34" s="21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212"/>
      <c r="I35" s="213"/>
      <c r="J35" s="21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212"/>
      <c r="I36" s="213"/>
      <c r="J36" s="21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2"/>
      <c r="I37" s="213"/>
      <c r="J37" s="21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212"/>
      <c r="I38" s="213"/>
      <c r="J38" s="21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212"/>
      <c r="I39" s="213"/>
      <c r="J39" s="21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2"/>
      <c r="I40" s="213"/>
      <c r="J40" s="21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212"/>
      <c r="I41" s="213"/>
      <c r="J41" s="21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212"/>
      <c r="H42" s="213"/>
      <c r="I42" s="213"/>
      <c r="J42" s="21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5" t="s">
        <v>81</v>
      </c>
      <c r="C43" s="11"/>
      <c r="D43" s="12"/>
      <c r="F43" s="59" t="s">
        <v>82</v>
      </c>
      <c r="G43" s="113" t="s">
        <v>83</v>
      </c>
      <c r="H43" s="218" t="s">
        <v>13</v>
      </c>
      <c r="I43" s="219"/>
      <c r="J43" s="220"/>
      <c r="K43" s="21"/>
      <c r="P43" s="4"/>
      <c r="Q43" s="4"/>
      <c r="R43" s="5"/>
    </row>
    <row r="44" spans="1:18" ht="15.75" x14ac:dyDescent="0.25">
      <c r="A44" s="216"/>
      <c r="B44" s="27" t="s">
        <v>66</v>
      </c>
      <c r="C44" s="10"/>
      <c r="D44" s="12">
        <f>C44*120</f>
        <v>0</v>
      </c>
      <c r="F44" s="37"/>
      <c r="G44" s="76"/>
      <c r="H44" s="196"/>
      <c r="I44" s="196"/>
      <c r="J44" s="196"/>
      <c r="K44" s="21"/>
      <c r="P44" s="4"/>
      <c r="Q44" s="4"/>
      <c r="R44" s="5"/>
    </row>
    <row r="45" spans="1:18" ht="15.75" x14ac:dyDescent="0.25">
      <c r="A45" s="216"/>
      <c r="B45" s="27" t="s">
        <v>68</v>
      </c>
      <c r="C45" s="33"/>
      <c r="D45" s="12">
        <f>C45*84</f>
        <v>0</v>
      </c>
      <c r="F45" s="37"/>
      <c r="G45" s="76"/>
      <c r="H45" s="196"/>
      <c r="I45" s="196"/>
      <c r="J45" s="196"/>
      <c r="K45" s="21"/>
      <c r="P45" s="4"/>
      <c r="Q45" s="4"/>
      <c r="R45" s="5"/>
    </row>
    <row r="46" spans="1:18" ht="15.75" x14ac:dyDescent="0.25">
      <c r="A46" s="216"/>
      <c r="B46" s="49" t="s">
        <v>70</v>
      </c>
      <c r="C46" s="81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17"/>
      <c r="B47" s="27"/>
      <c r="C47" s="11"/>
      <c r="D47" s="12"/>
      <c r="F47" s="59"/>
      <c r="G47" s="59"/>
      <c r="H47" s="222"/>
      <c r="I47" s="223"/>
      <c r="J47" s="224"/>
      <c r="K47" s="21"/>
      <c r="P47" s="4"/>
      <c r="Q47" s="4"/>
      <c r="R47" s="5"/>
    </row>
    <row r="48" spans="1:18" ht="15" customHeight="1" x14ac:dyDescent="0.25">
      <c r="A48" s="215" t="s">
        <v>32</v>
      </c>
      <c r="B48" s="27" t="s">
        <v>66</v>
      </c>
      <c r="C48" s="10"/>
      <c r="D48" s="12">
        <f>C48*78</f>
        <v>0</v>
      </c>
      <c r="F48" s="59"/>
      <c r="G48" s="59"/>
      <c r="H48" s="222"/>
      <c r="I48" s="223"/>
      <c r="J48" s="2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6"/>
      <c r="B49" s="29" t="s">
        <v>68</v>
      </c>
      <c r="C49" s="33"/>
      <c r="D49" s="12">
        <f>C49*42</f>
        <v>0</v>
      </c>
      <c r="F49" s="237" t="s">
        <v>86</v>
      </c>
      <c r="G49" s="184">
        <f>H34+H35+H36+H37+H38+H39+H40+H41+G42+H44+H45+H46</f>
        <v>0</v>
      </c>
      <c r="H49" s="185"/>
      <c r="I49" s="185"/>
      <c r="J49" s="18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6"/>
      <c r="B50" s="32" t="s">
        <v>70</v>
      </c>
      <c r="C50" s="11"/>
      <c r="D50" s="12">
        <f>C50*1.5</f>
        <v>0</v>
      </c>
      <c r="F50" s="238"/>
      <c r="G50" s="187"/>
      <c r="H50" s="188"/>
      <c r="I50" s="188"/>
      <c r="J50" s="189"/>
      <c r="P50" s="4"/>
      <c r="Q50" s="4"/>
      <c r="R50" s="5"/>
    </row>
    <row r="51" spans="1:18" ht="15" customHeight="1" x14ac:dyDescent="0.25">
      <c r="A51" s="216"/>
      <c r="B51" s="27"/>
      <c r="C51" s="10"/>
      <c r="D51" s="31"/>
      <c r="F51" s="239" t="s">
        <v>128</v>
      </c>
      <c r="G51" s="241">
        <f>G49-H29</f>
        <v>0</v>
      </c>
      <c r="H51" s="242"/>
      <c r="I51" s="242"/>
      <c r="J51" s="2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0" t="s">
        <v>90</v>
      </c>
      <c r="B54" s="225"/>
      <c r="C54" s="226"/>
      <c r="D54" s="229">
        <f>SUM(D34:D53)</f>
        <v>0</v>
      </c>
      <c r="F54" s="21"/>
      <c r="J54" s="34"/>
    </row>
    <row r="55" spans="1:18" x14ac:dyDescent="0.25">
      <c r="A55" s="182"/>
      <c r="B55" s="227"/>
      <c r="C55" s="228"/>
      <c r="D55" s="2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1" t="s">
        <v>91</v>
      </c>
      <c r="B58" s="232"/>
      <c r="C58" s="232"/>
      <c r="D58" s="233"/>
      <c r="F58" s="231" t="s">
        <v>92</v>
      </c>
      <c r="G58" s="232"/>
      <c r="H58" s="232"/>
      <c r="I58" s="232"/>
      <c r="J58" s="233"/>
    </row>
    <row r="59" spans="1:18" x14ac:dyDescent="0.25">
      <c r="A59" s="234"/>
      <c r="B59" s="235"/>
      <c r="C59" s="235"/>
      <c r="D59" s="236"/>
      <c r="F59" s="234"/>
      <c r="G59" s="235"/>
      <c r="H59" s="235"/>
      <c r="I59" s="235"/>
      <c r="J59" s="2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2025-11-24T00:16:47Z</cp:lastPrinted>
  <dcterms:created xsi:type="dcterms:W3CDTF">2024-09-01T23:36:50Z</dcterms:created>
  <dcterms:modified xsi:type="dcterms:W3CDTF">2025-11-24T00:42:51Z</dcterms:modified>
</cp:coreProperties>
</file>