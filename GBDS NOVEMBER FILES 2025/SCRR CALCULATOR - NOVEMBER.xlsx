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B92CE04-FF84-472D-927F-181B938A5BEF}" xr6:coauthVersionLast="45" xr6:coauthVersionMax="47" xr10:uidLastSave="{00000000-0000-0000-0000-000000000000}"/>
  <bookViews>
    <workbookView xWindow="-120" yWindow="-120" windowWidth="29040" windowHeight="15840" activeTab="9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G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D54" i="1454" s="1"/>
  <c r="H14" i="1454" s="1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L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D54" i="1453" s="1"/>
  <c r="H14" i="1453" s="1"/>
  <c r="R35" i="1453"/>
  <c r="L19" i="1453" s="1"/>
  <c r="D19" i="1453" s="1"/>
  <c r="H35" i="1453"/>
  <c r="D35" i="1453"/>
  <c r="R34" i="1453"/>
  <c r="H34" i="1453"/>
  <c r="G49" i="1453" s="1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G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D54" i="1452" s="1"/>
  <c r="H14" i="1452" s="1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50" l="1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H15" i="1454" s="1"/>
  <c r="H29" i="1454" s="1"/>
  <c r="G51" i="1454" s="1"/>
  <c r="D29" i="1453"/>
  <c r="H13" i="1453" s="1"/>
  <c r="H15" i="1453" s="1"/>
  <c r="H29" i="1453" s="1"/>
  <c r="G51" i="1453"/>
  <c r="D29" i="1452"/>
  <c r="H13" i="1452" s="1"/>
  <c r="H15" i="1452" s="1"/>
  <c r="H29" i="1452" s="1"/>
  <c r="G51" i="1452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0" l="1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<sst xmlns="http://schemas.openxmlformats.org/spreadsheetml/2006/main" count="3818" uniqueCount="157">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</sst>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C256D-22EE-4E6C-AECE-0F2C327D2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189</v>
      </c>
      <c r="D6" s="13">
        <f t="shared" ref="D6:D28" si="1">C6*L6</f>
        <v>139293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>
        <v>1</v>
      </c>
      <c r="D8" s="13">
        <f t="shared" si="1"/>
        <v>1033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21</v>
      </c>
      <c r="D9" s="13">
        <f t="shared" si="1"/>
        <v>14847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>
        <f>1+1</f>
        <v>2</v>
      </c>
      <c r="D12" s="48">
        <f t="shared" si="1"/>
        <v>1904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f>7</f>
        <v>7</v>
      </c>
      <c r="D13" s="48">
        <f t="shared" si="1"/>
        <v>2149</v>
      </c>
      <c r="F13" s="228" t="s">
        <v>36</v>
      </c>
      <c r="G13" s="192"/>
      <c r="H13" s="183">
        <f>D29</f>
        <v>176285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18</v>
      </c>
      <c r="D14" s="31">
        <f t="shared" si="1"/>
        <v>198</v>
      </c>
      <c r="F14" s="186" t="s">
        <v>39</v>
      </c>
      <c r="G14" s="187"/>
      <c r="H14" s="188">
        <f>D54</f>
        <v>26221.5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150063.5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39">
        <v>87612</v>
      </c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1</v>
      </c>
      <c r="D28" s="48">
        <f t="shared" si="1"/>
        <v>785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00" t="s">
        <v>55</v>
      </c>
      <c r="G29" s="162"/>
      <c r="H29" s="122">
        <f>H15-H16-H17-H18-H19-H20-H22-H23-H24+H26+H27+H28</f>
        <v>237675.5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4">
        <f t="shared" ref="H34:H39" si="2">F34*G34</f>
        <v>120000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4">
        <f t="shared" si="2"/>
        <v>24000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4">
        <f t="shared" si="2"/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4">
        <f t="shared" si="2"/>
        <v>3500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4">
        <f t="shared" si="2"/>
        <v>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6</v>
      </c>
      <c r="D42" s="12">
        <f>C42*2.25</f>
        <v>13.5</v>
      </c>
      <c r="F42" s="39" t="s">
        <v>79</v>
      </c>
      <c r="G42" s="144">
        <v>2143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39">
        <v>87612</v>
      </c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>
        <v>3</v>
      </c>
      <c r="D45" s="12">
        <f>C45*84</f>
        <v>252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237705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22</v>
      </c>
      <c r="D50" s="12">
        <f>C50*1.5</f>
        <v>33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29.5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329</v>
      </c>
      <c r="D6" s="13">
        <f t="shared" ref="D6:D28" si="1">C6*L6</f>
        <v>242473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9191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228" t="s">
        <v>36</v>
      </c>
      <c r="G13" s="192"/>
      <c r="H13" s="183">
        <f>D29</f>
        <v>254855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11</v>
      </c>
      <c r="D14" s="31">
        <f t="shared" si="1"/>
        <v>121</v>
      </c>
      <c r="F14" s="186" t="s">
        <v>39</v>
      </c>
      <c r="G14" s="187"/>
      <c r="H14" s="188">
        <f>D54</f>
        <v>38556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216299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00" t="s">
        <v>55</v>
      </c>
      <c r="G29" s="162"/>
      <c r="H29" s="122">
        <f>H15-H16-H17-H18-H19-H20-H22-H23-H24+H26+H27</f>
        <v>213230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4">
        <f>F34*G34</f>
        <v>73000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4">
        <f t="shared" ref="H35:H39" si="2">F35*G35</f>
        <v>4500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>F36*G36</f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105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39">
        <v>134760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85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10</v>
      </c>
      <c r="D49" s="12">
        <f>C49*42</f>
        <v>420</v>
      </c>
      <c r="F49" s="120" t="s">
        <v>86</v>
      </c>
      <c r="G49" s="122">
        <f>H34+H35+H36+H37+H38+H39+H40+H41+G42+H44+H45+H46</f>
        <v>212765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10</v>
      </c>
      <c r="D50" s="12">
        <f>C50*1.5</f>
        <v>15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-465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38556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264</v>
      </c>
      <c r="D6" s="13">
        <f t="shared" ref="D6:D28" si="1">C6*L6</f>
        <v>194568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44</v>
      </c>
      <c r="D9" s="13">
        <f t="shared" si="1"/>
        <v>31108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972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</f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228" t="s">
        <v>36</v>
      </c>
      <c r="G13" s="192"/>
      <c r="H13" s="183">
        <f>D29</f>
        <v>237953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86" t="s">
        <v>39</v>
      </c>
      <c r="G14" s="187"/>
      <c r="H14" s="188">
        <f>D54</f>
        <v>37326.75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200626.25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>
        <v>5</v>
      </c>
      <c r="D28" s="48">
        <f t="shared" si="1"/>
        <v>3925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00" t="s">
        <v>55</v>
      </c>
      <c r="G29" s="162"/>
      <c r="H29" s="122">
        <f>H15-H16-H17-H18-H19-H20-H22-H23-H24+H26+H27</f>
        <v>198796.25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4">
        <f>F35*G35</f>
        <v>10000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4">
        <f t="shared" si="2"/>
        <v>700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4">
        <f t="shared" si="2"/>
        <v>150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4">
        <v>521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39">
        <v>84520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1</v>
      </c>
      <c r="D45" s="12">
        <f>C45*84</f>
        <v>84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3</v>
      </c>
      <c r="D46" s="12">
        <f>C46*1.5</f>
        <v>4.5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198891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</v>
      </c>
      <c r="D50" s="12">
        <f>C50*1.5</f>
        <v>4.5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94.75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37326.75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342</v>
      </c>
      <c r="D6" s="13">
        <f t="shared" ref="D6:D28" si="1">C6*L6</f>
        <v>252054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50</v>
      </c>
      <c r="D9" s="13">
        <f t="shared" si="1"/>
        <v>35350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228" t="s">
        <v>36</v>
      </c>
      <c r="G13" s="192"/>
      <c r="H13" s="183">
        <f>D29</f>
        <v>299270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</v>
      </c>
      <c r="D14" s="31">
        <f t="shared" si="1"/>
        <v>11</v>
      </c>
      <c r="F14" s="186" t="s">
        <v>39</v>
      </c>
      <c r="G14" s="187"/>
      <c r="H14" s="188">
        <f>D54</f>
        <v>49524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249746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299270</v>
      </c>
      <c r="F29" s="100" t="s">
        <v>55</v>
      </c>
      <c r="G29" s="162"/>
      <c r="H29" s="122">
        <f>H15-H16-H17-H18-H19-H20-H22-H23-H24+H26+H27</f>
        <v>246155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4">
        <f t="shared" ref="H35:H39" si="2">F35*G35</f>
        <v>57500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4">
        <f>F36*G36</f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4">
        <f t="shared" si="2"/>
        <v>70800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4">
        <f t="shared" si="2"/>
        <v>15250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20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31</v>
      </c>
      <c r="D49" s="12">
        <f>C49*42</f>
        <v>1302</v>
      </c>
      <c r="F49" s="120" t="s">
        <v>86</v>
      </c>
      <c r="G49" s="122">
        <f>H34+H35+H36+H37+H38+H39+H40+H41+G42+H44+H45+H46</f>
        <v>246770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156</v>
      </c>
      <c r="G51" s="130">
        <f>G49-H29</f>
        <v>615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49524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703</v>
      </c>
      <c r="D6" s="13">
        <f t="shared" ref="D6:D28" si="1">C6*L6</f>
        <v>518111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16</v>
      </c>
      <c r="D7" s="13">
        <f t="shared" si="1"/>
        <v>11600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</v>
      </c>
      <c r="D8" s="13">
        <f t="shared" si="1"/>
        <v>2066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147</v>
      </c>
      <c r="D9" s="13">
        <f t="shared" si="1"/>
        <v>103929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1944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3</v>
      </c>
      <c r="D11" s="13">
        <f t="shared" si="1"/>
        <v>3375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2856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35</v>
      </c>
      <c r="D13" s="48">
        <f t="shared" si="1"/>
        <v>10745</v>
      </c>
      <c r="F13" s="228" t="s">
        <v>36</v>
      </c>
      <c r="G13" s="192"/>
      <c r="H13" s="183">
        <f>D29</f>
        <v>654670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86" t="s">
        <v>39</v>
      </c>
      <c r="G14" s="187"/>
      <c r="H14" s="188">
        <f>D54</f>
        <v>112054.5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542615.5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00" t="s">
        <v>55</v>
      </c>
      <c r="G29" s="162"/>
      <c r="H29" s="122">
        <f>H15-H16-H17-H18-H19-H20-H22-H23-H24+H26+H27</f>
        <v>537149.5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4">
        <f>F34*G34</f>
        <v>29000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4">
        <f>F35*G35</f>
        <v>23000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4">
        <f t="shared" si="2"/>
        <v>200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4">
        <f t="shared" si="2"/>
        <v>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8</v>
      </c>
      <c r="D42" s="12">
        <f>C42*2.25</f>
        <v>18</v>
      </c>
      <c r="F42" s="39" t="s">
        <v>79</v>
      </c>
      <c r="G42" s="144">
        <v>40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39">
        <v>302372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39">
        <v>182588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5</v>
      </c>
      <c r="D46" s="12">
        <f>C46*1.5</f>
        <v>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8</v>
      </c>
      <c r="D49" s="12">
        <f>C49*42</f>
        <v>336</v>
      </c>
      <c r="F49" s="120" t="s">
        <v>86</v>
      </c>
      <c r="G49" s="122">
        <f>H34+H35+H36+H37+H38+H39+H40+H41+G42+H44+H45+H46</f>
        <v>537250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100.5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112054.5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abSelected="1"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153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213</v>
      </c>
      <c r="D6" s="13">
        <f t="shared" ref="D6:D28" si="1">C6*L6</f>
        <v>156981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2900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7070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228" t="s">
        <v>36</v>
      </c>
      <c r="G13" s="192"/>
      <c r="H13" s="183">
        <f>D29</f>
        <v>169353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23</v>
      </c>
      <c r="D14" s="31">
        <f t="shared" si="1"/>
        <v>253</v>
      </c>
      <c r="F14" s="186" t="s">
        <v>39</v>
      </c>
      <c r="G14" s="187"/>
      <c r="H14" s="188">
        <f>D54</f>
        <v>32837.25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136515.75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00" t="s">
        <v>55</v>
      </c>
      <c r="G29" s="162"/>
      <c r="H29" s="122">
        <f>H15-H16-H17-H18-H19-H20-H22-H23-H24+H26+H27</f>
        <v>135255.75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4">
        <f>F34*G34</f>
        <v>98000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4">
        <f>F35*G35</f>
        <v>36500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4">
        <f t="shared" si="2"/>
        <v>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4">
        <v>22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8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25</v>
      </c>
      <c r="D46" s="12">
        <f>C46*1.5</f>
        <v>37.5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</v>
      </c>
      <c r="D49" s="12">
        <f>C49*42</f>
        <v>126</v>
      </c>
      <c r="F49" s="120" t="s">
        <v>86</v>
      </c>
      <c r="G49" s="122">
        <f>H34+H35+H36+H37+H38+H39+H40+H41+G42+H44+H45+H46</f>
        <v>135022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20</v>
      </c>
      <c r="D50" s="12">
        <f>C50*1.5</f>
        <v>30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-233.75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32837.25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2025-11-05T00:09:06Z</cp:lastPrinted>
  <dcterms:created xsi:type="dcterms:W3CDTF">2024-09-01T23:36:50Z</dcterms:created>
  <dcterms:modified xsi:type="dcterms:W3CDTF">2025-11-05T00:18:10Z</dcterms:modified>
</cp:coreProperties>
</file>