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414F03F8-0697-4749-9DF5-722709DC9EE0}" xr6:coauthVersionLast="45" xr6:coauthVersionMax="47" xr10:uidLastSave="{00000000-0000-0000-0000-000000000000}"/>
  <bookViews>
    <workbookView xWindow="-120" yWindow="-120" windowWidth="29040" windowHeight="15840" firstSheet="41" activeTab="53" xr2:uid="{00000000-000D-0000-FFFF-FFFF00000000}"/>
  </bookViews>
  <sheets>
    <sheet name="(November 2025)" sheetId="814" r:id="rId1"/>
    <sheet name="(03)" sheetId="1426" r:id="rId2"/>
    <sheet name="03,11 R1" sheetId="1427" r:id="rId3"/>
    <sheet name="03,11 R2" sheetId="1428" r:id="rId4"/>
    <sheet name="03,11 R3" sheetId="1429" r:id="rId5"/>
    <sheet name="(4)" sheetId="1447" r:id="rId6"/>
    <sheet name="04,11 R1 No Trip" sheetId="1448" r:id="rId7"/>
    <sheet name="04,11 R2" sheetId="1449" r:id="rId8"/>
    <sheet name="04,11 R3-A" sheetId="1450" r:id="rId9"/>
    <sheet name="04,11 R3-B" sheetId="1471" r:id="rId10"/>
    <sheet name="(5)" sheetId="1451" r:id="rId11"/>
    <sheet name="05,11 R1" sheetId="1452" r:id="rId12"/>
    <sheet name="05,11 R2" sheetId="1453" r:id="rId13"/>
    <sheet name="05,11 R3" sheetId="1454" r:id="rId14"/>
    <sheet name="(6)" sheetId="1455" r:id="rId15"/>
    <sheet name="06,11 R1" sheetId="1456" r:id="rId16"/>
    <sheet name="06,11 R2" sheetId="1457" r:id="rId17"/>
    <sheet name="06,11 R3" sheetId="1458" r:id="rId18"/>
    <sheet name="(7)" sheetId="1459" r:id="rId19"/>
    <sheet name="07,11 R1" sheetId="1460" r:id="rId20"/>
    <sheet name="07,11 R2" sheetId="1461" r:id="rId21"/>
    <sheet name="07,11 R3" sheetId="1462" r:id="rId22"/>
    <sheet name="(8)" sheetId="1463" r:id="rId23"/>
    <sheet name="08,11 R1" sheetId="1464" r:id="rId24"/>
    <sheet name="08,11 R2" sheetId="1465" r:id="rId25"/>
    <sheet name="08,11 R3" sheetId="1466" r:id="rId26"/>
    <sheet name="(10)" sheetId="1467" r:id="rId27"/>
    <sheet name="10,11 R1" sheetId="1468" r:id="rId28"/>
    <sheet name="10,11 R2" sheetId="1469" r:id="rId29"/>
    <sheet name="10,11 R3" sheetId="1470" r:id="rId30"/>
    <sheet name="(11)" sheetId="1472" r:id="rId31"/>
    <sheet name="11,11 R1" sheetId="1473" r:id="rId32"/>
    <sheet name="11,11 R2" sheetId="1474" r:id="rId33"/>
    <sheet name="11,11 R3" sheetId="1475" r:id="rId34"/>
    <sheet name="(12)" sheetId="1476" r:id="rId35"/>
    <sheet name="12,11 R1" sheetId="1477" r:id="rId36"/>
    <sheet name="12,11 R2" sheetId="1478" r:id="rId37"/>
    <sheet name="12,11 R3" sheetId="1479" r:id="rId38"/>
    <sheet name="(13)" sheetId="1480" r:id="rId39"/>
    <sheet name="13,11 R1" sheetId="1481" r:id="rId40"/>
    <sheet name="13,11 R2" sheetId="1482" r:id="rId41"/>
    <sheet name="13,11 R3" sheetId="1483" r:id="rId42"/>
    <sheet name="(14)" sheetId="1484" r:id="rId43"/>
    <sheet name="14,11 R1" sheetId="1485" r:id="rId44"/>
    <sheet name="14,11 R2" sheetId="1486" r:id="rId45"/>
    <sheet name="14,11 R3" sheetId="1487" r:id="rId46"/>
    <sheet name="(15)" sheetId="1488" r:id="rId47"/>
    <sheet name="15,11 R1" sheetId="1489" r:id="rId48"/>
    <sheet name="15,11 R2" sheetId="1490" r:id="rId49"/>
    <sheet name="15,11 R3" sheetId="1491" r:id="rId50"/>
    <sheet name="(17)" sheetId="1492" r:id="rId51"/>
    <sheet name="17,11 R1" sheetId="1493" r:id="rId52"/>
    <sheet name="17,11 R2" sheetId="1494" r:id="rId53"/>
    <sheet name="17,11 R3" sheetId="1495" r:id="rId54"/>
    <sheet name="(18)" sheetId="1496" r:id="rId55"/>
  </sheets>
  <definedNames>
    <definedName name="_xlnm.Print_Area" localSheetId="1">'(03)'!$A$1:$J$60</definedName>
    <definedName name="_xlnm.Print_Area" localSheetId="26">'(10)'!$A$1:$J$60</definedName>
    <definedName name="_xlnm.Print_Area" localSheetId="30">'(11)'!$A$1:$J$60</definedName>
    <definedName name="_xlnm.Print_Area" localSheetId="34">'(12)'!$A$1:$J$60</definedName>
    <definedName name="_xlnm.Print_Area" localSheetId="38">'(13)'!$A$1:$J$60</definedName>
    <definedName name="_xlnm.Print_Area" localSheetId="42">'(14)'!$A$1:$J$60</definedName>
    <definedName name="_xlnm.Print_Area" localSheetId="46">'(15)'!$A$1:$J$60</definedName>
    <definedName name="_xlnm.Print_Area" localSheetId="50">'(17)'!$A$1:$J$60</definedName>
    <definedName name="_xlnm.Print_Area" localSheetId="54">'(18)'!$A$1:$J$60</definedName>
    <definedName name="_xlnm.Print_Area" localSheetId="5">'(4)'!$A$1:$J$60</definedName>
    <definedName name="_xlnm.Print_Area" localSheetId="10">'(5)'!$A$1:$J$60</definedName>
    <definedName name="_xlnm.Print_Area" localSheetId="14">'(6)'!$A$1:$J$60</definedName>
    <definedName name="_xlnm.Print_Area" localSheetId="18">'(7)'!$A$1:$J$60</definedName>
    <definedName name="_xlnm.Print_Area" localSheetId="22">'(8)'!$A$1:$J$60</definedName>
    <definedName name="_xlnm.Print_Area" localSheetId="2">'03,11 R1'!$A$1:$J$60</definedName>
    <definedName name="_xlnm.Print_Area" localSheetId="3">'03,11 R2'!$A$1:$J$60</definedName>
    <definedName name="_xlnm.Print_Area" localSheetId="4">'03,11 R3'!$A$1:$J$60</definedName>
    <definedName name="_xlnm.Print_Area" localSheetId="6">'04,11 R1 No Trip'!$A$1:$J$60</definedName>
    <definedName name="_xlnm.Print_Area" localSheetId="7">'04,11 R2'!$A$1:$J$60</definedName>
    <definedName name="_xlnm.Print_Area" localSheetId="8">'04,11 R3-A'!$A$1:$J$60</definedName>
    <definedName name="_xlnm.Print_Area" localSheetId="9">'04,11 R3-B'!$A$1:$J$60</definedName>
    <definedName name="_xlnm.Print_Area" localSheetId="11">'05,11 R1'!$A$1:$J$60</definedName>
    <definedName name="_xlnm.Print_Area" localSheetId="12">'05,11 R2'!$A$1:$J$60</definedName>
    <definedName name="_xlnm.Print_Area" localSheetId="13">'05,11 R3'!$A$1:$J$60</definedName>
    <definedName name="_xlnm.Print_Area" localSheetId="15">'06,11 R1'!$A$1:$J$60</definedName>
    <definedName name="_xlnm.Print_Area" localSheetId="16">'06,11 R2'!$A$1:$J$60</definedName>
    <definedName name="_xlnm.Print_Area" localSheetId="17">'06,11 R3'!$A$1:$J$60</definedName>
    <definedName name="_xlnm.Print_Area" localSheetId="19">'07,11 R1'!$A$1:$J$60</definedName>
    <definedName name="_xlnm.Print_Area" localSheetId="20">'07,11 R2'!$A$1:$J$60</definedName>
    <definedName name="_xlnm.Print_Area" localSheetId="21">'07,11 R3'!$A$1:$J$60</definedName>
    <definedName name="_xlnm.Print_Area" localSheetId="23">'08,11 R1'!$A$1:$J$60</definedName>
    <definedName name="_xlnm.Print_Area" localSheetId="24">'08,11 R2'!$A$1:$J$60</definedName>
    <definedName name="_xlnm.Print_Area" localSheetId="25">'08,11 R3'!$A$1:$J$60</definedName>
    <definedName name="_xlnm.Print_Area" localSheetId="27">'10,11 R1'!$A$1:$J$60</definedName>
    <definedName name="_xlnm.Print_Area" localSheetId="28">'10,11 R2'!$A$1:$J$60</definedName>
    <definedName name="_xlnm.Print_Area" localSheetId="29">'10,11 R3'!$A$1:$J$60</definedName>
    <definedName name="_xlnm.Print_Area" localSheetId="31">'11,11 R1'!$A$1:$J$60</definedName>
    <definedName name="_xlnm.Print_Area" localSheetId="32">'11,11 R2'!$A$1:$J$60</definedName>
    <definedName name="_xlnm.Print_Area" localSheetId="33">'11,11 R3'!$A$1:$J$60</definedName>
    <definedName name="_xlnm.Print_Area" localSheetId="35">'12,11 R1'!$A$1:$J$60</definedName>
    <definedName name="_xlnm.Print_Area" localSheetId="36">'12,11 R2'!$A$1:$J$60</definedName>
    <definedName name="_xlnm.Print_Area" localSheetId="37">'12,11 R3'!$A$1:$J$60</definedName>
    <definedName name="_xlnm.Print_Area" localSheetId="39">'13,11 R1'!$A$1:$J$60</definedName>
    <definedName name="_xlnm.Print_Area" localSheetId="40">'13,11 R2'!$A$1:$J$60</definedName>
    <definedName name="_xlnm.Print_Area" localSheetId="41">'13,11 R3'!$A$1:$J$60</definedName>
    <definedName name="_xlnm.Print_Area" localSheetId="43">'14,11 R1'!$A$1:$J$60</definedName>
    <definedName name="_xlnm.Print_Area" localSheetId="44">'14,11 R2'!$A$1:$J$60</definedName>
    <definedName name="_xlnm.Print_Area" localSheetId="45">'14,11 R3'!$A$1:$J$60</definedName>
    <definedName name="_xlnm.Print_Area" localSheetId="47">'15,11 R1'!$A$1:$J$60</definedName>
    <definedName name="_xlnm.Print_Area" localSheetId="48">'15,11 R2'!$A$1:$J$60</definedName>
    <definedName name="_xlnm.Print_Area" localSheetId="49">'15,11 R3'!$A$1:$J$60</definedName>
    <definedName name="_xlnm.Print_Area" localSheetId="51">'17,11 R1'!$A$1:$J$60</definedName>
    <definedName name="_xlnm.Print_Area" localSheetId="52">'17,11 R2'!$A$1:$J$60</definedName>
    <definedName name="_xlnm.Print_Area" localSheetId="53">'17,11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1496" l="1"/>
  <c r="R51" i="1496"/>
  <c r="D50" i="1496"/>
  <c r="R49" i="1496"/>
  <c r="G49" i="1496"/>
  <c r="D49" i="1496"/>
  <c r="R48" i="1496"/>
  <c r="D48" i="1496"/>
  <c r="D46" i="1496"/>
  <c r="D45" i="1496"/>
  <c r="D44" i="1496"/>
  <c r="R42" i="1496"/>
  <c r="D42" i="1496"/>
  <c r="R41" i="1496"/>
  <c r="L7" i="1496" s="1"/>
  <c r="D7" i="1496" s="1"/>
  <c r="D41" i="1496"/>
  <c r="R40" i="1496"/>
  <c r="L8" i="1496" s="1"/>
  <c r="D8" i="1496" s="1"/>
  <c r="D40" i="1496"/>
  <c r="R39" i="1496"/>
  <c r="D39" i="1496"/>
  <c r="R38" i="1496"/>
  <c r="D38" i="1496"/>
  <c r="R37" i="1496"/>
  <c r="D37" i="1496"/>
  <c r="R36" i="1496"/>
  <c r="D36" i="1496"/>
  <c r="R35" i="1496"/>
  <c r="D35" i="1496"/>
  <c r="R34" i="1496"/>
  <c r="L12" i="1496" s="1"/>
  <c r="D12" i="1496" s="1"/>
  <c r="D34" i="1496"/>
  <c r="D54" i="1496" s="1"/>
  <c r="H14" i="1496" s="1"/>
  <c r="R33" i="1496"/>
  <c r="L23" i="1496" s="1"/>
  <c r="D23" i="1496" s="1"/>
  <c r="R32" i="1496"/>
  <c r="L11" i="1496" s="1"/>
  <c r="D11" i="1496" s="1"/>
  <c r="R31" i="1496"/>
  <c r="R30" i="1496"/>
  <c r="R29" i="1496"/>
  <c r="R28" i="1496"/>
  <c r="D28" i="1496"/>
  <c r="R27" i="1496"/>
  <c r="D27" i="1496"/>
  <c r="R26" i="1496"/>
  <c r="L26" i="1496"/>
  <c r="D26" i="1496" s="1"/>
  <c r="R25" i="1496"/>
  <c r="L25" i="1496"/>
  <c r="D25" i="1496"/>
  <c r="R24" i="1496"/>
  <c r="D24" i="1496"/>
  <c r="R23" i="1496"/>
  <c r="R22" i="1496"/>
  <c r="L22" i="1496"/>
  <c r="D22" i="1496"/>
  <c r="R21" i="1496"/>
  <c r="D21" i="1496"/>
  <c r="R20" i="1496"/>
  <c r="L20" i="1496"/>
  <c r="D20" i="1496" s="1"/>
  <c r="R19" i="1496"/>
  <c r="L19" i="1496"/>
  <c r="D19" i="1496"/>
  <c r="R18" i="1496"/>
  <c r="D18" i="1496"/>
  <c r="R17" i="1496"/>
  <c r="D17" i="1496"/>
  <c r="R16" i="1496"/>
  <c r="L16" i="1496"/>
  <c r="D16" i="1496" s="1"/>
  <c r="S15" i="1496"/>
  <c r="R15" i="1496"/>
  <c r="D15" i="1496"/>
  <c r="S14" i="1496"/>
  <c r="R14" i="1496"/>
  <c r="D14" i="1496"/>
  <c r="R13" i="1496"/>
  <c r="D13" i="1496"/>
  <c r="R12" i="1496"/>
  <c r="R11" i="1496"/>
  <c r="L10" i="1496"/>
  <c r="D10" i="1496" s="1"/>
  <c r="L9" i="1496"/>
  <c r="D9" i="1496"/>
  <c r="R6" i="1496"/>
  <c r="L6" i="1496"/>
  <c r="D6" i="1496" s="1"/>
  <c r="R5" i="1496"/>
  <c r="R4" i="1496"/>
  <c r="R52" i="1495"/>
  <c r="R51" i="1495"/>
  <c r="D50" i="1495"/>
  <c r="R49" i="1495"/>
  <c r="D49" i="1495"/>
  <c r="R48" i="1495"/>
  <c r="D48" i="1495"/>
  <c r="D46" i="1495"/>
  <c r="D45" i="1495"/>
  <c r="D44" i="1495"/>
  <c r="R42" i="1495"/>
  <c r="D42" i="1495"/>
  <c r="R41" i="1495"/>
  <c r="L7" i="1495" s="1"/>
  <c r="D7" i="1495" s="1"/>
  <c r="D41" i="1495"/>
  <c r="R40" i="1495"/>
  <c r="D40" i="1495"/>
  <c r="R39" i="1495"/>
  <c r="H39" i="1495"/>
  <c r="D39" i="1495"/>
  <c r="R38" i="1495"/>
  <c r="H38" i="1495"/>
  <c r="D38" i="1495"/>
  <c r="R37" i="1495"/>
  <c r="H37" i="1495"/>
  <c r="D37" i="1495"/>
  <c r="R36" i="1495"/>
  <c r="H36" i="1495"/>
  <c r="D36" i="1495"/>
  <c r="R35" i="1495"/>
  <c r="L19" i="1495" s="1"/>
  <c r="D19" i="1495" s="1"/>
  <c r="H35" i="1495"/>
  <c r="G49" i="1495" s="1"/>
  <c r="D35" i="1495"/>
  <c r="R34" i="1495"/>
  <c r="L12" i="1495" s="1"/>
  <c r="D12" i="1495" s="1"/>
  <c r="H34" i="1495"/>
  <c r="D34" i="1495"/>
  <c r="D54" i="1495" s="1"/>
  <c r="H14" i="1495" s="1"/>
  <c r="R33" i="1495"/>
  <c r="L23" i="1495" s="1"/>
  <c r="D23" i="1495" s="1"/>
  <c r="R32" i="1495"/>
  <c r="R31" i="1495"/>
  <c r="R30" i="1495"/>
  <c r="R29" i="1495"/>
  <c r="R28" i="1495"/>
  <c r="D28" i="1495"/>
  <c r="R27" i="1495"/>
  <c r="D27" i="1495"/>
  <c r="R26" i="1495"/>
  <c r="L26" i="1495"/>
  <c r="D26" i="1495"/>
  <c r="R25" i="1495"/>
  <c r="L25" i="1495"/>
  <c r="D25" i="1495"/>
  <c r="R24" i="1495"/>
  <c r="D24" i="1495"/>
  <c r="R23" i="1495"/>
  <c r="R22" i="1495"/>
  <c r="L22" i="1495"/>
  <c r="D22" i="1495" s="1"/>
  <c r="R21" i="1495"/>
  <c r="D21" i="1495"/>
  <c r="R20" i="1495"/>
  <c r="L20" i="1495"/>
  <c r="D20" i="1495"/>
  <c r="R19" i="1495"/>
  <c r="R18" i="1495"/>
  <c r="D18" i="1495"/>
  <c r="R17" i="1495"/>
  <c r="D17" i="1495"/>
  <c r="R16" i="1495"/>
  <c r="L16" i="1495"/>
  <c r="D16" i="1495" s="1"/>
  <c r="R15" i="1495"/>
  <c r="D15" i="1495"/>
  <c r="R14" i="1495"/>
  <c r="D14" i="1495"/>
  <c r="R13" i="1495"/>
  <c r="D13" i="1495"/>
  <c r="R12" i="1495"/>
  <c r="R11" i="1495"/>
  <c r="L11" i="1495"/>
  <c r="D11" i="1495"/>
  <c r="L10" i="1495"/>
  <c r="D10" i="1495" s="1"/>
  <c r="L9" i="1495"/>
  <c r="D9" i="1495"/>
  <c r="L8" i="1495"/>
  <c r="D8" i="1495" s="1"/>
  <c r="R6" i="1495"/>
  <c r="L6" i="1495"/>
  <c r="D6" i="1495" s="1"/>
  <c r="R5" i="1495"/>
  <c r="R4" i="1495"/>
  <c r="R52" i="1494"/>
  <c r="R51" i="1494"/>
  <c r="D50" i="1494"/>
  <c r="R49" i="1494"/>
  <c r="D49" i="1494"/>
  <c r="R48" i="1494"/>
  <c r="D48" i="1494"/>
  <c r="D46" i="1494"/>
  <c r="D45" i="1494"/>
  <c r="D44" i="1494"/>
  <c r="R42" i="1494"/>
  <c r="L6" i="1494" s="1"/>
  <c r="D6" i="1494" s="1"/>
  <c r="D42" i="1494"/>
  <c r="R41" i="1494"/>
  <c r="L7" i="1494" s="1"/>
  <c r="D7" i="1494" s="1"/>
  <c r="D41" i="1494"/>
  <c r="R40" i="1494"/>
  <c r="D40" i="1494"/>
  <c r="R39" i="1494"/>
  <c r="L20" i="1494" s="1"/>
  <c r="D20" i="1494" s="1"/>
  <c r="H39" i="1494"/>
  <c r="D39" i="1494"/>
  <c r="R38" i="1494"/>
  <c r="L9" i="1494" s="1"/>
  <c r="D9" i="1494" s="1"/>
  <c r="H38" i="1494"/>
  <c r="D38" i="1494"/>
  <c r="R37" i="1494"/>
  <c r="H37" i="1494"/>
  <c r="D37" i="1494"/>
  <c r="R36" i="1494"/>
  <c r="H36" i="1494"/>
  <c r="G49" i="1494" s="1"/>
  <c r="D36" i="1494"/>
  <c r="R35" i="1494"/>
  <c r="L19" i="1494" s="1"/>
  <c r="D19" i="1494" s="1"/>
  <c r="H35" i="1494"/>
  <c r="D35" i="1494"/>
  <c r="R34" i="1494"/>
  <c r="H34" i="1494"/>
  <c r="D34" i="1494"/>
  <c r="D54" i="1494" s="1"/>
  <c r="H14" i="1494" s="1"/>
  <c r="R33" i="1494"/>
  <c r="R32" i="1494"/>
  <c r="R31" i="1494"/>
  <c r="R30" i="1494"/>
  <c r="R29" i="1494"/>
  <c r="R28" i="1494"/>
  <c r="D28" i="1494"/>
  <c r="R27" i="1494"/>
  <c r="D27" i="1494"/>
  <c r="R26" i="1494"/>
  <c r="L26" i="1494"/>
  <c r="D26" i="1494"/>
  <c r="R25" i="1494"/>
  <c r="L25" i="1494"/>
  <c r="D25" i="1494"/>
  <c r="R24" i="1494"/>
  <c r="L24" i="1494"/>
  <c r="D24" i="1494"/>
  <c r="R23" i="1494"/>
  <c r="L23" i="1494"/>
  <c r="D23" i="1494"/>
  <c r="R22" i="1494"/>
  <c r="L22" i="1494"/>
  <c r="D22" i="1494"/>
  <c r="R21" i="1494"/>
  <c r="L17" i="1494" s="1"/>
  <c r="D17" i="1494" s="1"/>
  <c r="D21" i="1494"/>
  <c r="R20" i="1494"/>
  <c r="R19" i="1494"/>
  <c r="R18" i="1494"/>
  <c r="D18" i="1494"/>
  <c r="R17" i="1494"/>
  <c r="R16" i="1494"/>
  <c r="L16" i="1494"/>
  <c r="D16" i="1494"/>
  <c r="R15" i="1494"/>
  <c r="D15" i="1494"/>
  <c r="R14" i="1494"/>
  <c r="D14" i="1494"/>
  <c r="R13" i="1494"/>
  <c r="D13" i="1494"/>
  <c r="R12" i="1494"/>
  <c r="L12" i="1494"/>
  <c r="D12" i="1494"/>
  <c r="R11" i="1494"/>
  <c r="L11" i="1494"/>
  <c r="D11" i="1494"/>
  <c r="L10" i="1494"/>
  <c r="D10" i="1494"/>
  <c r="L8" i="1494"/>
  <c r="D8" i="1494"/>
  <c r="R6" i="1494"/>
  <c r="R5" i="1494"/>
  <c r="R4" i="1494"/>
  <c r="R52" i="1493"/>
  <c r="R51" i="1493"/>
  <c r="D50" i="1493"/>
  <c r="R49" i="1493"/>
  <c r="D49" i="1493"/>
  <c r="R48" i="1493"/>
  <c r="D48" i="1493"/>
  <c r="D46" i="1493"/>
  <c r="D45" i="1493"/>
  <c r="P44" i="1493"/>
  <c r="R44" i="1493" s="1"/>
  <c r="D44" i="1493"/>
  <c r="R42" i="1493"/>
  <c r="L6" i="1493" s="1"/>
  <c r="D6" i="1493" s="1"/>
  <c r="D42" i="1493"/>
  <c r="R41" i="1493"/>
  <c r="D41" i="1493"/>
  <c r="R40" i="1493"/>
  <c r="D40" i="1493"/>
  <c r="R39" i="1493"/>
  <c r="L20" i="1493" s="1"/>
  <c r="D20" i="1493" s="1"/>
  <c r="H39" i="1493"/>
  <c r="D39" i="1493"/>
  <c r="R38" i="1493"/>
  <c r="H38" i="1493"/>
  <c r="D38" i="1493"/>
  <c r="R37" i="1493"/>
  <c r="H37" i="1493"/>
  <c r="D37" i="1493"/>
  <c r="R36" i="1493"/>
  <c r="L10" i="1493" s="1"/>
  <c r="D10" i="1493" s="1"/>
  <c r="H36" i="1493"/>
  <c r="D36" i="1493"/>
  <c r="D54" i="1493" s="1"/>
  <c r="H14" i="1493" s="1"/>
  <c r="R35" i="1493"/>
  <c r="H35" i="1493"/>
  <c r="D35" i="1493"/>
  <c r="R34" i="1493"/>
  <c r="L12" i="1493" s="1"/>
  <c r="D12" i="1493" s="1"/>
  <c r="H34" i="1493"/>
  <c r="G49" i="1493" s="1"/>
  <c r="D34" i="1493"/>
  <c r="R33" i="1493"/>
  <c r="R32" i="1493"/>
  <c r="R31" i="1493"/>
  <c r="R30" i="1493"/>
  <c r="R29" i="1493"/>
  <c r="R28" i="1493"/>
  <c r="L16" i="1493" s="1"/>
  <c r="D16" i="1493" s="1"/>
  <c r="D28" i="1493"/>
  <c r="R27" i="1493"/>
  <c r="D27" i="1493"/>
  <c r="R26" i="1493"/>
  <c r="L26" i="1493"/>
  <c r="D26" i="1493"/>
  <c r="R25" i="1493"/>
  <c r="L25" i="1493"/>
  <c r="D25" i="1493"/>
  <c r="R24" i="1493"/>
  <c r="L24" i="1493"/>
  <c r="D24" i="1493"/>
  <c r="R23" i="1493"/>
  <c r="D23" i="1493"/>
  <c r="R22" i="1493"/>
  <c r="D22" i="1493"/>
  <c r="R21" i="1493"/>
  <c r="D21" i="1493"/>
  <c r="R20" i="1493"/>
  <c r="R19" i="1493"/>
  <c r="D19" i="1493"/>
  <c r="R18" i="1493"/>
  <c r="D18" i="1493"/>
  <c r="R17" i="1493"/>
  <c r="L17" i="1493"/>
  <c r="D17" i="1493"/>
  <c r="R16" i="1493"/>
  <c r="R15" i="1493"/>
  <c r="D15" i="1493"/>
  <c r="R14" i="1493"/>
  <c r="D14" i="1493"/>
  <c r="R13" i="1493"/>
  <c r="D13" i="1493"/>
  <c r="R12" i="1493"/>
  <c r="R11" i="1493"/>
  <c r="L11" i="1493"/>
  <c r="D11" i="1493" s="1"/>
  <c r="L9" i="1493"/>
  <c r="D9" i="1493"/>
  <c r="L8" i="1493"/>
  <c r="D8" i="1493"/>
  <c r="L7" i="1493"/>
  <c r="D7" i="1493"/>
  <c r="R6" i="1493"/>
  <c r="R5" i="1493"/>
  <c r="R4" i="1493"/>
  <c r="R52" i="1492"/>
  <c r="R51" i="1492"/>
  <c r="D50" i="1492"/>
  <c r="R49" i="1492"/>
  <c r="G49" i="1492"/>
  <c r="D49" i="1492"/>
  <c r="R48" i="1492"/>
  <c r="D48" i="1492"/>
  <c r="D46" i="1492"/>
  <c r="D45" i="1492"/>
  <c r="D44" i="1492"/>
  <c r="R42" i="1492"/>
  <c r="L6" i="1492" s="1"/>
  <c r="D6" i="1492" s="1"/>
  <c r="D42" i="1492"/>
  <c r="R41" i="1492"/>
  <c r="L7" i="1492" s="1"/>
  <c r="D7" i="1492" s="1"/>
  <c r="D41" i="1492"/>
  <c r="R40" i="1492"/>
  <c r="L8" i="1492" s="1"/>
  <c r="D8" i="1492" s="1"/>
  <c r="D40" i="1492"/>
  <c r="R39" i="1492"/>
  <c r="D39" i="1492"/>
  <c r="R38" i="1492"/>
  <c r="L9" i="1492" s="1"/>
  <c r="D9" i="1492" s="1"/>
  <c r="D38" i="1492"/>
  <c r="R37" i="1492"/>
  <c r="D37" i="1492"/>
  <c r="R36" i="1492"/>
  <c r="L10" i="1492" s="1"/>
  <c r="D10" i="1492" s="1"/>
  <c r="D36" i="1492"/>
  <c r="R35" i="1492"/>
  <c r="D35" i="1492"/>
  <c r="D54" i="1492" s="1"/>
  <c r="H14" i="1492" s="1"/>
  <c r="R34" i="1492"/>
  <c r="L12" i="1492" s="1"/>
  <c r="D12" i="1492" s="1"/>
  <c r="D34" i="1492"/>
  <c r="R33" i="1492"/>
  <c r="L23" i="1492" s="1"/>
  <c r="D23" i="1492" s="1"/>
  <c r="R32" i="1492"/>
  <c r="L11" i="1492" s="1"/>
  <c r="D11" i="1492" s="1"/>
  <c r="R31" i="1492"/>
  <c r="R30" i="1492"/>
  <c r="R29" i="1492"/>
  <c r="R28" i="1492"/>
  <c r="D28" i="1492"/>
  <c r="R27" i="1492"/>
  <c r="D27" i="1492"/>
  <c r="R26" i="1492"/>
  <c r="L26" i="1492"/>
  <c r="D26" i="1492"/>
  <c r="R25" i="1492"/>
  <c r="L25" i="1492"/>
  <c r="D25" i="1492"/>
  <c r="R24" i="1492"/>
  <c r="D24" i="1492"/>
  <c r="R23" i="1492"/>
  <c r="R22" i="1492"/>
  <c r="L22" i="1492"/>
  <c r="D22" i="1492"/>
  <c r="R21" i="1492"/>
  <c r="D21" i="1492"/>
  <c r="R20" i="1492"/>
  <c r="L20" i="1492"/>
  <c r="D20" i="1492"/>
  <c r="R19" i="1492"/>
  <c r="L19" i="1492"/>
  <c r="D19" i="1492"/>
  <c r="R18" i="1492"/>
  <c r="D18" i="1492"/>
  <c r="R17" i="1492"/>
  <c r="D17" i="1492"/>
  <c r="R16" i="1492"/>
  <c r="L16" i="1492"/>
  <c r="D16" i="1492" s="1"/>
  <c r="S15" i="1492"/>
  <c r="R15" i="1492"/>
  <c r="D15" i="1492"/>
  <c r="S14" i="1492"/>
  <c r="R14" i="1492"/>
  <c r="D14" i="1492"/>
  <c r="R13" i="1492"/>
  <c r="D13" i="1492"/>
  <c r="R12" i="1492"/>
  <c r="R11" i="1492"/>
  <c r="R6" i="1492"/>
  <c r="R5" i="1492"/>
  <c r="R4" i="1492"/>
  <c r="R52" i="1491"/>
  <c r="R51" i="1491"/>
  <c r="D50" i="1491"/>
  <c r="R49" i="1491"/>
  <c r="D49" i="1491"/>
  <c r="R48" i="1491"/>
  <c r="D48" i="1491"/>
  <c r="D46" i="1491"/>
  <c r="D45" i="1491"/>
  <c r="D44" i="1491"/>
  <c r="R42" i="1491"/>
  <c r="D42" i="1491"/>
  <c r="R41" i="1491"/>
  <c r="L7" i="1491" s="1"/>
  <c r="D7" i="1491" s="1"/>
  <c r="D41" i="1491"/>
  <c r="R40" i="1491"/>
  <c r="L8" i="1491" s="1"/>
  <c r="D8" i="1491" s="1"/>
  <c r="D40" i="1491"/>
  <c r="R39" i="1491"/>
  <c r="H39" i="1491"/>
  <c r="D39" i="1491"/>
  <c r="R38" i="1491"/>
  <c r="H38" i="1491"/>
  <c r="D38" i="1491"/>
  <c r="R37" i="1491"/>
  <c r="H37" i="1491"/>
  <c r="D37" i="1491"/>
  <c r="R36" i="1491"/>
  <c r="H36" i="1491"/>
  <c r="G49" i="1491" s="1"/>
  <c r="D36" i="1491"/>
  <c r="R35" i="1491"/>
  <c r="L19" i="1491" s="1"/>
  <c r="D19" i="1491" s="1"/>
  <c r="H35" i="1491"/>
  <c r="D35" i="1491"/>
  <c r="R34" i="1491"/>
  <c r="H34" i="1491"/>
  <c r="D34" i="1491"/>
  <c r="D54" i="1491" s="1"/>
  <c r="H14" i="1491" s="1"/>
  <c r="R33" i="1491"/>
  <c r="L23" i="1491" s="1"/>
  <c r="D23" i="1491" s="1"/>
  <c r="R32" i="1491"/>
  <c r="R31" i="1491"/>
  <c r="R30" i="1491"/>
  <c r="R29" i="1491"/>
  <c r="R28" i="1491"/>
  <c r="L16" i="1491" s="1"/>
  <c r="D16" i="1491" s="1"/>
  <c r="D28" i="1491"/>
  <c r="R27" i="1491"/>
  <c r="D27" i="1491"/>
  <c r="R26" i="1491"/>
  <c r="L26" i="1491"/>
  <c r="D26" i="1491" s="1"/>
  <c r="R25" i="1491"/>
  <c r="L25" i="1491"/>
  <c r="D25" i="1491"/>
  <c r="R24" i="1491"/>
  <c r="D24" i="1491"/>
  <c r="R23" i="1491"/>
  <c r="R22" i="1491"/>
  <c r="L22" i="1491"/>
  <c r="D22" i="1491" s="1"/>
  <c r="R21" i="1491"/>
  <c r="D21" i="1491"/>
  <c r="R20" i="1491"/>
  <c r="L20" i="1491"/>
  <c r="D20" i="1491" s="1"/>
  <c r="R19" i="1491"/>
  <c r="R18" i="1491"/>
  <c r="D18" i="1491"/>
  <c r="R17" i="1491"/>
  <c r="D17" i="1491"/>
  <c r="R16" i="1491"/>
  <c r="R15" i="1491"/>
  <c r="D15" i="1491"/>
  <c r="R14" i="1491"/>
  <c r="D14" i="1491"/>
  <c r="R13" i="1491"/>
  <c r="D13" i="1491"/>
  <c r="R12" i="1491"/>
  <c r="L12" i="1491"/>
  <c r="D12" i="1491" s="1"/>
  <c r="R11" i="1491"/>
  <c r="L11" i="1491"/>
  <c r="D11" i="1491"/>
  <c r="L10" i="1491"/>
  <c r="D10" i="1491" s="1"/>
  <c r="L9" i="1491"/>
  <c r="D9" i="1491"/>
  <c r="R6" i="1491"/>
  <c r="L6" i="1491"/>
  <c r="D6" i="1491" s="1"/>
  <c r="R5" i="1491"/>
  <c r="R4" i="1491"/>
  <c r="R52" i="1490"/>
  <c r="R51" i="1490"/>
  <c r="D50" i="1490"/>
  <c r="R49" i="1490"/>
  <c r="G49" i="1490"/>
  <c r="D49" i="1490"/>
  <c r="R48" i="1490"/>
  <c r="D48" i="1490"/>
  <c r="D46" i="1490"/>
  <c r="D45" i="1490"/>
  <c r="D44" i="1490"/>
  <c r="R42" i="1490"/>
  <c r="L6" i="1490" s="1"/>
  <c r="D6" i="1490" s="1"/>
  <c r="D42" i="1490"/>
  <c r="R41" i="1490"/>
  <c r="D41" i="1490"/>
  <c r="R40" i="1490"/>
  <c r="D40" i="1490"/>
  <c r="R39" i="1490"/>
  <c r="L20" i="1490" s="1"/>
  <c r="D20" i="1490" s="1"/>
  <c r="H39" i="1490"/>
  <c r="D39" i="1490"/>
  <c r="R38" i="1490"/>
  <c r="L9" i="1490" s="1"/>
  <c r="D9" i="1490" s="1"/>
  <c r="H38" i="1490"/>
  <c r="D38" i="1490"/>
  <c r="R37" i="1490"/>
  <c r="H37" i="1490"/>
  <c r="D37" i="1490"/>
  <c r="R36" i="1490"/>
  <c r="L10" i="1490" s="1"/>
  <c r="D10" i="1490" s="1"/>
  <c r="H36" i="1490"/>
  <c r="D36" i="1490"/>
  <c r="R35" i="1490"/>
  <c r="H35" i="1490"/>
  <c r="D35" i="1490"/>
  <c r="R34" i="1490"/>
  <c r="L12" i="1490" s="1"/>
  <c r="D12" i="1490" s="1"/>
  <c r="H34" i="1490"/>
  <c r="D34" i="1490"/>
  <c r="D54" i="1490" s="1"/>
  <c r="H14" i="1490" s="1"/>
  <c r="R33" i="1490"/>
  <c r="L23" i="1490" s="1"/>
  <c r="D23" i="1490" s="1"/>
  <c r="R32" i="1490"/>
  <c r="L11" i="1490" s="1"/>
  <c r="D11" i="1490" s="1"/>
  <c r="R31" i="1490"/>
  <c r="R30" i="1490"/>
  <c r="R29" i="1490"/>
  <c r="R28" i="1490"/>
  <c r="D28" i="1490"/>
  <c r="R27" i="1490"/>
  <c r="D27" i="1490"/>
  <c r="R26" i="1490"/>
  <c r="L26" i="1490"/>
  <c r="D26" i="1490"/>
  <c r="R25" i="1490"/>
  <c r="L25" i="1490"/>
  <c r="D25" i="1490"/>
  <c r="R24" i="1490"/>
  <c r="L24" i="1490"/>
  <c r="D24" i="1490"/>
  <c r="R23" i="1490"/>
  <c r="R22" i="1490"/>
  <c r="L22" i="1490"/>
  <c r="D22" i="1490" s="1"/>
  <c r="R21" i="1490"/>
  <c r="L17" i="1490" s="1"/>
  <c r="D17" i="1490" s="1"/>
  <c r="D21" i="1490"/>
  <c r="R20" i="1490"/>
  <c r="R19" i="1490"/>
  <c r="L19" i="1490"/>
  <c r="D19" i="1490"/>
  <c r="R18" i="1490"/>
  <c r="D18" i="1490"/>
  <c r="R17" i="1490"/>
  <c r="R16" i="1490"/>
  <c r="L16" i="1490"/>
  <c r="D16" i="1490" s="1"/>
  <c r="R15" i="1490"/>
  <c r="D15" i="1490"/>
  <c r="R14" i="1490"/>
  <c r="D14" i="1490"/>
  <c r="R13" i="1490"/>
  <c r="D13" i="1490"/>
  <c r="R12" i="1490"/>
  <c r="R11" i="1490"/>
  <c r="L8" i="1490"/>
  <c r="D8" i="1490"/>
  <c r="L7" i="1490"/>
  <c r="D7" i="1490"/>
  <c r="R6" i="1490"/>
  <c r="R5" i="1490"/>
  <c r="R4" i="1490"/>
  <c r="R52" i="1489"/>
  <c r="R51" i="1489"/>
  <c r="D50" i="1489"/>
  <c r="R49" i="1489"/>
  <c r="D49" i="1489"/>
  <c r="R48" i="1489"/>
  <c r="D48" i="1489"/>
  <c r="D46" i="1489"/>
  <c r="D45" i="1489"/>
  <c r="P44" i="1489"/>
  <c r="R44" i="1489" s="1"/>
  <c r="D44" i="1489"/>
  <c r="R42" i="1489"/>
  <c r="L6" i="1489" s="1"/>
  <c r="D6" i="1489" s="1"/>
  <c r="D29" i="1489" s="1"/>
  <c r="H13" i="1489" s="1"/>
  <c r="H15" i="1489" s="1"/>
  <c r="H29" i="1489" s="1"/>
  <c r="D42" i="1489"/>
  <c r="R41" i="1489"/>
  <c r="D41" i="1489"/>
  <c r="R40" i="1489"/>
  <c r="L8" i="1489" s="1"/>
  <c r="D8" i="1489" s="1"/>
  <c r="D40" i="1489"/>
  <c r="R39" i="1489"/>
  <c r="L20" i="1489" s="1"/>
  <c r="D20" i="1489" s="1"/>
  <c r="H39" i="1489"/>
  <c r="D39" i="1489"/>
  <c r="R38" i="1489"/>
  <c r="H38" i="1489"/>
  <c r="D38" i="1489"/>
  <c r="R37" i="1489"/>
  <c r="H37" i="1489"/>
  <c r="D37" i="1489"/>
  <c r="R36" i="1489"/>
  <c r="H36" i="1489"/>
  <c r="G49" i="1489" s="1"/>
  <c r="D36" i="1489"/>
  <c r="R35" i="1489"/>
  <c r="H35" i="1489"/>
  <c r="D35" i="1489"/>
  <c r="R34" i="1489"/>
  <c r="H34" i="1489"/>
  <c r="D34" i="1489"/>
  <c r="D54" i="1489" s="1"/>
  <c r="H14" i="1489" s="1"/>
  <c r="R33" i="1489"/>
  <c r="R32" i="1489"/>
  <c r="R31" i="1489"/>
  <c r="R30" i="1489"/>
  <c r="R29" i="1489"/>
  <c r="R28" i="1489"/>
  <c r="D28" i="1489"/>
  <c r="R27" i="1489"/>
  <c r="D27" i="1489"/>
  <c r="R26" i="1489"/>
  <c r="L26" i="1489"/>
  <c r="D26" i="1489"/>
  <c r="R25" i="1489"/>
  <c r="L25" i="1489"/>
  <c r="D25" i="1489"/>
  <c r="R24" i="1489"/>
  <c r="L24" i="1489"/>
  <c r="D24" i="1489"/>
  <c r="R23" i="1489"/>
  <c r="D23" i="1489"/>
  <c r="R22" i="1489"/>
  <c r="D22" i="1489"/>
  <c r="R21" i="1489"/>
  <c r="D21" i="1489"/>
  <c r="R20" i="1489"/>
  <c r="R19" i="1489"/>
  <c r="D19" i="1489"/>
  <c r="R18" i="1489"/>
  <c r="D18" i="1489"/>
  <c r="R17" i="1489"/>
  <c r="L17" i="1489"/>
  <c r="D17" i="1489"/>
  <c r="R16" i="1489"/>
  <c r="L16" i="1489"/>
  <c r="D16" i="1489"/>
  <c r="R15" i="1489"/>
  <c r="D15" i="1489"/>
  <c r="R14" i="1489"/>
  <c r="D14" i="1489"/>
  <c r="R13" i="1489"/>
  <c r="D13" i="1489"/>
  <c r="R12" i="1489"/>
  <c r="L12" i="1489"/>
  <c r="D12" i="1489"/>
  <c r="R11" i="1489"/>
  <c r="L11" i="1489"/>
  <c r="D11" i="1489" s="1"/>
  <c r="L10" i="1489"/>
  <c r="D10" i="1489" s="1"/>
  <c r="L9" i="1489"/>
  <c r="D9" i="1489" s="1"/>
  <c r="L7" i="1489"/>
  <c r="D7" i="1489"/>
  <c r="R6" i="1489"/>
  <c r="R5" i="1489"/>
  <c r="R4" i="1489"/>
  <c r="R52" i="1488"/>
  <c r="R51" i="1488"/>
  <c r="D50" i="1488"/>
  <c r="R49" i="1488"/>
  <c r="G49" i="1488"/>
  <c r="D49" i="1488"/>
  <c r="R48" i="1488"/>
  <c r="D48" i="1488"/>
  <c r="D46" i="1488"/>
  <c r="D45" i="1488"/>
  <c r="D44" i="1488"/>
  <c r="R42" i="1488"/>
  <c r="L6" i="1488" s="1"/>
  <c r="D6" i="1488" s="1"/>
  <c r="D42" i="1488"/>
  <c r="R41" i="1488"/>
  <c r="L7" i="1488" s="1"/>
  <c r="D7" i="1488" s="1"/>
  <c r="D41" i="1488"/>
  <c r="R40" i="1488"/>
  <c r="D40" i="1488"/>
  <c r="R39" i="1488"/>
  <c r="D39" i="1488"/>
  <c r="R38" i="1488"/>
  <c r="L9" i="1488" s="1"/>
  <c r="D9" i="1488" s="1"/>
  <c r="D38" i="1488"/>
  <c r="R37" i="1488"/>
  <c r="D37" i="1488"/>
  <c r="R36" i="1488"/>
  <c r="L10" i="1488" s="1"/>
  <c r="D10" i="1488" s="1"/>
  <c r="D36" i="1488"/>
  <c r="R35" i="1488"/>
  <c r="D35" i="1488"/>
  <c r="R34" i="1488"/>
  <c r="L12" i="1488" s="1"/>
  <c r="D12" i="1488" s="1"/>
  <c r="D34" i="1488"/>
  <c r="D54" i="1488" s="1"/>
  <c r="H14" i="1488" s="1"/>
  <c r="R33" i="1488"/>
  <c r="L23" i="1488" s="1"/>
  <c r="D23" i="1488" s="1"/>
  <c r="R32" i="1488"/>
  <c r="R31" i="1488"/>
  <c r="R30" i="1488"/>
  <c r="R29" i="1488"/>
  <c r="R28" i="1488"/>
  <c r="D28" i="1488"/>
  <c r="R27" i="1488"/>
  <c r="D27" i="1488"/>
  <c r="R26" i="1488"/>
  <c r="L26" i="1488"/>
  <c r="D26" i="1488"/>
  <c r="R25" i="1488"/>
  <c r="L25" i="1488"/>
  <c r="D25" i="1488"/>
  <c r="R24" i="1488"/>
  <c r="D24" i="1488"/>
  <c r="R23" i="1488"/>
  <c r="R22" i="1488"/>
  <c r="L22" i="1488"/>
  <c r="D22" i="1488"/>
  <c r="R21" i="1488"/>
  <c r="D21" i="1488"/>
  <c r="R20" i="1488"/>
  <c r="L20" i="1488"/>
  <c r="D20" i="1488"/>
  <c r="R19" i="1488"/>
  <c r="L19" i="1488"/>
  <c r="D19" i="1488"/>
  <c r="R18" i="1488"/>
  <c r="D18" i="1488"/>
  <c r="R17" i="1488"/>
  <c r="D17" i="1488"/>
  <c r="R16" i="1488"/>
  <c r="L16" i="1488"/>
  <c r="D16" i="1488" s="1"/>
  <c r="S15" i="1488"/>
  <c r="R15" i="1488"/>
  <c r="D15" i="1488"/>
  <c r="S14" i="1488"/>
  <c r="R14" i="1488"/>
  <c r="D14" i="1488"/>
  <c r="R13" i="1488"/>
  <c r="D13" i="1488"/>
  <c r="R12" i="1488"/>
  <c r="R11" i="1488"/>
  <c r="L11" i="1488"/>
  <c r="D11" i="1488"/>
  <c r="L8" i="1488"/>
  <c r="D8" i="1488"/>
  <c r="R6" i="1488"/>
  <c r="R5" i="1488"/>
  <c r="R4" i="1488"/>
  <c r="R52" i="1487"/>
  <c r="R51" i="1487"/>
  <c r="D50" i="1487"/>
  <c r="R49" i="1487"/>
  <c r="D49" i="1487"/>
  <c r="R48" i="1487"/>
  <c r="D48" i="1487"/>
  <c r="D46" i="1487"/>
  <c r="D45" i="1487"/>
  <c r="D44" i="1487"/>
  <c r="R42" i="1487"/>
  <c r="D42" i="1487"/>
  <c r="R41" i="1487"/>
  <c r="L7" i="1487" s="1"/>
  <c r="D7" i="1487" s="1"/>
  <c r="D41" i="1487"/>
  <c r="R40" i="1487"/>
  <c r="D40" i="1487"/>
  <c r="R39" i="1487"/>
  <c r="H39" i="1487"/>
  <c r="D39" i="1487"/>
  <c r="R38" i="1487"/>
  <c r="H38" i="1487"/>
  <c r="D38" i="1487"/>
  <c r="D54" i="1487" s="1"/>
  <c r="H14" i="1487" s="1"/>
  <c r="R37" i="1487"/>
  <c r="H37" i="1487"/>
  <c r="D37" i="1487"/>
  <c r="R36" i="1487"/>
  <c r="H36" i="1487"/>
  <c r="D36" i="1487"/>
  <c r="R35" i="1487"/>
  <c r="L19" i="1487" s="1"/>
  <c r="D19" i="1487" s="1"/>
  <c r="H35" i="1487"/>
  <c r="D35" i="1487"/>
  <c r="R34" i="1487"/>
  <c r="H34" i="1487"/>
  <c r="G49" i="1487" s="1"/>
  <c r="D34" i="1487"/>
  <c r="R33" i="1487"/>
  <c r="L23" i="1487" s="1"/>
  <c r="D23" i="1487" s="1"/>
  <c r="R32" i="1487"/>
  <c r="R31" i="1487"/>
  <c r="R30" i="1487"/>
  <c r="R29" i="1487"/>
  <c r="R28" i="1487"/>
  <c r="D28" i="1487"/>
  <c r="R27" i="1487"/>
  <c r="D27" i="1487"/>
  <c r="R26" i="1487"/>
  <c r="L26" i="1487"/>
  <c r="D26" i="1487"/>
  <c r="R25" i="1487"/>
  <c r="L25" i="1487"/>
  <c r="D25" i="1487"/>
  <c r="R24" i="1487"/>
  <c r="D24" i="1487"/>
  <c r="R23" i="1487"/>
  <c r="R22" i="1487"/>
  <c r="L22" i="1487"/>
  <c r="D22" i="1487"/>
  <c r="R21" i="1487"/>
  <c r="D21" i="1487"/>
  <c r="R20" i="1487"/>
  <c r="L20" i="1487"/>
  <c r="D20" i="1487"/>
  <c r="R19" i="1487"/>
  <c r="R18" i="1487"/>
  <c r="D18" i="1487"/>
  <c r="R17" i="1487"/>
  <c r="D17" i="1487"/>
  <c r="R16" i="1487"/>
  <c r="L16" i="1487"/>
  <c r="D16" i="1487" s="1"/>
  <c r="R15" i="1487"/>
  <c r="D15" i="1487"/>
  <c r="R14" i="1487"/>
  <c r="D14" i="1487"/>
  <c r="R13" i="1487"/>
  <c r="D13" i="1487"/>
  <c r="R12" i="1487"/>
  <c r="L12" i="1487"/>
  <c r="D12" i="1487"/>
  <c r="R11" i="1487"/>
  <c r="L11" i="1487"/>
  <c r="D11" i="1487"/>
  <c r="L10" i="1487"/>
  <c r="D10" i="1487"/>
  <c r="L9" i="1487"/>
  <c r="D9" i="1487"/>
  <c r="L8" i="1487"/>
  <c r="D8" i="1487" s="1"/>
  <c r="R6" i="1487"/>
  <c r="L6" i="1487"/>
  <c r="D6" i="1487" s="1"/>
  <c r="D29" i="1487" s="1"/>
  <c r="H13" i="1487" s="1"/>
  <c r="R5" i="1487"/>
  <c r="R4" i="1487"/>
  <c r="R52" i="1486"/>
  <c r="R51" i="1486"/>
  <c r="D50" i="1486"/>
  <c r="R49" i="1486"/>
  <c r="D49" i="1486"/>
  <c r="R48" i="1486"/>
  <c r="D48" i="1486"/>
  <c r="D46" i="1486"/>
  <c r="D45" i="1486"/>
  <c r="D44" i="1486"/>
  <c r="R42" i="1486"/>
  <c r="D42" i="1486"/>
  <c r="R41" i="1486"/>
  <c r="L7" i="1486" s="1"/>
  <c r="D7" i="1486" s="1"/>
  <c r="D41" i="1486"/>
  <c r="R40" i="1486"/>
  <c r="D40" i="1486"/>
  <c r="R39" i="1486"/>
  <c r="H39" i="1486"/>
  <c r="D39" i="1486"/>
  <c r="R38" i="1486"/>
  <c r="H38" i="1486"/>
  <c r="D38" i="1486"/>
  <c r="R37" i="1486"/>
  <c r="H37" i="1486"/>
  <c r="D37" i="1486"/>
  <c r="R36" i="1486"/>
  <c r="H36" i="1486"/>
  <c r="D36" i="1486"/>
  <c r="R35" i="1486"/>
  <c r="L19" i="1486" s="1"/>
  <c r="D19" i="1486" s="1"/>
  <c r="H35" i="1486"/>
  <c r="D35" i="1486"/>
  <c r="R34" i="1486"/>
  <c r="H34" i="1486"/>
  <c r="G49" i="1486" s="1"/>
  <c r="D34" i="1486"/>
  <c r="D54" i="1486" s="1"/>
  <c r="H14" i="1486" s="1"/>
  <c r="R33" i="1486"/>
  <c r="R32" i="1486"/>
  <c r="R31" i="1486"/>
  <c r="R30" i="1486"/>
  <c r="R29" i="1486"/>
  <c r="R28" i="1486"/>
  <c r="L16" i="1486" s="1"/>
  <c r="D16" i="1486" s="1"/>
  <c r="D28" i="1486"/>
  <c r="R27" i="1486"/>
  <c r="D27" i="1486"/>
  <c r="R26" i="1486"/>
  <c r="L26" i="1486"/>
  <c r="D26" i="1486" s="1"/>
  <c r="R25" i="1486"/>
  <c r="L25" i="1486"/>
  <c r="D25" i="1486" s="1"/>
  <c r="R24" i="1486"/>
  <c r="L24" i="1486"/>
  <c r="D24" i="1486"/>
  <c r="R23" i="1486"/>
  <c r="L23" i="1486"/>
  <c r="D23" i="1486" s="1"/>
  <c r="R22" i="1486"/>
  <c r="L22" i="1486"/>
  <c r="D22" i="1486"/>
  <c r="R21" i="1486"/>
  <c r="L17" i="1486" s="1"/>
  <c r="D17" i="1486" s="1"/>
  <c r="D21" i="1486"/>
  <c r="R20" i="1486"/>
  <c r="L20" i="1486"/>
  <c r="D20" i="1486" s="1"/>
  <c r="R19" i="1486"/>
  <c r="R18" i="1486"/>
  <c r="D18" i="1486"/>
  <c r="R17" i="1486"/>
  <c r="R16" i="1486"/>
  <c r="R15" i="1486"/>
  <c r="D15" i="1486"/>
  <c r="R14" i="1486"/>
  <c r="D14" i="1486"/>
  <c r="R13" i="1486"/>
  <c r="D13" i="1486"/>
  <c r="R12" i="1486"/>
  <c r="L12" i="1486"/>
  <c r="D12" i="1486"/>
  <c r="R11" i="1486"/>
  <c r="L11" i="1486"/>
  <c r="D11" i="1486" s="1"/>
  <c r="L10" i="1486"/>
  <c r="D10" i="1486"/>
  <c r="L9" i="1486"/>
  <c r="D9" i="1486"/>
  <c r="L8" i="1486"/>
  <c r="D8" i="1486" s="1"/>
  <c r="R6" i="1486"/>
  <c r="L6" i="1486"/>
  <c r="D6" i="1486"/>
  <c r="R5" i="1486"/>
  <c r="R4" i="1486"/>
  <c r="R52" i="1485"/>
  <c r="R51" i="1485"/>
  <c r="D50" i="1485"/>
  <c r="R49" i="1485"/>
  <c r="D49" i="1485"/>
  <c r="R48" i="1485"/>
  <c r="D48" i="1485"/>
  <c r="D46" i="1485"/>
  <c r="D45" i="1485"/>
  <c r="P44" i="1485"/>
  <c r="R44" i="1485" s="1"/>
  <c r="D44" i="1485"/>
  <c r="R42" i="1485"/>
  <c r="L6" i="1485" s="1"/>
  <c r="D6" i="1485" s="1"/>
  <c r="D42" i="1485"/>
  <c r="R41" i="1485"/>
  <c r="D41" i="1485"/>
  <c r="R40" i="1485"/>
  <c r="L8" i="1485" s="1"/>
  <c r="D8" i="1485" s="1"/>
  <c r="D40" i="1485"/>
  <c r="R39" i="1485"/>
  <c r="H39" i="1485"/>
  <c r="D39" i="1485"/>
  <c r="R38" i="1485"/>
  <c r="H38" i="1485"/>
  <c r="D38" i="1485"/>
  <c r="R37" i="1485"/>
  <c r="H37" i="1485"/>
  <c r="D37" i="1485"/>
  <c r="R36" i="1485"/>
  <c r="H36" i="1485"/>
  <c r="G49" i="1485" s="1"/>
  <c r="D36" i="1485"/>
  <c r="R35" i="1485"/>
  <c r="H35" i="1485"/>
  <c r="D35" i="1485"/>
  <c r="R34" i="1485"/>
  <c r="H34" i="1485"/>
  <c r="D34" i="1485"/>
  <c r="D54" i="1485" s="1"/>
  <c r="H14" i="1485" s="1"/>
  <c r="R33" i="1485"/>
  <c r="R32" i="1485"/>
  <c r="R31" i="1485"/>
  <c r="R30" i="1485"/>
  <c r="R29" i="1485"/>
  <c r="R28" i="1485"/>
  <c r="D28" i="1485"/>
  <c r="R27" i="1485"/>
  <c r="D27" i="1485"/>
  <c r="R26" i="1485"/>
  <c r="L26" i="1485"/>
  <c r="D26" i="1485" s="1"/>
  <c r="R25" i="1485"/>
  <c r="L25" i="1485"/>
  <c r="D25" i="1485" s="1"/>
  <c r="R24" i="1485"/>
  <c r="L24" i="1485"/>
  <c r="D24" i="1485" s="1"/>
  <c r="R23" i="1485"/>
  <c r="D23" i="1485"/>
  <c r="R22" i="1485"/>
  <c r="D22" i="1485"/>
  <c r="R21" i="1485"/>
  <c r="D21" i="1485"/>
  <c r="R20" i="1485"/>
  <c r="L20" i="1485"/>
  <c r="D20" i="1485"/>
  <c r="R19" i="1485"/>
  <c r="D19" i="1485"/>
  <c r="R18" i="1485"/>
  <c r="D18" i="1485"/>
  <c r="R17" i="1485"/>
  <c r="L17" i="1485"/>
  <c r="D17" i="1485" s="1"/>
  <c r="R16" i="1485"/>
  <c r="L16" i="1485"/>
  <c r="D16" i="1485" s="1"/>
  <c r="R15" i="1485"/>
  <c r="D15" i="1485"/>
  <c r="R14" i="1485"/>
  <c r="D14" i="1485"/>
  <c r="R13" i="1485"/>
  <c r="D13" i="1485"/>
  <c r="R12" i="1485"/>
  <c r="L12" i="1485"/>
  <c r="D12" i="1485" s="1"/>
  <c r="R11" i="1485"/>
  <c r="L11" i="1485"/>
  <c r="D11" i="1485"/>
  <c r="L10" i="1485"/>
  <c r="D10" i="1485" s="1"/>
  <c r="L9" i="1485"/>
  <c r="D9" i="1485" s="1"/>
  <c r="L7" i="1485"/>
  <c r="D7" i="1485" s="1"/>
  <c r="R6" i="1485"/>
  <c r="R5" i="1485"/>
  <c r="R4" i="1485"/>
  <c r="R52" i="1484"/>
  <c r="R51" i="1484"/>
  <c r="D50" i="1484"/>
  <c r="R49" i="1484"/>
  <c r="G49" i="1484"/>
  <c r="D49" i="1484"/>
  <c r="R48" i="1484"/>
  <c r="D48" i="1484"/>
  <c r="D46" i="1484"/>
  <c r="D45" i="1484"/>
  <c r="D44" i="1484"/>
  <c r="R42" i="1484"/>
  <c r="D42" i="1484"/>
  <c r="R41" i="1484"/>
  <c r="L7" i="1484" s="1"/>
  <c r="D7" i="1484" s="1"/>
  <c r="D41" i="1484"/>
  <c r="R40" i="1484"/>
  <c r="D40" i="1484"/>
  <c r="R39" i="1484"/>
  <c r="D39" i="1484"/>
  <c r="R38" i="1484"/>
  <c r="D38" i="1484"/>
  <c r="R37" i="1484"/>
  <c r="D37" i="1484"/>
  <c r="R36" i="1484"/>
  <c r="L10" i="1484" s="1"/>
  <c r="D10" i="1484" s="1"/>
  <c r="D36" i="1484"/>
  <c r="R35" i="1484"/>
  <c r="D35" i="1484"/>
  <c r="R34" i="1484"/>
  <c r="D34" i="1484"/>
  <c r="D54" i="1484" s="1"/>
  <c r="H14" i="1484" s="1"/>
  <c r="R33" i="1484"/>
  <c r="L23" i="1484" s="1"/>
  <c r="D23" i="1484" s="1"/>
  <c r="R32" i="1484"/>
  <c r="R31" i="1484"/>
  <c r="R30" i="1484"/>
  <c r="R29" i="1484"/>
  <c r="R28" i="1484"/>
  <c r="L16" i="1484" s="1"/>
  <c r="D16" i="1484" s="1"/>
  <c r="D28" i="1484"/>
  <c r="R27" i="1484"/>
  <c r="D27" i="1484"/>
  <c r="R26" i="1484"/>
  <c r="L26" i="1484"/>
  <c r="D26" i="1484"/>
  <c r="R25" i="1484"/>
  <c r="L25" i="1484"/>
  <c r="D25" i="1484"/>
  <c r="R24" i="1484"/>
  <c r="D24" i="1484"/>
  <c r="R23" i="1484"/>
  <c r="R22" i="1484"/>
  <c r="L22" i="1484"/>
  <c r="D22" i="1484" s="1"/>
  <c r="R21" i="1484"/>
  <c r="D21" i="1484"/>
  <c r="R20" i="1484"/>
  <c r="L20" i="1484"/>
  <c r="D20" i="1484"/>
  <c r="R19" i="1484"/>
  <c r="L19" i="1484"/>
  <c r="D19" i="1484"/>
  <c r="R18" i="1484"/>
  <c r="D18" i="1484"/>
  <c r="R17" i="1484"/>
  <c r="D17" i="1484"/>
  <c r="R16" i="1484"/>
  <c r="S15" i="1484"/>
  <c r="R15" i="1484"/>
  <c r="D15" i="1484"/>
  <c r="S14" i="1484"/>
  <c r="R14" i="1484"/>
  <c r="D14" i="1484"/>
  <c r="R13" i="1484"/>
  <c r="D13" i="1484"/>
  <c r="R12" i="1484"/>
  <c r="L12" i="1484"/>
  <c r="D12" i="1484"/>
  <c r="R11" i="1484"/>
  <c r="L11" i="1484"/>
  <c r="D11" i="1484" s="1"/>
  <c r="L9" i="1484"/>
  <c r="D9" i="1484" s="1"/>
  <c r="L8" i="1484"/>
  <c r="D8" i="1484" s="1"/>
  <c r="R6" i="1484"/>
  <c r="L6" i="1484"/>
  <c r="D6" i="1484" s="1"/>
  <c r="R5" i="1484"/>
  <c r="R4" i="1484"/>
  <c r="R52" i="1483"/>
  <c r="R51" i="1483"/>
  <c r="D50" i="1483"/>
  <c r="R49" i="1483"/>
  <c r="D49" i="1483"/>
  <c r="R48" i="1483"/>
  <c r="D48" i="1483"/>
  <c r="D46" i="1483"/>
  <c r="D45" i="1483"/>
  <c r="D44" i="1483"/>
  <c r="R42" i="1483"/>
  <c r="D42" i="1483"/>
  <c r="R41" i="1483"/>
  <c r="L7" i="1483" s="1"/>
  <c r="D7" i="1483" s="1"/>
  <c r="D41" i="1483"/>
  <c r="R40" i="1483"/>
  <c r="D40" i="1483"/>
  <c r="R39" i="1483"/>
  <c r="H39" i="1483"/>
  <c r="D39" i="1483"/>
  <c r="R38" i="1483"/>
  <c r="L9" i="1483" s="1"/>
  <c r="D9" i="1483" s="1"/>
  <c r="H38" i="1483"/>
  <c r="D38" i="1483"/>
  <c r="R37" i="1483"/>
  <c r="H37" i="1483"/>
  <c r="D37" i="1483"/>
  <c r="R36" i="1483"/>
  <c r="H36" i="1483"/>
  <c r="D36" i="1483"/>
  <c r="D54" i="1483" s="1"/>
  <c r="H14" i="1483" s="1"/>
  <c r="R35" i="1483"/>
  <c r="L19" i="1483" s="1"/>
  <c r="D19" i="1483" s="1"/>
  <c r="H35" i="1483"/>
  <c r="D35" i="1483"/>
  <c r="R34" i="1483"/>
  <c r="H34" i="1483"/>
  <c r="G49" i="1483" s="1"/>
  <c r="D34" i="1483"/>
  <c r="R33" i="1483"/>
  <c r="R32" i="1483"/>
  <c r="L11" i="1483" s="1"/>
  <c r="D11" i="1483" s="1"/>
  <c r="R31" i="1483"/>
  <c r="R30" i="1483"/>
  <c r="R29" i="1483"/>
  <c r="R28" i="1483"/>
  <c r="D28" i="1483"/>
  <c r="R27" i="1483"/>
  <c r="D27" i="1483"/>
  <c r="R26" i="1483"/>
  <c r="L26" i="1483"/>
  <c r="D26" i="1483"/>
  <c r="R25" i="1483"/>
  <c r="L25" i="1483"/>
  <c r="D25" i="1483"/>
  <c r="R24" i="1483"/>
  <c r="D24" i="1483"/>
  <c r="R23" i="1483"/>
  <c r="L23" i="1483"/>
  <c r="D23" i="1483" s="1"/>
  <c r="R22" i="1483"/>
  <c r="L22" i="1483"/>
  <c r="D22" i="1483"/>
  <c r="R21" i="1483"/>
  <c r="D21" i="1483"/>
  <c r="R20" i="1483"/>
  <c r="L20" i="1483"/>
  <c r="D20" i="1483"/>
  <c r="R19" i="1483"/>
  <c r="R18" i="1483"/>
  <c r="D18" i="1483"/>
  <c r="R17" i="1483"/>
  <c r="D17" i="1483"/>
  <c r="R16" i="1483"/>
  <c r="L16" i="1483"/>
  <c r="D16" i="1483" s="1"/>
  <c r="R15" i="1483"/>
  <c r="D15" i="1483"/>
  <c r="R14" i="1483"/>
  <c r="D14" i="1483"/>
  <c r="R13" i="1483"/>
  <c r="D13" i="1483"/>
  <c r="R12" i="1483"/>
  <c r="L12" i="1483"/>
  <c r="D12" i="1483" s="1"/>
  <c r="R11" i="1483"/>
  <c r="L10" i="1483"/>
  <c r="D10" i="1483"/>
  <c r="L8" i="1483"/>
  <c r="D8" i="1483" s="1"/>
  <c r="R6" i="1483"/>
  <c r="L6" i="1483"/>
  <c r="D6" i="1483"/>
  <c r="R5" i="1483"/>
  <c r="R4" i="1483"/>
  <c r="R52" i="1482"/>
  <c r="R51" i="1482"/>
  <c r="D50" i="1482"/>
  <c r="R49" i="1482"/>
  <c r="D49" i="1482"/>
  <c r="R48" i="1482"/>
  <c r="D48" i="1482"/>
  <c r="D46" i="1482"/>
  <c r="D45" i="1482"/>
  <c r="D44" i="1482"/>
  <c r="R42" i="1482"/>
  <c r="L6" i="1482" s="1"/>
  <c r="D6" i="1482" s="1"/>
  <c r="D42" i="1482"/>
  <c r="R41" i="1482"/>
  <c r="L7" i="1482" s="1"/>
  <c r="D7" i="1482" s="1"/>
  <c r="D41" i="1482"/>
  <c r="R40" i="1482"/>
  <c r="D40" i="1482"/>
  <c r="R39" i="1482"/>
  <c r="H39" i="1482"/>
  <c r="D39" i="1482"/>
  <c r="R38" i="1482"/>
  <c r="L9" i="1482" s="1"/>
  <c r="D9" i="1482" s="1"/>
  <c r="H38" i="1482"/>
  <c r="D38" i="1482"/>
  <c r="R37" i="1482"/>
  <c r="H37" i="1482"/>
  <c r="D37" i="1482"/>
  <c r="R36" i="1482"/>
  <c r="H36" i="1482"/>
  <c r="G49" i="1482" s="1"/>
  <c r="D36" i="1482"/>
  <c r="R35" i="1482"/>
  <c r="L19" i="1482" s="1"/>
  <c r="D19" i="1482" s="1"/>
  <c r="H35" i="1482"/>
  <c r="D35" i="1482"/>
  <c r="R34" i="1482"/>
  <c r="H34" i="1482"/>
  <c r="D34" i="1482"/>
  <c r="D54" i="1482" s="1"/>
  <c r="H14" i="1482" s="1"/>
  <c r="R33" i="1482"/>
  <c r="R32" i="1482"/>
  <c r="R31" i="1482"/>
  <c r="R30" i="1482"/>
  <c r="R29" i="1482"/>
  <c r="R28" i="1482"/>
  <c r="D28" i="1482"/>
  <c r="R27" i="1482"/>
  <c r="D27" i="1482"/>
  <c r="R26" i="1482"/>
  <c r="L26" i="1482"/>
  <c r="D26" i="1482"/>
  <c r="R25" i="1482"/>
  <c r="L25" i="1482"/>
  <c r="D25" i="1482"/>
  <c r="R24" i="1482"/>
  <c r="L24" i="1482"/>
  <c r="D24" i="1482"/>
  <c r="R23" i="1482"/>
  <c r="L23" i="1482"/>
  <c r="D23" i="1482"/>
  <c r="R22" i="1482"/>
  <c r="L22" i="1482"/>
  <c r="D22" i="1482" s="1"/>
  <c r="R21" i="1482"/>
  <c r="L17" i="1482" s="1"/>
  <c r="D17" i="1482" s="1"/>
  <c r="D21" i="1482"/>
  <c r="R20" i="1482"/>
  <c r="L20" i="1482"/>
  <c r="D20" i="1482"/>
  <c r="R19" i="1482"/>
  <c r="R18" i="1482"/>
  <c r="D18" i="1482"/>
  <c r="R17" i="1482"/>
  <c r="R16" i="1482"/>
  <c r="L16" i="1482"/>
  <c r="D16" i="1482" s="1"/>
  <c r="R15" i="1482"/>
  <c r="D15" i="1482"/>
  <c r="R14" i="1482"/>
  <c r="D14" i="1482"/>
  <c r="R13" i="1482"/>
  <c r="D13" i="1482"/>
  <c r="R12" i="1482"/>
  <c r="L12" i="1482"/>
  <c r="D12" i="1482"/>
  <c r="R11" i="1482"/>
  <c r="L11" i="1482"/>
  <c r="D11" i="1482"/>
  <c r="L10" i="1482"/>
  <c r="D10" i="1482"/>
  <c r="L8" i="1482"/>
  <c r="D8" i="1482"/>
  <c r="R6" i="1482"/>
  <c r="R5" i="1482"/>
  <c r="R4" i="1482"/>
  <c r="R52" i="1481"/>
  <c r="R51" i="1481"/>
  <c r="D50" i="1481"/>
  <c r="R49" i="1481"/>
  <c r="D49" i="1481"/>
  <c r="R48" i="1481"/>
  <c r="D48" i="1481"/>
  <c r="D46" i="1481"/>
  <c r="D45" i="1481"/>
  <c r="P44" i="1481"/>
  <c r="R44" i="1481" s="1"/>
  <c r="D44" i="1481"/>
  <c r="R42" i="1481"/>
  <c r="L6" i="1481" s="1"/>
  <c r="D6" i="1481" s="1"/>
  <c r="D42" i="1481"/>
  <c r="R41" i="1481"/>
  <c r="D41" i="1481"/>
  <c r="R40" i="1481"/>
  <c r="D40" i="1481"/>
  <c r="R39" i="1481"/>
  <c r="H39" i="1481"/>
  <c r="D39" i="1481"/>
  <c r="R38" i="1481"/>
  <c r="H38" i="1481"/>
  <c r="D38" i="1481"/>
  <c r="R37" i="1481"/>
  <c r="H37" i="1481"/>
  <c r="D37" i="1481"/>
  <c r="R36" i="1481"/>
  <c r="H36" i="1481"/>
  <c r="D36" i="1481"/>
  <c r="D54" i="1481" s="1"/>
  <c r="H14" i="1481" s="1"/>
  <c r="R35" i="1481"/>
  <c r="H35" i="1481"/>
  <c r="D35" i="1481"/>
  <c r="R34" i="1481"/>
  <c r="H34" i="1481"/>
  <c r="G49" i="1481" s="1"/>
  <c r="D34" i="1481"/>
  <c r="R33" i="1481"/>
  <c r="R32" i="1481"/>
  <c r="L11" i="1481" s="1"/>
  <c r="D11" i="1481" s="1"/>
  <c r="R31" i="1481"/>
  <c r="R30" i="1481"/>
  <c r="R29" i="1481"/>
  <c r="R28" i="1481"/>
  <c r="D28" i="1481"/>
  <c r="R27" i="1481"/>
  <c r="D27" i="1481"/>
  <c r="R26" i="1481"/>
  <c r="L26" i="1481"/>
  <c r="D26" i="1481"/>
  <c r="R25" i="1481"/>
  <c r="L25" i="1481"/>
  <c r="D25" i="1481"/>
  <c r="R24" i="1481"/>
  <c r="L24" i="1481"/>
  <c r="D24" i="1481"/>
  <c r="R23" i="1481"/>
  <c r="D23" i="1481"/>
  <c r="R22" i="1481"/>
  <c r="D22" i="1481"/>
  <c r="R21" i="1481"/>
  <c r="D21" i="1481"/>
  <c r="R20" i="1481"/>
  <c r="L20" i="1481"/>
  <c r="D20" i="1481" s="1"/>
  <c r="R19" i="1481"/>
  <c r="D19" i="1481"/>
  <c r="R18" i="1481"/>
  <c r="D18" i="1481"/>
  <c r="R17" i="1481"/>
  <c r="L17" i="1481"/>
  <c r="D17" i="1481"/>
  <c r="R16" i="1481"/>
  <c r="L16" i="1481"/>
  <c r="D16" i="1481"/>
  <c r="R15" i="1481"/>
  <c r="D15" i="1481"/>
  <c r="R14" i="1481"/>
  <c r="D14" i="1481"/>
  <c r="R13" i="1481"/>
  <c r="D13" i="1481"/>
  <c r="R12" i="1481"/>
  <c r="L12" i="1481"/>
  <c r="D12" i="1481" s="1"/>
  <c r="R11" i="1481"/>
  <c r="L10" i="1481"/>
  <c r="D10" i="1481" s="1"/>
  <c r="L9" i="1481"/>
  <c r="D9" i="1481"/>
  <c r="L8" i="1481"/>
  <c r="D8" i="1481"/>
  <c r="L7" i="1481"/>
  <c r="D7" i="1481"/>
  <c r="R6" i="1481"/>
  <c r="R5" i="1481"/>
  <c r="R4" i="1481"/>
  <c r="R52" i="1480"/>
  <c r="R51" i="1480"/>
  <c r="D50" i="1480"/>
  <c r="R49" i="1480"/>
  <c r="G49" i="1480"/>
  <c r="D49" i="1480"/>
  <c r="R48" i="1480"/>
  <c r="D48" i="1480"/>
  <c r="D46" i="1480"/>
  <c r="D45" i="1480"/>
  <c r="D44" i="1480"/>
  <c r="R42" i="1480"/>
  <c r="D42" i="1480"/>
  <c r="R41" i="1480"/>
  <c r="L7" i="1480" s="1"/>
  <c r="D7" i="1480" s="1"/>
  <c r="D41" i="1480"/>
  <c r="R40" i="1480"/>
  <c r="L8" i="1480" s="1"/>
  <c r="D8" i="1480" s="1"/>
  <c r="D40" i="1480"/>
  <c r="R39" i="1480"/>
  <c r="D39" i="1480"/>
  <c r="R38" i="1480"/>
  <c r="D38" i="1480"/>
  <c r="R37" i="1480"/>
  <c r="D37" i="1480"/>
  <c r="R36" i="1480"/>
  <c r="L10" i="1480" s="1"/>
  <c r="D10" i="1480" s="1"/>
  <c r="D36" i="1480"/>
  <c r="D54" i="1480" s="1"/>
  <c r="H14" i="1480" s="1"/>
  <c r="R35" i="1480"/>
  <c r="D35" i="1480"/>
  <c r="R34" i="1480"/>
  <c r="D34" i="1480"/>
  <c r="R33" i="1480"/>
  <c r="R32" i="1480"/>
  <c r="L11" i="1480" s="1"/>
  <c r="D11" i="1480" s="1"/>
  <c r="R31" i="1480"/>
  <c r="R30" i="1480"/>
  <c r="R29" i="1480"/>
  <c r="R28" i="1480"/>
  <c r="D28" i="1480"/>
  <c r="R27" i="1480"/>
  <c r="D27" i="1480"/>
  <c r="R26" i="1480"/>
  <c r="L26" i="1480"/>
  <c r="D26" i="1480"/>
  <c r="R25" i="1480"/>
  <c r="L25" i="1480"/>
  <c r="D25" i="1480"/>
  <c r="R24" i="1480"/>
  <c r="D24" i="1480"/>
  <c r="R23" i="1480"/>
  <c r="L23" i="1480"/>
  <c r="D23" i="1480" s="1"/>
  <c r="R22" i="1480"/>
  <c r="L22" i="1480"/>
  <c r="D22" i="1480"/>
  <c r="R21" i="1480"/>
  <c r="D21" i="1480"/>
  <c r="R20" i="1480"/>
  <c r="L20" i="1480"/>
  <c r="D20" i="1480"/>
  <c r="R19" i="1480"/>
  <c r="L19" i="1480"/>
  <c r="D19" i="1480"/>
  <c r="R18" i="1480"/>
  <c r="D18" i="1480"/>
  <c r="R17" i="1480"/>
  <c r="D17" i="1480"/>
  <c r="R16" i="1480"/>
  <c r="L16" i="1480"/>
  <c r="D16" i="1480" s="1"/>
  <c r="S15" i="1480"/>
  <c r="R15" i="1480"/>
  <c r="D15" i="1480"/>
  <c r="S14" i="1480"/>
  <c r="R14" i="1480"/>
  <c r="D14" i="1480"/>
  <c r="R13" i="1480"/>
  <c r="D13" i="1480"/>
  <c r="R12" i="1480"/>
  <c r="L12" i="1480"/>
  <c r="D12" i="1480"/>
  <c r="R11" i="1480"/>
  <c r="L9" i="1480"/>
  <c r="D9" i="1480" s="1"/>
  <c r="R6" i="1480"/>
  <c r="L6" i="1480"/>
  <c r="D6" i="1480"/>
  <c r="D29" i="1480" s="1"/>
  <c r="H13" i="1480" s="1"/>
  <c r="H15" i="1480" s="1"/>
  <c r="H29" i="1480" s="1"/>
  <c r="G51" i="1480" s="1"/>
  <c r="R5" i="1480"/>
  <c r="R4" i="1480"/>
  <c r="R52" i="1479"/>
  <c r="R51" i="1479"/>
  <c r="D50" i="1479"/>
  <c r="R49" i="1479"/>
  <c r="D49" i="1479"/>
  <c r="R48" i="1479"/>
  <c r="D48" i="1479"/>
  <c r="D46" i="1479"/>
  <c r="D45" i="1479"/>
  <c r="D44" i="1479"/>
  <c r="R42" i="1479"/>
  <c r="L6" i="1479" s="1"/>
  <c r="D6" i="1479" s="1"/>
  <c r="D42" i="1479"/>
  <c r="R41" i="1479"/>
  <c r="L7" i="1479" s="1"/>
  <c r="D7" i="1479" s="1"/>
  <c r="D41" i="1479"/>
  <c r="R40" i="1479"/>
  <c r="D40" i="1479"/>
  <c r="R39" i="1479"/>
  <c r="H39" i="1479"/>
  <c r="D39" i="1479"/>
  <c r="R38" i="1479"/>
  <c r="L9" i="1479" s="1"/>
  <c r="D9" i="1479" s="1"/>
  <c r="H38" i="1479"/>
  <c r="D38" i="1479"/>
  <c r="R37" i="1479"/>
  <c r="H37" i="1479"/>
  <c r="D37" i="1479"/>
  <c r="R36" i="1479"/>
  <c r="H36" i="1479"/>
  <c r="D36" i="1479"/>
  <c r="R35" i="1479"/>
  <c r="L19" i="1479" s="1"/>
  <c r="D19" i="1479" s="1"/>
  <c r="H35" i="1479"/>
  <c r="D35" i="1479"/>
  <c r="D54" i="1479" s="1"/>
  <c r="H14" i="1479" s="1"/>
  <c r="R34" i="1479"/>
  <c r="L12" i="1479" s="1"/>
  <c r="D12" i="1479" s="1"/>
  <c r="H34" i="1479"/>
  <c r="G49" i="1479" s="1"/>
  <c r="D34" i="1479"/>
  <c r="R33" i="1479"/>
  <c r="R32" i="1479"/>
  <c r="R31" i="1479"/>
  <c r="R30" i="1479"/>
  <c r="R29" i="1479"/>
  <c r="R28" i="1479"/>
  <c r="L16" i="1479" s="1"/>
  <c r="D16" i="1479" s="1"/>
  <c r="D28" i="1479"/>
  <c r="R27" i="1479"/>
  <c r="D27" i="1479"/>
  <c r="R26" i="1479"/>
  <c r="L26" i="1479"/>
  <c r="D26" i="1479" s="1"/>
  <c r="R25" i="1479"/>
  <c r="L25" i="1479"/>
  <c r="D25" i="1479" s="1"/>
  <c r="R24" i="1479"/>
  <c r="D24" i="1479"/>
  <c r="R23" i="1479"/>
  <c r="L23" i="1479"/>
  <c r="D23" i="1479" s="1"/>
  <c r="R22" i="1479"/>
  <c r="L22" i="1479"/>
  <c r="D22" i="1479"/>
  <c r="R21" i="1479"/>
  <c r="D21" i="1479"/>
  <c r="R20" i="1479"/>
  <c r="L20" i="1479"/>
  <c r="D20" i="1479"/>
  <c r="R19" i="1479"/>
  <c r="R18" i="1479"/>
  <c r="D18" i="1479"/>
  <c r="R17" i="1479"/>
  <c r="D17" i="1479"/>
  <c r="R16" i="1479"/>
  <c r="R15" i="1479"/>
  <c r="D15" i="1479"/>
  <c r="R14" i="1479"/>
  <c r="D14" i="1479"/>
  <c r="R13" i="1479"/>
  <c r="D13" i="1479"/>
  <c r="R12" i="1479"/>
  <c r="R11" i="1479"/>
  <c r="L11" i="1479"/>
  <c r="D11" i="1479"/>
  <c r="L10" i="1479"/>
  <c r="D10" i="1479"/>
  <c r="L8" i="1479"/>
  <c r="D8" i="1479" s="1"/>
  <c r="R6" i="1479"/>
  <c r="R5" i="1479"/>
  <c r="R4" i="1479"/>
  <c r="R52" i="1478"/>
  <c r="R51" i="1478"/>
  <c r="D50" i="1478"/>
  <c r="R49" i="1478"/>
  <c r="D49" i="1478"/>
  <c r="R48" i="1478"/>
  <c r="D48" i="1478"/>
  <c r="D46" i="1478"/>
  <c r="D45" i="1478"/>
  <c r="D44" i="1478"/>
  <c r="R42" i="1478"/>
  <c r="L6" i="1478" s="1"/>
  <c r="D6" i="1478" s="1"/>
  <c r="D42" i="1478"/>
  <c r="R41" i="1478"/>
  <c r="L7" i="1478" s="1"/>
  <c r="D7" i="1478" s="1"/>
  <c r="D41" i="1478"/>
  <c r="R40" i="1478"/>
  <c r="D40" i="1478"/>
  <c r="R39" i="1478"/>
  <c r="L20" i="1478" s="1"/>
  <c r="D20" i="1478" s="1"/>
  <c r="H39" i="1478"/>
  <c r="D39" i="1478"/>
  <c r="R38" i="1478"/>
  <c r="H38" i="1478"/>
  <c r="D38" i="1478"/>
  <c r="R37" i="1478"/>
  <c r="H37" i="1478"/>
  <c r="D37" i="1478"/>
  <c r="R36" i="1478"/>
  <c r="H36" i="1478"/>
  <c r="D36" i="1478"/>
  <c r="R35" i="1478"/>
  <c r="L19" i="1478" s="1"/>
  <c r="D19" i="1478" s="1"/>
  <c r="H35" i="1478"/>
  <c r="D35" i="1478"/>
  <c r="D54" i="1478" s="1"/>
  <c r="H14" i="1478" s="1"/>
  <c r="R34" i="1478"/>
  <c r="L12" i="1478" s="1"/>
  <c r="D12" i="1478" s="1"/>
  <c r="H34" i="1478"/>
  <c r="G49" i="1478" s="1"/>
  <c r="D34" i="1478"/>
  <c r="R33" i="1478"/>
  <c r="L23" i="1478" s="1"/>
  <c r="D23" i="1478" s="1"/>
  <c r="R32" i="1478"/>
  <c r="R31" i="1478"/>
  <c r="R30" i="1478"/>
  <c r="R29" i="1478"/>
  <c r="R28" i="1478"/>
  <c r="D28" i="1478"/>
  <c r="R27" i="1478"/>
  <c r="D27" i="1478"/>
  <c r="R26" i="1478"/>
  <c r="L26" i="1478"/>
  <c r="D26" i="1478"/>
  <c r="R25" i="1478"/>
  <c r="L25" i="1478"/>
  <c r="D25" i="1478"/>
  <c r="R24" i="1478"/>
  <c r="L24" i="1478"/>
  <c r="D24" i="1478"/>
  <c r="R23" i="1478"/>
  <c r="R22" i="1478"/>
  <c r="L22" i="1478"/>
  <c r="D22" i="1478"/>
  <c r="R21" i="1478"/>
  <c r="L17" i="1478" s="1"/>
  <c r="D17" i="1478" s="1"/>
  <c r="D21" i="1478"/>
  <c r="R20" i="1478"/>
  <c r="R19" i="1478"/>
  <c r="R18" i="1478"/>
  <c r="D18" i="1478"/>
  <c r="R17" i="1478"/>
  <c r="R16" i="1478"/>
  <c r="L16" i="1478"/>
  <c r="D16" i="1478"/>
  <c r="R15" i="1478"/>
  <c r="D15" i="1478"/>
  <c r="R14" i="1478"/>
  <c r="D14" i="1478"/>
  <c r="R13" i="1478"/>
  <c r="D13" i="1478"/>
  <c r="R12" i="1478"/>
  <c r="R11" i="1478"/>
  <c r="L11" i="1478"/>
  <c r="D11" i="1478"/>
  <c r="L10" i="1478"/>
  <c r="D10" i="1478"/>
  <c r="L9" i="1478"/>
  <c r="D9" i="1478"/>
  <c r="L8" i="1478"/>
  <c r="D8" i="1478"/>
  <c r="R6" i="1478"/>
  <c r="R5" i="1478"/>
  <c r="R4" i="1478"/>
  <c r="R52" i="1477"/>
  <c r="R51" i="1477"/>
  <c r="D50" i="1477"/>
  <c r="R49" i="1477"/>
  <c r="G49" i="1477"/>
  <c r="D49" i="1477"/>
  <c r="R48" i="1477"/>
  <c r="D48" i="1477"/>
  <c r="D46" i="1477"/>
  <c r="D45" i="1477"/>
  <c r="R44" i="1477"/>
  <c r="P44" i="1477"/>
  <c r="D44" i="1477"/>
  <c r="R42" i="1477"/>
  <c r="D42" i="1477"/>
  <c r="R41" i="1477"/>
  <c r="D41" i="1477"/>
  <c r="R40" i="1477"/>
  <c r="L8" i="1477" s="1"/>
  <c r="D8" i="1477" s="1"/>
  <c r="D40" i="1477"/>
  <c r="R39" i="1477"/>
  <c r="L20" i="1477" s="1"/>
  <c r="D20" i="1477" s="1"/>
  <c r="H39" i="1477"/>
  <c r="D39" i="1477"/>
  <c r="R38" i="1477"/>
  <c r="L9" i="1477" s="1"/>
  <c r="D9" i="1477" s="1"/>
  <c r="H38" i="1477"/>
  <c r="D38" i="1477"/>
  <c r="R37" i="1477"/>
  <c r="H37" i="1477"/>
  <c r="D37" i="1477"/>
  <c r="R36" i="1477"/>
  <c r="H36" i="1477"/>
  <c r="D36" i="1477"/>
  <c r="R35" i="1477"/>
  <c r="H35" i="1477"/>
  <c r="D35" i="1477"/>
  <c r="R34" i="1477"/>
  <c r="H34" i="1477"/>
  <c r="D34" i="1477"/>
  <c r="D54" i="1477" s="1"/>
  <c r="H14" i="1477" s="1"/>
  <c r="R33" i="1477"/>
  <c r="R32" i="1477"/>
  <c r="L11" i="1477" s="1"/>
  <c r="D11" i="1477" s="1"/>
  <c r="R31" i="1477"/>
  <c r="R30" i="1477"/>
  <c r="R29" i="1477"/>
  <c r="R28" i="1477"/>
  <c r="D28" i="1477"/>
  <c r="R27" i="1477"/>
  <c r="D27" i="1477"/>
  <c r="R26" i="1477"/>
  <c r="L26" i="1477"/>
  <c r="D26" i="1477"/>
  <c r="R25" i="1477"/>
  <c r="L25" i="1477"/>
  <c r="D25" i="1477" s="1"/>
  <c r="R24" i="1477"/>
  <c r="L24" i="1477"/>
  <c r="D24" i="1477"/>
  <c r="R23" i="1477"/>
  <c r="D23" i="1477"/>
  <c r="R22" i="1477"/>
  <c r="D22" i="1477"/>
  <c r="R21" i="1477"/>
  <c r="D21" i="1477"/>
  <c r="R20" i="1477"/>
  <c r="R19" i="1477"/>
  <c r="D19" i="1477"/>
  <c r="R18" i="1477"/>
  <c r="D18" i="1477"/>
  <c r="R17" i="1477"/>
  <c r="L17" i="1477"/>
  <c r="D17" i="1477"/>
  <c r="R16" i="1477"/>
  <c r="L16" i="1477"/>
  <c r="D16" i="1477" s="1"/>
  <c r="R15" i="1477"/>
  <c r="D15" i="1477"/>
  <c r="R14" i="1477"/>
  <c r="D14" i="1477"/>
  <c r="R13" i="1477"/>
  <c r="D13" i="1477"/>
  <c r="R12" i="1477"/>
  <c r="L12" i="1477"/>
  <c r="D12" i="1477" s="1"/>
  <c r="R11" i="1477"/>
  <c r="L10" i="1477"/>
  <c r="D10" i="1477" s="1"/>
  <c r="L7" i="1477"/>
  <c r="D7" i="1477"/>
  <c r="R6" i="1477"/>
  <c r="L6" i="1477"/>
  <c r="D6" i="1477"/>
  <c r="R5" i="1477"/>
  <c r="R4" i="1477"/>
  <c r="R52" i="1476"/>
  <c r="R51" i="1476"/>
  <c r="D50" i="1476"/>
  <c r="R49" i="1476"/>
  <c r="G49" i="1476"/>
  <c r="D49" i="1476"/>
  <c r="R48" i="1476"/>
  <c r="D48" i="1476"/>
  <c r="D46" i="1476"/>
  <c r="D45" i="1476"/>
  <c r="D44" i="1476"/>
  <c r="R42" i="1476"/>
  <c r="D42" i="1476"/>
  <c r="R41" i="1476"/>
  <c r="L7" i="1476" s="1"/>
  <c r="D7" i="1476" s="1"/>
  <c r="D41" i="1476"/>
  <c r="R40" i="1476"/>
  <c r="L8" i="1476" s="1"/>
  <c r="D8" i="1476" s="1"/>
  <c r="D40" i="1476"/>
  <c r="D54" i="1476" s="1"/>
  <c r="H14" i="1476" s="1"/>
  <c r="R39" i="1476"/>
  <c r="D39" i="1476"/>
  <c r="R38" i="1476"/>
  <c r="D38" i="1476"/>
  <c r="R37" i="1476"/>
  <c r="D37" i="1476"/>
  <c r="R36" i="1476"/>
  <c r="L10" i="1476" s="1"/>
  <c r="D10" i="1476" s="1"/>
  <c r="D36" i="1476"/>
  <c r="R35" i="1476"/>
  <c r="D35" i="1476"/>
  <c r="R34" i="1476"/>
  <c r="D34" i="1476"/>
  <c r="R33" i="1476"/>
  <c r="R32" i="1476"/>
  <c r="L11" i="1476" s="1"/>
  <c r="D11" i="1476" s="1"/>
  <c r="R31" i="1476"/>
  <c r="R30" i="1476"/>
  <c r="R29" i="1476"/>
  <c r="R28" i="1476"/>
  <c r="D28" i="1476"/>
  <c r="R27" i="1476"/>
  <c r="D27" i="1476"/>
  <c r="R26" i="1476"/>
  <c r="L26" i="1476"/>
  <c r="D26" i="1476" s="1"/>
  <c r="R25" i="1476"/>
  <c r="L25" i="1476"/>
  <c r="D25" i="1476"/>
  <c r="R24" i="1476"/>
  <c r="D24" i="1476"/>
  <c r="R23" i="1476"/>
  <c r="L23" i="1476"/>
  <c r="D23" i="1476" s="1"/>
  <c r="R22" i="1476"/>
  <c r="L22" i="1476"/>
  <c r="D22" i="1476" s="1"/>
  <c r="R21" i="1476"/>
  <c r="D21" i="1476"/>
  <c r="R20" i="1476"/>
  <c r="L20" i="1476"/>
  <c r="D20" i="1476" s="1"/>
  <c r="R19" i="1476"/>
  <c r="L19" i="1476"/>
  <c r="D19" i="1476"/>
  <c r="R18" i="1476"/>
  <c r="D18" i="1476"/>
  <c r="R17" i="1476"/>
  <c r="D17" i="1476"/>
  <c r="R16" i="1476"/>
  <c r="L16" i="1476"/>
  <c r="D16" i="1476" s="1"/>
  <c r="S15" i="1476"/>
  <c r="R15" i="1476"/>
  <c r="D15" i="1476"/>
  <c r="S14" i="1476"/>
  <c r="R14" i="1476"/>
  <c r="D14" i="1476"/>
  <c r="R13" i="1476"/>
  <c r="D13" i="1476"/>
  <c r="R12" i="1476"/>
  <c r="L12" i="1476"/>
  <c r="D12" i="1476" s="1"/>
  <c r="R11" i="1476"/>
  <c r="L9" i="1476"/>
  <c r="D9" i="1476" s="1"/>
  <c r="R6" i="1476"/>
  <c r="L6" i="1476"/>
  <c r="D6" i="1476"/>
  <c r="R5" i="1476"/>
  <c r="R4" i="1476"/>
  <c r="R52" i="1475"/>
  <c r="R51" i="1475"/>
  <c r="D50" i="1475"/>
  <c r="R49" i="1475"/>
  <c r="D49" i="1475"/>
  <c r="R48" i="1475"/>
  <c r="D48" i="1475"/>
  <c r="D46" i="1475"/>
  <c r="D45" i="1475"/>
  <c r="D44" i="1475"/>
  <c r="R42" i="1475"/>
  <c r="L6" i="1475" s="1"/>
  <c r="D6" i="1475" s="1"/>
  <c r="D42" i="1475"/>
  <c r="R41" i="1475"/>
  <c r="D41" i="1475"/>
  <c r="R40" i="1475"/>
  <c r="L8" i="1475" s="1"/>
  <c r="D8" i="1475" s="1"/>
  <c r="D40" i="1475"/>
  <c r="R39" i="1475"/>
  <c r="H39" i="1475"/>
  <c r="D39" i="1475"/>
  <c r="R38" i="1475"/>
  <c r="H38" i="1475"/>
  <c r="D38" i="1475"/>
  <c r="R37" i="1475"/>
  <c r="H37" i="1475"/>
  <c r="D37" i="1475"/>
  <c r="R36" i="1475"/>
  <c r="H36" i="1475"/>
  <c r="D36" i="1475"/>
  <c r="R35" i="1475"/>
  <c r="L19" i="1475" s="1"/>
  <c r="D19" i="1475" s="1"/>
  <c r="H35" i="1475"/>
  <c r="D35" i="1475"/>
  <c r="D54" i="1475" s="1"/>
  <c r="H14" i="1475" s="1"/>
  <c r="R34" i="1475"/>
  <c r="L12" i="1475" s="1"/>
  <c r="D12" i="1475" s="1"/>
  <c r="H34" i="1475"/>
  <c r="G49" i="1475" s="1"/>
  <c r="D34" i="1475"/>
  <c r="R33" i="1475"/>
  <c r="R32" i="1475"/>
  <c r="R31" i="1475"/>
  <c r="R30" i="1475"/>
  <c r="R29" i="1475"/>
  <c r="R28" i="1475"/>
  <c r="L16" i="1475" s="1"/>
  <c r="D16" i="1475" s="1"/>
  <c r="D28" i="1475"/>
  <c r="R27" i="1475"/>
  <c r="D27" i="1475"/>
  <c r="R26" i="1475"/>
  <c r="L26" i="1475"/>
  <c r="D26" i="1475"/>
  <c r="R25" i="1475"/>
  <c r="L25" i="1475"/>
  <c r="D25" i="1475"/>
  <c r="R24" i="1475"/>
  <c r="D24" i="1475"/>
  <c r="R23" i="1475"/>
  <c r="L23" i="1475"/>
  <c r="D23" i="1475"/>
  <c r="R22" i="1475"/>
  <c r="L22" i="1475"/>
  <c r="D22" i="1475" s="1"/>
  <c r="R21" i="1475"/>
  <c r="D21" i="1475"/>
  <c r="R20" i="1475"/>
  <c r="L20" i="1475"/>
  <c r="D20" i="1475"/>
  <c r="R19" i="1475"/>
  <c r="R18" i="1475"/>
  <c r="D18" i="1475"/>
  <c r="R17" i="1475"/>
  <c r="D17" i="1475"/>
  <c r="R16" i="1475"/>
  <c r="R15" i="1475"/>
  <c r="D15" i="1475"/>
  <c r="R14" i="1475"/>
  <c r="D14" i="1475"/>
  <c r="R13" i="1475"/>
  <c r="D13" i="1475"/>
  <c r="R12" i="1475"/>
  <c r="R11" i="1475"/>
  <c r="L11" i="1475"/>
  <c r="D11" i="1475"/>
  <c r="L10" i="1475"/>
  <c r="D10" i="1475" s="1"/>
  <c r="L9" i="1475"/>
  <c r="D9" i="1475"/>
  <c r="L7" i="1475"/>
  <c r="D7" i="1475"/>
  <c r="R6" i="1475"/>
  <c r="R5" i="1475"/>
  <c r="R4" i="1475"/>
  <c r="R52" i="1474"/>
  <c r="R51" i="1474"/>
  <c r="D50" i="1474"/>
  <c r="R49" i="1474"/>
  <c r="D49" i="1474"/>
  <c r="R48" i="1474"/>
  <c r="D48" i="1474"/>
  <c r="D46" i="1474"/>
  <c r="D45" i="1474"/>
  <c r="D44" i="1474"/>
  <c r="R42" i="1474"/>
  <c r="L6" i="1474" s="1"/>
  <c r="D6" i="1474" s="1"/>
  <c r="D42" i="1474"/>
  <c r="R41" i="1474"/>
  <c r="L7" i="1474" s="1"/>
  <c r="D7" i="1474" s="1"/>
  <c r="D41" i="1474"/>
  <c r="R40" i="1474"/>
  <c r="D40" i="1474"/>
  <c r="R39" i="1474"/>
  <c r="L20" i="1474" s="1"/>
  <c r="D20" i="1474" s="1"/>
  <c r="H39" i="1474"/>
  <c r="D39" i="1474"/>
  <c r="R38" i="1474"/>
  <c r="L9" i="1474" s="1"/>
  <c r="D9" i="1474" s="1"/>
  <c r="H38" i="1474"/>
  <c r="D38" i="1474"/>
  <c r="R37" i="1474"/>
  <c r="H37" i="1474"/>
  <c r="D37" i="1474"/>
  <c r="R36" i="1474"/>
  <c r="H36" i="1474"/>
  <c r="G49" i="1474" s="1"/>
  <c r="D36" i="1474"/>
  <c r="R35" i="1474"/>
  <c r="L19" i="1474" s="1"/>
  <c r="D19" i="1474" s="1"/>
  <c r="H35" i="1474"/>
  <c r="D35" i="1474"/>
  <c r="R34" i="1474"/>
  <c r="H34" i="1474"/>
  <c r="D34" i="1474"/>
  <c r="D54" i="1474" s="1"/>
  <c r="H14" i="1474" s="1"/>
  <c r="R33" i="1474"/>
  <c r="R32" i="1474"/>
  <c r="R31" i="1474"/>
  <c r="R30" i="1474"/>
  <c r="R29" i="1474"/>
  <c r="R28" i="1474"/>
  <c r="D28" i="1474"/>
  <c r="R27" i="1474"/>
  <c r="D27" i="1474"/>
  <c r="R26" i="1474"/>
  <c r="L26" i="1474"/>
  <c r="D26" i="1474"/>
  <c r="R25" i="1474"/>
  <c r="L25" i="1474"/>
  <c r="D25" i="1474"/>
  <c r="R24" i="1474"/>
  <c r="L24" i="1474"/>
  <c r="D24" i="1474"/>
  <c r="R23" i="1474"/>
  <c r="L23" i="1474"/>
  <c r="D23" i="1474"/>
  <c r="R22" i="1474"/>
  <c r="L22" i="1474"/>
  <c r="D22" i="1474"/>
  <c r="R21" i="1474"/>
  <c r="L17" i="1474" s="1"/>
  <c r="D17" i="1474" s="1"/>
  <c r="D21" i="1474"/>
  <c r="R20" i="1474"/>
  <c r="R19" i="1474"/>
  <c r="R18" i="1474"/>
  <c r="D18" i="1474"/>
  <c r="R17" i="1474"/>
  <c r="R16" i="1474"/>
  <c r="L16" i="1474"/>
  <c r="D16" i="1474"/>
  <c r="R15" i="1474"/>
  <c r="D15" i="1474"/>
  <c r="R14" i="1474"/>
  <c r="D14" i="1474"/>
  <c r="R13" i="1474"/>
  <c r="D13" i="1474"/>
  <c r="R12" i="1474"/>
  <c r="L12" i="1474"/>
  <c r="D12" i="1474"/>
  <c r="R11" i="1474"/>
  <c r="L11" i="1474"/>
  <c r="D11" i="1474"/>
  <c r="L10" i="1474"/>
  <c r="D10" i="1474"/>
  <c r="L8" i="1474"/>
  <c r="D8" i="1474"/>
  <c r="R6" i="1474"/>
  <c r="R5" i="1474"/>
  <c r="R4" i="1474"/>
  <c r="R52" i="1473"/>
  <c r="R51" i="1473"/>
  <c r="D50" i="1473"/>
  <c r="R49" i="1473"/>
  <c r="D49" i="1473"/>
  <c r="R48" i="1473"/>
  <c r="D48" i="1473"/>
  <c r="D46" i="1473"/>
  <c r="D45" i="1473"/>
  <c r="P44" i="1473"/>
  <c r="R44" i="1473" s="1"/>
  <c r="D44" i="1473"/>
  <c r="R42" i="1473"/>
  <c r="L6" i="1473" s="1"/>
  <c r="D6" i="1473" s="1"/>
  <c r="D42" i="1473"/>
  <c r="R41" i="1473"/>
  <c r="L7" i="1473" s="1"/>
  <c r="D7" i="1473" s="1"/>
  <c r="D41" i="1473"/>
  <c r="R40" i="1473"/>
  <c r="D40" i="1473"/>
  <c r="R39" i="1473"/>
  <c r="H39" i="1473"/>
  <c r="D39" i="1473"/>
  <c r="R38" i="1473"/>
  <c r="H38" i="1473"/>
  <c r="D38" i="1473"/>
  <c r="R37" i="1473"/>
  <c r="H37" i="1473"/>
  <c r="D37" i="1473"/>
  <c r="R36" i="1473"/>
  <c r="L10" i="1473" s="1"/>
  <c r="D10" i="1473" s="1"/>
  <c r="H36" i="1473"/>
  <c r="D36" i="1473"/>
  <c r="R35" i="1473"/>
  <c r="H35" i="1473"/>
  <c r="D35" i="1473"/>
  <c r="R34" i="1473"/>
  <c r="H34" i="1473"/>
  <c r="G49" i="1473" s="1"/>
  <c r="D34" i="1473"/>
  <c r="D54" i="1473" s="1"/>
  <c r="H14" i="1473" s="1"/>
  <c r="R33" i="1473"/>
  <c r="R32" i="1473"/>
  <c r="R31" i="1473"/>
  <c r="R30" i="1473"/>
  <c r="R29" i="1473"/>
  <c r="R28" i="1473"/>
  <c r="L16" i="1473" s="1"/>
  <c r="D16" i="1473" s="1"/>
  <c r="D28" i="1473"/>
  <c r="R27" i="1473"/>
  <c r="D27" i="1473"/>
  <c r="R26" i="1473"/>
  <c r="L26" i="1473"/>
  <c r="D26" i="1473"/>
  <c r="R25" i="1473"/>
  <c r="L25" i="1473"/>
  <c r="D25" i="1473"/>
  <c r="R24" i="1473"/>
  <c r="L24" i="1473"/>
  <c r="D24" i="1473"/>
  <c r="R23" i="1473"/>
  <c r="D23" i="1473"/>
  <c r="R22" i="1473"/>
  <c r="D22" i="1473"/>
  <c r="R21" i="1473"/>
  <c r="D21" i="1473"/>
  <c r="R20" i="1473"/>
  <c r="L20" i="1473"/>
  <c r="D20" i="1473" s="1"/>
  <c r="R19" i="1473"/>
  <c r="D19" i="1473"/>
  <c r="R18" i="1473"/>
  <c r="D18" i="1473"/>
  <c r="R17" i="1473"/>
  <c r="L17" i="1473"/>
  <c r="D17" i="1473"/>
  <c r="R16" i="1473"/>
  <c r="R15" i="1473"/>
  <c r="D15" i="1473"/>
  <c r="R14" i="1473"/>
  <c r="D14" i="1473"/>
  <c r="R13" i="1473"/>
  <c r="D13" i="1473"/>
  <c r="R12" i="1473"/>
  <c r="L12" i="1473"/>
  <c r="D12" i="1473"/>
  <c r="R11" i="1473"/>
  <c r="L11" i="1473"/>
  <c r="D11" i="1473"/>
  <c r="L9" i="1473"/>
  <c r="D9" i="1473" s="1"/>
  <c r="L8" i="1473"/>
  <c r="D8" i="1473"/>
  <c r="R6" i="1473"/>
  <c r="R5" i="1473"/>
  <c r="R4" i="1473"/>
  <c r="R52" i="1472"/>
  <c r="R51" i="1472"/>
  <c r="D50" i="1472"/>
  <c r="R49" i="1472"/>
  <c r="G49" i="1472"/>
  <c r="D49" i="1472"/>
  <c r="R48" i="1472"/>
  <c r="D48" i="1472"/>
  <c r="D46" i="1472"/>
  <c r="D45" i="1472"/>
  <c r="D44" i="1472"/>
  <c r="R42" i="1472"/>
  <c r="D42" i="1472"/>
  <c r="R41" i="1472"/>
  <c r="L7" i="1472" s="1"/>
  <c r="D7" i="1472" s="1"/>
  <c r="D41" i="1472"/>
  <c r="R40" i="1472"/>
  <c r="L8" i="1472" s="1"/>
  <c r="D8" i="1472" s="1"/>
  <c r="D40" i="1472"/>
  <c r="R39" i="1472"/>
  <c r="D39" i="1472"/>
  <c r="R38" i="1472"/>
  <c r="L9" i="1472" s="1"/>
  <c r="D9" i="1472" s="1"/>
  <c r="D38" i="1472"/>
  <c r="R37" i="1472"/>
  <c r="D37" i="1472"/>
  <c r="D54" i="1472" s="1"/>
  <c r="H14" i="1472" s="1"/>
  <c r="R36" i="1472"/>
  <c r="L10" i="1472" s="1"/>
  <c r="D10" i="1472" s="1"/>
  <c r="D36" i="1472"/>
  <c r="R35" i="1472"/>
  <c r="D35" i="1472"/>
  <c r="R34" i="1472"/>
  <c r="L12" i="1472" s="1"/>
  <c r="D12" i="1472" s="1"/>
  <c r="D34" i="1472"/>
  <c r="R33" i="1472"/>
  <c r="L23" i="1472" s="1"/>
  <c r="D23" i="1472" s="1"/>
  <c r="R32" i="1472"/>
  <c r="R31" i="1472"/>
  <c r="R30" i="1472"/>
  <c r="R29" i="1472"/>
  <c r="R28" i="1472"/>
  <c r="L16" i="1472" s="1"/>
  <c r="D16" i="1472" s="1"/>
  <c r="D28" i="1472"/>
  <c r="R27" i="1472"/>
  <c r="D27" i="1472"/>
  <c r="R26" i="1472"/>
  <c r="L26" i="1472"/>
  <c r="D26" i="1472"/>
  <c r="R25" i="1472"/>
  <c r="L25" i="1472"/>
  <c r="D25" i="1472"/>
  <c r="R24" i="1472"/>
  <c r="D24" i="1472"/>
  <c r="R23" i="1472"/>
  <c r="R22" i="1472"/>
  <c r="L22" i="1472"/>
  <c r="D22" i="1472"/>
  <c r="R21" i="1472"/>
  <c r="D21" i="1472"/>
  <c r="R20" i="1472"/>
  <c r="L20" i="1472"/>
  <c r="D20" i="1472"/>
  <c r="R19" i="1472"/>
  <c r="L19" i="1472"/>
  <c r="D19" i="1472"/>
  <c r="R18" i="1472"/>
  <c r="D18" i="1472"/>
  <c r="R17" i="1472"/>
  <c r="D17" i="1472"/>
  <c r="R16" i="1472"/>
  <c r="S15" i="1472"/>
  <c r="R15" i="1472"/>
  <c r="D15" i="1472"/>
  <c r="S14" i="1472"/>
  <c r="R14" i="1472"/>
  <c r="D14" i="1472"/>
  <c r="R13" i="1472"/>
  <c r="D13" i="1472"/>
  <c r="R12" i="1472"/>
  <c r="R11" i="1472"/>
  <c r="L11" i="1472"/>
  <c r="D11" i="1472"/>
  <c r="R6" i="1472"/>
  <c r="L6" i="1472"/>
  <c r="D6" i="1472" s="1"/>
  <c r="R5" i="1472"/>
  <c r="R4" i="1472"/>
  <c r="D29" i="1496" l="1"/>
  <c r="H13" i="1496" s="1"/>
  <c r="H15" i="1496" s="1"/>
  <c r="H29" i="1496" s="1"/>
  <c r="G51" i="1496" s="1"/>
  <c r="D29" i="1495"/>
  <c r="H13" i="1495" s="1"/>
  <c r="H15" i="1495" s="1"/>
  <c r="H29" i="1495" s="1"/>
  <c r="G51" i="1495" s="1"/>
  <c r="G51" i="1494"/>
  <c r="D29" i="1494"/>
  <c r="H13" i="1494" s="1"/>
  <c r="H15" i="1494" s="1"/>
  <c r="H29" i="1494" s="1"/>
  <c r="D29" i="1493"/>
  <c r="H13" i="1493" s="1"/>
  <c r="H15" i="1493" s="1"/>
  <c r="H29" i="1493" s="1"/>
  <c r="G51" i="1493" s="1"/>
  <c r="D29" i="1492"/>
  <c r="H13" i="1492" s="1"/>
  <c r="H15" i="1492" s="1"/>
  <c r="H29" i="1492" s="1"/>
  <c r="G51" i="1492"/>
  <c r="D29" i="1491"/>
  <c r="H13" i="1491" s="1"/>
  <c r="H15" i="1491" s="1"/>
  <c r="H29" i="1491" s="1"/>
  <c r="G51" i="1491" s="1"/>
  <c r="D29" i="1490"/>
  <c r="H13" i="1490" s="1"/>
  <c r="H15" i="1490" s="1"/>
  <c r="H29" i="1490" s="1"/>
  <c r="G51" i="1490" s="1"/>
  <c r="G51" i="1489"/>
  <c r="D29" i="1488"/>
  <c r="H13" i="1488" s="1"/>
  <c r="H15" i="1488" s="1"/>
  <c r="H29" i="1488" s="1"/>
  <c r="G51" i="1488"/>
  <c r="H15" i="1487"/>
  <c r="H29" i="1487" s="1"/>
  <c r="G51" i="1487"/>
  <c r="D29" i="1486"/>
  <c r="H13" i="1486" s="1"/>
  <c r="H15" i="1486" s="1"/>
  <c r="H29" i="1486" s="1"/>
  <c r="G51" i="1486" s="1"/>
  <c r="D29" i="1485"/>
  <c r="H13" i="1485" s="1"/>
  <c r="H15" i="1485" s="1"/>
  <c r="H29" i="1485" s="1"/>
  <c r="G51" i="1485"/>
  <c r="D29" i="1484"/>
  <c r="H13" i="1484" s="1"/>
  <c r="H15" i="1484" s="1"/>
  <c r="H29" i="1484" s="1"/>
  <c r="G51" i="1484" s="1"/>
  <c r="D29" i="1483"/>
  <c r="H13" i="1483" s="1"/>
  <c r="H15" i="1483" s="1"/>
  <c r="H29" i="1483" s="1"/>
  <c r="G51" i="1483" s="1"/>
  <c r="D29" i="1482"/>
  <c r="H13" i="1482" s="1"/>
  <c r="H15" i="1482" s="1"/>
  <c r="H29" i="1482" s="1"/>
  <c r="G51" i="1482" s="1"/>
  <c r="D29" i="1481"/>
  <c r="H13" i="1481" s="1"/>
  <c r="H15" i="1481" s="1"/>
  <c r="H29" i="1481" s="1"/>
  <c r="G51" i="1481"/>
  <c r="D29" i="1479"/>
  <c r="H13" i="1479" s="1"/>
  <c r="H15" i="1479" s="1"/>
  <c r="H29" i="1479" s="1"/>
  <c r="G51" i="1479" s="1"/>
  <c r="D29" i="1478"/>
  <c r="H13" i="1478" s="1"/>
  <c r="H15" i="1478" s="1"/>
  <c r="H29" i="1478" s="1"/>
  <c r="G51" i="1478" s="1"/>
  <c r="D29" i="1477"/>
  <c r="H13" i="1477" s="1"/>
  <c r="H15" i="1477" s="1"/>
  <c r="H29" i="1477" s="1"/>
  <c r="G51" i="1477" s="1"/>
  <c r="D29" i="1476"/>
  <c r="H13" i="1476" s="1"/>
  <c r="H15" i="1476" s="1"/>
  <c r="H29" i="1476" s="1"/>
  <c r="G51" i="1476" s="1"/>
  <c r="G51" i="1475"/>
  <c r="D29" i="1475"/>
  <c r="H13" i="1475" s="1"/>
  <c r="H15" i="1475" s="1"/>
  <c r="H29" i="1475" s="1"/>
  <c r="D29" i="1474"/>
  <c r="H13" i="1474" s="1"/>
  <c r="H15" i="1474" s="1"/>
  <c r="H29" i="1474" s="1"/>
  <c r="G51" i="1474" s="1"/>
  <c r="D29" i="1473"/>
  <c r="H13" i="1473" s="1"/>
  <c r="H15" i="1473" s="1"/>
  <c r="H29" i="1473" s="1"/>
  <c r="G51" i="1473"/>
  <c r="D29" i="1472"/>
  <c r="H13" i="1472" s="1"/>
  <c r="H15" i="1472" s="1"/>
  <c r="H29" i="1472" s="1"/>
  <c r="G51" i="1472"/>
  <c r="L25" i="1454"/>
  <c r="H16" i="1458" l="1"/>
  <c r="C21" i="1453" l="1"/>
  <c r="C12" i="1450" l="1"/>
  <c r="H16" i="1471"/>
  <c r="H16" i="1450"/>
  <c r="R52" i="1471"/>
  <c r="R51" i="1471"/>
  <c r="D50" i="1471"/>
  <c r="R49" i="1471"/>
  <c r="D49" i="1471"/>
  <c r="R48" i="1471"/>
  <c r="D48" i="1471"/>
  <c r="D46" i="1471"/>
  <c r="D45" i="1471"/>
  <c r="D44" i="1471"/>
  <c r="R42" i="1471"/>
  <c r="L6" i="1471" s="1"/>
  <c r="D6" i="1471" s="1"/>
  <c r="D42" i="1471"/>
  <c r="R41" i="1471"/>
  <c r="L7" i="1471" s="1"/>
  <c r="D7" i="1471" s="1"/>
  <c r="D41" i="1471"/>
  <c r="R40" i="1471"/>
  <c r="D40" i="1471"/>
  <c r="R39" i="1471"/>
  <c r="H39" i="1471"/>
  <c r="D39" i="1471"/>
  <c r="R38" i="1471"/>
  <c r="H38" i="1471"/>
  <c r="D38" i="1471"/>
  <c r="R37" i="1471"/>
  <c r="H37" i="1471"/>
  <c r="D37" i="1471"/>
  <c r="R36" i="1471"/>
  <c r="H36" i="1471"/>
  <c r="D36" i="1471"/>
  <c r="R35" i="1471"/>
  <c r="L19" i="1471" s="1"/>
  <c r="D19" i="1471" s="1"/>
  <c r="H35" i="1471"/>
  <c r="D35" i="1471"/>
  <c r="R34" i="1471"/>
  <c r="H34" i="1471"/>
  <c r="D34" i="1471"/>
  <c r="R33" i="1471"/>
  <c r="L23" i="1471" s="1"/>
  <c r="D23" i="1471" s="1"/>
  <c r="R32" i="1471"/>
  <c r="L11" i="1471" s="1"/>
  <c r="D11" i="1471" s="1"/>
  <c r="R31" i="1471"/>
  <c r="R30" i="1471"/>
  <c r="R29" i="1471"/>
  <c r="R28" i="1471"/>
  <c r="L16" i="1471" s="1"/>
  <c r="D16" i="1471" s="1"/>
  <c r="D28" i="1471"/>
  <c r="R27" i="1471"/>
  <c r="D27" i="1471"/>
  <c r="R26" i="1471"/>
  <c r="L26" i="1471"/>
  <c r="D26" i="1471"/>
  <c r="R25" i="1471"/>
  <c r="L25" i="1471"/>
  <c r="D25" i="1471"/>
  <c r="R24" i="1471"/>
  <c r="D24" i="1471"/>
  <c r="R23" i="1471"/>
  <c r="R22" i="1471"/>
  <c r="L22" i="1471"/>
  <c r="D22" i="1471"/>
  <c r="R21" i="1471"/>
  <c r="D21" i="1471"/>
  <c r="R20" i="1471"/>
  <c r="L20" i="1471"/>
  <c r="D20" i="1471"/>
  <c r="R19" i="1471"/>
  <c r="R18" i="1471"/>
  <c r="D18" i="1471"/>
  <c r="R17" i="1471"/>
  <c r="D17" i="1471"/>
  <c r="R16" i="1471"/>
  <c r="R15" i="1471"/>
  <c r="D15" i="1471"/>
  <c r="R14" i="1471"/>
  <c r="D14" i="1471"/>
  <c r="R13" i="1471"/>
  <c r="D13" i="1471"/>
  <c r="R12" i="1471"/>
  <c r="L12" i="1471"/>
  <c r="D12" i="1471" s="1"/>
  <c r="R11" i="1471"/>
  <c r="L10" i="1471"/>
  <c r="D10" i="1471" s="1"/>
  <c r="L9" i="1471"/>
  <c r="D9" i="1471"/>
  <c r="L8" i="1471"/>
  <c r="D8" i="1471"/>
  <c r="R6" i="1471"/>
  <c r="R5" i="1471"/>
  <c r="R4" i="1471"/>
  <c r="H16" i="1449"/>
  <c r="D54" i="1471" l="1"/>
  <c r="H14" i="1471" s="1"/>
  <c r="D29" i="1471"/>
  <c r="H13" i="1471" s="1"/>
  <c r="G49" i="1471"/>
  <c r="H16" i="1429"/>
  <c r="H16" i="1428"/>
  <c r="H15" i="1471" l="1"/>
  <c r="H29" i="1471" s="1"/>
  <c r="G51" i="1471" s="1"/>
  <c r="C12" i="1429"/>
  <c r="C19" i="1427"/>
  <c r="C12" i="1427"/>
  <c r="C13" i="1427"/>
  <c r="C21" i="1427"/>
  <c r="R52" i="1470" l="1"/>
  <c r="R51" i="1470"/>
  <c r="D50" i="1470"/>
  <c r="R49" i="1470"/>
  <c r="D49" i="1470"/>
  <c r="R48" i="1470"/>
  <c r="D48" i="1470"/>
  <c r="D46" i="1470"/>
  <c r="D45" i="1470"/>
  <c r="D44" i="1470"/>
  <c r="R42" i="1470"/>
  <c r="D42" i="1470"/>
  <c r="R41" i="1470"/>
  <c r="D41" i="1470"/>
  <c r="R40" i="1470"/>
  <c r="L8" i="1470" s="1"/>
  <c r="D8" i="1470" s="1"/>
  <c r="D40" i="1470"/>
  <c r="R39" i="1470"/>
  <c r="H39" i="1470"/>
  <c r="D39" i="1470"/>
  <c r="R38" i="1470"/>
  <c r="L9" i="1470" s="1"/>
  <c r="D9" i="1470" s="1"/>
  <c r="H38" i="1470"/>
  <c r="D38" i="1470"/>
  <c r="R37" i="1470"/>
  <c r="H37" i="1470"/>
  <c r="D37" i="1470"/>
  <c r="R36" i="1470"/>
  <c r="H36" i="1470"/>
  <c r="D36" i="1470"/>
  <c r="R35" i="1470"/>
  <c r="H35" i="1470"/>
  <c r="D35" i="1470"/>
  <c r="R34" i="1470"/>
  <c r="H34" i="1470"/>
  <c r="G49" i="1470" s="1"/>
  <c r="D34" i="1470"/>
  <c r="D54" i="1470" s="1"/>
  <c r="H14" i="1470" s="1"/>
  <c r="R33" i="1470"/>
  <c r="L23" i="1470" s="1"/>
  <c r="D23" i="1470" s="1"/>
  <c r="R32" i="1470"/>
  <c r="L11" i="1470" s="1"/>
  <c r="D11" i="1470" s="1"/>
  <c r="R31" i="1470"/>
  <c r="R30" i="1470"/>
  <c r="R29" i="1470"/>
  <c r="R28" i="1470"/>
  <c r="L16" i="1470" s="1"/>
  <c r="D16" i="1470" s="1"/>
  <c r="D28" i="1470"/>
  <c r="R27" i="1470"/>
  <c r="D27" i="1470"/>
  <c r="R26" i="1470"/>
  <c r="L26" i="1470"/>
  <c r="D26" i="1470"/>
  <c r="R25" i="1470"/>
  <c r="L25" i="1470"/>
  <c r="D25" i="1470"/>
  <c r="R24" i="1470"/>
  <c r="D24" i="1470"/>
  <c r="R23" i="1470"/>
  <c r="R22" i="1470"/>
  <c r="L22" i="1470"/>
  <c r="D22" i="1470" s="1"/>
  <c r="R21" i="1470"/>
  <c r="D21" i="1470"/>
  <c r="R20" i="1470"/>
  <c r="L20" i="1470"/>
  <c r="D20" i="1470"/>
  <c r="R19" i="1470"/>
  <c r="L19" i="1470"/>
  <c r="D19" i="1470"/>
  <c r="R18" i="1470"/>
  <c r="D18" i="1470"/>
  <c r="R17" i="1470"/>
  <c r="D17" i="1470"/>
  <c r="R16" i="1470"/>
  <c r="R15" i="1470"/>
  <c r="D15" i="1470"/>
  <c r="R14" i="1470"/>
  <c r="D14" i="1470"/>
  <c r="R13" i="1470"/>
  <c r="D13" i="1470"/>
  <c r="R12" i="1470"/>
  <c r="L12" i="1470"/>
  <c r="D12" i="1470" s="1"/>
  <c r="R11" i="1470"/>
  <c r="L10" i="1470"/>
  <c r="D10" i="1470" s="1"/>
  <c r="L7" i="1470"/>
  <c r="D7" i="1470"/>
  <c r="R6" i="1470"/>
  <c r="L6" i="1470"/>
  <c r="D6" i="1470" s="1"/>
  <c r="R5" i="1470"/>
  <c r="R4" i="1470"/>
  <c r="R52" i="1469"/>
  <c r="R51" i="1469"/>
  <c r="D50" i="1469"/>
  <c r="R49" i="1469"/>
  <c r="D49" i="1469"/>
  <c r="R48" i="1469"/>
  <c r="D48" i="1469"/>
  <c r="D46" i="1469"/>
  <c r="D45" i="1469"/>
  <c r="D44" i="1469"/>
  <c r="R42" i="1469"/>
  <c r="L6" i="1469" s="1"/>
  <c r="D6" i="1469" s="1"/>
  <c r="D42" i="1469"/>
  <c r="R41" i="1469"/>
  <c r="L7" i="1469" s="1"/>
  <c r="D7" i="1469" s="1"/>
  <c r="D41" i="1469"/>
  <c r="R40" i="1469"/>
  <c r="L8" i="1469" s="1"/>
  <c r="D8" i="1469" s="1"/>
  <c r="D40" i="1469"/>
  <c r="R39" i="1469"/>
  <c r="H39" i="1469"/>
  <c r="D39" i="1469"/>
  <c r="R38" i="1469"/>
  <c r="L9" i="1469" s="1"/>
  <c r="D9" i="1469" s="1"/>
  <c r="H38" i="1469"/>
  <c r="D38" i="1469"/>
  <c r="R37" i="1469"/>
  <c r="H37" i="1469"/>
  <c r="D37" i="1469"/>
  <c r="R36" i="1469"/>
  <c r="H36" i="1469"/>
  <c r="G49" i="1469" s="1"/>
  <c r="D36" i="1469"/>
  <c r="R35" i="1469"/>
  <c r="L19" i="1469" s="1"/>
  <c r="D19" i="1469" s="1"/>
  <c r="H35" i="1469"/>
  <c r="D35" i="1469"/>
  <c r="R34" i="1469"/>
  <c r="H34" i="1469"/>
  <c r="D34" i="1469"/>
  <c r="D54" i="1469" s="1"/>
  <c r="H14" i="1469" s="1"/>
  <c r="R33" i="1469"/>
  <c r="L23" i="1469" s="1"/>
  <c r="D23" i="1469" s="1"/>
  <c r="R32" i="1469"/>
  <c r="R31" i="1469"/>
  <c r="R30" i="1469"/>
  <c r="R29" i="1469"/>
  <c r="R28" i="1469"/>
  <c r="D28" i="1469"/>
  <c r="R27" i="1469"/>
  <c r="D27" i="1469"/>
  <c r="R26" i="1469"/>
  <c r="L26" i="1469"/>
  <c r="D26" i="1469" s="1"/>
  <c r="R25" i="1469"/>
  <c r="L25" i="1469"/>
  <c r="D25" i="1469" s="1"/>
  <c r="R24" i="1469"/>
  <c r="L24" i="1469"/>
  <c r="D24" i="1469" s="1"/>
  <c r="R23" i="1469"/>
  <c r="R22" i="1469"/>
  <c r="L22" i="1469"/>
  <c r="D22" i="1469"/>
  <c r="R21" i="1469"/>
  <c r="L17" i="1469" s="1"/>
  <c r="D17" i="1469" s="1"/>
  <c r="D21" i="1469"/>
  <c r="R20" i="1469"/>
  <c r="L20" i="1469"/>
  <c r="D20" i="1469" s="1"/>
  <c r="R19" i="1469"/>
  <c r="R18" i="1469"/>
  <c r="D18" i="1469"/>
  <c r="R17" i="1469"/>
  <c r="R16" i="1469"/>
  <c r="L16" i="1469"/>
  <c r="D16" i="1469"/>
  <c r="R15" i="1469"/>
  <c r="D15" i="1469"/>
  <c r="R14" i="1469"/>
  <c r="D14" i="1469"/>
  <c r="R13" i="1469"/>
  <c r="D13" i="1469"/>
  <c r="R12" i="1469"/>
  <c r="L12" i="1469"/>
  <c r="D12" i="1469" s="1"/>
  <c r="R11" i="1469"/>
  <c r="L11" i="1469"/>
  <c r="D11" i="1469"/>
  <c r="L10" i="1469"/>
  <c r="D10" i="1469"/>
  <c r="R6" i="1469"/>
  <c r="R5" i="1469"/>
  <c r="R4" i="1469"/>
  <c r="R52" i="1468"/>
  <c r="R51" i="1468"/>
  <c r="D50" i="1468"/>
  <c r="R49" i="1468"/>
  <c r="D49" i="1468"/>
  <c r="R48" i="1468"/>
  <c r="D48" i="1468"/>
  <c r="D46" i="1468"/>
  <c r="D45" i="1468"/>
  <c r="P44" i="1468"/>
  <c r="R44" i="1468" s="1"/>
  <c r="D44" i="1468"/>
  <c r="R42" i="1468"/>
  <c r="L6" i="1468" s="1"/>
  <c r="D6" i="1468" s="1"/>
  <c r="D42" i="1468"/>
  <c r="R41" i="1468"/>
  <c r="D41" i="1468"/>
  <c r="R40" i="1468"/>
  <c r="D40" i="1468"/>
  <c r="R39" i="1468"/>
  <c r="L20" i="1468" s="1"/>
  <c r="D20" i="1468" s="1"/>
  <c r="H39" i="1468"/>
  <c r="D39" i="1468"/>
  <c r="R38" i="1468"/>
  <c r="H38" i="1468"/>
  <c r="D38" i="1468"/>
  <c r="R37" i="1468"/>
  <c r="H37" i="1468"/>
  <c r="D37" i="1468"/>
  <c r="R36" i="1468"/>
  <c r="H36" i="1468"/>
  <c r="D36" i="1468"/>
  <c r="R35" i="1468"/>
  <c r="H35" i="1468"/>
  <c r="D35" i="1468"/>
  <c r="R34" i="1468"/>
  <c r="L12" i="1468" s="1"/>
  <c r="D12" i="1468" s="1"/>
  <c r="H34" i="1468"/>
  <c r="G49" i="1468" s="1"/>
  <c r="D34" i="1468"/>
  <c r="D54" i="1468" s="1"/>
  <c r="H14" i="1468" s="1"/>
  <c r="R33" i="1468"/>
  <c r="R32" i="1468"/>
  <c r="R31" i="1468"/>
  <c r="R30" i="1468"/>
  <c r="R29" i="1468"/>
  <c r="R28" i="1468"/>
  <c r="D28" i="1468"/>
  <c r="R27" i="1468"/>
  <c r="D27" i="1468"/>
  <c r="R26" i="1468"/>
  <c r="L26" i="1468"/>
  <c r="D26" i="1468"/>
  <c r="R25" i="1468"/>
  <c r="L25" i="1468"/>
  <c r="D25" i="1468"/>
  <c r="R24" i="1468"/>
  <c r="L24" i="1468"/>
  <c r="D24" i="1468" s="1"/>
  <c r="R23" i="1468"/>
  <c r="D23" i="1468"/>
  <c r="R22" i="1468"/>
  <c r="D22" i="1468"/>
  <c r="R21" i="1468"/>
  <c r="D21" i="1468"/>
  <c r="R20" i="1468"/>
  <c r="R19" i="1468"/>
  <c r="D19" i="1468"/>
  <c r="R18" i="1468"/>
  <c r="D18" i="1468"/>
  <c r="R17" i="1468"/>
  <c r="L17" i="1468"/>
  <c r="D17" i="1468" s="1"/>
  <c r="R16" i="1468"/>
  <c r="L16" i="1468"/>
  <c r="D16" i="1468"/>
  <c r="R15" i="1468"/>
  <c r="D15" i="1468"/>
  <c r="R14" i="1468"/>
  <c r="D14" i="1468"/>
  <c r="R13" i="1468"/>
  <c r="D13" i="1468"/>
  <c r="R12" i="1468"/>
  <c r="R11" i="1468"/>
  <c r="L11" i="1468"/>
  <c r="D11" i="1468"/>
  <c r="L10" i="1468"/>
  <c r="D10" i="1468" s="1"/>
  <c r="L9" i="1468"/>
  <c r="D9" i="1468" s="1"/>
  <c r="L8" i="1468"/>
  <c r="D8" i="1468" s="1"/>
  <c r="L7" i="1468"/>
  <c r="D7" i="1468"/>
  <c r="R6" i="1468"/>
  <c r="R5" i="1468"/>
  <c r="R4" i="1468"/>
  <c r="R52" i="1467"/>
  <c r="R51" i="1467"/>
  <c r="D50" i="1467"/>
  <c r="R49" i="1467"/>
  <c r="G49" i="1467"/>
  <c r="D49" i="1467"/>
  <c r="R48" i="1467"/>
  <c r="D48" i="1467"/>
  <c r="D46" i="1467"/>
  <c r="D45" i="1467"/>
  <c r="D44" i="1467"/>
  <c r="R42" i="1467"/>
  <c r="D42" i="1467"/>
  <c r="R41" i="1467"/>
  <c r="L7" i="1467" s="1"/>
  <c r="D7" i="1467" s="1"/>
  <c r="D41" i="1467"/>
  <c r="R40" i="1467"/>
  <c r="L8" i="1467" s="1"/>
  <c r="D8" i="1467" s="1"/>
  <c r="D40" i="1467"/>
  <c r="R39" i="1467"/>
  <c r="D39" i="1467"/>
  <c r="R38" i="1467"/>
  <c r="L9" i="1467" s="1"/>
  <c r="D9" i="1467" s="1"/>
  <c r="D38" i="1467"/>
  <c r="R37" i="1467"/>
  <c r="D37" i="1467"/>
  <c r="R36" i="1467"/>
  <c r="D36" i="1467"/>
  <c r="R35" i="1467"/>
  <c r="D35" i="1467"/>
  <c r="R34" i="1467"/>
  <c r="L12" i="1467" s="1"/>
  <c r="D12" i="1467" s="1"/>
  <c r="D34" i="1467"/>
  <c r="D54" i="1467" s="1"/>
  <c r="H14" i="1467" s="1"/>
  <c r="R33" i="1467"/>
  <c r="L23" i="1467" s="1"/>
  <c r="D23" i="1467" s="1"/>
  <c r="R32" i="1467"/>
  <c r="L11" i="1467" s="1"/>
  <c r="D11" i="1467" s="1"/>
  <c r="R31" i="1467"/>
  <c r="R30" i="1467"/>
  <c r="R29" i="1467"/>
  <c r="R28" i="1467"/>
  <c r="D28" i="1467"/>
  <c r="R27" i="1467"/>
  <c r="D27" i="1467"/>
  <c r="R26" i="1467"/>
  <c r="L26" i="1467"/>
  <c r="D26" i="1467" s="1"/>
  <c r="R25" i="1467"/>
  <c r="L25" i="1467"/>
  <c r="D25" i="1467"/>
  <c r="R24" i="1467"/>
  <c r="D24" i="1467"/>
  <c r="R23" i="1467"/>
  <c r="R22" i="1467"/>
  <c r="L22" i="1467"/>
  <c r="D22" i="1467" s="1"/>
  <c r="R21" i="1467"/>
  <c r="D21" i="1467"/>
  <c r="R20" i="1467"/>
  <c r="L20" i="1467"/>
  <c r="D20" i="1467"/>
  <c r="R19" i="1467"/>
  <c r="L19" i="1467"/>
  <c r="D19" i="1467"/>
  <c r="R18" i="1467"/>
  <c r="D18" i="1467"/>
  <c r="R17" i="1467"/>
  <c r="D17" i="1467"/>
  <c r="R16" i="1467"/>
  <c r="L16" i="1467"/>
  <c r="D16" i="1467" s="1"/>
  <c r="S15" i="1467"/>
  <c r="R15" i="1467"/>
  <c r="D15" i="1467"/>
  <c r="S14" i="1467"/>
  <c r="R14" i="1467"/>
  <c r="D14" i="1467"/>
  <c r="R13" i="1467"/>
  <c r="D13" i="1467"/>
  <c r="R12" i="1467"/>
  <c r="R11" i="1467"/>
  <c r="L10" i="1467"/>
  <c r="D10" i="1467" s="1"/>
  <c r="R6" i="1467"/>
  <c r="L6" i="1467"/>
  <c r="D6" i="1467"/>
  <c r="D29" i="1467" s="1"/>
  <c r="H13" i="1467" s="1"/>
  <c r="H15" i="1467" s="1"/>
  <c r="H29" i="1467" s="1"/>
  <c r="R5" i="1467"/>
  <c r="R4" i="1467"/>
  <c r="R52" i="1466"/>
  <c r="R51" i="1466"/>
  <c r="D50" i="1466"/>
  <c r="R49" i="1466"/>
  <c r="D49" i="1466"/>
  <c r="R48" i="1466"/>
  <c r="D48" i="1466"/>
  <c r="D46" i="1466"/>
  <c r="D45" i="1466"/>
  <c r="D44" i="1466"/>
  <c r="R42" i="1466"/>
  <c r="D42" i="1466"/>
  <c r="R41" i="1466"/>
  <c r="D41" i="1466"/>
  <c r="R40" i="1466"/>
  <c r="L8" i="1466" s="1"/>
  <c r="D8" i="1466" s="1"/>
  <c r="D40" i="1466"/>
  <c r="R39" i="1466"/>
  <c r="H39" i="1466"/>
  <c r="G49" i="1466" s="1"/>
  <c r="D39" i="1466"/>
  <c r="R38" i="1466"/>
  <c r="L9" i="1466" s="1"/>
  <c r="D9" i="1466" s="1"/>
  <c r="H38" i="1466"/>
  <c r="D38" i="1466"/>
  <c r="R37" i="1466"/>
  <c r="H37" i="1466"/>
  <c r="D37" i="1466"/>
  <c r="R36" i="1466"/>
  <c r="H36" i="1466"/>
  <c r="D36" i="1466"/>
  <c r="R35" i="1466"/>
  <c r="H35" i="1466"/>
  <c r="D35" i="1466"/>
  <c r="R34" i="1466"/>
  <c r="L12" i="1466" s="1"/>
  <c r="D12" i="1466" s="1"/>
  <c r="H34" i="1466"/>
  <c r="D34" i="1466"/>
  <c r="D54" i="1466" s="1"/>
  <c r="H14" i="1466" s="1"/>
  <c r="R33" i="1466"/>
  <c r="L23" i="1466" s="1"/>
  <c r="D23" i="1466" s="1"/>
  <c r="R32" i="1466"/>
  <c r="L11" i="1466" s="1"/>
  <c r="D11" i="1466" s="1"/>
  <c r="R31" i="1466"/>
  <c r="R30" i="1466"/>
  <c r="R29" i="1466"/>
  <c r="R28" i="1466"/>
  <c r="D28" i="1466"/>
  <c r="R27" i="1466"/>
  <c r="D27" i="1466"/>
  <c r="R26" i="1466"/>
  <c r="L26" i="1466"/>
  <c r="D26" i="1466"/>
  <c r="R25" i="1466"/>
  <c r="L25" i="1466"/>
  <c r="D25" i="1466" s="1"/>
  <c r="R24" i="1466"/>
  <c r="D24" i="1466"/>
  <c r="R23" i="1466"/>
  <c r="R22" i="1466"/>
  <c r="L22" i="1466"/>
  <c r="D22" i="1466"/>
  <c r="R21" i="1466"/>
  <c r="D21" i="1466"/>
  <c r="R20" i="1466"/>
  <c r="L20" i="1466"/>
  <c r="D20" i="1466"/>
  <c r="R19" i="1466"/>
  <c r="L19" i="1466"/>
  <c r="D19" i="1466" s="1"/>
  <c r="R18" i="1466"/>
  <c r="D18" i="1466"/>
  <c r="R17" i="1466"/>
  <c r="D17" i="1466"/>
  <c r="R16" i="1466"/>
  <c r="L16" i="1466"/>
  <c r="D16" i="1466" s="1"/>
  <c r="R15" i="1466"/>
  <c r="D15" i="1466"/>
  <c r="R14" i="1466"/>
  <c r="D14" i="1466"/>
  <c r="R13" i="1466"/>
  <c r="D13" i="1466"/>
  <c r="R12" i="1466"/>
  <c r="R11" i="1466"/>
  <c r="L10" i="1466"/>
  <c r="D10" i="1466"/>
  <c r="L7" i="1466"/>
  <c r="D7" i="1466"/>
  <c r="R6" i="1466"/>
  <c r="L6" i="1466"/>
  <c r="D6" i="1466"/>
  <c r="R5" i="1466"/>
  <c r="R4" i="1466"/>
  <c r="R52" i="1465"/>
  <c r="R51" i="1465"/>
  <c r="D50" i="1465"/>
  <c r="R49" i="1465"/>
  <c r="D49" i="1465"/>
  <c r="R48" i="1465"/>
  <c r="D48" i="1465"/>
  <c r="D46" i="1465"/>
  <c r="D45" i="1465"/>
  <c r="D44" i="1465"/>
  <c r="R42" i="1465"/>
  <c r="D42" i="1465"/>
  <c r="R41" i="1465"/>
  <c r="D41" i="1465"/>
  <c r="R40" i="1465"/>
  <c r="D40" i="1465"/>
  <c r="R39" i="1465"/>
  <c r="L20" i="1465" s="1"/>
  <c r="D20" i="1465" s="1"/>
  <c r="H39" i="1465"/>
  <c r="D39" i="1465"/>
  <c r="R38" i="1465"/>
  <c r="L9" i="1465" s="1"/>
  <c r="D9" i="1465" s="1"/>
  <c r="H38" i="1465"/>
  <c r="D38" i="1465"/>
  <c r="R37" i="1465"/>
  <c r="H37" i="1465"/>
  <c r="D37" i="1465"/>
  <c r="R36" i="1465"/>
  <c r="H36" i="1465"/>
  <c r="D36" i="1465"/>
  <c r="R35" i="1465"/>
  <c r="H35" i="1465"/>
  <c r="D35" i="1465"/>
  <c r="R34" i="1465"/>
  <c r="L12" i="1465" s="1"/>
  <c r="D12" i="1465" s="1"/>
  <c r="H34" i="1465"/>
  <c r="G49" i="1465" s="1"/>
  <c r="D34" i="1465"/>
  <c r="D54" i="1465" s="1"/>
  <c r="H14" i="1465" s="1"/>
  <c r="R33" i="1465"/>
  <c r="L23" i="1465" s="1"/>
  <c r="D23" i="1465" s="1"/>
  <c r="R32" i="1465"/>
  <c r="L11" i="1465" s="1"/>
  <c r="D11" i="1465" s="1"/>
  <c r="R31" i="1465"/>
  <c r="R30" i="1465"/>
  <c r="R29" i="1465"/>
  <c r="R28" i="1465"/>
  <c r="D28" i="1465"/>
  <c r="R27" i="1465"/>
  <c r="D27" i="1465"/>
  <c r="R26" i="1465"/>
  <c r="L26" i="1465"/>
  <c r="D26" i="1465"/>
  <c r="R25" i="1465"/>
  <c r="L25" i="1465"/>
  <c r="D25" i="1465"/>
  <c r="R24" i="1465"/>
  <c r="L24" i="1465"/>
  <c r="D24" i="1465" s="1"/>
  <c r="R23" i="1465"/>
  <c r="R22" i="1465"/>
  <c r="L22" i="1465"/>
  <c r="D22" i="1465" s="1"/>
  <c r="R21" i="1465"/>
  <c r="D21" i="1465"/>
  <c r="R20" i="1465"/>
  <c r="R19" i="1465"/>
  <c r="L19" i="1465"/>
  <c r="D19" i="1465" s="1"/>
  <c r="R18" i="1465"/>
  <c r="D18" i="1465"/>
  <c r="R17" i="1465"/>
  <c r="L17" i="1465"/>
  <c r="D17" i="1465"/>
  <c r="R16" i="1465"/>
  <c r="L16" i="1465"/>
  <c r="D16" i="1465" s="1"/>
  <c r="R15" i="1465"/>
  <c r="D15" i="1465"/>
  <c r="R14" i="1465"/>
  <c r="D14" i="1465"/>
  <c r="R13" i="1465"/>
  <c r="D13" i="1465"/>
  <c r="R12" i="1465"/>
  <c r="R11" i="1465"/>
  <c r="L10" i="1465"/>
  <c r="D10" i="1465"/>
  <c r="L8" i="1465"/>
  <c r="D8" i="1465"/>
  <c r="L7" i="1465"/>
  <c r="D7" i="1465"/>
  <c r="R6" i="1465"/>
  <c r="L6" i="1465"/>
  <c r="D6" i="1465" s="1"/>
  <c r="D29" i="1465" s="1"/>
  <c r="H13" i="1465" s="1"/>
  <c r="H15" i="1465" s="1"/>
  <c r="H29" i="1465" s="1"/>
  <c r="R5" i="1465"/>
  <c r="R4" i="1465"/>
  <c r="R52" i="1464"/>
  <c r="R51" i="1464"/>
  <c r="D50" i="1464"/>
  <c r="R49" i="1464"/>
  <c r="D49" i="1464"/>
  <c r="R48" i="1464"/>
  <c r="D48" i="1464"/>
  <c r="D46" i="1464"/>
  <c r="D45" i="1464"/>
  <c r="P44" i="1464"/>
  <c r="R44" i="1464" s="1"/>
  <c r="D44" i="1464"/>
  <c r="R42" i="1464"/>
  <c r="D42" i="1464"/>
  <c r="R41" i="1464"/>
  <c r="L7" i="1464" s="1"/>
  <c r="D7" i="1464" s="1"/>
  <c r="D41" i="1464"/>
  <c r="R40" i="1464"/>
  <c r="D40" i="1464"/>
  <c r="R39" i="1464"/>
  <c r="L20" i="1464" s="1"/>
  <c r="D20" i="1464" s="1"/>
  <c r="H39" i="1464"/>
  <c r="D39" i="1464"/>
  <c r="R38" i="1464"/>
  <c r="H38" i="1464"/>
  <c r="D38" i="1464"/>
  <c r="R37" i="1464"/>
  <c r="H37" i="1464"/>
  <c r="D37" i="1464"/>
  <c r="R36" i="1464"/>
  <c r="H36" i="1464"/>
  <c r="D36" i="1464"/>
  <c r="R35" i="1464"/>
  <c r="H35" i="1464"/>
  <c r="D35" i="1464"/>
  <c r="R34" i="1464"/>
  <c r="L12" i="1464" s="1"/>
  <c r="D12" i="1464" s="1"/>
  <c r="H34" i="1464"/>
  <c r="G49" i="1464" s="1"/>
  <c r="D34" i="1464"/>
  <c r="D54" i="1464" s="1"/>
  <c r="H14" i="1464" s="1"/>
  <c r="R33" i="1464"/>
  <c r="R32" i="1464"/>
  <c r="R31" i="1464"/>
  <c r="R30" i="1464"/>
  <c r="R29" i="1464"/>
  <c r="R28" i="1464"/>
  <c r="D28" i="1464"/>
  <c r="R27" i="1464"/>
  <c r="D27" i="1464"/>
  <c r="R26" i="1464"/>
  <c r="L26" i="1464"/>
  <c r="D26" i="1464"/>
  <c r="R25" i="1464"/>
  <c r="L25" i="1464"/>
  <c r="D25" i="1464" s="1"/>
  <c r="R24" i="1464"/>
  <c r="L24" i="1464"/>
  <c r="D24" i="1464"/>
  <c r="R23" i="1464"/>
  <c r="D23" i="1464"/>
  <c r="R22" i="1464"/>
  <c r="D22" i="1464"/>
  <c r="R21" i="1464"/>
  <c r="D21" i="1464"/>
  <c r="R20" i="1464"/>
  <c r="R19" i="1464"/>
  <c r="D19" i="1464"/>
  <c r="R18" i="1464"/>
  <c r="D18" i="1464"/>
  <c r="R17" i="1464"/>
  <c r="L17" i="1464"/>
  <c r="D17" i="1464"/>
  <c r="R16" i="1464"/>
  <c r="L16" i="1464"/>
  <c r="D16" i="1464" s="1"/>
  <c r="R15" i="1464"/>
  <c r="D15" i="1464"/>
  <c r="R14" i="1464"/>
  <c r="D14" i="1464"/>
  <c r="R13" i="1464"/>
  <c r="D13" i="1464"/>
  <c r="R12" i="1464"/>
  <c r="R11" i="1464"/>
  <c r="L11" i="1464"/>
  <c r="D11" i="1464"/>
  <c r="L10" i="1464"/>
  <c r="D10" i="1464" s="1"/>
  <c r="L9" i="1464"/>
  <c r="D9" i="1464" s="1"/>
  <c r="L8" i="1464"/>
  <c r="D8" i="1464" s="1"/>
  <c r="R6" i="1464"/>
  <c r="L6" i="1464"/>
  <c r="D6" i="1464" s="1"/>
  <c r="R5" i="1464"/>
  <c r="R4" i="1464"/>
  <c r="R52" i="1463"/>
  <c r="R51" i="1463"/>
  <c r="D50" i="1463"/>
  <c r="R49" i="1463"/>
  <c r="G49" i="1463"/>
  <c r="D49" i="1463"/>
  <c r="R48" i="1463"/>
  <c r="D48" i="1463"/>
  <c r="D46" i="1463"/>
  <c r="D45" i="1463"/>
  <c r="D44" i="1463"/>
  <c r="R42" i="1463"/>
  <c r="L6" i="1463" s="1"/>
  <c r="D6" i="1463" s="1"/>
  <c r="D42" i="1463"/>
  <c r="R41" i="1463"/>
  <c r="L7" i="1463" s="1"/>
  <c r="D7" i="1463" s="1"/>
  <c r="D41" i="1463"/>
  <c r="R40" i="1463"/>
  <c r="D40" i="1463"/>
  <c r="R39" i="1463"/>
  <c r="D39" i="1463"/>
  <c r="R38" i="1463"/>
  <c r="D38" i="1463"/>
  <c r="R37" i="1463"/>
  <c r="D37" i="1463"/>
  <c r="R36" i="1463"/>
  <c r="L10" i="1463" s="1"/>
  <c r="D10" i="1463" s="1"/>
  <c r="D36" i="1463"/>
  <c r="R35" i="1463"/>
  <c r="D35" i="1463"/>
  <c r="R34" i="1463"/>
  <c r="L12" i="1463" s="1"/>
  <c r="D12" i="1463" s="1"/>
  <c r="D34" i="1463"/>
  <c r="D54" i="1463" s="1"/>
  <c r="H14" i="1463" s="1"/>
  <c r="R33" i="1463"/>
  <c r="L23" i="1463" s="1"/>
  <c r="D23" i="1463" s="1"/>
  <c r="R32" i="1463"/>
  <c r="R31" i="1463"/>
  <c r="R30" i="1463"/>
  <c r="R29" i="1463"/>
  <c r="R28" i="1463"/>
  <c r="D28" i="1463"/>
  <c r="R27" i="1463"/>
  <c r="D27" i="1463"/>
  <c r="R26" i="1463"/>
  <c r="L26" i="1463"/>
  <c r="D26" i="1463" s="1"/>
  <c r="R25" i="1463"/>
  <c r="L25" i="1463"/>
  <c r="D25" i="1463"/>
  <c r="R24" i="1463"/>
  <c r="D24" i="1463"/>
  <c r="R23" i="1463"/>
  <c r="R22" i="1463"/>
  <c r="L22" i="1463"/>
  <c r="D22" i="1463"/>
  <c r="R21" i="1463"/>
  <c r="D21" i="1463"/>
  <c r="R20" i="1463"/>
  <c r="L20" i="1463"/>
  <c r="D20" i="1463" s="1"/>
  <c r="R19" i="1463"/>
  <c r="L19" i="1463"/>
  <c r="D19" i="1463"/>
  <c r="R18" i="1463"/>
  <c r="D18" i="1463"/>
  <c r="R17" i="1463"/>
  <c r="D17" i="1463"/>
  <c r="R16" i="1463"/>
  <c r="L16" i="1463"/>
  <c r="D16" i="1463" s="1"/>
  <c r="S15" i="1463"/>
  <c r="R15" i="1463"/>
  <c r="D15" i="1463"/>
  <c r="S14" i="1463"/>
  <c r="R14" i="1463"/>
  <c r="D14" i="1463"/>
  <c r="R13" i="1463"/>
  <c r="D13" i="1463"/>
  <c r="R12" i="1463"/>
  <c r="R11" i="1463"/>
  <c r="L11" i="1463"/>
  <c r="D11" i="1463"/>
  <c r="L9" i="1463"/>
  <c r="D9" i="1463"/>
  <c r="L8" i="1463"/>
  <c r="D8" i="1463"/>
  <c r="R6" i="1463"/>
  <c r="R5" i="1463"/>
  <c r="R4" i="1463"/>
  <c r="R52" i="1462"/>
  <c r="R51" i="1462"/>
  <c r="D50" i="1462"/>
  <c r="R49" i="1462"/>
  <c r="D49" i="1462"/>
  <c r="R48" i="1462"/>
  <c r="D48" i="1462"/>
  <c r="D46" i="1462"/>
  <c r="D45" i="1462"/>
  <c r="D44" i="1462"/>
  <c r="R42" i="1462"/>
  <c r="D42" i="1462"/>
  <c r="R41" i="1462"/>
  <c r="L7" i="1462" s="1"/>
  <c r="D7" i="1462" s="1"/>
  <c r="D41" i="1462"/>
  <c r="R40" i="1462"/>
  <c r="D40" i="1462"/>
  <c r="R39" i="1462"/>
  <c r="H39" i="1462"/>
  <c r="G49" i="1462" s="1"/>
  <c r="D39" i="1462"/>
  <c r="R38" i="1462"/>
  <c r="L9" i="1462" s="1"/>
  <c r="D9" i="1462" s="1"/>
  <c r="H38" i="1462"/>
  <c r="D38" i="1462"/>
  <c r="R37" i="1462"/>
  <c r="H37" i="1462"/>
  <c r="D37" i="1462"/>
  <c r="R36" i="1462"/>
  <c r="H36" i="1462"/>
  <c r="D36" i="1462"/>
  <c r="R35" i="1462"/>
  <c r="H35" i="1462"/>
  <c r="D35" i="1462"/>
  <c r="R34" i="1462"/>
  <c r="H34" i="1462"/>
  <c r="D34" i="1462"/>
  <c r="D54" i="1462" s="1"/>
  <c r="H14" i="1462" s="1"/>
  <c r="R33" i="1462"/>
  <c r="L23" i="1462" s="1"/>
  <c r="D23" i="1462" s="1"/>
  <c r="R32" i="1462"/>
  <c r="L11" i="1462" s="1"/>
  <c r="D11" i="1462" s="1"/>
  <c r="R31" i="1462"/>
  <c r="R30" i="1462"/>
  <c r="R29" i="1462"/>
  <c r="R28" i="1462"/>
  <c r="L16" i="1462" s="1"/>
  <c r="D16" i="1462" s="1"/>
  <c r="D28" i="1462"/>
  <c r="R27" i="1462"/>
  <c r="D27" i="1462"/>
  <c r="R26" i="1462"/>
  <c r="L26" i="1462"/>
  <c r="D26" i="1462"/>
  <c r="R25" i="1462"/>
  <c r="L25" i="1462"/>
  <c r="D25" i="1462"/>
  <c r="R24" i="1462"/>
  <c r="D24" i="1462"/>
  <c r="R23" i="1462"/>
  <c r="R22" i="1462"/>
  <c r="L22" i="1462"/>
  <c r="D22" i="1462"/>
  <c r="R21" i="1462"/>
  <c r="D21" i="1462"/>
  <c r="R20" i="1462"/>
  <c r="L20" i="1462"/>
  <c r="D20" i="1462"/>
  <c r="R19" i="1462"/>
  <c r="L19" i="1462"/>
  <c r="D19" i="1462"/>
  <c r="R18" i="1462"/>
  <c r="D18" i="1462"/>
  <c r="R17" i="1462"/>
  <c r="D17" i="1462"/>
  <c r="R16" i="1462"/>
  <c r="R15" i="1462"/>
  <c r="D15" i="1462"/>
  <c r="R14" i="1462"/>
  <c r="D14" i="1462"/>
  <c r="R13" i="1462"/>
  <c r="D13" i="1462"/>
  <c r="R12" i="1462"/>
  <c r="L12" i="1462"/>
  <c r="D12" i="1462" s="1"/>
  <c r="R11" i="1462"/>
  <c r="L10" i="1462"/>
  <c r="D10" i="1462"/>
  <c r="L8" i="1462"/>
  <c r="D8" i="1462" s="1"/>
  <c r="R6" i="1462"/>
  <c r="L6" i="1462"/>
  <c r="D6" i="1462" s="1"/>
  <c r="R5" i="1462"/>
  <c r="R4" i="1462"/>
  <c r="R52" i="1461"/>
  <c r="R51" i="1461"/>
  <c r="D50" i="1461"/>
  <c r="R49" i="1461"/>
  <c r="G49" i="1461"/>
  <c r="D49" i="1461"/>
  <c r="R48" i="1461"/>
  <c r="D48" i="1461"/>
  <c r="D46" i="1461"/>
  <c r="D45" i="1461"/>
  <c r="D44" i="1461"/>
  <c r="R42" i="1461"/>
  <c r="L6" i="1461" s="1"/>
  <c r="D6" i="1461" s="1"/>
  <c r="D42" i="1461"/>
  <c r="R41" i="1461"/>
  <c r="L7" i="1461" s="1"/>
  <c r="D7" i="1461" s="1"/>
  <c r="D41" i="1461"/>
  <c r="R40" i="1461"/>
  <c r="D40" i="1461"/>
  <c r="R39" i="1461"/>
  <c r="H39" i="1461"/>
  <c r="D39" i="1461"/>
  <c r="R38" i="1461"/>
  <c r="L9" i="1461" s="1"/>
  <c r="D9" i="1461" s="1"/>
  <c r="H38" i="1461"/>
  <c r="D38" i="1461"/>
  <c r="R37" i="1461"/>
  <c r="H37" i="1461"/>
  <c r="D37" i="1461"/>
  <c r="R36" i="1461"/>
  <c r="L10" i="1461" s="1"/>
  <c r="D10" i="1461" s="1"/>
  <c r="H36" i="1461"/>
  <c r="D36" i="1461"/>
  <c r="R35" i="1461"/>
  <c r="L19" i="1461" s="1"/>
  <c r="D19" i="1461" s="1"/>
  <c r="H35" i="1461"/>
  <c r="D35" i="1461"/>
  <c r="R34" i="1461"/>
  <c r="L12" i="1461" s="1"/>
  <c r="D12" i="1461" s="1"/>
  <c r="H34" i="1461"/>
  <c r="D34" i="1461"/>
  <c r="D54" i="1461" s="1"/>
  <c r="H14" i="1461" s="1"/>
  <c r="R33" i="1461"/>
  <c r="R32" i="1461"/>
  <c r="R31" i="1461"/>
  <c r="R30" i="1461"/>
  <c r="R29" i="1461"/>
  <c r="R28" i="1461"/>
  <c r="L16" i="1461" s="1"/>
  <c r="D16" i="1461" s="1"/>
  <c r="D28" i="1461"/>
  <c r="R27" i="1461"/>
  <c r="D27" i="1461"/>
  <c r="R26" i="1461"/>
  <c r="L26" i="1461"/>
  <c r="D26" i="1461" s="1"/>
  <c r="R25" i="1461"/>
  <c r="L25" i="1461"/>
  <c r="D25" i="1461"/>
  <c r="R24" i="1461"/>
  <c r="L24" i="1461"/>
  <c r="D24" i="1461"/>
  <c r="R23" i="1461"/>
  <c r="L23" i="1461"/>
  <c r="D23" i="1461"/>
  <c r="R22" i="1461"/>
  <c r="L22" i="1461"/>
  <c r="D22" i="1461"/>
  <c r="R21" i="1461"/>
  <c r="L17" i="1461" s="1"/>
  <c r="D17" i="1461" s="1"/>
  <c r="D21" i="1461"/>
  <c r="R20" i="1461"/>
  <c r="L20" i="1461"/>
  <c r="D20" i="1461" s="1"/>
  <c r="R19" i="1461"/>
  <c r="R18" i="1461"/>
  <c r="D18" i="1461"/>
  <c r="R17" i="1461"/>
  <c r="R16" i="1461"/>
  <c r="R15" i="1461"/>
  <c r="D15" i="1461"/>
  <c r="R14" i="1461"/>
  <c r="D14" i="1461"/>
  <c r="R13" i="1461"/>
  <c r="D13" i="1461"/>
  <c r="R12" i="1461"/>
  <c r="R11" i="1461"/>
  <c r="L11" i="1461"/>
  <c r="D11" i="1461" s="1"/>
  <c r="L8" i="1461"/>
  <c r="D8" i="1461" s="1"/>
  <c r="R6" i="1461"/>
  <c r="R5" i="1461"/>
  <c r="R4" i="1461"/>
  <c r="R52" i="1460"/>
  <c r="R51" i="1460"/>
  <c r="D50" i="1460"/>
  <c r="R49" i="1460"/>
  <c r="D49" i="1460"/>
  <c r="R48" i="1460"/>
  <c r="D48" i="1460"/>
  <c r="D46" i="1460"/>
  <c r="D45" i="1460"/>
  <c r="P44" i="1460"/>
  <c r="R44" i="1460" s="1"/>
  <c r="D44" i="1460"/>
  <c r="R42" i="1460"/>
  <c r="D42" i="1460"/>
  <c r="R41" i="1460"/>
  <c r="D41" i="1460"/>
  <c r="R40" i="1460"/>
  <c r="D40" i="1460"/>
  <c r="R39" i="1460"/>
  <c r="H39" i="1460"/>
  <c r="G49" i="1460" s="1"/>
  <c r="D39" i="1460"/>
  <c r="R38" i="1460"/>
  <c r="L9" i="1460" s="1"/>
  <c r="D9" i="1460" s="1"/>
  <c r="H38" i="1460"/>
  <c r="D38" i="1460"/>
  <c r="R37" i="1460"/>
  <c r="H37" i="1460"/>
  <c r="D37" i="1460"/>
  <c r="R36" i="1460"/>
  <c r="H36" i="1460"/>
  <c r="D36" i="1460"/>
  <c r="R35" i="1460"/>
  <c r="H35" i="1460"/>
  <c r="D35" i="1460"/>
  <c r="R34" i="1460"/>
  <c r="L12" i="1460" s="1"/>
  <c r="D12" i="1460" s="1"/>
  <c r="H34" i="1460"/>
  <c r="D34" i="1460"/>
  <c r="D54" i="1460" s="1"/>
  <c r="H14" i="1460" s="1"/>
  <c r="R33" i="1460"/>
  <c r="R32" i="1460"/>
  <c r="R31" i="1460"/>
  <c r="R30" i="1460"/>
  <c r="R29" i="1460"/>
  <c r="R28" i="1460"/>
  <c r="D28" i="1460"/>
  <c r="R27" i="1460"/>
  <c r="D27" i="1460"/>
  <c r="R26" i="1460"/>
  <c r="L26" i="1460"/>
  <c r="D26" i="1460"/>
  <c r="R25" i="1460"/>
  <c r="L25" i="1460"/>
  <c r="D25" i="1460" s="1"/>
  <c r="R24" i="1460"/>
  <c r="L24" i="1460"/>
  <c r="D24" i="1460"/>
  <c r="R23" i="1460"/>
  <c r="D23" i="1460"/>
  <c r="R22" i="1460"/>
  <c r="D22" i="1460"/>
  <c r="R21" i="1460"/>
  <c r="D21" i="1460"/>
  <c r="R20" i="1460"/>
  <c r="L20" i="1460"/>
  <c r="D20" i="1460" s="1"/>
  <c r="R19" i="1460"/>
  <c r="D19" i="1460"/>
  <c r="R18" i="1460"/>
  <c r="D18" i="1460"/>
  <c r="R17" i="1460"/>
  <c r="L17" i="1460"/>
  <c r="D17" i="1460"/>
  <c r="R16" i="1460"/>
  <c r="L16" i="1460"/>
  <c r="D16" i="1460"/>
  <c r="R15" i="1460"/>
  <c r="D15" i="1460"/>
  <c r="R14" i="1460"/>
  <c r="D14" i="1460"/>
  <c r="R13" i="1460"/>
  <c r="D13" i="1460"/>
  <c r="R12" i="1460"/>
  <c r="R11" i="1460"/>
  <c r="L11" i="1460"/>
  <c r="D11" i="1460" s="1"/>
  <c r="L10" i="1460"/>
  <c r="D10" i="1460" s="1"/>
  <c r="L8" i="1460"/>
  <c r="D8" i="1460"/>
  <c r="L7" i="1460"/>
  <c r="D7" i="1460"/>
  <c r="R6" i="1460"/>
  <c r="L6" i="1460"/>
  <c r="D6" i="1460" s="1"/>
  <c r="D29" i="1460" s="1"/>
  <c r="H13" i="1460" s="1"/>
  <c r="H15" i="1460" s="1"/>
  <c r="H29" i="1460" s="1"/>
  <c r="R5" i="1460"/>
  <c r="R4" i="1460"/>
  <c r="R52" i="1459"/>
  <c r="R51" i="1459"/>
  <c r="D50" i="1459"/>
  <c r="R49" i="1459"/>
  <c r="G49" i="1459"/>
  <c r="D49" i="1459"/>
  <c r="R48" i="1459"/>
  <c r="D48" i="1459"/>
  <c r="D46" i="1459"/>
  <c r="D45" i="1459"/>
  <c r="D44" i="1459"/>
  <c r="R42" i="1459"/>
  <c r="L6" i="1459" s="1"/>
  <c r="D6" i="1459" s="1"/>
  <c r="D42" i="1459"/>
  <c r="R41" i="1459"/>
  <c r="L7" i="1459" s="1"/>
  <c r="D7" i="1459" s="1"/>
  <c r="D41" i="1459"/>
  <c r="R40" i="1459"/>
  <c r="D40" i="1459"/>
  <c r="R39" i="1459"/>
  <c r="D39" i="1459"/>
  <c r="R38" i="1459"/>
  <c r="L9" i="1459" s="1"/>
  <c r="D9" i="1459" s="1"/>
  <c r="D38" i="1459"/>
  <c r="R37" i="1459"/>
  <c r="D37" i="1459"/>
  <c r="R36" i="1459"/>
  <c r="L10" i="1459" s="1"/>
  <c r="D10" i="1459" s="1"/>
  <c r="D36" i="1459"/>
  <c r="R35" i="1459"/>
  <c r="D35" i="1459"/>
  <c r="R34" i="1459"/>
  <c r="L12" i="1459" s="1"/>
  <c r="D12" i="1459" s="1"/>
  <c r="D34" i="1459"/>
  <c r="D54" i="1459" s="1"/>
  <c r="H14" i="1459" s="1"/>
  <c r="R33" i="1459"/>
  <c r="L23" i="1459" s="1"/>
  <c r="D23" i="1459" s="1"/>
  <c r="R32" i="1459"/>
  <c r="R31" i="1459"/>
  <c r="R30" i="1459"/>
  <c r="R29" i="1459"/>
  <c r="R28" i="1459"/>
  <c r="L16" i="1459" s="1"/>
  <c r="D16" i="1459" s="1"/>
  <c r="D28" i="1459"/>
  <c r="R27" i="1459"/>
  <c r="D27" i="1459"/>
  <c r="R26" i="1459"/>
  <c r="L26" i="1459"/>
  <c r="D26" i="1459"/>
  <c r="R25" i="1459"/>
  <c r="L25" i="1459"/>
  <c r="D25" i="1459"/>
  <c r="R24" i="1459"/>
  <c r="D24" i="1459"/>
  <c r="R23" i="1459"/>
  <c r="R22" i="1459"/>
  <c r="L22" i="1459"/>
  <c r="D22" i="1459" s="1"/>
  <c r="R21" i="1459"/>
  <c r="D21" i="1459"/>
  <c r="R20" i="1459"/>
  <c r="L20" i="1459"/>
  <c r="D20" i="1459"/>
  <c r="R19" i="1459"/>
  <c r="L19" i="1459"/>
  <c r="D19" i="1459"/>
  <c r="R18" i="1459"/>
  <c r="D18" i="1459"/>
  <c r="R17" i="1459"/>
  <c r="D17" i="1459"/>
  <c r="R16" i="1459"/>
  <c r="S15" i="1459"/>
  <c r="R15" i="1459"/>
  <c r="D15" i="1459"/>
  <c r="S14" i="1459"/>
  <c r="R14" i="1459"/>
  <c r="D14" i="1459"/>
  <c r="R13" i="1459"/>
  <c r="D13" i="1459"/>
  <c r="R12" i="1459"/>
  <c r="R11" i="1459"/>
  <c r="L11" i="1459"/>
  <c r="D11" i="1459" s="1"/>
  <c r="L8" i="1459"/>
  <c r="D8" i="1459"/>
  <c r="R6" i="1459"/>
  <c r="R5" i="1459"/>
  <c r="R4" i="1459"/>
  <c r="R52" i="1458"/>
  <c r="R51" i="1458"/>
  <c r="D50" i="1458"/>
  <c r="R49" i="1458"/>
  <c r="D49" i="1458"/>
  <c r="R48" i="1458"/>
  <c r="D48" i="1458"/>
  <c r="D46" i="1458"/>
  <c r="D45" i="1458"/>
  <c r="D44" i="1458"/>
  <c r="R42" i="1458"/>
  <c r="D42" i="1458"/>
  <c r="R41" i="1458"/>
  <c r="D41" i="1458"/>
  <c r="R40" i="1458"/>
  <c r="D40" i="1458"/>
  <c r="R39" i="1458"/>
  <c r="H39" i="1458"/>
  <c r="D39" i="1458"/>
  <c r="R38" i="1458"/>
  <c r="L9" i="1458" s="1"/>
  <c r="D9" i="1458" s="1"/>
  <c r="H38" i="1458"/>
  <c r="D38" i="1458"/>
  <c r="R37" i="1458"/>
  <c r="H37" i="1458"/>
  <c r="D37" i="1458"/>
  <c r="R36" i="1458"/>
  <c r="H36" i="1458"/>
  <c r="D36" i="1458"/>
  <c r="R35" i="1458"/>
  <c r="H35" i="1458"/>
  <c r="D35" i="1458"/>
  <c r="R34" i="1458"/>
  <c r="L12" i="1458" s="1"/>
  <c r="D12" i="1458" s="1"/>
  <c r="H34" i="1458"/>
  <c r="G49" i="1458" s="1"/>
  <c r="D34" i="1458"/>
  <c r="R33" i="1458"/>
  <c r="L23" i="1458" s="1"/>
  <c r="D23" i="1458" s="1"/>
  <c r="R32" i="1458"/>
  <c r="L11" i="1458" s="1"/>
  <c r="D11" i="1458" s="1"/>
  <c r="R31" i="1458"/>
  <c r="R30" i="1458"/>
  <c r="R29" i="1458"/>
  <c r="R28" i="1458"/>
  <c r="D28" i="1458"/>
  <c r="R27" i="1458"/>
  <c r="D27" i="1458"/>
  <c r="R26" i="1458"/>
  <c r="L26" i="1458"/>
  <c r="D26" i="1458" s="1"/>
  <c r="R25" i="1458"/>
  <c r="L25" i="1458"/>
  <c r="D25" i="1458"/>
  <c r="R24" i="1458"/>
  <c r="D24" i="1458"/>
  <c r="R23" i="1458"/>
  <c r="R22" i="1458"/>
  <c r="L22" i="1458"/>
  <c r="D22" i="1458"/>
  <c r="R21" i="1458"/>
  <c r="D21" i="1458"/>
  <c r="R20" i="1458"/>
  <c r="L20" i="1458"/>
  <c r="D20" i="1458" s="1"/>
  <c r="R19" i="1458"/>
  <c r="L19" i="1458"/>
  <c r="D19" i="1458"/>
  <c r="R18" i="1458"/>
  <c r="D18" i="1458"/>
  <c r="R17" i="1458"/>
  <c r="D17" i="1458"/>
  <c r="R16" i="1458"/>
  <c r="L16" i="1458"/>
  <c r="D16" i="1458" s="1"/>
  <c r="R15" i="1458"/>
  <c r="D15" i="1458"/>
  <c r="R14" i="1458"/>
  <c r="D14" i="1458"/>
  <c r="R13" i="1458"/>
  <c r="D13" i="1458"/>
  <c r="R12" i="1458"/>
  <c r="R11" i="1458"/>
  <c r="L10" i="1458"/>
  <c r="D10" i="1458"/>
  <c r="L8" i="1458"/>
  <c r="D8" i="1458"/>
  <c r="L7" i="1458"/>
  <c r="D7" i="1458"/>
  <c r="R6" i="1458"/>
  <c r="L6" i="1458"/>
  <c r="D6" i="1458"/>
  <c r="R5" i="1458"/>
  <c r="R4" i="1458"/>
  <c r="R52" i="1457"/>
  <c r="R51" i="1457"/>
  <c r="D50" i="1457"/>
  <c r="R49" i="1457"/>
  <c r="D49" i="1457"/>
  <c r="R48" i="1457"/>
  <c r="D48" i="1457"/>
  <c r="D46" i="1457"/>
  <c r="D45" i="1457"/>
  <c r="D44" i="1457"/>
  <c r="R42" i="1457"/>
  <c r="L6" i="1457" s="1"/>
  <c r="D6" i="1457" s="1"/>
  <c r="D42" i="1457"/>
  <c r="R41" i="1457"/>
  <c r="D41" i="1457"/>
  <c r="R40" i="1457"/>
  <c r="D40" i="1457"/>
  <c r="R39" i="1457"/>
  <c r="L20" i="1457" s="1"/>
  <c r="D20" i="1457" s="1"/>
  <c r="H39" i="1457"/>
  <c r="D39" i="1457"/>
  <c r="R38" i="1457"/>
  <c r="L9" i="1457" s="1"/>
  <c r="D9" i="1457" s="1"/>
  <c r="H38" i="1457"/>
  <c r="D38" i="1457"/>
  <c r="R37" i="1457"/>
  <c r="H37" i="1457"/>
  <c r="D37" i="1457"/>
  <c r="R36" i="1457"/>
  <c r="L10" i="1457" s="1"/>
  <c r="D10" i="1457" s="1"/>
  <c r="H36" i="1457"/>
  <c r="D36" i="1457"/>
  <c r="R35" i="1457"/>
  <c r="H35" i="1457"/>
  <c r="D35" i="1457"/>
  <c r="R34" i="1457"/>
  <c r="L12" i="1457" s="1"/>
  <c r="D12" i="1457" s="1"/>
  <c r="H34" i="1457"/>
  <c r="D34" i="1457"/>
  <c r="R33" i="1457"/>
  <c r="L23" i="1457" s="1"/>
  <c r="D23" i="1457" s="1"/>
  <c r="R32" i="1457"/>
  <c r="L11" i="1457" s="1"/>
  <c r="D11" i="1457" s="1"/>
  <c r="R31" i="1457"/>
  <c r="R30" i="1457"/>
  <c r="R29" i="1457"/>
  <c r="R28" i="1457"/>
  <c r="D28" i="1457"/>
  <c r="R27" i="1457"/>
  <c r="D27" i="1457"/>
  <c r="R26" i="1457"/>
  <c r="L26" i="1457"/>
  <c r="D26" i="1457"/>
  <c r="R25" i="1457"/>
  <c r="L25" i="1457"/>
  <c r="D25" i="1457"/>
  <c r="R24" i="1457"/>
  <c r="L24" i="1457"/>
  <c r="D24" i="1457" s="1"/>
  <c r="R23" i="1457"/>
  <c r="R22" i="1457"/>
  <c r="L22" i="1457"/>
  <c r="D22" i="1457" s="1"/>
  <c r="R21" i="1457"/>
  <c r="D21" i="1457"/>
  <c r="R20" i="1457"/>
  <c r="R19" i="1457"/>
  <c r="L19" i="1457"/>
  <c r="D19" i="1457"/>
  <c r="R18" i="1457"/>
  <c r="D18" i="1457"/>
  <c r="R17" i="1457"/>
  <c r="L17" i="1457"/>
  <c r="D17" i="1457"/>
  <c r="R16" i="1457"/>
  <c r="L16" i="1457"/>
  <c r="D16" i="1457" s="1"/>
  <c r="R15" i="1457"/>
  <c r="D15" i="1457"/>
  <c r="R14" i="1457"/>
  <c r="D14" i="1457"/>
  <c r="R13" i="1457"/>
  <c r="D13" i="1457"/>
  <c r="R12" i="1457"/>
  <c r="R11" i="1457"/>
  <c r="L8" i="1457"/>
  <c r="D8" i="1457"/>
  <c r="L7" i="1457"/>
  <c r="D7" i="1457"/>
  <c r="R6" i="1457"/>
  <c r="R5" i="1457"/>
  <c r="R4" i="1457"/>
  <c r="R52" i="1456"/>
  <c r="R51" i="1456"/>
  <c r="D50" i="1456"/>
  <c r="R49" i="1456"/>
  <c r="D49" i="1456"/>
  <c r="R48" i="1456"/>
  <c r="D48" i="1456"/>
  <c r="D46" i="1456"/>
  <c r="D45" i="1456"/>
  <c r="R44" i="1456"/>
  <c r="P44" i="1456"/>
  <c r="D44" i="1456"/>
  <c r="R42" i="1456"/>
  <c r="D42" i="1456"/>
  <c r="R41" i="1456"/>
  <c r="D41" i="1456"/>
  <c r="R40" i="1456"/>
  <c r="L8" i="1456" s="1"/>
  <c r="D8" i="1456" s="1"/>
  <c r="D40" i="1456"/>
  <c r="R39" i="1456"/>
  <c r="L20" i="1456" s="1"/>
  <c r="D20" i="1456" s="1"/>
  <c r="H39" i="1456"/>
  <c r="D39" i="1456"/>
  <c r="R38" i="1456"/>
  <c r="H38" i="1456"/>
  <c r="D38" i="1456"/>
  <c r="R37" i="1456"/>
  <c r="H37" i="1456"/>
  <c r="D37" i="1456"/>
  <c r="R36" i="1456"/>
  <c r="H36" i="1456"/>
  <c r="D36" i="1456"/>
  <c r="R35" i="1456"/>
  <c r="H35" i="1456"/>
  <c r="D35" i="1456"/>
  <c r="R34" i="1456"/>
  <c r="L12" i="1456" s="1"/>
  <c r="D12" i="1456" s="1"/>
  <c r="H34" i="1456"/>
  <c r="D34" i="1456"/>
  <c r="R33" i="1456"/>
  <c r="R32" i="1456"/>
  <c r="R31" i="1456"/>
  <c r="R30" i="1456"/>
  <c r="R29" i="1456"/>
  <c r="R28" i="1456"/>
  <c r="D28" i="1456"/>
  <c r="R27" i="1456"/>
  <c r="D27" i="1456"/>
  <c r="R26" i="1456"/>
  <c r="L26" i="1456"/>
  <c r="D26" i="1456"/>
  <c r="R25" i="1456"/>
  <c r="L25" i="1456"/>
  <c r="D25" i="1456" s="1"/>
  <c r="R24" i="1456"/>
  <c r="L24" i="1456"/>
  <c r="D24" i="1456"/>
  <c r="R23" i="1456"/>
  <c r="D23" i="1456"/>
  <c r="R22" i="1456"/>
  <c r="D22" i="1456"/>
  <c r="R21" i="1456"/>
  <c r="D21" i="1456"/>
  <c r="R20" i="1456"/>
  <c r="R19" i="1456"/>
  <c r="D19" i="1456"/>
  <c r="R18" i="1456"/>
  <c r="D18" i="1456"/>
  <c r="R17" i="1456"/>
  <c r="L17" i="1456"/>
  <c r="D17" i="1456"/>
  <c r="R16" i="1456"/>
  <c r="L16" i="1456"/>
  <c r="D16" i="1456" s="1"/>
  <c r="R15" i="1456"/>
  <c r="D15" i="1456"/>
  <c r="R14" i="1456"/>
  <c r="D14" i="1456"/>
  <c r="R13" i="1456"/>
  <c r="D13" i="1456"/>
  <c r="R12" i="1456"/>
  <c r="R11" i="1456"/>
  <c r="L11" i="1456"/>
  <c r="D11" i="1456"/>
  <c r="L10" i="1456"/>
  <c r="D10" i="1456" s="1"/>
  <c r="L9" i="1456"/>
  <c r="D9" i="1456" s="1"/>
  <c r="L7" i="1456"/>
  <c r="D7" i="1456"/>
  <c r="R6" i="1456"/>
  <c r="L6" i="1456"/>
  <c r="D6" i="1456" s="1"/>
  <c r="R5" i="1456"/>
  <c r="R4" i="1456"/>
  <c r="R52" i="1455"/>
  <c r="R51" i="1455"/>
  <c r="D50" i="1455"/>
  <c r="R49" i="1455"/>
  <c r="G49" i="1455"/>
  <c r="D49" i="1455"/>
  <c r="R48" i="1455"/>
  <c r="D48" i="1455"/>
  <c r="D46" i="1455"/>
  <c r="D45" i="1455"/>
  <c r="D44" i="1455"/>
  <c r="R42" i="1455"/>
  <c r="D42" i="1455"/>
  <c r="R41" i="1455"/>
  <c r="L7" i="1455" s="1"/>
  <c r="D7" i="1455" s="1"/>
  <c r="D41" i="1455"/>
  <c r="R40" i="1455"/>
  <c r="D40" i="1455"/>
  <c r="R39" i="1455"/>
  <c r="D39" i="1455"/>
  <c r="R38" i="1455"/>
  <c r="L9" i="1455" s="1"/>
  <c r="D9" i="1455" s="1"/>
  <c r="D38" i="1455"/>
  <c r="R37" i="1455"/>
  <c r="D37" i="1455"/>
  <c r="R36" i="1455"/>
  <c r="L10" i="1455" s="1"/>
  <c r="D10" i="1455" s="1"/>
  <c r="D36" i="1455"/>
  <c r="R35" i="1455"/>
  <c r="L19" i="1455" s="1"/>
  <c r="D19" i="1455" s="1"/>
  <c r="D35" i="1455"/>
  <c r="D54" i="1455" s="1"/>
  <c r="H14" i="1455" s="1"/>
  <c r="R34" i="1455"/>
  <c r="D34" i="1455"/>
  <c r="R33" i="1455"/>
  <c r="R32" i="1455"/>
  <c r="R31" i="1455"/>
  <c r="R30" i="1455"/>
  <c r="R29" i="1455"/>
  <c r="R28" i="1455"/>
  <c r="L16" i="1455" s="1"/>
  <c r="D16" i="1455" s="1"/>
  <c r="D28" i="1455"/>
  <c r="R27" i="1455"/>
  <c r="D27" i="1455"/>
  <c r="R26" i="1455"/>
  <c r="L26" i="1455"/>
  <c r="D26" i="1455"/>
  <c r="R25" i="1455"/>
  <c r="L25" i="1455"/>
  <c r="D25" i="1455"/>
  <c r="R24" i="1455"/>
  <c r="D24" i="1455"/>
  <c r="R23" i="1455"/>
  <c r="L23" i="1455"/>
  <c r="D23" i="1455"/>
  <c r="R22" i="1455"/>
  <c r="L22" i="1455"/>
  <c r="D22" i="1455" s="1"/>
  <c r="R21" i="1455"/>
  <c r="D21" i="1455"/>
  <c r="R20" i="1455"/>
  <c r="L20" i="1455"/>
  <c r="D20" i="1455"/>
  <c r="R19" i="1455"/>
  <c r="R18" i="1455"/>
  <c r="D18" i="1455"/>
  <c r="R17" i="1455"/>
  <c r="D17" i="1455"/>
  <c r="R16" i="1455"/>
  <c r="S15" i="1455"/>
  <c r="R15" i="1455"/>
  <c r="D15" i="1455"/>
  <c r="S14" i="1455"/>
  <c r="R14" i="1455"/>
  <c r="D14" i="1455"/>
  <c r="R13" i="1455"/>
  <c r="D13" i="1455"/>
  <c r="R12" i="1455"/>
  <c r="L12" i="1455"/>
  <c r="D12" i="1455"/>
  <c r="R11" i="1455"/>
  <c r="L11" i="1455"/>
  <c r="D11" i="1455" s="1"/>
  <c r="L8" i="1455"/>
  <c r="D8" i="1455" s="1"/>
  <c r="R6" i="1455"/>
  <c r="L6" i="1455"/>
  <c r="D6" i="1455" s="1"/>
  <c r="D29" i="1455" s="1"/>
  <c r="H13" i="1455" s="1"/>
  <c r="H15" i="1455" s="1"/>
  <c r="H29" i="1455" s="1"/>
  <c r="R5" i="1455"/>
  <c r="R4" i="1455"/>
  <c r="R52" i="1454"/>
  <c r="R51" i="1454"/>
  <c r="D50" i="1454"/>
  <c r="R49" i="1454"/>
  <c r="D49" i="1454"/>
  <c r="R48" i="1454"/>
  <c r="D48" i="1454"/>
  <c r="D46" i="1454"/>
  <c r="D45" i="1454"/>
  <c r="D44" i="1454"/>
  <c r="R42" i="1454"/>
  <c r="D42" i="1454"/>
  <c r="R41" i="1454"/>
  <c r="L7" i="1454" s="1"/>
  <c r="D7" i="1454" s="1"/>
  <c r="D41" i="1454"/>
  <c r="R40" i="1454"/>
  <c r="L8" i="1454" s="1"/>
  <c r="D8" i="1454" s="1"/>
  <c r="D40" i="1454"/>
  <c r="R39" i="1454"/>
  <c r="H39" i="1454"/>
  <c r="D39" i="1454"/>
  <c r="R38" i="1454"/>
  <c r="L9" i="1454" s="1"/>
  <c r="D9" i="1454" s="1"/>
  <c r="H38" i="1454"/>
  <c r="D38" i="1454"/>
  <c r="R37" i="1454"/>
  <c r="H37" i="1454"/>
  <c r="D37" i="1454"/>
  <c r="R36" i="1454"/>
  <c r="H36" i="1454"/>
  <c r="D36" i="1454"/>
  <c r="R35" i="1454"/>
  <c r="H35" i="1454"/>
  <c r="D35" i="1454"/>
  <c r="R34" i="1454"/>
  <c r="H34" i="1454"/>
  <c r="D34" i="1454"/>
  <c r="R33" i="1454"/>
  <c r="L23" i="1454" s="1"/>
  <c r="D23" i="1454" s="1"/>
  <c r="R32" i="1454"/>
  <c r="L11" i="1454" s="1"/>
  <c r="D11" i="1454" s="1"/>
  <c r="R31" i="1454"/>
  <c r="R30" i="1454"/>
  <c r="R29" i="1454"/>
  <c r="R28" i="1454"/>
  <c r="L16" i="1454" s="1"/>
  <c r="D16" i="1454" s="1"/>
  <c r="D28" i="1454"/>
  <c r="R27" i="1454"/>
  <c r="D27" i="1454"/>
  <c r="R26" i="1454"/>
  <c r="L26" i="1454"/>
  <c r="D26" i="1454"/>
  <c r="R25" i="1454"/>
  <c r="D25" i="1454"/>
  <c r="R24" i="1454"/>
  <c r="D24" i="1454"/>
  <c r="R23" i="1454"/>
  <c r="R22" i="1454"/>
  <c r="L22" i="1454"/>
  <c r="D22" i="1454" s="1"/>
  <c r="R21" i="1454"/>
  <c r="D21" i="1454"/>
  <c r="R20" i="1454"/>
  <c r="L20" i="1454"/>
  <c r="D20" i="1454"/>
  <c r="R19" i="1454"/>
  <c r="L19" i="1454"/>
  <c r="D19" i="1454"/>
  <c r="R18" i="1454"/>
  <c r="D18" i="1454"/>
  <c r="R17" i="1454"/>
  <c r="D17" i="1454"/>
  <c r="R16" i="1454"/>
  <c r="R15" i="1454"/>
  <c r="D15" i="1454"/>
  <c r="R14" i="1454"/>
  <c r="D14" i="1454"/>
  <c r="R13" i="1454"/>
  <c r="D13" i="1454"/>
  <c r="R12" i="1454"/>
  <c r="L12" i="1454"/>
  <c r="D12" i="1454" s="1"/>
  <c r="R11" i="1454"/>
  <c r="L10" i="1454"/>
  <c r="D10" i="1454" s="1"/>
  <c r="R6" i="1454"/>
  <c r="L6" i="1454"/>
  <c r="D6" i="1454"/>
  <c r="R5" i="1454"/>
  <c r="R4" i="1454"/>
  <c r="R52" i="1453"/>
  <c r="R51" i="1453"/>
  <c r="D50" i="1453"/>
  <c r="R49" i="1453"/>
  <c r="D49" i="1453"/>
  <c r="R48" i="1453"/>
  <c r="D48" i="1453"/>
  <c r="D46" i="1453"/>
  <c r="D45" i="1453"/>
  <c r="D44" i="1453"/>
  <c r="R42" i="1453"/>
  <c r="L6" i="1453" s="1"/>
  <c r="D6" i="1453" s="1"/>
  <c r="D42" i="1453"/>
  <c r="R41" i="1453"/>
  <c r="L7" i="1453" s="1"/>
  <c r="D7" i="1453" s="1"/>
  <c r="D41" i="1453"/>
  <c r="R40" i="1453"/>
  <c r="D40" i="1453"/>
  <c r="R39" i="1453"/>
  <c r="L20" i="1453" s="1"/>
  <c r="D20" i="1453" s="1"/>
  <c r="H39" i="1453"/>
  <c r="D39" i="1453"/>
  <c r="R38" i="1453"/>
  <c r="H38" i="1453"/>
  <c r="D38" i="1453"/>
  <c r="R37" i="1453"/>
  <c r="H37" i="1453"/>
  <c r="D37" i="1453"/>
  <c r="R36" i="1453"/>
  <c r="H36" i="1453"/>
  <c r="D36" i="1453"/>
  <c r="R35" i="1453"/>
  <c r="L19" i="1453" s="1"/>
  <c r="D19" i="1453" s="1"/>
  <c r="H35" i="1453"/>
  <c r="D35" i="1453"/>
  <c r="R34" i="1453"/>
  <c r="H34" i="1453"/>
  <c r="D34" i="1453"/>
  <c r="R33" i="1453"/>
  <c r="L23" i="1453" s="1"/>
  <c r="D23" i="1453" s="1"/>
  <c r="R32" i="1453"/>
  <c r="R31" i="1453"/>
  <c r="R30" i="1453"/>
  <c r="R29" i="1453"/>
  <c r="R28" i="1453"/>
  <c r="L16" i="1453" s="1"/>
  <c r="D16" i="1453" s="1"/>
  <c r="D28" i="1453"/>
  <c r="R27" i="1453"/>
  <c r="D27" i="1453"/>
  <c r="R26" i="1453"/>
  <c r="L26" i="1453"/>
  <c r="D26" i="1453"/>
  <c r="R25" i="1453"/>
  <c r="L25" i="1453"/>
  <c r="D25" i="1453"/>
  <c r="R24" i="1453"/>
  <c r="L24" i="1453"/>
  <c r="D24" i="1453"/>
  <c r="R23" i="1453"/>
  <c r="R22" i="1453"/>
  <c r="L22" i="1453"/>
  <c r="D22" i="1453"/>
  <c r="R21" i="1453"/>
  <c r="L17" i="1453" s="1"/>
  <c r="D17" i="1453" s="1"/>
  <c r="D21" i="1453"/>
  <c r="R20" i="1453"/>
  <c r="R19" i="1453"/>
  <c r="R18" i="1453"/>
  <c r="D18" i="1453"/>
  <c r="R17" i="1453"/>
  <c r="R16" i="1453"/>
  <c r="R15" i="1453"/>
  <c r="D15" i="1453"/>
  <c r="R14" i="1453"/>
  <c r="D14" i="1453"/>
  <c r="R13" i="1453"/>
  <c r="D13" i="1453"/>
  <c r="R12" i="1453"/>
  <c r="L12" i="1453"/>
  <c r="D12" i="1453" s="1"/>
  <c r="R11" i="1453"/>
  <c r="L11" i="1453"/>
  <c r="D11" i="1453" s="1"/>
  <c r="L10" i="1453"/>
  <c r="D10" i="1453"/>
  <c r="L9" i="1453"/>
  <c r="D9" i="1453" s="1"/>
  <c r="L8" i="1453"/>
  <c r="D8" i="1453"/>
  <c r="R6" i="1453"/>
  <c r="R5" i="1453"/>
  <c r="R4" i="1453"/>
  <c r="R52" i="1452"/>
  <c r="R51" i="1452"/>
  <c r="D50" i="1452"/>
  <c r="R49" i="1452"/>
  <c r="D49" i="1452"/>
  <c r="R48" i="1452"/>
  <c r="D48" i="1452"/>
  <c r="D46" i="1452"/>
  <c r="D45" i="1452"/>
  <c r="P44" i="1452"/>
  <c r="R44" i="1452" s="1"/>
  <c r="D44" i="1452"/>
  <c r="R42" i="1452"/>
  <c r="D42" i="1452"/>
  <c r="R41" i="1452"/>
  <c r="D41" i="1452"/>
  <c r="R40" i="1452"/>
  <c r="L8" i="1452" s="1"/>
  <c r="D8" i="1452" s="1"/>
  <c r="D40" i="1452"/>
  <c r="R39" i="1452"/>
  <c r="L20" i="1452" s="1"/>
  <c r="D20" i="1452" s="1"/>
  <c r="H39" i="1452"/>
  <c r="D39" i="1452"/>
  <c r="R38" i="1452"/>
  <c r="H38" i="1452"/>
  <c r="D38" i="1452"/>
  <c r="R37" i="1452"/>
  <c r="H37" i="1452"/>
  <c r="D37" i="1452"/>
  <c r="R36" i="1452"/>
  <c r="H36" i="1452"/>
  <c r="D36" i="1452"/>
  <c r="R35" i="1452"/>
  <c r="H35" i="1452"/>
  <c r="D35" i="1452"/>
  <c r="R34" i="1452"/>
  <c r="L12" i="1452" s="1"/>
  <c r="D12" i="1452" s="1"/>
  <c r="H34" i="1452"/>
  <c r="D34" i="1452"/>
  <c r="R33" i="1452"/>
  <c r="R32" i="1452"/>
  <c r="R31" i="1452"/>
  <c r="R30" i="1452"/>
  <c r="R29" i="1452"/>
  <c r="R28" i="1452"/>
  <c r="D28" i="1452"/>
  <c r="R27" i="1452"/>
  <c r="D27" i="1452"/>
  <c r="R26" i="1452"/>
  <c r="L26" i="1452"/>
  <c r="D26" i="1452"/>
  <c r="R25" i="1452"/>
  <c r="L25" i="1452"/>
  <c r="D25" i="1452" s="1"/>
  <c r="R24" i="1452"/>
  <c r="L24" i="1452"/>
  <c r="D24" i="1452"/>
  <c r="R23" i="1452"/>
  <c r="D23" i="1452"/>
  <c r="R22" i="1452"/>
  <c r="D22" i="1452"/>
  <c r="R21" i="1452"/>
  <c r="D21" i="1452"/>
  <c r="R20" i="1452"/>
  <c r="R19" i="1452"/>
  <c r="D19" i="1452"/>
  <c r="R18" i="1452"/>
  <c r="D18" i="1452"/>
  <c r="R17" i="1452"/>
  <c r="L17" i="1452"/>
  <c r="D17" i="1452"/>
  <c r="R16" i="1452"/>
  <c r="L16" i="1452"/>
  <c r="D16" i="1452"/>
  <c r="R15" i="1452"/>
  <c r="D15" i="1452"/>
  <c r="R14" i="1452"/>
  <c r="D14" i="1452"/>
  <c r="R13" i="1452"/>
  <c r="D13" i="1452"/>
  <c r="R12" i="1452"/>
  <c r="R11" i="1452"/>
  <c r="L11" i="1452"/>
  <c r="D11" i="1452"/>
  <c r="L10" i="1452"/>
  <c r="D10" i="1452" s="1"/>
  <c r="L9" i="1452"/>
  <c r="D9" i="1452"/>
  <c r="L7" i="1452"/>
  <c r="D7" i="1452"/>
  <c r="R6" i="1452"/>
  <c r="L6" i="1452"/>
  <c r="D6" i="1452" s="1"/>
  <c r="R5" i="1452"/>
  <c r="R4" i="1452"/>
  <c r="R52" i="1451"/>
  <c r="R51" i="1451"/>
  <c r="D50" i="1451"/>
  <c r="R49" i="1451"/>
  <c r="G49" i="1451"/>
  <c r="D49" i="1451"/>
  <c r="R48" i="1451"/>
  <c r="D48" i="1451"/>
  <c r="D46" i="1451"/>
  <c r="D45" i="1451"/>
  <c r="D44" i="1451"/>
  <c r="R42" i="1451"/>
  <c r="L6" i="1451" s="1"/>
  <c r="D6" i="1451" s="1"/>
  <c r="D42" i="1451"/>
  <c r="R41" i="1451"/>
  <c r="L7" i="1451" s="1"/>
  <c r="D7" i="1451" s="1"/>
  <c r="D41" i="1451"/>
  <c r="R40" i="1451"/>
  <c r="L8" i="1451" s="1"/>
  <c r="D8" i="1451" s="1"/>
  <c r="D40" i="1451"/>
  <c r="R39" i="1451"/>
  <c r="D39" i="1451"/>
  <c r="R38" i="1451"/>
  <c r="L9" i="1451" s="1"/>
  <c r="D9" i="1451" s="1"/>
  <c r="D38" i="1451"/>
  <c r="R37" i="1451"/>
  <c r="D37" i="1451"/>
  <c r="R36" i="1451"/>
  <c r="L10" i="1451" s="1"/>
  <c r="D10" i="1451" s="1"/>
  <c r="D36" i="1451"/>
  <c r="R35" i="1451"/>
  <c r="D35" i="1451"/>
  <c r="R34" i="1451"/>
  <c r="L12" i="1451" s="1"/>
  <c r="D12" i="1451" s="1"/>
  <c r="D34" i="1451"/>
  <c r="D54" i="1451" s="1"/>
  <c r="H14" i="1451" s="1"/>
  <c r="R33" i="1451"/>
  <c r="L23" i="1451" s="1"/>
  <c r="D23" i="1451" s="1"/>
  <c r="R32" i="1451"/>
  <c r="R31" i="1451"/>
  <c r="R30" i="1451"/>
  <c r="R29" i="1451"/>
  <c r="R28" i="1451"/>
  <c r="L16" i="1451" s="1"/>
  <c r="D16" i="1451" s="1"/>
  <c r="D28" i="1451"/>
  <c r="R27" i="1451"/>
  <c r="D27" i="1451"/>
  <c r="R26" i="1451"/>
  <c r="L26" i="1451"/>
  <c r="D26" i="1451"/>
  <c r="R25" i="1451"/>
  <c r="L25" i="1451"/>
  <c r="D25" i="1451"/>
  <c r="R24" i="1451"/>
  <c r="D24" i="1451"/>
  <c r="R23" i="1451"/>
  <c r="R22" i="1451"/>
  <c r="L22" i="1451"/>
  <c r="D22" i="1451" s="1"/>
  <c r="R21" i="1451"/>
  <c r="D21" i="1451"/>
  <c r="R20" i="1451"/>
  <c r="L20" i="1451"/>
  <c r="D20" i="1451"/>
  <c r="R19" i="1451"/>
  <c r="L19" i="1451"/>
  <c r="D19" i="1451"/>
  <c r="R18" i="1451"/>
  <c r="D18" i="1451"/>
  <c r="R17" i="1451"/>
  <c r="D17" i="1451"/>
  <c r="R16" i="1451"/>
  <c r="S15" i="1451"/>
  <c r="R15" i="1451"/>
  <c r="D15" i="1451"/>
  <c r="S14" i="1451"/>
  <c r="R14" i="1451"/>
  <c r="D14" i="1451"/>
  <c r="R13" i="1451"/>
  <c r="D13" i="1451"/>
  <c r="R12" i="1451"/>
  <c r="R11" i="1451"/>
  <c r="L11" i="1451"/>
  <c r="D11" i="1451" s="1"/>
  <c r="R6" i="1451"/>
  <c r="R5" i="1451"/>
  <c r="R4" i="1451"/>
  <c r="R52" i="1450"/>
  <c r="R51" i="1450"/>
  <c r="D50" i="1450"/>
  <c r="R49" i="1450"/>
  <c r="D49" i="1450"/>
  <c r="R48" i="1450"/>
  <c r="D48" i="1450"/>
  <c r="D46" i="1450"/>
  <c r="D45" i="1450"/>
  <c r="D44" i="1450"/>
  <c r="R42" i="1450"/>
  <c r="D42" i="1450"/>
  <c r="R41" i="1450"/>
  <c r="D41" i="1450"/>
  <c r="R40" i="1450"/>
  <c r="L8" i="1450" s="1"/>
  <c r="D8" i="1450" s="1"/>
  <c r="D40" i="1450"/>
  <c r="R39" i="1450"/>
  <c r="H39" i="1450"/>
  <c r="D39" i="1450"/>
  <c r="R38" i="1450"/>
  <c r="L9" i="1450" s="1"/>
  <c r="D9" i="1450" s="1"/>
  <c r="H38" i="1450"/>
  <c r="D38" i="1450"/>
  <c r="R37" i="1450"/>
  <c r="H37" i="1450"/>
  <c r="D37" i="1450"/>
  <c r="R36" i="1450"/>
  <c r="H36" i="1450"/>
  <c r="D36" i="1450"/>
  <c r="R35" i="1450"/>
  <c r="L19" i="1450" s="1"/>
  <c r="D19" i="1450" s="1"/>
  <c r="H35" i="1450"/>
  <c r="D35" i="1450"/>
  <c r="R34" i="1450"/>
  <c r="L12" i="1450" s="1"/>
  <c r="D12" i="1450" s="1"/>
  <c r="H34" i="1450"/>
  <c r="D34" i="1450"/>
  <c r="R33" i="1450"/>
  <c r="L23" i="1450" s="1"/>
  <c r="D23" i="1450" s="1"/>
  <c r="R32" i="1450"/>
  <c r="L11" i="1450" s="1"/>
  <c r="D11" i="1450" s="1"/>
  <c r="R31" i="1450"/>
  <c r="R30" i="1450"/>
  <c r="R29" i="1450"/>
  <c r="R28" i="1450"/>
  <c r="D28" i="1450"/>
  <c r="R27" i="1450"/>
  <c r="D27" i="1450"/>
  <c r="R26" i="1450"/>
  <c r="L26" i="1450"/>
  <c r="D26" i="1450"/>
  <c r="R25" i="1450"/>
  <c r="L25" i="1450"/>
  <c r="D25" i="1450"/>
  <c r="R24" i="1450"/>
  <c r="D24" i="1450"/>
  <c r="R23" i="1450"/>
  <c r="R22" i="1450"/>
  <c r="L22" i="1450"/>
  <c r="D22" i="1450"/>
  <c r="R21" i="1450"/>
  <c r="D21" i="1450"/>
  <c r="R20" i="1450"/>
  <c r="L20" i="1450"/>
  <c r="D20" i="1450"/>
  <c r="R19" i="1450"/>
  <c r="R18" i="1450"/>
  <c r="D18" i="1450"/>
  <c r="R17" i="1450"/>
  <c r="D17" i="1450"/>
  <c r="R16" i="1450"/>
  <c r="L16" i="1450"/>
  <c r="D16" i="1450" s="1"/>
  <c r="R15" i="1450"/>
  <c r="D15" i="1450"/>
  <c r="R14" i="1450"/>
  <c r="D14" i="1450"/>
  <c r="R13" i="1450"/>
  <c r="D13" i="1450"/>
  <c r="R12" i="1450"/>
  <c r="R11" i="1450"/>
  <c r="L10" i="1450"/>
  <c r="D10" i="1450"/>
  <c r="L7" i="1450"/>
  <c r="D7" i="1450" s="1"/>
  <c r="R6" i="1450"/>
  <c r="L6" i="1450"/>
  <c r="D6" i="1450"/>
  <c r="R5" i="1450"/>
  <c r="R4" i="1450"/>
  <c r="R52" i="1449"/>
  <c r="R51" i="1449"/>
  <c r="D50" i="1449"/>
  <c r="R49" i="1449"/>
  <c r="D49" i="1449"/>
  <c r="R48" i="1449"/>
  <c r="D48" i="1449"/>
  <c r="D46" i="1449"/>
  <c r="D45" i="1449"/>
  <c r="D44" i="1449"/>
  <c r="R42" i="1449"/>
  <c r="L6" i="1449" s="1"/>
  <c r="D6" i="1449" s="1"/>
  <c r="D42" i="1449"/>
  <c r="R41" i="1449"/>
  <c r="L7" i="1449" s="1"/>
  <c r="D7" i="1449" s="1"/>
  <c r="D41" i="1449"/>
  <c r="R40" i="1449"/>
  <c r="D40" i="1449"/>
  <c r="R39" i="1449"/>
  <c r="L20" i="1449" s="1"/>
  <c r="D20" i="1449" s="1"/>
  <c r="H39" i="1449"/>
  <c r="D39" i="1449"/>
  <c r="R38" i="1449"/>
  <c r="L9" i="1449" s="1"/>
  <c r="D9" i="1449" s="1"/>
  <c r="H38" i="1449"/>
  <c r="D38" i="1449"/>
  <c r="R37" i="1449"/>
  <c r="H37" i="1449"/>
  <c r="D37" i="1449"/>
  <c r="R36" i="1449"/>
  <c r="H36" i="1449"/>
  <c r="D36" i="1449"/>
  <c r="R35" i="1449"/>
  <c r="L19" i="1449" s="1"/>
  <c r="D19" i="1449" s="1"/>
  <c r="H35" i="1449"/>
  <c r="D35" i="1449"/>
  <c r="R34" i="1449"/>
  <c r="L12" i="1449" s="1"/>
  <c r="D12" i="1449" s="1"/>
  <c r="H34" i="1449"/>
  <c r="D34" i="1449"/>
  <c r="R33" i="1449"/>
  <c r="L23" i="1449" s="1"/>
  <c r="D23" i="1449" s="1"/>
  <c r="R32" i="1449"/>
  <c r="L11" i="1449" s="1"/>
  <c r="D11" i="1449" s="1"/>
  <c r="R31" i="1449"/>
  <c r="R30" i="1449"/>
  <c r="R29" i="1449"/>
  <c r="R28" i="1449"/>
  <c r="D28" i="1449"/>
  <c r="R27" i="1449"/>
  <c r="D27" i="1449"/>
  <c r="R26" i="1449"/>
  <c r="L26" i="1449"/>
  <c r="D26" i="1449"/>
  <c r="R25" i="1449"/>
  <c r="L25" i="1449"/>
  <c r="D25" i="1449"/>
  <c r="R24" i="1449"/>
  <c r="L24" i="1449"/>
  <c r="D24" i="1449" s="1"/>
  <c r="R23" i="1449"/>
  <c r="R22" i="1449"/>
  <c r="L22" i="1449"/>
  <c r="D22" i="1449" s="1"/>
  <c r="R21" i="1449"/>
  <c r="L17" i="1449" s="1"/>
  <c r="D17" i="1449" s="1"/>
  <c r="D21" i="1449"/>
  <c r="R20" i="1449"/>
  <c r="R19" i="1449"/>
  <c r="R18" i="1449"/>
  <c r="D18" i="1449"/>
  <c r="R17" i="1449"/>
  <c r="R16" i="1449"/>
  <c r="L16" i="1449"/>
  <c r="D16" i="1449" s="1"/>
  <c r="R15" i="1449"/>
  <c r="D15" i="1449"/>
  <c r="R14" i="1449"/>
  <c r="D14" i="1449"/>
  <c r="R13" i="1449"/>
  <c r="D13" i="1449"/>
  <c r="R12" i="1449"/>
  <c r="R11" i="1449"/>
  <c r="L10" i="1449"/>
  <c r="D10" i="1449"/>
  <c r="L8" i="1449"/>
  <c r="D8" i="1449"/>
  <c r="R6" i="1449"/>
  <c r="R5" i="1449"/>
  <c r="R4" i="1449"/>
  <c r="R52" i="1448"/>
  <c r="R51" i="1448"/>
  <c r="D50" i="1448"/>
  <c r="R49" i="1448"/>
  <c r="D49" i="1448"/>
  <c r="R48" i="1448"/>
  <c r="D48" i="1448"/>
  <c r="D46" i="1448"/>
  <c r="D45" i="1448"/>
  <c r="P44" i="1448"/>
  <c r="R44" i="1448" s="1"/>
  <c r="D44" i="1448"/>
  <c r="R42" i="1448"/>
  <c r="L6" i="1448" s="1"/>
  <c r="D6" i="1448" s="1"/>
  <c r="D42" i="1448"/>
  <c r="R41" i="1448"/>
  <c r="D41" i="1448"/>
  <c r="R40" i="1448"/>
  <c r="L8" i="1448" s="1"/>
  <c r="D8" i="1448" s="1"/>
  <c r="D40" i="1448"/>
  <c r="R39" i="1448"/>
  <c r="H39" i="1448"/>
  <c r="D39" i="1448"/>
  <c r="R38" i="1448"/>
  <c r="H38" i="1448"/>
  <c r="D38" i="1448"/>
  <c r="R37" i="1448"/>
  <c r="H37" i="1448"/>
  <c r="D37" i="1448"/>
  <c r="R36" i="1448"/>
  <c r="L10" i="1448" s="1"/>
  <c r="D10" i="1448" s="1"/>
  <c r="H36" i="1448"/>
  <c r="D36" i="1448"/>
  <c r="D54" i="1448" s="1"/>
  <c r="H14" i="1448" s="1"/>
  <c r="R35" i="1448"/>
  <c r="H35" i="1448"/>
  <c r="G49" i="1448" s="1"/>
  <c r="D35" i="1448"/>
  <c r="R34" i="1448"/>
  <c r="H34" i="1448"/>
  <c r="D34" i="1448"/>
  <c r="R33" i="1448"/>
  <c r="R32" i="1448"/>
  <c r="R31" i="1448"/>
  <c r="R30" i="1448"/>
  <c r="R29" i="1448"/>
  <c r="R28" i="1448"/>
  <c r="L16" i="1448" s="1"/>
  <c r="D16" i="1448" s="1"/>
  <c r="D28" i="1448"/>
  <c r="R27" i="1448"/>
  <c r="D27" i="1448"/>
  <c r="R26" i="1448"/>
  <c r="L26" i="1448"/>
  <c r="D26" i="1448" s="1"/>
  <c r="R25" i="1448"/>
  <c r="L25" i="1448"/>
  <c r="D25" i="1448"/>
  <c r="R24" i="1448"/>
  <c r="L24" i="1448"/>
  <c r="D24" i="1448"/>
  <c r="R23" i="1448"/>
  <c r="D23" i="1448"/>
  <c r="R22" i="1448"/>
  <c r="D22" i="1448"/>
  <c r="R21" i="1448"/>
  <c r="D21" i="1448"/>
  <c r="R20" i="1448"/>
  <c r="L20" i="1448"/>
  <c r="D20" i="1448"/>
  <c r="R19" i="1448"/>
  <c r="D19" i="1448"/>
  <c r="R18" i="1448"/>
  <c r="D18" i="1448"/>
  <c r="R17" i="1448"/>
  <c r="L17" i="1448"/>
  <c r="D17" i="1448"/>
  <c r="R16" i="1448"/>
  <c r="R15" i="1448"/>
  <c r="D15" i="1448"/>
  <c r="R14" i="1448"/>
  <c r="D14" i="1448"/>
  <c r="R13" i="1448"/>
  <c r="D13" i="1448"/>
  <c r="R12" i="1448"/>
  <c r="L12" i="1448"/>
  <c r="D12" i="1448"/>
  <c r="R11" i="1448"/>
  <c r="L11" i="1448"/>
  <c r="D11" i="1448" s="1"/>
  <c r="L9" i="1448"/>
  <c r="D9" i="1448"/>
  <c r="L7" i="1448"/>
  <c r="D7" i="1448" s="1"/>
  <c r="R6" i="1448"/>
  <c r="R5" i="1448"/>
  <c r="R4" i="1448"/>
  <c r="R52" i="1447"/>
  <c r="R51" i="1447"/>
  <c r="D50" i="1447"/>
  <c r="R49" i="1447"/>
  <c r="G49" i="1447"/>
  <c r="D49" i="1447"/>
  <c r="R48" i="1447"/>
  <c r="D48" i="1447"/>
  <c r="D46" i="1447"/>
  <c r="D45" i="1447"/>
  <c r="D44" i="1447"/>
  <c r="R42" i="1447"/>
  <c r="L6" i="1447" s="1"/>
  <c r="D6" i="1447" s="1"/>
  <c r="D42" i="1447"/>
  <c r="R41" i="1447"/>
  <c r="L7" i="1447" s="1"/>
  <c r="D7" i="1447" s="1"/>
  <c r="D41" i="1447"/>
  <c r="R40" i="1447"/>
  <c r="D40" i="1447"/>
  <c r="R39" i="1447"/>
  <c r="D39" i="1447"/>
  <c r="R38" i="1447"/>
  <c r="L9" i="1447" s="1"/>
  <c r="D9" i="1447" s="1"/>
  <c r="D38" i="1447"/>
  <c r="R37" i="1447"/>
  <c r="D37" i="1447"/>
  <c r="R36" i="1447"/>
  <c r="L10" i="1447" s="1"/>
  <c r="D10" i="1447" s="1"/>
  <c r="D36" i="1447"/>
  <c r="R35" i="1447"/>
  <c r="D35" i="1447"/>
  <c r="R34" i="1447"/>
  <c r="L12" i="1447" s="1"/>
  <c r="D12" i="1447" s="1"/>
  <c r="D34" i="1447"/>
  <c r="D54" i="1447" s="1"/>
  <c r="H14" i="1447" s="1"/>
  <c r="R33" i="1447"/>
  <c r="L23" i="1447" s="1"/>
  <c r="D23" i="1447" s="1"/>
  <c r="R32" i="1447"/>
  <c r="R31" i="1447"/>
  <c r="R30" i="1447"/>
  <c r="R29" i="1447"/>
  <c r="R28" i="1447"/>
  <c r="L16" i="1447" s="1"/>
  <c r="D16" i="1447" s="1"/>
  <c r="D28" i="1447"/>
  <c r="R27" i="1447"/>
  <c r="D27" i="1447"/>
  <c r="R26" i="1447"/>
  <c r="L26" i="1447"/>
  <c r="D26" i="1447"/>
  <c r="R25" i="1447"/>
  <c r="L25" i="1447"/>
  <c r="D25" i="1447"/>
  <c r="R24" i="1447"/>
  <c r="D24" i="1447"/>
  <c r="R23" i="1447"/>
  <c r="R22" i="1447"/>
  <c r="L22" i="1447"/>
  <c r="D22" i="1447"/>
  <c r="R21" i="1447"/>
  <c r="D21" i="1447"/>
  <c r="R20" i="1447"/>
  <c r="L20" i="1447"/>
  <c r="D20" i="1447"/>
  <c r="R19" i="1447"/>
  <c r="L19" i="1447"/>
  <c r="D19" i="1447"/>
  <c r="R18" i="1447"/>
  <c r="D18" i="1447"/>
  <c r="R17" i="1447"/>
  <c r="D17" i="1447"/>
  <c r="R16" i="1447"/>
  <c r="S15" i="1447"/>
  <c r="R15" i="1447"/>
  <c r="D15" i="1447"/>
  <c r="S14" i="1447"/>
  <c r="R14" i="1447"/>
  <c r="D14" i="1447"/>
  <c r="R13" i="1447"/>
  <c r="D13" i="1447"/>
  <c r="R12" i="1447"/>
  <c r="R11" i="1447"/>
  <c r="L11" i="1447"/>
  <c r="D11" i="1447"/>
  <c r="L8" i="1447"/>
  <c r="D8" i="1447"/>
  <c r="R6" i="1447"/>
  <c r="R5" i="1447"/>
  <c r="R4" i="1447"/>
  <c r="G49" i="1457" l="1"/>
  <c r="G49" i="1456"/>
  <c r="D54" i="1458"/>
  <c r="H14" i="1458" s="1"/>
  <c r="D54" i="1457"/>
  <c r="H14" i="1457" s="1"/>
  <c r="D54" i="1456"/>
  <c r="H14" i="1456" s="1"/>
  <c r="D29" i="1456"/>
  <c r="H13" i="1456" s="1"/>
  <c r="G49" i="1454"/>
  <c r="G49" i="1453"/>
  <c r="G49" i="1452"/>
  <c r="D54" i="1454"/>
  <c r="H14" i="1454" s="1"/>
  <c r="D54" i="1453"/>
  <c r="H14" i="1453" s="1"/>
  <c r="D54" i="1452"/>
  <c r="H14" i="1452" s="1"/>
  <c r="D54" i="1450"/>
  <c r="H14" i="1450" s="1"/>
  <c r="D54" i="1449"/>
  <c r="H14" i="1449" s="1"/>
  <c r="G49" i="1450"/>
  <c r="G49" i="1449"/>
  <c r="D29" i="1470"/>
  <c r="H13" i="1470" s="1"/>
  <c r="H15" i="1470" s="1"/>
  <c r="H29" i="1470" s="1"/>
  <c r="G51" i="1470" s="1"/>
  <c r="D29" i="1469"/>
  <c r="H13" i="1469" s="1"/>
  <c r="H15" i="1469" s="1"/>
  <c r="H29" i="1469" s="1"/>
  <c r="G51" i="1469" s="1"/>
  <c r="D29" i="1468"/>
  <c r="H13" i="1468" s="1"/>
  <c r="H15" i="1468" s="1"/>
  <c r="H29" i="1468" s="1"/>
  <c r="G51" i="1468"/>
  <c r="G51" i="1467"/>
  <c r="D29" i="1466"/>
  <c r="H13" i="1466" s="1"/>
  <c r="H15" i="1466" s="1"/>
  <c r="H29" i="1466" s="1"/>
  <c r="G51" i="1466" s="1"/>
  <c r="G51" i="1465"/>
  <c r="D29" i="1464"/>
  <c r="H13" i="1464" s="1"/>
  <c r="H15" i="1464" s="1"/>
  <c r="H29" i="1464" s="1"/>
  <c r="G51" i="1464" s="1"/>
  <c r="D29" i="1463"/>
  <c r="H13" i="1463" s="1"/>
  <c r="H15" i="1463" s="1"/>
  <c r="H29" i="1463" s="1"/>
  <c r="G51" i="1463" s="1"/>
  <c r="D29" i="1462"/>
  <c r="H13" i="1462" s="1"/>
  <c r="H15" i="1462" s="1"/>
  <c r="H29" i="1462" s="1"/>
  <c r="G51" i="1462"/>
  <c r="D29" i="1461"/>
  <c r="H13" i="1461" s="1"/>
  <c r="H15" i="1461" s="1"/>
  <c r="H29" i="1461" s="1"/>
  <c r="G51" i="1461"/>
  <c r="G51" i="1460"/>
  <c r="D29" i="1459"/>
  <c r="H13" i="1459" s="1"/>
  <c r="H15" i="1459" s="1"/>
  <c r="H29" i="1459" s="1"/>
  <c r="G51" i="1459" s="1"/>
  <c r="D29" i="1458"/>
  <c r="H13" i="1458" s="1"/>
  <c r="D29" i="1457"/>
  <c r="H13" i="1457" s="1"/>
  <c r="G51" i="1455"/>
  <c r="D29" i="1454"/>
  <c r="H13" i="1454" s="1"/>
  <c r="D29" i="1453"/>
  <c r="H13" i="1453" s="1"/>
  <c r="H15" i="1453" s="1"/>
  <c r="H29" i="1453" s="1"/>
  <c r="D29" i="1452"/>
  <c r="H13" i="1452" s="1"/>
  <c r="D29" i="1451"/>
  <c r="H13" i="1451" s="1"/>
  <c r="H15" i="1451" s="1"/>
  <c r="H29" i="1451" s="1"/>
  <c r="G51" i="1451" s="1"/>
  <c r="D29" i="1450"/>
  <c r="H13" i="1450" s="1"/>
  <c r="D29" i="1449"/>
  <c r="H13" i="1449" s="1"/>
  <c r="D29" i="1448"/>
  <c r="H13" i="1448" s="1"/>
  <c r="H15" i="1448" s="1"/>
  <c r="H29" i="1448" s="1"/>
  <c r="G51" i="1448" s="1"/>
  <c r="D29" i="1447"/>
  <c r="H13" i="1447" s="1"/>
  <c r="H15" i="1447" s="1"/>
  <c r="H29" i="1447" s="1"/>
  <c r="G51" i="1447"/>
  <c r="L26" i="1427"/>
  <c r="L25" i="1427"/>
  <c r="H15" i="1458" l="1"/>
  <c r="H29" i="1458" s="1"/>
  <c r="G51" i="1458" s="1"/>
  <c r="H15" i="1457"/>
  <c r="H29" i="1457" s="1"/>
  <c r="G51" i="1457" s="1"/>
  <c r="H15" i="1456"/>
  <c r="H29" i="1456" s="1"/>
  <c r="G51" i="1456" s="1"/>
  <c r="G51" i="1453"/>
  <c r="H15" i="1454"/>
  <c r="H29" i="1454" s="1"/>
  <c r="G51" i="1454" s="1"/>
  <c r="H15" i="1452"/>
  <c r="H29" i="1452" s="1"/>
  <c r="G51" i="1452" s="1"/>
  <c r="H15" i="1450"/>
  <c r="H29" i="1450" s="1"/>
  <c r="G51" i="1450" s="1"/>
  <c r="H15" i="1449"/>
  <c r="H29" i="1449" s="1"/>
  <c r="G51" i="1449" s="1"/>
  <c r="R52" i="1429"/>
  <c r="R51" i="1429"/>
  <c r="D50" i="1429"/>
  <c r="R49" i="1429"/>
  <c r="D49" i="1429"/>
  <c r="R48" i="1429"/>
  <c r="D48" i="1429"/>
  <c r="D46" i="1429"/>
  <c r="D45" i="1429"/>
  <c r="D44" i="1429"/>
  <c r="R42" i="1429"/>
  <c r="L6" i="1429" s="1"/>
  <c r="D6" i="1429" s="1"/>
  <c r="D42" i="1429"/>
  <c r="R41" i="1429"/>
  <c r="D41" i="1429"/>
  <c r="R40" i="1429"/>
  <c r="D40" i="1429"/>
  <c r="R39" i="1429"/>
  <c r="H39" i="1429"/>
  <c r="D39" i="1429"/>
  <c r="R38" i="1429"/>
  <c r="L9" i="1429" s="1"/>
  <c r="D9" i="1429" s="1"/>
  <c r="H38" i="1429"/>
  <c r="D38" i="1429"/>
  <c r="R37" i="1429"/>
  <c r="H37" i="1429"/>
  <c r="D37" i="1429"/>
  <c r="R36" i="1429"/>
  <c r="H36" i="1429"/>
  <c r="D36" i="1429"/>
  <c r="R35" i="1429"/>
  <c r="H35" i="1429"/>
  <c r="D35" i="1429"/>
  <c r="R34" i="1429"/>
  <c r="L12" i="1429" s="1"/>
  <c r="D12" i="1429" s="1"/>
  <c r="H34" i="1429"/>
  <c r="D34" i="1429"/>
  <c r="R33" i="1429"/>
  <c r="R32" i="1429"/>
  <c r="R31" i="1429"/>
  <c r="R30" i="1429"/>
  <c r="R29" i="1429"/>
  <c r="R28" i="1429"/>
  <c r="L16" i="1429" s="1"/>
  <c r="D16" i="1429" s="1"/>
  <c r="D28" i="1429"/>
  <c r="R27" i="1429"/>
  <c r="D27" i="1429"/>
  <c r="R26" i="1429"/>
  <c r="L26" i="1429"/>
  <c r="D26" i="1429"/>
  <c r="R25" i="1429"/>
  <c r="L25" i="1429"/>
  <c r="D25" i="1429" s="1"/>
  <c r="R24" i="1429"/>
  <c r="D24" i="1429"/>
  <c r="R23" i="1429"/>
  <c r="L23" i="1429"/>
  <c r="D23" i="1429"/>
  <c r="R22" i="1429"/>
  <c r="L22" i="1429"/>
  <c r="D22" i="1429" s="1"/>
  <c r="R21" i="1429"/>
  <c r="D21" i="1429"/>
  <c r="R20" i="1429"/>
  <c r="L20" i="1429"/>
  <c r="D20" i="1429"/>
  <c r="R19" i="1429"/>
  <c r="L19" i="1429"/>
  <c r="D19" i="1429" s="1"/>
  <c r="R18" i="1429"/>
  <c r="D18" i="1429"/>
  <c r="R17" i="1429"/>
  <c r="D17" i="1429"/>
  <c r="R16" i="1429"/>
  <c r="R15" i="1429"/>
  <c r="D15" i="1429"/>
  <c r="R14" i="1429"/>
  <c r="D14" i="1429"/>
  <c r="R13" i="1429"/>
  <c r="D13" i="1429"/>
  <c r="R12" i="1429"/>
  <c r="R11" i="1429"/>
  <c r="L11" i="1429"/>
  <c r="D11" i="1429" s="1"/>
  <c r="L10" i="1429"/>
  <c r="D10" i="1429"/>
  <c r="L8" i="1429"/>
  <c r="D8" i="1429" s="1"/>
  <c r="L7" i="1429"/>
  <c r="D7" i="1429" s="1"/>
  <c r="R6" i="1429"/>
  <c r="R5" i="1429"/>
  <c r="R4" i="1429"/>
  <c r="R52" i="1428"/>
  <c r="R51" i="1428"/>
  <c r="D50" i="1428"/>
  <c r="R49" i="1428"/>
  <c r="D49" i="1428"/>
  <c r="R48" i="1428"/>
  <c r="D48" i="1428"/>
  <c r="D46" i="1428"/>
  <c r="D45" i="1428"/>
  <c r="D44" i="1428"/>
  <c r="R42" i="1428"/>
  <c r="D42" i="1428"/>
  <c r="R41" i="1428"/>
  <c r="L7" i="1428" s="1"/>
  <c r="D7" i="1428" s="1"/>
  <c r="D41" i="1428"/>
  <c r="R40" i="1428"/>
  <c r="D40" i="1428"/>
  <c r="R39" i="1428"/>
  <c r="H39" i="1428"/>
  <c r="D39" i="1428"/>
  <c r="R38" i="1428"/>
  <c r="L9" i="1428" s="1"/>
  <c r="D9" i="1428" s="1"/>
  <c r="H38" i="1428"/>
  <c r="D38" i="1428"/>
  <c r="R37" i="1428"/>
  <c r="H37" i="1428"/>
  <c r="D37" i="1428"/>
  <c r="R36" i="1428"/>
  <c r="L10" i="1428" s="1"/>
  <c r="D10" i="1428" s="1"/>
  <c r="H36" i="1428"/>
  <c r="D36" i="1428"/>
  <c r="R35" i="1428"/>
  <c r="L19" i="1428" s="1"/>
  <c r="D19" i="1428" s="1"/>
  <c r="H35" i="1428"/>
  <c r="D35" i="1428"/>
  <c r="R34" i="1428"/>
  <c r="L12" i="1428" s="1"/>
  <c r="D12" i="1428" s="1"/>
  <c r="H34" i="1428"/>
  <c r="D34" i="1428"/>
  <c r="R33" i="1428"/>
  <c r="R32" i="1428"/>
  <c r="L11" i="1428" s="1"/>
  <c r="D11" i="1428" s="1"/>
  <c r="R31" i="1428"/>
  <c r="R30" i="1428"/>
  <c r="R29" i="1428"/>
  <c r="R28" i="1428"/>
  <c r="L16" i="1428" s="1"/>
  <c r="D16" i="1428" s="1"/>
  <c r="D28" i="1428"/>
  <c r="R27" i="1428"/>
  <c r="D27" i="1428"/>
  <c r="R26" i="1428"/>
  <c r="L26" i="1428"/>
  <c r="D26" i="1428"/>
  <c r="R25" i="1428"/>
  <c r="L25" i="1428"/>
  <c r="D25" i="1428" s="1"/>
  <c r="R24" i="1428"/>
  <c r="L24" i="1428"/>
  <c r="D24" i="1428" s="1"/>
  <c r="R23" i="1428"/>
  <c r="L23" i="1428"/>
  <c r="D23" i="1428"/>
  <c r="R22" i="1428"/>
  <c r="L22" i="1428"/>
  <c r="D22" i="1428"/>
  <c r="R21" i="1428"/>
  <c r="L17" i="1428" s="1"/>
  <c r="D17" i="1428" s="1"/>
  <c r="D21" i="1428"/>
  <c r="R20" i="1428"/>
  <c r="L20" i="1428"/>
  <c r="D20" i="1428" s="1"/>
  <c r="R19" i="1428"/>
  <c r="R18" i="1428"/>
  <c r="D18" i="1428"/>
  <c r="R17" i="1428"/>
  <c r="R16" i="1428"/>
  <c r="R15" i="1428"/>
  <c r="D15" i="1428"/>
  <c r="R14" i="1428"/>
  <c r="D14" i="1428"/>
  <c r="R13" i="1428"/>
  <c r="D13" i="1428"/>
  <c r="R12" i="1428"/>
  <c r="R11" i="1428"/>
  <c r="L8" i="1428"/>
  <c r="D8" i="1428" s="1"/>
  <c r="R6" i="1428"/>
  <c r="L6" i="1428"/>
  <c r="D6" i="1428" s="1"/>
  <c r="R5" i="1428"/>
  <c r="R4" i="1428"/>
  <c r="R52" i="1427"/>
  <c r="R51" i="1427"/>
  <c r="D50" i="1427"/>
  <c r="R49" i="1427"/>
  <c r="D49" i="1427"/>
  <c r="R48" i="1427"/>
  <c r="D48" i="1427"/>
  <c r="D46" i="1427"/>
  <c r="D45" i="1427"/>
  <c r="P44" i="1427"/>
  <c r="R44" i="1427" s="1"/>
  <c r="D44" i="1427"/>
  <c r="R42" i="1427"/>
  <c r="L6" i="1427" s="1"/>
  <c r="D6" i="1427" s="1"/>
  <c r="D42" i="1427"/>
  <c r="R41" i="1427"/>
  <c r="D41" i="1427"/>
  <c r="R40" i="1427"/>
  <c r="D40" i="1427"/>
  <c r="R39" i="1427"/>
  <c r="H39" i="1427"/>
  <c r="D39" i="1427"/>
  <c r="R38" i="1427"/>
  <c r="L9" i="1427" s="1"/>
  <c r="D9" i="1427" s="1"/>
  <c r="H38" i="1427"/>
  <c r="D38" i="1427"/>
  <c r="R37" i="1427"/>
  <c r="H37" i="1427"/>
  <c r="D37" i="1427"/>
  <c r="R36" i="1427"/>
  <c r="H36" i="1427"/>
  <c r="D36" i="1427"/>
  <c r="R35" i="1427"/>
  <c r="H35" i="1427"/>
  <c r="D35" i="1427"/>
  <c r="R34" i="1427"/>
  <c r="H34" i="1427"/>
  <c r="D34" i="1427"/>
  <c r="R33" i="1427"/>
  <c r="R32" i="1427"/>
  <c r="L11" i="1427" s="1"/>
  <c r="D11" i="1427" s="1"/>
  <c r="R31" i="1427"/>
  <c r="R30" i="1427"/>
  <c r="R29" i="1427"/>
  <c r="R28" i="1427"/>
  <c r="L16" i="1427" s="1"/>
  <c r="D16" i="1427" s="1"/>
  <c r="D28" i="1427"/>
  <c r="R27" i="1427"/>
  <c r="D27" i="1427"/>
  <c r="R26" i="1427"/>
  <c r="D26" i="1427"/>
  <c r="R25" i="1427"/>
  <c r="D25" i="1427"/>
  <c r="R24" i="1427"/>
  <c r="L24" i="1427"/>
  <c r="D24" i="1427"/>
  <c r="R23" i="1427"/>
  <c r="D23" i="1427"/>
  <c r="R22" i="1427"/>
  <c r="D22" i="1427"/>
  <c r="R21" i="1427"/>
  <c r="D21" i="1427"/>
  <c r="R20" i="1427"/>
  <c r="L20" i="1427"/>
  <c r="D20" i="1427"/>
  <c r="R19" i="1427"/>
  <c r="D19" i="1427"/>
  <c r="R18" i="1427"/>
  <c r="D18" i="1427"/>
  <c r="R17" i="1427"/>
  <c r="L17" i="1427"/>
  <c r="D17" i="1427"/>
  <c r="R16" i="1427"/>
  <c r="R15" i="1427"/>
  <c r="D15" i="1427"/>
  <c r="R14" i="1427"/>
  <c r="D14" i="1427"/>
  <c r="R13" i="1427"/>
  <c r="D13" i="1427"/>
  <c r="R12" i="1427"/>
  <c r="L12" i="1427"/>
  <c r="D12" i="1427"/>
  <c r="R11" i="1427"/>
  <c r="L10" i="1427"/>
  <c r="D10" i="1427"/>
  <c r="L8" i="1427"/>
  <c r="D8" i="1427" s="1"/>
  <c r="L7" i="1427"/>
  <c r="D7" i="1427" s="1"/>
  <c r="R6" i="1427"/>
  <c r="R5" i="1427"/>
  <c r="R4" i="1427"/>
  <c r="R52" i="1426"/>
  <c r="R51" i="1426"/>
  <c r="D50" i="1426"/>
  <c r="R49" i="1426"/>
  <c r="G49" i="1426"/>
  <c r="D49" i="1426"/>
  <c r="R48" i="1426"/>
  <c r="D48" i="1426"/>
  <c r="D46" i="1426"/>
  <c r="D45" i="1426"/>
  <c r="D44" i="1426"/>
  <c r="R42" i="1426"/>
  <c r="L6" i="1426" s="1"/>
  <c r="D6" i="1426" s="1"/>
  <c r="D42" i="1426"/>
  <c r="R41" i="1426"/>
  <c r="L7" i="1426" s="1"/>
  <c r="D7" i="1426" s="1"/>
  <c r="D41" i="1426"/>
  <c r="R40" i="1426"/>
  <c r="D40" i="1426"/>
  <c r="R39" i="1426"/>
  <c r="D39" i="1426"/>
  <c r="R38" i="1426"/>
  <c r="L9" i="1426" s="1"/>
  <c r="D9" i="1426" s="1"/>
  <c r="D38" i="1426"/>
  <c r="R37" i="1426"/>
  <c r="D37" i="1426"/>
  <c r="R36" i="1426"/>
  <c r="L10" i="1426" s="1"/>
  <c r="D10" i="1426" s="1"/>
  <c r="D36" i="1426"/>
  <c r="R35" i="1426"/>
  <c r="L19" i="1426" s="1"/>
  <c r="D19" i="1426" s="1"/>
  <c r="D35" i="1426"/>
  <c r="R34" i="1426"/>
  <c r="D34" i="1426"/>
  <c r="D54" i="1426" s="1"/>
  <c r="H14" i="1426" s="1"/>
  <c r="R33" i="1426"/>
  <c r="R32" i="1426"/>
  <c r="R31" i="1426"/>
  <c r="R30" i="1426"/>
  <c r="R29" i="1426"/>
  <c r="R28" i="1426"/>
  <c r="D28" i="1426"/>
  <c r="R27" i="1426"/>
  <c r="D27" i="1426"/>
  <c r="R26" i="1426"/>
  <c r="L26" i="1426"/>
  <c r="D26" i="1426"/>
  <c r="R25" i="1426"/>
  <c r="L25" i="1426"/>
  <c r="D25" i="1426"/>
  <c r="R24" i="1426"/>
  <c r="D24" i="1426"/>
  <c r="R23" i="1426"/>
  <c r="L23" i="1426"/>
  <c r="D23" i="1426"/>
  <c r="R22" i="1426"/>
  <c r="L22" i="1426"/>
  <c r="D22" i="1426" s="1"/>
  <c r="R21" i="1426"/>
  <c r="D21" i="1426"/>
  <c r="R20" i="1426"/>
  <c r="L20" i="1426"/>
  <c r="D20" i="1426"/>
  <c r="R19" i="1426"/>
  <c r="R18" i="1426"/>
  <c r="D18" i="1426"/>
  <c r="R17" i="1426"/>
  <c r="D17" i="1426"/>
  <c r="R16" i="1426"/>
  <c r="L16" i="1426"/>
  <c r="D16" i="1426" s="1"/>
  <c r="S15" i="1426"/>
  <c r="R15" i="1426"/>
  <c r="D15" i="1426"/>
  <c r="S14" i="1426"/>
  <c r="R14" i="1426"/>
  <c r="D14" i="1426"/>
  <c r="R13" i="1426"/>
  <c r="D13" i="1426"/>
  <c r="R12" i="1426"/>
  <c r="L12" i="1426"/>
  <c r="D12" i="1426"/>
  <c r="R11" i="1426"/>
  <c r="L11" i="1426"/>
  <c r="D11" i="1426" s="1"/>
  <c r="L8" i="1426"/>
  <c r="D8" i="1426"/>
  <c r="R6" i="1426"/>
  <c r="R5" i="1426"/>
  <c r="R4" i="1426"/>
  <c r="G49" i="1427" l="1"/>
  <c r="G49" i="1428"/>
  <c r="G49" i="1429"/>
  <c r="D54" i="1429"/>
  <c r="H14" i="1429" s="1"/>
  <c r="D54" i="1428"/>
  <c r="H14" i="1428" s="1"/>
  <c r="D29" i="1428"/>
  <c r="H13" i="1428" s="1"/>
  <c r="D54" i="1427"/>
  <c r="H14" i="1427" s="1"/>
  <c r="D29" i="1429"/>
  <c r="H13" i="1429" s="1"/>
  <c r="D29" i="1427"/>
  <c r="H13" i="1427" s="1"/>
  <c r="D29" i="1426"/>
  <c r="H13" i="1426" s="1"/>
  <c r="H15" i="1426" s="1"/>
  <c r="H29" i="1426" s="1"/>
  <c r="G51" i="1426" s="1"/>
  <c r="H15" i="1429" l="1"/>
  <c r="H29" i="1429" s="1"/>
  <c r="G51" i="1429" s="1"/>
  <c r="H15" i="1428"/>
  <c r="H29" i="1428" s="1"/>
  <c r="G51" i="1428" s="1"/>
  <c r="H15" i="1427"/>
  <c r="H29" i="1427" s="1"/>
  <c r="G51" i="1427" s="1"/>
</calcChain>
</file>

<file path=xl/sharedStrings.xml><?xml version="1.0" encoding="utf-8"?>
<sst xmlns="http://schemas.openxmlformats.org/spreadsheetml/2006/main" count="7079" uniqueCount="162">
  <si>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</si>
  <si>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</si>
  <si>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</si>
  <si>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</si>
  <si>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</si>
  <si>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</si>
  <si>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</si>
  <si>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</si>
  <si>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</si>
  <si>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</si>
  <si>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</si>
  <si>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</si>
  <si>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</si>
  <si>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</si>
  <si>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</si>
  <si>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</si>
  <si>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</si>
  <si>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</si>
  <si>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</si>
  <si>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</si>
  <si>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</si>
  <si>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</si>
  <si>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</si>
  <si>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</si>
  <si>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</si>
  <si>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</si>
  <si>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</si>
  <si>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</si>
  <si>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</si>
  <si>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</si>
  <si>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</si>
  <si>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</si>
  <si>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</si>
  <si>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</si>
  <si>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</si>
  <si>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</si>
  <si>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</si>
  <si>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</si>
  <si>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</si>
  <si>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</si>
  <si>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</si>
  <si>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</si>
  <si>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</si>
  <si>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</si>
  <si>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</si>
  <si>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</si>
  <si>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</si>
  <si>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</si>
  <si>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</si>
  <si>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</si>
  <si>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</si>
  <si>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</si>
  <si>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</si>
  <si>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</si>
  <si>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</si>
  <si>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</si>
  <si>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</si>
  <si>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</si>
  <si>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</si>
  <si>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</si>
  <si>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</si>
  <si>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</si>
  <si>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</si>
  <si>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</si>
  <si>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</si>
  <si>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</si>
  <si>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</si>
  <si>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</si>
  <si>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</si>
  <si>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</si>
  <si>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</si>
  <si>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</si>
  <si>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</si>
  <si>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</si>
  <si>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</si>
  <si>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</si>
  <si>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</si>
  <si>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</si>
  <si>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</si>
  <si>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</si>
  <si>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</si>
  <si>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</si>
  <si>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</si>
  <si>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</si>
  <si>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</si>
  <si>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</si>
  <si>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</si>
  <si>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</si>
  <si>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</si>
  <si>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</si>
  <si>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</si>
  <si>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</si>
  <si>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</si>
  <si>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</si>
  <si>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</si>
  <si>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</si>
  <si>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</si>
  <si>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</si>
  <si>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</si>
  <si>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</si>
  <si>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</si>
  <si>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</si>
  <si>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</si>
  <si>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</si>
  <si>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</si>
  <si>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</si>
  <si>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</si>
  <si>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</si>
  <si>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</si>
  <si>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</si>
  <si>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</si>
  <si>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</si>
  <si>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</si>
  <si>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</si>
  <si>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</si>
  <si>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</si>
  <si>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</si>
  <si>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</si>
  <si>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</si>
  <si>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</si>
  <si>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</si>
  <si>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</si>
  <si>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</si>
  <si>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</si>
  <si>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</si>
  <si>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</si>
  <si>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</si>
  <si>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</si>
  <si>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</si>
  <si>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</si>
  <si>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</si>
  <si>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</si>
  <si>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</si>
  <si>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</si>
  <si>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MOCOY, JULIET</t>
  </si>
  <si>
    <t xml:space="preserve">                            JULIET MOCOY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</si>
  <si>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</si>
  <si>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</si>
  <si>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</si>
  <si>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</si>
  <si>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</si>
  <si>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</si>
  <si>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</si>
  <si>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</si>
  <si>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BDO</t>
  </si>
  <si>
    <t>142807</t>
  </si>
  <si>
    <t>477765</t>
  </si>
  <si>
    <t>BALWARTE</t>
  </si>
  <si>
    <t>PNB</t>
  </si>
  <si>
    <t>BANK TRANSFER</t>
  </si>
  <si>
    <t>GICA, GRACE B.</t>
  </si>
  <si>
    <t xml:space="preserve">                            GRACE B. GICA</t>
  </si>
  <si>
    <t>3A</t>
  </si>
  <si>
    <t>3B</t>
  </si>
  <si>
    <t>2000007507</t>
  </si>
  <si>
    <t>200002548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</si>
  <si>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</si>
  <si>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G-CASH</t>
  </si>
  <si>
    <t>140763</t>
  </si>
  <si>
    <t>2000002557</t>
  </si>
  <si>
    <t>1VB</t>
  </si>
  <si>
    <t>4820773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</si>
</sst>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6" xfId="0" applyFont="1" applyFill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F1F50-33E5-4430-B51C-EF2A62C58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92D4F-8A8E-4055-B560-E2F54EF45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48</xdr:row>
      <xdr:rowOff>135000</xdr:rowOff>
    </xdr:from>
    <xdr:to>
      <xdr:col>3</xdr:col>
      <xdr:colOff>742950</xdr:colOff>
      <xdr:row>63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6253EC8-0336-45E1-97A9-BF7D35DD9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9507600"/>
          <a:ext cx="2143125" cy="2855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C1EAD1-E17B-482F-A174-9ACE46FEB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27EE2F-98C8-44EC-9AA5-357C575DC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612AB0-7AFF-40E7-AC3D-EB4D18146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733427</xdr:colOff>
      <xdr:row>54</xdr:row>
      <xdr:rowOff>89123</xdr:rowOff>
    </xdr:from>
    <xdr:to>
      <xdr:col>3</xdr:col>
      <xdr:colOff>219075</xdr:colOff>
      <xdr:row>56</xdr:row>
      <xdr:rowOff>97005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EDA67F-9349-4815-9458-58401ECD7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7" y="10642823"/>
          <a:ext cx="1104898" cy="38888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8F270-1896-4832-A529-EA367D0A0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76665</xdr:rowOff>
    </xdr:from>
    <xdr:to>
      <xdr:col>3</xdr:col>
      <xdr:colOff>1171575</xdr:colOff>
      <xdr:row>64</xdr:row>
      <xdr:rowOff>57150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2AC0AF-BC39-44A3-96E0-91D80E24B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449265"/>
          <a:ext cx="2619375" cy="30665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C513B-3831-4D05-83F8-9E506B4A15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5F378-CCC4-48F7-99E1-BF20F3870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723900</xdr:colOff>
      <xdr:row>54</xdr:row>
      <xdr:rowOff>78374</xdr:rowOff>
    </xdr:from>
    <xdr:to>
      <xdr:col>3</xdr:col>
      <xdr:colOff>180975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4FE72D8-3BDC-4841-B695-C8CFEAA87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0" y="10632074"/>
          <a:ext cx="1076325" cy="37882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58AC76-C629-43A1-8BB7-54E352502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995ED-4CD6-4552-A655-BCBA59740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9A8C45-EF87-400B-A9A0-95087D45C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704850</xdr:colOff>
      <xdr:row>54</xdr:row>
      <xdr:rowOff>66675</xdr:rowOff>
    </xdr:from>
    <xdr:to>
      <xdr:col>3</xdr:col>
      <xdr:colOff>249290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D3A7FF-AF7C-4D76-8D6E-E406B1C3B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0" y="10620375"/>
          <a:ext cx="1163690" cy="40957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C693C4-FAC4-41EE-B18B-979A6F2E5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E7049C-F98E-4B41-89AF-1689C52D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4E7E9-0C85-4737-8843-8412861B6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161925</xdr:rowOff>
    </xdr:from>
    <xdr:to>
      <xdr:col>3</xdr:col>
      <xdr:colOff>695325</xdr:colOff>
      <xdr:row>63</xdr:row>
      <xdr:rowOff>122175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C5720D-8A62-4EB8-8168-5A59DB54BB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534525"/>
          <a:ext cx="2143125" cy="28558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51B88-79AF-4982-8334-23B4D9A16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D1D365-1431-4083-9A65-86B87A8EE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EF83D-45E8-4515-85F4-061F35013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2979FA-D15F-4B41-BE69-427949040C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08863-3611-4816-8F41-33468C797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EDD0B-FEC8-4AB8-A059-51B20C25C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C6F38C-020F-4A1A-B650-75978B25E8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9C9035D-F6B5-47B4-8B16-89987DB796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A63F1-9DEC-4502-ADEE-10A63E3FE5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B4F60E-69FC-4315-8D37-B2A76BAB3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2E33B-B68A-48DE-B1E3-2648167613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C209A7-420F-44E9-882A-762F85C37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F42240-E0BD-412B-89FD-BC0F2CD281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0C3937-2806-4482-AEFF-27D23C54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1A2B6-4068-4EA6-B55F-C2E5E1FED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D71D9B-D0ED-4A13-8DD8-DE9E9EBCC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4F34A6-7ACE-4179-815C-44D3FF2356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A7BF58-0120-4DCB-B1F1-029A0D5BAA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278142-DC23-4A58-A77D-477E5A532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078616-F302-41EB-973F-A8A4ECD899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4FC4B0-C39F-457F-B51B-F788E020AF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4640BE-2F17-48BB-87AF-10551FF50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93AC4E-9290-4D1C-A5F7-8BF187CB74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62CDBB-8CF4-4166-8588-2B7AA74D3A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EF20F-9DB2-4314-B15F-1D603DFBB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2C75D-78F9-4836-8E25-11041522AB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BD3CB-3714-4A3F-8282-FD6C0EA7AE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8CEA63-A93C-4C49-9287-68DC141EFD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2CF7D0-BCB7-4C1F-A414-FD1898034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E00534-80DC-4E69-8515-D94FC0B050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89CC3E-6DB7-4268-9811-433F1C430A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282124-5738-4E4A-9D35-58DC489477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F6879-4A8B-4516-ADCB-229DD53B5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429C3-3FCE-4466-8011-FF45B555B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G10" sqref="G10:J11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A51F-0B45-4A82-8950-DF28858737EF}">
  <dimension ref="A1:S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87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8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C0F4-D446-4AE4-AD42-176FD14022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45964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>
        <v>189</v>
      </c>
      <c r="D6" s="13">
        <f t="shared" ref="D6:D28" si="1">C6*L6</f>
        <v>139293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>
        <v>10</v>
      </c>
      <c r="D7" s="13">
        <f t="shared" si="1"/>
        <v>7250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>
        <v>1</v>
      </c>
      <c r="D8" s="13">
        <f t="shared" si="1"/>
        <v>1033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>
        <v>21</v>
      </c>
      <c r="D9" s="13">
        <f t="shared" si="1"/>
        <v>14847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>
        <v>1</v>
      </c>
      <c r="D11" s="13">
        <f t="shared" si="1"/>
        <v>1125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>
        <f>1+1</f>
        <v>2</v>
      </c>
      <c r="D12" s="48">
        <f t="shared" si="1"/>
        <v>1904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>
        <f>7</f>
        <v>7</v>
      </c>
      <c r="D13" s="48">
        <f t="shared" si="1"/>
        <v>2149</v>
      </c>
      <c r="F13" s="233" t="s">
        <v>36</v>
      </c>
      <c r="G13" s="197"/>
      <c r="H13" s="188">
        <f>D29</f>
        <v>176285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>
        <v>18</v>
      </c>
      <c r="D14" s="31">
        <f t="shared" si="1"/>
        <v>198</v>
      </c>
      <c r="F14" s="191" t="s">
        <v>39</v>
      </c>
      <c r="G14" s="192"/>
      <c r="H14" s="193">
        <f>D54</f>
        <v>26221.5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150063.5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>
        <v>1</v>
      </c>
      <c r="D18" s="48">
        <f t="shared" si="1"/>
        <v>620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>
        <f>2+1</f>
        <v>3</v>
      </c>
      <c r="D19" s="48">
        <f t="shared" si="1"/>
        <v>3306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>
        <f>2+2</f>
        <v>4</v>
      </c>
      <c r="D21" s="48">
        <f t="shared" si="1"/>
        <v>2600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 t="s">
        <v>147</v>
      </c>
      <c r="G26" s="65"/>
      <c r="H26" s="144">
        <v>87612</v>
      </c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8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>
        <v>1</v>
      </c>
      <c r="D28" s="48">
        <f t="shared" si="1"/>
        <v>785</v>
      </c>
      <c r="F28" s="87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176285</v>
      </c>
      <c r="F29" s="105" t="s">
        <v>55</v>
      </c>
      <c r="G29" s="167"/>
      <c r="H29" s="127">
        <f>H15-H16-H17-H18-H19-H20-H22-H23-H24+H26+H27+H28</f>
        <v>237675.5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49">
        <f t="shared" ref="H34:H39" si="2">F34*G34</f>
        <v>120000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48</v>
      </c>
      <c r="H35" s="149">
        <f t="shared" si="2"/>
        <v>24000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>
        <v>28</v>
      </c>
      <c r="D36" s="12">
        <f>C36*1.5</f>
        <v>42</v>
      </c>
      <c r="F36" s="12">
        <v>200</v>
      </c>
      <c r="G36" s="37">
        <v>1</v>
      </c>
      <c r="H36" s="149">
        <f t="shared" si="2"/>
        <v>200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>
        <v>35</v>
      </c>
      <c r="H37" s="149">
        <f t="shared" si="2"/>
        <v>3500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149">
        <f t="shared" si="2"/>
        <v>250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6</v>
      </c>
      <c r="D42" s="12">
        <f>C42*2.25</f>
        <v>13.5</v>
      </c>
      <c r="F42" s="39" t="s">
        <v>79</v>
      </c>
      <c r="G42" s="149">
        <v>2143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8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>
        <v>2</v>
      </c>
      <c r="D44" s="12">
        <f>C44*120</f>
        <v>240</v>
      </c>
      <c r="F44" s="37" t="s">
        <v>148</v>
      </c>
      <c r="G44" s="99" t="s">
        <v>149</v>
      </c>
      <c r="H44" s="144">
        <v>87612</v>
      </c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>
        <v>3</v>
      </c>
      <c r="D45" s="12">
        <f>C45*84</f>
        <v>252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237705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22</v>
      </c>
      <c r="D50" s="12">
        <f>C50*1.5</f>
        <v>33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143</v>
      </c>
      <c r="G51" s="135">
        <f>G49-H29</f>
        <v>29.5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26221.5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F8DC-70A4-46A5-8F90-D43D8A29E3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45964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329</v>
      </c>
      <c r="D6" s="13">
        <f t="shared" ref="D6:D28" si="1">C6*L6</f>
        <v>242473</v>
      </c>
      <c r="F6" s="212" t="s">
        <v>16</v>
      </c>
      <c r="G6" s="214" t="s">
        <v>134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13</v>
      </c>
      <c r="D9" s="13">
        <f t="shared" si="1"/>
        <v>9191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233" t="s">
        <v>36</v>
      </c>
      <c r="G13" s="197"/>
      <c r="H13" s="188">
        <f>D29</f>
        <v>254855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11</v>
      </c>
      <c r="D14" s="31">
        <f t="shared" si="1"/>
        <v>121</v>
      </c>
      <c r="F14" s="191" t="s">
        <v>39</v>
      </c>
      <c r="G14" s="192"/>
      <c r="H14" s="193">
        <f>D54</f>
        <v>38556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216299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1998+1071</f>
        <v>3069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87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254855</v>
      </c>
      <c r="F29" s="105" t="s">
        <v>55</v>
      </c>
      <c r="G29" s="167"/>
      <c r="H29" s="127">
        <f>H15-H16-H17-H18-H19-H20-H22-H23-H24+H26+H27</f>
        <v>213230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149">
        <f>F34*G34</f>
        <v>73000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9</v>
      </c>
      <c r="H35" s="149">
        <f t="shared" ref="H35:H39" si="2">F35*G35</f>
        <v>4500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9">
        <f>F36*G36</f>
        <v>400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341</v>
      </c>
      <c r="D37" s="12">
        <f>C37*111</f>
        <v>37851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>
        <v>105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8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 t="s">
        <v>144</v>
      </c>
      <c r="G44" s="62" t="s">
        <v>145</v>
      </c>
      <c r="H44" s="144">
        <v>134760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85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10</v>
      </c>
      <c r="D49" s="12">
        <f>C49*42</f>
        <v>420</v>
      </c>
      <c r="F49" s="125" t="s">
        <v>86</v>
      </c>
      <c r="G49" s="127">
        <f>H34+H35+H36+H37+H38+H39+H40+H41+G42+H44+H45+H46</f>
        <v>212765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10</v>
      </c>
      <c r="D50" s="12">
        <f>C50*1.5</f>
        <v>15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-465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38556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5A33-CB43-46F6-B08E-4260FA9D7C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45964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264</v>
      </c>
      <c r="D6" s="13">
        <f t="shared" ref="D6:D28" si="1">C6*L6</f>
        <v>194568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</v>
      </c>
      <c r="D7" s="13">
        <f t="shared" si="1"/>
        <v>3625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44</v>
      </c>
      <c r="D9" s="13">
        <f t="shared" si="1"/>
        <v>31108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</v>
      </c>
      <c r="D10" s="13">
        <f t="shared" si="1"/>
        <v>972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1</v>
      </c>
      <c r="D11" s="13">
        <f t="shared" si="1"/>
        <v>1125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1</f>
        <v>1</v>
      </c>
      <c r="D12" s="48">
        <f t="shared" si="1"/>
        <v>952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233" t="s">
        <v>36</v>
      </c>
      <c r="G13" s="197"/>
      <c r="H13" s="188">
        <f>D29</f>
        <v>237953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13</v>
      </c>
      <c r="D14" s="31">
        <f t="shared" si="1"/>
        <v>143</v>
      </c>
      <c r="F14" s="191" t="s">
        <v>39</v>
      </c>
      <c r="G14" s="192"/>
      <c r="H14" s="193">
        <f>D54</f>
        <v>37326.75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200626.25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840+990</f>
        <v>1830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>
        <v>5</v>
      </c>
      <c r="D28" s="48">
        <f t="shared" si="1"/>
        <v>3925</v>
      </c>
      <c r="F28" s="87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237953</v>
      </c>
      <c r="F29" s="105" t="s">
        <v>55</v>
      </c>
      <c r="G29" s="167"/>
      <c r="H29" s="127">
        <f>H15-H16-H17-H18-H19-H20-H22-H23-H24+H26+H27</f>
        <v>198796.25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103</v>
      </c>
      <c r="H34" s="149">
        <f>F34*G34</f>
        <v>103000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49">
        <f>F35*G35</f>
        <v>10000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149">
        <f t="shared" si="2"/>
        <v>700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</v>
      </c>
      <c r="H38" s="149">
        <f t="shared" si="2"/>
        <v>150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49">
        <v>521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8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2</v>
      </c>
      <c r="D44" s="12">
        <f>C44*120</f>
        <v>240</v>
      </c>
      <c r="F44" s="37" t="s">
        <v>144</v>
      </c>
      <c r="G44" s="76" t="s">
        <v>146</v>
      </c>
      <c r="H44" s="144">
        <v>84520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>
        <v>1</v>
      </c>
      <c r="D45" s="12">
        <f>C45*84</f>
        <v>84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3</v>
      </c>
      <c r="D46" s="12">
        <f>C46*1.5</f>
        <v>4.5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198891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3</v>
      </c>
      <c r="D50" s="12">
        <f>C50*1.5</f>
        <v>4.5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143</v>
      </c>
      <c r="G51" s="135">
        <f>G49-H29</f>
        <v>94.75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37326.75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245C-2F03-4D7E-9D64-49283D24D41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848E-CC0D-44E8-9ADE-BC5E64489F5B}">
  <dimension ref="A1:R59"/>
  <sheetViews>
    <sheetView topLeftCell="A25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45965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9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9D251-BBF9-4740-B033-9F19104E1F9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45965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342</v>
      </c>
      <c r="D6" s="13">
        <f t="shared" ref="D6:D28" si="1">C6*L6</f>
        <v>252054</v>
      </c>
      <c r="F6" s="212" t="s">
        <v>16</v>
      </c>
      <c r="G6" s="214" t="s">
        <v>150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7250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50</v>
      </c>
      <c r="D9" s="13">
        <f t="shared" si="1"/>
        <v>35350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15</v>
      </c>
      <c r="D13" s="48">
        <f t="shared" si="1"/>
        <v>4605</v>
      </c>
      <c r="F13" s="233" t="s">
        <v>36</v>
      </c>
      <c r="G13" s="197"/>
      <c r="H13" s="188">
        <f>D29</f>
        <v>299270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</v>
      </c>
      <c r="D14" s="31">
        <f t="shared" si="1"/>
        <v>11</v>
      </c>
      <c r="F14" s="191" t="s">
        <v>39</v>
      </c>
      <c r="G14" s="192"/>
      <c r="H14" s="193">
        <f>D54</f>
        <v>49524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249746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399*9</f>
        <v>3591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299270</v>
      </c>
      <c r="F29" s="105" t="s">
        <v>55</v>
      </c>
      <c r="G29" s="167"/>
      <c r="H29" s="127">
        <f>H15-H16-H17-H18-H19-H20-H22-H23-H24+H26+H27</f>
        <v>246155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49">
        <f>F34*G34</f>
        <v>103000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149">
        <f t="shared" ref="H35:H39" si="2">F35*G35</f>
        <v>57500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49">
        <f>F36*G36</f>
        <v>200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412</v>
      </c>
      <c r="D37" s="12">
        <f>C37*111</f>
        <v>45732</v>
      </c>
      <c r="F37" s="12">
        <v>100</v>
      </c>
      <c r="G37" s="39">
        <v>708</v>
      </c>
      <c r="H37" s="149">
        <f t="shared" si="2"/>
        <v>70800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305</v>
      </c>
      <c r="H38" s="149">
        <f t="shared" si="2"/>
        <v>15250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>
        <v>20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9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31</v>
      </c>
      <c r="D49" s="12">
        <f>C49*42</f>
        <v>1302</v>
      </c>
      <c r="F49" s="125" t="s">
        <v>86</v>
      </c>
      <c r="G49" s="127">
        <f>H34+H35+H36+H37+H38+H39+H40+H41+G42+H44+H45+H46</f>
        <v>246770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156</v>
      </c>
      <c r="G51" s="135">
        <f>G49-H29</f>
        <v>615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49524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741-6CC8-4F85-B062-DB0A34186C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 t="s">
        <v>152</v>
      </c>
      <c r="H4" s="206" t="s">
        <v>9</v>
      </c>
      <c r="I4" s="208">
        <v>45965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703</v>
      </c>
      <c r="D6" s="13">
        <f t="shared" ref="D6:D28" si="1">C6*L6</f>
        <v>518111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16</v>
      </c>
      <c r="D7" s="13">
        <f t="shared" si="1"/>
        <v>11600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2</v>
      </c>
      <c r="D8" s="13">
        <f t="shared" si="1"/>
        <v>2066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147</v>
      </c>
      <c r="D9" s="13">
        <f t="shared" si="1"/>
        <v>103929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1944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3</v>
      </c>
      <c r="D11" s="13">
        <f t="shared" si="1"/>
        <v>3375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2+1</f>
        <v>3</v>
      </c>
      <c r="D12" s="48">
        <f t="shared" si="1"/>
        <v>2856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35</v>
      </c>
      <c r="D13" s="48">
        <f t="shared" si="1"/>
        <v>10745</v>
      </c>
      <c r="F13" s="233" t="s">
        <v>36</v>
      </c>
      <c r="G13" s="197"/>
      <c r="H13" s="188">
        <f>D29</f>
        <v>654670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4</v>
      </c>
      <c r="D14" s="31">
        <f t="shared" si="1"/>
        <v>44</v>
      </c>
      <c r="F14" s="191" t="s">
        <v>39</v>
      </c>
      <c r="G14" s="192"/>
      <c r="H14" s="193">
        <f>D54</f>
        <v>112054.5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542615.5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1794+3000+672</f>
        <v>5466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654670</v>
      </c>
      <c r="F29" s="105" t="s">
        <v>55</v>
      </c>
      <c r="G29" s="167"/>
      <c r="H29" s="127">
        <f>H15-H16-H17-H18-H19-H20-H22-H23-H24+H26+H27</f>
        <v>537149.5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29</v>
      </c>
      <c r="H34" s="149">
        <f>F34*G34</f>
        <v>29000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46</v>
      </c>
      <c r="H35" s="149">
        <f>F35*G35</f>
        <v>23000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959</v>
      </c>
      <c r="D37" s="12">
        <f>C37*111</f>
        <v>106449</v>
      </c>
      <c r="F37" s="12">
        <v>100</v>
      </c>
      <c r="G37" s="39">
        <v>2</v>
      </c>
      <c r="H37" s="149">
        <f t="shared" si="2"/>
        <v>200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19</v>
      </c>
      <c r="D40" s="12">
        <f>C40*111</f>
        <v>2109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8</v>
      </c>
      <c r="D42" s="12">
        <f>C42*2.25</f>
        <v>18</v>
      </c>
      <c r="F42" s="39" t="s">
        <v>79</v>
      </c>
      <c r="G42" s="149">
        <v>40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6</v>
      </c>
      <c r="D44" s="12">
        <f>C44*120</f>
        <v>720</v>
      </c>
      <c r="F44" s="37" t="s">
        <v>148</v>
      </c>
      <c r="G44" s="76" t="s">
        <v>154</v>
      </c>
      <c r="H44" s="144">
        <v>302372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>
        <v>2</v>
      </c>
      <c r="D45" s="12">
        <f>C45*84</f>
        <v>168</v>
      </c>
      <c r="F45" s="37" t="s">
        <v>148</v>
      </c>
      <c r="G45" s="76" t="s">
        <v>155</v>
      </c>
      <c r="H45" s="144">
        <v>182588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5</v>
      </c>
      <c r="D46" s="12">
        <f>C46*1.5</f>
        <v>7.5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8</v>
      </c>
      <c r="D49" s="12">
        <f>C49*42</f>
        <v>336</v>
      </c>
      <c r="F49" s="125" t="s">
        <v>86</v>
      </c>
      <c r="G49" s="127">
        <f>H34+H35+H36+H37+H38+H39+H40+H41+G42+H44+H45+H46</f>
        <v>537250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143</v>
      </c>
      <c r="G51" s="135">
        <f>G49-H29</f>
        <v>100.5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112054.5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22540-8CC4-4D2A-93A6-64080A247A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 t="s">
        <v>153</v>
      </c>
      <c r="H4" s="206" t="s">
        <v>9</v>
      </c>
      <c r="I4" s="208">
        <v>45965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213</v>
      </c>
      <c r="D6" s="13">
        <f t="shared" ref="D6:D28" si="1">C6*L6</f>
        <v>156981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4</v>
      </c>
      <c r="D7" s="13">
        <f t="shared" si="1"/>
        <v>2900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</v>
      </c>
      <c r="D9" s="13">
        <f t="shared" si="1"/>
        <v>7070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7</v>
      </c>
      <c r="D13" s="48">
        <f t="shared" si="1"/>
        <v>2149</v>
      </c>
      <c r="F13" s="233" t="s">
        <v>36</v>
      </c>
      <c r="G13" s="197"/>
      <c r="H13" s="188">
        <f>D29</f>
        <v>169353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23</v>
      </c>
      <c r="D14" s="31">
        <f t="shared" si="1"/>
        <v>253</v>
      </c>
      <c r="F14" s="191" t="s">
        <v>39</v>
      </c>
      <c r="G14" s="192"/>
      <c r="H14" s="193">
        <f>D54</f>
        <v>32837.25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136515.75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936+324</f>
        <v>1260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6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169353</v>
      </c>
      <c r="F29" s="105" t="s">
        <v>55</v>
      </c>
      <c r="G29" s="167"/>
      <c r="H29" s="127">
        <f>H15-H16-H17-H18-H19-H20-H22-H23-H24+H26+H27</f>
        <v>135255.75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98</v>
      </c>
      <c r="H34" s="149">
        <f>F34*G34</f>
        <v>98000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73</v>
      </c>
      <c r="H35" s="149">
        <f>F35*G35</f>
        <v>36500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285</v>
      </c>
      <c r="D37" s="12">
        <f>C37*111</f>
        <v>31635</v>
      </c>
      <c r="F37" s="12">
        <v>100</v>
      </c>
      <c r="G37" s="39">
        <v>5</v>
      </c>
      <c r="H37" s="149">
        <f t="shared" si="2"/>
        <v>500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9">
        <v>22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8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25</v>
      </c>
      <c r="D46" s="12">
        <f>C46*1.5</f>
        <v>37.5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3</v>
      </c>
      <c r="D49" s="12">
        <f>C49*42</f>
        <v>126</v>
      </c>
      <c r="F49" s="125" t="s">
        <v>86</v>
      </c>
      <c r="G49" s="127">
        <f>H34+H35+H36+H37+H38+H39+H40+H41+G42+H44+H45+H46</f>
        <v>135022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20</v>
      </c>
      <c r="D50" s="12">
        <f>C50*1.5</f>
        <v>30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38">
        <f>G49-H29</f>
        <v>-233.75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32837.25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EC33-CA33-4861-B448-E7E133AB29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EBA64-A50F-4749-810F-086D5C88E3F2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45966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>
        <v>291</v>
      </c>
      <c r="D6" s="13">
        <f t="shared" ref="D6:D28" si="1">C6*L6</f>
        <v>214467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>
        <v>5</v>
      </c>
      <c r="D7" s="13">
        <f t="shared" si="1"/>
        <v>3625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>
        <v>25</v>
      </c>
      <c r="D9" s="13">
        <f t="shared" si="1"/>
        <v>17675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>
        <v>5</v>
      </c>
      <c r="D13" s="48">
        <f t="shared" si="1"/>
        <v>1535</v>
      </c>
      <c r="F13" s="233" t="s">
        <v>36</v>
      </c>
      <c r="G13" s="197"/>
      <c r="H13" s="188">
        <f>D29</f>
        <v>238949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>
        <v>7</v>
      </c>
      <c r="D14" s="31">
        <f t="shared" si="1"/>
        <v>77</v>
      </c>
      <c r="F14" s="191" t="s">
        <v>39</v>
      </c>
      <c r="G14" s="192"/>
      <c r="H14" s="193">
        <f>D54</f>
        <v>35661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203288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9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>
        <v>2</v>
      </c>
      <c r="D28" s="48">
        <f t="shared" si="1"/>
        <v>1570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238949</v>
      </c>
      <c r="F29" s="105" t="s">
        <v>55</v>
      </c>
      <c r="G29" s="167"/>
      <c r="H29" s="127">
        <f>H15-H16-H17-H18-H19-H20-H22-H23-H24+H26+H27+H28</f>
        <v>203288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119</v>
      </c>
      <c r="H34" s="149">
        <f t="shared" ref="H34:H39" si="2">F34*G34</f>
        <v>119000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49">
        <f t="shared" si="2"/>
        <v>40000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9">
        <f t="shared" si="2"/>
        <v>400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>
        <v>113</v>
      </c>
      <c r="H37" s="149">
        <f t="shared" si="2"/>
        <v>11300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30</v>
      </c>
      <c r="H38" s="149">
        <f t="shared" si="2"/>
        <v>1500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49">
        <f t="shared" si="2"/>
        <v>20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>
        <v>394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 t="s">
        <v>157</v>
      </c>
      <c r="G44" s="62"/>
      <c r="H44" s="144">
        <v>30000</v>
      </c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15</v>
      </c>
      <c r="D46" s="12">
        <f>C46*1.5</f>
        <v>22.5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1</v>
      </c>
      <c r="D49" s="12">
        <f>C49*42</f>
        <v>42</v>
      </c>
      <c r="F49" s="125" t="s">
        <v>86</v>
      </c>
      <c r="G49" s="127">
        <f>H34+H35+H36+H37+H38+H39+H40+H41+G42+H44+H45+H46</f>
        <v>202614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15</v>
      </c>
      <c r="D50" s="12">
        <f>C50*1.5</f>
        <v>22.5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-674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35661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17E02-6036-4784-84B1-F11D994CFD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45966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268</v>
      </c>
      <c r="D6" s="13">
        <f t="shared" ref="D6:D28" si="1">C6*L6</f>
        <v>197516</v>
      </c>
      <c r="F6" s="212" t="s">
        <v>16</v>
      </c>
      <c r="G6" s="214" t="s">
        <v>150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</v>
      </c>
      <c r="D7" s="13">
        <f t="shared" si="1"/>
        <v>3625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15</v>
      </c>
      <c r="D9" s="13">
        <f t="shared" si="1"/>
        <v>10605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6</v>
      </c>
      <c r="D12" s="48">
        <f t="shared" si="1"/>
        <v>5712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11</v>
      </c>
      <c r="D13" s="48">
        <f t="shared" si="1"/>
        <v>3377</v>
      </c>
      <c r="F13" s="233" t="s">
        <v>36</v>
      </c>
      <c r="G13" s="197"/>
      <c r="H13" s="188">
        <f>D29</f>
        <v>236512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7</v>
      </c>
      <c r="D14" s="31">
        <f t="shared" si="1"/>
        <v>77</v>
      </c>
      <c r="F14" s="191" t="s">
        <v>39</v>
      </c>
      <c r="G14" s="192"/>
      <c r="H14" s="193">
        <f>D54</f>
        <v>59487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177025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v>1683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>
        <f>13+11</f>
        <v>24</v>
      </c>
      <c r="D21" s="48">
        <f t="shared" si="1"/>
        <v>15600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236512</v>
      </c>
      <c r="F29" s="105" t="s">
        <v>55</v>
      </c>
      <c r="G29" s="167"/>
      <c r="H29" s="127">
        <f>H15-H16-H17-H18-H19-H20-H22-H23-H24+H26+H27</f>
        <v>175342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149">
        <f>F34*G34</f>
        <v>51000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33</v>
      </c>
      <c r="H35" s="149">
        <f t="shared" ref="H35:H39" si="2">F35*G35</f>
        <v>16500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9">
        <f>F36*G36</f>
        <v>400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518</v>
      </c>
      <c r="D37" s="12">
        <f>C37*111</f>
        <v>57498</v>
      </c>
      <c r="F37" s="12">
        <v>100</v>
      </c>
      <c r="G37" s="39">
        <v>27</v>
      </c>
      <c r="H37" s="149">
        <f t="shared" si="2"/>
        <v>2700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30</v>
      </c>
      <c r="H38" s="149">
        <f t="shared" si="2"/>
        <v>1500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49">
        <f t="shared" si="2"/>
        <v>40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>
        <v>1024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1</v>
      </c>
      <c r="D44" s="12">
        <f>C44*120</f>
        <v>120</v>
      </c>
      <c r="F44" s="37" t="s">
        <v>144</v>
      </c>
      <c r="G44" s="62" t="s">
        <v>158</v>
      </c>
      <c r="H44" s="144">
        <v>102187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9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175351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3</v>
      </c>
      <c r="D50" s="12">
        <f>C50*1.5</f>
        <v>4.5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156</v>
      </c>
      <c r="G51" s="135">
        <f>G49-H29</f>
        <v>9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59487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993DD-2A8B-4485-85B3-A470A139B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45966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238</v>
      </c>
      <c r="D6" s="13">
        <f t="shared" ref="D6:D28" si="1">C6*L6</f>
        <v>175406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3</v>
      </c>
      <c r="D7" s="13">
        <f t="shared" si="1"/>
        <v>2175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24</v>
      </c>
      <c r="D9" s="13">
        <f t="shared" si="1"/>
        <v>16968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1</v>
      </c>
      <c r="D11" s="13">
        <f t="shared" si="1"/>
        <v>1125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952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15</v>
      </c>
      <c r="D13" s="48">
        <f t="shared" si="1"/>
        <v>4605</v>
      </c>
      <c r="F13" s="233" t="s">
        <v>36</v>
      </c>
      <c r="G13" s="197"/>
      <c r="H13" s="188">
        <f>D29</f>
        <v>202370.5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21</v>
      </c>
      <c r="D14" s="31">
        <f t="shared" si="1"/>
        <v>231</v>
      </c>
      <c r="F14" s="191" t="s">
        <v>39</v>
      </c>
      <c r="G14" s="192"/>
      <c r="H14" s="193">
        <f>D54</f>
        <v>19476.75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182893.75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v>864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>
        <v>12</v>
      </c>
      <c r="D26" s="48">
        <f t="shared" si="1"/>
        <v>434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202370.5</v>
      </c>
      <c r="F29" s="105" t="s">
        <v>55</v>
      </c>
      <c r="G29" s="167"/>
      <c r="H29" s="127">
        <f>H15-H16-H17-H18-H19-H20-H22-H23-H24+H26+H27</f>
        <v>182029.75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136</v>
      </c>
      <c r="H34" s="149">
        <f>F34*G34</f>
        <v>136000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149">
        <f>F35*G35</f>
        <v>38500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4</v>
      </c>
      <c r="H36" s="149">
        <f t="shared" ref="H36:H39" si="2">F36*G36</f>
        <v>800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149</v>
      </c>
      <c r="D37" s="12">
        <f>C37*111</f>
        <v>16539</v>
      </c>
      <c r="F37" s="12">
        <v>100</v>
      </c>
      <c r="G37" s="39">
        <v>66</v>
      </c>
      <c r="H37" s="149">
        <f t="shared" si="2"/>
        <v>6600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149">
        <f t="shared" si="2"/>
        <v>200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49">
        <f t="shared" si="2"/>
        <v>20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3</v>
      </c>
      <c r="D42" s="12">
        <f>C42*2.25</f>
        <v>6.75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1</v>
      </c>
      <c r="D44" s="12">
        <f>C44*120</f>
        <v>120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15</v>
      </c>
      <c r="D46" s="12">
        <f>C46*1.5</f>
        <v>22.5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18</v>
      </c>
      <c r="D48" s="12">
        <f>C48*78</f>
        <v>1404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182120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38</v>
      </c>
      <c r="D50" s="12">
        <f>C50*1.5</f>
        <v>57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143</v>
      </c>
      <c r="G51" s="135">
        <f>G49-H29</f>
        <v>90.25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19476.75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95E31-EA72-4F7A-A66C-B7A8192189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E06BE-C669-4BAC-A79D-CC5FB9AA3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45967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>
        <v>134</v>
      </c>
      <c r="D6" s="13">
        <f t="shared" ref="D6:D28" si="1">C6*L6</f>
        <v>98758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>
        <v>6</v>
      </c>
      <c r="D9" s="13">
        <f t="shared" si="1"/>
        <v>4242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>
        <v>3</v>
      </c>
      <c r="D13" s="48">
        <f t="shared" si="1"/>
        <v>921</v>
      </c>
      <c r="F13" s="233" t="s">
        <v>36</v>
      </c>
      <c r="G13" s="197"/>
      <c r="H13" s="188">
        <f>D29</f>
        <v>106155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>
        <v>4</v>
      </c>
      <c r="D14" s="31">
        <f t="shared" si="1"/>
        <v>44</v>
      </c>
      <c r="F14" s="191" t="s">
        <v>39</v>
      </c>
      <c r="G14" s="192"/>
      <c r="H14" s="193">
        <f>D54</f>
        <v>15195.75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>
        <v>1</v>
      </c>
      <c r="D15" s="31">
        <f t="shared" si="1"/>
        <v>620</v>
      </c>
      <c r="F15" s="196" t="s">
        <v>40</v>
      </c>
      <c r="G15" s="197"/>
      <c r="H15" s="198">
        <f>H13-H14</f>
        <v>90959.25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9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>
        <v>2</v>
      </c>
      <c r="D28" s="48">
        <f t="shared" si="1"/>
        <v>1570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106155</v>
      </c>
      <c r="F29" s="105" t="s">
        <v>55</v>
      </c>
      <c r="G29" s="167"/>
      <c r="H29" s="127">
        <f>H15-H16-H17-H18-H19-H20-H22-H23-H24+H26+H27+H28</f>
        <v>90959.25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81</v>
      </c>
      <c r="H34" s="149">
        <f t="shared" ref="H34:H39" si="2">F34*G34</f>
        <v>81000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149">
        <f t="shared" si="2"/>
        <v>5000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131</v>
      </c>
      <c r="D37" s="12">
        <f>C37*111</f>
        <v>14541</v>
      </c>
      <c r="F37" s="12">
        <v>100</v>
      </c>
      <c r="G37" s="39">
        <v>44</v>
      </c>
      <c r="H37" s="149">
        <f t="shared" si="2"/>
        <v>4400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7</v>
      </c>
      <c r="H38" s="149">
        <f t="shared" si="2"/>
        <v>350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1</v>
      </c>
      <c r="D42" s="12">
        <f>C42*2.25</f>
        <v>2.25</v>
      </c>
      <c r="F42" s="39" t="s">
        <v>79</v>
      </c>
      <c r="G42" s="149">
        <v>80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>
        <v>1</v>
      </c>
      <c r="D44" s="12">
        <f>C44*120</f>
        <v>120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90830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75</v>
      </c>
      <c r="D50" s="12">
        <f>C50*1.5</f>
        <v>112.5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-129.25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15195.75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B0808-6844-449A-B268-2DC20F7624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45967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196</v>
      </c>
      <c r="D6" s="13">
        <f t="shared" ref="D6:D28" si="1">C6*L6</f>
        <v>144452</v>
      </c>
      <c r="F6" s="212" t="s">
        <v>16</v>
      </c>
      <c r="G6" s="214" t="s">
        <v>150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4</v>
      </c>
      <c r="D7" s="13">
        <f t="shared" si="1"/>
        <v>2900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8</v>
      </c>
      <c r="D9" s="13">
        <f t="shared" si="1"/>
        <v>5656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</v>
      </c>
      <c r="D10" s="13">
        <f t="shared" si="1"/>
        <v>972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1</v>
      </c>
      <c r="D11" s="13">
        <f t="shared" si="1"/>
        <v>1125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952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4</v>
      </c>
      <c r="D13" s="48">
        <f t="shared" si="1"/>
        <v>1228</v>
      </c>
      <c r="F13" s="233" t="s">
        <v>36</v>
      </c>
      <c r="G13" s="197"/>
      <c r="H13" s="188">
        <f>D29</f>
        <v>158246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16</v>
      </c>
      <c r="D14" s="31">
        <f t="shared" si="1"/>
        <v>176</v>
      </c>
      <c r="F14" s="191" t="s">
        <v>39</v>
      </c>
      <c r="G14" s="192"/>
      <c r="H14" s="193">
        <f>D54</f>
        <v>23723.25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134522.75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v>656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58">
        <v>50</v>
      </c>
      <c r="I19" s="158"/>
      <c r="J19" s="1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>
        <v>1</v>
      </c>
      <c r="D28" s="48">
        <f t="shared" si="1"/>
        <v>785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158246</v>
      </c>
      <c r="F29" s="105" t="s">
        <v>55</v>
      </c>
      <c r="G29" s="167"/>
      <c r="H29" s="127">
        <f>H15-H16-H17-H18-H19-H20-H22-H23-H24+H26+H27</f>
        <v>133816.75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87</v>
      </c>
      <c r="H34" s="149">
        <f>F34*G34</f>
        <v>87000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149">
        <f t="shared" ref="H35:H39" si="2">F35*G35</f>
        <v>43000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1</v>
      </c>
      <c r="H36" s="149">
        <f>F36*G36</f>
        <v>200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28</v>
      </c>
      <c r="H37" s="149">
        <f t="shared" si="2"/>
        <v>2800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149">
        <f t="shared" si="2"/>
        <v>100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9">
        <v>92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>
        <v>3</v>
      </c>
      <c r="D45" s="12">
        <f>C45*84</f>
        <v>252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13</v>
      </c>
      <c r="D46" s="12">
        <f>C46*1.5</f>
        <v>19.5</v>
      </c>
      <c r="F46" s="37"/>
      <c r="G46" s="9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133192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36</v>
      </c>
      <c r="D50" s="12">
        <f>C50*1.5</f>
        <v>54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-624.75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23723.25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FB7C1-B160-4AD8-A035-E6D4F8411E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45967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522</v>
      </c>
      <c r="D6" s="13">
        <f t="shared" ref="D6:D28" si="1">C6*L6</f>
        <v>384714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20</v>
      </c>
      <c r="D7" s="13">
        <f t="shared" si="1"/>
        <v>14500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1033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112</v>
      </c>
      <c r="D9" s="13">
        <f t="shared" si="1"/>
        <v>79184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1944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2</v>
      </c>
      <c r="D11" s="13">
        <f t="shared" si="1"/>
        <v>2250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1904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26</v>
      </c>
      <c r="D13" s="48">
        <f t="shared" si="1"/>
        <v>7982</v>
      </c>
      <c r="F13" s="233" t="s">
        <v>36</v>
      </c>
      <c r="G13" s="197"/>
      <c r="H13" s="188">
        <f>D29</f>
        <v>494817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6</v>
      </c>
      <c r="D14" s="31">
        <f t="shared" si="1"/>
        <v>66</v>
      </c>
      <c r="F14" s="191" t="s">
        <v>39</v>
      </c>
      <c r="G14" s="192"/>
      <c r="H14" s="193">
        <f>D54</f>
        <v>57405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>
        <v>1</v>
      </c>
      <c r="D15" s="31">
        <f t="shared" si="1"/>
        <v>620</v>
      </c>
      <c r="F15" s="196" t="s">
        <v>40</v>
      </c>
      <c r="G15" s="197"/>
      <c r="H15" s="198">
        <f>H13-H14</f>
        <v>437412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2250+360</f>
        <v>2610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494817</v>
      </c>
      <c r="F29" s="105" t="s">
        <v>55</v>
      </c>
      <c r="G29" s="167"/>
      <c r="H29" s="127">
        <f>H15-H16-H17-H18-H19-H20-H22-H23-H24+H26+H27</f>
        <v>434802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42</v>
      </c>
      <c r="H34" s="149">
        <f>F34*G34</f>
        <v>42000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149">
        <f>F35*G35</f>
        <v>19000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488</v>
      </c>
      <c r="D37" s="12">
        <f>C37*111</f>
        <v>54168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7</v>
      </c>
      <c r="D44" s="12">
        <f>C44*120</f>
        <v>840</v>
      </c>
      <c r="F44" s="37" t="s">
        <v>148</v>
      </c>
      <c r="G44" s="76" t="s">
        <v>159</v>
      </c>
      <c r="H44" s="144">
        <v>226005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 t="s">
        <v>160</v>
      </c>
      <c r="G45" s="76" t="s">
        <v>161</v>
      </c>
      <c r="H45" s="144">
        <v>147693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15</v>
      </c>
      <c r="D49" s="12">
        <f>C49*42</f>
        <v>630</v>
      </c>
      <c r="F49" s="125" t="s">
        <v>86</v>
      </c>
      <c r="G49" s="127">
        <f>H34+H35+H36+H37+H38+H39+H40+H41+G42+H44+H45+H46</f>
        <v>434698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2</v>
      </c>
      <c r="D50" s="12">
        <f>C50*1.5</f>
        <v>3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38">
        <f>G49-H29</f>
        <v>-104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57405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07142-2579-4E15-A001-DB2D886643D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348D3-B306-4076-A033-BE1A4264D0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45968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9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79BAB-60A8-4800-BA30-F7D5DF4727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45968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134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9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C119-CC4D-4B41-834E-A88411C9E0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45968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886AB-FAAC-40B6-BB35-F9500F94B3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96E4E-8EDC-48E6-B8A2-82F6C3DA134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45969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9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918F-B58D-4864-A538-7044B97DFB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45969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134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9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011E6-686B-4381-9576-AD93232154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45969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FA72-AC5A-4B7E-BC00-DE5DCA4B569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54F3-9C37-4B04-98ED-E037A93874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45971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9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8B07-FE9D-4D68-8214-92E1CE75A9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45971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134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9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C5632-DA67-4E27-82F5-95F137057F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45971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1D02E-39E1-47AB-96A9-A4A4C43822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6AAE1-5101-4C06-9DEE-A2A9A4D27B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45972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10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837A-931D-4366-87C4-7EB54B685CA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45972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134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10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335FA-5799-4361-87DB-ED7AFDEE32F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45972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C9E6-31EF-4A0D-9F45-99257313490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A6101-0BB5-45B7-98E7-8F129D91F3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45973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10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6E853-934C-4E78-B803-F1ACEB4F570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45973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134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10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7EE72-951F-445C-A6EB-A51F88E424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45973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3C2A7-8455-494F-94E7-681A4D8C006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BD598-0279-441A-83CB-1D8330CA07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45974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10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E21C3-ED0B-4127-A8B9-E623F811C8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45974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134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10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EEA44-7418-4113-AA44-42427A642B3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45974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BCA35-CEB0-4210-ABE4-D1EDD8D738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818E-75C1-4380-8795-57EE4038AA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45975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10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4B7DD-349C-4CED-9BCF-695DF5A455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45975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134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10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4C29D-8304-4761-BAA7-A7AB3704FA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45975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F3CA-038C-4440-AB16-0724BA34A5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B278A-5BE5-4192-A0AB-03C6D7B001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45976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10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D14A-175E-458E-929B-1D101A57AF8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45976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134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10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ECA62-7D92-453B-90AE-0176B1EE51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45976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A16B0-7AF6-41D1-9FC2-F17C5F8F5B3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706FA-EA3E-45EC-82C1-E9A6C3473B8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45978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10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EB459-F8E3-483C-A9E7-75832FA483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45978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134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10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F8E19-0CBA-4B0B-B385-E062B1E2058A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45978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A3BE-7E4D-4BEC-A5FC-7CAF37DC9C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55</vt:i4>
      </vt:variant>
      <vt:variant>
        <vt:lpstr>Named Ranges</vt:lpstr>
      </vt:variant>
      <vt:variant>
        <vt:i4>54</vt:i4>
      </vt:variant>
    </vt:vector>
  </HeadingPairs>
  <TitlesOfParts>
    <vt:vector size="109" baseType="lpstr">
      <vt:lpstr>(November 2025)</vt:lpstr>
      <vt:lpstr>(03)</vt:lpstr>
      <vt:lpstr>03,11 R1</vt:lpstr>
      <vt:lpstr>03,11 R2</vt:lpstr>
      <vt:lpstr>03,11 R3</vt:lpstr>
      <vt:lpstr>(4)</vt:lpstr>
      <vt:lpstr>04,11 R1 No Trip</vt:lpstr>
      <vt:lpstr>04,11 R2</vt:lpstr>
      <vt:lpstr>04,11 R3-A</vt:lpstr>
      <vt:lpstr>04,11 R3-B</vt:lpstr>
      <vt:lpstr>(5)</vt:lpstr>
      <vt:lpstr>05,11 R1</vt:lpstr>
      <vt:lpstr>05,11 R2</vt:lpstr>
      <vt:lpstr>05,11 R3</vt:lpstr>
      <vt:lpstr>(6)</vt:lpstr>
      <vt:lpstr>06,11 R1</vt:lpstr>
      <vt:lpstr>06,11 R2</vt:lpstr>
      <vt:lpstr>06,11 R3</vt:lpstr>
      <vt:lpstr>(7)</vt:lpstr>
      <vt:lpstr>07,11 R1</vt:lpstr>
      <vt:lpstr>07,11 R2</vt:lpstr>
      <vt:lpstr>07,11 R3</vt:lpstr>
      <vt:lpstr>(8)</vt:lpstr>
      <vt:lpstr>08,11 R1</vt:lpstr>
      <vt:lpstr>08,11 R2</vt:lpstr>
      <vt:lpstr>08,11 R3</vt:lpstr>
      <vt:lpstr>(10)</vt:lpstr>
      <vt:lpstr>10,11 R1</vt:lpstr>
      <vt:lpstr>10,11 R2</vt:lpstr>
      <vt:lpstr>10,11 R3</vt:lpstr>
      <vt:lpstr>(11)</vt:lpstr>
      <vt:lpstr>11,11 R1</vt:lpstr>
      <vt:lpstr>11,11 R2</vt:lpstr>
      <vt:lpstr>11,11 R3</vt:lpstr>
      <vt:lpstr>(12)</vt:lpstr>
      <vt:lpstr>12,11 R1</vt:lpstr>
      <vt:lpstr>12,11 R2</vt:lpstr>
      <vt:lpstr>12,11 R3</vt:lpstr>
      <vt:lpstr>(13)</vt:lpstr>
      <vt:lpstr>13,11 R1</vt:lpstr>
      <vt:lpstr>13,11 R2</vt:lpstr>
      <vt:lpstr>13,11 R3</vt:lpstr>
      <vt:lpstr>(14)</vt:lpstr>
      <vt:lpstr>14,11 R1</vt:lpstr>
      <vt:lpstr>14,11 R2</vt:lpstr>
      <vt:lpstr>14,11 R3</vt:lpstr>
      <vt:lpstr>(15)</vt:lpstr>
      <vt:lpstr>15,11 R1</vt:lpstr>
      <vt:lpstr>15,11 R2</vt:lpstr>
      <vt:lpstr>15,11 R3</vt:lpstr>
      <vt:lpstr>(17)</vt:lpstr>
      <vt:lpstr>17,11 R1</vt:lpstr>
      <vt:lpstr>17,11 R2</vt:lpstr>
      <vt:lpstr>17,11 R3</vt:lpstr>
      <vt:lpstr>(18)</vt:lpstr>
      <vt:lpstr>'(03)'!Print_Area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'(4)'!Print_Area</vt:lpstr>
      <vt:lpstr>'(5)'!Print_Area</vt:lpstr>
      <vt:lpstr>'(6)'!Print_Area</vt:lpstr>
      <vt:lpstr>'(7)'!Print_Area</vt:lpstr>
      <vt:lpstr>'(8)'!Print_Area</vt:lpstr>
      <vt:lpstr>'03,11 R1'!Print_Area</vt:lpstr>
      <vt:lpstr>'03,11 R2'!Print_Area</vt:lpstr>
      <vt:lpstr>'03,11 R3'!Print_Area</vt:lpstr>
      <vt:lpstr>'04,11 R1 No Trip'!Print_Area</vt:lpstr>
      <vt:lpstr>'04,11 R2'!Print_Area</vt:lpstr>
      <vt:lpstr>'04,11 R3-A'!Print_Area</vt:lpstr>
      <vt:lpstr>'04,11 R3-B'!Print_Area</vt:lpstr>
      <vt:lpstr>'05,11 R1'!Print_Area</vt:lpstr>
      <vt:lpstr>'05,11 R2'!Print_Area</vt:lpstr>
      <vt:lpstr>'05,11 R3'!Print_Area</vt:lpstr>
      <vt:lpstr>'06,11 R1'!Print_Area</vt:lpstr>
      <vt:lpstr>'06,11 R2'!Print_Area</vt:lpstr>
      <vt:lpstr>'06,11 R3'!Print_Area</vt:lpstr>
      <vt:lpstr>'07,11 R1'!Print_Area</vt:lpstr>
      <vt:lpstr>'07,11 R2'!Print_Area</vt:lpstr>
      <vt:lpstr>'07,11 R3'!Print_Area</vt:lpstr>
      <vt:lpstr>'08,11 R1'!Print_Area</vt:lpstr>
      <vt:lpstr>'08,11 R2'!Print_Area</vt:lpstr>
      <vt:lpstr>'08,11 R3'!Print_Area</vt:lpstr>
      <vt:lpstr>'10,11 R1'!Print_Area</vt:lpstr>
      <vt:lpstr>'10,11 R2'!Print_Area</vt:lpstr>
      <vt:lpstr>'10,11 R3'!Print_Area</vt:lpstr>
      <vt:lpstr>'11,11 R1'!Print_Area</vt:lpstr>
      <vt:lpstr>'11,11 R2'!Print_Area</vt:lpstr>
      <vt:lpstr>'11,11 R3'!Print_Area</vt:lpstr>
      <vt:lpstr>'12,11 R1'!Print_Area</vt:lpstr>
      <vt:lpstr>'12,11 R2'!Print_Area</vt:lpstr>
      <vt:lpstr>'12,11 R3'!Print_Area</vt:lpstr>
      <vt:lpstr>'13,11 R1'!Print_Area</vt:lpstr>
      <vt:lpstr>'13,11 R2'!Print_Area</vt:lpstr>
      <vt:lpstr>'13,11 R3'!Print_Area</vt:lpstr>
      <vt:lpstr>'14,11 R1'!Print_Area</vt:lpstr>
      <vt:lpstr>'14,11 R2'!Print_Area</vt:lpstr>
      <vt:lpstr>'14,11 R3'!Print_Area</vt:lpstr>
      <vt:lpstr>'15,11 R1'!Print_Area</vt:lpstr>
      <vt:lpstr>'15,11 R2'!Print_Area</vt:lpstr>
      <vt:lpstr>'15,11 R3'!Print_Area</vt:lpstr>
      <vt:lpstr>'17,11 R1'!Print_Area</vt:lpstr>
      <vt:lpstr>'17,11 R2'!Print_Area</vt:lpstr>
      <vt:lpstr>'17,11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2025-11-07T02:59:05Z</cp:lastPrinted>
  <dcterms:created xsi:type="dcterms:W3CDTF">2024-09-01T23:36:50Z</dcterms:created>
  <dcterms:modified xsi:type="dcterms:W3CDTF">2025-11-07T07:36:11Z</dcterms:modified>
</cp:coreProperties>
</file>