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A56515C-7AA6-4179-988C-1334BBB76095}" xr6:coauthVersionLast="45" xr6:coauthVersionMax="47" xr10:uidLastSave="{00000000-0000-0000-0000-000000000000}"/>
  <bookViews>
    <workbookView xWindow="-120" yWindow="-120" windowWidth="29040" windowHeight="15840" firstSheet="5" activeTab="13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  <sheet name="11-25-2025" sheetId="148" r:id="rId11"/>
    <sheet name="11-26-2025" sheetId="149" r:id="rId12"/>
    <sheet name="11-28-2025" sheetId="150" r:id="rId13"/>
    <sheet name="11-29-2025" sheetId="151" r:id="rId14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  <definedName name="_xlnm.Print_Area" localSheetId="10">'11-25-2025'!$A$1:$V$97</definedName>
    <definedName name="_xlnm.Print_Area" localSheetId="11">'11-26-2025'!$A$1:$V$97</definedName>
    <definedName name="_xlnm.Print_Area" localSheetId="12">'11-28-2025'!$A$1:$V$97</definedName>
    <definedName name="_xlnm.Print_Area" localSheetId="13">'11-29-2025'!$A$1:$V$97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1" l="1"/>
  <c r="W73" i="151"/>
  <c r="P71" i="151"/>
  <c r="Q70" i="151"/>
  <c r="P70" i="151"/>
  <c r="I70" i="151"/>
  <c r="H70" i="151"/>
  <c r="E70" i="15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D67" i="151"/>
  <c r="AE67" i="151" s="1"/>
  <c r="AI67" i="151" s="1"/>
  <c r="Y67" i="151" s="1"/>
  <c r="AC67" i="151"/>
  <c r="AB67" i="151"/>
  <c r="Z67" i="151"/>
  <c r="X67" i="151"/>
  <c r="Q67" i="151"/>
  <c r="P67" i="151"/>
  <c r="I67" i="151"/>
  <c r="H67" i="151"/>
  <c r="E67" i="151"/>
  <c r="AE66" i="151"/>
  <c r="AI66" i="151" s="1"/>
  <c r="Y66" i="151" s="1"/>
  <c r="AD66" i="151"/>
  <c r="AC66" i="151"/>
  <c r="AB66" i="151"/>
  <c r="Z66" i="151"/>
  <c r="X66" i="151"/>
  <c r="Q66" i="151"/>
  <c r="P66" i="151"/>
  <c r="H66" i="151"/>
  <c r="E66" i="151"/>
  <c r="I66" i="151" s="1"/>
  <c r="AD65" i="151"/>
  <c r="AC65" i="151"/>
  <c r="AB65" i="151"/>
  <c r="AE65" i="151" s="1"/>
  <c r="AI65" i="151" s="1"/>
  <c r="Y65" i="151" s="1"/>
  <c r="Z65" i="151"/>
  <c r="X65" i="151"/>
  <c r="Q65" i="151"/>
  <c r="P65" i="151"/>
  <c r="H65" i="151"/>
  <c r="E65" i="151"/>
  <c r="I65" i="151" s="1"/>
  <c r="AD64" i="151"/>
  <c r="AC64" i="151"/>
  <c r="AE64" i="151" s="1"/>
  <c r="AI64" i="151" s="1"/>
  <c r="Y64" i="151" s="1"/>
  <c r="AB64" i="151"/>
  <c r="Z64" i="151"/>
  <c r="X64" i="151"/>
  <c r="Q64" i="151"/>
  <c r="P64" i="151"/>
  <c r="I64" i="151"/>
  <c r="H64" i="151"/>
  <c r="E64" i="151"/>
  <c r="AE63" i="151"/>
  <c r="AI63" i="151" s="1"/>
  <c r="Y63" i="151" s="1"/>
  <c r="AD63" i="151"/>
  <c r="AC63" i="151"/>
  <c r="AB63" i="151"/>
  <c r="Z63" i="151"/>
  <c r="X63" i="151"/>
  <c r="Q63" i="151"/>
  <c r="P63" i="151"/>
  <c r="I63" i="151"/>
  <c r="H63" i="151"/>
  <c r="E63" i="151"/>
  <c r="AE62" i="151"/>
  <c r="AI62" i="151" s="1"/>
  <c r="Y62" i="151" s="1"/>
  <c r="AD62" i="151"/>
  <c r="AC62" i="151"/>
  <c r="AB62" i="151"/>
  <c r="Z62" i="151"/>
  <c r="X62" i="151"/>
  <c r="Q62" i="151"/>
  <c r="P62" i="151"/>
  <c r="H62" i="151"/>
  <c r="E62" i="151"/>
  <c r="I62" i="151" s="1"/>
  <c r="AC61" i="151"/>
  <c r="AB61" i="151"/>
  <c r="AE61" i="151" s="1"/>
  <c r="AI61" i="151" s="1"/>
  <c r="Y61" i="151" s="1"/>
  <c r="X61" i="151"/>
  <c r="Q61" i="151"/>
  <c r="P61" i="151"/>
  <c r="H61" i="151"/>
  <c r="E61" i="151"/>
  <c r="I61" i="151" s="1"/>
  <c r="AE60" i="151"/>
  <c r="AI60" i="151" s="1"/>
  <c r="Y60" i="151" s="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I59" i="151"/>
  <c r="H59" i="151"/>
  <c r="E59" i="151"/>
  <c r="AE58" i="151"/>
  <c r="AI58" i="151" s="1"/>
  <c r="Y58" i="151" s="1"/>
  <c r="AC58" i="151"/>
  <c r="AB58" i="151"/>
  <c r="X58" i="151"/>
  <c r="Q58" i="151"/>
  <c r="P58" i="151"/>
  <c r="I58" i="151"/>
  <c r="E58" i="151"/>
  <c r="AC57" i="151"/>
  <c r="AB57" i="151"/>
  <c r="AE57" i="151" s="1"/>
  <c r="AI57" i="151" s="1"/>
  <c r="Y57" i="151" s="1"/>
  <c r="X57" i="151"/>
  <c r="Q57" i="151"/>
  <c r="P57" i="151"/>
  <c r="H57" i="151"/>
  <c r="E57" i="151"/>
  <c r="I57" i="151" s="1"/>
  <c r="AD56" i="151"/>
  <c r="AC56" i="151"/>
  <c r="AE56" i="151" s="1"/>
  <c r="AI56" i="151" s="1"/>
  <c r="Y56" i="151" s="1"/>
  <c r="AB56" i="151"/>
  <c r="Z56" i="151"/>
  <c r="X56" i="151"/>
  <c r="Q56" i="151"/>
  <c r="P56" i="151"/>
  <c r="H56" i="151"/>
  <c r="E56" i="151"/>
  <c r="I56" i="151" s="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H54" i="151"/>
  <c r="E54" i="151"/>
  <c r="I54" i="151" s="1"/>
  <c r="AE53" i="151"/>
  <c r="AI53" i="151" s="1"/>
  <c r="Y53" i="151" s="1"/>
  <c r="AD53" i="151"/>
  <c r="AC53" i="151"/>
  <c r="AB53" i="151"/>
  <c r="Z53" i="151"/>
  <c r="X53" i="151"/>
  <c r="Q53" i="151"/>
  <c r="P53" i="151"/>
  <c r="H53" i="151"/>
  <c r="E53" i="151"/>
  <c r="I53" i="151" s="1"/>
  <c r="AE52" i="151"/>
  <c r="AI52" i="151" s="1"/>
  <c r="Y52" i="151" s="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I51" i="151"/>
  <c r="H51" i="151"/>
  <c r="E51" i="151"/>
  <c r="AE50" i="151"/>
  <c r="AI50" i="151" s="1"/>
  <c r="Y50" i="151" s="1"/>
  <c r="AD50" i="151"/>
  <c r="AC50" i="151"/>
  <c r="AB50" i="151"/>
  <c r="Z50" i="151"/>
  <c r="X50" i="151"/>
  <c r="Q50" i="151"/>
  <c r="P50" i="151"/>
  <c r="H50" i="151"/>
  <c r="E50" i="151"/>
  <c r="I50" i="151" s="1"/>
  <c r="AI49" i="151"/>
  <c r="Y49" i="151" s="1"/>
  <c r="AE49" i="151"/>
  <c r="Z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Y47" i="151" s="1"/>
  <c r="AE47" i="151"/>
  <c r="Z47" i="151"/>
  <c r="X47" i="151"/>
  <c r="Q47" i="151"/>
  <c r="P47" i="151"/>
  <c r="I47" i="151"/>
  <c r="H47" i="151"/>
  <c r="E47" i="151"/>
  <c r="AD46" i="151"/>
  <c r="AE46" i="151" s="1"/>
  <c r="AI46" i="151" s="1"/>
  <c r="Y46" i="151" s="1"/>
  <c r="AC46" i="151"/>
  <c r="AB46" i="151"/>
  <c r="Z46" i="151"/>
  <c r="X46" i="151"/>
  <c r="Q46" i="151"/>
  <c r="P46" i="151"/>
  <c r="I46" i="151"/>
  <c r="H46" i="151"/>
  <c r="E46" i="151"/>
  <c r="AD45" i="151"/>
  <c r="AC45" i="151"/>
  <c r="AB45" i="151"/>
  <c r="AE45" i="151" s="1"/>
  <c r="AI45" i="151" s="1"/>
  <c r="Y45" i="151" s="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H44" i="151"/>
  <c r="E44" i="151"/>
  <c r="I44" i="151" s="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Q42" i="151"/>
  <c r="P42" i="151"/>
  <c r="X42" i="151"/>
  <c r="E42" i="151"/>
  <c r="I42" i="151" s="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I40" i="151"/>
  <c r="H40" i="151"/>
  <c r="E40" i="151"/>
  <c r="AE39" i="151"/>
  <c r="AI39" i="151" s="1"/>
  <c r="Y39" i="151" s="1"/>
  <c r="AD39" i="151"/>
  <c r="AC39" i="151"/>
  <c r="AB39" i="151"/>
  <c r="Z39" i="151"/>
  <c r="X39" i="151"/>
  <c r="Q39" i="151"/>
  <c r="P39" i="151"/>
  <c r="I39" i="151"/>
  <c r="H39" i="151"/>
  <c r="E39" i="151"/>
  <c r="AE38" i="151"/>
  <c r="AI38" i="151" s="1"/>
  <c r="Y38" i="151" s="1"/>
  <c r="AD38" i="15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D36" i="151"/>
  <c r="AC36" i="151"/>
  <c r="AB36" i="151"/>
  <c r="AE36" i="151" s="1"/>
  <c r="AI36" i="151" s="1"/>
  <c r="Y36" i="151" s="1"/>
  <c r="Z36" i="151"/>
  <c r="X36" i="151"/>
  <c r="Q36" i="151"/>
  <c r="P36" i="151"/>
  <c r="I36" i="151"/>
  <c r="H36" i="151"/>
  <c r="E36" i="151"/>
  <c r="AD35" i="151"/>
  <c r="AE35" i="151" s="1"/>
  <c r="AI35" i="151" s="1"/>
  <c r="Y35" i="151" s="1"/>
  <c r="AC35" i="151"/>
  <c r="AB35" i="151"/>
  <c r="Z35" i="151"/>
  <c r="X35" i="151"/>
  <c r="Q35" i="151"/>
  <c r="P35" i="151"/>
  <c r="I35" i="151"/>
  <c r="H35" i="151"/>
  <c r="E35" i="151"/>
  <c r="AD34" i="151"/>
  <c r="AC34" i="151"/>
  <c r="AB34" i="151"/>
  <c r="AE34" i="151" s="1"/>
  <c r="AI34" i="151" s="1"/>
  <c r="Y34" i="151" s="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H33" i="151"/>
  <c r="E33" i="151"/>
  <c r="I33" i="151" s="1"/>
  <c r="AD32" i="151"/>
  <c r="AC32" i="151"/>
  <c r="AE32" i="151" s="1"/>
  <c r="AI32" i="151" s="1"/>
  <c r="Y32" i="151" s="1"/>
  <c r="AB32" i="151"/>
  <c r="Z32" i="151"/>
  <c r="X32" i="151"/>
  <c r="Q32" i="151"/>
  <c r="P32" i="151"/>
  <c r="I32" i="151"/>
  <c r="H32" i="151"/>
  <c r="E32" i="151"/>
  <c r="AE31" i="151"/>
  <c r="AI31" i="151" s="1"/>
  <c r="Y31" i="151" s="1"/>
  <c r="Z31" i="151"/>
  <c r="X31" i="151"/>
  <c r="Q31" i="151"/>
  <c r="P31" i="151"/>
  <c r="H31" i="151"/>
  <c r="E31" i="151"/>
  <c r="I31" i="151" s="1"/>
  <c r="AD30" i="151"/>
  <c r="AC30" i="151"/>
  <c r="AB30" i="151"/>
  <c r="AE30" i="151" s="1"/>
  <c r="AI30" i="151" s="1"/>
  <c r="Y30" i="151" s="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E28" i="151" s="1"/>
  <c r="AI28" i="151" s="1"/>
  <c r="Y28" i="151" s="1"/>
  <c r="AC28" i="151"/>
  <c r="AB28" i="151"/>
  <c r="Z28" i="151"/>
  <c r="X28" i="151"/>
  <c r="Q28" i="151"/>
  <c r="P28" i="151"/>
  <c r="I28" i="151"/>
  <c r="H28" i="151"/>
  <c r="E28" i="151"/>
  <c r="AE27" i="151"/>
  <c r="AI27" i="151" s="1"/>
  <c r="Y27" i="151" s="1"/>
  <c r="AD27" i="151"/>
  <c r="AC27" i="151"/>
  <c r="AB27" i="151"/>
  <c r="Z27" i="151"/>
  <c r="X27" i="151"/>
  <c r="Q27" i="151"/>
  <c r="P27" i="151"/>
  <c r="H27" i="151"/>
  <c r="E27" i="151"/>
  <c r="I27" i="151" s="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I25" i="151"/>
  <c r="H25" i="151"/>
  <c r="E25" i="151"/>
  <c r="AE24" i="151"/>
  <c r="AI24" i="151" s="1"/>
  <c r="Y24" i="151" s="1"/>
  <c r="AD24" i="151"/>
  <c r="AC24" i="151"/>
  <c r="AB24" i="151"/>
  <c r="Z24" i="151"/>
  <c r="X24" i="151"/>
  <c r="Q24" i="151"/>
  <c r="P24" i="151"/>
  <c r="I24" i="151"/>
  <c r="H24" i="151"/>
  <c r="E24" i="151"/>
  <c r="AE23" i="151"/>
  <c r="AI23" i="151" s="1"/>
  <c r="Y23" i="151" s="1"/>
  <c r="AD23" i="15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D21" i="151"/>
  <c r="AC21" i="151"/>
  <c r="AB21" i="151"/>
  <c r="AE21" i="151" s="1"/>
  <c r="AI21" i="151" s="1"/>
  <c r="Y21" i="151" s="1"/>
  <c r="Z21" i="151"/>
  <c r="X21" i="151"/>
  <c r="Q21" i="151"/>
  <c r="P21" i="151"/>
  <c r="I21" i="151"/>
  <c r="H21" i="151"/>
  <c r="E21" i="151"/>
  <c r="AD20" i="151"/>
  <c r="AE20" i="151" s="1"/>
  <c r="AI20" i="151" s="1"/>
  <c r="Y20" i="151" s="1"/>
  <c r="AC20" i="151"/>
  <c r="AB20" i="151"/>
  <c r="Z20" i="151"/>
  <c r="X20" i="151"/>
  <c r="Q20" i="151"/>
  <c r="P20" i="151"/>
  <c r="I20" i="151"/>
  <c r="H20" i="151"/>
  <c r="H71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E17" i="151" s="1"/>
  <c r="AI17" i="151" s="1"/>
  <c r="Y17" i="151" s="1"/>
  <c r="AC17" i="151"/>
  <c r="AB17" i="151"/>
  <c r="Z17" i="151"/>
  <c r="X17" i="151"/>
  <c r="Q17" i="151"/>
  <c r="P17" i="151"/>
  <c r="I17" i="151"/>
  <c r="H17" i="151"/>
  <c r="E17" i="151"/>
  <c r="AD16" i="151"/>
  <c r="AC16" i="151"/>
  <c r="AB16" i="151"/>
  <c r="AE16" i="151" s="1"/>
  <c r="AI16" i="151" s="1"/>
  <c r="Y16" i="151" s="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I15" i="151"/>
  <c r="E15" i="151"/>
  <c r="AD14" i="151"/>
  <c r="AC14" i="151"/>
  <c r="AB14" i="151"/>
  <c r="AE14" i="151" s="1"/>
  <c r="AI14" i="151" s="1"/>
  <c r="Y14" i="151" s="1"/>
  <c r="Z14" i="151"/>
  <c r="X14" i="151"/>
  <c r="Q14" i="151"/>
  <c r="P14" i="151"/>
  <c r="H14" i="151"/>
  <c r="E14" i="151"/>
  <c r="I14" i="151" s="1"/>
  <c r="AD13" i="151"/>
  <c r="AC13" i="151"/>
  <c r="AE13" i="151" s="1"/>
  <c r="AI13" i="151" s="1"/>
  <c r="Y13" i="151" s="1"/>
  <c r="AB13" i="151"/>
  <c r="Z13" i="151"/>
  <c r="X13" i="151"/>
  <c r="Q13" i="151"/>
  <c r="P13" i="151"/>
  <c r="H13" i="151"/>
  <c r="E13" i="151"/>
  <c r="I13" i="151" s="1"/>
  <c r="AD12" i="151"/>
  <c r="AC12" i="151"/>
  <c r="AE12" i="151" s="1"/>
  <c r="AI12" i="151" s="1"/>
  <c r="Y12" i="151" s="1"/>
  <c r="AB12" i="151"/>
  <c r="Z12" i="151"/>
  <c r="X12" i="151"/>
  <c r="Q12" i="151"/>
  <c r="P12" i="151"/>
  <c r="I12" i="151"/>
  <c r="H12" i="151"/>
  <c r="E12" i="151"/>
  <c r="O75" i="151" l="1"/>
  <c r="O73" i="151"/>
  <c r="T77" i="151"/>
  <c r="T75" i="151"/>
  <c r="T73" i="151"/>
  <c r="F75" i="151"/>
  <c r="F73" i="151"/>
  <c r="H42" i="151"/>
  <c r="F42" i="150"/>
  <c r="I42" i="150" s="1"/>
  <c r="F20" i="150"/>
  <c r="Z42" i="150"/>
  <c r="I20" i="150"/>
  <c r="M79" i="150"/>
  <c r="W73" i="150"/>
  <c r="P71" i="150"/>
  <c r="Q70" i="150"/>
  <c r="P70" i="150"/>
  <c r="H70" i="150"/>
  <c r="E70" i="150"/>
  <c r="I70" i="150" s="1"/>
  <c r="Q69" i="150"/>
  <c r="P69" i="150"/>
  <c r="I69" i="150"/>
  <c r="H69" i="150"/>
  <c r="E69" i="150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H68" i="150"/>
  <c r="E68" i="150"/>
  <c r="I68" i="150" s="1"/>
  <c r="AE67" i="150"/>
  <c r="AI67" i="150" s="1"/>
  <c r="Y67" i="150" s="1"/>
  <c r="AD67" i="150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I66" i="150"/>
  <c r="H66" i="150"/>
  <c r="E66" i="150"/>
  <c r="AE65" i="150"/>
  <c r="AI65" i="150" s="1"/>
  <c r="Y65" i="150" s="1"/>
  <c r="AD65" i="150"/>
  <c r="AC65" i="150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H64" i="150"/>
  <c r="E64" i="150"/>
  <c r="I64" i="150" s="1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D62" i="150"/>
  <c r="AC62" i="150"/>
  <c r="AE62" i="150" s="1"/>
  <c r="AI62" i="150" s="1"/>
  <c r="Y62" i="150" s="1"/>
  <c r="AB62" i="150"/>
  <c r="Z62" i="150"/>
  <c r="X62" i="150"/>
  <c r="Q62" i="150"/>
  <c r="P62" i="150"/>
  <c r="I62" i="150"/>
  <c r="H62" i="150"/>
  <c r="E62" i="150"/>
  <c r="AE61" i="150"/>
  <c r="AI61" i="150" s="1"/>
  <c r="Y61" i="150" s="1"/>
  <c r="AC61" i="150"/>
  <c r="AB61" i="150"/>
  <c r="X61" i="150"/>
  <c r="Q61" i="150"/>
  <c r="P61" i="150"/>
  <c r="I61" i="150"/>
  <c r="H61" i="150"/>
  <c r="E61" i="150"/>
  <c r="AI60" i="150"/>
  <c r="Y60" i="150" s="1"/>
  <c r="AE60" i="150"/>
  <c r="X60" i="150"/>
  <c r="Q60" i="150"/>
  <c r="P60" i="150"/>
  <c r="I60" i="150"/>
  <c r="H60" i="150"/>
  <c r="E60" i="150"/>
  <c r="AE59" i="150"/>
  <c r="AI59" i="150" s="1"/>
  <c r="Y59" i="150" s="1"/>
  <c r="AC59" i="150"/>
  <c r="AB59" i="150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E57" i="150" s="1"/>
  <c r="AI57" i="150" s="1"/>
  <c r="Y57" i="150" s="1"/>
  <c r="AB57" i="150"/>
  <c r="X57" i="150"/>
  <c r="Q57" i="150"/>
  <c r="P57" i="150"/>
  <c r="I57" i="150"/>
  <c r="H57" i="150"/>
  <c r="E57" i="150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B55" i="150"/>
  <c r="AE55" i="150" s="1"/>
  <c r="AI55" i="150" s="1"/>
  <c r="Y55" i="150" s="1"/>
  <c r="Z55" i="150"/>
  <c r="X55" i="150"/>
  <c r="Q55" i="150"/>
  <c r="P55" i="150"/>
  <c r="I55" i="150"/>
  <c r="H55" i="150"/>
  <c r="E55" i="150"/>
  <c r="AD54" i="150"/>
  <c r="AC54" i="150"/>
  <c r="AB54" i="150"/>
  <c r="AE54" i="150" s="1"/>
  <c r="AI54" i="150" s="1"/>
  <c r="Y54" i="150" s="1"/>
  <c r="Z54" i="150"/>
  <c r="X54" i="150"/>
  <c r="Q54" i="150"/>
  <c r="P54" i="150"/>
  <c r="I54" i="150"/>
  <c r="H54" i="150"/>
  <c r="E54" i="150"/>
  <c r="AD53" i="150"/>
  <c r="AC53" i="150"/>
  <c r="AB53" i="150"/>
  <c r="AE53" i="150" s="1"/>
  <c r="AI53" i="150" s="1"/>
  <c r="Y53" i="150" s="1"/>
  <c r="Z53" i="150"/>
  <c r="X53" i="150"/>
  <c r="Q53" i="150"/>
  <c r="P53" i="150"/>
  <c r="I53" i="150"/>
  <c r="H53" i="150"/>
  <c r="E53" i="150"/>
  <c r="AE52" i="150"/>
  <c r="AI52" i="150" s="1"/>
  <c r="Y52" i="150" s="1"/>
  <c r="Z52" i="150"/>
  <c r="X52" i="150"/>
  <c r="Q52" i="150"/>
  <c r="P52" i="150"/>
  <c r="H52" i="150"/>
  <c r="E52" i="150"/>
  <c r="I52" i="150" s="1"/>
  <c r="AD51" i="150"/>
  <c r="AC51" i="150"/>
  <c r="AE51" i="150" s="1"/>
  <c r="AI51" i="150" s="1"/>
  <c r="Y51" i="150" s="1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I50" i="150"/>
  <c r="H50" i="150"/>
  <c r="E50" i="150"/>
  <c r="AE49" i="150"/>
  <c r="AI49" i="150" s="1"/>
  <c r="Y49" i="150" s="1"/>
  <c r="Z49" i="150"/>
  <c r="X49" i="150"/>
  <c r="Q49" i="150"/>
  <c r="P49" i="150"/>
  <c r="H49" i="150"/>
  <c r="E49" i="150"/>
  <c r="I49" i="150" s="1"/>
  <c r="AI48" i="150"/>
  <c r="AE48" i="150"/>
  <c r="Z48" i="150"/>
  <c r="Y48" i="150"/>
  <c r="X48" i="150"/>
  <c r="Q48" i="150"/>
  <c r="P48" i="150"/>
  <c r="I48" i="150"/>
  <c r="H48" i="150"/>
  <c r="E48" i="150"/>
  <c r="AE47" i="150"/>
  <c r="AI47" i="150" s="1"/>
  <c r="Y47" i="150" s="1"/>
  <c r="Z47" i="150"/>
  <c r="X47" i="150"/>
  <c r="Q47" i="150"/>
  <c r="P47" i="150"/>
  <c r="H47" i="150"/>
  <c r="E47" i="150"/>
  <c r="I47" i="150" s="1"/>
  <c r="AE46" i="150"/>
  <c r="AI46" i="150" s="1"/>
  <c r="Y46" i="150" s="1"/>
  <c r="AD46" i="150"/>
  <c r="AC46" i="150"/>
  <c r="AB46" i="150"/>
  <c r="Z46" i="150"/>
  <c r="X46" i="150"/>
  <c r="Q46" i="150"/>
  <c r="P46" i="150"/>
  <c r="H46" i="150"/>
  <c r="E46" i="150"/>
  <c r="I46" i="150" s="1"/>
  <c r="AD45" i="150"/>
  <c r="AC45" i="150"/>
  <c r="AB45" i="150"/>
  <c r="AE45" i="150" s="1"/>
  <c r="AI45" i="150" s="1"/>
  <c r="Y45" i="150" s="1"/>
  <c r="Z45" i="150"/>
  <c r="X45" i="150"/>
  <c r="Q45" i="150"/>
  <c r="P45" i="150"/>
  <c r="I45" i="150"/>
  <c r="H45" i="150"/>
  <c r="E45" i="150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B43" i="150"/>
  <c r="AE43" i="150" s="1"/>
  <c r="AI43" i="150" s="1"/>
  <c r="Y43" i="150" s="1"/>
  <c r="Z43" i="150"/>
  <c r="X43" i="150"/>
  <c r="Q43" i="150"/>
  <c r="P43" i="150"/>
  <c r="I43" i="150"/>
  <c r="H43" i="150"/>
  <c r="E43" i="150"/>
  <c r="AD42" i="150"/>
  <c r="AC42" i="150"/>
  <c r="AB42" i="150"/>
  <c r="AE42" i="150" s="1"/>
  <c r="AI42" i="150" s="1"/>
  <c r="Y42" i="150" s="1"/>
  <c r="X42" i="150"/>
  <c r="Q42" i="150"/>
  <c r="P42" i="150"/>
  <c r="E42" i="150"/>
  <c r="AD41" i="150"/>
  <c r="AC41" i="150"/>
  <c r="AE41" i="150" s="1"/>
  <c r="AI41" i="150" s="1"/>
  <c r="Y41" i="150" s="1"/>
  <c r="AB41" i="150"/>
  <c r="Z41" i="150"/>
  <c r="X41" i="150"/>
  <c r="Q41" i="150"/>
  <c r="P41" i="150"/>
  <c r="I41" i="150"/>
  <c r="H41" i="150"/>
  <c r="E41" i="150"/>
  <c r="AE40" i="150"/>
  <c r="AI40" i="150" s="1"/>
  <c r="Y40" i="150" s="1"/>
  <c r="AD40" i="150"/>
  <c r="AC40" i="150"/>
  <c r="AB40" i="150"/>
  <c r="Z40" i="150"/>
  <c r="X40" i="150"/>
  <c r="Q40" i="150"/>
  <c r="P40" i="150"/>
  <c r="I40" i="150"/>
  <c r="H40" i="150"/>
  <c r="E40" i="150"/>
  <c r="AD39" i="150"/>
  <c r="AC39" i="150"/>
  <c r="AB39" i="150"/>
  <c r="AE39" i="150" s="1"/>
  <c r="AI39" i="150" s="1"/>
  <c r="Y39" i="150" s="1"/>
  <c r="Z39" i="150"/>
  <c r="X39" i="150"/>
  <c r="Q39" i="150"/>
  <c r="P39" i="150"/>
  <c r="H39" i="150"/>
  <c r="E39" i="150"/>
  <c r="I39" i="150" s="1"/>
  <c r="AE38" i="150"/>
  <c r="AI38" i="150" s="1"/>
  <c r="Y38" i="150" s="1"/>
  <c r="AD38" i="150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I37" i="150"/>
  <c r="H37" i="150"/>
  <c r="E37" i="150"/>
  <c r="AD36" i="150"/>
  <c r="AE36" i="150" s="1"/>
  <c r="AI36" i="150" s="1"/>
  <c r="Y36" i="150" s="1"/>
  <c r="AC36" i="150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E34" i="150" s="1"/>
  <c r="AI34" i="150" s="1"/>
  <c r="Y34" i="150" s="1"/>
  <c r="AB34" i="150"/>
  <c r="Z34" i="150"/>
  <c r="X34" i="150"/>
  <c r="Q34" i="150"/>
  <c r="P34" i="150"/>
  <c r="H34" i="150"/>
  <c r="E34" i="150"/>
  <c r="I34" i="150" s="1"/>
  <c r="AD33" i="150"/>
  <c r="AC33" i="150"/>
  <c r="AE33" i="150" s="1"/>
  <c r="AI33" i="150" s="1"/>
  <c r="Y33" i="150" s="1"/>
  <c r="AB33" i="150"/>
  <c r="Z33" i="150"/>
  <c r="X33" i="150"/>
  <c r="Q33" i="150"/>
  <c r="P33" i="150"/>
  <c r="I33" i="150"/>
  <c r="H33" i="150"/>
  <c r="E33" i="150"/>
  <c r="AE32" i="150"/>
  <c r="AI32" i="150" s="1"/>
  <c r="Y32" i="150" s="1"/>
  <c r="AD32" i="150"/>
  <c r="AC32" i="150"/>
  <c r="AB32" i="150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H31" i="150"/>
  <c r="E31" i="150"/>
  <c r="I31" i="150" s="1"/>
  <c r="AD30" i="150"/>
  <c r="AC30" i="150"/>
  <c r="AB30" i="150"/>
  <c r="AE30" i="150" s="1"/>
  <c r="AI30" i="150" s="1"/>
  <c r="Y30" i="150" s="1"/>
  <c r="Z30" i="150"/>
  <c r="X30" i="150"/>
  <c r="Q30" i="150"/>
  <c r="P30" i="150"/>
  <c r="I30" i="150"/>
  <c r="H30" i="150"/>
  <c r="E30" i="150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E28" i="150" s="1"/>
  <c r="AI28" i="150" s="1"/>
  <c r="Y28" i="150" s="1"/>
  <c r="AC28" i="150"/>
  <c r="AB28" i="150"/>
  <c r="Z28" i="150"/>
  <c r="X28" i="150"/>
  <c r="Q28" i="150"/>
  <c r="P28" i="150"/>
  <c r="I28" i="150"/>
  <c r="H28" i="150"/>
  <c r="E28" i="150"/>
  <c r="AD27" i="150"/>
  <c r="AC27" i="150"/>
  <c r="AB27" i="150"/>
  <c r="AE27" i="150" s="1"/>
  <c r="AI27" i="150" s="1"/>
  <c r="Y27" i="150" s="1"/>
  <c r="Z27" i="150"/>
  <c r="X27" i="150"/>
  <c r="Q27" i="150"/>
  <c r="P27" i="150"/>
  <c r="I27" i="150"/>
  <c r="H27" i="150"/>
  <c r="E27" i="150"/>
  <c r="AD26" i="150"/>
  <c r="AC26" i="150"/>
  <c r="AE26" i="150" s="1"/>
  <c r="AI26" i="150" s="1"/>
  <c r="Y26" i="150" s="1"/>
  <c r="AB26" i="150"/>
  <c r="Z26" i="150"/>
  <c r="X26" i="150"/>
  <c r="Q26" i="150"/>
  <c r="P26" i="150"/>
  <c r="I26" i="150"/>
  <c r="H26" i="150"/>
  <c r="E26" i="150"/>
  <c r="AE25" i="150"/>
  <c r="AI25" i="150" s="1"/>
  <c r="Y25" i="150" s="1"/>
  <c r="AD25" i="150"/>
  <c r="AC25" i="150"/>
  <c r="AB25" i="150"/>
  <c r="Z25" i="150"/>
  <c r="X25" i="150"/>
  <c r="Q25" i="150"/>
  <c r="P25" i="150"/>
  <c r="I25" i="150"/>
  <c r="H25" i="150"/>
  <c r="E25" i="150"/>
  <c r="AD24" i="150"/>
  <c r="AC24" i="150"/>
  <c r="AB24" i="150"/>
  <c r="AE24" i="150" s="1"/>
  <c r="AI24" i="150" s="1"/>
  <c r="Y24" i="150" s="1"/>
  <c r="Z24" i="150"/>
  <c r="X24" i="150"/>
  <c r="Q24" i="150"/>
  <c r="P24" i="150"/>
  <c r="H24" i="150"/>
  <c r="E24" i="150"/>
  <c r="I24" i="150" s="1"/>
  <c r="AE23" i="150"/>
  <c r="AI23" i="150" s="1"/>
  <c r="Y23" i="150" s="1"/>
  <c r="AD23" i="150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I22" i="150"/>
  <c r="H22" i="150"/>
  <c r="E22" i="150"/>
  <c r="AD21" i="150"/>
  <c r="AE21" i="150" s="1"/>
  <c r="AI21" i="150" s="1"/>
  <c r="Y21" i="150" s="1"/>
  <c r="AC21" i="150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H20" i="150"/>
  <c r="E20" i="150"/>
  <c r="AD19" i="150"/>
  <c r="AC19" i="150"/>
  <c r="AE19" i="150" s="1"/>
  <c r="AI19" i="150" s="1"/>
  <c r="Y19" i="150" s="1"/>
  <c r="AB19" i="150"/>
  <c r="Z19" i="150"/>
  <c r="X19" i="150"/>
  <c r="Q19" i="150"/>
  <c r="P19" i="150"/>
  <c r="H19" i="150"/>
  <c r="E19" i="150"/>
  <c r="I19" i="150" s="1"/>
  <c r="AD18" i="150"/>
  <c r="AC18" i="150"/>
  <c r="AE18" i="150" s="1"/>
  <c r="AI18" i="150" s="1"/>
  <c r="Y18" i="150" s="1"/>
  <c r="AB18" i="150"/>
  <c r="Z18" i="150"/>
  <c r="X18" i="150"/>
  <c r="Q18" i="150"/>
  <c r="P18" i="150"/>
  <c r="I18" i="150"/>
  <c r="H18" i="150"/>
  <c r="E18" i="150"/>
  <c r="AE17" i="150"/>
  <c r="AI17" i="150" s="1"/>
  <c r="Y17" i="150" s="1"/>
  <c r="AD17" i="150"/>
  <c r="AC17" i="150"/>
  <c r="AB17" i="150"/>
  <c r="Z17" i="150"/>
  <c r="X17" i="150"/>
  <c r="Q17" i="150"/>
  <c r="P17" i="150"/>
  <c r="H17" i="150"/>
  <c r="E17" i="150"/>
  <c r="I17" i="150" s="1"/>
  <c r="AD16" i="150"/>
  <c r="AC16" i="150"/>
  <c r="AB16" i="150"/>
  <c r="AE16" i="150" s="1"/>
  <c r="AI16" i="150" s="1"/>
  <c r="Y16" i="150" s="1"/>
  <c r="Z16" i="150"/>
  <c r="X16" i="150"/>
  <c r="Q16" i="150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I15" i="150"/>
  <c r="E15" i="150"/>
  <c r="AD14" i="150"/>
  <c r="AC14" i="150"/>
  <c r="AB14" i="150"/>
  <c r="AE14" i="150" s="1"/>
  <c r="AI14" i="150" s="1"/>
  <c r="Y14" i="150" s="1"/>
  <c r="Z14" i="150"/>
  <c r="X14" i="150"/>
  <c r="Q14" i="150"/>
  <c r="O75" i="150" s="1"/>
  <c r="P14" i="150"/>
  <c r="H14" i="150"/>
  <c r="E14" i="150"/>
  <c r="I14" i="150" s="1"/>
  <c r="AE13" i="150"/>
  <c r="AI13" i="150" s="1"/>
  <c r="Y13" i="150" s="1"/>
  <c r="AD13" i="150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X12" i="150"/>
  <c r="Q12" i="150"/>
  <c r="P12" i="150"/>
  <c r="I12" i="150"/>
  <c r="H12" i="150"/>
  <c r="E12" i="150"/>
  <c r="T79" i="151" l="1"/>
  <c r="F77" i="151" s="1"/>
  <c r="H71" i="150"/>
  <c r="H42" i="150"/>
  <c r="O73" i="150"/>
  <c r="T77" i="150"/>
  <c r="T75" i="150"/>
  <c r="T73" i="150"/>
  <c r="F73" i="150"/>
  <c r="F75" i="150"/>
  <c r="M79" i="149"/>
  <c r="W73" i="149"/>
  <c r="P71" i="149"/>
  <c r="H71" i="149"/>
  <c r="Q70" i="149"/>
  <c r="P70" i="149"/>
  <c r="H70" i="149"/>
  <c r="E70" i="149"/>
  <c r="I70" i="149" s="1"/>
  <c r="Q69" i="149"/>
  <c r="P69" i="149"/>
  <c r="H69" i="149"/>
  <c r="E69" i="149"/>
  <c r="I69" i="149" s="1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H67" i="149"/>
  <c r="E67" i="149"/>
  <c r="I67" i="149" s="1"/>
  <c r="AD66" i="149"/>
  <c r="AC66" i="149"/>
  <c r="AB66" i="149"/>
  <c r="AE66" i="149" s="1"/>
  <c r="AI66" i="149" s="1"/>
  <c r="Y66" i="149" s="1"/>
  <c r="Z66" i="149"/>
  <c r="X66" i="149"/>
  <c r="Q66" i="149"/>
  <c r="P66" i="149"/>
  <c r="H66" i="149"/>
  <c r="E66" i="149"/>
  <c r="I66" i="149" s="1"/>
  <c r="AD65" i="149"/>
  <c r="AE65" i="149" s="1"/>
  <c r="AI65" i="149" s="1"/>
  <c r="Y65" i="149" s="1"/>
  <c r="AC65" i="149"/>
  <c r="AB65" i="149"/>
  <c r="Z65" i="149"/>
  <c r="X65" i="149"/>
  <c r="Q65" i="149"/>
  <c r="P65" i="149"/>
  <c r="I65" i="149"/>
  <c r="H65" i="149"/>
  <c r="E65" i="149"/>
  <c r="AD64" i="149"/>
  <c r="AC64" i="149"/>
  <c r="AB64" i="149"/>
  <c r="AE64" i="149" s="1"/>
  <c r="AI64" i="149" s="1"/>
  <c r="Y64" i="149" s="1"/>
  <c r="Z64" i="149"/>
  <c r="X64" i="149"/>
  <c r="Q64" i="149"/>
  <c r="P64" i="149"/>
  <c r="I64" i="149"/>
  <c r="H64" i="149"/>
  <c r="E64" i="149"/>
  <c r="AI63" i="149"/>
  <c r="AE63" i="149"/>
  <c r="AD63" i="149"/>
  <c r="AC63" i="149"/>
  <c r="AB63" i="149"/>
  <c r="Z63" i="149"/>
  <c r="Y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I62" i="149"/>
  <c r="H62" i="149"/>
  <c r="E62" i="149"/>
  <c r="AC61" i="149"/>
  <c r="AB61" i="149"/>
  <c r="AE61" i="149" s="1"/>
  <c r="AI61" i="149" s="1"/>
  <c r="Y61" i="149" s="1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H60" i="149"/>
  <c r="E60" i="149"/>
  <c r="I60" i="149" s="1"/>
  <c r="AC59" i="149"/>
  <c r="AB59" i="149"/>
  <c r="AE59" i="149" s="1"/>
  <c r="AI59" i="149" s="1"/>
  <c r="Y59" i="149" s="1"/>
  <c r="X59" i="149"/>
  <c r="Q59" i="149"/>
  <c r="P59" i="149"/>
  <c r="H59" i="149"/>
  <c r="E59" i="149"/>
  <c r="I59" i="149" s="1"/>
  <c r="AE58" i="149"/>
  <c r="AI58" i="149" s="1"/>
  <c r="Y58" i="149" s="1"/>
  <c r="AC58" i="149"/>
  <c r="AB58" i="149"/>
  <c r="X58" i="149"/>
  <c r="Q58" i="149"/>
  <c r="P58" i="149"/>
  <c r="I58" i="149"/>
  <c r="E58" i="149"/>
  <c r="AC57" i="149"/>
  <c r="AB57" i="149"/>
  <c r="AE57" i="149" s="1"/>
  <c r="AI57" i="149" s="1"/>
  <c r="Y57" i="149" s="1"/>
  <c r="X57" i="149"/>
  <c r="Q57" i="149"/>
  <c r="P57" i="149"/>
  <c r="H57" i="149"/>
  <c r="E57" i="149"/>
  <c r="I57" i="149" s="1"/>
  <c r="AD56" i="149"/>
  <c r="AC56" i="149"/>
  <c r="AB56" i="149"/>
  <c r="AE56" i="149" s="1"/>
  <c r="AI56" i="149" s="1"/>
  <c r="Y56" i="149" s="1"/>
  <c r="Z56" i="149"/>
  <c r="X56" i="149"/>
  <c r="Q56" i="149"/>
  <c r="P56" i="149"/>
  <c r="I56" i="149"/>
  <c r="H56" i="149"/>
  <c r="E56" i="149"/>
  <c r="AD55" i="149"/>
  <c r="AC55" i="149"/>
  <c r="AB55" i="149"/>
  <c r="AE55" i="149" s="1"/>
  <c r="AI55" i="149" s="1"/>
  <c r="Y55" i="149" s="1"/>
  <c r="Z55" i="149"/>
  <c r="X55" i="149"/>
  <c r="Q55" i="149"/>
  <c r="P55" i="149"/>
  <c r="H55" i="149"/>
  <c r="E55" i="149"/>
  <c r="I55" i="149" s="1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E53" i="149" s="1"/>
  <c r="AI53" i="149" s="1"/>
  <c r="Y53" i="149" s="1"/>
  <c r="AB53" i="149"/>
  <c r="Z53" i="149"/>
  <c r="X53" i="149"/>
  <c r="Q53" i="149"/>
  <c r="P53" i="149"/>
  <c r="H53" i="149"/>
  <c r="E53" i="149"/>
  <c r="I53" i="149" s="1"/>
  <c r="AI52" i="149"/>
  <c r="AE52" i="149"/>
  <c r="Z52" i="149"/>
  <c r="Y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C50" i="149"/>
  <c r="AB50" i="149"/>
  <c r="AE50" i="149" s="1"/>
  <c r="AI50" i="149" s="1"/>
  <c r="Y50" i="149" s="1"/>
  <c r="Z50" i="149"/>
  <c r="X50" i="149"/>
  <c r="Q50" i="149"/>
  <c r="P50" i="149"/>
  <c r="H50" i="149"/>
  <c r="E50" i="149"/>
  <c r="I50" i="149" s="1"/>
  <c r="AE49" i="149"/>
  <c r="AI49" i="149" s="1"/>
  <c r="Y49" i="149" s="1"/>
  <c r="Z49" i="149"/>
  <c r="X49" i="149"/>
  <c r="Q49" i="149"/>
  <c r="P49" i="149"/>
  <c r="I49" i="149"/>
  <c r="H49" i="149"/>
  <c r="E49" i="149"/>
  <c r="AI48" i="149"/>
  <c r="Y48" i="149" s="1"/>
  <c r="AE48" i="149"/>
  <c r="Z48" i="149"/>
  <c r="X48" i="149"/>
  <c r="Q48" i="149"/>
  <c r="P48" i="149"/>
  <c r="I48" i="149"/>
  <c r="H48" i="149"/>
  <c r="E48" i="149"/>
  <c r="AI47" i="149"/>
  <c r="AE47" i="149"/>
  <c r="Z47" i="149"/>
  <c r="Y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H46" i="149"/>
  <c r="E46" i="149"/>
  <c r="I46" i="149" s="1"/>
  <c r="AI45" i="149"/>
  <c r="AE45" i="149"/>
  <c r="AD45" i="149"/>
  <c r="AC45" i="149"/>
  <c r="AB45" i="149"/>
  <c r="Z45" i="149"/>
  <c r="Y45" i="149"/>
  <c r="X45" i="149"/>
  <c r="Q45" i="149"/>
  <c r="P45" i="149"/>
  <c r="H45" i="149"/>
  <c r="E45" i="149"/>
  <c r="I45" i="149" s="1"/>
  <c r="AD44" i="149"/>
  <c r="AC44" i="149"/>
  <c r="AB44" i="149"/>
  <c r="AE44" i="149" s="1"/>
  <c r="AI44" i="149" s="1"/>
  <c r="Y44" i="149" s="1"/>
  <c r="Z44" i="149"/>
  <c r="X44" i="149"/>
  <c r="Q44" i="149"/>
  <c r="P44" i="149"/>
  <c r="I44" i="149"/>
  <c r="H44" i="149"/>
  <c r="E44" i="149"/>
  <c r="AD43" i="149"/>
  <c r="AC43" i="149"/>
  <c r="AB43" i="149"/>
  <c r="AE43" i="149" s="1"/>
  <c r="AI43" i="149" s="1"/>
  <c r="Y43" i="149" s="1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E41" i="149" s="1"/>
  <c r="AI41" i="149" s="1"/>
  <c r="Y41" i="149" s="1"/>
  <c r="AB41" i="149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I40" i="149"/>
  <c r="H40" i="149"/>
  <c r="E40" i="149"/>
  <c r="AE39" i="149"/>
  <c r="AI39" i="149" s="1"/>
  <c r="Y39" i="149" s="1"/>
  <c r="AD39" i="149"/>
  <c r="AC39" i="149"/>
  <c r="AB39" i="149"/>
  <c r="Z39" i="149"/>
  <c r="X39" i="149"/>
  <c r="Q39" i="149"/>
  <c r="P39" i="149"/>
  <c r="H39" i="149"/>
  <c r="E39" i="149"/>
  <c r="I39" i="149" s="1"/>
  <c r="AD38" i="149"/>
  <c r="AC38" i="149"/>
  <c r="AB38" i="149"/>
  <c r="AE38" i="149" s="1"/>
  <c r="AI38" i="149" s="1"/>
  <c r="Y38" i="149" s="1"/>
  <c r="Z38" i="149"/>
  <c r="X38" i="149"/>
  <c r="Q38" i="149"/>
  <c r="P38" i="149"/>
  <c r="H38" i="149"/>
  <c r="E38" i="149"/>
  <c r="I38" i="149" s="1"/>
  <c r="AD37" i="149"/>
  <c r="AC37" i="149"/>
  <c r="AB37" i="149"/>
  <c r="AE37" i="149" s="1"/>
  <c r="AI37" i="149" s="1"/>
  <c r="Y37" i="149" s="1"/>
  <c r="Z37" i="149"/>
  <c r="X37" i="149"/>
  <c r="Q37" i="149"/>
  <c r="P37" i="149"/>
  <c r="H37" i="149"/>
  <c r="E37" i="149"/>
  <c r="I37" i="149" s="1"/>
  <c r="AD36" i="149"/>
  <c r="AE36" i="149" s="1"/>
  <c r="AI36" i="149" s="1"/>
  <c r="Y36" i="149" s="1"/>
  <c r="AC36" i="149"/>
  <c r="AB36" i="149"/>
  <c r="Z36" i="149"/>
  <c r="X36" i="149"/>
  <c r="Q36" i="149"/>
  <c r="P36" i="149"/>
  <c r="I36" i="149"/>
  <c r="H36" i="149"/>
  <c r="E36" i="149"/>
  <c r="AD35" i="149"/>
  <c r="AC35" i="149"/>
  <c r="AB35" i="149"/>
  <c r="AE35" i="149" s="1"/>
  <c r="AI35" i="149" s="1"/>
  <c r="Y35" i="149" s="1"/>
  <c r="Z35" i="149"/>
  <c r="X35" i="149"/>
  <c r="Q35" i="149"/>
  <c r="P35" i="149"/>
  <c r="I35" i="149"/>
  <c r="H35" i="149"/>
  <c r="E35" i="149"/>
  <c r="AI34" i="149"/>
  <c r="AE34" i="149"/>
  <c r="AD34" i="149"/>
  <c r="AC34" i="149"/>
  <c r="AB34" i="149"/>
  <c r="Z34" i="149"/>
  <c r="Y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I33" i="149"/>
  <c r="H33" i="149"/>
  <c r="E33" i="149"/>
  <c r="AD32" i="149"/>
  <c r="AC32" i="149"/>
  <c r="AE32" i="149" s="1"/>
  <c r="AI32" i="149" s="1"/>
  <c r="Y32" i="149" s="1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H31" i="149"/>
  <c r="E31" i="149"/>
  <c r="I31" i="149" s="1"/>
  <c r="AI30" i="149"/>
  <c r="AE30" i="149"/>
  <c r="AD30" i="149"/>
  <c r="AC30" i="149"/>
  <c r="AB30" i="149"/>
  <c r="Z30" i="149"/>
  <c r="Y30" i="149"/>
  <c r="X30" i="149"/>
  <c r="Q30" i="149"/>
  <c r="P30" i="149"/>
  <c r="H30" i="149"/>
  <c r="E30" i="149"/>
  <c r="I30" i="149" s="1"/>
  <c r="AD29" i="149"/>
  <c r="AC29" i="149"/>
  <c r="AB29" i="149"/>
  <c r="AE29" i="149" s="1"/>
  <c r="AI29" i="149" s="1"/>
  <c r="Y29" i="149" s="1"/>
  <c r="Z29" i="149"/>
  <c r="X29" i="149"/>
  <c r="Q29" i="149"/>
  <c r="P29" i="149"/>
  <c r="I29" i="149"/>
  <c r="H29" i="149"/>
  <c r="E29" i="149"/>
  <c r="AD28" i="149"/>
  <c r="AC28" i="149"/>
  <c r="AB28" i="149"/>
  <c r="AE28" i="149" s="1"/>
  <c r="AI28" i="149" s="1"/>
  <c r="Y28" i="149" s="1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E26" i="149" s="1"/>
  <c r="AI26" i="149" s="1"/>
  <c r="Y26" i="149" s="1"/>
  <c r="AB26" i="149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I25" i="149"/>
  <c r="H25" i="149"/>
  <c r="E25" i="149"/>
  <c r="AE24" i="149"/>
  <c r="AI24" i="149" s="1"/>
  <c r="Y24" i="149" s="1"/>
  <c r="AD24" i="149"/>
  <c r="AC24" i="149"/>
  <c r="AB24" i="149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E22" i="149"/>
  <c r="AI22" i="149" s="1"/>
  <c r="Y22" i="149" s="1"/>
  <c r="AD22" i="149"/>
  <c r="AC22" i="149"/>
  <c r="AB22" i="149"/>
  <c r="Z22" i="149"/>
  <c r="X22" i="149"/>
  <c r="Q22" i="149"/>
  <c r="P22" i="149"/>
  <c r="H22" i="149"/>
  <c r="E22" i="149"/>
  <c r="I22" i="149" s="1"/>
  <c r="AD21" i="149"/>
  <c r="AE21" i="149" s="1"/>
  <c r="AI21" i="149" s="1"/>
  <c r="Y21" i="149" s="1"/>
  <c r="AC21" i="149"/>
  <c r="AB21" i="149"/>
  <c r="Z21" i="149"/>
  <c r="X21" i="149"/>
  <c r="Q21" i="149"/>
  <c r="P21" i="149"/>
  <c r="I21" i="149"/>
  <c r="H21" i="149"/>
  <c r="E21" i="149"/>
  <c r="AD20" i="149"/>
  <c r="AC20" i="149"/>
  <c r="AB20" i="149"/>
  <c r="AE20" i="149" s="1"/>
  <c r="AI20" i="149" s="1"/>
  <c r="Y20" i="149" s="1"/>
  <c r="Z20" i="149"/>
  <c r="X20" i="149"/>
  <c r="Q20" i="149"/>
  <c r="P20" i="149"/>
  <c r="I20" i="149"/>
  <c r="H20" i="149"/>
  <c r="E20" i="149"/>
  <c r="AI19" i="149"/>
  <c r="AE19" i="149"/>
  <c r="AD19" i="149"/>
  <c r="AC19" i="149"/>
  <c r="AB19" i="149"/>
  <c r="Z19" i="149"/>
  <c r="Y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I18" i="149"/>
  <c r="H18" i="149"/>
  <c r="E18" i="149"/>
  <c r="AD17" i="149"/>
  <c r="AC17" i="149"/>
  <c r="AE17" i="149" s="1"/>
  <c r="AI17" i="149" s="1"/>
  <c r="Y17" i="149" s="1"/>
  <c r="AB17" i="149"/>
  <c r="Z17" i="149"/>
  <c r="X17" i="149"/>
  <c r="Q17" i="149"/>
  <c r="P17" i="149"/>
  <c r="H17" i="149"/>
  <c r="E17" i="149"/>
  <c r="I17" i="149" s="1"/>
  <c r="AE16" i="149"/>
  <c r="AI16" i="149" s="1"/>
  <c r="Y16" i="149" s="1"/>
  <c r="AD16" i="149"/>
  <c r="AC16" i="149"/>
  <c r="AB16" i="149"/>
  <c r="Z16" i="149"/>
  <c r="X16" i="149"/>
  <c r="Q16" i="149"/>
  <c r="P16" i="149"/>
  <c r="I16" i="149"/>
  <c r="E16" i="149"/>
  <c r="AD15" i="149"/>
  <c r="AC15" i="149"/>
  <c r="AB15" i="149"/>
  <c r="AE15" i="149" s="1"/>
  <c r="AI15" i="149" s="1"/>
  <c r="Y15" i="149" s="1"/>
  <c r="Z15" i="149"/>
  <c r="X15" i="149"/>
  <c r="Q15" i="149"/>
  <c r="P15" i="149"/>
  <c r="I15" i="149"/>
  <c r="E15" i="149"/>
  <c r="AD14" i="149"/>
  <c r="AE14" i="149" s="1"/>
  <c r="AI14" i="149" s="1"/>
  <c r="Y14" i="149" s="1"/>
  <c r="AC14" i="149"/>
  <c r="AB14" i="149"/>
  <c r="Z14" i="149"/>
  <c r="X14" i="149"/>
  <c r="Q14" i="149"/>
  <c r="O75" i="149" s="1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E12" i="149"/>
  <c r="AI12" i="149" s="1"/>
  <c r="Y12" i="149" s="1"/>
  <c r="AD12" i="149"/>
  <c r="AC12" i="149"/>
  <c r="AB12" i="149"/>
  <c r="Z12" i="149"/>
  <c r="X12" i="149"/>
  <c r="Q12" i="149"/>
  <c r="P12" i="149"/>
  <c r="H12" i="149"/>
  <c r="E12" i="149"/>
  <c r="I12" i="149" s="1"/>
  <c r="T79" i="150" l="1"/>
  <c r="F77" i="150" s="1"/>
  <c r="T77" i="149"/>
  <c r="T75" i="149"/>
  <c r="F75" i="149"/>
  <c r="T73" i="149"/>
  <c r="F73" i="149"/>
  <c r="O73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9" i="149" l="1"/>
  <c r="F77" i="149"/>
  <c r="T77" i="148"/>
  <c r="O73" i="148"/>
  <c r="O75" i="148"/>
  <c r="Y39" i="148"/>
  <c r="Z39" i="148"/>
  <c r="T75" i="148" s="1"/>
  <c r="H71" i="148"/>
  <c r="Y42" i="148"/>
  <c r="H39" i="148"/>
  <c r="I39" i="148"/>
  <c r="F75" i="148" s="1"/>
  <c r="F42" i="147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3" i="148" l="1"/>
  <c r="T79" i="148"/>
  <c r="F73" i="148"/>
  <c r="F77" i="148" s="1"/>
  <c r="T77" i="147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<sst xmlns="http://schemas.openxmlformats.org/spreadsheetml/2006/main" count="1974" uniqueCount="134">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</sst>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5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5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1320282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239760</v>
      </c>
      <c r="P73" s="251"/>
      <c r="Q73" s="252"/>
      <c r="R73" s="152"/>
      <c r="S73" s="159" t="s">
        <v>104</v>
      </c>
      <c r="T73" s="256">
        <f>SUM(Y12:Y68)</f>
        <v>49405.140000000007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1250298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3420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1024276.86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>
        <v>3420</v>
      </c>
      <c r="Q77" s="255"/>
      <c r="R77" s="152"/>
      <c r="S77" s="159" t="s">
        <v>108</v>
      </c>
      <c r="T77" s="256">
        <f>IF(SUM(X12:X68)*0.15&gt;P77,P77,SUM(X12:X68)*0.15)</f>
        <v>3420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56245.140000000007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6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6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0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7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7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197964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179820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1098912.96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8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8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169344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142668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1127532.96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9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9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5616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5616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-5616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0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0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167832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1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1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179820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2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2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140940</v>
      </c>
      <c r="P73" s="251"/>
      <c r="Q73" s="252"/>
      <c r="R73" s="152"/>
      <c r="S73" s="159" t="s">
        <v>104</v>
      </c>
      <c r="T73" s="256">
        <f>SUM(Y12:Y68)</f>
        <v>52583.040000000001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131868</v>
      </c>
      <c r="P75" s="251"/>
      <c r="Q75" s="252"/>
      <c r="R75" s="152"/>
      <c r="S75" s="159" t="s">
        <v>129</v>
      </c>
      <c r="T75" s="256">
        <f>SUM(Z12:Z70)</f>
        <v>3672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1155936.96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56255.040000000001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3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  <c r="W82" s="2">
        <f>1155936.96+28188</f>
        <v>1184124.96</v>
      </c>
    </row>
    <row r="83" spans="2:23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3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2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2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28188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28188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-28188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3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3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1265884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198216</v>
      </c>
      <c r="P73" s="251"/>
      <c r="Q73" s="252"/>
      <c r="R73" s="152"/>
      <c r="S73" s="159" t="s">
        <v>104</v>
      </c>
      <c r="T73" s="256">
        <f>SUM(Y12:Y68)</f>
        <v>45038.75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1265884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165168</v>
      </c>
      <c r="P75" s="251"/>
      <c r="Q75" s="252"/>
      <c r="R75" s="152"/>
      <c r="S75" s="159" t="s">
        <v>129</v>
      </c>
      <c r="T75" s="256">
        <f>SUM(Z12:Z70)</f>
        <v>3088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1019541.25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48126.75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N20" sqref="N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4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4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1728</v>
      </c>
      <c r="G16" s="47">
        <v>108</v>
      </c>
      <c r="H16" s="64"/>
      <c r="I16" s="49">
        <f t="shared" si="4"/>
        <v>1273536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1081728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1345536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189936</v>
      </c>
      <c r="P73" s="251"/>
      <c r="Q73" s="252"/>
      <c r="R73" s="152"/>
      <c r="S73" s="159" t="s">
        <v>104</v>
      </c>
      <c r="T73" s="256">
        <f>SUM(Y12:Y68)</f>
        <v>51478.400000000001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1345536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159804</v>
      </c>
      <c r="P75" s="251"/>
      <c r="Q75" s="252"/>
      <c r="R75" s="152"/>
      <c r="S75" s="159" t="s">
        <v>129</v>
      </c>
      <c r="T75" s="256">
        <f>SUM(Z12:Z70)</f>
        <v>3584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1100537.6000000001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55062.400000000001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3EDF-3296-408C-84A3-7E1491271DD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5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5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1251528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173988</v>
      </c>
      <c r="P73" s="251"/>
      <c r="Q73" s="252"/>
      <c r="R73" s="152"/>
      <c r="S73" s="159" t="s">
        <v>104</v>
      </c>
      <c r="T73" s="256">
        <f>SUM(Y12:Y68)</f>
        <v>49272.480000000003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348000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131868</v>
      </c>
      <c r="P75" s="251"/>
      <c r="Q75" s="252"/>
      <c r="R75" s="152"/>
      <c r="S75" s="159" t="s">
        <v>129</v>
      </c>
      <c r="T75" s="256">
        <f>SUM(Z12:Z70)</f>
        <v>3408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1024859.52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52680.480000000003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5D402-C399-4D66-A4CE-7EC01D639DD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F15" sqref="F15: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6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6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208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208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208">
        <f>156+61</f>
        <v>217</v>
      </c>
      <c r="G20" s="47">
        <v>63</v>
      </c>
      <c r="H20" s="64" t="str">
        <f t="shared" si="11"/>
        <v>3.4 pallets</v>
      </c>
      <c r="I20" s="49">
        <f t="shared" si="4"/>
        <v>206584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180544</v>
      </c>
      <c r="Y20" s="57">
        <f t="shared" si="0"/>
        <v>6742.1900000000005</v>
      </c>
      <c r="Z20" s="57">
        <f t="shared" si="8"/>
        <v>434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209">
        <v>2</v>
      </c>
      <c r="G23" s="87">
        <v>63</v>
      </c>
      <c r="H23" s="88" t="str">
        <f t="shared" si="11"/>
        <v>0 pallets</v>
      </c>
      <c r="I23" s="89">
        <f t="shared" si="4"/>
        <v>3134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2894</v>
      </c>
      <c r="Y23" s="57">
        <f t="shared" si="0"/>
        <v>62.14</v>
      </c>
      <c r="Z23" s="57">
        <f t="shared" si="8"/>
        <v>4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208">
        <v>1</v>
      </c>
      <c r="G24" s="47">
        <v>63</v>
      </c>
      <c r="H24" s="64" t="str">
        <f t="shared" si="11"/>
        <v>0 pallets</v>
      </c>
      <c r="I24" s="49">
        <f t="shared" si="4"/>
        <v>1567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1447</v>
      </c>
      <c r="Y24" s="57">
        <f t="shared" si="0"/>
        <v>31.07</v>
      </c>
      <c r="Z24" s="57">
        <f t="shared" si="8"/>
        <v>2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208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8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8">
        <v>3</v>
      </c>
      <c r="G36" s="47">
        <v>100</v>
      </c>
      <c r="H36" s="64" t="str">
        <f t="shared" si="11"/>
        <v>0 pallets</v>
      </c>
      <c r="I36" s="49">
        <f t="shared" si="4"/>
        <v>3525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3525</v>
      </c>
      <c r="Y36" s="57">
        <f t="shared" si="0"/>
        <v>81.48</v>
      </c>
      <c r="Z36" s="57">
        <f t="shared" si="8"/>
        <v>6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208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09">
        <f>1+4</f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135.80000000000001</v>
      </c>
      <c r="Z42" s="57">
        <f t="shared" si="8"/>
        <v>10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1231463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46483.740000000013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1231463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191808</v>
      </c>
      <c r="P75" s="251"/>
      <c r="Q75" s="252"/>
      <c r="R75" s="152"/>
      <c r="S75" s="159" t="s">
        <v>129</v>
      </c>
      <c r="T75" s="256">
        <f>SUM(Z12:Z70)</f>
        <v>3200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977983.26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49683.740000000013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06C16-8FA8-45E4-B7D8-3577B1F29EC4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M58" sqref="M58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7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7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</v>
      </c>
      <c r="G12" s="26">
        <v>72</v>
      </c>
      <c r="H12" s="27" t="str">
        <f>IF(F12="","",(ROUND((F12/G12),1)&amp;" pallets"))</f>
        <v>0 pallets</v>
      </c>
      <c r="I12" s="28">
        <f>E12*F12</f>
        <v>972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852</v>
      </c>
      <c r="Y12" s="36">
        <f t="shared" ref="Y12:Y68" si="0">F12*AI12</f>
        <v>30.369999999999997</v>
      </c>
      <c r="Z12" s="36">
        <f>IF($U$6="x",(F12*2),"")</f>
        <v>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1298052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1094256</v>
      </c>
      <c r="Y13" s="57">
        <f>F13*AI13</f>
        <v>52583.040000000001</v>
      </c>
      <c r="Z13" s="57">
        <f t="shared" ref="Z13:Z68" si="8">IF($U$6="x",(F13*2),"")</f>
        <v>3672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</v>
      </c>
      <c r="G14" s="47">
        <v>63</v>
      </c>
      <c r="H14" s="64" t="str">
        <f>IF(F14="","",(ROUND((F14/G14),1)&amp;" pallets"))</f>
        <v>0 pallets</v>
      </c>
      <c r="I14" s="49">
        <f t="shared" si="4"/>
        <v>1033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913</v>
      </c>
      <c r="Y14" s="57">
        <f t="shared" si="0"/>
        <v>31.07</v>
      </c>
      <c r="Z14" s="57">
        <f t="shared" si="8"/>
        <v>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1300057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52644.480000000003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1033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179820</v>
      </c>
      <c r="P75" s="251"/>
      <c r="Q75" s="252"/>
      <c r="R75" s="152"/>
      <c r="S75" s="159" t="s">
        <v>129</v>
      </c>
      <c r="T75" s="256">
        <f>SUM(Z12:Z70)</f>
        <v>3676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1039940.52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56320.480000000003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133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132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11-25-2025</vt:lpstr>
      <vt:lpstr>11-26-2025</vt:lpstr>
      <vt:lpstr>11-28-2025</vt:lpstr>
      <vt:lpstr>11-29-2025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  <vt:lpstr>'11-25-2025'!Print_Area</vt:lpstr>
      <vt:lpstr>'11-26-2025'!Print_Area</vt:lpstr>
      <vt:lpstr>'11-28-2025'!Print_Area</vt:lpstr>
      <vt:lpstr>'11-29-2025'!Print_Area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2025-11-29T03:18:51Z</dcterms:modified>
</cp:coreProperties>
</file>