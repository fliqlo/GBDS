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7C2218E-0DF0-44AC-8D79-E767611164C3}" xr6:coauthVersionLast="45" xr6:coauthVersionMax="47" xr10:uidLastSave="{00000000-0000-0000-0000-000000000000}"/>
  <bookViews>
    <workbookView xWindow="-120" yWindow="-120" windowWidth="29040" windowHeight="15840" firstSheet="4" activeTab="12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  <sheet name="01-28-2026" sheetId="175" r:id="rId7"/>
    <sheet name="01-29-2026" sheetId="176" r:id="rId8"/>
    <sheet name="01-29-2026 (2)" sheetId="177" r:id="rId9"/>
    <sheet name="01-30-2026" sheetId="178" r:id="rId10"/>
    <sheet name="01-30-2026 MHT" sheetId="179" r:id="rId11"/>
    <sheet name="01-30-2026 B" sheetId="180" r:id="rId12"/>
    <sheet name="01-30-2026 MHT B" sheetId="181" r:id="rId13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  <definedName name="_xlnm.Print_Area" localSheetId="6">'01-28-2026'!$A$1:$V$97</definedName>
    <definedName name="_xlnm.Print_Area" localSheetId="7">'01-29-2026'!$A$1:$V$97</definedName>
    <definedName name="_xlnm.Print_Area" localSheetId="8">'01-29-2026 (2)'!$A$1:$V$97</definedName>
    <definedName name="_xlnm.Print_Area" localSheetId="9">'01-30-2026'!$A$1:$V$99</definedName>
    <definedName name="_xlnm.Print_Area" localSheetId="11">'01-30-2026 B'!$A$1:$V$99</definedName>
    <definedName name="_xlnm.Print_Area" localSheetId="10">'01-30-2026 MHT'!$A$1:$V$99</definedName>
    <definedName name="_xlnm.Print_Area" localSheetId="12">'01-30-2026 MHT B'!$A$1:$V$99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181" l="1"/>
  <c r="P73" i="181"/>
  <c r="H73" i="181"/>
  <c r="Q72" i="181"/>
  <c r="P72" i="181"/>
  <c r="I72" i="181"/>
  <c r="H72" i="181"/>
  <c r="E72" i="181"/>
  <c r="Q71" i="181"/>
  <c r="P71" i="181"/>
  <c r="H71" i="181"/>
  <c r="E71" i="181"/>
  <c r="I71" i="181" s="1"/>
  <c r="AD70" i="181"/>
  <c r="AC70" i="181"/>
  <c r="AB70" i="181"/>
  <c r="AE70" i="181" s="1"/>
  <c r="AI70" i="181" s="1"/>
  <c r="Y70" i="181" s="1"/>
  <c r="Z70" i="181"/>
  <c r="X70" i="181"/>
  <c r="Q70" i="181"/>
  <c r="P70" i="181"/>
  <c r="I70" i="181"/>
  <c r="H70" i="181"/>
  <c r="E70" i="181"/>
  <c r="AD69" i="181"/>
  <c r="AC69" i="181"/>
  <c r="AB69" i="181"/>
  <c r="AE69" i="181" s="1"/>
  <c r="AI69" i="181" s="1"/>
  <c r="Y69" i="181" s="1"/>
  <c r="Z69" i="181"/>
  <c r="X69" i="181"/>
  <c r="Q69" i="181"/>
  <c r="P69" i="181"/>
  <c r="I69" i="181"/>
  <c r="H69" i="181"/>
  <c r="E69" i="181"/>
  <c r="AE68" i="181"/>
  <c r="AI68" i="181" s="1"/>
  <c r="Y68" i="181" s="1"/>
  <c r="AD68" i="181"/>
  <c r="AC68" i="181"/>
  <c r="AB68" i="181"/>
  <c r="Z68" i="181"/>
  <c r="X68" i="181"/>
  <c r="Q68" i="181"/>
  <c r="P68" i="181"/>
  <c r="H68" i="181"/>
  <c r="E68" i="181"/>
  <c r="I68" i="181" s="1"/>
  <c r="AD67" i="181"/>
  <c r="AC67" i="181"/>
  <c r="AB67" i="181"/>
  <c r="AE67" i="181" s="1"/>
  <c r="AI67" i="181" s="1"/>
  <c r="Y67" i="181" s="1"/>
  <c r="Z67" i="181"/>
  <c r="X67" i="181"/>
  <c r="Q67" i="181"/>
  <c r="P67" i="181"/>
  <c r="H67" i="181"/>
  <c r="E67" i="181"/>
  <c r="I67" i="181" s="1"/>
  <c r="AD66" i="181"/>
  <c r="AC66" i="181"/>
  <c r="AE66" i="181" s="1"/>
  <c r="AI66" i="181" s="1"/>
  <c r="Y66" i="181" s="1"/>
  <c r="AB66" i="181"/>
  <c r="Z66" i="181"/>
  <c r="X66" i="181"/>
  <c r="Q66" i="181"/>
  <c r="P66" i="181"/>
  <c r="H66" i="181"/>
  <c r="E66" i="181"/>
  <c r="I66" i="181" s="1"/>
  <c r="AD65" i="181"/>
  <c r="AC65" i="181"/>
  <c r="AB65" i="181"/>
  <c r="AE65" i="181" s="1"/>
  <c r="AI65" i="181" s="1"/>
  <c r="Y65" i="181" s="1"/>
  <c r="Z65" i="181"/>
  <c r="X65" i="181"/>
  <c r="Q65" i="181"/>
  <c r="P65" i="181"/>
  <c r="H65" i="181"/>
  <c r="E65" i="181"/>
  <c r="I65" i="181" s="1"/>
  <c r="AD64" i="181"/>
  <c r="AC64" i="181"/>
  <c r="AB64" i="181"/>
  <c r="AE64" i="181" s="1"/>
  <c r="AI64" i="181" s="1"/>
  <c r="Y64" i="181" s="1"/>
  <c r="Z64" i="181"/>
  <c r="X64" i="181"/>
  <c r="Q64" i="181"/>
  <c r="P64" i="181"/>
  <c r="I64" i="181"/>
  <c r="H64" i="181"/>
  <c r="E64" i="181"/>
  <c r="AD63" i="181"/>
  <c r="AC63" i="181"/>
  <c r="AB63" i="181"/>
  <c r="AE63" i="181" s="1"/>
  <c r="AI63" i="181" s="1"/>
  <c r="Y63" i="181" s="1"/>
  <c r="Z63" i="181"/>
  <c r="X63" i="181"/>
  <c r="Q63" i="181"/>
  <c r="P63" i="181"/>
  <c r="H63" i="181"/>
  <c r="E63" i="181"/>
  <c r="I63" i="181" s="1"/>
  <c r="AD62" i="181"/>
  <c r="AC62" i="181"/>
  <c r="AE62" i="181" s="1"/>
  <c r="AI62" i="181" s="1"/>
  <c r="Y62" i="181" s="1"/>
  <c r="AB62" i="181"/>
  <c r="Z62" i="181"/>
  <c r="X62" i="181"/>
  <c r="Q62" i="181"/>
  <c r="P62" i="181"/>
  <c r="H62" i="181"/>
  <c r="E62" i="181"/>
  <c r="I62" i="181" s="1"/>
  <c r="AD61" i="181"/>
  <c r="AE61" i="181" s="1"/>
  <c r="AI61" i="181" s="1"/>
  <c r="Y61" i="181" s="1"/>
  <c r="Z61" i="181"/>
  <c r="X61" i="181"/>
  <c r="Q61" i="181"/>
  <c r="P61" i="181"/>
  <c r="I61" i="181"/>
  <c r="H61" i="181"/>
  <c r="E61" i="181"/>
  <c r="AD60" i="181"/>
  <c r="AC60" i="181"/>
  <c r="AE60" i="181" s="1"/>
  <c r="AI60" i="181" s="1"/>
  <c r="Y60" i="181" s="1"/>
  <c r="AB60" i="181"/>
  <c r="Z60" i="181"/>
  <c r="X60" i="181"/>
  <c r="Q60" i="181"/>
  <c r="P60" i="181"/>
  <c r="H60" i="181"/>
  <c r="E60" i="181"/>
  <c r="I60" i="181" s="1"/>
  <c r="AD59" i="181"/>
  <c r="AC59" i="181"/>
  <c r="AB59" i="181"/>
  <c r="AE59" i="181" s="1"/>
  <c r="AI59" i="181" s="1"/>
  <c r="Y59" i="181" s="1"/>
  <c r="Z59" i="181"/>
  <c r="X59" i="181"/>
  <c r="Q59" i="181"/>
  <c r="P59" i="181"/>
  <c r="I59" i="181"/>
  <c r="E59" i="181"/>
  <c r="AD58" i="181"/>
  <c r="AC58" i="181"/>
  <c r="AB58" i="181"/>
  <c r="AE58" i="181" s="1"/>
  <c r="AI58" i="181" s="1"/>
  <c r="Y58" i="181" s="1"/>
  <c r="Z58" i="181"/>
  <c r="X58" i="181"/>
  <c r="Q58" i="181"/>
  <c r="P58" i="181"/>
  <c r="I58" i="181"/>
  <c r="H58" i="181"/>
  <c r="E58" i="181"/>
  <c r="AE57" i="181"/>
  <c r="AI57" i="181" s="1"/>
  <c r="Y57" i="181" s="1"/>
  <c r="AD57" i="181"/>
  <c r="AC57" i="181"/>
  <c r="AB57" i="181"/>
  <c r="Z57" i="181"/>
  <c r="X57" i="181"/>
  <c r="Q57" i="181"/>
  <c r="P57" i="181"/>
  <c r="I57" i="181"/>
  <c r="H57" i="181"/>
  <c r="E57" i="181"/>
  <c r="AD56" i="181"/>
  <c r="AC56" i="181"/>
  <c r="AB56" i="181"/>
  <c r="AE56" i="181" s="1"/>
  <c r="AI56" i="181" s="1"/>
  <c r="Y56" i="181" s="1"/>
  <c r="Z56" i="181"/>
  <c r="X56" i="181"/>
  <c r="Q56" i="181"/>
  <c r="P56" i="181"/>
  <c r="I56" i="181"/>
  <c r="H56" i="181"/>
  <c r="E56" i="181"/>
  <c r="AD55" i="181"/>
  <c r="AC55" i="181"/>
  <c r="AE55" i="181" s="1"/>
  <c r="AI55" i="181" s="1"/>
  <c r="Y55" i="181" s="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Z53" i="181"/>
  <c r="X53" i="181"/>
  <c r="Q53" i="181"/>
  <c r="P53" i="181"/>
  <c r="H53" i="181"/>
  <c r="E53" i="181"/>
  <c r="I53" i="181" s="1"/>
  <c r="AD52" i="181"/>
  <c r="AC52" i="181"/>
  <c r="AE52" i="181" s="1"/>
  <c r="AI52" i="181" s="1"/>
  <c r="Y52" i="181" s="1"/>
  <c r="AB52" i="181"/>
  <c r="Z52" i="181"/>
  <c r="X52" i="181"/>
  <c r="Q52" i="181"/>
  <c r="P52" i="181"/>
  <c r="H52" i="181"/>
  <c r="E52" i="181"/>
  <c r="I52" i="181" s="1"/>
  <c r="AD51" i="181"/>
  <c r="AC51" i="181"/>
  <c r="AB51" i="181"/>
  <c r="AE51" i="181" s="1"/>
  <c r="AI51" i="181" s="1"/>
  <c r="Y51" i="181" s="1"/>
  <c r="Z51" i="181"/>
  <c r="X51" i="181"/>
  <c r="Q51" i="181"/>
  <c r="P51" i="181"/>
  <c r="H51" i="181"/>
  <c r="E51" i="181"/>
  <c r="I51" i="181" s="1"/>
  <c r="AE50" i="181"/>
  <c r="AI50" i="181" s="1"/>
  <c r="Y50" i="181" s="1"/>
  <c r="Z50" i="181"/>
  <c r="X50" i="181"/>
  <c r="Q50" i="181"/>
  <c r="P50" i="181"/>
  <c r="H50" i="181"/>
  <c r="E50" i="181"/>
  <c r="I50" i="181" s="1"/>
  <c r="AI49" i="181"/>
  <c r="AE49" i="181"/>
  <c r="Z49" i="181"/>
  <c r="Y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H48" i="181"/>
  <c r="E48" i="181"/>
  <c r="I48" i="181" s="1"/>
  <c r="AE47" i="181"/>
  <c r="AI47" i="181" s="1"/>
  <c r="Y47" i="181" s="1"/>
  <c r="AD47" i="181"/>
  <c r="AC47" i="181"/>
  <c r="AB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I46" i="181"/>
  <c r="H46" i="181"/>
  <c r="E46" i="181"/>
  <c r="AE45" i="181"/>
  <c r="AI45" i="181" s="1"/>
  <c r="Y45" i="181" s="1"/>
  <c r="AD45" i="181"/>
  <c r="AC45" i="181"/>
  <c r="AB45" i="181"/>
  <c r="Z45" i="181"/>
  <c r="X45" i="181"/>
  <c r="Q45" i="181"/>
  <c r="P45" i="181"/>
  <c r="I45" i="181"/>
  <c r="H45" i="181"/>
  <c r="E45" i="181"/>
  <c r="AD44" i="181"/>
  <c r="AC44" i="181"/>
  <c r="AB44" i="181"/>
  <c r="AE44" i="181" s="1"/>
  <c r="AI44" i="181" s="1"/>
  <c r="Y44" i="181" s="1"/>
  <c r="Z44" i="181"/>
  <c r="X44" i="181"/>
  <c r="Q44" i="181"/>
  <c r="P44" i="181"/>
  <c r="I44" i="181"/>
  <c r="H44" i="181"/>
  <c r="E44" i="181"/>
  <c r="AD43" i="181"/>
  <c r="AC43" i="181"/>
  <c r="AE43" i="181" s="1"/>
  <c r="AI43" i="181" s="1"/>
  <c r="Y43" i="181" s="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I42" i="181"/>
  <c r="H42" i="181"/>
  <c r="E42" i="181"/>
  <c r="AD41" i="181"/>
  <c r="AC41" i="181"/>
  <c r="AE41" i="181" s="1"/>
  <c r="AI41" i="181" s="1"/>
  <c r="Y41" i="181" s="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H40" i="181"/>
  <c r="E40" i="181"/>
  <c r="I40" i="181" s="1"/>
  <c r="AD39" i="181"/>
  <c r="AC39" i="181"/>
  <c r="AE39" i="181" s="1"/>
  <c r="AI39" i="181" s="1"/>
  <c r="Y39" i="181" s="1"/>
  <c r="AB39" i="181"/>
  <c r="Z39" i="181"/>
  <c r="X39" i="181"/>
  <c r="Q39" i="181"/>
  <c r="P39" i="181"/>
  <c r="H39" i="181"/>
  <c r="E39" i="181"/>
  <c r="I39" i="181" s="1"/>
  <c r="AD38" i="181"/>
  <c r="AC38" i="181"/>
  <c r="AB38" i="181"/>
  <c r="AE38" i="181" s="1"/>
  <c r="AI38" i="181" s="1"/>
  <c r="Y38" i="181" s="1"/>
  <c r="Z38" i="181"/>
  <c r="X38" i="181"/>
  <c r="Q38" i="181"/>
  <c r="P38" i="181"/>
  <c r="H38" i="181"/>
  <c r="E38" i="181"/>
  <c r="I38" i="181" s="1"/>
  <c r="AD37" i="181"/>
  <c r="AC37" i="181"/>
  <c r="AB37" i="181"/>
  <c r="AE37" i="181" s="1"/>
  <c r="AI37" i="181" s="1"/>
  <c r="Y37" i="181" s="1"/>
  <c r="Z37" i="181"/>
  <c r="X37" i="181"/>
  <c r="Q37" i="181"/>
  <c r="P37" i="181"/>
  <c r="I37" i="181"/>
  <c r="H37" i="181"/>
  <c r="E37" i="181"/>
  <c r="AD36" i="181"/>
  <c r="AC36" i="181"/>
  <c r="AB36" i="181"/>
  <c r="AE36" i="181" s="1"/>
  <c r="AI36" i="181" s="1"/>
  <c r="Y36" i="181" s="1"/>
  <c r="Z36" i="181"/>
  <c r="X36" i="181"/>
  <c r="Q36" i="181"/>
  <c r="P36" i="181"/>
  <c r="H36" i="181"/>
  <c r="E36" i="181"/>
  <c r="I36" i="181" s="1"/>
  <c r="AD35" i="181"/>
  <c r="AC35" i="181"/>
  <c r="AE35" i="181" s="1"/>
  <c r="AI35" i="181" s="1"/>
  <c r="Y35" i="181" s="1"/>
  <c r="AB35" i="181"/>
  <c r="Z35" i="181"/>
  <c r="X35" i="181"/>
  <c r="Q35" i="181"/>
  <c r="P35" i="181"/>
  <c r="H35" i="181"/>
  <c r="E35" i="181"/>
  <c r="I35" i="181" s="1"/>
  <c r="X34" i="181"/>
  <c r="Q34" i="181"/>
  <c r="P34" i="181"/>
  <c r="I34" i="181"/>
  <c r="H34" i="181"/>
  <c r="E34" i="181"/>
  <c r="AD33" i="181"/>
  <c r="AC33" i="181"/>
  <c r="AB33" i="181"/>
  <c r="AE33" i="181" s="1"/>
  <c r="AI33" i="181" s="1"/>
  <c r="Y33" i="181" s="1"/>
  <c r="Z33" i="181"/>
  <c r="X33" i="181"/>
  <c r="Q33" i="181"/>
  <c r="P33" i="181"/>
  <c r="H33" i="181"/>
  <c r="E33" i="181"/>
  <c r="I33" i="181" s="1"/>
  <c r="AD32" i="181"/>
  <c r="AC32" i="181"/>
  <c r="AE32" i="181" s="1"/>
  <c r="AI32" i="181" s="1"/>
  <c r="Y32" i="181" s="1"/>
  <c r="AB32" i="18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C30" i="181"/>
  <c r="AB30" i="181"/>
  <c r="AE30" i="181" s="1"/>
  <c r="AI30" i="181" s="1"/>
  <c r="Y30" i="181" s="1"/>
  <c r="Z30" i="181"/>
  <c r="X30" i="181"/>
  <c r="Q30" i="181"/>
  <c r="P30" i="181"/>
  <c r="H30" i="181"/>
  <c r="E30" i="181"/>
  <c r="I30" i="181" s="1"/>
  <c r="AE29" i="181"/>
  <c r="AI29" i="181" s="1"/>
  <c r="Y29" i="181" s="1"/>
  <c r="AD29" i="181"/>
  <c r="AC29" i="181"/>
  <c r="AB29" i="181"/>
  <c r="Z29" i="181"/>
  <c r="X29" i="181"/>
  <c r="Q29" i="181"/>
  <c r="P29" i="181"/>
  <c r="I29" i="181"/>
  <c r="H29" i="181"/>
  <c r="E29" i="181"/>
  <c r="AD28" i="181"/>
  <c r="AC28" i="181"/>
  <c r="AB28" i="181"/>
  <c r="AE28" i="181" s="1"/>
  <c r="AI28" i="181" s="1"/>
  <c r="Y28" i="181" s="1"/>
  <c r="Z28" i="181"/>
  <c r="X28" i="181"/>
  <c r="Q28" i="181"/>
  <c r="P28" i="181"/>
  <c r="I28" i="181"/>
  <c r="H28" i="181"/>
  <c r="E28" i="181"/>
  <c r="AE27" i="181"/>
  <c r="AI27" i="181" s="1"/>
  <c r="Y27" i="181" s="1"/>
  <c r="AD27" i="181"/>
  <c r="AC27" i="181"/>
  <c r="AB27" i="181"/>
  <c r="Z27" i="181"/>
  <c r="X27" i="181"/>
  <c r="Q27" i="181"/>
  <c r="P27" i="181"/>
  <c r="I27" i="181"/>
  <c r="H27" i="181"/>
  <c r="E27" i="181"/>
  <c r="AD26" i="181"/>
  <c r="AC26" i="181"/>
  <c r="AB26" i="181"/>
  <c r="AE26" i="181" s="1"/>
  <c r="AI26" i="181" s="1"/>
  <c r="Y26" i="181" s="1"/>
  <c r="Z26" i="181"/>
  <c r="X26" i="181"/>
  <c r="Q26" i="181"/>
  <c r="P26" i="181"/>
  <c r="I26" i="181"/>
  <c r="H26" i="181"/>
  <c r="E26" i="181"/>
  <c r="AD25" i="181"/>
  <c r="AC25" i="181"/>
  <c r="AE25" i="181" s="1"/>
  <c r="AI25" i="181" s="1"/>
  <c r="Y25" i="181" s="1"/>
  <c r="AB25" i="18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E23" i="181" s="1"/>
  <c r="AI23" i="181" s="1"/>
  <c r="Y23" i="181" s="1"/>
  <c r="AB23" i="181"/>
  <c r="Z23" i="181"/>
  <c r="X23" i="181"/>
  <c r="Q23" i="181"/>
  <c r="P23" i="181"/>
  <c r="H23" i="181"/>
  <c r="E23" i="181"/>
  <c r="I23" i="181" s="1"/>
  <c r="AD22" i="181"/>
  <c r="AC22" i="181"/>
  <c r="AB22" i="181"/>
  <c r="AE22" i="181" s="1"/>
  <c r="AI22" i="181" s="1"/>
  <c r="Y22" i="181" s="1"/>
  <c r="Z22" i="181"/>
  <c r="X22" i="181"/>
  <c r="Q22" i="181"/>
  <c r="P22" i="181"/>
  <c r="H22" i="181"/>
  <c r="E22" i="181"/>
  <c r="I22" i="181" s="1"/>
  <c r="AD21" i="181"/>
  <c r="AC21" i="181"/>
  <c r="AE21" i="181" s="1"/>
  <c r="AI21" i="181" s="1"/>
  <c r="Y21" i="181" s="1"/>
  <c r="AB21" i="181"/>
  <c r="Z21" i="181"/>
  <c r="X21" i="181"/>
  <c r="Q21" i="181"/>
  <c r="P21" i="181"/>
  <c r="H21" i="181"/>
  <c r="E21" i="181"/>
  <c r="I21" i="181" s="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D19" i="181"/>
  <c r="AC19" i="181"/>
  <c r="AB19" i="181"/>
  <c r="AE19" i="181" s="1"/>
  <c r="AI19" i="181" s="1"/>
  <c r="Y19" i="181" s="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H18" i="181"/>
  <c r="E18" i="181"/>
  <c r="I18" i="181" s="1"/>
  <c r="AD17" i="181"/>
  <c r="AC17" i="181"/>
  <c r="AE17" i="181" s="1"/>
  <c r="AI17" i="181" s="1"/>
  <c r="Y17" i="181" s="1"/>
  <c r="AB17" i="181"/>
  <c r="Z17" i="181"/>
  <c r="X17" i="181"/>
  <c r="Q17" i="181"/>
  <c r="P17" i="181"/>
  <c r="H17" i="181"/>
  <c r="E17" i="181"/>
  <c r="I17" i="181" s="1"/>
  <c r="AD16" i="181"/>
  <c r="AE16" i="181" s="1"/>
  <c r="AI16" i="181" s="1"/>
  <c r="Y16" i="181" s="1"/>
  <c r="AC16" i="181"/>
  <c r="AB16" i="181"/>
  <c r="Z16" i="181"/>
  <c r="X16" i="181"/>
  <c r="Q16" i="181"/>
  <c r="P16" i="181"/>
  <c r="E16" i="181"/>
  <c r="I16" i="181" s="1"/>
  <c r="AD15" i="181"/>
  <c r="AC15" i="181"/>
  <c r="AB15" i="181"/>
  <c r="AE15" i="181" s="1"/>
  <c r="AI15" i="181" s="1"/>
  <c r="Y15" i="181" s="1"/>
  <c r="Z15" i="181"/>
  <c r="X15" i="181"/>
  <c r="Q15" i="181"/>
  <c r="P15" i="181"/>
  <c r="I15" i="181"/>
  <c r="E15" i="18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E13" i="181" s="1"/>
  <c r="AI13" i="181" s="1"/>
  <c r="Y13" i="181" s="1"/>
  <c r="AB13" i="181"/>
  <c r="Z13" i="181"/>
  <c r="X13" i="181"/>
  <c r="Q13" i="181"/>
  <c r="P13" i="181"/>
  <c r="H13" i="181"/>
  <c r="E13" i="181"/>
  <c r="I13" i="181" s="1"/>
  <c r="AD12" i="181"/>
  <c r="AC12" i="181"/>
  <c r="AB12" i="181"/>
  <c r="AE12" i="181" s="1"/>
  <c r="AI12" i="181" s="1"/>
  <c r="Y12" i="181" s="1"/>
  <c r="Z12" i="181"/>
  <c r="X12" i="181"/>
  <c r="Q12" i="181"/>
  <c r="P12" i="181"/>
  <c r="H12" i="181"/>
  <c r="E12" i="181"/>
  <c r="I12" i="181" s="1"/>
  <c r="M81" i="180"/>
  <c r="W75" i="180"/>
  <c r="P73" i="180"/>
  <c r="H73" i="180"/>
  <c r="Q72" i="180"/>
  <c r="P72" i="180"/>
  <c r="I72" i="180"/>
  <c r="H72" i="180"/>
  <c r="E72" i="180"/>
  <c r="Q71" i="180"/>
  <c r="P71" i="180"/>
  <c r="H71" i="180"/>
  <c r="E71" i="180"/>
  <c r="I71" i="180" s="1"/>
  <c r="AD70" i="180"/>
  <c r="AE70" i="180" s="1"/>
  <c r="AI70" i="180" s="1"/>
  <c r="Y70" i="180" s="1"/>
  <c r="AC70" i="180"/>
  <c r="AB70" i="180"/>
  <c r="Z70" i="180"/>
  <c r="X70" i="180"/>
  <c r="W70" i="180"/>
  <c r="Q70" i="180"/>
  <c r="P70" i="180"/>
  <c r="I70" i="180"/>
  <c r="H70" i="180"/>
  <c r="E70" i="180"/>
  <c r="AD69" i="180"/>
  <c r="AC69" i="180"/>
  <c r="AB69" i="180"/>
  <c r="AE69" i="180" s="1"/>
  <c r="AI69" i="180" s="1"/>
  <c r="Y69" i="180" s="1"/>
  <c r="Z69" i="180"/>
  <c r="X69" i="180"/>
  <c r="Q69" i="180"/>
  <c r="P69" i="180"/>
  <c r="H69" i="180"/>
  <c r="E69" i="180"/>
  <c r="I69" i="180" s="1"/>
  <c r="AI68" i="180"/>
  <c r="Y68" i="180" s="1"/>
  <c r="AE68" i="180"/>
  <c r="AD68" i="180"/>
  <c r="AC68" i="180"/>
  <c r="AB68" i="180"/>
  <c r="Z68" i="180"/>
  <c r="X68" i="180"/>
  <c r="Q68" i="180"/>
  <c r="P68" i="180"/>
  <c r="I68" i="180"/>
  <c r="H68" i="180"/>
  <c r="E68" i="180"/>
  <c r="AD67" i="180"/>
  <c r="AC67" i="180"/>
  <c r="AE67" i="180" s="1"/>
  <c r="AI67" i="180" s="1"/>
  <c r="Y67" i="180" s="1"/>
  <c r="AB67" i="180"/>
  <c r="Z67" i="180"/>
  <c r="X67" i="180"/>
  <c r="Q67" i="180"/>
  <c r="P67" i="180"/>
  <c r="I67" i="180"/>
  <c r="H67" i="180"/>
  <c r="E67" i="180"/>
  <c r="AE66" i="180"/>
  <c r="AI66" i="180" s="1"/>
  <c r="Y66" i="180" s="1"/>
  <c r="AD66" i="180"/>
  <c r="AC66" i="180"/>
  <c r="AB66" i="180"/>
  <c r="Z66" i="180"/>
  <c r="X66" i="180"/>
  <c r="Q66" i="180"/>
  <c r="P66" i="180"/>
  <c r="H66" i="180"/>
  <c r="E66" i="180"/>
  <c r="I66" i="180" s="1"/>
  <c r="AD65" i="180"/>
  <c r="AC65" i="180"/>
  <c r="AB65" i="180"/>
  <c r="AE65" i="180" s="1"/>
  <c r="AI65" i="180" s="1"/>
  <c r="Y65" i="180" s="1"/>
  <c r="Z65" i="180"/>
  <c r="X65" i="180"/>
  <c r="Q65" i="180"/>
  <c r="P65" i="180"/>
  <c r="I65" i="180"/>
  <c r="H65" i="180"/>
  <c r="E65" i="180"/>
  <c r="AD64" i="180"/>
  <c r="AC64" i="180"/>
  <c r="AB64" i="180"/>
  <c r="AE64" i="180" s="1"/>
  <c r="AI64" i="180" s="1"/>
  <c r="Y64" i="180" s="1"/>
  <c r="Z64" i="180"/>
  <c r="X64" i="180"/>
  <c r="Q64" i="180"/>
  <c r="P64" i="180"/>
  <c r="H64" i="180"/>
  <c r="E64" i="180"/>
  <c r="I64" i="180" s="1"/>
  <c r="AD63" i="180"/>
  <c r="AC63" i="180"/>
  <c r="AB63" i="180"/>
  <c r="AE63" i="180" s="1"/>
  <c r="AI63" i="180" s="1"/>
  <c r="Y63" i="180" s="1"/>
  <c r="Z63" i="180"/>
  <c r="X63" i="180"/>
  <c r="Q63" i="180"/>
  <c r="P63" i="180"/>
  <c r="I63" i="180"/>
  <c r="H63" i="180"/>
  <c r="E63" i="180"/>
  <c r="AD62" i="180"/>
  <c r="AC62" i="180"/>
  <c r="AE62" i="180" s="1"/>
  <c r="AI62" i="180" s="1"/>
  <c r="Y62" i="180" s="1"/>
  <c r="AB62" i="180"/>
  <c r="Z62" i="180"/>
  <c r="X62" i="180"/>
  <c r="Q62" i="180"/>
  <c r="P62" i="180"/>
  <c r="H62" i="180"/>
  <c r="E62" i="180"/>
  <c r="I62" i="180" s="1"/>
  <c r="AI61" i="180"/>
  <c r="Y61" i="180" s="1"/>
  <c r="AE61" i="180"/>
  <c r="AD61" i="180"/>
  <c r="Z61" i="180"/>
  <c r="X61" i="180"/>
  <c r="Q61" i="180"/>
  <c r="P61" i="180"/>
  <c r="H61" i="180"/>
  <c r="E61" i="180"/>
  <c r="I61" i="180" s="1"/>
  <c r="AD60" i="180"/>
  <c r="AC60" i="180"/>
  <c r="AB60" i="180"/>
  <c r="AE60" i="180" s="1"/>
  <c r="AI60" i="180" s="1"/>
  <c r="Y60" i="180" s="1"/>
  <c r="Z60" i="180"/>
  <c r="X60" i="180"/>
  <c r="Q60" i="180"/>
  <c r="P60" i="180"/>
  <c r="I60" i="180"/>
  <c r="H60" i="180"/>
  <c r="E60" i="180"/>
  <c r="AD59" i="180"/>
  <c r="AC59" i="180"/>
  <c r="AB59" i="180"/>
  <c r="AE59" i="180" s="1"/>
  <c r="AI59" i="180" s="1"/>
  <c r="Y59" i="180" s="1"/>
  <c r="Z59" i="180"/>
  <c r="X59" i="180"/>
  <c r="Q59" i="180"/>
  <c r="P59" i="180"/>
  <c r="E59" i="180"/>
  <c r="I59" i="180" s="1"/>
  <c r="AE58" i="180"/>
  <c r="AI58" i="180" s="1"/>
  <c r="Y58" i="180" s="1"/>
  <c r="AD58" i="180"/>
  <c r="AC58" i="180"/>
  <c r="AB58" i="180"/>
  <c r="Z58" i="180"/>
  <c r="X58" i="180"/>
  <c r="Q58" i="180"/>
  <c r="P58" i="180"/>
  <c r="H58" i="180"/>
  <c r="E58" i="180"/>
  <c r="I58" i="180" s="1"/>
  <c r="AD57" i="180"/>
  <c r="AC57" i="180"/>
  <c r="AB57" i="180"/>
  <c r="AE57" i="180" s="1"/>
  <c r="AI57" i="180" s="1"/>
  <c r="Y57" i="180" s="1"/>
  <c r="Z57" i="180"/>
  <c r="X57" i="180"/>
  <c r="Q57" i="180"/>
  <c r="P57" i="180"/>
  <c r="H57" i="180"/>
  <c r="E57" i="180"/>
  <c r="I57" i="180" s="1"/>
  <c r="AD56" i="180"/>
  <c r="AE56" i="180" s="1"/>
  <c r="AI56" i="180" s="1"/>
  <c r="Y56" i="180" s="1"/>
  <c r="AC56" i="180"/>
  <c r="AB56" i="180"/>
  <c r="Z56" i="180"/>
  <c r="X56" i="180"/>
  <c r="Q56" i="180"/>
  <c r="P56" i="180"/>
  <c r="H56" i="180"/>
  <c r="E56" i="180"/>
  <c r="I56" i="180" s="1"/>
  <c r="AD55" i="180"/>
  <c r="AC55" i="180"/>
  <c r="AB55" i="180"/>
  <c r="AE55" i="180" s="1"/>
  <c r="AI55" i="180" s="1"/>
  <c r="Y55" i="180" s="1"/>
  <c r="Z55" i="180"/>
  <c r="X55" i="180"/>
  <c r="Q55" i="180"/>
  <c r="P55" i="180"/>
  <c r="I55" i="180"/>
  <c r="H55" i="180"/>
  <c r="E55" i="180"/>
  <c r="AD54" i="180"/>
  <c r="AC54" i="180"/>
  <c r="AB54" i="180"/>
  <c r="AE54" i="180" s="1"/>
  <c r="AI54" i="180" s="1"/>
  <c r="Y54" i="180" s="1"/>
  <c r="Z54" i="180"/>
  <c r="X54" i="180"/>
  <c r="Q54" i="180"/>
  <c r="P54" i="180"/>
  <c r="H54" i="180"/>
  <c r="E54" i="180"/>
  <c r="I54" i="180" s="1"/>
  <c r="AI53" i="180"/>
  <c r="Y53" i="180" s="1"/>
  <c r="AE53" i="180"/>
  <c r="Z53" i="180"/>
  <c r="X53" i="180"/>
  <c r="Q53" i="180"/>
  <c r="P53" i="180"/>
  <c r="I53" i="180"/>
  <c r="H53" i="180"/>
  <c r="E53" i="180"/>
  <c r="AE52" i="180"/>
  <c r="AI52" i="180" s="1"/>
  <c r="Y52" i="180" s="1"/>
  <c r="AD52" i="180"/>
  <c r="AC52" i="180"/>
  <c r="AB52" i="180"/>
  <c r="Z52" i="180"/>
  <c r="X52" i="180"/>
  <c r="Q52" i="180"/>
  <c r="P52" i="180"/>
  <c r="H52" i="180"/>
  <c r="E52" i="180"/>
  <c r="I52" i="180" s="1"/>
  <c r="AD51" i="180"/>
  <c r="AC51" i="180"/>
  <c r="AB51" i="180"/>
  <c r="AE51" i="180" s="1"/>
  <c r="AI51" i="180" s="1"/>
  <c r="Y51" i="180" s="1"/>
  <c r="Z51" i="180"/>
  <c r="X51" i="180"/>
  <c r="Q51" i="180"/>
  <c r="P51" i="180"/>
  <c r="I51" i="180"/>
  <c r="H51" i="180"/>
  <c r="E51" i="180"/>
  <c r="AE50" i="180"/>
  <c r="AI50" i="180" s="1"/>
  <c r="Y50" i="180" s="1"/>
  <c r="Z50" i="180"/>
  <c r="X50" i="180"/>
  <c r="Q50" i="180"/>
  <c r="P50" i="180"/>
  <c r="I50" i="180"/>
  <c r="H50" i="180"/>
  <c r="E50" i="180"/>
  <c r="AI49" i="180"/>
  <c r="AE49" i="180"/>
  <c r="Z49" i="180"/>
  <c r="Y49" i="180"/>
  <c r="X49" i="180"/>
  <c r="Q49" i="180"/>
  <c r="P49" i="180"/>
  <c r="H49" i="180"/>
  <c r="E49" i="180"/>
  <c r="I49" i="180" s="1"/>
  <c r="AI48" i="180"/>
  <c r="AE48" i="180"/>
  <c r="Z48" i="180"/>
  <c r="Y48" i="180"/>
  <c r="X48" i="180"/>
  <c r="Q48" i="180"/>
  <c r="P48" i="180"/>
  <c r="H48" i="180"/>
  <c r="E48" i="180"/>
  <c r="I48" i="180" s="1"/>
  <c r="AD47" i="180"/>
  <c r="AC47" i="180"/>
  <c r="AB47" i="180"/>
  <c r="AE47" i="180" s="1"/>
  <c r="AI47" i="180" s="1"/>
  <c r="Y47" i="180" s="1"/>
  <c r="Z47" i="180"/>
  <c r="X47" i="180"/>
  <c r="Q47" i="180"/>
  <c r="P47" i="180"/>
  <c r="I47" i="180"/>
  <c r="H47" i="180"/>
  <c r="E47" i="180"/>
  <c r="AE46" i="180"/>
  <c r="AI46" i="180" s="1"/>
  <c r="Y46" i="180" s="1"/>
  <c r="AD46" i="180"/>
  <c r="AC46" i="180"/>
  <c r="AB46" i="180"/>
  <c r="Z46" i="180"/>
  <c r="X46" i="180"/>
  <c r="Q46" i="180"/>
  <c r="P46" i="180"/>
  <c r="H46" i="180"/>
  <c r="E46" i="180"/>
  <c r="I46" i="180" s="1"/>
  <c r="AD45" i="180"/>
  <c r="AC45" i="180"/>
  <c r="AB45" i="180"/>
  <c r="AE45" i="180" s="1"/>
  <c r="AI45" i="180" s="1"/>
  <c r="Y45" i="180" s="1"/>
  <c r="Z45" i="180"/>
  <c r="X45" i="180"/>
  <c r="Q45" i="180"/>
  <c r="P45" i="180"/>
  <c r="H45" i="180"/>
  <c r="E45" i="180"/>
  <c r="I45" i="180" s="1"/>
  <c r="AD44" i="180"/>
  <c r="AE44" i="180" s="1"/>
  <c r="AI44" i="180" s="1"/>
  <c r="Y44" i="180" s="1"/>
  <c r="AC44" i="180"/>
  <c r="AB44" i="180"/>
  <c r="Z44" i="180"/>
  <c r="X44" i="180"/>
  <c r="Q44" i="180"/>
  <c r="P44" i="180"/>
  <c r="H44" i="180"/>
  <c r="E44" i="180"/>
  <c r="I44" i="180" s="1"/>
  <c r="AD43" i="180"/>
  <c r="AC43" i="180"/>
  <c r="AB43" i="180"/>
  <c r="AE43" i="180" s="1"/>
  <c r="AI43" i="180" s="1"/>
  <c r="Y43" i="180" s="1"/>
  <c r="Z43" i="180"/>
  <c r="Q43" i="180"/>
  <c r="P43" i="180"/>
  <c r="I43" i="180"/>
  <c r="H43" i="180"/>
  <c r="X43" i="180"/>
  <c r="E43" i="180"/>
  <c r="AD42" i="180"/>
  <c r="AC42" i="180"/>
  <c r="AB42" i="180"/>
  <c r="AE42" i="180" s="1"/>
  <c r="AI42" i="180" s="1"/>
  <c r="Y42" i="180" s="1"/>
  <c r="Z42" i="180"/>
  <c r="X42" i="180"/>
  <c r="Q42" i="180"/>
  <c r="P42" i="180"/>
  <c r="H42" i="180"/>
  <c r="E42" i="180"/>
  <c r="I42" i="180" s="1"/>
  <c r="AI41" i="180"/>
  <c r="Y41" i="180" s="1"/>
  <c r="AE41" i="180"/>
  <c r="AD41" i="180"/>
  <c r="AC41" i="180"/>
  <c r="AB41" i="180"/>
  <c r="Z41" i="180"/>
  <c r="X41" i="180"/>
  <c r="Q41" i="180"/>
  <c r="P41" i="180"/>
  <c r="I41" i="180"/>
  <c r="H41" i="180"/>
  <c r="E41" i="180"/>
  <c r="AD40" i="180"/>
  <c r="AC40" i="180"/>
  <c r="AB40" i="180"/>
  <c r="AE40" i="180" s="1"/>
  <c r="AI40" i="180" s="1"/>
  <c r="Y40" i="180" s="1"/>
  <c r="Z40" i="180"/>
  <c r="X40" i="180"/>
  <c r="Q40" i="180"/>
  <c r="P40" i="180"/>
  <c r="H40" i="180"/>
  <c r="E40" i="180"/>
  <c r="I40" i="180" s="1"/>
  <c r="AI39" i="180"/>
  <c r="Y39" i="180" s="1"/>
  <c r="AE39" i="180"/>
  <c r="AD39" i="180"/>
  <c r="AC39" i="180"/>
  <c r="AB39" i="180"/>
  <c r="Z39" i="180"/>
  <c r="X39" i="180"/>
  <c r="Q39" i="180"/>
  <c r="P39" i="180"/>
  <c r="H39" i="180"/>
  <c r="E39" i="180"/>
  <c r="I39" i="180" s="1"/>
  <c r="AD38" i="180"/>
  <c r="AC38" i="180"/>
  <c r="AB38" i="180"/>
  <c r="AE38" i="180" s="1"/>
  <c r="AI38" i="180" s="1"/>
  <c r="Y38" i="180" s="1"/>
  <c r="Z38" i="180"/>
  <c r="X38" i="180"/>
  <c r="Q38" i="180"/>
  <c r="P38" i="180"/>
  <c r="I38" i="180"/>
  <c r="H38" i="180"/>
  <c r="E38" i="180"/>
  <c r="AD37" i="180"/>
  <c r="AC37" i="180"/>
  <c r="AB37" i="180"/>
  <c r="AE37" i="180" s="1"/>
  <c r="AI37" i="180" s="1"/>
  <c r="Y37" i="180" s="1"/>
  <c r="Z37" i="180"/>
  <c r="X37" i="180"/>
  <c r="Q37" i="180"/>
  <c r="P37" i="180"/>
  <c r="H37" i="180"/>
  <c r="E37" i="180"/>
  <c r="I37" i="180" s="1"/>
  <c r="AI36" i="180"/>
  <c r="Y36" i="180" s="1"/>
  <c r="AE36" i="180"/>
  <c r="AD36" i="180"/>
  <c r="AC36" i="180"/>
  <c r="AB36" i="180"/>
  <c r="Z36" i="180"/>
  <c r="X36" i="180"/>
  <c r="Q36" i="180"/>
  <c r="P36" i="180"/>
  <c r="I36" i="180"/>
  <c r="H36" i="180"/>
  <c r="E36" i="180"/>
  <c r="AD35" i="180"/>
  <c r="AE35" i="180" s="1"/>
  <c r="AI35" i="180" s="1"/>
  <c r="Y35" i="180" s="1"/>
  <c r="AC35" i="180"/>
  <c r="AB35" i="180"/>
  <c r="Z35" i="180"/>
  <c r="X35" i="180"/>
  <c r="Q35" i="180"/>
  <c r="P35" i="180"/>
  <c r="H35" i="180"/>
  <c r="E35" i="180"/>
  <c r="I35" i="180" s="1"/>
  <c r="X34" i="180"/>
  <c r="Q34" i="180"/>
  <c r="P34" i="180"/>
  <c r="H34" i="180"/>
  <c r="E34" i="180"/>
  <c r="I34" i="180" s="1"/>
  <c r="AI33" i="180"/>
  <c r="AE33" i="180"/>
  <c r="AD33" i="180"/>
  <c r="AC33" i="180"/>
  <c r="AB33" i="180"/>
  <c r="Z33" i="180"/>
  <c r="Q33" i="180"/>
  <c r="P33" i="180"/>
  <c r="I33" i="180"/>
  <c r="H33" i="180"/>
  <c r="E33" i="180"/>
  <c r="AE32" i="180"/>
  <c r="AI32" i="180" s="1"/>
  <c r="Y32" i="180" s="1"/>
  <c r="AD32" i="180"/>
  <c r="AC32" i="180"/>
  <c r="AB32" i="180"/>
  <c r="Z32" i="180"/>
  <c r="X32" i="180"/>
  <c r="Q32" i="180"/>
  <c r="P32" i="180"/>
  <c r="I32" i="180"/>
  <c r="H32" i="180"/>
  <c r="E32" i="180"/>
  <c r="AE31" i="180"/>
  <c r="AI31" i="180" s="1"/>
  <c r="Y31" i="180" s="1"/>
  <c r="Z31" i="180"/>
  <c r="X31" i="180"/>
  <c r="Q31" i="180"/>
  <c r="P31" i="180"/>
  <c r="I31" i="180"/>
  <c r="H31" i="180"/>
  <c r="E31" i="180"/>
  <c r="AD30" i="180"/>
  <c r="AC30" i="180"/>
  <c r="AB30" i="180"/>
  <c r="AE30" i="180" s="1"/>
  <c r="AI30" i="180" s="1"/>
  <c r="Y30" i="180" s="1"/>
  <c r="Z30" i="180"/>
  <c r="X30" i="180"/>
  <c r="Q30" i="180"/>
  <c r="P30" i="180"/>
  <c r="I30" i="180"/>
  <c r="H30" i="180"/>
  <c r="E30" i="180"/>
  <c r="AD29" i="180"/>
  <c r="AC29" i="180"/>
  <c r="AB29" i="180"/>
  <c r="AE29" i="180" s="1"/>
  <c r="AI29" i="180" s="1"/>
  <c r="Y29" i="180" s="1"/>
  <c r="Z29" i="180"/>
  <c r="X29" i="180"/>
  <c r="Q29" i="180"/>
  <c r="P29" i="180"/>
  <c r="H29" i="180"/>
  <c r="E29" i="180"/>
  <c r="I29" i="180" s="1"/>
  <c r="AI28" i="180"/>
  <c r="Y28" i="180" s="1"/>
  <c r="AE28" i="180"/>
  <c r="AD28" i="180"/>
  <c r="AC28" i="180"/>
  <c r="AB28" i="180"/>
  <c r="Z28" i="180"/>
  <c r="X28" i="180"/>
  <c r="Q28" i="180"/>
  <c r="P28" i="180"/>
  <c r="I28" i="180"/>
  <c r="H28" i="180"/>
  <c r="E28" i="180"/>
  <c r="AD27" i="180"/>
  <c r="AC27" i="180"/>
  <c r="AB27" i="180"/>
  <c r="AE27" i="180" s="1"/>
  <c r="AI27" i="180" s="1"/>
  <c r="Y27" i="180" s="1"/>
  <c r="Z27" i="180"/>
  <c r="X27" i="180"/>
  <c r="Q27" i="180"/>
  <c r="P27" i="180"/>
  <c r="H27" i="180"/>
  <c r="E27" i="180"/>
  <c r="I27" i="180" s="1"/>
  <c r="AI26" i="180"/>
  <c r="Y26" i="180" s="1"/>
  <c r="AE26" i="180"/>
  <c r="AD26" i="180"/>
  <c r="AC26" i="180"/>
  <c r="AB26" i="180"/>
  <c r="Z26" i="180"/>
  <c r="X26" i="180"/>
  <c r="Q26" i="180"/>
  <c r="P26" i="180"/>
  <c r="H26" i="180"/>
  <c r="E26" i="180"/>
  <c r="I26" i="180" s="1"/>
  <c r="AD25" i="180"/>
  <c r="AC25" i="180"/>
  <c r="AB25" i="180"/>
  <c r="AE25" i="180" s="1"/>
  <c r="AI25" i="180" s="1"/>
  <c r="Y25" i="180" s="1"/>
  <c r="Z25" i="180"/>
  <c r="X25" i="180"/>
  <c r="Q25" i="180"/>
  <c r="P25" i="180"/>
  <c r="H25" i="180"/>
  <c r="E25" i="180"/>
  <c r="I25" i="180" s="1"/>
  <c r="AD24" i="180"/>
  <c r="AC24" i="180"/>
  <c r="AB24" i="180"/>
  <c r="AE24" i="180" s="1"/>
  <c r="AI24" i="180" s="1"/>
  <c r="Y24" i="180" s="1"/>
  <c r="Z24" i="180"/>
  <c r="X24" i="180"/>
  <c r="Q24" i="180"/>
  <c r="P24" i="180"/>
  <c r="H24" i="180"/>
  <c r="E24" i="180"/>
  <c r="I24" i="180" s="1"/>
  <c r="AD23" i="180"/>
  <c r="AC23" i="180"/>
  <c r="AB23" i="180"/>
  <c r="AE23" i="180" s="1"/>
  <c r="AI23" i="180" s="1"/>
  <c r="Y23" i="180" s="1"/>
  <c r="Z23" i="180"/>
  <c r="X23" i="180"/>
  <c r="Q23" i="180"/>
  <c r="P23" i="180"/>
  <c r="I23" i="180"/>
  <c r="H23" i="180"/>
  <c r="E23" i="180"/>
  <c r="AD22" i="180"/>
  <c r="AE22" i="180" s="1"/>
  <c r="AI22" i="180" s="1"/>
  <c r="Y22" i="180" s="1"/>
  <c r="AC22" i="180"/>
  <c r="AB22" i="180"/>
  <c r="Z22" i="180"/>
  <c r="X22" i="180"/>
  <c r="Q22" i="180"/>
  <c r="P22" i="180"/>
  <c r="H22" i="180"/>
  <c r="E22" i="180"/>
  <c r="I22" i="180" s="1"/>
  <c r="AD21" i="180"/>
  <c r="AC21" i="180"/>
  <c r="AB21" i="180"/>
  <c r="AE21" i="180" s="1"/>
  <c r="AI21" i="180" s="1"/>
  <c r="Y21" i="180" s="1"/>
  <c r="Z21" i="180"/>
  <c r="X21" i="180"/>
  <c r="Q21" i="180"/>
  <c r="P21" i="180"/>
  <c r="I21" i="180"/>
  <c r="H21" i="180"/>
  <c r="E21" i="180"/>
  <c r="AD20" i="180"/>
  <c r="AE20" i="180" s="1"/>
  <c r="AI20" i="180" s="1"/>
  <c r="Y20" i="180" s="1"/>
  <c r="AC20" i="180"/>
  <c r="AB20" i="180"/>
  <c r="Z20" i="180"/>
  <c r="X20" i="180"/>
  <c r="Q20" i="180"/>
  <c r="P20" i="180"/>
  <c r="I20" i="180"/>
  <c r="H20" i="180"/>
  <c r="E20" i="180"/>
  <c r="AD19" i="180"/>
  <c r="AC19" i="180"/>
  <c r="AB19" i="180"/>
  <c r="AE19" i="180" s="1"/>
  <c r="AI19" i="180" s="1"/>
  <c r="Y19" i="180" s="1"/>
  <c r="Z19" i="180"/>
  <c r="X19" i="180"/>
  <c r="Q19" i="180"/>
  <c r="P19" i="180"/>
  <c r="I19" i="180"/>
  <c r="H19" i="180"/>
  <c r="E19" i="180"/>
  <c r="AE18" i="180"/>
  <c r="AI18" i="180" s="1"/>
  <c r="Y18" i="180" s="1"/>
  <c r="AD18" i="180"/>
  <c r="AC18" i="180"/>
  <c r="AB18" i="180"/>
  <c r="Z18" i="180"/>
  <c r="X18" i="180"/>
  <c r="Q18" i="180"/>
  <c r="P18" i="180"/>
  <c r="H18" i="180"/>
  <c r="E18" i="180"/>
  <c r="I18" i="180" s="1"/>
  <c r="AE17" i="180"/>
  <c r="AI17" i="180" s="1"/>
  <c r="Y17" i="180" s="1"/>
  <c r="AD17" i="180"/>
  <c r="AC17" i="180"/>
  <c r="AB17" i="180"/>
  <c r="Z17" i="180"/>
  <c r="X17" i="180"/>
  <c r="Q17" i="180"/>
  <c r="P17" i="180"/>
  <c r="I17" i="180"/>
  <c r="H17" i="180"/>
  <c r="E17" i="180"/>
  <c r="AD16" i="180"/>
  <c r="AC16" i="180"/>
  <c r="AB16" i="180"/>
  <c r="AE16" i="180" s="1"/>
  <c r="AI16" i="180" s="1"/>
  <c r="Y16" i="180" s="1"/>
  <c r="Z16" i="180"/>
  <c r="X16" i="180"/>
  <c r="Q16" i="180"/>
  <c r="P16" i="180"/>
  <c r="I16" i="180"/>
  <c r="E16" i="180"/>
  <c r="AD15" i="180"/>
  <c r="AE15" i="180" s="1"/>
  <c r="AI15" i="180" s="1"/>
  <c r="Y15" i="180" s="1"/>
  <c r="AC15" i="180"/>
  <c r="AB15" i="180"/>
  <c r="Z15" i="180"/>
  <c r="X15" i="180"/>
  <c r="Q15" i="180"/>
  <c r="P15" i="180"/>
  <c r="E15" i="180"/>
  <c r="I15" i="180" s="1"/>
  <c r="AE14" i="180"/>
  <c r="AI14" i="180" s="1"/>
  <c r="Y14" i="180" s="1"/>
  <c r="AD14" i="180"/>
  <c r="AC14" i="180"/>
  <c r="AB14" i="180"/>
  <c r="Z14" i="180"/>
  <c r="X14" i="180"/>
  <c r="Q14" i="180"/>
  <c r="P14" i="180"/>
  <c r="H14" i="180"/>
  <c r="E14" i="180"/>
  <c r="I14" i="180" s="1"/>
  <c r="AD13" i="180"/>
  <c r="AC13" i="180"/>
  <c r="AB13" i="180"/>
  <c r="AE13" i="180" s="1"/>
  <c r="AI13" i="180" s="1"/>
  <c r="Y13" i="180" s="1"/>
  <c r="Z13" i="180"/>
  <c r="X13" i="180"/>
  <c r="Q13" i="180"/>
  <c r="P13" i="180"/>
  <c r="I13" i="180"/>
  <c r="H13" i="180"/>
  <c r="E13" i="180"/>
  <c r="AD12" i="180"/>
  <c r="AE12" i="180" s="1"/>
  <c r="AI12" i="180" s="1"/>
  <c r="Y12" i="180" s="1"/>
  <c r="AC12" i="180"/>
  <c r="AB12" i="180"/>
  <c r="Z12" i="180"/>
  <c r="X12" i="180"/>
  <c r="Q12" i="180"/>
  <c r="P12" i="180"/>
  <c r="H12" i="180"/>
  <c r="E12" i="180"/>
  <c r="I12" i="180" s="1"/>
  <c r="T77" i="181" l="1"/>
  <c r="T79" i="181"/>
  <c r="O77" i="181"/>
  <c r="F75" i="181"/>
  <c r="F77" i="181"/>
  <c r="T75" i="181"/>
  <c r="O75" i="181"/>
  <c r="F77" i="180"/>
  <c r="O75" i="180"/>
  <c r="O77" i="180"/>
  <c r="T77" i="180"/>
  <c r="F75" i="180"/>
  <c r="X33" i="180"/>
  <c r="T79" i="180" s="1"/>
  <c r="Y33" i="180"/>
  <c r="T75" i="180" s="1"/>
  <c r="P79" i="179"/>
  <c r="P79" i="178"/>
  <c r="P81" i="178"/>
  <c r="F33" i="178"/>
  <c r="M81" i="179"/>
  <c r="P73" i="179"/>
  <c r="Q72" i="179"/>
  <c r="P72" i="179"/>
  <c r="I72" i="179"/>
  <c r="H72" i="179"/>
  <c r="E72" i="179"/>
  <c r="Q71" i="179"/>
  <c r="P71" i="179"/>
  <c r="H71" i="179"/>
  <c r="E71" i="179"/>
  <c r="I71" i="179" s="1"/>
  <c r="AD70" i="179"/>
  <c r="AC70" i="179"/>
  <c r="AB70" i="179"/>
  <c r="AE70" i="179" s="1"/>
  <c r="AI70" i="179" s="1"/>
  <c r="Y70" i="179" s="1"/>
  <c r="Z70" i="179"/>
  <c r="X70" i="179"/>
  <c r="Q70" i="179"/>
  <c r="P70" i="179"/>
  <c r="I70" i="179"/>
  <c r="H70" i="179"/>
  <c r="E70" i="179"/>
  <c r="AD69" i="179"/>
  <c r="AC69" i="179"/>
  <c r="AB69" i="179"/>
  <c r="AE69" i="179" s="1"/>
  <c r="AI69" i="179" s="1"/>
  <c r="Y69" i="179" s="1"/>
  <c r="Z69" i="179"/>
  <c r="X69" i="179"/>
  <c r="Q69" i="179"/>
  <c r="P69" i="179"/>
  <c r="H69" i="179"/>
  <c r="E69" i="179"/>
  <c r="I69" i="179" s="1"/>
  <c r="AI68" i="179"/>
  <c r="Y68" i="179" s="1"/>
  <c r="AE68" i="179"/>
  <c r="AD68" i="179"/>
  <c r="AC68" i="179"/>
  <c r="AB68" i="179"/>
  <c r="Z68" i="179"/>
  <c r="X68" i="179"/>
  <c r="Q68" i="179"/>
  <c r="P68" i="179"/>
  <c r="H68" i="179"/>
  <c r="E68" i="179"/>
  <c r="I68" i="179" s="1"/>
  <c r="AD67" i="179"/>
  <c r="AC67" i="179"/>
  <c r="AB67" i="179"/>
  <c r="AE67" i="179" s="1"/>
  <c r="AI67" i="179" s="1"/>
  <c r="Y67" i="179" s="1"/>
  <c r="Z67" i="179"/>
  <c r="X67" i="179"/>
  <c r="Q67" i="179"/>
  <c r="P67" i="179"/>
  <c r="H67" i="179"/>
  <c r="E67" i="179"/>
  <c r="I67" i="179" s="1"/>
  <c r="AD66" i="179"/>
  <c r="AC66" i="179"/>
  <c r="AB66" i="179"/>
  <c r="AE66" i="179" s="1"/>
  <c r="AI66" i="179" s="1"/>
  <c r="Y66" i="179" s="1"/>
  <c r="Z66" i="179"/>
  <c r="X66" i="179"/>
  <c r="Q66" i="179"/>
  <c r="P66" i="179"/>
  <c r="H66" i="179"/>
  <c r="E66" i="179"/>
  <c r="I66" i="179" s="1"/>
  <c r="AD65" i="179"/>
  <c r="AE65" i="179" s="1"/>
  <c r="AI65" i="179" s="1"/>
  <c r="Y65" i="179" s="1"/>
  <c r="AC65" i="179"/>
  <c r="AB65" i="179"/>
  <c r="Z65" i="179"/>
  <c r="X65" i="179"/>
  <c r="Q65" i="179"/>
  <c r="P65" i="179"/>
  <c r="I65" i="179"/>
  <c r="H65" i="179"/>
  <c r="E65" i="179"/>
  <c r="AD64" i="179"/>
  <c r="AC64" i="179"/>
  <c r="AB64" i="179"/>
  <c r="AE64" i="179" s="1"/>
  <c r="AI64" i="179" s="1"/>
  <c r="Y64" i="179" s="1"/>
  <c r="Z64" i="179"/>
  <c r="X64" i="179"/>
  <c r="Q64" i="179"/>
  <c r="P64" i="179"/>
  <c r="H64" i="179"/>
  <c r="E64" i="179"/>
  <c r="I64" i="179" s="1"/>
  <c r="AD63" i="179"/>
  <c r="AC63" i="179"/>
  <c r="AB63" i="179"/>
  <c r="AE63" i="179" s="1"/>
  <c r="AI63" i="179" s="1"/>
  <c r="Y63" i="179" s="1"/>
  <c r="Z63" i="179"/>
  <c r="X63" i="179"/>
  <c r="Q63" i="179"/>
  <c r="P63" i="179"/>
  <c r="I63" i="179"/>
  <c r="H63" i="179"/>
  <c r="E63" i="179"/>
  <c r="AD62" i="179"/>
  <c r="AC62" i="179"/>
  <c r="AE62" i="179" s="1"/>
  <c r="AI62" i="179" s="1"/>
  <c r="Y62" i="179" s="1"/>
  <c r="AB62" i="179"/>
  <c r="Z62" i="179"/>
  <c r="X62" i="179"/>
  <c r="Q62" i="179"/>
  <c r="P62" i="179"/>
  <c r="I62" i="179"/>
  <c r="H62" i="179"/>
  <c r="E62" i="179"/>
  <c r="AE61" i="179"/>
  <c r="AI61" i="179" s="1"/>
  <c r="Y61" i="179" s="1"/>
  <c r="AD61" i="179"/>
  <c r="Z61" i="179"/>
  <c r="X61" i="179"/>
  <c r="Q61" i="179"/>
  <c r="P61" i="179"/>
  <c r="H61" i="179"/>
  <c r="E61" i="179"/>
  <c r="I61" i="179" s="1"/>
  <c r="AD60" i="179"/>
  <c r="AC60" i="179"/>
  <c r="AB60" i="179"/>
  <c r="AE60" i="179" s="1"/>
  <c r="AI60" i="179" s="1"/>
  <c r="Y60" i="179" s="1"/>
  <c r="Z60" i="179"/>
  <c r="X60" i="179"/>
  <c r="Q60" i="179"/>
  <c r="P60" i="179"/>
  <c r="I60" i="179"/>
  <c r="H60" i="179"/>
  <c r="E60" i="179"/>
  <c r="AD59" i="179"/>
  <c r="AC59" i="179"/>
  <c r="AB59" i="179"/>
  <c r="AE59" i="179" s="1"/>
  <c r="AI59" i="179" s="1"/>
  <c r="Y59" i="179" s="1"/>
  <c r="Z59" i="179"/>
  <c r="X59" i="179"/>
  <c r="Q59" i="179"/>
  <c r="P59" i="179"/>
  <c r="E59" i="179"/>
  <c r="I59" i="179" s="1"/>
  <c r="AE58" i="179"/>
  <c r="AI58" i="179" s="1"/>
  <c r="Y58" i="179" s="1"/>
  <c r="AD58" i="179"/>
  <c r="AC58" i="179"/>
  <c r="AB58" i="179"/>
  <c r="Z58" i="179"/>
  <c r="X58" i="179"/>
  <c r="Q58" i="179"/>
  <c r="P58" i="179"/>
  <c r="I58" i="179"/>
  <c r="H58" i="179"/>
  <c r="E58" i="179"/>
  <c r="AD57" i="179"/>
  <c r="AC57" i="179"/>
  <c r="AB57" i="179"/>
  <c r="AE57" i="179" s="1"/>
  <c r="AI57" i="179" s="1"/>
  <c r="Y57" i="179" s="1"/>
  <c r="Z57" i="179"/>
  <c r="X57" i="179"/>
  <c r="Q57" i="179"/>
  <c r="P57" i="179"/>
  <c r="H57" i="179"/>
  <c r="E57" i="179"/>
  <c r="I57" i="179" s="1"/>
  <c r="AD56" i="179"/>
  <c r="AC56" i="179"/>
  <c r="AE56" i="179" s="1"/>
  <c r="AI56" i="179" s="1"/>
  <c r="Y56" i="179" s="1"/>
  <c r="AB56" i="179"/>
  <c r="Z56" i="179"/>
  <c r="X56" i="179"/>
  <c r="Q56" i="179"/>
  <c r="P56" i="179"/>
  <c r="H56" i="179"/>
  <c r="E56" i="179"/>
  <c r="I56" i="179" s="1"/>
  <c r="AD55" i="179"/>
  <c r="AC55" i="179"/>
  <c r="AB55" i="179"/>
  <c r="AE55" i="179" s="1"/>
  <c r="AI55" i="179" s="1"/>
  <c r="Y55" i="179" s="1"/>
  <c r="Z55" i="179"/>
  <c r="X55" i="179"/>
  <c r="Q55" i="179"/>
  <c r="P55" i="179"/>
  <c r="I55" i="179"/>
  <c r="H55" i="179"/>
  <c r="E55" i="179"/>
  <c r="AD54" i="179"/>
  <c r="AC54" i="179"/>
  <c r="AE54" i="179" s="1"/>
  <c r="AI54" i="179" s="1"/>
  <c r="Y54" i="179" s="1"/>
  <c r="AB54" i="179"/>
  <c r="Z54" i="179"/>
  <c r="X54" i="179"/>
  <c r="Q54" i="179"/>
  <c r="P54" i="179"/>
  <c r="H54" i="179"/>
  <c r="E54" i="179"/>
  <c r="I54" i="179" s="1"/>
  <c r="AI53" i="179"/>
  <c r="Y53" i="179" s="1"/>
  <c r="AE53" i="179"/>
  <c r="Z53" i="179"/>
  <c r="X53" i="179"/>
  <c r="Q53" i="179"/>
  <c r="P53" i="179"/>
  <c r="H53" i="179"/>
  <c r="E53" i="179"/>
  <c r="I53" i="179" s="1"/>
  <c r="AD52" i="179"/>
  <c r="AC52" i="179"/>
  <c r="AB52" i="179"/>
  <c r="AE52" i="179" s="1"/>
  <c r="AI52" i="179" s="1"/>
  <c r="Y52" i="179" s="1"/>
  <c r="Z52" i="179"/>
  <c r="X52" i="179"/>
  <c r="Q52" i="179"/>
  <c r="P52" i="179"/>
  <c r="H52" i="179"/>
  <c r="E52" i="179"/>
  <c r="I52" i="179" s="1"/>
  <c r="AE51" i="179"/>
  <c r="AI51" i="179" s="1"/>
  <c r="Y51" i="179" s="1"/>
  <c r="AD51" i="179"/>
  <c r="AC51" i="179"/>
  <c r="AB51" i="179"/>
  <c r="Z51" i="179"/>
  <c r="X51" i="179"/>
  <c r="Q51" i="179"/>
  <c r="P51" i="179"/>
  <c r="I51" i="179"/>
  <c r="H51" i="179"/>
  <c r="E51" i="179"/>
  <c r="AE50" i="179"/>
  <c r="AI50" i="179" s="1"/>
  <c r="Y50" i="179" s="1"/>
  <c r="Z50" i="179"/>
  <c r="X50" i="179"/>
  <c r="Q50" i="179"/>
  <c r="P50" i="179"/>
  <c r="I50" i="179"/>
  <c r="H50" i="179"/>
  <c r="E50" i="179"/>
  <c r="AI49" i="179"/>
  <c r="AE49" i="179"/>
  <c r="Z49" i="179"/>
  <c r="Y49" i="179"/>
  <c r="X49" i="179"/>
  <c r="Q49" i="179"/>
  <c r="P49" i="179"/>
  <c r="I49" i="179"/>
  <c r="H49" i="179"/>
  <c r="E49" i="179"/>
  <c r="AE48" i="179"/>
  <c r="AI48" i="179" s="1"/>
  <c r="Y48" i="179" s="1"/>
  <c r="Z48" i="179"/>
  <c r="X48" i="179"/>
  <c r="Q48" i="179"/>
  <c r="P48" i="179"/>
  <c r="H48" i="179"/>
  <c r="E48" i="179"/>
  <c r="I48" i="179" s="1"/>
  <c r="AD47" i="179"/>
  <c r="AC47" i="179"/>
  <c r="AB47" i="179"/>
  <c r="AE47" i="179" s="1"/>
  <c r="AI47" i="179" s="1"/>
  <c r="Y47" i="179" s="1"/>
  <c r="Z47" i="179"/>
  <c r="X47" i="179"/>
  <c r="Q47" i="179"/>
  <c r="P47" i="179"/>
  <c r="I47" i="179"/>
  <c r="H47" i="179"/>
  <c r="E47" i="179"/>
  <c r="AE46" i="179"/>
  <c r="AI46" i="179" s="1"/>
  <c r="Y46" i="179" s="1"/>
  <c r="AD46" i="179"/>
  <c r="AC46" i="179"/>
  <c r="AB46" i="179"/>
  <c r="Z46" i="179"/>
  <c r="X46" i="179"/>
  <c r="Q46" i="179"/>
  <c r="P46" i="179"/>
  <c r="I46" i="179"/>
  <c r="H46" i="179"/>
  <c r="E46" i="179"/>
  <c r="AD45" i="179"/>
  <c r="AC45" i="179"/>
  <c r="AB45" i="179"/>
  <c r="AE45" i="179" s="1"/>
  <c r="AI45" i="179" s="1"/>
  <c r="Y45" i="179" s="1"/>
  <c r="Z45" i="179"/>
  <c r="X45" i="179"/>
  <c r="Q45" i="179"/>
  <c r="P45" i="179"/>
  <c r="H45" i="179"/>
  <c r="E45" i="179"/>
  <c r="I45" i="179" s="1"/>
  <c r="AD44" i="179"/>
  <c r="AC44" i="179"/>
  <c r="AE44" i="179" s="1"/>
  <c r="AI44" i="179" s="1"/>
  <c r="Y44" i="179" s="1"/>
  <c r="AB44" i="179"/>
  <c r="Z44" i="179"/>
  <c r="X44" i="179"/>
  <c r="Q44" i="179"/>
  <c r="P44" i="179"/>
  <c r="H44" i="179"/>
  <c r="E44" i="179"/>
  <c r="I44" i="179" s="1"/>
  <c r="AD43" i="179"/>
  <c r="AC43" i="179"/>
  <c r="AB43" i="179"/>
  <c r="AE43" i="179" s="1"/>
  <c r="AI43" i="179" s="1"/>
  <c r="Y43" i="179" s="1"/>
  <c r="Q43" i="179"/>
  <c r="P43" i="179"/>
  <c r="I43" i="179"/>
  <c r="H43" i="179"/>
  <c r="X43" i="179"/>
  <c r="E43" i="179"/>
  <c r="AD42" i="179"/>
  <c r="AC42" i="179"/>
  <c r="AB42" i="179"/>
  <c r="AE42" i="179" s="1"/>
  <c r="AI42" i="179" s="1"/>
  <c r="Y42" i="179" s="1"/>
  <c r="Z42" i="179"/>
  <c r="X42" i="179"/>
  <c r="Q42" i="179"/>
  <c r="P42" i="179"/>
  <c r="H42" i="179"/>
  <c r="E42" i="179"/>
  <c r="I42" i="179" s="1"/>
  <c r="AD41" i="179"/>
  <c r="AC41" i="179"/>
  <c r="AB41" i="179"/>
  <c r="AE41" i="179" s="1"/>
  <c r="AI41" i="179" s="1"/>
  <c r="Y41" i="179" s="1"/>
  <c r="Z41" i="179"/>
  <c r="X41" i="179"/>
  <c r="Q41" i="179"/>
  <c r="P41" i="179"/>
  <c r="I41" i="179"/>
  <c r="H41" i="179"/>
  <c r="E41" i="179"/>
  <c r="AD40" i="179"/>
  <c r="AC40" i="179"/>
  <c r="AE40" i="179" s="1"/>
  <c r="AI40" i="179" s="1"/>
  <c r="Y40" i="179" s="1"/>
  <c r="AB40" i="179"/>
  <c r="Z40" i="179"/>
  <c r="X40" i="179"/>
  <c r="Q40" i="179"/>
  <c r="P40" i="179"/>
  <c r="I40" i="179"/>
  <c r="H40" i="179"/>
  <c r="E40" i="179"/>
  <c r="AE39" i="179"/>
  <c r="AI39" i="179" s="1"/>
  <c r="Y39" i="179" s="1"/>
  <c r="AD39" i="179"/>
  <c r="AC39" i="179"/>
  <c r="AB39" i="179"/>
  <c r="Z39" i="179"/>
  <c r="X39" i="179"/>
  <c r="Q39" i="179"/>
  <c r="P39" i="179"/>
  <c r="H39" i="179"/>
  <c r="E39" i="179"/>
  <c r="I39" i="179" s="1"/>
  <c r="AD38" i="179"/>
  <c r="AC38" i="179"/>
  <c r="AB38" i="179"/>
  <c r="AE38" i="179" s="1"/>
  <c r="AI38" i="179" s="1"/>
  <c r="Y38" i="179" s="1"/>
  <c r="Z38" i="179"/>
  <c r="X38" i="179"/>
  <c r="Q38" i="179"/>
  <c r="P38" i="179"/>
  <c r="H38" i="179"/>
  <c r="E38" i="179"/>
  <c r="I38" i="179" s="1"/>
  <c r="AD37" i="179"/>
  <c r="AC37" i="179"/>
  <c r="AB37" i="179"/>
  <c r="AE37" i="179" s="1"/>
  <c r="AI37" i="179" s="1"/>
  <c r="Y37" i="179" s="1"/>
  <c r="Z37" i="179"/>
  <c r="X37" i="179"/>
  <c r="Q37" i="179"/>
  <c r="P37" i="179"/>
  <c r="H37" i="179"/>
  <c r="E37" i="179"/>
  <c r="I37" i="179" s="1"/>
  <c r="AE36" i="179"/>
  <c r="AI36" i="179" s="1"/>
  <c r="Y36" i="179" s="1"/>
  <c r="AD36" i="179"/>
  <c r="AC36" i="179"/>
  <c r="AB36" i="179"/>
  <c r="Z36" i="179"/>
  <c r="X36" i="179"/>
  <c r="Q36" i="179"/>
  <c r="P36" i="179"/>
  <c r="I36" i="179"/>
  <c r="H36" i="179"/>
  <c r="E36" i="179"/>
  <c r="AE35" i="179"/>
  <c r="AI35" i="179" s="1"/>
  <c r="Y35" i="179" s="1"/>
  <c r="AD35" i="179"/>
  <c r="AC35" i="179"/>
  <c r="AB35" i="179"/>
  <c r="Z35" i="179"/>
  <c r="X35" i="179"/>
  <c r="Q35" i="179"/>
  <c r="P35" i="179"/>
  <c r="I35" i="179"/>
  <c r="H35" i="179"/>
  <c r="E35" i="179"/>
  <c r="X34" i="179"/>
  <c r="Q34" i="179"/>
  <c r="P34" i="179"/>
  <c r="H34" i="179"/>
  <c r="E34" i="179"/>
  <c r="I34" i="179" s="1"/>
  <c r="AE33" i="179"/>
  <c r="AI33" i="179" s="1"/>
  <c r="Y33" i="179" s="1"/>
  <c r="AD33" i="179"/>
  <c r="AC33" i="179"/>
  <c r="AB33" i="179"/>
  <c r="X33" i="179"/>
  <c r="Q33" i="179"/>
  <c r="P33" i="179"/>
  <c r="I33" i="179"/>
  <c r="H33" i="179"/>
  <c r="E33" i="179"/>
  <c r="AI32" i="179"/>
  <c r="Y32" i="179" s="1"/>
  <c r="AE32" i="179"/>
  <c r="AD32" i="179"/>
  <c r="AC32" i="179"/>
  <c r="AB32" i="179"/>
  <c r="Z32" i="179"/>
  <c r="X32" i="179"/>
  <c r="Q32" i="179"/>
  <c r="P32" i="179"/>
  <c r="H32" i="179"/>
  <c r="E32" i="179"/>
  <c r="I32" i="179" s="1"/>
  <c r="AE31" i="179"/>
  <c r="AI31" i="179" s="1"/>
  <c r="Y31" i="179" s="1"/>
  <c r="Z31" i="179"/>
  <c r="X31" i="179"/>
  <c r="Q31" i="179"/>
  <c r="P31" i="179"/>
  <c r="H31" i="179"/>
  <c r="E31" i="179"/>
  <c r="I31" i="179" s="1"/>
  <c r="AD30" i="179"/>
  <c r="AE30" i="179" s="1"/>
  <c r="AI30" i="179" s="1"/>
  <c r="Y30" i="179" s="1"/>
  <c r="AC30" i="179"/>
  <c r="AB30" i="179"/>
  <c r="Z30" i="179"/>
  <c r="X30" i="179"/>
  <c r="Q30" i="179"/>
  <c r="P30" i="179"/>
  <c r="I30" i="179"/>
  <c r="H30" i="179"/>
  <c r="E30" i="179"/>
  <c r="AD29" i="179"/>
  <c r="AC29" i="179"/>
  <c r="AB29" i="179"/>
  <c r="AE29" i="179" s="1"/>
  <c r="AI29" i="179" s="1"/>
  <c r="Y29" i="179" s="1"/>
  <c r="Z29" i="179"/>
  <c r="X29" i="179"/>
  <c r="Q29" i="179"/>
  <c r="P29" i="179"/>
  <c r="H29" i="179"/>
  <c r="E29" i="179"/>
  <c r="I29" i="179" s="1"/>
  <c r="AD28" i="179"/>
  <c r="AC28" i="179"/>
  <c r="AB28" i="179"/>
  <c r="AE28" i="179" s="1"/>
  <c r="AI28" i="179" s="1"/>
  <c r="Y28" i="179" s="1"/>
  <c r="Z28" i="179"/>
  <c r="X28" i="179"/>
  <c r="Q28" i="179"/>
  <c r="P28" i="179"/>
  <c r="I28" i="179"/>
  <c r="H28" i="179"/>
  <c r="E28" i="179"/>
  <c r="AD27" i="179"/>
  <c r="AC27" i="179"/>
  <c r="AB27" i="179"/>
  <c r="AE27" i="179" s="1"/>
  <c r="AI27" i="179" s="1"/>
  <c r="Y27" i="179" s="1"/>
  <c r="Z27" i="179"/>
  <c r="X27" i="179"/>
  <c r="Q27" i="179"/>
  <c r="P27" i="179"/>
  <c r="I27" i="179"/>
  <c r="H27" i="179"/>
  <c r="E27" i="179"/>
  <c r="AE26" i="179"/>
  <c r="AI26" i="179" s="1"/>
  <c r="Y26" i="179" s="1"/>
  <c r="AD26" i="179"/>
  <c r="AC26" i="179"/>
  <c r="AB26" i="179"/>
  <c r="Z26" i="179"/>
  <c r="X26" i="179"/>
  <c r="Q26" i="179"/>
  <c r="P26" i="179"/>
  <c r="H26" i="179"/>
  <c r="E26" i="179"/>
  <c r="I26" i="179" s="1"/>
  <c r="AD25" i="179"/>
  <c r="AC25" i="179"/>
  <c r="AB25" i="179"/>
  <c r="AE25" i="179" s="1"/>
  <c r="AI25" i="179" s="1"/>
  <c r="Y25" i="179" s="1"/>
  <c r="Z25" i="179"/>
  <c r="X25" i="179"/>
  <c r="Q25" i="179"/>
  <c r="P25" i="179"/>
  <c r="H25" i="179"/>
  <c r="E25" i="179"/>
  <c r="I25" i="179" s="1"/>
  <c r="AD24" i="179"/>
  <c r="AC24" i="179"/>
  <c r="AB24" i="179"/>
  <c r="AE24" i="179" s="1"/>
  <c r="AI24" i="179" s="1"/>
  <c r="Y24" i="179" s="1"/>
  <c r="Z24" i="179"/>
  <c r="X24" i="179"/>
  <c r="Q24" i="179"/>
  <c r="P24" i="179"/>
  <c r="H24" i="179"/>
  <c r="E24" i="179"/>
  <c r="I24" i="179" s="1"/>
  <c r="AE23" i="179"/>
  <c r="AI23" i="179" s="1"/>
  <c r="Y23" i="179" s="1"/>
  <c r="AD23" i="179"/>
  <c r="AC23" i="179"/>
  <c r="AB23" i="179"/>
  <c r="Z23" i="179"/>
  <c r="X23" i="179"/>
  <c r="Q23" i="179"/>
  <c r="P23" i="179"/>
  <c r="I23" i="179"/>
  <c r="H23" i="179"/>
  <c r="E23" i="179"/>
  <c r="AE22" i="179"/>
  <c r="AI22" i="179" s="1"/>
  <c r="Y22" i="179" s="1"/>
  <c r="AD22" i="179"/>
  <c r="AC22" i="179"/>
  <c r="AB22" i="179"/>
  <c r="Z22" i="179"/>
  <c r="X22" i="179"/>
  <c r="Q22" i="179"/>
  <c r="P22" i="179"/>
  <c r="I22" i="179"/>
  <c r="H22" i="179"/>
  <c r="E22" i="179"/>
  <c r="AD21" i="179"/>
  <c r="AC21" i="179"/>
  <c r="AB21" i="179"/>
  <c r="AE21" i="179" s="1"/>
  <c r="AI21" i="179" s="1"/>
  <c r="Y21" i="179" s="1"/>
  <c r="Z21" i="179"/>
  <c r="X21" i="179"/>
  <c r="Q21" i="179"/>
  <c r="P21" i="179"/>
  <c r="H21" i="179"/>
  <c r="E21" i="179"/>
  <c r="I21" i="179" s="1"/>
  <c r="AD20" i="179"/>
  <c r="AC20" i="179"/>
  <c r="AE20" i="179" s="1"/>
  <c r="AI20" i="179" s="1"/>
  <c r="Y20" i="179" s="1"/>
  <c r="AB20" i="179"/>
  <c r="Z20" i="179"/>
  <c r="X20" i="179"/>
  <c r="Q20" i="179"/>
  <c r="P20" i="179"/>
  <c r="I20" i="179"/>
  <c r="H20" i="179"/>
  <c r="E20" i="179"/>
  <c r="AD19" i="179"/>
  <c r="AC19" i="179"/>
  <c r="AB19" i="179"/>
  <c r="AE19" i="179" s="1"/>
  <c r="AI19" i="179" s="1"/>
  <c r="Y19" i="179" s="1"/>
  <c r="Z19" i="179"/>
  <c r="X19" i="179"/>
  <c r="Q19" i="179"/>
  <c r="P19" i="179"/>
  <c r="I19" i="179"/>
  <c r="H19" i="179"/>
  <c r="E19" i="179"/>
  <c r="AE18" i="179"/>
  <c r="AI18" i="179" s="1"/>
  <c r="Y18" i="179" s="1"/>
  <c r="AD18" i="179"/>
  <c r="AC18" i="179"/>
  <c r="AB18" i="179"/>
  <c r="Z18" i="179"/>
  <c r="X18" i="179"/>
  <c r="Q18" i="179"/>
  <c r="P18" i="179"/>
  <c r="I18" i="179"/>
  <c r="H18" i="179"/>
  <c r="E18" i="179"/>
  <c r="AI17" i="179"/>
  <c r="Y17" i="179" s="1"/>
  <c r="AE17" i="179"/>
  <c r="AD17" i="179"/>
  <c r="AC17" i="179"/>
  <c r="AB17" i="179"/>
  <c r="Z17" i="179"/>
  <c r="X17" i="179"/>
  <c r="Q17" i="179"/>
  <c r="P17" i="179"/>
  <c r="H17" i="179"/>
  <c r="E17" i="179"/>
  <c r="I17" i="179" s="1"/>
  <c r="AD16" i="179"/>
  <c r="AC16" i="179"/>
  <c r="AB16" i="179"/>
  <c r="AE16" i="179" s="1"/>
  <c r="AI16" i="179" s="1"/>
  <c r="Y16" i="179" s="1"/>
  <c r="Z16" i="179"/>
  <c r="X16" i="179"/>
  <c r="Q16" i="179"/>
  <c r="P16" i="179"/>
  <c r="E16" i="179"/>
  <c r="I16" i="179" s="1"/>
  <c r="AD15" i="179"/>
  <c r="AC15" i="179"/>
  <c r="AE15" i="179" s="1"/>
  <c r="AI15" i="179" s="1"/>
  <c r="Y15" i="179" s="1"/>
  <c r="AB15" i="179"/>
  <c r="Z15" i="179"/>
  <c r="X15" i="179"/>
  <c r="Q15" i="179"/>
  <c r="P15" i="179"/>
  <c r="E15" i="179"/>
  <c r="I15" i="179" s="1"/>
  <c r="AD14" i="179"/>
  <c r="AC14" i="179"/>
  <c r="AB14" i="179"/>
  <c r="AE14" i="179" s="1"/>
  <c r="AI14" i="179" s="1"/>
  <c r="Y14" i="179" s="1"/>
  <c r="Z14" i="179"/>
  <c r="X14" i="179"/>
  <c r="Q14" i="179"/>
  <c r="O77" i="179" s="1"/>
  <c r="P14" i="179"/>
  <c r="H14" i="179"/>
  <c r="E14" i="179"/>
  <c r="I14" i="179" s="1"/>
  <c r="AD13" i="179"/>
  <c r="AC13" i="179"/>
  <c r="AB13" i="179"/>
  <c r="AE13" i="179" s="1"/>
  <c r="AI13" i="179" s="1"/>
  <c r="Y13" i="179" s="1"/>
  <c r="Z13" i="179"/>
  <c r="X13" i="179"/>
  <c r="Q13" i="179"/>
  <c r="P13" i="179"/>
  <c r="I13" i="179"/>
  <c r="H13" i="179"/>
  <c r="E13" i="179"/>
  <c r="AD12" i="179"/>
  <c r="AE12" i="179" s="1"/>
  <c r="AI12" i="179" s="1"/>
  <c r="Y12" i="179" s="1"/>
  <c r="AC12" i="179"/>
  <c r="AB12" i="179"/>
  <c r="Z12" i="179"/>
  <c r="X12" i="179"/>
  <c r="Q12" i="179"/>
  <c r="P12" i="179"/>
  <c r="I12" i="179"/>
  <c r="H12" i="179"/>
  <c r="E12" i="179"/>
  <c r="T81" i="181" l="1"/>
  <c r="F79" i="181" s="1"/>
  <c r="T81" i="180"/>
  <c r="F79" i="180"/>
  <c r="O75" i="179"/>
  <c r="T79" i="179"/>
  <c r="F75" i="179"/>
  <c r="F77" i="179"/>
  <c r="T75" i="179"/>
  <c r="Z43" i="179"/>
  <c r="H73" i="179"/>
  <c r="Z33" i="179"/>
  <c r="T77" i="179" s="1"/>
  <c r="AE69" i="178"/>
  <c r="AD69" i="178"/>
  <c r="AB69" i="178"/>
  <c r="AC69" i="178"/>
  <c r="AI69" i="178"/>
  <c r="Y69" i="178" s="1"/>
  <c r="AD58" i="178"/>
  <c r="AD59" i="178"/>
  <c r="AD60" i="178"/>
  <c r="AD61" i="178"/>
  <c r="AD62" i="178"/>
  <c r="Z58" i="178"/>
  <c r="Z59" i="178"/>
  <c r="Z60" i="178"/>
  <c r="Z61" i="178"/>
  <c r="Z62" i="178"/>
  <c r="Z69" i="178"/>
  <c r="T81" i="179" l="1"/>
  <c r="F79" i="179" s="1"/>
  <c r="Q69" i="178"/>
  <c r="Q70" i="178"/>
  <c r="Q34" i="178"/>
  <c r="H34" i="178"/>
  <c r="P34" i="178"/>
  <c r="E34" i="178"/>
  <c r="I34" i="178" s="1"/>
  <c r="X34" i="178"/>
  <c r="H69" i="178" l="1"/>
  <c r="P69" i="178"/>
  <c r="E69" i="178"/>
  <c r="I69" i="178" s="1"/>
  <c r="X69" i="178"/>
  <c r="F43" i="178"/>
  <c r="H43" i="178" s="1"/>
  <c r="M81" i="178"/>
  <c r="W75" i="178"/>
  <c r="P73" i="178"/>
  <c r="Q72" i="178"/>
  <c r="P72" i="178"/>
  <c r="H72" i="178"/>
  <c r="E72" i="178"/>
  <c r="I72" i="178" s="1"/>
  <c r="Q71" i="178"/>
  <c r="P71" i="178"/>
  <c r="I71" i="178"/>
  <c r="H71" i="178"/>
  <c r="E71" i="178"/>
  <c r="AD70" i="178"/>
  <c r="AC70" i="178"/>
  <c r="AB70" i="178"/>
  <c r="AE70" i="178" s="1"/>
  <c r="AI70" i="178" s="1"/>
  <c r="Y70" i="178" s="1"/>
  <c r="Z70" i="178"/>
  <c r="X70" i="178"/>
  <c r="W70" i="178"/>
  <c r="P70" i="178"/>
  <c r="I70" i="178"/>
  <c r="H70" i="178"/>
  <c r="E70" i="178"/>
  <c r="AI68" i="178"/>
  <c r="AE68" i="178"/>
  <c r="AD68" i="178"/>
  <c r="AC68" i="178"/>
  <c r="AB68" i="178"/>
  <c r="Z68" i="178"/>
  <c r="Y68" i="178"/>
  <c r="X68" i="178"/>
  <c r="Q68" i="178"/>
  <c r="P68" i="178"/>
  <c r="H68" i="178"/>
  <c r="E68" i="178"/>
  <c r="I68" i="178" s="1"/>
  <c r="AE67" i="178"/>
  <c r="AI67" i="178" s="1"/>
  <c r="Y67" i="178" s="1"/>
  <c r="AD67" i="178"/>
  <c r="AC67" i="178"/>
  <c r="AB67" i="178"/>
  <c r="Z67" i="178"/>
  <c r="X67" i="178"/>
  <c r="Q67" i="178"/>
  <c r="P67" i="178"/>
  <c r="I67" i="178"/>
  <c r="H67" i="178"/>
  <c r="E67" i="178"/>
  <c r="AD66" i="178"/>
  <c r="AC66" i="178"/>
  <c r="AB66" i="178"/>
  <c r="AE66" i="178" s="1"/>
  <c r="AI66" i="178" s="1"/>
  <c r="Y66" i="178" s="1"/>
  <c r="Z66" i="178"/>
  <c r="X66" i="178"/>
  <c r="Q66" i="178"/>
  <c r="P66" i="178"/>
  <c r="H66" i="178"/>
  <c r="E66" i="178"/>
  <c r="I66" i="178" s="1"/>
  <c r="AD65" i="178"/>
  <c r="AC65" i="178"/>
  <c r="AB65" i="178"/>
  <c r="AE65" i="178" s="1"/>
  <c r="AI65" i="178" s="1"/>
  <c r="Y65" i="178" s="1"/>
  <c r="Z65" i="178"/>
  <c r="X65" i="178"/>
  <c r="Q65" i="178"/>
  <c r="P65" i="178"/>
  <c r="H65" i="178"/>
  <c r="E65" i="178"/>
  <c r="I65" i="178" s="1"/>
  <c r="AD64" i="178"/>
  <c r="AC64" i="178"/>
  <c r="AE64" i="178" s="1"/>
  <c r="AI64" i="178" s="1"/>
  <c r="Y64" i="178" s="1"/>
  <c r="AB64" i="178"/>
  <c r="Z64" i="178"/>
  <c r="X64" i="178"/>
  <c r="Q64" i="178"/>
  <c r="P64" i="178"/>
  <c r="I64" i="178"/>
  <c r="H64" i="178"/>
  <c r="E64" i="178"/>
  <c r="AD63" i="178"/>
  <c r="AC63" i="178"/>
  <c r="AB63" i="178"/>
  <c r="AE63" i="178" s="1"/>
  <c r="AI63" i="178" s="1"/>
  <c r="Y63" i="178" s="1"/>
  <c r="Z63" i="178"/>
  <c r="X63" i="178"/>
  <c r="Q63" i="178"/>
  <c r="P63" i="178"/>
  <c r="H63" i="178"/>
  <c r="E63" i="178"/>
  <c r="I63" i="178" s="1"/>
  <c r="AC62" i="178"/>
  <c r="AE62" i="178" s="1"/>
  <c r="AI62" i="178" s="1"/>
  <c r="Y62" i="178" s="1"/>
  <c r="AB62" i="178"/>
  <c r="X62" i="178"/>
  <c r="Q62" i="178"/>
  <c r="P62" i="178"/>
  <c r="I62" i="178"/>
  <c r="H62" i="178"/>
  <c r="E62" i="178"/>
  <c r="AI61" i="178"/>
  <c r="Y61" i="178" s="1"/>
  <c r="AE61" i="178"/>
  <c r="X61" i="178"/>
  <c r="Q61" i="178"/>
  <c r="P61" i="178"/>
  <c r="I61" i="178"/>
  <c r="H61" i="178"/>
  <c r="E61" i="178"/>
  <c r="AC60" i="178"/>
  <c r="AB60" i="178"/>
  <c r="AE60" i="178" s="1"/>
  <c r="AI60" i="178" s="1"/>
  <c r="Y60" i="178" s="1"/>
  <c r="X60" i="178"/>
  <c r="Q60" i="178"/>
  <c r="P60" i="178"/>
  <c r="H60" i="178"/>
  <c r="E60" i="178"/>
  <c r="I60" i="178" s="1"/>
  <c r="AE59" i="178"/>
  <c r="AI59" i="178" s="1"/>
  <c r="Y59" i="178" s="1"/>
  <c r="AC59" i="178"/>
  <c r="AB59" i="178"/>
  <c r="X59" i="178"/>
  <c r="Q59" i="178"/>
  <c r="P59" i="178"/>
  <c r="E59" i="178"/>
  <c r="I59" i="178" s="1"/>
  <c r="AC58" i="178"/>
  <c r="AE58" i="178" s="1"/>
  <c r="AI58" i="178" s="1"/>
  <c r="Y58" i="178" s="1"/>
  <c r="AB58" i="178"/>
  <c r="X58" i="178"/>
  <c r="Q58" i="178"/>
  <c r="P58" i="178"/>
  <c r="I58" i="178"/>
  <c r="H58" i="178"/>
  <c r="E58" i="178"/>
  <c r="AD57" i="178"/>
  <c r="AC57" i="178"/>
  <c r="AB57" i="178"/>
  <c r="AE57" i="178" s="1"/>
  <c r="AI57" i="178" s="1"/>
  <c r="Y57" i="178" s="1"/>
  <c r="Z57" i="178"/>
  <c r="X57" i="178"/>
  <c r="Q57" i="178"/>
  <c r="P57" i="178"/>
  <c r="H57" i="178"/>
  <c r="E57" i="178"/>
  <c r="I57" i="178" s="1"/>
  <c r="AE56" i="178"/>
  <c r="AI56" i="178" s="1"/>
  <c r="Y56" i="178" s="1"/>
  <c r="AD56" i="178"/>
  <c r="AC56" i="178"/>
  <c r="AB56" i="178"/>
  <c r="Z56" i="178"/>
  <c r="X56" i="178"/>
  <c r="Q56" i="178"/>
  <c r="P56" i="178"/>
  <c r="I56" i="178"/>
  <c r="H56" i="178"/>
  <c r="E56" i="178"/>
  <c r="AD55" i="178"/>
  <c r="AC55" i="178"/>
  <c r="AB55" i="178"/>
  <c r="AE55" i="178" s="1"/>
  <c r="AI55" i="178" s="1"/>
  <c r="Y55" i="178" s="1"/>
  <c r="Z55" i="178"/>
  <c r="X55" i="178"/>
  <c r="Q55" i="178"/>
  <c r="P55" i="178"/>
  <c r="I55" i="178"/>
  <c r="H55" i="178"/>
  <c r="E55" i="178"/>
  <c r="AD54" i="178"/>
  <c r="AC54" i="178"/>
  <c r="AB54" i="178"/>
  <c r="AE54" i="178" s="1"/>
  <c r="AI54" i="178" s="1"/>
  <c r="Y54" i="178" s="1"/>
  <c r="Z54" i="178"/>
  <c r="X54" i="178"/>
  <c r="Q54" i="178"/>
  <c r="P54" i="178"/>
  <c r="H54" i="178"/>
  <c r="E54" i="178"/>
  <c r="I54" i="178" s="1"/>
  <c r="AE53" i="178"/>
  <c r="AI53" i="178" s="1"/>
  <c r="Y53" i="178" s="1"/>
  <c r="Z53" i="178"/>
  <c r="X53" i="178"/>
  <c r="Q53" i="178"/>
  <c r="P53" i="178"/>
  <c r="I53" i="178"/>
  <c r="H53" i="178"/>
  <c r="E53" i="178"/>
  <c r="AD52" i="178"/>
  <c r="AC52" i="178"/>
  <c r="AB52" i="178"/>
  <c r="AE52" i="178" s="1"/>
  <c r="AI52" i="178" s="1"/>
  <c r="Y52" i="178" s="1"/>
  <c r="Z52" i="178"/>
  <c r="X52" i="178"/>
  <c r="Q52" i="178"/>
  <c r="P52" i="178"/>
  <c r="H52" i="178"/>
  <c r="E52" i="178"/>
  <c r="I52" i="178" s="1"/>
  <c r="AE51" i="178"/>
  <c r="AI51" i="178" s="1"/>
  <c r="Y51" i="178" s="1"/>
  <c r="AD51" i="178"/>
  <c r="AC51" i="178"/>
  <c r="AB51" i="178"/>
  <c r="Z51" i="178"/>
  <c r="X51" i="178"/>
  <c r="Q51" i="178"/>
  <c r="P51" i="178"/>
  <c r="I51" i="178"/>
  <c r="H51" i="178"/>
  <c r="E51" i="178"/>
  <c r="AE50" i="178"/>
  <c r="AI50" i="178" s="1"/>
  <c r="Y50" i="178" s="1"/>
  <c r="Z50" i="178"/>
  <c r="X50" i="178"/>
  <c r="Q50" i="178"/>
  <c r="P50" i="178"/>
  <c r="H50" i="178"/>
  <c r="E50" i="178"/>
  <c r="I50" i="178" s="1"/>
  <c r="AE49" i="178"/>
  <c r="AI49" i="178" s="1"/>
  <c r="Y49" i="178" s="1"/>
  <c r="Z49" i="178"/>
  <c r="X49" i="178"/>
  <c r="Q49" i="178"/>
  <c r="P49" i="178"/>
  <c r="I49" i="178"/>
  <c r="H49" i="178"/>
  <c r="E49" i="178"/>
  <c r="AI48" i="178"/>
  <c r="Y48" i="178" s="1"/>
  <c r="AE48" i="178"/>
  <c r="Z48" i="178"/>
  <c r="X48" i="178"/>
  <c r="Q48" i="178"/>
  <c r="P48" i="178"/>
  <c r="H48" i="178"/>
  <c r="E48" i="178"/>
  <c r="I48" i="178" s="1"/>
  <c r="AD47" i="178"/>
  <c r="AC47" i="178"/>
  <c r="AB47" i="178"/>
  <c r="AE47" i="178" s="1"/>
  <c r="AI47" i="178" s="1"/>
  <c r="Y47" i="178" s="1"/>
  <c r="Z47" i="178"/>
  <c r="X47" i="178"/>
  <c r="Q47" i="178"/>
  <c r="P47" i="178"/>
  <c r="H47" i="178"/>
  <c r="E47" i="178"/>
  <c r="I47" i="178" s="1"/>
  <c r="AD46" i="178"/>
  <c r="AE46" i="178" s="1"/>
  <c r="AI46" i="178" s="1"/>
  <c r="Y46" i="178" s="1"/>
  <c r="AC46" i="178"/>
  <c r="AB46" i="178"/>
  <c r="Z46" i="178"/>
  <c r="X46" i="178"/>
  <c r="Q46" i="178"/>
  <c r="P46" i="178"/>
  <c r="I46" i="178"/>
  <c r="H46" i="178"/>
  <c r="E46" i="178"/>
  <c r="AD45" i="178"/>
  <c r="AC45" i="178"/>
  <c r="AB45" i="178"/>
  <c r="AE45" i="178" s="1"/>
  <c r="AI45" i="178" s="1"/>
  <c r="Y45" i="178" s="1"/>
  <c r="Z45" i="178"/>
  <c r="X45" i="178"/>
  <c r="Q45" i="178"/>
  <c r="P45" i="178"/>
  <c r="H45" i="178"/>
  <c r="E45" i="178"/>
  <c r="I45" i="178" s="1"/>
  <c r="AE44" i="178"/>
  <c r="AI44" i="178" s="1"/>
  <c r="Y44" i="178" s="1"/>
  <c r="AD44" i="178"/>
  <c r="AC44" i="178"/>
  <c r="AB44" i="178"/>
  <c r="Z44" i="178"/>
  <c r="X44" i="178"/>
  <c r="Q44" i="178"/>
  <c r="P44" i="178"/>
  <c r="H44" i="178"/>
  <c r="E44" i="178"/>
  <c r="I44" i="178" s="1"/>
  <c r="AD43" i="178"/>
  <c r="AC43" i="178"/>
  <c r="AB43" i="178"/>
  <c r="AE43" i="178" s="1"/>
  <c r="AI43" i="178" s="1"/>
  <c r="Q43" i="178"/>
  <c r="P43" i="178"/>
  <c r="E43" i="178"/>
  <c r="AD42" i="178"/>
  <c r="AC42" i="178"/>
  <c r="AB42" i="178"/>
  <c r="AE42" i="178" s="1"/>
  <c r="AI42" i="178" s="1"/>
  <c r="Y42" i="178" s="1"/>
  <c r="Z42" i="178"/>
  <c r="X42" i="178"/>
  <c r="Q42" i="178"/>
  <c r="P42" i="178"/>
  <c r="H42" i="178"/>
  <c r="E42" i="178"/>
  <c r="I42" i="178" s="1"/>
  <c r="AE41" i="178"/>
  <c r="AI41" i="178" s="1"/>
  <c r="Y41" i="178" s="1"/>
  <c r="AD41" i="178"/>
  <c r="AC41" i="178"/>
  <c r="AB41" i="178"/>
  <c r="Z41" i="178"/>
  <c r="X41" i="178"/>
  <c r="Q41" i="178"/>
  <c r="P41" i="178"/>
  <c r="I41" i="178"/>
  <c r="H41" i="178"/>
  <c r="E41" i="178"/>
  <c r="AD40" i="178"/>
  <c r="AC40" i="178"/>
  <c r="AB40" i="178"/>
  <c r="AE40" i="178" s="1"/>
  <c r="AI40" i="178" s="1"/>
  <c r="Y40" i="178" s="1"/>
  <c r="Z40" i="178"/>
  <c r="X40" i="178"/>
  <c r="Q40" i="178"/>
  <c r="P40" i="178"/>
  <c r="I40" i="178"/>
  <c r="H40" i="178"/>
  <c r="E40" i="178"/>
  <c r="AD39" i="178"/>
  <c r="AC39" i="178"/>
  <c r="AB39" i="178"/>
  <c r="AE39" i="178" s="1"/>
  <c r="AI39" i="178" s="1"/>
  <c r="Y39" i="178" s="1"/>
  <c r="Z39" i="178"/>
  <c r="X39" i="178"/>
  <c r="Q39" i="178"/>
  <c r="P39" i="178"/>
  <c r="H39" i="178"/>
  <c r="E39" i="178"/>
  <c r="I39" i="178" s="1"/>
  <c r="AE38" i="178"/>
  <c r="AI38" i="178" s="1"/>
  <c r="Y38" i="178" s="1"/>
  <c r="AD38" i="178"/>
  <c r="AC38" i="178"/>
  <c r="AB38" i="178"/>
  <c r="Z38" i="178"/>
  <c r="X38" i="178"/>
  <c r="Q38" i="178"/>
  <c r="P38" i="178"/>
  <c r="I38" i="178"/>
  <c r="H38" i="178"/>
  <c r="E38" i="178"/>
  <c r="AD37" i="178"/>
  <c r="AC37" i="178"/>
  <c r="AB37" i="178"/>
  <c r="AE37" i="178" s="1"/>
  <c r="AI37" i="178" s="1"/>
  <c r="Y37" i="178" s="1"/>
  <c r="Z37" i="178"/>
  <c r="X37" i="178"/>
  <c r="Q37" i="178"/>
  <c r="P37" i="178"/>
  <c r="H37" i="178"/>
  <c r="E37" i="178"/>
  <c r="I37" i="178" s="1"/>
  <c r="AD36" i="178"/>
  <c r="AC36" i="178"/>
  <c r="AB36" i="178"/>
  <c r="AE36" i="178" s="1"/>
  <c r="AI36" i="178" s="1"/>
  <c r="Y36" i="178" s="1"/>
  <c r="Z36" i="178"/>
  <c r="X36" i="178"/>
  <c r="Q36" i="178"/>
  <c r="P36" i="178"/>
  <c r="H36" i="178"/>
  <c r="E36" i="178"/>
  <c r="I36" i="178" s="1"/>
  <c r="AD35" i="178"/>
  <c r="AC35" i="178"/>
  <c r="AE35" i="178" s="1"/>
  <c r="AI35" i="178" s="1"/>
  <c r="Y35" i="178" s="1"/>
  <c r="AB35" i="178"/>
  <c r="Z35" i="178"/>
  <c r="X35" i="178"/>
  <c r="Q35" i="178"/>
  <c r="P35" i="178"/>
  <c r="H35" i="178"/>
  <c r="E35" i="178"/>
  <c r="I35" i="178" s="1"/>
  <c r="AD33" i="178"/>
  <c r="AC33" i="178"/>
  <c r="AB33" i="178"/>
  <c r="AE33" i="178" s="1"/>
  <c r="AI33" i="178" s="1"/>
  <c r="Y33" i="178" s="1"/>
  <c r="Z33" i="178"/>
  <c r="X33" i="178"/>
  <c r="Q33" i="178"/>
  <c r="P33" i="178"/>
  <c r="I33" i="178"/>
  <c r="H33" i="178"/>
  <c r="E33" i="178"/>
  <c r="AD32" i="178"/>
  <c r="AE32" i="178" s="1"/>
  <c r="AI32" i="178" s="1"/>
  <c r="Y32" i="178" s="1"/>
  <c r="AC32" i="178"/>
  <c r="AB32" i="178"/>
  <c r="Z32" i="178"/>
  <c r="X32" i="178"/>
  <c r="Q32" i="178"/>
  <c r="P32" i="178"/>
  <c r="H32" i="178"/>
  <c r="E32" i="178"/>
  <c r="I32" i="178" s="1"/>
  <c r="AE31" i="178"/>
  <c r="AI31" i="178" s="1"/>
  <c r="Y31" i="178" s="1"/>
  <c r="Z31" i="178"/>
  <c r="X31" i="178"/>
  <c r="Q31" i="178"/>
  <c r="P31" i="178"/>
  <c r="I31" i="178"/>
  <c r="H31" i="178"/>
  <c r="E31" i="178"/>
  <c r="AD30" i="178"/>
  <c r="AE30" i="178" s="1"/>
  <c r="AI30" i="178" s="1"/>
  <c r="Y30" i="178" s="1"/>
  <c r="AC30" i="178"/>
  <c r="AB30" i="178"/>
  <c r="Z30" i="178"/>
  <c r="X30" i="178"/>
  <c r="Q30" i="178"/>
  <c r="P30" i="178"/>
  <c r="I30" i="178"/>
  <c r="H30" i="178"/>
  <c r="E30" i="178"/>
  <c r="AD29" i="178"/>
  <c r="AC29" i="178"/>
  <c r="AB29" i="178"/>
  <c r="AE29" i="178" s="1"/>
  <c r="AI29" i="178" s="1"/>
  <c r="Y29" i="178" s="1"/>
  <c r="Z29" i="178"/>
  <c r="X29" i="178"/>
  <c r="Q29" i="178"/>
  <c r="P29" i="178"/>
  <c r="H29" i="178"/>
  <c r="E29" i="178"/>
  <c r="I29" i="178" s="1"/>
  <c r="AE28" i="178"/>
  <c r="AI28" i="178" s="1"/>
  <c r="Y28" i="178" s="1"/>
  <c r="AD28" i="178"/>
  <c r="AC28" i="178"/>
  <c r="AB28" i="178"/>
  <c r="Z28" i="178"/>
  <c r="X28" i="178"/>
  <c r="Q28" i="178"/>
  <c r="P28" i="178"/>
  <c r="H28" i="178"/>
  <c r="E28" i="178"/>
  <c r="I28" i="178" s="1"/>
  <c r="AD27" i="178"/>
  <c r="AC27" i="178"/>
  <c r="AB27" i="178"/>
  <c r="AE27" i="178" s="1"/>
  <c r="AI27" i="178" s="1"/>
  <c r="Y27" i="178" s="1"/>
  <c r="Z27" i="178"/>
  <c r="X27" i="178"/>
  <c r="Q27" i="178"/>
  <c r="P27" i="178"/>
  <c r="I27" i="178"/>
  <c r="H27" i="178"/>
  <c r="E27" i="178"/>
  <c r="AD26" i="178"/>
  <c r="AC26" i="178"/>
  <c r="AB26" i="178"/>
  <c r="AE26" i="178" s="1"/>
  <c r="AI26" i="178" s="1"/>
  <c r="Y26" i="178" s="1"/>
  <c r="Z26" i="178"/>
  <c r="X26" i="178"/>
  <c r="Q26" i="178"/>
  <c r="P26" i="178"/>
  <c r="H26" i="178"/>
  <c r="E26" i="178"/>
  <c r="I26" i="178" s="1"/>
  <c r="AE25" i="178"/>
  <c r="AI25" i="178" s="1"/>
  <c r="Y25" i="178" s="1"/>
  <c r="AD25" i="178"/>
  <c r="AC25" i="178"/>
  <c r="AB25" i="178"/>
  <c r="Z25" i="178"/>
  <c r="X25" i="178"/>
  <c r="Q25" i="178"/>
  <c r="P25" i="178"/>
  <c r="I25" i="178"/>
  <c r="H25" i="178"/>
  <c r="E25" i="178"/>
  <c r="AD24" i="178"/>
  <c r="AC24" i="178"/>
  <c r="AB24" i="178"/>
  <c r="AE24" i="178" s="1"/>
  <c r="AI24" i="178" s="1"/>
  <c r="Y24" i="178" s="1"/>
  <c r="Z24" i="178"/>
  <c r="X24" i="178"/>
  <c r="Q24" i="178"/>
  <c r="P24" i="178"/>
  <c r="I24" i="178"/>
  <c r="H24" i="178"/>
  <c r="E24" i="178"/>
  <c r="AD23" i="178"/>
  <c r="AC23" i="178"/>
  <c r="AB23" i="178"/>
  <c r="AE23" i="178" s="1"/>
  <c r="AI23" i="178" s="1"/>
  <c r="Y23" i="178" s="1"/>
  <c r="Z23" i="178"/>
  <c r="X23" i="178"/>
  <c r="Q23" i="178"/>
  <c r="P23" i="178"/>
  <c r="H23" i="178"/>
  <c r="E23" i="178"/>
  <c r="I23" i="178" s="1"/>
  <c r="AE22" i="178"/>
  <c r="AI22" i="178" s="1"/>
  <c r="Y22" i="178" s="1"/>
  <c r="AD22" i="178"/>
  <c r="AC22" i="178"/>
  <c r="AB22" i="178"/>
  <c r="Z22" i="178"/>
  <c r="X22" i="178"/>
  <c r="Q22" i="178"/>
  <c r="P22" i="178"/>
  <c r="I22" i="178"/>
  <c r="H22" i="178"/>
  <c r="E22" i="178"/>
  <c r="AD21" i="178"/>
  <c r="AC21" i="178"/>
  <c r="AB21" i="178"/>
  <c r="AE21" i="178" s="1"/>
  <c r="AI21" i="178" s="1"/>
  <c r="Y21" i="178" s="1"/>
  <c r="Z21" i="178"/>
  <c r="X21" i="178"/>
  <c r="Q21" i="178"/>
  <c r="P21" i="178"/>
  <c r="H21" i="178"/>
  <c r="E21" i="178"/>
  <c r="I21" i="178" s="1"/>
  <c r="AD20" i="178"/>
  <c r="AC20" i="178"/>
  <c r="AB20" i="178"/>
  <c r="AE20" i="178" s="1"/>
  <c r="AI20" i="178" s="1"/>
  <c r="Y20" i="178" s="1"/>
  <c r="Z20" i="178"/>
  <c r="X20" i="178"/>
  <c r="Q20" i="178"/>
  <c r="P20" i="178"/>
  <c r="H20" i="178"/>
  <c r="E20" i="178"/>
  <c r="I20" i="178" s="1"/>
  <c r="AD19" i="178"/>
  <c r="AC19" i="178"/>
  <c r="AE19" i="178" s="1"/>
  <c r="AI19" i="178" s="1"/>
  <c r="Y19" i="178" s="1"/>
  <c r="AB19" i="178"/>
  <c r="Z19" i="178"/>
  <c r="X19" i="178"/>
  <c r="Q19" i="178"/>
  <c r="P19" i="178"/>
  <c r="I19" i="178"/>
  <c r="H19" i="178"/>
  <c r="E19" i="178"/>
  <c r="AD18" i="178"/>
  <c r="AC18" i="178"/>
  <c r="AB18" i="178"/>
  <c r="AE18" i="178" s="1"/>
  <c r="AI18" i="178" s="1"/>
  <c r="Y18" i="178" s="1"/>
  <c r="Z18" i="178"/>
  <c r="X18" i="178"/>
  <c r="Q18" i="178"/>
  <c r="P18" i="178"/>
  <c r="I18" i="178"/>
  <c r="H18" i="178"/>
  <c r="E18" i="178"/>
  <c r="AD17" i="178"/>
  <c r="AE17" i="178" s="1"/>
  <c r="AI17" i="178" s="1"/>
  <c r="Y17" i="178" s="1"/>
  <c r="AC17" i="178"/>
  <c r="AB17" i="178"/>
  <c r="Z17" i="178"/>
  <c r="X17" i="178"/>
  <c r="Q17" i="178"/>
  <c r="P17" i="178"/>
  <c r="H17" i="178"/>
  <c r="E17" i="178"/>
  <c r="I17" i="178" s="1"/>
  <c r="AE16" i="178"/>
  <c r="AI16" i="178" s="1"/>
  <c r="Y16" i="178" s="1"/>
  <c r="AD16" i="178"/>
  <c r="AC16" i="178"/>
  <c r="AB16" i="178"/>
  <c r="Z16" i="178"/>
  <c r="X16" i="178"/>
  <c r="Q16" i="178"/>
  <c r="P16" i="178"/>
  <c r="E16" i="178"/>
  <c r="I16" i="178" s="1"/>
  <c r="AD15" i="178"/>
  <c r="AC15" i="178"/>
  <c r="AB15" i="178"/>
  <c r="AE15" i="178" s="1"/>
  <c r="AI15" i="178" s="1"/>
  <c r="Y15" i="178" s="1"/>
  <c r="Z15" i="178"/>
  <c r="X15" i="178"/>
  <c r="Q15" i="178"/>
  <c r="P15" i="178"/>
  <c r="E15" i="178"/>
  <c r="I15" i="178" s="1"/>
  <c r="AD14" i="178"/>
  <c r="AC14" i="178"/>
  <c r="AB14" i="178"/>
  <c r="AE14" i="178" s="1"/>
  <c r="AI14" i="178" s="1"/>
  <c r="Y14" i="178" s="1"/>
  <c r="Z14" i="178"/>
  <c r="X14" i="178"/>
  <c r="Q14" i="178"/>
  <c r="P14" i="178"/>
  <c r="I14" i="178"/>
  <c r="H14" i="178"/>
  <c r="E14" i="178"/>
  <c r="AD13" i="178"/>
  <c r="AC13" i="178"/>
  <c r="AB13" i="178"/>
  <c r="AE13" i="178" s="1"/>
  <c r="AI13" i="178" s="1"/>
  <c r="Y13" i="178" s="1"/>
  <c r="Z13" i="178"/>
  <c r="X13" i="178"/>
  <c r="Q13" i="178"/>
  <c r="P13" i="178"/>
  <c r="H13" i="178"/>
  <c r="E13" i="178"/>
  <c r="I13" i="178" s="1"/>
  <c r="AD12" i="178"/>
  <c r="AC12" i="178"/>
  <c r="AE12" i="178" s="1"/>
  <c r="AI12" i="178" s="1"/>
  <c r="Y12" i="178" s="1"/>
  <c r="AB12" i="178"/>
  <c r="Z12" i="178"/>
  <c r="X12" i="178"/>
  <c r="Q12" i="178"/>
  <c r="P12" i="178"/>
  <c r="I12" i="178"/>
  <c r="H12" i="178"/>
  <c r="E12" i="178"/>
  <c r="X43" i="178" l="1"/>
  <c r="Z43" i="178"/>
  <c r="I43" i="178"/>
  <c r="Y43" i="178"/>
  <c r="H73" i="178"/>
  <c r="T79" i="178"/>
  <c r="F75" i="178"/>
  <c r="T77" i="178"/>
  <c r="O75" i="178"/>
  <c r="O77" i="178"/>
  <c r="F77" i="178"/>
  <c r="T75" i="178"/>
  <c r="M79" i="177"/>
  <c r="W73" i="177"/>
  <c r="P71" i="177"/>
  <c r="H71" i="177"/>
  <c r="Q70" i="177"/>
  <c r="P70" i="177"/>
  <c r="H70" i="177"/>
  <c r="E70" i="177"/>
  <c r="I70" i="177" s="1"/>
  <c r="Q69" i="177"/>
  <c r="P69" i="177"/>
  <c r="I69" i="177"/>
  <c r="H69" i="177"/>
  <c r="E69" i="177"/>
  <c r="AD68" i="177"/>
  <c r="AE68" i="177" s="1"/>
  <c r="AI68" i="177" s="1"/>
  <c r="Y68" i="177" s="1"/>
  <c r="AC68" i="177"/>
  <c r="AB68" i="177"/>
  <c r="Z68" i="177"/>
  <c r="X68" i="177"/>
  <c r="W68" i="177"/>
  <c r="Q68" i="177"/>
  <c r="P68" i="177"/>
  <c r="H68" i="177"/>
  <c r="E68" i="177"/>
  <c r="I68" i="177" s="1"/>
  <c r="AI67" i="177"/>
  <c r="Y67" i="177" s="1"/>
  <c r="AE67" i="177"/>
  <c r="AD67" i="177"/>
  <c r="AC67" i="177"/>
  <c r="AB67" i="177"/>
  <c r="Z67" i="177"/>
  <c r="X67" i="177"/>
  <c r="Q67" i="177"/>
  <c r="P67" i="177"/>
  <c r="H67" i="177"/>
  <c r="E67" i="177"/>
  <c r="I67" i="177" s="1"/>
  <c r="AD66" i="177"/>
  <c r="AC66" i="177"/>
  <c r="AB66" i="177"/>
  <c r="AE66" i="177" s="1"/>
  <c r="AI66" i="177" s="1"/>
  <c r="Y66" i="177" s="1"/>
  <c r="Z66" i="177"/>
  <c r="X66" i="177"/>
  <c r="Q66" i="177"/>
  <c r="P66" i="177"/>
  <c r="I66" i="177"/>
  <c r="H66" i="177"/>
  <c r="E66" i="177"/>
  <c r="AD65" i="177"/>
  <c r="AE65" i="177" s="1"/>
  <c r="AI65" i="177" s="1"/>
  <c r="Y65" i="177" s="1"/>
  <c r="AC65" i="177"/>
  <c r="AB65" i="177"/>
  <c r="Z65" i="177"/>
  <c r="X65" i="177"/>
  <c r="Q65" i="177"/>
  <c r="P65" i="177"/>
  <c r="I65" i="177"/>
  <c r="H65" i="177"/>
  <c r="E65" i="177"/>
  <c r="AD64" i="177"/>
  <c r="AC64" i="177"/>
  <c r="AB64" i="177"/>
  <c r="AE64" i="177" s="1"/>
  <c r="AI64" i="177" s="1"/>
  <c r="Y64" i="177" s="1"/>
  <c r="Z64" i="177"/>
  <c r="X64" i="177"/>
  <c r="Q64" i="177"/>
  <c r="P64" i="177"/>
  <c r="I64" i="177"/>
  <c r="H64" i="177"/>
  <c r="E64" i="177"/>
  <c r="AD63" i="177"/>
  <c r="AC63" i="177"/>
  <c r="AE63" i="177" s="1"/>
  <c r="AI63" i="177" s="1"/>
  <c r="Y63" i="177" s="1"/>
  <c r="AB63" i="177"/>
  <c r="Z63" i="177"/>
  <c r="X63" i="177"/>
  <c r="Q63" i="177"/>
  <c r="P63" i="177"/>
  <c r="H63" i="177"/>
  <c r="E63" i="177"/>
  <c r="I63" i="177" s="1"/>
  <c r="AE62" i="177"/>
  <c r="AI62" i="177" s="1"/>
  <c r="Y62" i="177" s="1"/>
  <c r="AD62" i="177"/>
  <c r="AC62" i="177"/>
  <c r="AB62" i="177"/>
  <c r="Z62" i="177"/>
  <c r="X62" i="177"/>
  <c r="Q62" i="177"/>
  <c r="P62" i="177"/>
  <c r="H62" i="177"/>
  <c r="E62" i="177"/>
  <c r="I62" i="177" s="1"/>
  <c r="AC61" i="177"/>
  <c r="AE61" i="177" s="1"/>
  <c r="AI61" i="177" s="1"/>
  <c r="Y61" i="177" s="1"/>
  <c r="AB61" i="177"/>
  <c r="X61" i="177"/>
  <c r="Q61" i="177"/>
  <c r="P61" i="177"/>
  <c r="I61" i="177"/>
  <c r="H61" i="177"/>
  <c r="E61" i="177"/>
  <c r="AI60" i="177"/>
  <c r="AE60" i="177"/>
  <c r="Y60" i="177"/>
  <c r="X60" i="177"/>
  <c r="Q60" i="177"/>
  <c r="P60" i="177"/>
  <c r="I60" i="177"/>
  <c r="H60" i="177"/>
  <c r="E60" i="177"/>
  <c r="AC59" i="177"/>
  <c r="AB59" i="177"/>
  <c r="AE59" i="177" s="1"/>
  <c r="AI59" i="177" s="1"/>
  <c r="Y59" i="177" s="1"/>
  <c r="X59" i="177"/>
  <c r="Q59" i="177"/>
  <c r="P59" i="177"/>
  <c r="H59" i="177"/>
  <c r="E59" i="177"/>
  <c r="I59" i="177" s="1"/>
  <c r="AC58" i="177"/>
  <c r="AB58" i="177"/>
  <c r="AE58" i="177" s="1"/>
  <c r="AI58" i="177" s="1"/>
  <c r="Y58" i="177" s="1"/>
  <c r="X58" i="177"/>
  <c r="Q58" i="177"/>
  <c r="P58" i="177"/>
  <c r="I58" i="177"/>
  <c r="E58" i="177"/>
  <c r="AC57" i="177"/>
  <c r="AE57" i="177" s="1"/>
  <c r="AI57" i="177" s="1"/>
  <c r="Y57" i="177" s="1"/>
  <c r="AB57" i="177"/>
  <c r="X57" i="177"/>
  <c r="Q57" i="177"/>
  <c r="P57" i="177"/>
  <c r="I57" i="177"/>
  <c r="H57" i="177"/>
  <c r="E57" i="177"/>
  <c r="AD56" i="177"/>
  <c r="AC56" i="177"/>
  <c r="AE56" i="177" s="1"/>
  <c r="AI56" i="177" s="1"/>
  <c r="Y56" i="177" s="1"/>
  <c r="AB56" i="177"/>
  <c r="Z56" i="177"/>
  <c r="X56" i="177"/>
  <c r="Q56" i="177"/>
  <c r="P56" i="177"/>
  <c r="I56" i="177"/>
  <c r="H56" i="177"/>
  <c r="E56" i="177"/>
  <c r="AD55" i="177"/>
  <c r="AC55" i="177"/>
  <c r="AE55" i="177" s="1"/>
  <c r="AI55" i="177" s="1"/>
  <c r="Y55" i="177" s="1"/>
  <c r="AB55" i="177"/>
  <c r="Z55" i="177"/>
  <c r="X55" i="177"/>
  <c r="Q55" i="177"/>
  <c r="P55" i="177"/>
  <c r="H55" i="177"/>
  <c r="E55" i="177"/>
  <c r="I55" i="177" s="1"/>
  <c r="AD54" i="177"/>
  <c r="AC54" i="177"/>
  <c r="AB54" i="177"/>
  <c r="AE54" i="177" s="1"/>
  <c r="AI54" i="177" s="1"/>
  <c r="Y54" i="177" s="1"/>
  <c r="Z54" i="177"/>
  <c r="X54" i="177"/>
  <c r="Q54" i="177"/>
  <c r="P54" i="177"/>
  <c r="I54" i="177"/>
  <c r="H54" i="177"/>
  <c r="E54" i="177"/>
  <c r="AD53" i="177"/>
  <c r="AC53" i="177"/>
  <c r="AB53" i="177"/>
  <c r="AE53" i="177" s="1"/>
  <c r="AI53" i="177" s="1"/>
  <c r="Y53" i="177" s="1"/>
  <c r="Z53" i="177"/>
  <c r="X53" i="177"/>
  <c r="Q53" i="177"/>
  <c r="P53" i="177"/>
  <c r="H53" i="177"/>
  <c r="E53" i="177"/>
  <c r="I53" i="177" s="1"/>
  <c r="AE52" i="177"/>
  <c r="AI52" i="177" s="1"/>
  <c r="Y52" i="177" s="1"/>
  <c r="Z52" i="177"/>
  <c r="X52" i="177"/>
  <c r="Q52" i="177"/>
  <c r="P52" i="177"/>
  <c r="H52" i="177"/>
  <c r="E52" i="177"/>
  <c r="I52" i="177" s="1"/>
  <c r="AD51" i="177"/>
  <c r="AE51" i="177" s="1"/>
  <c r="AI51" i="177" s="1"/>
  <c r="Y51" i="177" s="1"/>
  <c r="AC51" i="177"/>
  <c r="AB51" i="177"/>
  <c r="Z51" i="177"/>
  <c r="X51" i="177"/>
  <c r="Q51" i="177"/>
  <c r="P51" i="177"/>
  <c r="H51" i="177"/>
  <c r="E51" i="177"/>
  <c r="I51" i="177" s="1"/>
  <c r="AD50" i="177"/>
  <c r="AC50" i="177"/>
  <c r="AB50" i="177"/>
  <c r="AE50" i="177" s="1"/>
  <c r="AI50" i="177" s="1"/>
  <c r="Y50" i="177" s="1"/>
  <c r="Z50" i="177"/>
  <c r="X50" i="177"/>
  <c r="Q50" i="177"/>
  <c r="P50" i="177"/>
  <c r="I50" i="177"/>
  <c r="H50" i="177"/>
  <c r="E50" i="177"/>
  <c r="AE49" i="177"/>
  <c r="AI49" i="177" s="1"/>
  <c r="Y49" i="177" s="1"/>
  <c r="Z49" i="177"/>
  <c r="X49" i="177"/>
  <c r="Q49" i="177"/>
  <c r="P49" i="177"/>
  <c r="I49" i="177"/>
  <c r="H49" i="177"/>
  <c r="E49" i="177"/>
  <c r="AE48" i="177"/>
  <c r="AI48" i="177" s="1"/>
  <c r="Y48" i="177" s="1"/>
  <c r="Z48" i="177"/>
  <c r="X48" i="177"/>
  <c r="Q48" i="177"/>
  <c r="P48" i="177"/>
  <c r="I48" i="177"/>
  <c r="H48" i="177"/>
  <c r="E48" i="177"/>
  <c r="AE47" i="177"/>
  <c r="AI47" i="177" s="1"/>
  <c r="Y47" i="177" s="1"/>
  <c r="Z47" i="177"/>
  <c r="X47" i="177"/>
  <c r="Q47" i="177"/>
  <c r="P47" i="177"/>
  <c r="H47" i="177"/>
  <c r="E47" i="177"/>
  <c r="I47" i="177" s="1"/>
  <c r="AD46" i="177"/>
  <c r="AC46" i="177"/>
  <c r="AB46" i="177"/>
  <c r="AE46" i="177" s="1"/>
  <c r="AI46" i="177" s="1"/>
  <c r="Y46" i="177" s="1"/>
  <c r="Z46" i="177"/>
  <c r="X46" i="177"/>
  <c r="Q46" i="177"/>
  <c r="P46" i="177"/>
  <c r="I46" i="177"/>
  <c r="H46" i="177"/>
  <c r="E46" i="177"/>
  <c r="AD45" i="177"/>
  <c r="AE45" i="177" s="1"/>
  <c r="AI45" i="177" s="1"/>
  <c r="Y45" i="177" s="1"/>
  <c r="AC45" i="177"/>
  <c r="AB45" i="177"/>
  <c r="Z45" i="177"/>
  <c r="X45" i="177"/>
  <c r="Q45" i="177"/>
  <c r="P45" i="177"/>
  <c r="I45" i="177"/>
  <c r="H45" i="177"/>
  <c r="E45" i="177"/>
  <c r="AD44" i="177"/>
  <c r="AC44" i="177"/>
  <c r="AE44" i="177" s="1"/>
  <c r="AI44" i="177" s="1"/>
  <c r="Y44" i="177" s="1"/>
  <c r="AB44" i="177"/>
  <c r="Z44" i="177"/>
  <c r="X44" i="177"/>
  <c r="Q44" i="177"/>
  <c r="P44" i="177"/>
  <c r="I44" i="177"/>
  <c r="H44" i="177"/>
  <c r="E44" i="177"/>
  <c r="AD43" i="177"/>
  <c r="AC43" i="177"/>
  <c r="AE43" i="177" s="1"/>
  <c r="AI43" i="177" s="1"/>
  <c r="Y43" i="177" s="1"/>
  <c r="AB43" i="177"/>
  <c r="Z43" i="177"/>
  <c r="X43" i="177"/>
  <c r="Q43" i="177"/>
  <c r="P43" i="177"/>
  <c r="H43" i="177"/>
  <c r="E43" i="177"/>
  <c r="I43" i="177" s="1"/>
  <c r="AD42" i="177"/>
  <c r="AC42" i="177"/>
  <c r="AB42" i="177"/>
  <c r="AE42" i="177" s="1"/>
  <c r="AI42" i="177" s="1"/>
  <c r="Y42" i="177" s="1"/>
  <c r="Z42" i="177"/>
  <c r="X42" i="177"/>
  <c r="Q42" i="177"/>
  <c r="P42" i="177"/>
  <c r="I42" i="177"/>
  <c r="H42" i="177"/>
  <c r="E42" i="177"/>
  <c r="AD41" i="177"/>
  <c r="AC41" i="177"/>
  <c r="AB41" i="177"/>
  <c r="AE41" i="177" s="1"/>
  <c r="AI41" i="177" s="1"/>
  <c r="Y41" i="177" s="1"/>
  <c r="Z41" i="177"/>
  <c r="X41" i="177"/>
  <c r="Q41" i="177"/>
  <c r="P41" i="177"/>
  <c r="H41" i="177"/>
  <c r="E41" i="177"/>
  <c r="I41" i="177" s="1"/>
  <c r="AE40" i="177"/>
  <c r="AI40" i="177" s="1"/>
  <c r="Y40" i="177" s="1"/>
  <c r="AD40" i="177"/>
  <c r="AC40" i="177"/>
  <c r="AB40" i="177"/>
  <c r="Z40" i="177"/>
  <c r="X40" i="177"/>
  <c r="Q40" i="177"/>
  <c r="P40" i="177"/>
  <c r="H40" i="177"/>
  <c r="E40" i="177"/>
  <c r="I40" i="177" s="1"/>
  <c r="AD39" i="177"/>
  <c r="AC39" i="177"/>
  <c r="AB39" i="177"/>
  <c r="AE39" i="177" s="1"/>
  <c r="AI39" i="177" s="1"/>
  <c r="Y39" i="177" s="1"/>
  <c r="Z39" i="177"/>
  <c r="X39" i="177"/>
  <c r="Q39" i="177"/>
  <c r="P39" i="177"/>
  <c r="H39" i="177"/>
  <c r="E39" i="177"/>
  <c r="I39" i="177" s="1"/>
  <c r="AD38" i="177"/>
  <c r="AE38" i="177" s="1"/>
  <c r="AI38" i="177" s="1"/>
  <c r="Y38" i="177" s="1"/>
  <c r="AC38" i="177"/>
  <c r="AB38" i="177"/>
  <c r="Z38" i="177"/>
  <c r="X38" i="177"/>
  <c r="Q38" i="177"/>
  <c r="P38" i="177"/>
  <c r="H38" i="177"/>
  <c r="E38" i="177"/>
  <c r="I38" i="177" s="1"/>
  <c r="AD37" i="177"/>
  <c r="AC37" i="177"/>
  <c r="AB37" i="177"/>
  <c r="AE37" i="177" s="1"/>
  <c r="AI37" i="177" s="1"/>
  <c r="Y37" i="177" s="1"/>
  <c r="Z37" i="177"/>
  <c r="X37" i="177"/>
  <c r="Q37" i="177"/>
  <c r="P37" i="177"/>
  <c r="I37" i="177"/>
  <c r="H37" i="177"/>
  <c r="E37" i="177"/>
  <c r="AD36" i="177"/>
  <c r="AE36" i="177" s="1"/>
  <c r="AI36" i="177" s="1"/>
  <c r="Y36" i="177" s="1"/>
  <c r="AC36" i="177"/>
  <c r="AB36" i="177"/>
  <c r="Z36" i="177"/>
  <c r="X36" i="177"/>
  <c r="Q36" i="177"/>
  <c r="P36" i="177"/>
  <c r="I36" i="177"/>
  <c r="H36" i="177"/>
  <c r="E36" i="177"/>
  <c r="AD35" i="177"/>
  <c r="AC35" i="177"/>
  <c r="AB35" i="177"/>
  <c r="AE35" i="177" s="1"/>
  <c r="AI35" i="177" s="1"/>
  <c r="Y35" i="177" s="1"/>
  <c r="Z35" i="177"/>
  <c r="X35" i="177"/>
  <c r="Q35" i="177"/>
  <c r="P35" i="177"/>
  <c r="I35" i="177"/>
  <c r="H35" i="177"/>
  <c r="E35" i="177"/>
  <c r="AD34" i="177"/>
  <c r="AC34" i="177"/>
  <c r="AE34" i="177" s="1"/>
  <c r="AI34" i="177" s="1"/>
  <c r="Y34" i="177" s="1"/>
  <c r="AB34" i="177"/>
  <c r="Z34" i="177"/>
  <c r="X34" i="177"/>
  <c r="Q34" i="177"/>
  <c r="P34" i="177"/>
  <c r="H34" i="177"/>
  <c r="E34" i="177"/>
  <c r="I34" i="177" s="1"/>
  <c r="AE33" i="177"/>
  <c r="AI33" i="177" s="1"/>
  <c r="Y33" i="177" s="1"/>
  <c r="AD33" i="177"/>
  <c r="AC33" i="177"/>
  <c r="AB33" i="177"/>
  <c r="Z33" i="177"/>
  <c r="X33" i="177"/>
  <c r="Q33" i="177"/>
  <c r="P33" i="177"/>
  <c r="I33" i="177"/>
  <c r="H33" i="177"/>
  <c r="E33" i="177"/>
  <c r="AD32" i="177"/>
  <c r="AC32" i="177"/>
  <c r="AB32" i="177"/>
  <c r="AE32" i="177" s="1"/>
  <c r="AI32" i="177" s="1"/>
  <c r="Y32" i="177" s="1"/>
  <c r="Z32" i="177"/>
  <c r="X32" i="177"/>
  <c r="Q32" i="177"/>
  <c r="P32" i="177"/>
  <c r="H32" i="177"/>
  <c r="E32" i="177"/>
  <c r="I32" i="177" s="1"/>
  <c r="AE31" i="177"/>
  <c r="AI31" i="177" s="1"/>
  <c r="Y31" i="177" s="1"/>
  <c r="Z31" i="177"/>
  <c r="X31" i="177"/>
  <c r="Q31" i="177"/>
  <c r="P31" i="177"/>
  <c r="I31" i="177"/>
  <c r="H31" i="177"/>
  <c r="E31" i="177"/>
  <c r="AD30" i="177"/>
  <c r="AE30" i="177" s="1"/>
  <c r="AI30" i="177" s="1"/>
  <c r="Y30" i="177" s="1"/>
  <c r="AC30" i="177"/>
  <c r="AB30" i="177"/>
  <c r="Z30" i="177"/>
  <c r="X30" i="177"/>
  <c r="Q30" i="177"/>
  <c r="P30" i="177"/>
  <c r="I30" i="177"/>
  <c r="H30" i="177"/>
  <c r="E30" i="177"/>
  <c r="AD29" i="177"/>
  <c r="AC29" i="177"/>
  <c r="AE29" i="177" s="1"/>
  <c r="AI29" i="177" s="1"/>
  <c r="Y29" i="177" s="1"/>
  <c r="AB29" i="177"/>
  <c r="Z29" i="177"/>
  <c r="X29" i="177"/>
  <c r="Q29" i="177"/>
  <c r="P29" i="177"/>
  <c r="I29" i="177"/>
  <c r="H29" i="177"/>
  <c r="E29" i="177"/>
  <c r="AD28" i="177"/>
  <c r="AC28" i="177"/>
  <c r="AE28" i="177" s="1"/>
  <c r="AI28" i="177" s="1"/>
  <c r="Y28" i="177" s="1"/>
  <c r="AB28" i="177"/>
  <c r="Z28" i="177"/>
  <c r="X28" i="177"/>
  <c r="Q28" i="177"/>
  <c r="P28" i="177"/>
  <c r="H28" i="177"/>
  <c r="E28" i="177"/>
  <c r="I28" i="177" s="1"/>
  <c r="AD27" i="177"/>
  <c r="AC27" i="177"/>
  <c r="AB27" i="177"/>
  <c r="AE27" i="177" s="1"/>
  <c r="AI27" i="177" s="1"/>
  <c r="Y27" i="177" s="1"/>
  <c r="Z27" i="177"/>
  <c r="X27" i="177"/>
  <c r="Q27" i="177"/>
  <c r="P27" i="177"/>
  <c r="I27" i="177"/>
  <c r="H27" i="177"/>
  <c r="E27" i="177"/>
  <c r="AD26" i="177"/>
  <c r="AC26" i="177"/>
  <c r="AB26" i="177"/>
  <c r="AE26" i="177" s="1"/>
  <c r="AI26" i="177" s="1"/>
  <c r="Y26" i="177" s="1"/>
  <c r="Z26" i="177"/>
  <c r="X26" i="177"/>
  <c r="Q26" i="177"/>
  <c r="P26" i="177"/>
  <c r="H26" i="177"/>
  <c r="E26" i="177"/>
  <c r="I26" i="177" s="1"/>
  <c r="AE25" i="177"/>
  <c r="AI25" i="177" s="1"/>
  <c r="Y25" i="177" s="1"/>
  <c r="AD25" i="177"/>
  <c r="AC25" i="177"/>
  <c r="AB25" i="177"/>
  <c r="Z25" i="177"/>
  <c r="X25" i="177"/>
  <c r="Q25" i="177"/>
  <c r="P25" i="177"/>
  <c r="H25" i="177"/>
  <c r="E25" i="177"/>
  <c r="I25" i="177" s="1"/>
  <c r="AD24" i="177"/>
  <c r="AC24" i="177"/>
  <c r="AB24" i="177"/>
  <c r="AE24" i="177" s="1"/>
  <c r="AI24" i="177" s="1"/>
  <c r="Y24" i="177" s="1"/>
  <c r="Z24" i="177"/>
  <c r="X24" i="177"/>
  <c r="Q24" i="177"/>
  <c r="P24" i="177"/>
  <c r="H24" i="177"/>
  <c r="E24" i="177"/>
  <c r="I24" i="177" s="1"/>
  <c r="AD23" i="177"/>
  <c r="AE23" i="177" s="1"/>
  <c r="AI23" i="177" s="1"/>
  <c r="Y23" i="177" s="1"/>
  <c r="AC23" i="177"/>
  <c r="AB23" i="177"/>
  <c r="Z23" i="177"/>
  <c r="X23" i="177"/>
  <c r="Q23" i="177"/>
  <c r="P23" i="177"/>
  <c r="H23" i="177"/>
  <c r="E23" i="177"/>
  <c r="I23" i="177" s="1"/>
  <c r="AD22" i="177"/>
  <c r="AC22" i="177"/>
  <c r="AB22" i="177"/>
  <c r="AE22" i="177" s="1"/>
  <c r="AI22" i="177" s="1"/>
  <c r="Y22" i="177" s="1"/>
  <c r="Z22" i="177"/>
  <c r="X22" i="177"/>
  <c r="Q22" i="177"/>
  <c r="P22" i="177"/>
  <c r="I22" i="177"/>
  <c r="H22" i="177"/>
  <c r="E22" i="177"/>
  <c r="AD21" i="177"/>
  <c r="AE21" i="177" s="1"/>
  <c r="AI21" i="177" s="1"/>
  <c r="Y21" i="177" s="1"/>
  <c r="AC21" i="177"/>
  <c r="AB21" i="177"/>
  <c r="Z21" i="177"/>
  <c r="X21" i="177"/>
  <c r="Q21" i="177"/>
  <c r="P21" i="177"/>
  <c r="I21" i="177"/>
  <c r="H21" i="177"/>
  <c r="E21" i="177"/>
  <c r="AD20" i="177"/>
  <c r="AC20" i="177"/>
  <c r="AB20" i="177"/>
  <c r="AE20" i="177" s="1"/>
  <c r="AI20" i="177" s="1"/>
  <c r="Y20" i="177" s="1"/>
  <c r="Z20" i="177"/>
  <c r="X20" i="177"/>
  <c r="Q20" i="177"/>
  <c r="P20" i="177"/>
  <c r="I20" i="177"/>
  <c r="H20" i="177"/>
  <c r="E20" i="177"/>
  <c r="AD19" i="177"/>
  <c r="AC19" i="177"/>
  <c r="AE19" i="177" s="1"/>
  <c r="AI19" i="177" s="1"/>
  <c r="Y19" i="177" s="1"/>
  <c r="AB19" i="177"/>
  <c r="Z19" i="177"/>
  <c r="X19" i="177"/>
  <c r="Q19" i="177"/>
  <c r="P19" i="177"/>
  <c r="H19" i="177"/>
  <c r="E19" i="177"/>
  <c r="I19" i="177" s="1"/>
  <c r="AE18" i="177"/>
  <c r="AI18" i="177" s="1"/>
  <c r="Y18" i="177" s="1"/>
  <c r="AD18" i="177"/>
  <c r="AC18" i="177"/>
  <c r="AB18" i="177"/>
  <c r="Z18" i="177"/>
  <c r="X18" i="177"/>
  <c r="Q18" i="177"/>
  <c r="P18" i="177"/>
  <c r="H18" i="177"/>
  <c r="E18" i="177"/>
  <c r="I18" i="177" s="1"/>
  <c r="AD17" i="177"/>
  <c r="AC17" i="177"/>
  <c r="AB17" i="177"/>
  <c r="AE17" i="177" s="1"/>
  <c r="AI17" i="177" s="1"/>
  <c r="Y17" i="177" s="1"/>
  <c r="Z17" i="177"/>
  <c r="X17" i="177"/>
  <c r="Q17" i="177"/>
  <c r="P17" i="177"/>
  <c r="H17" i="177"/>
  <c r="E17" i="177"/>
  <c r="I17" i="177" s="1"/>
  <c r="AE16" i="177"/>
  <c r="AI16" i="177" s="1"/>
  <c r="Y16" i="177" s="1"/>
  <c r="AD16" i="177"/>
  <c r="AC16" i="177"/>
  <c r="AB16" i="177"/>
  <c r="Z16" i="177"/>
  <c r="X16" i="177"/>
  <c r="Q16" i="177"/>
  <c r="P16" i="177"/>
  <c r="I16" i="177"/>
  <c r="E16" i="177"/>
  <c r="AD15" i="177"/>
  <c r="AC15" i="177"/>
  <c r="AB15" i="177"/>
  <c r="AE15" i="177" s="1"/>
  <c r="AI15" i="177" s="1"/>
  <c r="Y15" i="177" s="1"/>
  <c r="Z15" i="177"/>
  <c r="X15" i="177"/>
  <c r="Q15" i="177"/>
  <c r="P15" i="177"/>
  <c r="E15" i="177"/>
  <c r="I15" i="177" s="1"/>
  <c r="AD14" i="177"/>
  <c r="AC14" i="177"/>
  <c r="AB14" i="177"/>
  <c r="AE14" i="177" s="1"/>
  <c r="AI14" i="177" s="1"/>
  <c r="Y14" i="177" s="1"/>
  <c r="Z14" i="177"/>
  <c r="X14" i="177"/>
  <c r="Q14" i="177"/>
  <c r="P14" i="177"/>
  <c r="H14" i="177"/>
  <c r="E14" i="177"/>
  <c r="I14" i="177" s="1"/>
  <c r="AD13" i="177"/>
  <c r="AE13" i="177" s="1"/>
  <c r="AI13" i="177" s="1"/>
  <c r="Y13" i="177" s="1"/>
  <c r="AC13" i="177"/>
  <c r="AB13" i="177"/>
  <c r="Z13" i="177"/>
  <c r="X13" i="177"/>
  <c r="Q13" i="177"/>
  <c r="P13" i="177"/>
  <c r="H13" i="177"/>
  <c r="E13" i="177"/>
  <c r="I13" i="177" s="1"/>
  <c r="AD12" i="177"/>
  <c r="AC12" i="177"/>
  <c r="AB12" i="177"/>
  <c r="AE12" i="177" s="1"/>
  <c r="AI12" i="177" s="1"/>
  <c r="Y12" i="177" s="1"/>
  <c r="Z12" i="177"/>
  <c r="X12" i="177"/>
  <c r="Q12" i="177"/>
  <c r="O73" i="177" s="1"/>
  <c r="P12" i="177"/>
  <c r="I12" i="177"/>
  <c r="H12" i="177"/>
  <c r="E12" i="177"/>
  <c r="T81" i="178" l="1"/>
  <c r="F79" i="178" s="1"/>
  <c r="O75" i="177"/>
  <c r="T75" i="177"/>
  <c r="T77" i="177"/>
  <c r="F73" i="177"/>
  <c r="F75" i="177"/>
  <c r="T73" i="177"/>
  <c r="M79" i="176"/>
  <c r="W73" i="176"/>
  <c r="P71" i="176"/>
  <c r="H71" i="176"/>
  <c r="Q70" i="176"/>
  <c r="P70" i="176"/>
  <c r="H70" i="176"/>
  <c r="E70" i="176"/>
  <c r="I70" i="176" s="1"/>
  <c r="Q69" i="176"/>
  <c r="P69" i="176"/>
  <c r="I69" i="176"/>
  <c r="H69" i="176"/>
  <c r="E69" i="176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H67" i="176"/>
  <c r="E67" i="176"/>
  <c r="I67" i="176" s="1"/>
  <c r="AD66" i="176"/>
  <c r="AE66" i="176" s="1"/>
  <c r="AI66" i="176" s="1"/>
  <c r="Y66" i="176" s="1"/>
  <c r="AC66" i="176"/>
  <c r="AB66" i="176"/>
  <c r="Z66" i="176"/>
  <c r="X66" i="176"/>
  <c r="Q66" i="176"/>
  <c r="P66" i="176"/>
  <c r="I66" i="176"/>
  <c r="H66" i="176"/>
  <c r="E66" i="176"/>
  <c r="AE65" i="176"/>
  <c r="AI65" i="176" s="1"/>
  <c r="Y65" i="176" s="1"/>
  <c r="AD65" i="176"/>
  <c r="AC65" i="176"/>
  <c r="AB65" i="176"/>
  <c r="Z65" i="176"/>
  <c r="X65" i="176"/>
  <c r="Q65" i="176"/>
  <c r="P65" i="176"/>
  <c r="I65" i="176"/>
  <c r="H65" i="176"/>
  <c r="E65" i="176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E63" i="176"/>
  <c r="AI63" i="176" s="1"/>
  <c r="Y63" i="176" s="1"/>
  <c r="AD63" i="176"/>
  <c r="AC63" i="176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E61" i="176"/>
  <c r="AI61" i="176" s="1"/>
  <c r="Y61" i="176" s="1"/>
  <c r="AC61" i="176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I59" i="176"/>
  <c r="H59" i="176"/>
  <c r="E59" i="176"/>
  <c r="AC58" i="176"/>
  <c r="AE58" i="176" s="1"/>
  <c r="AI58" i="176" s="1"/>
  <c r="Y58" i="176" s="1"/>
  <c r="AB58" i="176"/>
  <c r="X58" i="176"/>
  <c r="Q58" i="176"/>
  <c r="P58" i="176"/>
  <c r="I58" i="176"/>
  <c r="E58" i="176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H55" i="176"/>
  <c r="E55" i="176"/>
  <c r="I55" i="176" s="1"/>
  <c r="AD54" i="176"/>
  <c r="AC54" i="176"/>
  <c r="AE54" i="176" s="1"/>
  <c r="AI54" i="176" s="1"/>
  <c r="Y54" i="176" s="1"/>
  <c r="AB54" i="176"/>
  <c r="Z54" i="176"/>
  <c r="X54" i="176"/>
  <c r="Q54" i="176"/>
  <c r="P54" i="176"/>
  <c r="H54" i="176"/>
  <c r="E54" i="176"/>
  <c r="I54" i="176" s="1"/>
  <c r="AD53" i="176"/>
  <c r="AE53" i="176" s="1"/>
  <c r="AI53" i="176" s="1"/>
  <c r="Y53" i="176" s="1"/>
  <c r="AC53" i="176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D50" i="176"/>
  <c r="AE50" i="176" s="1"/>
  <c r="AI50" i="176" s="1"/>
  <c r="Y50" i="176" s="1"/>
  <c r="AC50" i="176"/>
  <c r="AB50" i="176"/>
  <c r="Z50" i="176"/>
  <c r="X50" i="176"/>
  <c r="Q50" i="176"/>
  <c r="P50" i="176"/>
  <c r="I50" i="176"/>
  <c r="H50" i="176"/>
  <c r="E50" i="176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E47" i="176"/>
  <c r="AI47" i="176" s="1"/>
  <c r="Y47" i="176" s="1"/>
  <c r="Z47" i="176"/>
  <c r="X47" i="176"/>
  <c r="Q47" i="176"/>
  <c r="P47" i="176"/>
  <c r="I47" i="176"/>
  <c r="H47" i="176"/>
  <c r="E47" i="176"/>
  <c r="AD46" i="176"/>
  <c r="AC46" i="176"/>
  <c r="AB46" i="176"/>
  <c r="AE46" i="176" s="1"/>
  <c r="AI46" i="176" s="1"/>
  <c r="Y46" i="176" s="1"/>
  <c r="Z46" i="176"/>
  <c r="X46" i="176"/>
  <c r="Q46" i="176"/>
  <c r="P46" i="176"/>
  <c r="H46" i="176"/>
  <c r="E46" i="176"/>
  <c r="I46" i="176" s="1"/>
  <c r="AD45" i="176"/>
  <c r="AC45" i="176"/>
  <c r="AE45" i="176" s="1"/>
  <c r="AI45" i="176" s="1"/>
  <c r="Y45" i="176" s="1"/>
  <c r="AB45" i="176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H43" i="176"/>
  <c r="E43" i="176"/>
  <c r="I43" i="176" s="1"/>
  <c r="AD42" i="176"/>
  <c r="AC42" i="176"/>
  <c r="AE42" i="176" s="1"/>
  <c r="AI42" i="176" s="1"/>
  <c r="Y42" i="176" s="1"/>
  <c r="AB42" i="176"/>
  <c r="Z42" i="176"/>
  <c r="X42" i="176"/>
  <c r="Q42" i="176"/>
  <c r="P42" i="176"/>
  <c r="H42" i="176"/>
  <c r="E42" i="176"/>
  <c r="I42" i="176" s="1"/>
  <c r="AD41" i="176"/>
  <c r="AE41" i="176" s="1"/>
  <c r="AI41" i="176" s="1"/>
  <c r="Y41" i="176" s="1"/>
  <c r="AC41" i="176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E39" i="176"/>
  <c r="I39" i="176" s="1"/>
  <c r="AD38" i="176"/>
  <c r="AC38" i="176"/>
  <c r="AB38" i="176"/>
  <c r="AE38" i="176" s="1"/>
  <c r="AI38" i="176" s="1"/>
  <c r="Y38" i="176" s="1"/>
  <c r="Z38" i="176"/>
  <c r="X38" i="176"/>
  <c r="Q38" i="176"/>
  <c r="P38" i="176"/>
  <c r="I38" i="176"/>
  <c r="H38" i="176"/>
  <c r="E38" i="176"/>
  <c r="AD37" i="176"/>
  <c r="AE37" i="176" s="1"/>
  <c r="AI37" i="176" s="1"/>
  <c r="Y37" i="176" s="1"/>
  <c r="AC37" i="176"/>
  <c r="AB37" i="176"/>
  <c r="Z37" i="176"/>
  <c r="X37" i="176"/>
  <c r="Q37" i="176"/>
  <c r="P37" i="176"/>
  <c r="I37" i="176"/>
  <c r="H37" i="176"/>
  <c r="E37" i="176"/>
  <c r="AE36" i="176"/>
  <c r="AI36" i="176" s="1"/>
  <c r="Y36" i="176" s="1"/>
  <c r="AD36" i="176"/>
  <c r="AC36" i="176"/>
  <c r="AB36" i="176"/>
  <c r="Z36" i="176"/>
  <c r="X36" i="176"/>
  <c r="Q36" i="176"/>
  <c r="P36" i="176"/>
  <c r="I36" i="176"/>
  <c r="H36" i="176"/>
  <c r="E36" i="176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E34" i="176"/>
  <c r="AI34" i="176" s="1"/>
  <c r="Y34" i="176" s="1"/>
  <c r="AD34" i="176"/>
  <c r="AC34" i="176"/>
  <c r="AB34" i="176"/>
  <c r="Z34" i="176"/>
  <c r="X34" i="176"/>
  <c r="Q34" i="176"/>
  <c r="P34" i="176"/>
  <c r="I34" i="176"/>
  <c r="H34" i="176"/>
  <c r="E34" i="176"/>
  <c r="AD33" i="176"/>
  <c r="AC33" i="176"/>
  <c r="AB33" i="176"/>
  <c r="AE33" i="176" s="1"/>
  <c r="AI33" i="176" s="1"/>
  <c r="Y33" i="176" s="1"/>
  <c r="Z33" i="176"/>
  <c r="X33" i="176"/>
  <c r="Q33" i="176"/>
  <c r="P33" i="176"/>
  <c r="I33" i="176"/>
  <c r="H33" i="176"/>
  <c r="E33" i="176"/>
  <c r="AE32" i="176"/>
  <c r="AI32" i="176" s="1"/>
  <c r="Y32" i="176" s="1"/>
  <c r="AD32" i="176"/>
  <c r="AC32" i="176"/>
  <c r="AB32" i="176"/>
  <c r="Z32" i="176"/>
  <c r="X32" i="176"/>
  <c r="Q32" i="176"/>
  <c r="P32" i="176"/>
  <c r="H32" i="176"/>
  <c r="E32" i="176"/>
  <c r="I32" i="176" s="1"/>
  <c r="AI31" i="176"/>
  <c r="Y31" i="176" s="1"/>
  <c r="AE31" i="176"/>
  <c r="Z31" i="176"/>
  <c r="X31" i="176"/>
  <c r="Q31" i="176"/>
  <c r="P31" i="176"/>
  <c r="H31" i="176"/>
  <c r="E31" i="176"/>
  <c r="I31" i="176" s="1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E28" i="176" s="1"/>
  <c r="AI28" i="176" s="1"/>
  <c r="Y28" i="176" s="1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H27" i="176"/>
  <c r="E27" i="176"/>
  <c r="I27" i="176" s="1"/>
  <c r="AD26" i="176"/>
  <c r="AE26" i="176" s="1"/>
  <c r="AI26" i="176" s="1"/>
  <c r="Y26" i="176" s="1"/>
  <c r="AC26" i="176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H24" i="176"/>
  <c r="E24" i="176"/>
  <c r="I24" i="176" s="1"/>
  <c r="AD23" i="176"/>
  <c r="AC23" i="176"/>
  <c r="AB23" i="176"/>
  <c r="AE23" i="176" s="1"/>
  <c r="AI23" i="176" s="1"/>
  <c r="Y23" i="176" s="1"/>
  <c r="Z23" i="176"/>
  <c r="X23" i="176"/>
  <c r="Q23" i="176"/>
  <c r="P23" i="176"/>
  <c r="I23" i="176"/>
  <c r="H23" i="176"/>
  <c r="E23" i="176"/>
  <c r="AD22" i="176"/>
  <c r="AE22" i="176" s="1"/>
  <c r="AI22" i="176" s="1"/>
  <c r="Y22" i="176" s="1"/>
  <c r="AC22" i="176"/>
  <c r="AB22" i="176"/>
  <c r="Z22" i="176"/>
  <c r="X22" i="176"/>
  <c r="Q22" i="176"/>
  <c r="P22" i="176"/>
  <c r="I22" i="176"/>
  <c r="H22" i="176"/>
  <c r="E22" i="176"/>
  <c r="AE21" i="176"/>
  <c r="AI21" i="176" s="1"/>
  <c r="Y21" i="176" s="1"/>
  <c r="AD21" i="176"/>
  <c r="AC21" i="176"/>
  <c r="AB21" i="176"/>
  <c r="Z21" i="176"/>
  <c r="X21" i="176"/>
  <c r="Q21" i="176"/>
  <c r="P21" i="176"/>
  <c r="I21" i="176"/>
  <c r="H21" i="176"/>
  <c r="E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E20" i="176"/>
  <c r="I20" i="176" s="1"/>
  <c r="AE19" i="176"/>
  <c r="AI19" i="176" s="1"/>
  <c r="Y19" i="176" s="1"/>
  <c r="AD19" i="176"/>
  <c r="AC19" i="176"/>
  <c r="AB19" i="176"/>
  <c r="Z19" i="176"/>
  <c r="X19" i="176"/>
  <c r="Q19" i="176"/>
  <c r="P19" i="176"/>
  <c r="I19" i="176"/>
  <c r="H19" i="176"/>
  <c r="E19" i="176"/>
  <c r="AD18" i="176"/>
  <c r="AC18" i="176"/>
  <c r="AB18" i="176"/>
  <c r="AE18" i="176" s="1"/>
  <c r="AI18" i="176" s="1"/>
  <c r="Y18" i="176" s="1"/>
  <c r="Z18" i="176"/>
  <c r="X18" i="176"/>
  <c r="Q18" i="176"/>
  <c r="P18" i="176"/>
  <c r="I18" i="176"/>
  <c r="H18" i="176"/>
  <c r="E18" i="176"/>
  <c r="AE17" i="176"/>
  <c r="AI17" i="176" s="1"/>
  <c r="Y17" i="176" s="1"/>
  <c r="AD17" i="176"/>
  <c r="AC17" i="176"/>
  <c r="AB17" i="176"/>
  <c r="Z17" i="176"/>
  <c r="X17" i="176"/>
  <c r="Q17" i="176"/>
  <c r="P17" i="176"/>
  <c r="H17" i="176"/>
  <c r="E17" i="176"/>
  <c r="I17" i="176" s="1"/>
  <c r="AD16" i="176"/>
  <c r="AC16" i="176"/>
  <c r="AB16" i="176"/>
  <c r="AE16" i="176" s="1"/>
  <c r="AI16" i="176" s="1"/>
  <c r="Y16" i="176" s="1"/>
  <c r="Z16" i="176"/>
  <c r="T75" i="176" s="1"/>
  <c r="X16" i="176"/>
  <c r="Q16" i="176"/>
  <c r="P16" i="176"/>
  <c r="I16" i="176"/>
  <c r="E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H14" i="176"/>
  <c r="E14" i="176"/>
  <c r="I14" i="176" s="1"/>
  <c r="AD13" i="176"/>
  <c r="AC13" i="176"/>
  <c r="AB13" i="176"/>
  <c r="AE13" i="176" s="1"/>
  <c r="AI13" i="176" s="1"/>
  <c r="Y13" i="176" s="1"/>
  <c r="Z13" i="176"/>
  <c r="X13" i="176"/>
  <c r="Q13" i="176"/>
  <c r="O73" i="176" s="1"/>
  <c r="P13" i="176"/>
  <c r="H13" i="176"/>
  <c r="E13" i="176"/>
  <c r="I13" i="176" s="1"/>
  <c r="AD12" i="176"/>
  <c r="AE12" i="176" s="1"/>
  <c r="AI12" i="176" s="1"/>
  <c r="Y12" i="176" s="1"/>
  <c r="AC12" i="176"/>
  <c r="AB12" i="176"/>
  <c r="Z12" i="176"/>
  <c r="X12" i="176"/>
  <c r="Q12" i="176"/>
  <c r="P12" i="176"/>
  <c r="I12" i="176"/>
  <c r="H12" i="176"/>
  <c r="E12" i="176"/>
  <c r="T79" i="177" l="1"/>
  <c r="F77" i="177"/>
  <c r="T77" i="176"/>
  <c r="O75" i="176"/>
  <c r="F73" i="176"/>
  <c r="F75" i="176"/>
  <c r="T73" i="176"/>
  <c r="T79" i="176" s="1"/>
  <c r="M79" i="175"/>
  <c r="W73" i="175"/>
  <c r="P71" i="175"/>
  <c r="H71" i="175"/>
  <c r="Q70" i="175"/>
  <c r="P70" i="175"/>
  <c r="H70" i="175"/>
  <c r="E70" i="175"/>
  <c r="I70" i="175" s="1"/>
  <c r="Q69" i="175"/>
  <c r="P69" i="175"/>
  <c r="I69" i="175"/>
  <c r="H69" i="175"/>
  <c r="E69" i="175"/>
  <c r="AI68" i="175"/>
  <c r="AE68" i="175"/>
  <c r="AD68" i="175"/>
  <c r="AC68" i="175"/>
  <c r="AB68" i="175"/>
  <c r="Z68" i="175"/>
  <c r="Y68" i="175"/>
  <c r="X68" i="175"/>
  <c r="W68" i="175"/>
  <c r="Q68" i="175"/>
  <c r="P68" i="175"/>
  <c r="I68" i="175"/>
  <c r="H68" i="175"/>
  <c r="E68" i="175"/>
  <c r="AD67" i="175"/>
  <c r="AC67" i="175"/>
  <c r="AE67" i="175" s="1"/>
  <c r="AI67" i="175" s="1"/>
  <c r="Y67" i="175" s="1"/>
  <c r="AB67" i="175"/>
  <c r="Z67" i="175"/>
  <c r="X67" i="175"/>
  <c r="Q67" i="175"/>
  <c r="P67" i="175"/>
  <c r="H67" i="175"/>
  <c r="E67" i="175"/>
  <c r="I67" i="175" s="1"/>
  <c r="AD66" i="175"/>
  <c r="AC66" i="175"/>
  <c r="AE66" i="175" s="1"/>
  <c r="AI66" i="175" s="1"/>
  <c r="Y66" i="175" s="1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E64" i="175"/>
  <c r="AI64" i="175" s="1"/>
  <c r="Y64" i="175" s="1"/>
  <c r="AD64" i="175"/>
  <c r="AC64" i="175"/>
  <c r="AB64" i="175"/>
  <c r="Z64" i="175"/>
  <c r="X64" i="175"/>
  <c r="Q64" i="175"/>
  <c r="P64" i="175"/>
  <c r="H64" i="175"/>
  <c r="E64" i="175"/>
  <c r="I64" i="175" s="1"/>
  <c r="AD63" i="175"/>
  <c r="AC63" i="175"/>
  <c r="AB63" i="175"/>
  <c r="AE63" i="175" s="1"/>
  <c r="AI63" i="175" s="1"/>
  <c r="Y63" i="175" s="1"/>
  <c r="Z63" i="175"/>
  <c r="X63" i="175"/>
  <c r="Q63" i="175"/>
  <c r="P63" i="175"/>
  <c r="H63" i="175"/>
  <c r="E63" i="175"/>
  <c r="I63" i="175" s="1"/>
  <c r="AE62" i="175"/>
  <c r="AI62" i="175" s="1"/>
  <c r="Y62" i="175" s="1"/>
  <c r="AD62" i="175"/>
  <c r="AC62" i="175"/>
  <c r="AB62" i="175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H61" i="175"/>
  <c r="E61" i="175"/>
  <c r="I61" i="175" s="1"/>
  <c r="AI60" i="175"/>
  <c r="AE60" i="175"/>
  <c r="Y60" i="175"/>
  <c r="X60" i="175"/>
  <c r="Q60" i="175"/>
  <c r="P60" i="175"/>
  <c r="I60" i="175"/>
  <c r="H60" i="175"/>
  <c r="E60" i="175"/>
  <c r="AI59" i="175"/>
  <c r="Y59" i="175" s="1"/>
  <c r="AE59" i="175"/>
  <c r="AC59" i="175"/>
  <c r="AB59" i="175"/>
  <c r="X59" i="175"/>
  <c r="Q59" i="175"/>
  <c r="P59" i="175"/>
  <c r="H59" i="175"/>
  <c r="E59" i="175"/>
  <c r="I59" i="175" s="1"/>
  <c r="AC58" i="175"/>
  <c r="AB58" i="175"/>
  <c r="AE58" i="175" s="1"/>
  <c r="AI58" i="175" s="1"/>
  <c r="Y58" i="175" s="1"/>
  <c r="X58" i="175"/>
  <c r="Q58" i="175"/>
  <c r="P58" i="175"/>
  <c r="I58" i="175"/>
  <c r="E58" i="175"/>
  <c r="AE57" i="175"/>
  <c r="AI57" i="175" s="1"/>
  <c r="Y57" i="175" s="1"/>
  <c r="AC57" i="175"/>
  <c r="AB57" i="175"/>
  <c r="X57" i="175"/>
  <c r="Q57" i="175"/>
  <c r="P57" i="175"/>
  <c r="I57" i="175"/>
  <c r="H57" i="175"/>
  <c r="E57" i="175"/>
  <c r="AI56" i="175"/>
  <c r="AE56" i="175"/>
  <c r="AD56" i="175"/>
  <c r="AC56" i="175"/>
  <c r="AB56" i="175"/>
  <c r="Z56" i="175"/>
  <c r="Y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H54" i="175"/>
  <c r="E54" i="175"/>
  <c r="I54" i="175" s="1"/>
  <c r="AD53" i="175"/>
  <c r="AC53" i="175"/>
  <c r="AB53" i="175"/>
  <c r="AE53" i="175" s="1"/>
  <c r="AI53" i="175" s="1"/>
  <c r="Y53" i="175" s="1"/>
  <c r="Z53" i="175"/>
  <c r="X53" i="175"/>
  <c r="Q53" i="175"/>
  <c r="P53" i="175"/>
  <c r="I53" i="175"/>
  <c r="H53" i="175"/>
  <c r="E53" i="175"/>
  <c r="AE52" i="175"/>
  <c r="AI52" i="175" s="1"/>
  <c r="Y52" i="175" s="1"/>
  <c r="Z52" i="175"/>
  <c r="X52" i="175"/>
  <c r="Q52" i="175"/>
  <c r="P52" i="175"/>
  <c r="I52" i="175"/>
  <c r="H52" i="175"/>
  <c r="E52" i="175"/>
  <c r="AD51" i="175"/>
  <c r="AC51" i="175"/>
  <c r="AB51" i="175"/>
  <c r="AE51" i="175" s="1"/>
  <c r="AI51" i="175" s="1"/>
  <c r="Y51" i="175" s="1"/>
  <c r="Z51" i="175"/>
  <c r="X51" i="175"/>
  <c r="Q51" i="175"/>
  <c r="P51" i="175"/>
  <c r="H51" i="175"/>
  <c r="E51" i="175"/>
  <c r="I51" i="175" s="1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I47" i="175"/>
  <c r="H47" i="175"/>
  <c r="E47" i="175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I44" i="175"/>
  <c r="AE44" i="175"/>
  <c r="AD44" i="175"/>
  <c r="AC44" i="175"/>
  <c r="AB44" i="175"/>
  <c r="Z44" i="175"/>
  <c r="Y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H42" i="175"/>
  <c r="E42" i="175"/>
  <c r="I42" i="175" s="1"/>
  <c r="AD41" i="175"/>
  <c r="AC41" i="175"/>
  <c r="AB41" i="175"/>
  <c r="AE41" i="175" s="1"/>
  <c r="AI41" i="175" s="1"/>
  <c r="Y41" i="175" s="1"/>
  <c r="Z41" i="175"/>
  <c r="X41" i="175"/>
  <c r="Q41" i="175"/>
  <c r="P41" i="175"/>
  <c r="I41" i="175"/>
  <c r="H41" i="175"/>
  <c r="E41" i="175"/>
  <c r="AD40" i="175"/>
  <c r="AE40" i="175" s="1"/>
  <c r="AI40" i="175" s="1"/>
  <c r="Y40" i="175" s="1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I39" i="175"/>
  <c r="H39" i="175"/>
  <c r="E39" i="175"/>
  <c r="AD38" i="175"/>
  <c r="AC38" i="175"/>
  <c r="AB38" i="175"/>
  <c r="AE38" i="175" s="1"/>
  <c r="AI38" i="175" s="1"/>
  <c r="Y38" i="175" s="1"/>
  <c r="Z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I36" i="175"/>
  <c r="H36" i="175"/>
  <c r="E36" i="175"/>
  <c r="AE35" i="175"/>
  <c r="AI35" i="175" s="1"/>
  <c r="Y35" i="175" s="1"/>
  <c r="AD35" i="175"/>
  <c r="AC35" i="175"/>
  <c r="AB35" i="175"/>
  <c r="Z35" i="175"/>
  <c r="X35" i="175"/>
  <c r="Q35" i="175"/>
  <c r="P35" i="175"/>
  <c r="H35" i="175"/>
  <c r="E35" i="175"/>
  <c r="I35" i="175" s="1"/>
  <c r="AD34" i="175"/>
  <c r="AC34" i="175"/>
  <c r="AB34" i="175"/>
  <c r="AE34" i="175" s="1"/>
  <c r="AI34" i="175" s="1"/>
  <c r="Y34" i="175" s="1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E29" i="175"/>
  <c r="AI29" i="175" s="1"/>
  <c r="Y29" i="175" s="1"/>
  <c r="AD29" i="175"/>
  <c r="AC29" i="175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H27" i="175"/>
  <c r="E27" i="175"/>
  <c r="I27" i="175" s="1"/>
  <c r="AD26" i="175"/>
  <c r="AC26" i="175"/>
  <c r="AB26" i="175"/>
  <c r="AE26" i="175" s="1"/>
  <c r="AI26" i="175" s="1"/>
  <c r="Y26" i="175" s="1"/>
  <c r="Z26" i="175"/>
  <c r="X26" i="175"/>
  <c r="Q26" i="175"/>
  <c r="P26" i="175"/>
  <c r="I26" i="175"/>
  <c r="H26" i="175"/>
  <c r="E26" i="175"/>
  <c r="AD25" i="175"/>
  <c r="AE25" i="175" s="1"/>
  <c r="AI25" i="175" s="1"/>
  <c r="Y25" i="175" s="1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B23" i="175"/>
  <c r="AE23" i="175" s="1"/>
  <c r="AI23" i="175" s="1"/>
  <c r="Y23" i="175" s="1"/>
  <c r="Z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I21" i="175"/>
  <c r="H21" i="175"/>
  <c r="E21" i="175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B19" i="175"/>
  <c r="AE19" i="175" s="1"/>
  <c r="AI19" i="175" s="1"/>
  <c r="Y19" i="175" s="1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I17" i="175"/>
  <c r="H17" i="175"/>
  <c r="E17" i="175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P14" i="175"/>
  <c r="H14" i="175"/>
  <c r="E14" i="175"/>
  <c r="I14" i="175" s="1"/>
  <c r="AD13" i="175"/>
  <c r="AC13" i="175"/>
  <c r="AB13" i="175"/>
  <c r="AE13" i="175" s="1"/>
  <c r="AI13" i="175" s="1"/>
  <c r="Y13" i="175" s="1"/>
  <c r="Z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F77" i="176" l="1"/>
  <c r="T77" i="175"/>
  <c r="T75" i="175"/>
  <c r="O73" i="175"/>
  <c r="O75" i="175"/>
  <c r="F73" i="175"/>
  <c r="F75" i="175"/>
  <c r="T73" i="175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9" i="175" l="1"/>
  <c r="F77" i="175"/>
  <c r="T77" i="174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<sst xmlns="http://schemas.openxmlformats.org/spreadsheetml/2006/main" count="1841" uniqueCount="136">
  <si>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</si>
  <si>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</si>
  <si>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</si>
  <si>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</si>
  <si>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</si>
  <si>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</si>
  <si>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</si>
  <si>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</si>
  <si>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</si>
  <si>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</si>
  <si>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</si>
  <si>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</si>
  <si>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</si>
  <si>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</si>
  <si>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</si>
  <si>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</si>
  <si>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</si>
  <si>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</si>
  <si>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</si>
  <si>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</si>
  <si>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</si>
  <si>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</si>
  <si>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</si>
  <si>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</si>
  <si>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</si>
  <si>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</si>
  <si>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</si>
  <si>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</si>
  <si>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</si>
  <si>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</si>
  <si>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</si>
  <si>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</si>
  <si>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</si>
  <si>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</si>
  <si>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</si>
  <si>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</si>
  <si>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</si>
  <si>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</si>
  <si>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</si>
  <si>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</si>
  <si>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</si>
  <si>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</si>
  <si>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</si>
  <si>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</si>
  <si>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</si>
  <si>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</si>
  <si>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</si>
  <si>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</si>
  <si>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</si>
  <si>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</si>
  <si>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</si>
  <si>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</si>
  <si>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</si>
  <si>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</si>
  <si>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</si>
  <si>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</si>
  <si>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</si>
  <si>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</si>
  <si>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</si>
  <si>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</si>
  <si>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</si>
  <si>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</si>
  <si>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</si>
  <si>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</si>
  <si>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</si>
  <si>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</si>
  <si>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</si>
  <si>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</si>
  <si>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</si>
  <si>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</si>
  <si>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</si>
  <si>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</si>
  <si>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</si>
  <si>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</si>
  <si>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</si>
  <si>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</si>
  <si>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</si>
  <si>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</si>
  <si>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</si>
  <si>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</si>
  <si>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</si>
  <si>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</si>
  <si>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</si>
  <si>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</si>
  <si>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</si>
  <si>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</si>
  <si>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</si>
  <si>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</si>
  <si>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</si>
  <si>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</si>
  <si>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</si>
  <si>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</si>
  <si>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</si>
  <si>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</si>
  <si>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</si>
  <si>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</si>
  <si>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</si>
  <si>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</si>
  <si>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</si>
  <si>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</si>
  <si>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</si>
  <si>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</si>
  <si>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</si>
  <si>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</si>
  <si>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</si>
  <si>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</si>
  <si>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</si>
  <si>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</si>
  <si>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</si>
  <si>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</si>
  <si>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</si>
  <si>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</si>
  <si>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</si>
  <si>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</si>
  <si>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</si>
  <si>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</si>
  <si>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</si>
  <si>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</si>
  <si>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</si>
  <si>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</si>
  <si>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</si>
  <si>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</si>
  <si>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</si>
  <si>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</si>
  <si>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</si>
  <si>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</si>
  <si>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</si>
  <si>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</si>
  <si>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</si>
  <si>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</si>
  <si>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</si>
  <si>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</si>
  <si>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</si>
  <si>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</si>
  <si>
    <t>Mango Yuzu</t>
  </si>
  <si>
    <t>PP CAN 500ml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</si>
</sst>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6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2" borderId="64" xfId="1" applyNumberFormat="1" applyFont="1" applyFill="1" applyBorder="1" applyAlignment="1" applyProtection="1">
      <alignment horizontal="center" vertical="center"/>
      <protection locked="0"/>
    </xf>
    <xf numFmtId="167" fontId="20" fillId="0" borderId="51" xfId="1" applyNumberFormat="1" applyFont="1" applyFill="1" applyBorder="1" applyAlignment="1" applyProtection="1">
      <alignment horizontal="center" vertical="center"/>
    </xf>
    <xf numFmtId="164" fontId="21" fillId="0" borderId="51" xfId="1" applyFont="1" applyFill="1" applyBorder="1" applyAlignment="1" applyProtection="1">
      <alignment horizontal="center" vertical="center"/>
    </xf>
    <xf numFmtId="164" fontId="22" fillId="0" borderId="51" xfId="1" applyFont="1" applyFill="1" applyBorder="1" applyAlignment="1" applyProtection="1">
      <alignment horizontal="center" vertical="center"/>
    </xf>
    <xf numFmtId="164" fontId="20" fillId="4" borderId="51" xfId="1" applyFont="1" applyFill="1" applyBorder="1" applyAlignment="1" applyProtection="1">
      <alignment horizontal="center" vertical="center"/>
    </xf>
    <xf numFmtId="167" fontId="20" fillId="4" borderId="65" xfId="1" applyNumberFormat="1" applyFont="1" applyFill="1" applyBorder="1" applyAlignment="1" applyProtection="1">
      <alignment horizontal="center" vertical="center"/>
    </xf>
    <xf numFmtId="167" fontId="19" fillId="4" borderId="65" xfId="1" applyNumberFormat="1" applyFont="1" applyFill="1" applyBorder="1" applyAlignment="1" applyProtection="1">
      <alignment horizontal="center" vertical="center"/>
    </xf>
    <xf numFmtId="168" fontId="21" fillId="0" borderId="51" xfId="1" applyNumberFormat="1" applyFont="1" applyFill="1" applyBorder="1" applyAlignment="1" applyProtection="1">
      <alignment horizontal="center" vertical="center"/>
    </xf>
    <xf numFmtId="167" fontId="19" fillId="0" borderId="65" xfId="1" applyNumberFormat="1" applyFont="1" applyFill="1" applyBorder="1" applyAlignment="1" applyProtection="1">
      <alignment horizontal="center" vertical="center"/>
    </xf>
    <xf numFmtId="167" fontId="19" fillId="0" borderId="3" xfId="1" applyNumberFormat="1" applyFont="1" applyFill="1" applyBorder="1" applyAlignment="1" applyProtection="1">
      <alignment horizontal="center" vertical="center"/>
    </xf>
    <xf numFmtId="164" fontId="9" fillId="0" borderId="64" xfId="1" applyFont="1" applyBorder="1" applyAlignment="1">
      <alignment vertical="center"/>
    </xf>
    <xf numFmtId="0" fontId="12" fillId="0" borderId="0" xfId="2" applyFont="1" applyAlignment="1">
      <alignment horizontal="center" vertical="center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10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5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5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1397196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183312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1397196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129204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1157628.96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6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6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1397196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52583.040000000001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1397196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3672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545579.31999999995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v>591565.64</v>
      </c>
      <c r="Q79" s="267"/>
      <c r="R79" s="152"/>
      <c r="S79" s="159" t="s">
        <v>112</v>
      </c>
      <c r="T79" s="268">
        <f>T77+T73+T75</f>
        <v>56255.040000000001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7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7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-203796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8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8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1306428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203796</v>
      </c>
      <c r="P73" s="263"/>
      <c r="Q73" s="264"/>
      <c r="R73" s="152"/>
      <c r="S73" s="159" t="s">
        <v>104</v>
      </c>
      <c r="T73" s="268">
        <f>SUM(Y12:Y68)</f>
        <v>47740.68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593952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3288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201549.35000000009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v>850053.97</v>
      </c>
      <c r="Q79" s="267"/>
      <c r="R79" s="152"/>
      <c r="S79" s="159" t="s">
        <v>112</v>
      </c>
      <c r="T79" s="268">
        <f>T77+T73+T75</f>
        <v>51028.68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199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199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1386494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204804</v>
      </c>
      <c r="P73" s="263"/>
      <c r="Q73" s="264"/>
      <c r="R73" s="152"/>
      <c r="S73" s="159" t="s">
        <v>104</v>
      </c>
      <c r="T73" s="268">
        <f>SUM(Y12:Y68)</f>
        <v>52628.480000000003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995072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203796</v>
      </c>
      <c r="P75" s="263"/>
      <c r="Q75" s="264"/>
      <c r="R75" s="152"/>
      <c r="S75" s="159" t="s">
        <v>129</v>
      </c>
      <c r="T75" s="268">
        <f>SUM(Z12:Z70)</f>
        <v>3676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671807.2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v>453578.32</v>
      </c>
      <c r="Q79" s="267"/>
      <c r="R79" s="152"/>
      <c r="S79" s="159" t="s">
        <v>112</v>
      </c>
      <c r="T79" s="268">
        <f>T77+T73+T75</f>
        <v>56304.480000000003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0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0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1399400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187488</v>
      </c>
      <c r="P73" s="263"/>
      <c r="Q73" s="264"/>
      <c r="R73" s="152"/>
      <c r="S73" s="159" t="s">
        <v>104</v>
      </c>
      <c r="T73" s="268">
        <f>SUM(Y12:Y68)</f>
        <v>52637.36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1399400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178416</v>
      </c>
      <c r="P75" s="263"/>
      <c r="Q75" s="264"/>
      <c r="R75" s="152"/>
      <c r="S75" s="159" t="s">
        <v>129</v>
      </c>
      <c r="T75" s="268">
        <f>SUM(Z12:Z70)</f>
        <v>3676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1155598.6399999999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56313.36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2A92-DFCC-4AAF-B791-2FB17C48A299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C1" activePane="topRight" state="frozen"/>
      <selection activeCell="F17" sqref="F17"/>
      <selection pane="topRight" activeCell="M18" sqref="M1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1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1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185688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158472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-185688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5926-2B2E-45BA-925A-0316E797C11F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F17" sqref="F17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2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2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2</v>
      </c>
      <c r="G33" s="47">
        <v>100</v>
      </c>
      <c r="H33" s="64" t="str">
        <f t="shared" si="11"/>
        <v>0 pallets</v>
      </c>
      <c r="I33" s="49">
        <f t="shared" si="4"/>
        <v>3334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3334</v>
      </c>
      <c r="Y33" s="57">
        <f t="shared" si="0"/>
        <v>59.519999999999996</v>
      </c>
      <c r="Z33" s="57">
        <f t="shared" si="8"/>
        <v>4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4</v>
      </c>
      <c r="G39" s="87">
        <v>100</v>
      </c>
      <c r="H39" s="88" t="str">
        <f t="shared" si="11"/>
        <v>0 pallets</v>
      </c>
      <c r="I39" s="89">
        <f t="shared" si="4"/>
        <v>2600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</v>
      </c>
      <c r="Y39" s="57">
        <f t="shared" si="0"/>
        <v>108.64</v>
      </c>
      <c r="Z39" s="57">
        <f t="shared" si="8"/>
        <v>8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</v>
      </c>
      <c r="G42" s="87">
        <v>100</v>
      </c>
      <c r="H42" s="88" t="str">
        <f t="shared" si="11"/>
        <v>0 pallets</v>
      </c>
      <c r="I42" s="89">
        <f t="shared" si="4"/>
        <v>1102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</v>
      </c>
      <c r="Y42" s="57">
        <f t="shared" si="0"/>
        <v>27.16</v>
      </c>
      <c r="Z42" s="57">
        <f t="shared" si="8"/>
        <v>2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1404232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200880</v>
      </c>
      <c r="P73" s="263"/>
      <c r="Q73" s="264"/>
      <c r="R73" s="152"/>
      <c r="S73" s="159" t="s">
        <v>104</v>
      </c>
      <c r="T73" s="268">
        <f>SUM(Y12:Y68)</f>
        <v>52778.36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1404232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191808</v>
      </c>
      <c r="P75" s="263"/>
      <c r="Q75" s="264"/>
      <c r="R75" s="152"/>
      <c r="S75" s="159" t="s">
        <v>129</v>
      </c>
      <c r="T75" s="268">
        <f>SUM(Z12:Z70)</f>
        <v>3686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961199.6399999999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>
        <v>185688</v>
      </c>
      <c r="Q79" s="267"/>
      <c r="R79" s="152"/>
      <c r="S79" s="159" t="s">
        <v>112</v>
      </c>
      <c r="T79" s="268">
        <f>T77+T73+T75</f>
        <v>56464.36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77DAD-49FE-4A0C-AE2E-1AFCCCD32147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F1" activePane="topRight" state="frozen"/>
      <selection activeCell="F17" sqref="F17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3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3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144</v>
      </c>
      <c r="N12" s="30"/>
      <c r="O12" s="30"/>
      <c r="P12" s="31" t="str">
        <f>IF(M12&amp;N12="","",ROUND(((M12+N12)/G12),1)&amp;" pallets")</f>
        <v>2 pallets</v>
      </c>
      <c r="Q12" s="32">
        <f>(J12*M12)+(K12*N12)+(O12*L12)</f>
        <v>17280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288</v>
      </c>
      <c r="N15" s="51"/>
      <c r="O15" s="51"/>
      <c r="P15" s="52" t="str">
        <f t="shared" si="5"/>
        <v>3 pallets</v>
      </c>
      <c r="Q15" s="53">
        <f t="shared" si="6"/>
        <v>31968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83" t="s">
        <v>101</v>
      </c>
      <c r="C71" s="283"/>
      <c r="D71" s="283"/>
      <c r="E71" s="283"/>
      <c r="F71" s="283"/>
      <c r="G71" s="28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63">
        <f>SUM(I12:I70)</f>
        <v>0</v>
      </c>
      <c r="G73" s="263"/>
      <c r="H73" s="263"/>
      <c r="I73" s="264"/>
      <c r="J73" s="158"/>
      <c r="K73" s="158"/>
      <c r="L73" s="158"/>
      <c r="M73" s="275" t="s">
        <v>103</v>
      </c>
      <c r="N73" s="276"/>
      <c r="O73" s="263">
        <f>SUM(Q12:Q70)</f>
        <v>193104</v>
      </c>
      <c r="P73" s="263"/>
      <c r="Q73" s="264"/>
      <c r="R73" s="152"/>
      <c r="S73" s="159" t="s">
        <v>104</v>
      </c>
      <c r="T73" s="268">
        <f>SUM(Y12:Y68)</f>
        <v>0</v>
      </c>
      <c r="U73" s="26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SUM(I14:I72)</f>
        <v>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SUM(Q14:Q72)</f>
        <v>175824</v>
      </c>
      <c r="P75" s="263"/>
      <c r="Q75" s="264"/>
      <c r="R75" s="152"/>
      <c r="S75" s="159" t="s">
        <v>129</v>
      </c>
      <c r="T75" s="268">
        <f>SUM(Z12:Z70)</f>
        <v>0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63">
        <f>IF(U7&gt;0,"",(F73-O73-T79-P79))</f>
        <v>-193104</v>
      </c>
      <c r="G77" s="263"/>
      <c r="H77" s="263"/>
      <c r="I77" s="264"/>
      <c r="J77" s="164"/>
      <c r="K77" s="164"/>
      <c r="L77" s="164"/>
      <c r="M77" s="265" t="s">
        <v>106</v>
      </c>
      <c r="N77" s="265"/>
      <c r="O77" s="168" t="s">
        <v>107</v>
      </c>
      <c r="P77" s="266"/>
      <c r="Q77" s="267"/>
      <c r="R77" s="152"/>
      <c r="S77" s="159" t="s">
        <v>108</v>
      </c>
      <c r="T77" s="268">
        <f>IF(SUM(X12:X68)*0.15&gt;P77,P77,SUM(X12:X68)*0.15)</f>
        <v>0</v>
      </c>
      <c r="U77" s="269"/>
      <c r="V77" s="160"/>
      <c r="W77" s="270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71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63"/>
      <c r="G79" s="263"/>
      <c r="H79" s="263"/>
      <c r="I79" s="264"/>
      <c r="J79" s="164"/>
      <c r="K79" s="164"/>
      <c r="L79" s="164"/>
      <c r="M79" s="273" t="str">
        <f>IF(U6&gt;0,"",T4+30)</f>
        <v/>
      </c>
      <c r="N79" s="274"/>
      <c r="O79" s="168" t="s">
        <v>111</v>
      </c>
      <c r="P79" s="266"/>
      <c r="Q79" s="267"/>
      <c r="R79" s="152"/>
      <c r="S79" s="159" t="s">
        <v>112</v>
      </c>
      <c r="T79" s="268">
        <f>T77+T73+T75</f>
        <v>0</v>
      </c>
      <c r="U79" s="269"/>
      <c r="V79" s="160"/>
      <c r="W79" s="272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40" t="s">
        <v>113</v>
      </c>
      <c r="C81" s="241"/>
      <c r="D81" s="241"/>
      <c r="E81" s="241"/>
      <c r="F81" s="241"/>
      <c r="G81" s="241"/>
      <c r="H81" s="242"/>
      <c r="I81" s="249" t="s">
        <v>114</v>
      </c>
      <c r="J81" s="171"/>
      <c r="K81" s="171"/>
      <c r="L81" s="171"/>
      <c r="M81" s="251"/>
      <c r="N81" s="254" t="s">
        <v>115</v>
      </c>
      <c r="O81" s="257"/>
      <c r="P81" s="251"/>
      <c r="Q81" s="234" t="s">
        <v>116</v>
      </c>
      <c r="R81" s="260"/>
      <c r="S81" s="231"/>
      <c r="T81" s="234" t="s">
        <v>117</v>
      </c>
      <c r="U81" s="237"/>
    </row>
    <row r="82" spans="2:21" ht="15" customHeight="1" x14ac:dyDescent="0.25">
      <c r="B82" s="243"/>
      <c r="C82" s="244"/>
      <c r="D82" s="244"/>
      <c r="E82" s="244"/>
      <c r="F82" s="244"/>
      <c r="G82" s="244"/>
      <c r="H82" s="245"/>
      <c r="I82" s="228"/>
      <c r="J82" s="2"/>
      <c r="K82" s="2"/>
      <c r="L82" s="2"/>
      <c r="M82" s="252"/>
      <c r="N82" s="255"/>
      <c r="O82" s="258"/>
      <c r="P82" s="252"/>
      <c r="Q82" s="235"/>
      <c r="R82" s="261"/>
      <c r="S82" s="232"/>
      <c r="T82" s="235"/>
      <c r="U82" s="238"/>
    </row>
    <row r="83" spans="2:21" ht="15.75" customHeight="1" thickBot="1" x14ac:dyDescent="0.3">
      <c r="B83" s="246"/>
      <c r="C83" s="247"/>
      <c r="D83" s="247"/>
      <c r="E83" s="247"/>
      <c r="F83" s="247"/>
      <c r="G83" s="247"/>
      <c r="H83" s="248"/>
      <c r="I83" s="250"/>
      <c r="J83" s="172"/>
      <c r="K83" s="172"/>
      <c r="L83" s="172"/>
      <c r="M83" s="253"/>
      <c r="N83" s="256"/>
      <c r="O83" s="259"/>
      <c r="P83" s="253"/>
      <c r="Q83" s="236"/>
      <c r="R83" s="262"/>
      <c r="S83" s="233"/>
      <c r="T83" s="236"/>
      <c r="U83" s="239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22" t="s">
        <v>132</v>
      </c>
      <c r="C88" s="223"/>
      <c r="D88" s="223"/>
      <c r="E88" s="223"/>
      <c r="F88" s="223"/>
      <c r="G88" s="223"/>
      <c r="H88" s="223"/>
      <c r="I88" s="224"/>
      <c r="J88" s="185"/>
      <c r="K88" s="185"/>
      <c r="L88" s="185"/>
      <c r="M88" s="222"/>
      <c r="N88" s="223"/>
      <c r="O88" s="223"/>
      <c r="P88" s="223"/>
      <c r="Q88" s="224"/>
      <c r="R88" s="187"/>
      <c r="S88" s="188"/>
      <c r="T88" s="188"/>
      <c r="U88" s="189"/>
    </row>
    <row r="89" spans="2:21" ht="18" x14ac:dyDescent="0.25">
      <c r="B89" s="225" t="s">
        <v>122</v>
      </c>
      <c r="C89" s="226"/>
      <c r="D89" s="226"/>
      <c r="E89" s="226"/>
      <c r="F89" s="226"/>
      <c r="G89" s="226"/>
      <c r="H89" s="226"/>
      <c r="I89" s="227"/>
      <c r="M89" s="225" t="s">
        <v>122</v>
      </c>
      <c r="N89" s="226"/>
      <c r="O89" s="226"/>
      <c r="P89" s="226"/>
      <c r="Q89" s="227"/>
      <c r="R89" s="228" t="s">
        <v>123</v>
      </c>
      <c r="S89" s="229"/>
      <c r="T89" s="229"/>
      <c r="U89" s="23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22" t="s">
        <v>133</v>
      </c>
      <c r="C93" s="223"/>
      <c r="D93" s="223"/>
      <c r="E93" s="223"/>
      <c r="F93" s="223"/>
      <c r="G93" s="223"/>
      <c r="H93" s="223"/>
      <c r="I93" s="22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25" t="s">
        <v>126</v>
      </c>
      <c r="C94" s="226"/>
      <c r="D94" s="226"/>
      <c r="E94" s="226"/>
      <c r="F94" s="226"/>
      <c r="G94" s="226"/>
      <c r="H94" s="226"/>
      <c r="I94" s="227"/>
      <c r="M94" s="179"/>
      <c r="Q94" s="180"/>
      <c r="R94" s="228" t="s">
        <v>127</v>
      </c>
      <c r="S94" s="229"/>
      <c r="T94" s="229"/>
      <c r="U94" s="23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2D202-4EDA-41A5-BB9B-A96E5099F292}">
  <sheetPr>
    <tabColor rgb="FF00B050"/>
    <pageSetUpPr fitToPage="1"/>
  </sheetPr>
  <dimension ref="A1:AJ102"/>
  <sheetViews>
    <sheetView showGridLines="0" topLeftCell="A28" zoomScale="85" zoomScaleNormal="85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04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04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18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70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220">
        <v>108</v>
      </c>
      <c r="O13" s="51"/>
      <c r="P13" s="52" t="str">
        <f t="shared" ref="P13:P70" si="5">IF(M13&amp;N13="","",ROUND(((M13+N13)/G13),1)&amp;" pallets")</f>
        <v>1 pallets</v>
      </c>
      <c r="Q13" s="53">
        <f t="shared" ref="Q13:Q72" si="6">(J13*M13)+(K13*N13)+(O13*L13)</f>
        <v>9072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17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220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561600</v>
      </c>
      <c r="Y16" s="57">
        <f>F16*AI16</f>
        <v>24744.959999999999</v>
      </c>
      <c r="Z16" s="57">
        <f>IF($U$6="x",(F16*2),"")</f>
        <v>1728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217">
        <v>59</v>
      </c>
      <c r="G17" s="47">
        <v>108</v>
      </c>
      <c r="H17" s="64" t="str">
        <f t="shared" ref="H17:H70" si="11">IF(F17="","",(ROUND((F17/G17),1)&amp;" pallets"))</f>
        <v>0.5 pallets</v>
      </c>
      <c r="I17" s="49">
        <f t="shared" si="4"/>
        <v>47849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41300</v>
      </c>
      <c r="Y17" s="57">
        <f t="shared" si="0"/>
        <v>1689.76</v>
      </c>
      <c r="Z17" s="57">
        <f t="shared" si="8"/>
        <v>118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217">
        <f>1+2</f>
        <v>3</v>
      </c>
      <c r="G33" s="47">
        <v>100</v>
      </c>
      <c r="H33" s="64" t="str">
        <f t="shared" si="11"/>
        <v>0 pallets</v>
      </c>
      <c r="I33" s="49">
        <f t="shared" si="4"/>
        <v>5001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5001</v>
      </c>
      <c r="Y33" s="57">
        <f t="shared" si="0"/>
        <v>89.28</v>
      </c>
      <c r="Z33" s="57">
        <f t="shared" si="8"/>
        <v>6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217">
        <v>5</v>
      </c>
      <c r="G38" s="47">
        <v>100</v>
      </c>
      <c r="H38" s="64" t="str">
        <f t="shared" si="11"/>
        <v>0.1 pallets</v>
      </c>
      <c r="I38" s="49">
        <f t="shared" si="4"/>
        <v>7910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7910</v>
      </c>
      <c r="Y38" s="57">
        <f t="shared" si="0"/>
        <v>135.80000000000001</v>
      </c>
      <c r="Z38" s="57">
        <f t="shared" si="8"/>
        <v>10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219">
        <f>2</f>
        <v>2</v>
      </c>
      <c r="G43" s="87">
        <v>100</v>
      </c>
      <c r="H43" s="88" t="str">
        <f t="shared" si="11"/>
        <v>0 pallets</v>
      </c>
      <c r="I43" s="89">
        <f t="shared" si="4"/>
        <v>2204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2204</v>
      </c>
      <c r="Y43" s="57">
        <f t="shared" si="0"/>
        <v>54.32</v>
      </c>
      <c r="Z43" s="57">
        <f t="shared" si="8"/>
        <v>4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3" t="s">
        <v>101</v>
      </c>
      <c r="C73" s="283"/>
      <c r="D73" s="283"/>
      <c r="E73" s="283"/>
      <c r="F73" s="283"/>
      <c r="G73" s="283"/>
      <c r="H73" s="147" t="str">
        <f>ROUND(((F12+F30+F53+F58+F59+F60+F61+F62)/72+(F13+F16+F18)/108+(F14+SUM(F19:F29)+F31+F32+F22+F51+F46)/63+F15/96+SUM(F35:F44)/100+SUM(F48:F50)/24+SUM(F63:F70)/100+(F52+F47+F45)/100),1)&amp;" pallets"</f>
        <v>9.1 pallets</v>
      </c>
      <c r="I73" s="148"/>
      <c r="J73" s="149"/>
      <c r="K73" s="150"/>
      <c r="L73" s="149"/>
      <c r="M73" s="151"/>
      <c r="N73" s="152"/>
      <c r="O73" s="152"/>
      <c r="P73" s="204" t="str">
        <f>ROUND((((M12+N12+M30+M58+M59+M60+M61+M62+N58)/72+(M13+N13+M16+M18)/108+(M15+N15)/96+SUM(M14,M19:M29,M31:M32,M51,N14)/63)),1)&amp;" pallets"</f>
        <v>17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SUM(I12:I72)</f>
        <v>790452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SUM(Q12:Q72)</f>
        <v>200880</v>
      </c>
      <c r="P75" s="263"/>
      <c r="Q75" s="264"/>
      <c r="R75" s="152"/>
      <c r="S75" s="159" t="s">
        <v>104</v>
      </c>
      <c r="T75" s="268">
        <f>SUM(Y12:Y70)</f>
        <v>28900.759999999995</v>
      </c>
      <c r="U75" s="269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3">
        <f>SUM(I14:I74)</f>
        <v>720468</v>
      </c>
      <c r="G77" s="263"/>
      <c r="H77" s="263"/>
      <c r="I77" s="264"/>
      <c r="J77" s="158"/>
      <c r="K77" s="158"/>
      <c r="L77" s="158"/>
      <c r="M77" s="275" t="s">
        <v>103</v>
      </c>
      <c r="N77" s="276"/>
      <c r="O77" s="263">
        <f>SUM(Q14:Q74)</f>
        <v>191808</v>
      </c>
      <c r="P77" s="263"/>
      <c r="Q77" s="264"/>
      <c r="R77" s="152"/>
      <c r="S77" s="159" t="s">
        <v>129</v>
      </c>
      <c r="T77" s="268">
        <f>SUM(Z12:Z72)</f>
        <v>2010</v>
      </c>
      <c r="U77" s="269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3">
        <f>IF(U7&gt;0,"",(F75-O75-T81-P81))</f>
        <v>263653.39</v>
      </c>
      <c r="G79" s="263"/>
      <c r="H79" s="263"/>
      <c r="I79" s="264"/>
      <c r="J79" s="164"/>
      <c r="K79" s="164"/>
      <c r="L79" s="164"/>
      <c r="M79" s="265" t="s">
        <v>106</v>
      </c>
      <c r="N79" s="265"/>
      <c r="O79" s="168" t="s">
        <v>107</v>
      </c>
      <c r="P79" s="266">
        <f>79939.5+65207.95</f>
        <v>145147.45000000001</v>
      </c>
      <c r="Q79" s="267"/>
      <c r="R79" s="152"/>
      <c r="S79" s="159" t="s">
        <v>108</v>
      </c>
      <c r="T79" s="268">
        <f>IF(SUM(X12:X70)*0.15&gt;P79,P79,SUM(X12:X70)*0.15)</f>
        <v>101903.84999999999</v>
      </c>
      <c r="U79" s="269"/>
      <c r="V79" s="160"/>
      <c r="W79" s="270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1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3"/>
      <c r="G81" s="263"/>
      <c r="H81" s="263"/>
      <c r="I81" s="264"/>
      <c r="J81" s="164"/>
      <c r="K81" s="164"/>
      <c r="L81" s="164"/>
      <c r="M81" s="273" t="str">
        <f>IF(U6&gt;0,"",T4+30)</f>
        <v/>
      </c>
      <c r="N81" s="274"/>
      <c r="O81" s="168" t="s">
        <v>111</v>
      </c>
      <c r="P81" s="266">
        <f>193104</f>
        <v>193104</v>
      </c>
      <c r="Q81" s="267"/>
      <c r="R81" s="152"/>
      <c r="S81" s="159" t="s">
        <v>112</v>
      </c>
      <c r="T81" s="268">
        <f>T79+T75+T77</f>
        <v>132814.60999999999</v>
      </c>
      <c r="U81" s="269"/>
      <c r="V81" s="160"/>
      <c r="W81" s="272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0" t="s">
        <v>113</v>
      </c>
      <c r="C83" s="241"/>
      <c r="D83" s="241"/>
      <c r="E83" s="241"/>
      <c r="F83" s="241"/>
      <c r="G83" s="241"/>
      <c r="H83" s="242"/>
      <c r="I83" s="249" t="s">
        <v>114</v>
      </c>
      <c r="J83" s="171"/>
      <c r="K83" s="171"/>
      <c r="L83" s="171"/>
      <c r="M83" s="251"/>
      <c r="N83" s="254" t="s">
        <v>115</v>
      </c>
      <c r="O83" s="257"/>
      <c r="P83" s="251"/>
      <c r="Q83" s="234" t="s">
        <v>116</v>
      </c>
      <c r="R83" s="260"/>
      <c r="S83" s="231"/>
      <c r="T83" s="234" t="s">
        <v>117</v>
      </c>
      <c r="U83" s="237"/>
    </row>
    <row r="84" spans="2:35" ht="15" customHeight="1" x14ac:dyDescent="0.25">
      <c r="B84" s="243"/>
      <c r="C84" s="244"/>
      <c r="D84" s="244"/>
      <c r="E84" s="244"/>
      <c r="F84" s="244"/>
      <c r="G84" s="244"/>
      <c r="H84" s="245"/>
      <c r="I84" s="228"/>
      <c r="J84" s="2"/>
      <c r="K84" s="2"/>
      <c r="L84" s="2"/>
      <c r="M84" s="252"/>
      <c r="N84" s="255"/>
      <c r="O84" s="258"/>
      <c r="P84" s="252"/>
      <c r="Q84" s="235"/>
      <c r="R84" s="261"/>
      <c r="S84" s="232"/>
      <c r="T84" s="235"/>
      <c r="U84" s="238"/>
    </row>
    <row r="85" spans="2:35" ht="15.75" customHeight="1" thickBot="1" x14ac:dyDescent="0.3">
      <c r="B85" s="246"/>
      <c r="C85" s="247"/>
      <c r="D85" s="247"/>
      <c r="E85" s="247"/>
      <c r="F85" s="247"/>
      <c r="G85" s="247"/>
      <c r="H85" s="248"/>
      <c r="I85" s="250"/>
      <c r="J85" s="172"/>
      <c r="K85" s="172"/>
      <c r="L85" s="172"/>
      <c r="M85" s="253"/>
      <c r="N85" s="256"/>
      <c r="O85" s="259"/>
      <c r="P85" s="253"/>
      <c r="Q85" s="236"/>
      <c r="R85" s="262"/>
      <c r="S85" s="233"/>
      <c r="T85" s="236"/>
      <c r="U85" s="239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2" t="s">
        <v>132</v>
      </c>
      <c r="C90" s="223"/>
      <c r="D90" s="223"/>
      <c r="E90" s="223"/>
      <c r="F90" s="223"/>
      <c r="G90" s="223"/>
      <c r="H90" s="223"/>
      <c r="I90" s="224"/>
      <c r="J90" s="185"/>
      <c r="K90" s="185"/>
      <c r="L90" s="185"/>
      <c r="M90" s="222"/>
      <c r="N90" s="223"/>
      <c r="O90" s="223"/>
      <c r="P90" s="223"/>
      <c r="Q90" s="224"/>
      <c r="R90" s="187"/>
      <c r="S90" s="188"/>
      <c r="T90" s="188"/>
      <c r="U90" s="189"/>
    </row>
    <row r="91" spans="2:35" ht="18" x14ac:dyDescent="0.25">
      <c r="B91" s="225" t="s">
        <v>122</v>
      </c>
      <c r="C91" s="226"/>
      <c r="D91" s="226"/>
      <c r="E91" s="226"/>
      <c r="F91" s="226"/>
      <c r="G91" s="226"/>
      <c r="H91" s="226"/>
      <c r="I91" s="227"/>
      <c r="M91" s="225" t="s">
        <v>122</v>
      </c>
      <c r="N91" s="226"/>
      <c r="O91" s="226"/>
      <c r="P91" s="226"/>
      <c r="Q91" s="227"/>
      <c r="R91" s="228" t="s">
        <v>123</v>
      </c>
      <c r="S91" s="229"/>
      <c r="T91" s="229"/>
      <c r="U91" s="23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2" t="s">
        <v>133</v>
      </c>
      <c r="C95" s="223"/>
      <c r="D95" s="223"/>
      <c r="E95" s="223"/>
      <c r="F95" s="223"/>
      <c r="G95" s="223"/>
      <c r="H95" s="223"/>
      <c r="I95" s="22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5" t="s">
        <v>126</v>
      </c>
      <c r="C96" s="226"/>
      <c r="D96" s="226"/>
      <c r="E96" s="226"/>
      <c r="F96" s="226"/>
      <c r="G96" s="226"/>
      <c r="H96" s="226"/>
      <c r="I96" s="227"/>
      <c r="M96" s="179"/>
      <c r="Q96" s="180"/>
      <c r="R96" s="228" t="s">
        <v>127</v>
      </c>
      <c r="S96" s="229"/>
      <c r="T96" s="229"/>
      <c r="U96" s="23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98C62-08B9-4F72-9EDB-2A705E9B2C12}">
  <sheetPr>
    <tabColor rgb="FF00B050"/>
    <pageSetUpPr fitToPage="1"/>
  </sheetPr>
  <dimension ref="A1:AJ102"/>
  <sheetViews>
    <sheetView showGridLines="0" topLeftCell="A51" zoomScale="85" zoomScaleNormal="85" workbookViewId="0">
      <pane xSplit="2" topLeftCell="C1" activePane="topRight" state="frozen"/>
      <selection activeCell="F17" sqref="F17"/>
      <selection pane="topRight" activeCell="F58" sqref="F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16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16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217">
        <v>504</v>
      </c>
      <c r="G58" s="47">
        <v>72</v>
      </c>
      <c r="H58" s="64" t="str">
        <f t="shared" si="11"/>
        <v>7 pallets</v>
      </c>
      <c r="I58" s="49">
        <f t="shared" si="4"/>
        <v>154728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115416</v>
      </c>
      <c r="Y58" s="57">
        <f t="shared" si="0"/>
        <v>13038.48</v>
      </c>
      <c r="Z58" s="57">
        <f t="shared" si="8"/>
        <v>1008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3" t="s">
        <v>101</v>
      </c>
      <c r="C73" s="283"/>
      <c r="D73" s="283"/>
      <c r="E73" s="283"/>
      <c r="F73" s="283"/>
      <c r="G73" s="283"/>
      <c r="H73" s="147" t="str">
        <f>ROUND(((F12+F30+F53+F58+F59+F60+F61+F62)/72+(F13+F16+F18)/108+(F14+SUM(F19:F29)+F31+F32+F22+F51+F46)/63+F15/96+SUM(F35:F44)/100+SUM(F48:F50)/24+SUM(F63:F70)/100+(F52+F47+F45)/100),1)&amp;" pallets"</f>
        <v>7 pallets</v>
      </c>
      <c r="I73" s="148"/>
      <c r="J73" s="149"/>
      <c r="K73" s="150"/>
      <c r="L73" s="149"/>
      <c r="M73" s="151"/>
      <c r="N73" s="152"/>
      <c r="O73" s="152"/>
      <c r="P73" s="216" t="str">
        <f>ROUND((((M12+N12+M30+M58+M59+M60+M61+M62+N58)/72+(M13+N13+M16+M18)/108+(M15+N15)/96+SUM(M14,M19:M29,M31:M32,M51,N14)/63)),1)&amp;" pallets"</f>
        <v>0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SUM(I12:I72)</f>
        <v>154728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SUM(Q12:Q72)</f>
        <v>0</v>
      </c>
      <c r="P75" s="263"/>
      <c r="Q75" s="264"/>
      <c r="R75" s="152"/>
      <c r="S75" s="159" t="s">
        <v>104</v>
      </c>
      <c r="T75" s="268">
        <f>SUM(Y12:Y70)</f>
        <v>13038.48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3">
        <f>SUM(I14:I74)</f>
        <v>154728</v>
      </c>
      <c r="G77" s="263"/>
      <c r="H77" s="263"/>
      <c r="I77" s="264"/>
      <c r="J77" s="158"/>
      <c r="K77" s="158"/>
      <c r="L77" s="158"/>
      <c r="M77" s="275" t="s">
        <v>103</v>
      </c>
      <c r="N77" s="276"/>
      <c r="O77" s="263">
        <f>SUM(Q14:Q74)</f>
        <v>0</v>
      </c>
      <c r="P77" s="263"/>
      <c r="Q77" s="264"/>
      <c r="R77" s="152"/>
      <c r="S77" s="159" t="s">
        <v>129</v>
      </c>
      <c r="T77" s="268">
        <f>SUM(Z12:Z72)</f>
        <v>1008</v>
      </c>
      <c r="U77" s="269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3">
        <f>IF(U7&gt;0,"",(F75-O75-T81-P81))</f>
        <v>133600.01999999999</v>
      </c>
      <c r="G79" s="263"/>
      <c r="H79" s="263"/>
      <c r="I79" s="264"/>
      <c r="J79" s="164"/>
      <c r="K79" s="164"/>
      <c r="L79" s="164"/>
      <c r="M79" s="265" t="s">
        <v>106</v>
      </c>
      <c r="N79" s="265"/>
      <c r="O79" s="168" t="s">
        <v>107</v>
      </c>
      <c r="P79" s="266">
        <f>4461</f>
        <v>4461</v>
      </c>
      <c r="Q79" s="267"/>
      <c r="R79" s="152"/>
      <c r="S79" s="159" t="s">
        <v>108</v>
      </c>
      <c r="T79" s="268">
        <f>IF(SUM(X12:X70)*0.15&gt;P79,P79,SUM(X12:X70)*0.15)</f>
        <v>4461</v>
      </c>
      <c r="U79" s="269"/>
      <c r="V79" s="160"/>
      <c r="W79" s="270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1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3"/>
      <c r="G81" s="263"/>
      <c r="H81" s="263"/>
      <c r="I81" s="264"/>
      <c r="J81" s="164"/>
      <c r="K81" s="164"/>
      <c r="L81" s="164"/>
      <c r="M81" s="273" t="str">
        <f>IF(U6&gt;0,"",T4+30)</f>
        <v/>
      </c>
      <c r="N81" s="274"/>
      <c r="O81" s="168" t="s">
        <v>111</v>
      </c>
      <c r="P81" s="266">
        <v>2620.5</v>
      </c>
      <c r="Q81" s="267"/>
      <c r="R81" s="152"/>
      <c r="S81" s="159" t="s">
        <v>112</v>
      </c>
      <c r="T81" s="268">
        <f>T79+T75+T77</f>
        <v>18507.48</v>
      </c>
      <c r="U81" s="269"/>
      <c r="V81" s="160"/>
      <c r="W81" s="272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0" t="s">
        <v>113</v>
      </c>
      <c r="C83" s="241"/>
      <c r="D83" s="241"/>
      <c r="E83" s="241"/>
      <c r="F83" s="241"/>
      <c r="G83" s="241"/>
      <c r="H83" s="242"/>
      <c r="I83" s="249" t="s">
        <v>114</v>
      </c>
      <c r="J83" s="171"/>
      <c r="K83" s="171"/>
      <c r="L83" s="171"/>
      <c r="M83" s="251"/>
      <c r="N83" s="254" t="s">
        <v>115</v>
      </c>
      <c r="O83" s="257"/>
      <c r="P83" s="251"/>
      <c r="Q83" s="234" t="s">
        <v>116</v>
      </c>
      <c r="R83" s="260"/>
      <c r="S83" s="231"/>
      <c r="T83" s="234" t="s">
        <v>117</v>
      </c>
      <c r="U83" s="237"/>
    </row>
    <row r="84" spans="2:35" ht="15" customHeight="1" x14ac:dyDescent="0.25">
      <c r="B84" s="243"/>
      <c r="C84" s="244"/>
      <c r="D84" s="244"/>
      <c r="E84" s="244"/>
      <c r="F84" s="244"/>
      <c r="G84" s="244"/>
      <c r="H84" s="245"/>
      <c r="I84" s="228"/>
      <c r="J84" s="2"/>
      <c r="K84" s="2"/>
      <c r="L84" s="2"/>
      <c r="M84" s="252"/>
      <c r="N84" s="255"/>
      <c r="O84" s="258"/>
      <c r="P84" s="252"/>
      <c r="Q84" s="235"/>
      <c r="R84" s="261"/>
      <c r="S84" s="232"/>
      <c r="T84" s="235"/>
      <c r="U84" s="238"/>
    </row>
    <row r="85" spans="2:35" ht="15.75" customHeight="1" thickBot="1" x14ac:dyDescent="0.3">
      <c r="B85" s="246"/>
      <c r="C85" s="247"/>
      <c r="D85" s="247"/>
      <c r="E85" s="247"/>
      <c r="F85" s="247"/>
      <c r="G85" s="247"/>
      <c r="H85" s="248"/>
      <c r="I85" s="250"/>
      <c r="J85" s="172"/>
      <c r="K85" s="172"/>
      <c r="L85" s="172"/>
      <c r="M85" s="253"/>
      <c r="N85" s="256"/>
      <c r="O85" s="259"/>
      <c r="P85" s="253"/>
      <c r="Q85" s="236"/>
      <c r="R85" s="262"/>
      <c r="S85" s="233"/>
      <c r="T85" s="236"/>
      <c r="U85" s="239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2" t="s">
        <v>132</v>
      </c>
      <c r="C90" s="223"/>
      <c r="D90" s="223"/>
      <c r="E90" s="223"/>
      <c r="F90" s="223"/>
      <c r="G90" s="223"/>
      <c r="H90" s="223"/>
      <c r="I90" s="224"/>
      <c r="J90" s="185"/>
      <c r="K90" s="185"/>
      <c r="L90" s="185"/>
      <c r="M90" s="222"/>
      <c r="N90" s="223"/>
      <c r="O90" s="223"/>
      <c r="P90" s="223"/>
      <c r="Q90" s="224"/>
      <c r="R90" s="187"/>
      <c r="S90" s="188"/>
      <c r="T90" s="188"/>
      <c r="U90" s="189"/>
    </row>
    <row r="91" spans="2:35" ht="18" x14ac:dyDescent="0.25">
      <c r="B91" s="225" t="s">
        <v>122</v>
      </c>
      <c r="C91" s="226"/>
      <c r="D91" s="226"/>
      <c r="E91" s="226"/>
      <c r="F91" s="226"/>
      <c r="G91" s="226"/>
      <c r="H91" s="226"/>
      <c r="I91" s="227"/>
      <c r="M91" s="225" t="s">
        <v>122</v>
      </c>
      <c r="N91" s="226"/>
      <c r="O91" s="226"/>
      <c r="P91" s="226"/>
      <c r="Q91" s="227"/>
      <c r="R91" s="228" t="s">
        <v>123</v>
      </c>
      <c r="S91" s="229"/>
      <c r="T91" s="229"/>
      <c r="U91" s="23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2" t="s">
        <v>133</v>
      </c>
      <c r="C95" s="223"/>
      <c r="D95" s="223"/>
      <c r="E95" s="223"/>
      <c r="F95" s="223"/>
      <c r="G95" s="223"/>
      <c r="H95" s="223"/>
      <c r="I95" s="22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5" t="s">
        <v>126</v>
      </c>
      <c r="C96" s="226"/>
      <c r="D96" s="226"/>
      <c r="E96" s="226"/>
      <c r="F96" s="226"/>
      <c r="G96" s="226"/>
      <c r="H96" s="226"/>
      <c r="I96" s="227"/>
      <c r="M96" s="179"/>
      <c r="Q96" s="180"/>
      <c r="R96" s="228" t="s">
        <v>127</v>
      </c>
      <c r="S96" s="229"/>
      <c r="T96" s="229"/>
      <c r="U96" s="23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D0E7-FD25-47B0-862A-2EFBCF6CFDD6}">
  <sheetPr>
    <tabColor rgb="FF00B050"/>
    <pageSetUpPr fitToPage="1"/>
  </sheetPr>
  <dimension ref="A1:AJ102"/>
  <sheetViews>
    <sheetView showGridLines="0" topLeftCell="A66" zoomScale="85" zoomScaleNormal="85" workbookViewId="0">
      <pane xSplit="2" topLeftCell="F1" activePane="topRight" state="frozen"/>
      <selection activeCell="F17" sqref="F17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21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21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>
        <v>432</v>
      </c>
      <c r="O13" s="51"/>
      <c r="P13" s="52" t="str">
        <f t="shared" ref="P13:P70" si="5">IF(M13&amp;N13="","",ROUND(((M13+N13)/G13),1)&amp;" pallets")</f>
        <v>4 pallets</v>
      </c>
      <c r="Q13" s="53">
        <f t="shared" ref="Q13:Q72" si="6">(J13*M13)+(K13*N13)+(O13*L13)</f>
        <v>36288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1053000</v>
      </c>
      <c r="Y16" s="57">
        <f>F16*AI16</f>
        <v>46396.800000000003</v>
      </c>
      <c r="Z16" s="57">
        <f>IF($U$6="x",(F16*2),"")</f>
        <v>3240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 t="str">
        <f t="shared" si="11"/>
        <v/>
      </c>
      <c r="I58" s="49">
        <f t="shared" si="4"/>
        <v>0</v>
      </c>
      <c r="J58" s="50">
        <v>78</v>
      </c>
      <c r="K58" s="126">
        <v>42</v>
      </c>
      <c r="L58" s="50">
        <v>1.5</v>
      </c>
      <c r="M58" s="51"/>
      <c r="N58" s="51"/>
      <c r="O58" s="51"/>
      <c r="P58" s="52" t="str">
        <f t="shared" si="5"/>
        <v/>
      </c>
      <c r="Q58" s="53">
        <f>(J58*M58)+(K58*N58)+(O58*L58)</f>
        <v>0</v>
      </c>
      <c r="S58" s="54"/>
      <c r="T58" s="54"/>
      <c r="U58" s="55"/>
      <c r="X58" s="56">
        <f t="shared" si="7"/>
        <v>0</v>
      </c>
      <c r="Y58" s="57">
        <f t="shared" si="0"/>
        <v>0</v>
      </c>
      <c r="Z58" s="57">
        <f t="shared" si="8"/>
        <v>0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W70" s="21">
        <f>28188+5616</f>
        <v>33804</v>
      </c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3" t="s">
        <v>101</v>
      </c>
      <c r="C73" s="283"/>
      <c r="D73" s="283"/>
      <c r="E73" s="283"/>
      <c r="F73" s="283"/>
      <c r="G73" s="283"/>
      <c r="H73" s="147" t="str">
        <f>ROUND(((F12+F30+F53+F58+F59+F60+F61+F62)/72+(F13+F16+F18)/108+(F14+SUM(F19:F29)+F31+F32+F22+F51+F46)/63+F15/96+SUM(F35:F44)/100+SUM(F48:F50)/24+SUM(F63:F70)/100+(F52+F47+F45)/100),1)&amp;" pallets"</f>
        <v>15 pallets</v>
      </c>
      <c r="I73" s="148"/>
      <c r="J73" s="149"/>
      <c r="K73" s="150"/>
      <c r="L73" s="149"/>
      <c r="M73" s="151"/>
      <c r="N73" s="152"/>
      <c r="O73" s="152"/>
      <c r="P73" s="221" t="str">
        <f>ROUND((((M12+N12+M30+M58+M59+M60+M61+M62+N58)/72+(M13+N13+M16+M18)/108+(M15+N15)/96+SUM(M14,M19:M29,M31:M32,M51,N14)/63)),1)&amp;" pallets"</f>
        <v>11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SUM(I12:I72)</f>
        <v>1232820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SUM(Q12:Q72)</f>
        <v>120204</v>
      </c>
      <c r="P75" s="263"/>
      <c r="Q75" s="264"/>
      <c r="R75" s="152"/>
      <c r="S75" s="159" t="s">
        <v>104</v>
      </c>
      <c r="T75" s="268">
        <f>SUM(Y12:Y70)</f>
        <v>46396.800000000003</v>
      </c>
      <c r="U75" s="269"/>
      <c r="V75" s="160"/>
      <c r="W75" s="160">
        <f>8856+2185.92</f>
        <v>11041.92</v>
      </c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3">
        <f>SUM(I14:I74)</f>
        <v>1232820</v>
      </c>
      <c r="G77" s="263"/>
      <c r="H77" s="263"/>
      <c r="I77" s="264"/>
      <c r="J77" s="158"/>
      <c r="K77" s="158"/>
      <c r="L77" s="158"/>
      <c r="M77" s="275" t="s">
        <v>103</v>
      </c>
      <c r="N77" s="276"/>
      <c r="O77" s="263">
        <f>SUM(Q14:Q74)</f>
        <v>83916</v>
      </c>
      <c r="P77" s="263"/>
      <c r="Q77" s="264"/>
      <c r="R77" s="152"/>
      <c r="S77" s="159" t="s">
        <v>129</v>
      </c>
      <c r="T77" s="268">
        <f>SUM(Z12:Z72)</f>
        <v>3240</v>
      </c>
      <c r="U77" s="269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3">
        <f>IF(U7&gt;0,"",(F75-O75-T81-P81))</f>
        <v>1062979.2</v>
      </c>
      <c r="G79" s="263"/>
      <c r="H79" s="263"/>
      <c r="I79" s="264"/>
      <c r="J79" s="164"/>
      <c r="K79" s="164"/>
      <c r="L79" s="164"/>
      <c r="M79" s="265" t="s">
        <v>106</v>
      </c>
      <c r="N79" s="265"/>
      <c r="O79" s="168" t="s">
        <v>107</v>
      </c>
      <c r="P79" s="266"/>
      <c r="Q79" s="267"/>
      <c r="R79" s="152"/>
      <c r="S79" s="159" t="s">
        <v>108</v>
      </c>
      <c r="T79" s="268">
        <f>IF(SUM(X12:X70)*0.15&gt;P79,P79,SUM(X12:X70)*0.15)</f>
        <v>0</v>
      </c>
      <c r="U79" s="269"/>
      <c r="V79" s="160"/>
      <c r="W79" s="270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1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3"/>
      <c r="G81" s="263"/>
      <c r="H81" s="263"/>
      <c r="I81" s="264"/>
      <c r="J81" s="164"/>
      <c r="K81" s="164"/>
      <c r="L81" s="164"/>
      <c r="M81" s="273" t="str">
        <f>IF(U6&gt;0,"",T4+30)</f>
        <v/>
      </c>
      <c r="N81" s="274"/>
      <c r="O81" s="168" t="s">
        <v>111</v>
      </c>
      <c r="P81" s="266"/>
      <c r="Q81" s="267"/>
      <c r="R81" s="152"/>
      <c r="S81" s="159" t="s">
        <v>112</v>
      </c>
      <c r="T81" s="268">
        <f>T79+T75+T77</f>
        <v>49636.800000000003</v>
      </c>
      <c r="U81" s="269"/>
      <c r="V81" s="160"/>
      <c r="W81" s="272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0" t="s">
        <v>113</v>
      </c>
      <c r="C83" s="241"/>
      <c r="D83" s="241"/>
      <c r="E83" s="241"/>
      <c r="F83" s="241"/>
      <c r="G83" s="241"/>
      <c r="H83" s="242"/>
      <c r="I83" s="249" t="s">
        <v>114</v>
      </c>
      <c r="J83" s="171"/>
      <c r="K83" s="171"/>
      <c r="L83" s="171"/>
      <c r="M83" s="251"/>
      <c r="N83" s="254" t="s">
        <v>115</v>
      </c>
      <c r="O83" s="257"/>
      <c r="P83" s="251"/>
      <c r="Q83" s="234" t="s">
        <v>116</v>
      </c>
      <c r="R83" s="260"/>
      <c r="S83" s="231"/>
      <c r="T83" s="234" t="s">
        <v>117</v>
      </c>
      <c r="U83" s="237"/>
    </row>
    <row r="84" spans="2:35" ht="15" customHeight="1" x14ac:dyDescent="0.25">
      <c r="B84" s="243"/>
      <c r="C84" s="244"/>
      <c r="D84" s="244"/>
      <c r="E84" s="244"/>
      <c r="F84" s="244"/>
      <c r="G84" s="244"/>
      <c r="H84" s="245"/>
      <c r="I84" s="228"/>
      <c r="J84" s="2"/>
      <c r="K84" s="2"/>
      <c r="L84" s="2"/>
      <c r="M84" s="252"/>
      <c r="N84" s="255"/>
      <c r="O84" s="258"/>
      <c r="P84" s="252"/>
      <c r="Q84" s="235"/>
      <c r="R84" s="261"/>
      <c r="S84" s="232"/>
      <c r="T84" s="235"/>
      <c r="U84" s="238"/>
    </row>
    <row r="85" spans="2:35" ht="15.75" customHeight="1" thickBot="1" x14ac:dyDescent="0.3">
      <c r="B85" s="246"/>
      <c r="C85" s="247"/>
      <c r="D85" s="247"/>
      <c r="E85" s="247"/>
      <c r="F85" s="247"/>
      <c r="G85" s="247"/>
      <c r="H85" s="248"/>
      <c r="I85" s="250"/>
      <c r="J85" s="172"/>
      <c r="K85" s="172"/>
      <c r="L85" s="172"/>
      <c r="M85" s="253"/>
      <c r="N85" s="256"/>
      <c r="O85" s="259"/>
      <c r="P85" s="253"/>
      <c r="Q85" s="236"/>
      <c r="R85" s="262"/>
      <c r="S85" s="233"/>
      <c r="T85" s="236"/>
      <c r="U85" s="239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2" t="s">
        <v>132</v>
      </c>
      <c r="C90" s="223"/>
      <c r="D90" s="223"/>
      <c r="E90" s="223"/>
      <c r="F90" s="223"/>
      <c r="G90" s="223"/>
      <c r="H90" s="223"/>
      <c r="I90" s="224"/>
      <c r="J90" s="185"/>
      <c r="K90" s="185"/>
      <c r="L90" s="185"/>
      <c r="M90" s="222"/>
      <c r="N90" s="223"/>
      <c r="O90" s="223"/>
      <c r="P90" s="223"/>
      <c r="Q90" s="224"/>
      <c r="R90" s="187"/>
      <c r="S90" s="188"/>
      <c r="T90" s="188"/>
      <c r="U90" s="189"/>
    </row>
    <row r="91" spans="2:35" ht="18" x14ac:dyDescent="0.25">
      <c r="B91" s="225" t="s">
        <v>122</v>
      </c>
      <c r="C91" s="226"/>
      <c r="D91" s="226"/>
      <c r="E91" s="226"/>
      <c r="F91" s="226"/>
      <c r="G91" s="226"/>
      <c r="H91" s="226"/>
      <c r="I91" s="227"/>
      <c r="M91" s="225" t="s">
        <v>122</v>
      </c>
      <c r="N91" s="226"/>
      <c r="O91" s="226"/>
      <c r="P91" s="226"/>
      <c r="Q91" s="227"/>
      <c r="R91" s="228" t="s">
        <v>123</v>
      </c>
      <c r="S91" s="229"/>
      <c r="T91" s="229"/>
      <c r="U91" s="23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2" t="s">
        <v>133</v>
      </c>
      <c r="C95" s="223"/>
      <c r="D95" s="223"/>
      <c r="E95" s="223"/>
      <c r="F95" s="223"/>
      <c r="G95" s="223"/>
      <c r="H95" s="223"/>
      <c r="I95" s="22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5" t="s">
        <v>126</v>
      </c>
      <c r="C96" s="226"/>
      <c r="D96" s="226"/>
      <c r="E96" s="226"/>
      <c r="F96" s="226"/>
      <c r="G96" s="226"/>
      <c r="H96" s="226"/>
      <c r="I96" s="227"/>
      <c r="M96" s="179"/>
      <c r="Q96" s="180"/>
      <c r="R96" s="228" t="s">
        <v>127</v>
      </c>
      <c r="S96" s="229"/>
      <c r="T96" s="229"/>
      <c r="U96" s="23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B6343-1B89-4610-BECB-45B42F725829}">
  <sheetPr>
    <tabColor rgb="FF00B050"/>
    <pageSetUpPr fitToPage="1"/>
  </sheetPr>
  <dimension ref="A1:AJ102"/>
  <sheetViews>
    <sheetView showGridLines="0" tabSelected="1" topLeftCell="A57" zoomScale="85" zoomScaleNormal="85" workbookViewId="0">
      <pane xSplit="2" topLeftCell="C1" activePane="topRight" state="frozen"/>
      <selection activeCell="F17" sqref="F17"/>
      <selection pane="topRight" activeCell="W70" sqref="W7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12" t="s">
        <v>130</v>
      </c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6" t="s">
        <v>1</v>
      </c>
      <c r="U2" s="7"/>
      <c r="W2" s="270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71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13"/>
      <c r="G4" s="313"/>
      <c r="H4" s="313"/>
      <c r="I4" s="313"/>
      <c r="J4" s="313"/>
      <c r="K4" s="313"/>
      <c r="L4" s="313"/>
      <c r="M4" s="313"/>
      <c r="S4" s="2" t="s">
        <v>4</v>
      </c>
      <c r="T4" s="314"/>
      <c r="U4" s="314"/>
      <c r="W4" s="272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15"/>
      <c r="G6" s="315"/>
      <c r="H6" s="315"/>
      <c r="I6" s="315"/>
      <c r="J6" s="315"/>
      <c r="K6" s="315"/>
      <c r="L6" s="315"/>
      <c r="M6" s="315"/>
      <c r="S6" s="11" t="s">
        <v>6</v>
      </c>
      <c r="T6" s="221" t="s">
        <v>7</v>
      </c>
      <c r="U6" s="12" t="s">
        <v>131</v>
      </c>
      <c r="W6" s="270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15"/>
      <c r="G7" s="315"/>
      <c r="H7" s="315"/>
      <c r="I7" s="315"/>
      <c r="J7" s="315"/>
      <c r="K7" s="315"/>
      <c r="L7" s="315"/>
      <c r="M7" s="315"/>
      <c r="N7" s="14"/>
      <c r="O7" s="14"/>
      <c r="P7" s="14"/>
      <c r="Q7" s="15"/>
      <c r="S7" s="14"/>
      <c r="T7" s="221" t="s">
        <v>11</v>
      </c>
      <c r="U7" s="12"/>
      <c r="W7" s="272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84" t="s">
        <v>14</v>
      </c>
      <c r="C9" s="287" t="s">
        <v>15</v>
      </c>
      <c r="D9" s="287" t="s">
        <v>16</v>
      </c>
      <c r="E9" s="287" t="s">
        <v>17</v>
      </c>
      <c r="F9" s="290" t="s">
        <v>18</v>
      </c>
      <c r="G9" s="291"/>
      <c r="H9" s="291"/>
      <c r="I9" s="291"/>
      <c r="J9" s="291"/>
      <c r="K9" s="291"/>
      <c r="L9" s="291"/>
      <c r="M9" s="291"/>
      <c r="N9" s="291"/>
      <c r="O9" s="291"/>
      <c r="P9" s="291"/>
      <c r="Q9" s="292"/>
      <c r="S9" s="290" t="s">
        <v>19</v>
      </c>
      <c r="T9" s="291"/>
      <c r="U9" s="292"/>
      <c r="X9" s="297" t="s">
        <v>20</v>
      </c>
      <c r="Y9" s="300" t="s">
        <v>21</v>
      </c>
      <c r="Z9" s="300" t="s">
        <v>128</v>
      </c>
      <c r="AA9" s="17"/>
      <c r="AB9" s="277" t="s">
        <v>22</v>
      </c>
      <c r="AC9" s="303" t="s">
        <v>23</v>
      </c>
      <c r="AD9" s="306" t="s">
        <v>24</v>
      </c>
      <c r="AE9" s="277" t="s">
        <v>25</v>
      </c>
      <c r="AG9" s="277" t="s">
        <v>26</v>
      </c>
      <c r="AH9" s="17"/>
      <c r="AI9" s="277" t="s">
        <v>27</v>
      </c>
    </row>
    <row r="10" spans="2:35" s="16" customFormat="1" ht="20.25" customHeight="1" x14ac:dyDescent="0.25">
      <c r="B10" s="285"/>
      <c r="C10" s="288"/>
      <c r="D10" s="288"/>
      <c r="E10" s="288"/>
      <c r="F10" s="294" t="s">
        <v>28</v>
      </c>
      <c r="G10" s="294" t="s">
        <v>29</v>
      </c>
      <c r="H10" s="294" t="s">
        <v>30</v>
      </c>
      <c r="I10" s="295" t="s">
        <v>31</v>
      </c>
      <c r="J10" s="295" t="s">
        <v>32</v>
      </c>
      <c r="K10" s="295" t="s">
        <v>33</v>
      </c>
      <c r="L10" s="295" t="s">
        <v>34</v>
      </c>
      <c r="M10" s="309" t="s">
        <v>35</v>
      </c>
      <c r="N10" s="310"/>
      <c r="O10" s="310"/>
      <c r="P10" s="310"/>
      <c r="Q10" s="311"/>
      <c r="S10" s="280" t="s">
        <v>36</v>
      </c>
      <c r="T10" s="281"/>
      <c r="U10" s="282"/>
      <c r="X10" s="298"/>
      <c r="Y10" s="301"/>
      <c r="Z10" s="301"/>
      <c r="AA10" s="17"/>
      <c r="AB10" s="278"/>
      <c r="AC10" s="304"/>
      <c r="AD10" s="307"/>
      <c r="AE10" s="278"/>
      <c r="AG10" s="278"/>
      <c r="AH10" s="17"/>
      <c r="AI10" s="278"/>
    </row>
    <row r="11" spans="2:35" s="21" customFormat="1" ht="12.75" customHeight="1" thickBot="1" x14ac:dyDescent="0.3">
      <c r="B11" s="286"/>
      <c r="C11" s="289"/>
      <c r="D11" s="289"/>
      <c r="E11" s="289"/>
      <c r="F11" s="289"/>
      <c r="G11" s="289"/>
      <c r="H11" s="289"/>
      <c r="I11" s="296"/>
      <c r="J11" s="296"/>
      <c r="K11" s="296"/>
      <c r="L11" s="296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9"/>
      <c r="Y11" s="302"/>
      <c r="Z11" s="302"/>
      <c r="AA11" s="17"/>
      <c r="AB11" s="279"/>
      <c r="AC11" s="305"/>
      <c r="AD11" s="308"/>
      <c r="AE11" s="279"/>
      <c r="AG11" s="293"/>
      <c r="AH11" s="17"/>
      <c r="AI11" s="279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70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70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70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2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70" si="5">IF(M13&amp;N13="","",ROUND(((M13+N13)/G13),1)&amp;" pallets")</f>
        <v/>
      </c>
      <c r="Q13" s="53">
        <f t="shared" ref="Q13:Q72" si="6">(J13*M13)+(K13*N13)+(O13*L13)</f>
        <v>0</v>
      </c>
      <c r="S13" s="54"/>
      <c r="T13" s="54"/>
      <c r="U13" s="55"/>
      <c r="X13" s="56">
        <f t="shared" ref="X13:X70" si="7">F13*C13</f>
        <v>0</v>
      </c>
      <c r="Y13" s="57">
        <f>F13*AI13</f>
        <v>0</v>
      </c>
      <c r="Z13" s="57">
        <f t="shared" ref="Z13:Z70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70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70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4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135</v>
      </c>
      <c r="C34" s="24">
        <v>1667</v>
      </c>
      <c r="D34" s="24"/>
      <c r="E34" s="24">
        <f t="shared" si="2"/>
        <v>1667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/>
      <c r="Z34" s="57"/>
      <c r="AA34" s="37"/>
      <c r="AB34" s="58"/>
      <c r="AC34" s="59"/>
      <c r="AD34" s="59"/>
      <c r="AE34" s="60"/>
      <c r="AF34" s="61"/>
      <c r="AG34" s="62"/>
      <c r="AH34" s="37"/>
      <c r="AI34" s="43"/>
    </row>
    <row r="35" spans="2:35" s="21" customFormat="1" ht="32.1" customHeight="1" x14ac:dyDescent="0.25">
      <c r="B35" s="23" t="s">
        <v>64</v>
      </c>
      <c r="C35" s="24">
        <v>1175</v>
      </c>
      <c r="D35" s="24"/>
      <c r="E35" s="24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43">
        <f t="shared" si="1"/>
        <v>27.16</v>
      </c>
    </row>
    <row r="36" spans="2:35" s="21" customFormat="1" ht="32.1" customHeight="1" x14ac:dyDescent="0.25">
      <c r="B36" s="44" t="s">
        <v>65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66</v>
      </c>
      <c r="C37" s="45">
        <v>1175</v>
      </c>
      <c r="D37" s="45"/>
      <c r="E37" s="45">
        <f t="shared" si="2"/>
        <v>1175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44" t="s">
        <v>67</v>
      </c>
      <c r="C38" s="45">
        <v>1582</v>
      </c>
      <c r="D38" s="45"/>
      <c r="E38" s="45">
        <f t="shared" si="2"/>
        <v>1582</v>
      </c>
      <c r="F38" s="46"/>
      <c r="G38" s="47">
        <v>100</v>
      </c>
      <c r="H38" s="64" t="str">
        <f t="shared" si="11"/>
        <v/>
      </c>
      <c r="I38" s="49">
        <f t="shared" si="4"/>
        <v>0</v>
      </c>
      <c r="J38" s="84"/>
      <c r="K38" s="65"/>
      <c r="L38" s="84"/>
      <c r="M38" s="66"/>
      <c r="N38" s="66"/>
      <c r="O38" s="66"/>
      <c r="P38" s="52" t="str">
        <f t="shared" si="5"/>
        <v/>
      </c>
      <c r="Q38" s="53">
        <f t="shared" si="6"/>
        <v>0</v>
      </c>
      <c r="S38" s="67"/>
      <c r="T38" s="67"/>
      <c r="U38" s="85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63">
        <f t="shared" si="1"/>
        <v>27.16</v>
      </c>
    </row>
    <row r="39" spans="2:35" s="21" customFormat="1" ht="32.1" customHeight="1" x14ac:dyDescent="0.25">
      <c r="B39" s="68" t="s">
        <v>68</v>
      </c>
      <c r="C39" s="69">
        <v>1582</v>
      </c>
      <c r="D39" s="69"/>
      <c r="E39" s="69">
        <f t="shared" si="2"/>
        <v>1582</v>
      </c>
      <c r="F39" s="70"/>
      <c r="G39" s="71">
        <v>100</v>
      </c>
      <c r="H39" s="72" t="str">
        <f t="shared" si="11"/>
        <v/>
      </c>
      <c r="I39" s="73">
        <f t="shared" si="4"/>
        <v>0</v>
      </c>
      <c r="J39" s="100"/>
      <c r="K39" s="75"/>
      <c r="L39" s="100"/>
      <c r="M39" s="77"/>
      <c r="N39" s="77"/>
      <c r="O39" s="77"/>
      <c r="P39" s="78" t="str">
        <f t="shared" si="5"/>
        <v/>
      </c>
      <c r="Q39" s="79">
        <f t="shared" si="6"/>
        <v>0</v>
      </c>
      <c r="S39" s="81"/>
      <c r="T39" s="81"/>
      <c r="U39" s="101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83">
        <f t="shared" si="1"/>
        <v>27.16</v>
      </c>
    </row>
    <row r="40" spans="2:35" s="21" customFormat="1" ht="32.1" customHeight="1" x14ac:dyDescent="0.25">
      <c r="B40" s="23" t="s">
        <v>69</v>
      </c>
      <c r="C40" s="24">
        <v>650</v>
      </c>
      <c r="D40" s="24"/>
      <c r="E40" s="24">
        <f t="shared" si="2"/>
        <v>650</v>
      </c>
      <c r="F40" s="86"/>
      <c r="G40" s="87">
        <v>100</v>
      </c>
      <c r="H40" s="88" t="str">
        <f t="shared" si="11"/>
        <v/>
      </c>
      <c r="I40" s="89">
        <f t="shared" si="4"/>
        <v>0</v>
      </c>
      <c r="J40" s="102"/>
      <c r="K40" s="91"/>
      <c r="L40" s="102"/>
      <c r="M40" s="93"/>
      <c r="N40" s="93"/>
      <c r="O40" s="93"/>
      <c r="P40" s="94" t="str">
        <f t="shared" si="5"/>
        <v/>
      </c>
      <c r="Q40" s="95">
        <f t="shared" si="6"/>
        <v>0</v>
      </c>
      <c r="S40" s="97"/>
      <c r="T40" s="97"/>
      <c r="U40" s="103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43">
        <f t="shared" si="1"/>
        <v>27.16</v>
      </c>
    </row>
    <row r="41" spans="2:35" s="21" customFormat="1" ht="32.1" customHeight="1" x14ac:dyDescent="0.25">
      <c r="B41" s="44" t="s">
        <v>70</v>
      </c>
      <c r="C41" s="104">
        <v>650</v>
      </c>
      <c r="D41" s="104"/>
      <c r="E41" s="104">
        <f t="shared" si="2"/>
        <v>650</v>
      </c>
      <c r="F41" s="46"/>
      <c r="G41" s="47">
        <v>100</v>
      </c>
      <c r="H41" s="64" t="str">
        <f t="shared" si="11"/>
        <v/>
      </c>
      <c r="I41" s="49">
        <f t="shared" si="4"/>
        <v>0</v>
      </c>
      <c r="J41" s="84"/>
      <c r="K41" s="65"/>
      <c r="L41" s="84"/>
      <c r="M41" s="66"/>
      <c r="N41" s="66"/>
      <c r="O41" s="66"/>
      <c r="P41" s="52" t="str">
        <f t="shared" si="5"/>
        <v/>
      </c>
      <c r="Q41" s="53">
        <f t="shared" si="6"/>
        <v>0</v>
      </c>
      <c r="S41" s="67"/>
      <c r="T41" s="67"/>
      <c r="U41" s="85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63">
        <f t="shared" si="1"/>
        <v>27.16</v>
      </c>
    </row>
    <row r="42" spans="2:35" s="21" customFormat="1" ht="32.1" customHeight="1" x14ac:dyDescent="0.25">
      <c r="B42" s="68" t="s">
        <v>71</v>
      </c>
      <c r="C42" s="99">
        <v>650</v>
      </c>
      <c r="D42" s="99"/>
      <c r="E42" s="99">
        <f t="shared" si="2"/>
        <v>650</v>
      </c>
      <c r="F42" s="70"/>
      <c r="G42" s="71">
        <v>100</v>
      </c>
      <c r="H42" s="72" t="str">
        <f t="shared" si="11"/>
        <v/>
      </c>
      <c r="I42" s="73">
        <f t="shared" si="4"/>
        <v>0</v>
      </c>
      <c r="J42" s="100"/>
      <c r="K42" s="75"/>
      <c r="L42" s="100"/>
      <c r="M42" s="77"/>
      <c r="N42" s="77"/>
      <c r="O42" s="77"/>
      <c r="P42" s="78" t="str">
        <f t="shared" si="5"/>
        <v/>
      </c>
      <c r="Q42" s="79">
        <f t="shared" si="6"/>
        <v>0</v>
      </c>
      <c r="S42" s="81"/>
      <c r="T42" s="81"/>
      <c r="U42" s="101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83">
        <f t="shared" si="1"/>
        <v>27.16</v>
      </c>
    </row>
    <row r="43" spans="2:35" s="21" customFormat="1" ht="32.1" customHeight="1" x14ac:dyDescent="0.25">
      <c r="B43" s="105" t="s">
        <v>72</v>
      </c>
      <c r="C43" s="106">
        <v>1102</v>
      </c>
      <c r="D43" s="106"/>
      <c r="E43" s="106">
        <f t="shared" si="2"/>
        <v>1102</v>
      </c>
      <c r="F43" s="86"/>
      <c r="G43" s="87">
        <v>100</v>
      </c>
      <c r="H43" s="88" t="str">
        <f t="shared" si="11"/>
        <v/>
      </c>
      <c r="I43" s="89">
        <f t="shared" si="4"/>
        <v>0</v>
      </c>
      <c r="J43" s="102"/>
      <c r="K43" s="91"/>
      <c r="L43" s="102"/>
      <c r="M43" s="93"/>
      <c r="N43" s="93"/>
      <c r="O43" s="93"/>
      <c r="P43" s="94" t="str">
        <f t="shared" si="5"/>
        <v/>
      </c>
      <c r="Q43" s="95">
        <f t="shared" si="6"/>
        <v>0</v>
      </c>
      <c r="S43" s="97"/>
      <c r="T43" s="97"/>
      <c r="U43" s="103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07">
        <f t="shared" si="1"/>
        <v>27.16</v>
      </c>
    </row>
    <row r="44" spans="2:35" s="21" customFormat="1" ht="32.1" customHeight="1" x14ac:dyDescent="0.25">
      <c r="B44" s="108" t="s">
        <v>73</v>
      </c>
      <c r="C44" s="109">
        <v>1102</v>
      </c>
      <c r="D44" s="109"/>
      <c r="E44" s="109">
        <f t="shared" si="2"/>
        <v>1102</v>
      </c>
      <c r="F44" s="46"/>
      <c r="G44" s="47">
        <v>100</v>
      </c>
      <c r="H44" s="64" t="str">
        <f t="shared" si="11"/>
        <v/>
      </c>
      <c r="I44" s="49">
        <f t="shared" si="4"/>
        <v>0</v>
      </c>
      <c r="J44" s="84"/>
      <c r="K44" s="65"/>
      <c r="L44" s="84"/>
      <c r="M44" s="66"/>
      <c r="N44" s="66"/>
      <c r="O44" s="66"/>
      <c r="P44" s="52" t="str">
        <f t="shared" si="5"/>
        <v/>
      </c>
      <c r="Q44" s="53">
        <f t="shared" si="6"/>
        <v>0</v>
      </c>
      <c r="S44" s="67"/>
      <c r="T44" s="67"/>
      <c r="U44" s="85"/>
      <c r="X44" s="56">
        <f t="shared" si="7"/>
        <v>0</v>
      </c>
      <c r="Y44" s="57">
        <f t="shared" si="0"/>
        <v>0</v>
      </c>
      <c r="Z44" s="57">
        <f t="shared" si="8"/>
        <v>0</v>
      </c>
      <c r="AA44" s="37"/>
      <c r="AB44" s="58">
        <f t="shared" si="13"/>
        <v>1.85</v>
      </c>
      <c r="AC44" s="59">
        <f t="shared" si="13"/>
        <v>0</v>
      </c>
      <c r="AD44" s="59">
        <f t="shared" si="13"/>
        <v>0.31</v>
      </c>
      <c r="AE44" s="60">
        <f t="shared" si="9"/>
        <v>2.16</v>
      </c>
      <c r="AF44" s="61"/>
      <c r="AG44" s="62">
        <v>25</v>
      </c>
      <c r="AH44" s="37"/>
      <c r="AI44" s="110">
        <f t="shared" si="1"/>
        <v>27.16</v>
      </c>
    </row>
    <row r="45" spans="2:35" s="21" customFormat="1" ht="32.1" customHeight="1" x14ac:dyDescent="0.25">
      <c r="B45" s="44" t="s">
        <v>74</v>
      </c>
      <c r="C45" s="109">
        <v>1102</v>
      </c>
      <c r="D45" s="45"/>
      <c r="E45" s="45">
        <f>C45+D45</f>
        <v>1102</v>
      </c>
      <c r="F45" s="46"/>
      <c r="G45" s="47">
        <v>100</v>
      </c>
      <c r="H45" s="64" t="str">
        <f>IF(F45="","",(ROUND((F45/G45),1)&amp;" pallets"))</f>
        <v/>
      </c>
      <c r="I45" s="49">
        <f>E45*F45</f>
        <v>0</v>
      </c>
      <c r="J45" s="84"/>
      <c r="K45" s="65"/>
      <c r="L45" s="84"/>
      <c r="M45" s="66"/>
      <c r="N45" s="66"/>
      <c r="O45" s="66"/>
      <c r="P45" s="52" t="str">
        <f>IF(M45&amp;N45="","",ROUND(((M45+N45)/G45),1)&amp;" pallets")</f>
        <v/>
      </c>
      <c r="Q45" s="53">
        <f>(J45*M45)+(K45*N45)+(O45*L45)</f>
        <v>0</v>
      </c>
      <c r="S45" s="67"/>
      <c r="T45" s="67"/>
      <c r="U45" s="85"/>
      <c r="X45" s="56">
        <f>F45*C45</f>
        <v>0</v>
      </c>
      <c r="Y45" s="57">
        <f>F45*AI45</f>
        <v>0</v>
      </c>
      <c r="Z45" s="57">
        <f t="shared" si="8"/>
        <v>0</v>
      </c>
      <c r="AA45" s="37"/>
      <c r="AB45" s="58">
        <f>AB$6</f>
        <v>1.85</v>
      </c>
      <c r="AC45" s="59">
        <f>AC$6</f>
        <v>0</v>
      </c>
      <c r="AD45" s="59">
        <f>AD$6</f>
        <v>0.31</v>
      </c>
      <c r="AE45" s="60">
        <f>AB45+AC45+AD45</f>
        <v>2.16</v>
      </c>
      <c r="AF45" s="61"/>
      <c r="AG45" s="62">
        <v>25</v>
      </c>
      <c r="AH45" s="37"/>
      <c r="AI45" s="63">
        <f>AG45+AE45</f>
        <v>27.16</v>
      </c>
    </row>
    <row r="46" spans="2:35" s="21" customFormat="1" ht="32.1" customHeight="1" x14ac:dyDescent="0.25">
      <c r="B46" s="108" t="s">
        <v>75</v>
      </c>
      <c r="C46" s="109">
        <v>1770</v>
      </c>
      <c r="D46" s="109"/>
      <c r="E46" s="109">
        <f t="shared" si="2"/>
        <v>1770</v>
      </c>
      <c r="F46" s="46"/>
      <c r="G46" s="47">
        <v>63</v>
      </c>
      <c r="H46" s="64" t="str">
        <f t="shared" si="11"/>
        <v/>
      </c>
      <c r="I46" s="49">
        <f t="shared" si="4"/>
        <v>0</v>
      </c>
      <c r="J46" s="84"/>
      <c r="K46" s="65"/>
      <c r="L46" s="84"/>
      <c r="M46" s="66"/>
      <c r="N46" s="66"/>
      <c r="O46" s="66"/>
      <c r="P46" s="52" t="str">
        <f t="shared" si="5"/>
        <v/>
      </c>
      <c r="Q46" s="53">
        <f t="shared" si="6"/>
        <v>0</v>
      </c>
      <c r="S46" s="67"/>
      <c r="T46" s="67"/>
      <c r="U46" s="85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AB$7</f>
        <v>3.46</v>
      </c>
      <c r="AC46" s="59">
        <f>AC$7</f>
        <v>0</v>
      </c>
      <c r="AD46" s="59">
        <f>AD$6</f>
        <v>0.31</v>
      </c>
      <c r="AE46" s="60">
        <f t="shared" si="9"/>
        <v>3.77</v>
      </c>
      <c r="AF46" s="61"/>
      <c r="AG46" s="62">
        <v>25</v>
      </c>
      <c r="AH46" s="37"/>
      <c r="AI46" s="110">
        <f t="shared" si="1"/>
        <v>28.77</v>
      </c>
    </row>
    <row r="47" spans="2:35" s="21" customFormat="1" ht="32.1" customHeight="1" x14ac:dyDescent="0.25">
      <c r="B47" s="68" t="s">
        <v>76</v>
      </c>
      <c r="C47" s="69">
        <v>1770</v>
      </c>
      <c r="D47" s="69"/>
      <c r="E47" s="69">
        <f t="shared" si="2"/>
        <v>1770</v>
      </c>
      <c r="F47" s="70"/>
      <c r="G47" s="71">
        <v>100</v>
      </c>
      <c r="H47" s="72" t="str">
        <f t="shared" si="11"/>
        <v/>
      </c>
      <c r="I47" s="73">
        <f t="shared" si="4"/>
        <v>0</v>
      </c>
      <c r="J47" s="100"/>
      <c r="K47" s="75"/>
      <c r="L47" s="100"/>
      <c r="M47" s="77"/>
      <c r="N47" s="77"/>
      <c r="O47" s="77"/>
      <c r="P47" s="78" t="str">
        <f t="shared" si="5"/>
        <v/>
      </c>
      <c r="Q47" s="79">
        <f t="shared" si="6"/>
        <v>0</v>
      </c>
      <c r="S47" s="81"/>
      <c r="T47" s="81"/>
      <c r="U47" s="101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>
        <f>AB$6</f>
        <v>1.85</v>
      </c>
      <c r="AC47" s="59">
        <f>AC$6</f>
        <v>0</v>
      </c>
      <c r="AD47" s="59">
        <f>AD$6</f>
        <v>0.31</v>
      </c>
      <c r="AE47" s="60">
        <f t="shared" si="9"/>
        <v>2.16</v>
      </c>
      <c r="AF47" s="61"/>
      <c r="AG47" s="62">
        <v>25</v>
      </c>
      <c r="AH47" s="37"/>
      <c r="AI47" s="83">
        <f t="shared" si="1"/>
        <v>27.16</v>
      </c>
    </row>
    <row r="48" spans="2:35" s="21" customFormat="1" ht="32.1" hidden="1" customHeight="1" x14ac:dyDescent="0.25">
      <c r="B48" s="105" t="s">
        <v>77</v>
      </c>
      <c r="C48" s="106"/>
      <c r="D48" s="106"/>
      <c r="E48" s="106">
        <f t="shared" si="2"/>
        <v>0</v>
      </c>
      <c r="F48" s="46"/>
      <c r="G48" s="47">
        <v>6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07">
        <f t="shared" si="1"/>
        <v>25</v>
      </c>
    </row>
    <row r="49" spans="2:35" s="21" customFormat="1" ht="32.1" hidden="1" customHeight="1" x14ac:dyDescent="0.25">
      <c r="B49" s="108" t="s">
        <v>78</v>
      </c>
      <c r="C49" s="111"/>
      <c r="D49" s="111"/>
      <c r="E49" s="111">
        <f t="shared" si="2"/>
        <v>0</v>
      </c>
      <c r="F49" s="46"/>
      <c r="G49" s="47">
        <v>12</v>
      </c>
      <c r="H49" s="64" t="str">
        <f t="shared" si="11"/>
        <v/>
      </c>
      <c r="I49" s="49">
        <f t="shared" si="4"/>
        <v>0</v>
      </c>
      <c r="J49" s="50">
        <v>1</v>
      </c>
      <c r="K49" s="65"/>
      <c r="L49" s="84"/>
      <c r="M49" s="51"/>
      <c r="N49" s="66"/>
      <c r="O49" s="66"/>
      <c r="P49" s="52" t="str">
        <f t="shared" si="5"/>
        <v/>
      </c>
      <c r="Q49" s="53">
        <f t="shared" si="6"/>
        <v>0</v>
      </c>
      <c r="S49" s="54"/>
      <c r="T49" s="67"/>
      <c r="U49" s="85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110">
        <f t="shared" si="1"/>
        <v>25</v>
      </c>
    </row>
    <row r="50" spans="2:35" s="21" customFormat="1" ht="32.1" hidden="1" customHeight="1" x14ac:dyDescent="0.25">
      <c r="B50" s="68" t="s">
        <v>79</v>
      </c>
      <c r="C50" s="69"/>
      <c r="D50" s="69"/>
      <c r="E50" s="69">
        <f t="shared" si="2"/>
        <v>0</v>
      </c>
      <c r="F50" s="70"/>
      <c r="G50" s="71">
        <v>6</v>
      </c>
      <c r="H50" s="72" t="str">
        <f t="shared" si="11"/>
        <v/>
      </c>
      <c r="I50" s="73">
        <f t="shared" si="4"/>
        <v>0</v>
      </c>
      <c r="J50" s="74">
        <v>1</v>
      </c>
      <c r="K50" s="75"/>
      <c r="L50" s="100"/>
      <c r="M50" s="76"/>
      <c r="N50" s="77"/>
      <c r="O50" s="77"/>
      <c r="P50" s="78" t="str">
        <f t="shared" si="5"/>
        <v/>
      </c>
      <c r="Q50" s="79">
        <f t="shared" si="6"/>
        <v>0</v>
      </c>
      <c r="S50" s="80"/>
      <c r="T50" s="81"/>
      <c r="U50" s="101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/>
      <c r="AC50" s="59"/>
      <c r="AD50" s="59"/>
      <c r="AE50" s="60">
        <f t="shared" si="9"/>
        <v>0</v>
      </c>
      <c r="AF50" s="61"/>
      <c r="AG50" s="62">
        <v>25</v>
      </c>
      <c r="AH50" s="37"/>
      <c r="AI50" s="83">
        <f t="shared" si="1"/>
        <v>25</v>
      </c>
    </row>
    <row r="51" spans="2:35" s="21" customFormat="1" ht="32.1" customHeight="1" x14ac:dyDescent="0.25">
      <c r="B51" s="44" t="s">
        <v>80</v>
      </c>
      <c r="C51" s="45">
        <v>851</v>
      </c>
      <c r="D51" s="45">
        <v>120</v>
      </c>
      <c r="E51" s="45">
        <f t="shared" si="2"/>
        <v>971</v>
      </c>
      <c r="F51" s="46"/>
      <c r="G51" s="47">
        <v>63</v>
      </c>
      <c r="H51" s="64" t="str">
        <f t="shared" si="11"/>
        <v/>
      </c>
      <c r="I51" s="49">
        <f t="shared" si="4"/>
        <v>0</v>
      </c>
      <c r="J51" s="50">
        <v>120</v>
      </c>
      <c r="K51" s="65"/>
      <c r="L51" s="84"/>
      <c r="M51" s="51"/>
      <c r="N51" s="66"/>
      <c r="O51" s="66"/>
      <c r="P51" s="52" t="str">
        <f t="shared" si="5"/>
        <v/>
      </c>
      <c r="Q51" s="53">
        <f t="shared" si="6"/>
        <v>0</v>
      </c>
      <c r="S51" s="54"/>
      <c r="T51" s="67"/>
      <c r="U51" s="85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AB$2</f>
        <v>5.76</v>
      </c>
      <c r="AC51" s="59">
        <f>AC$2</f>
        <v>0</v>
      </c>
      <c r="AD51" s="59">
        <f>AD$2</f>
        <v>0.31</v>
      </c>
      <c r="AE51" s="60">
        <f t="shared" si="9"/>
        <v>6.0699999999999994</v>
      </c>
      <c r="AF51" s="61"/>
      <c r="AG51" s="62">
        <v>25</v>
      </c>
      <c r="AH51" s="37"/>
      <c r="AI51" s="63">
        <f t="shared" si="1"/>
        <v>31.07</v>
      </c>
    </row>
    <row r="52" spans="2:35" s="21" customFormat="1" ht="32.1" customHeight="1" thickBot="1" x14ac:dyDescent="0.3">
      <c r="B52" s="112" t="s">
        <v>81</v>
      </c>
      <c r="C52" s="113">
        <v>1102</v>
      </c>
      <c r="D52" s="113">
        <v>0</v>
      </c>
      <c r="E52" s="113">
        <f t="shared" si="2"/>
        <v>1102</v>
      </c>
      <c r="F52" s="114"/>
      <c r="G52" s="115">
        <v>100</v>
      </c>
      <c r="H52" s="116" t="str">
        <f t="shared" si="11"/>
        <v/>
      </c>
      <c r="I52" s="117">
        <f t="shared" si="4"/>
        <v>0</v>
      </c>
      <c r="J52" s="118"/>
      <c r="K52" s="119"/>
      <c r="L52" s="118"/>
      <c r="M52" s="120"/>
      <c r="N52" s="120"/>
      <c r="O52" s="120"/>
      <c r="P52" s="121" t="str">
        <f t="shared" si="5"/>
        <v/>
      </c>
      <c r="Q52" s="122">
        <f t="shared" si="6"/>
        <v>0</v>
      </c>
      <c r="S52" s="123"/>
      <c r="T52" s="123"/>
      <c r="U52" s="124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f>AB$6</f>
        <v>1.85</v>
      </c>
      <c r="AC52" s="59">
        <f>AC$6</f>
        <v>0</v>
      </c>
      <c r="AD52" s="59">
        <f>AD$6</f>
        <v>0.31</v>
      </c>
      <c r="AE52" s="60">
        <f t="shared" si="9"/>
        <v>2.16</v>
      </c>
      <c r="AF52" s="61"/>
      <c r="AG52" s="62">
        <v>25</v>
      </c>
      <c r="AH52" s="37"/>
      <c r="AI52" s="125">
        <f t="shared" si="1"/>
        <v>27.16</v>
      </c>
    </row>
    <row r="53" spans="2:35" s="21" customFormat="1" ht="32.1" hidden="1" customHeight="1" x14ac:dyDescent="0.25">
      <c r="B53" s="23" t="s">
        <v>82</v>
      </c>
      <c r="C53" s="24"/>
      <c r="D53" s="24"/>
      <c r="E53" s="24">
        <f t="shared" si="2"/>
        <v>0</v>
      </c>
      <c r="F53" s="86"/>
      <c r="G53" s="87">
        <v>72</v>
      </c>
      <c r="H53" s="88" t="str">
        <f t="shared" si="11"/>
        <v/>
      </c>
      <c r="I53" s="89">
        <f t="shared" si="4"/>
        <v>0</v>
      </c>
      <c r="J53" s="102"/>
      <c r="K53" s="91"/>
      <c r="L53" s="102"/>
      <c r="M53" s="93"/>
      <c r="N53" s="93"/>
      <c r="O53" s="93"/>
      <c r="P53" s="94" t="str">
        <f t="shared" si="5"/>
        <v/>
      </c>
      <c r="Q53" s="95">
        <f t="shared" si="6"/>
        <v>0</v>
      </c>
      <c r="S53" s="97"/>
      <c r="T53" s="97"/>
      <c r="U53" s="103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v>1.69</v>
      </c>
      <c r="AC53" s="59">
        <v>1.69</v>
      </c>
      <c r="AD53" s="59">
        <v>1.69</v>
      </c>
      <c r="AE53" s="60">
        <f t="shared" si="9"/>
        <v>5.07</v>
      </c>
      <c r="AF53" s="61"/>
      <c r="AG53" s="62">
        <v>25</v>
      </c>
      <c r="AH53" s="37"/>
      <c r="AI53" s="43">
        <f t="shared" si="1"/>
        <v>30.07</v>
      </c>
    </row>
    <row r="54" spans="2:35" s="21" customFormat="1" ht="32.1" customHeight="1" thickBot="1" x14ac:dyDescent="0.3">
      <c r="B54" s="112" t="s">
        <v>83</v>
      </c>
      <c r="C54" s="113">
        <v>1142</v>
      </c>
      <c r="D54" s="113">
        <v>0</v>
      </c>
      <c r="E54" s="113">
        <f t="shared" si="2"/>
        <v>1142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ref="AB54:AD62" si="14">AB$6</f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84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85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thickBot="1" x14ac:dyDescent="0.3">
      <c r="B57" s="112" t="s">
        <v>86</v>
      </c>
      <c r="C57" s="113">
        <v>1582</v>
      </c>
      <c r="D57" s="113">
        <v>0</v>
      </c>
      <c r="E57" s="113">
        <f t="shared" si="2"/>
        <v>1582</v>
      </c>
      <c r="F57" s="114"/>
      <c r="G57" s="115">
        <v>100</v>
      </c>
      <c r="H57" s="116" t="str">
        <f t="shared" si="11"/>
        <v/>
      </c>
      <c r="I57" s="117">
        <f t="shared" si="4"/>
        <v>0</v>
      </c>
      <c r="J57" s="118"/>
      <c r="K57" s="119"/>
      <c r="L57" s="118"/>
      <c r="M57" s="120"/>
      <c r="N57" s="120"/>
      <c r="O57" s="120"/>
      <c r="P57" s="121" t="str">
        <f t="shared" si="5"/>
        <v/>
      </c>
      <c r="Q57" s="122">
        <f t="shared" si="6"/>
        <v>0</v>
      </c>
      <c r="S57" s="123"/>
      <c r="T57" s="123"/>
      <c r="U57" s="124"/>
      <c r="X57" s="56">
        <f t="shared" si="7"/>
        <v>0</v>
      </c>
      <c r="Y57" s="57">
        <f t="shared" si="0"/>
        <v>0</v>
      </c>
      <c r="Z57" s="57">
        <f t="shared" si="8"/>
        <v>0</v>
      </c>
      <c r="AA57" s="37"/>
      <c r="AB57" s="58">
        <f t="shared" si="14"/>
        <v>1.85</v>
      </c>
      <c r="AC57" s="59">
        <f t="shared" si="14"/>
        <v>0</v>
      </c>
      <c r="AD57" s="59">
        <f t="shared" si="14"/>
        <v>0.31</v>
      </c>
      <c r="AE57" s="60">
        <f t="shared" si="9"/>
        <v>2.16</v>
      </c>
      <c r="AF57" s="61"/>
      <c r="AG57" s="62">
        <v>25</v>
      </c>
      <c r="AH57" s="37"/>
      <c r="AI57" s="125">
        <f t="shared" si="1"/>
        <v>27.16</v>
      </c>
    </row>
    <row r="58" spans="2:35" s="21" customFormat="1" ht="32.1" customHeight="1" x14ac:dyDescent="0.25">
      <c r="B58" s="44" t="s">
        <v>87</v>
      </c>
      <c r="C58" s="45">
        <v>229</v>
      </c>
      <c r="D58" s="45">
        <v>78</v>
      </c>
      <c r="E58" s="45">
        <f t="shared" si="2"/>
        <v>307</v>
      </c>
      <c r="F58" s="46">
        <v>146</v>
      </c>
      <c r="G58" s="47">
        <v>72</v>
      </c>
      <c r="H58" s="64" t="str">
        <f t="shared" si="11"/>
        <v>2 pallets</v>
      </c>
      <c r="I58" s="49">
        <f t="shared" si="4"/>
        <v>44822</v>
      </c>
      <c r="J58" s="50">
        <v>78</v>
      </c>
      <c r="K58" s="126">
        <v>42</v>
      </c>
      <c r="L58" s="50">
        <v>1.5</v>
      </c>
      <c r="M58" s="51">
        <v>360</v>
      </c>
      <c r="N58" s="51">
        <v>135</v>
      </c>
      <c r="O58" s="51"/>
      <c r="P58" s="52" t="str">
        <f t="shared" si="5"/>
        <v>6.9 pallets</v>
      </c>
      <c r="Q58" s="53">
        <f>(J58*M58)+(K58*N58)+(O58*L58)</f>
        <v>33750</v>
      </c>
      <c r="S58" s="54"/>
      <c r="T58" s="54"/>
      <c r="U58" s="55"/>
      <c r="X58" s="56">
        <f t="shared" si="7"/>
        <v>33434</v>
      </c>
      <c r="Y58" s="57">
        <f t="shared" si="0"/>
        <v>3777.0199999999995</v>
      </c>
      <c r="Z58" s="57">
        <f t="shared" si="8"/>
        <v>292</v>
      </c>
      <c r="AA58" s="37"/>
      <c r="AB58" s="58">
        <f t="shared" ref="AB58:AC60" si="15">AB$1</f>
        <v>5.0599999999999996</v>
      </c>
      <c r="AC58" s="59">
        <f t="shared" si="15"/>
        <v>0</v>
      </c>
      <c r="AD58" s="59">
        <f t="shared" si="14"/>
        <v>0.31</v>
      </c>
      <c r="AE58" s="60">
        <f t="shared" si="9"/>
        <v>5.3699999999999992</v>
      </c>
      <c r="AF58" s="61"/>
      <c r="AG58" s="62">
        <v>20.5</v>
      </c>
      <c r="AH58" s="37"/>
      <c r="AI58" s="63">
        <f>AG58+AE58</f>
        <v>25.869999999999997</v>
      </c>
    </row>
    <row r="59" spans="2:35" s="21" customFormat="1" ht="32.1" customHeight="1" x14ac:dyDescent="0.25">
      <c r="B59" s="44" t="s">
        <v>88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/>
      <c r="I59" s="49">
        <f t="shared" si="4"/>
        <v>0</v>
      </c>
      <c r="J59" s="84"/>
      <c r="K59" s="65"/>
      <c r="L59" s="50">
        <v>1.5</v>
      </c>
      <c r="M59" s="93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>
        <f t="shared" si="8"/>
        <v>0</v>
      </c>
      <c r="AA59" s="37"/>
      <c r="AB59" s="58">
        <f t="shared" si="15"/>
        <v>5.0599999999999996</v>
      </c>
      <c r="AC59" s="59">
        <f t="shared" si="15"/>
        <v>0</v>
      </c>
      <c r="AD59" s="59">
        <f t="shared" si="14"/>
        <v>0.31</v>
      </c>
      <c r="AE59" s="60">
        <f t="shared" si="9"/>
        <v>5.3699999999999992</v>
      </c>
      <c r="AF59" s="61"/>
      <c r="AG59" s="62">
        <v>20.5</v>
      </c>
      <c r="AH59" s="37"/>
      <c r="AI59" s="63">
        <f t="shared" si="1"/>
        <v>25.869999999999997</v>
      </c>
    </row>
    <row r="60" spans="2:35" s="21" customFormat="1" ht="32.1" customHeight="1" x14ac:dyDescent="0.25">
      <c r="B60" s="44" t="s">
        <v>89</v>
      </c>
      <c r="C60" s="45">
        <v>229</v>
      </c>
      <c r="D60" s="45">
        <v>78</v>
      </c>
      <c r="E60" s="45">
        <f t="shared" si="2"/>
        <v>307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>
        <f t="shared" si="8"/>
        <v>0</v>
      </c>
      <c r="AA60" s="37"/>
      <c r="AB60" s="58">
        <f t="shared" si="15"/>
        <v>5.0599999999999996</v>
      </c>
      <c r="AC60" s="59">
        <f t="shared" si="15"/>
        <v>0</v>
      </c>
      <c r="AD60" s="59">
        <f t="shared" si="14"/>
        <v>0.31</v>
      </c>
      <c r="AE60" s="60">
        <f t="shared" si="9"/>
        <v>5.3699999999999992</v>
      </c>
      <c r="AF60" s="61"/>
      <c r="AG60" s="62">
        <v>20.5</v>
      </c>
      <c r="AH60" s="37"/>
      <c r="AI60" s="63">
        <f t="shared" si="1"/>
        <v>25.869999999999997</v>
      </c>
    </row>
    <row r="61" spans="2:35" s="21" customFormat="1" ht="32.1" hidden="1" customHeight="1" x14ac:dyDescent="0.25">
      <c r="B61" s="44" t="s">
        <v>90</v>
      </c>
      <c r="C61" s="45">
        <v>229</v>
      </c>
      <c r="D61" s="45">
        <v>283</v>
      </c>
      <c r="E61" s="45">
        <f t="shared" si="2"/>
        <v>512</v>
      </c>
      <c r="F61" s="46"/>
      <c r="G61" s="47">
        <v>72</v>
      </c>
      <c r="H61" s="64" t="str">
        <f t="shared" si="11"/>
        <v/>
      </c>
      <c r="I61" s="49">
        <f t="shared" si="4"/>
        <v>0</v>
      </c>
      <c r="J61" s="84"/>
      <c r="K61" s="65"/>
      <c r="L61" s="50">
        <v>1.5</v>
      </c>
      <c r="M61" s="66"/>
      <c r="N61" s="66"/>
      <c r="O61" s="51"/>
      <c r="P61" s="52" t="str">
        <f t="shared" si="5"/>
        <v/>
      </c>
      <c r="Q61" s="53">
        <f t="shared" si="6"/>
        <v>0</v>
      </c>
      <c r="S61" s="54"/>
      <c r="T61" s="67"/>
      <c r="U61" s="55"/>
      <c r="X61" s="56">
        <f t="shared" si="7"/>
        <v>0</v>
      </c>
      <c r="Y61" s="57">
        <f t="shared" si="0"/>
        <v>0</v>
      </c>
      <c r="Z61" s="57">
        <f t="shared" si="8"/>
        <v>0</v>
      </c>
      <c r="AA61" s="37"/>
      <c r="AB61" s="58">
        <v>1.69</v>
      </c>
      <c r="AC61" s="59">
        <v>1.69</v>
      </c>
      <c r="AD61" s="59">
        <f t="shared" si="14"/>
        <v>0.31</v>
      </c>
      <c r="AE61" s="60">
        <f t="shared" si="9"/>
        <v>3.69</v>
      </c>
      <c r="AF61" s="61"/>
      <c r="AG61" s="62">
        <v>20.5</v>
      </c>
      <c r="AH61" s="37"/>
      <c r="AI61" s="63">
        <f t="shared" si="1"/>
        <v>24.19</v>
      </c>
    </row>
    <row r="62" spans="2:35" s="21" customFormat="1" ht="32.1" customHeight="1" x14ac:dyDescent="0.25">
      <c r="B62" s="68" t="s">
        <v>91</v>
      </c>
      <c r="C62" s="45">
        <v>229</v>
      </c>
      <c r="D62" s="69">
        <v>78</v>
      </c>
      <c r="E62" s="69">
        <f t="shared" si="2"/>
        <v>307</v>
      </c>
      <c r="F62" s="70"/>
      <c r="G62" s="71">
        <v>72</v>
      </c>
      <c r="H62" s="72" t="str">
        <f t="shared" si="11"/>
        <v/>
      </c>
      <c r="I62" s="73">
        <f t="shared" si="4"/>
        <v>0</v>
      </c>
      <c r="J62" s="100"/>
      <c r="K62" s="75"/>
      <c r="L62" s="74">
        <v>1.5</v>
      </c>
      <c r="M62" s="93"/>
      <c r="N62" s="77"/>
      <c r="O62" s="76"/>
      <c r="P62" s="78" t="str">
        <f t="shared" si="5"/>
        <v/>
      </c>
      <c r="Q62" s="79">
        <f t="shared" si="6"/>
        <v>0</v>
      </c>
      <c r="S62" s="80"/>
      <c r="T62" s="81"/>
      <c r="U62" s="82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>AB$1</f>
        <v>5.0599999999999996</v>
      </c>
      <c r="AC62" s="59">
        <f>AC$1</f>
        <v>0</v>
      </c>
      <c r="AD62" s="59">
        <f t="shared" si="14"/>
        <v>0.31</v>
      </c>
      <c r="AE62" s="60">
        <f t="shared" si="9"/>
        <v>5.3699999999999992</v>
      </c>
      <c r="AF62" s="61"/>
      <c r="AG62" s="62">
        <v>20.5</v>
      </c>
      <c r="AH62" s="37"/>
      <c r="AI62" s="83">
        <f t="shared" si="1"/>
        <v>25.869999999999997</v>
      </c>
    </row>
    <row r="63" spans="2:35" s="21" customFormat="1" ht="32.1" customHeight="1" x14ac:dyDescent="0.25">
      <c r="B63" s="23" t="s">
        <v>92</v>
      </c>
      <c r="C63" s="24">
        <v>1582</v>
      </c>
      <c r="D63" s="24"/>
      <c r="E63" s="24">
        <f t="shared" si="2"/>
        <v>1582</v>
      </c>
      <c r="F63" s="86"/>
      <c r="G63" s="87">
        <v>110</v>
      </c>
      <c r="H63" s="88" t="str">
        <f t="shared" si="11"/>
        <v/>
      </c>
      <c r="I63" s="89">
        <f t="shared" si="4"/>
        <v>0</v>
      </c>
      <c r="J63" s="102"/>
      <c r="K63" s="91"/>
      <c r="L63" s="102"/>
      <c r="M63" s="93"/>
      <c r="N63" s="93"/>
      <c r="O63" s="93"/>
      <c r="P63" s="94" t="str">
        <f t="shared" si="5"/>
        <v/>
      </c>
      <c r="Q63" s="95">
        <f t="shared" si="6"/>
        <v>0</v>
      </c>
      <c r="S63" s="97"/>
      <c r="T63" s="9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ref="AB63:AD70" si="16">AB$6</f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43">
        <f t="shared" si="1"/>
        <v>27.16</v>
      </c>
    </row>
    <row r="64" spans="2:35" s="21" customFormat="1" ht="32.1" customHeight="1" x14ac:dyDescent="0.25">
      <c r="B64" s="44" t="s">
        <v>93</v>
      </c>
      <c r="C64" s="45">
        <v>1582</v>
      </c>
      <c r="D64" s="45"/>
      <c r="E64" s="45">
        <f t="shared" si="2"/>
        <v>1582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94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95</v>
      </c>
      <c r="C66" s="45">
        <v>1102</v>
      </c>
      <c r="D66" s="45"/>
      <c r="E66" s="45">
        <f t="shared" si="2"/>
        <v>1102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96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x14ac:dyDescent="0.25">
      <c r="B68" s="44" t="s">
        <v>97</v>
      </c>
      <c r="C68" s="45">
        <v>1175</v>
      </c>
      <c r="D68" s="45"/>
      <c r="E68" s="45">
        <f t="shared" si="2"/>
        <v>1175</v>
      </c>
      <c r="F68" s="46"/>
      <c r="G68" s="47">
        <v>100</v>
      </c>
      <c r="H68" s="64" t="str">
        <f t="shared" si="11"/>
        <v/>
      </c>
      <c r="I68" s="49">
        <f t="shared" si="4"/>
        <v>0</v>
      </c>
      <c r="J68" s="84"/>
      <c r="K68" s="65"/>
      <c r="L68" s="84"/>
      <c r="M68" s="66"/>
      <c r="N68" s="66"/>
      <c r="O68" s="93"/>
      <c r="P68" s="52" t="str">
        <f t="shared" si="5"/>
        <v/>
      </c>
      <c r="Q68" s="53">
        <f t="shared" si="6"/>
        <v>0</v>
      </c>
      <c r="S68" s="67"/>
      <c r="T68" s="67"/>
      <c r="U68" s="103"/>
      <c r="X68" s="56">
        <f t="shared" si="7"/>
        <v>0</v>
      </c>
      <c r="Y68" s="57">
        <f t="shared" si="0"/>
        <v>0</v>
      </c>
      <c r="Z68" s="57">
        <f t="shared" si="8"/>
        <v>0</v>
      </c>
      <c r="AA68" s="37"/>
      <c r="AB68" s="58">
        <f t="shared" si="16"/>
        <v>1.85</v>
      </c>
      <c r="AC68" s="59">
        <f t="shared" si="16"/>
        <v>0</v>
      </c>
      <c r="AD68" s="59">
        <f t="shared" si="16"/>
        <v>0.31</v>
      </c>
      <c r="AE68" s="60">
        <f t="shared" si="9"/>
        <v>2.16</v>
      </c>
      <c r="AF68" s="61"/>
      <c r="AG68" s="62">
        <v>25</v>
      </c>
      <c r="AH68" s="37"/>
      <c r="AI68" s="63">
        <f t="shared" si="1"/>
        <v>27.16</v>
      </c>
    </row>
    <row r="69" spans="2:35" s="21" customFormat="1" ht="32.1" customHeight="1" x14ac:dyDescent="0.25">
      <c r="B69" s="108" t="s">
        <v>134</v>
      </c>
      <c r="C69" s="109">
        <v>1582</v>
      </c>
      <c r="D69" s="109"/>
      <c r="E69" s="109">
        <f t="shared" si="2"/>
        <v>1582</v>
      </c>
      <c r="F69" s="205"/>
      <c r="G69" s="206">
        <v>100</v>
      </c>
      <c r="H69" s="207" t="str">
        <f t="shared" si="11"/>
        <v/>
      </c>
      <c r="I69" s="208">
        <f t="shared" si="4"/>
        <v>0</v>
      </c>
      <c r="J69" s="209"/>
      <c r="K69" s="210"/>
      <c r="L69" s="209"/>
      <c r="M69" s="211"/>
      <c r="N69" s="211"/>
      <c r="O69" s="93"/>
      <c r="P69" s="212" t="str">
        <f t="shared" si="5"/>
        <v/>
      </c>
      <c r="Q69" s="53">
        <f t="shared" si="6"/>
        <v>0</v>
      </c>
      <c r="S69" s="213"/>
      <c r="T69" s="213"/>
      <c r="U69" s="214"/>
      <c r="X69" s="215">
        <f t="shared" si="7"/>
        <v>0</v>
      </c>
      <c r="Y69" s="57">
        <f t="shared" si="0"/>
        <v>0</v>
      </c>
      <c r="Z69" s="57">
        <f t="shared" si="8"/>
        <v>0</v>
      </c>
      <c r="AA69" s="37"/>
      <c r="AB69" s="58">
        <f t="shared" si="16"/>
        <v>1.85</v>
      </c>
      <c r="AC69" s="59">
        <f t="shared" si="16"/>
        <v>0</v>
      </c>
      <c r="AD69" s="59">
        <f t="shared" si="16"/>
        <v>0.31</v>
      </c>
      <c r="AE69" s="60">
        <f t="shared" si="9"/>
        <v>2.16</v>
      </c>
      <c r="AF69" s="61"/>
      <c r="AG69" s="62">
        <v>25</v>
      </c>
      <c r="AH69" s="37"/>
      <c r="AI69" s="63">
        <f t="shared" si="1"/>
        <v>27.16</v>
      </c>
    </row>
    <row r="70" spans="2:35" s="21" customFormat="1" ht="32.1" customHeight="1" thickBot="1" x14ac:dyDescent="0.3">
      <c r="B70" s="112" t="s">
        <v>98</v>
      </c>
      <c r="C70" s="113">
        <v>1175</v>
      </c>
      <c r="D70" s="113"/>
      <c r="E70" s="113">
        <f t="shared" si="2"/>
        <v>1175</v>
      </c>
      <c r="F70" s="114"/>
      <c r="G70" s="115">
        <v>100</v>
      </c>
      <c r="H70" s="116" t="str">
        <f t="shared" si="11"/>
        <v/>
      </c>
      <c r="I70" s="117">
        <f t="shared" si="4"/>
        <v>0</v>
      </c>
      <c r="J70" s="118"/>
      <c r="K70" s="119"/>
      <c r="L70" s="118"/>
      <c r="M70" s="120"/>
      <c r="N70" s="120"/>
      <c r="O70" s="93"/>
      <c r="P70" s="121" t="str">
        <f t="shared" si="5"/>
        <v/>
      </c>
      <c r="Q70" s="53">
        <f t="shared" si="6"/>
        <v>0</v>
      </c>
      <c r="S70" s="123"/>
      <c r="T70" s="123"/>
      <c r="U70" s="128"/>
      <c r="X70" s="129">
        <f t="shared" si="7"/>
        <v>0</v>
      </c>
      <c r="Y70" s="130">
        <f t="shared" si="0"/>
        <v>0</v>
      </c>
      <c r="Z70" s="130">
        <f t="shared" si="8"/>
        <v>0</v>
      </c>
      <c r="AA70" s="37"/>
      <c r="AB70" s="131">
        <f t="shared" si="16"/>
        <v>1.85</v>
      </c>
      <c r="AC70" s="132">
        <f t="shared" si="16"/>
        <v>0</v>
      </c>
      <c r="AD70" s="132">
        <f t="shared" si="16"/>
        <v>0.31</v>
      </c>
      <c r="AE70" s="133">
        <f t="shared" si="9"/>
        <v>2.16</v>
      </c>
      <c r="AF70" s="61"/>
      <c r="AG70" s="62">
        <v>25</v>
      </c>
      <c r="AH70" s="37"/>
      <c r="AI70" s="125">
        <f t="shared" si="1"/>
        <v>27.16</v>
      </c>
    </row>
    <row r="71" spans="2:35" s="21" customFormat="1" ht="13.5" hidden="1" thickBot="1" x14ac:dyDescent="0.3">
      <c r="B71" s="135" t="s">
        <v>99</v>
      </c>
      <c r="C71" s="24">
        <v>20.5</v>
      </c>
      <c r="D71" s="24">
        <v>283</v>
      </c>
      <c r="E71" s="24">
        <f t="shared" ref="E71:E72" si="17">+D71-C71</f>
        <v>262.5</v>
      </c>
      <c r="F71" s="136"/>
      <c r="G71" s="87">
        <v>72</v>
      </c>
      <c r="H71" s="137" t="str">
        <f t="shared" ref="H71:H72" si="18">(F71/G71)&amp;" pallets"</f>
        <v>0 pallets</v>
      </c>
      <c r="I71" s="90">
        <f t="shared" si="4"/>
        <v>0</v>
      </c>
      <c r="J71" s="102"/>
      <c r="K71" s="91"/>
      <c r="L71" s="102"/>
      <c r="M71" s="138"/>
      <c r="N71" s="91"/>
      <c r="O71" s="138"/>
      <c r="P71" s="137" t="str">
        <f t="shared" ref="P71:P72" si="19">((M71+N71)/G71)&amp;" pallets"</f>
        <v>0 pallets</v>
      </c>
      <c r="Q71" s="139">
        <f t="shared" si="6"/>
        <v>0</v>
      </c>
      <c r="S71" s="138"/>
      <c r="T71" s="91"/>
      <c r="U71" s="138"/>
      <c r="AB71" s="21">
        <v>0.61</v>
      </c>
    </row>
    <row r="72" spans="2:35" s="21" customFormat="1" ht="13.5" hidden="1" thickBot="1" x14ac:dyDescent="0.3">
      <c r="B72" s="140" t="s">
        <v>100</v>
      </c>
      <c r="C72" s="141">
        <v>20.5</v>
      </c>
      <c r="D72" s="141">
        <v>283</v>
      </c>
      <c r="E72" s="141">
        <f t="shared" si="17"/>
        <v>262.5</v>
      </c>
      <c r="F72" s="142"/>
      <c r="G72" s="115">
        <v>72</v>
      </c>
      <c r="H72" s="143" t="str">
        <f t="shared" si="18"/>
        <v>0 pallets</v>
      </c>
      <c r="I72" s="144">
        <f t="shared" si="4"/>
        <v>0</v>
      </c>
      <c r="J72" s="118"/>
      <c r="K72" s="119"/>
      <c r="L72" s="118"/>
      <c r="M72" s="145"/>
      <c r="N72" s="119"/>
      <c r="O72" s="145"/>
      <c r="P72" s="143" t="str">
        <f t="shared" si="19"/>
        <v>0 pallets</v>
      </c>
      <c r="Q72" s="146">
        <f t="shared" si="6"/>
        <v>0</v>
      </c>
      <c r="S72" s="145"/>
      <c r="T72" s="119"/>
      <c r="U72" s="145"/>
      <c r="AB72" s="21">
        <v>0.61</v>
      </c>
    </row>
    <row r="73" spans="2:35" s="21" customFormat="1" ht="15.75" x14ac:dyDescent="0.25">
      <c r="B73" s="283" t="s">
        <v>101</v>
      </c>
      <c r="C73" s="283"/>
      <c r="D73" s="283"/>
      <c r="E73" s="283"/>
      <c r="F73" s="283"/>
      <c r="G73" s="283"/>
      <c r="H73" s="147" t="str">
        <f>ROUND(((F12+F30+F53+F58+F59+F60+F61+F62)/72+(F13+F16+F18)/108+(F14+SUM(F19:F29)+F31+F32+F22+F51+F46)/63+F15/96+SUM(F35:F44)/100+SUM(F48:F50)/24+SUM(F63:F70)/100+(F52+F47+F45)/100),1)&amp;" pallets"</f>
        <v>2 pallets</v>
      </c>
      <c r="I73" s="148"/>
      <c r="J73" s="149"/>
      <c r="K73" s="150"/>
      <c r="L73" s="149"/>
      <c r="M73" s="151"/>
      <c r="N73" s="152"/>
      <c r="O73" s="152"/>
      <c r="P73" s="221" t="str">
        <f>ROUND((((M12+N12+M30+M58+M59+M60+M61+M62+N58)/72+(M13+N13+M16+M18)/108+(M15+N15)/96+SUM(M14,M19:M29,M31:M32,M51,N14)/63)),1)&amp;" pallets"</f>
        <v>6.9 pallets</v>
      </c>
      <c r="Q73" s="153"/>
      <c r="R73" s="152"/>
      <c r="S73" s="152"/>
      <c r="T73" s="152"/>
      <c r="U73" s="152"/>
      <c r="V73" s="152"/>
      <c r="W73" s="152"/>
      <c r="Y73" s="152"/>
      <c r="Z73" s="152"/>
      <c r="AA73" s="152"/>
      <c r="AB73" s="152"/>
      <c r="AC73" s="152"/>
      <c r="AD73" s="152"/>
      <c r="AE73" s="152"/>
      <c r="AF73" s="152"/>
      <c r="AG73" s="152"/>
      <c r="AH73" s="152"/>
    </row>
    <row r="74" spans="2:35" s="21" customFormat="1" ht="13.5" thickBot="1" x14ac:dyDescent="0.3">
      <c r="B74" s="154"/>
      <c r="C74" s="155"/>
      <c r="D74" s="155"/>
      <c r="E74" s="155"/>
      <c r="F74" s="151"/>
      <c r="G74" s="151"/>
      <c r="H74" s="151"/>
      <c r="I74" s="148"/>
      <c r="J74" s="149"/>
      <c r="K74" s="150"/>
      <c r="L74" s="149"/>
      <c r="M74" s="151"/>
      <c r="N74" s="152"/>
      <c r="O74" s="152"/>
      <c r="P74" s="152"/>
      <c r="Q74" s="153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  <c r="AD74" s="152"/>
      <c r="AE74" s="152"/>
      <c r="AF74" s="152"/>
      <c r="AG74" s="152"/>
      <c r="AH74" s="152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63">
        <f>SUM(I12:I72)</f>
        <v>44822</v>
      </c>
      <c r="G75" s="263"/>
      <c r="H75" s="263"/>
      <c r="I75" s="264"/>
      <c r="J75" s="158"/>
      <c r="K75" s="158"/>
      <c r="L75" s="158"/>
      <c r="M75" s="275" t="s">
        <v>103</v>
      </c>
      <c r="N75" s="276"/>
      <c r="O75" s="263">
        <f>SUM(Q12:Q72)</f>
        <v>33750</v>
      </c>
      <c r="P75" s="263"/>
      <c r="Q75" s="264"/>
      <c r="R75" s="152"/>
      <c r="S75" s="159" t="s">
        <v>104</v>
      </c>
      <c r="T75" s="268">
        <f>SUM(Y12:Y70)</f>
        <v>3777.0199999999995</v>
      </c>
      <c r="U75" s="26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56" t="s">
        <v>102</v>
      </c>
      <c r="C77" s="157"/>
      <c r="D77" s="157"/>
      <c r="E77" s="157"/>
      <c r="F77" s="263">
        <f>SUM(I14:I74)</f>
        <v>44822</v>
      </c>
      <c r="G77" s="263"/>
      <c r="H77" s="263"/>
      <c r="I77" s="264"/>
      <c r="J77" s="158"/>
      <c r="K77" s="158"/>
      <c r="L77" s="158"/>
      <c r="M77" s="275" t="s">
        <v>103</v>
      </c>
      <c r="N77" s="276"/>
      <c r="O77" s="263">
        <f>SUM(Q14:Q74)</f>
        <v>33750</v>
      </c>
      <c r="P77" s="263"/>
      <c r="Q77" s="264"/>
      <c r="R77" s="152"/>
      <c r="S77" s="159" t="s">
        <v>129</v>
      </c>
      <c r="T77" s="268">
        <f>SUM(Z12:Z72)</f>
        <v>292</v>
      </c>
      <c r="U77" s="269"/>
      <c r="V77" s="160"/>
      <c r="W77" s="160"/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3"/>
      <c r="P78" s="163"/>
      <c r="Q78" s="163"/>
      <c r="R78" s="163"/>
      <c r="S78" s="162"/>
      <c r="T78" s="166"/>
      <c r="U78" s="166"/>
      <c r="V78" s="160"/>
      <c r="W78" s="160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105</v>
      </c>
      <c r="C79" s="157"/>
      <c r="D79" s="157"/>
      <c r="E79" s="157"/>
      <c r="F79" s="263">
        <f>IF(U7&gt;0,"",(F75-O75-T81-P81))</f>
        <v>7002.9800000000005</v>
      </c>
      <c r="G79" s="263"/>
      <c r="H79" s="263"/>
      <c r="I79" s="264"/>
      <c r="J79" s="164"/>
      <c r="K79" s="164"/>
      <c r="L79" s="164"/>
      <c r="M79" s="265" t="s">
        <v>106</v>
      </c>
      <c r="N79" s="265"/>
      <c r="O79" s="168" t="s">
        <v>107</v>
      </c>
      <c r="P79" s="266"/>
      <c r="Q79" s="267"/>
      <c r="R79" s="152"/>
      <c r="S79" s="159" t="s">
        <v>108</v>
      </c>
      <c r="T79" s="268">
        <f>IF(SUM(X12:X70)*0.15&gt;P79,P79,SUM(X12:X70)*0.15)</f>
        <v>0</v>
      </c>
      <c r="U79" s="269"/>
      <c r="V79" s="160"/>
      <c r="W79" s="270" t="s">
        <v>109</v>
      </c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62"/>
      <c r="F80" s="163"/>
      <c r="G80" s="163"/>
      <c r="H80" s="163"/>
      <c r="I80" s="163"/>
      <c r="J80" s="164"/>
      <c r="K80" s="164"/>
      <c r="L80" s="164"/>
      <c r="M80" s="165"/>
      <c r="N80" s="165"/>
      <c r="O80" s="169"/>
      <c r="P80" s="163"/>
      <c r="Q80" s="163"/>
      <c r="R80" s="163"/>
      <c r="S80" s="162"/>
      <c r="T80" s="166"/>
      <c r="U80" s="166"/>
      <c r="V80" s="160"/>
      <c r="W80" s="271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35" s="161" customFormat="1" ht="36.75" customHeight="1" thickBot="1" x14ac:dyDescent="0.3">
      <c r="B81" s="167" t="s">
        <v>110</v>
      </c>
      <c r="C81" s="157"/>
      <c r="D81" s="157"/>
      <c r="E81" s="157"/>
      <c r="F81" s="263"/>
      <c r="G81" s="263"/>
      <c r="H81" s="263"/>
      <c r="I81" s="264"/>
      <c r="J81" s="164"/>
      <c r="K81" s="164"/>
      <c r="L81" s="164"/>
      <c r="M81" s="273" t="str">
        <f>IF(U6&gt;0,"",T4+30)</f>
        <v/>
      </c>
      <c r="N81" s="274"/>
      <c r="O81" s="168" t="s">
        <v>111</v>
      </c>
      <c r="P81" s="266"/>
      <c r="Q81" s="267"/>
      <c r="R81" s="152"/>
      <c r="S81" s="159" t="s">
        <v>112</v>
      </c>
      <c r="T81" s="268">
        <f>T79+T75+T77</f>
        <v>4069.0199999999995</v>
      </c>
      <c r="U81" s="269"/>
      <c r="V81" s="160"/>
      <c r="W81" s="272"/>
      <c r="X81" s="160"/>
      <c r="Y81" s="160"/>
      <c r="Z81" s="160"/>
      <c r="AA81" s="160"/>
      <c r="AB81" s="160"/>
      <c r="AC81" s="160"/>
      <c r="AD81" s="160"/>
      <c r="AE81" s="160"/>
      <c r="AF81" s="160"/>
      <c r="AG81" s="160"/>
      <c r="AH81" s="160"/>
      <c r="AI81" s="160"/>
    </row>
    <row r="82" spans="2:35" s="161" customFormat="1" ht="6" customHeight="1" thickBot="1" x14ac:dyDescent="0.3">
      <c r="B82" s="170"/>
      <c r="C82" s="170"/>
      <c r="D82" s="170"/>
      <c r="E82" s="170"/>
      <c r="F82" s="170"/>
      <c r="G82" s="170"/>
      <c r="H82" s="170"/>
      <c r="I82" s="170"/>
      <c r="J82" s="170"/>
      <c r="K82" s="170"/>
      <c r="L82" s="170"/>
      <c r="M82" s="170"/>
      <c r="N82" s="170"/>
      <c r="O82" s="170"/>
      <c r="P82" s="170"/>
      <c r="Q82" s="170"/>
      <c r="R82" s="170"/>
      <c r="S82" s="170"/>
      <c r="T82" s="170"/>
      <c r="U82" s="170"/>
      <c r="V82" s="160"/>
      <c r="W82" s="170"/>
      <c r="X82" s="160"/>
      <c r="Y82" s="160"/>
      <c r="Z82" s="160"/>
      <c r="AA82" s="160"/>
      <c r="AB82" s="160"/>
      <c r="AC82" s="160"/>
      <c r="AD82" s="160"/>
      <c r="AE82" s="160"/>
      <c r="AF82" s="160"/>
      <c r="AG82" s="160"/>
      <c r="AH82" s="160"/>
      <c r="AI82" s="160"/>
    </row>
    <row r="83" spans="2:35" ht="15" customHeight="1" x14ac:dyDescent="0.25">
      <c r="B83" s="240" t="s">
        <v>113</v>
      </c>
      <c r="C83" s="241"/>
      <c r="D83" s="241"/>
      <c r="E83" s="241"/>
      <c r="F83" s="241"/>
      <c r="G83" s="241"/>
      <c r="H83" s="242"/>
      <c r="I83" s="249" t="s">
        <v>114</v>
      </c>
      <c r="J83" s="171"/>
      <c r="K83" s="171"/>
      <c r="L83" s="171"/>
      <c r="M83" s="251"/>
      <c r="N83" s="254" t="s">
        <v>115</v>
      </c>
      <c r="O83" s="257"/>
      <c r="P83" s="251"/>
      <c r="Q83" s="234" t="s">
        <v>116</v>
      </c>
      <c r="R83" s="260"/>
      <c r="S83" s="231"/>
      <c r="T83" s="234" t="s">
        <v>117</v>
      </c>
      <c r="U83" s="237"/>
    </row>
    <row r="84" spans="2:35" ht="15" customHeight="1" x14ac:dyDescent="0.25">
      <c r="B84" s="243"/>
      <c r="C84" s="244"/>
      <c r="D84" s="244"/>
      <c r="E84" s="244"/>
      <c r="F84" s="244"/>
      <c r="G84" s="244"/>
      <c r="H84" s="245"/>
      <c r="I84" s="228"/>
      <c r="J84" s="2"/>
      <c r="K84" s="2"/>
      <c r="L84" s="2"/>
      <c r="M84" s="252"/>
      <c r="N84" s="255"/>
      <c r="O84" s="258"/>
      <c r="P84" s="252"/>
      <c r="Q84" s="235"/>
      <c r="R84" s="261"/>
      <c r="S84" s="232"/>
      <c r="T84" s="235"/>
      <c r="U84" s="238"/>
    </row>
    <row r="85" spans="2:35" ht="15.75" customHeight="1" thickBot="1" x14ac:dyDescent="0.3">
      <c r="B85" s="246"/>
      <c r="C85" s="247"/>
      <c r="D85" s="247"/>
      <c r="E85" s="247"/>
      <c r="F85" s="247"/>
      <c r="G85" s="247"/>
      <c r="H85" s="248"/>
      <c r="I85" s="250"/>
      <c r="J85" s="172"/>
      <c r="K85" s="172"/>
      <c r="L85" s="172"/>
      <c r="M85" s="253"/>
      <c r="N85" s="256"/>
      <c r="O85" s="259"/>
      <c r="P85" s="253"/>
      <c r="Q85" s="236"/>
      <c r="R85" s="262"/>
      <c r="S85" s="233"/>
      <c r="T85" s="236"/>
      <c r="U85" s="239"/>
    </row>
    <row r="86" spans="2:35" ht="13.5" thickBot="1" x14ac:dyDescent="0.3"/>
    <row r="87" spans="2:35" s="178" customFormat="1" ht="18" x14ac:dyDescent="0.25">
      <c r="B87" s="173" t="s">
        <v>118</v>
      </c>
      <c r="C87" s="174"/>
      <c r="D87" s="174"/>
      <c r="E87" s="174"/>
      <c r="F87" s="174"/>
      <c r="G87" s="174"/>
      <c r="H87" s="174"/>
      <c r="I87" s="175"/>
      <c r="J87" s="176"/>
      <c r="K87" s="176"/>
      <c r="L87" s="176"/>
      <c r="M87" s="173" t="s">
        <v>119</v>
      </c>
      <c r="N87" s="174"/>
      <c r="O87" s="174"/>
      <c r="P87" s="174"/>
      <c r="Q87" s="175"/>
      <c r="R87" s="173" t="s">
        <v>120</v>
      </c>
      <c r="S87" s="174"/>
      <c r="T87" s="174"/>
      <c r="U87" s="177"/>
    </row>
    <row r="88" spans="2:35" ht="12.75" x14ac:dyDescent="0.25">
      <c r="B88" s="179"/>
      <c r="I88" s="180"/>
      <c r="M88" s="179"/>
      <c r="Q88" s="180"/>
      <c r="R88" s="179"/>
      <c r="U88" s="181"/>
    </row>
    <row r="89" spans="2:35" s="183" customFormat="1" ht="23.25" x14ac:dyDescent="0.25">
      <c r="B89" s="182" t="s">
        <v>121</v>
      </c>
      <c r="I89" s="184"/>
      <c r="J89" s="185"/>
      <c r="K89" s="185"/>
      <c r="L89" s="185"/>
      <c r="M89" s="182" t="s">
        <v>121</v>
      </c>
      <c r="Q89" s="184"/>
      <c r="R89" s="182"/>
      <c r="U89" s="186"/>
    </row>
    <row r="90" spans="2:35" s="183" customFormat="1" ht="23.25" x14ac:dyDescent="0.25">
      <c r="B90" s="222" t="s">
        <v>132</v>
      </c>
      <c r="C90" s="223"/>
      <c r="D90" s="223"/>
      <c r="E90" s="223"/>
      <c r="F90" s="223"/>
      <c r="G90" s="223"/>
      <c r="H90" s="223"/>
      <c r="I90" s="224"/>
      <c r="J90" s="185"/>
      <c r="K90" s="185"/>
      <c r="L90" s="185"/>
      <c r="M90" s="222"/>
      <c r="N90" s="223"/>
      <c r="O90" s="223"/>
      <c r="P90" s="223"/>
      <c r="Q90" s="224"/>
      <c r="R90" s="187"/>
      <c r="S90" s="188"/>
      <c r="T90" s="188"/>
      <c r="U90" s="189"/>
    </row>
    <row r="91" spans="2:35" ht="18" x14ac:dyDescent="0.25">
      <c r="B91" s="225" t="s">
        <v>122</v>
      </c>
      <c r="C91" s="226"/>
      <c r="D91" s="226"/>
      <c r="E91" s="226"/>
      <c r="F91" s="226"/>
      <c r="G91" s="226"/>
      <c r="H91" s="226"/>
      <c r="I91" s="227"/>
      <c r="M91" s="225" t="s">
        <v>122</v>
      </c>
      <c r="N91" s="226"/>
      <c r="O91" s="226"/>
      <c r="P91" s="226"/>
      <c r="Q91" s="227"/>
      <c r="R91" s="228" t="s">
        <v>123</v>
      </c>
      <c r="S91" s="229"/>
      <c r="T91" s="229"/>
      <c r="U91" s="230"/>
    </row>
    <row r="92" spans="2:35" ht="12.75" x14ac:dyDescent="0.25">
      <c r="B92" s="179"/>
      <c r="I92" s="180"/>
      <c r="M92" s="179"/>
      <c r="Q92" s="180"/>
      <c r="R92" s="179"/>
      <c r="U92" s="181"/>
    </row>
    <row r="93" spans="2:35" s="183" customFormat="1" ht="23.25" x14ac:dyDescent="0.25">
      <c r="B93" s="182" t="s">
        <v>124</v>
      </c>
      <c r="I93" s="184"/>
      <c r="J93" s="185"/>
      <c r="K93" s="185"/>
      <c r="L93" s="185"/>
      <c r="M93" s="182"/>
      <c r="Q93" s="184"/>
      <c r="R93" s="182" t="s">
        <v>125</v>
      </c>
      <c r="U93" s="186"/>
    </row>
    <row r="94" spans="2:35" ht="12.75" x14ac:dyDescent="0.25">
      <c r="B94" s="179"/>
      <c r="I94" s="180"/>
      <c r="M94" s="179"/>
      <c r="Q94" s="180"/>
      <c r="R94" s="179"/>
      <c r="U94" s="181"/>
    </row>
    <row r="95" spans="2:35" s="183" customFormat="1" ht="23.25" x14ac:dyDescent="0.25">
      <c r="B95" s="222" t="s">
        <v>133</v>
      </c>
      <c r="C95" s="223"/>
      <c r="D95" s="223"/>
      <c r="E95" s="223"/>
      <c r="F95" s="223"/>
      <c r="G95" s="223"/>
      <c r="H95" s="223"/>
      <c r="I95" s="224"/>
      <c r="J95" s="185"/>
      <c r="K95" s="185"/>
      <c r="L95" s="185"/>
      <c r="M95" s="179"/>
      <c r="N95" s="2"/>
      <c r="O95" s="2"/>
      <c r="P95" s="2"/>
      <c r="Q95" s="180"/>
      <c r="R95" s="187"/>
      <c r="S95" s="188"/>
      <c r="T95" s="188"/>
      <c r="U95" s="189"/>
    </row>
    <row r="96" spans="2:35" ht="18" x14ac:dyDescent="0.25">
      <c r="B96" s="225" t="s">
        <v>126</v>
      </c>
      <c r="C96" s="226"/>
      <c r="D96" s="226"/>
      <c r="E96" s="226"/>
      <c r="F96" s="226"/>
      <c r="G96" s="226"/>
      <c r="H96" s="226"/>
      <c r="I96" s="227"/>
      <c r="M96" s="179"/>
      <c r="Q96" s="180"/>
      <c r="R96" s="228" t="s">
        <v>127</v>
      </c>
      <c r="S96" s="229"/>
      <c r="T96" s="229"/>
      <c r="U96" s="230"/>
    </row>
    <row r="97" spans="2:21" ht="12.75" x14ac:dyDescent="0.25">
      <c r="B97" s="179"/>
      <c r="I97" s="180"/>
      <c r="M97" s="179"/>
      <c r="Q97" s="180"/>
      <c r="R97" s="179"/>
      <c r="U97" s="181"/>
    </row>
    <row r="98" spans="2:21" ht="13.5" thickBot="1" x14ac:dyDescent="0.3">
      <c r="B98" s="190"/>
      <c r="C98" s="172"/>
      <c r="D98" s="172"/>
      <c r="E98" s="172"/>
      <c r="F98" s="172"/>
      <c r="G98" s="172"/>
      <c r="H98" s="172"/>
      <c r="I98" s="191"/>
      <c r="M98" s="190"/>
      <c r="N98" s="172"/>
      <c r="O98" s="172"/>
      <c r="P98" s="172"/>
      <c r="Q98" s="191"/>
      <c r="R98" s="190"/>
      <c r="S98" s="172"/>
      <c r="T98" s="172"/>
      <c r="U98" s="192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13</vt:i4>
      </vt:variant>
    </vt:vector>
  </HeadingPairs>
  <TitlesOfParts>
    <vt:vector size="26" baseType="lpstr">
      <vt:lpstr>01-05-2026</vt:lpstr>
      <vt:lpstr>01-20-2026</vt:lpstr>
      <vt:lpstr>01-21-2026 EMPT</vt:lpstr>
      <vt:lpstr>01-24-2026</vt:lpstr>
      <vt:lpstr>01-26-2026</vt:lpstr>
      <vt:lpstr>01-26-2026 (2)</vt:lpstr>
      <vt:lpstr>01-28-2026</vt:lpstr>
      <vt:lpstr>01-29-2026</vt:lpstr>
      <vt:lpstr>01-29-2026 (2)</vt:lpstr>
      <vt:lpstr>01-30-2026</vt:lpstr>
      <vt:lpstr>01-30-2026 MHT</vt:lpstr>
      <vt:lpstr>01-30-2026 B</vt:lpstr>
      <vt:lpstr>01-30-2026 MHT B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  <vt:lpstr>'01-28-2026'!Print_Area</vt:lpstr>
      <vt:lpstr>'01-29-2026'!Print_Area</vt:lpstr>
      <vt:lpstr>'01-29-2026 (2)'!Print_Area</vt:lpstr>
      <vt:lpstr>'01-30-2026'!Print_Area</vt:lpstr>
      <vt:lpstr>'01-30-2026 B'!Print_Area</vt:lpstr>
      <vt:lpstr>'01-30-2026 MHT'!Print_Area</vt:lpstr>
      <vt:lpstr>'01-30-2026 MHT 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2026-01-30T05:44:34Z</dcterms:modified>
</cp:coreProperties>
</file>