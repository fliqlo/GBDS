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AA8FAE2-703F-432B-B02E-4AC7EBB01444}" xr6:coauthVersionLast="45" xr6:coauthVersionMax="47" xr10:uidLastSave="{00000000-0000-0000-0000-000000000000}"/>
  <bookViews>
    <workbookView xWindow="-120" yWindow="-120" windowWidth="29040" windowHeight="15840" firstSheet="7" activeTab="15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  <sheet name="01-28-2026" sheetId="175" r:id="rId7"/>
    <sheet name="01-29-2026" sheetId="176" r:id="rId8"/>
    <sheet name="01-29-2026 (2)" sheetId="177" r:id="rId9"/>
    <sheet name="01-30-2026" sheetId="178" r:id="rId10"/>
    <sheet name="01-30-2026 MHT" sheetId="179" r:id="rId11"/>
    <sheet name="01-30-2026 B" sheetId="180" r:id="rId12"/>
    <sheet name="01-30-2026 MHT B" sheetId="181" r:id="rId13"/>
    <sheet name="01-31-2026" sheetId="182" r:id="rId14"/>
    <sheet name="01-31-2026 B" sheetId="183" r:id="rId15"/>
    <sheet name="01-31-2026 B (2)" sheetId="184" r:id="rId16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  <definedName name="_xlnm.Print_Area" localSheetId="6">'01-28-2026'!$A$1:$V$97</definedName>
    <definedName name="_xlnm.Print_Area" localSheetId="7">'01-29-2026'!$A$1:$V$97</definedName>
    <definedName name="_xlnm.Print_Area" localSheetId="8">'01-29-2026 (2)'!$A$1:$V$97</definedName>
    <definedName name="_xlnm.Print_Area" localSheetId="9">'01-30-2026'!$A$1:$V$99</definedName>
    <definedName name="_xlnm.Print_Area" localSheetId="11">'01-30-2026 B'!$A$1:$V$99</definedName>
    <definedName name="_xlnm.Print_Area" localSheetId="10">'01-30-2026 MHT'!$A$1:$V$99</definedName>
    <definedName name="_xlnm.Print_Area" localSheetId="12">'01-30-2026 MHT B'!$A$1:$V$99</definedName>
    <definedName name="_xlnm.Print_Area" localSheetId="13">'01-31-2026'!$A$1:$V$99</definedName>
    <definedName name="_xlnm.Print_Area" localSheetId="14">'01-31-2026 B'!$A$1:$V$99</definedName>
    <definedName name="_xlnm.Print_Area" localSheetId="15">'01-31-2026 B (2)'!$A$1:$V$99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184" l="1"/>
  <c r="P73" i="184"/>
  <c r="H73" i="184"/>
  <c r="Q72" i="184"/>
  <c r="P72" i="184"/>
  <c r="I72" i="184"/>
  <c r="H72" i="184"/>
  <c r="E72" i="184"/>
  <c r="Q71" i="184"/>
  <c r="P71" i="184"/>
  <c r="H71" i="184"/>
  <c r="E71" i="184"/>
  <c r="I71" i="184" s="1"/>
  <c r="AD70" i="184"/>
  <c r="AC70" i="184"/>
  <c r="AE70" i="184" s="1"/>
  <c r="AI70" i="184" s="1"/>
  <c r="Y70" i="184" s="1"/>
  <c r="AB70" i="184"/>
  <c r="Z70" i="184"/>
  <c r="X70" i="184"/>
  <c r="Q70" i="184"/>
  <c r="P70" i="184"/>
  <c r="H70" i="184"/>
  <c r="E70" i="184"/>
  <c r="I70" i="184" s="1"/>
  <c r="AD69" i="184"/>
  <c r="AC69" i="184"/>
  <c r="AB69" i="184"/>
  <c r="AE69" i="184" s="1"/>
  <c r="AI69" i="184" s="1"/>
  <c r="Y69" i="184" s="1"/>
  <c r="Z69" i="184"/>
  <c r="X69" i="184"/>
  <c r="Q69" i="184"/>
  <c r="P69" i="184"/>
  <c r="I69" i="184"/>
  <c r="H69" i="184"/>
  <c r="E69" i="184"/>
  <c r="AD68" i="184"/>
  <c r="AE68" i="184" s="1"/>
  <c r="AI68" i="184" s="1"/>
  <c r="Y68" i="184" s="1"/>
  <c r="AC68" i="184"/>
  <c r="AB68" i="184"/>
  <c r="Z68" i="184"/>
  <c r="X68" i="184"/>
  <c r="Q68" i="184"/>
  <c r="P68" i="184"/>
  <c r="H68" i="184"/>
  <c r="E68" i="184"/>
  <c r="I68" i="184" s="1"/>
  <c r="AE67" i="184"/>
  <c r="AI67" i="184" s="1"/>
  <c r="Y67" i="184" s="1"/>
  <c r="AD67" i="184"/>
  <c r="AC67" i="184"/>
  <c r="AB67" i="184"/>
  <c r="Z67" i="184"/>
  <c r="X67" i="184"/>
  <c r="Q67" i="184"/>
  <c r="P67" i="184"/>
  <c r="H67" i="184"/>
  <c r="E67" i="184"/>
  <c r="I67" i="184" s="1"/>
  <c r="AD66" i="184"/>
  <c r="AC66" i="184"/>
  <c r="AB66" i="184"/>
  <c r="AE66" i="184" s="1"/>
  <c r="AI66" i="184" s="1"/>
  <c r="Y66" i="184" s="1"/>
  <c r="Z66" i="184"/>
  <c r="X66" i="184"/>
  <c r="Q66" i="184"/>
  <c r="P66" i="184"/>
  <c r="H66" i="184"/>
  <c r="E66" i="184"/>
  <c r="I66" i="184" s="1"/>
  <c r="AD65" i="184"/>
  <c r="AC65" i="184"/>
  <c r="AB65" i="184"/>
  <c r="AE65" i="184" s="1"/>
  <c r="AI65" i="184" s="1"/>
  <c r="Y65" i="184" s="1"/>
  <c r="Z65" i="184"/>
  <c r="X65" i="184"/>
  <c r="Q65" i="184"/>
  <c r="P65" i="184"/>
  <c r="I65" i="184"/>
  <c r="H65" i="184"/>
  <c r="E65" i="184"/>
  <c r="AD64" i="184"/>
  <c r="AE64" i="184" s="1"/>
  <c r="AI64" i="184" s="1"/>
  <c r="Y64" i="184" s="1"/>
  <c r="AC64" i="184"/>
  <c r="AB64" i="184"/>
  <c r="Z64" i="184"/>
  <c r="X64" i="184"/>
  <c r="Q64" i="184"/>
  <c r="P64" i="184"/>
  <c r="I64" i="184"/>
  <c r="H64" i="184"/>
  <c r="E64" i="184"/>
  <c r="AE63" i="184"/>
  <c r="AI63" i="184" s="1"/>
  <c r="Y63" i="184" s="1"/>
  <c r="AD63" i="184"/>
  <c r="AC63" i="184"/>
  <c r="AB63" i="184"/>
  <c r="Z63" i="184"/>
  <c r="X63" i="184"/>
  <c r="Q63" i="184"/>
  <c r="P63" i="184"/>
  <c r="H63" i="184"/>
  <c r="E63" i="184"/>
  <c r="I63" i="184" s="1"/>
  <c r="AD62" i="184"/>
  <c r="AC62" i="184"/>
  <c r="AB62" i="184"/>
  <c r="AE62" i="184" s="1"/>
  <c r="AI62" i="184" s="1"/>
  <c r="Y62" i="184" s="1"/>
  <c r="Z62" i="184"/>
  <c r="X62" i="184"/>
  <c r="Q62" i="184"/>
  <c r="P62" i="184"/>
  <c r="H62" i="184"/>
  <c r="E62" i="184"/>
  <c r="I62" i="184" s="1"/>
  <c r="AD61" i="184"/>
  <c r="AE61" i="184" s="1"/>
  <c r="AI61" i="184" s="1"/>
  <c r="Y61" i="184" s="1"/>
  <c r="Z61" i="184"/>
  <c r="X61" i="184"/>
  <c r="Q61" i="184"/>
  <c r="P61" i="184"/>
  <c r="H61" i="184"/>
  <c r="E61" i="184"/>
  <c r="I61" i="184" s="1"/>
  <c r="AD60" i="184"/>
  <c r="AC60" i="184"/>
  <c r="AE60" i="184" s="1"/>
  <c r="AI60" i="184" s="1"/>
  <c r="Y60" i="184" s="1"/>
  <c r="AB60" i="184"/>
  <c r="Z60" i="184"/>
  <c r="X60" i="184"/>
  <c r="Q60" i="184"/>
  <c r="P60" i="184"/>
  <c r="H60" i="184"/>
  <c r="E60" i="184"/>
  <c r="I60" i="184" s="1"/>
  <c r="AD59" i="184"/>
  <c r="AC59" i="184"/>
  <c r="AB59" i="184"/>
  <c r="AE59" i="184" s="1"/>
  <c r="AI59" i="184" s="1"/>
  <c r="Y59" i="184" s="1"/>
  <c r="Z59" i="184"/>
  <c r="X59" i="184"/>
  <c r="Q59" i="184"/>
  <c r="P59" i="184"/>
  <c r="E59" i="184"/>
  <c r="I59" i="184" s="1"/>
  <c r="AD58" i="184"/>
  <c r="AC58" i="184"/>
  <c r="AB58" i="184"/>
  <c r="AE58" i="184" s="1"/>
  <c r="AI58" i="184" s="1"/>
  <c r="Y58" i="184" s="1"/>
  <c r="Z58" i="184"/>
  <c r="X58" i="184"/>
  <c r="Q58" i="184"/>
  <c r="P58" i="184"/>
  <c r="I58" i="184"/>
  <c r="H58" i="184"/>
  <c r="E58" i="184"/>
  <c r="AD57" i="184"/>
  <c r="AE57" i="184" s="1"/>
  <c r="AI57" i="184" s="1"/>
  <c r="Y57" i="184" s="1"/>
  <c r="AC57" i="184"/>
  <c r="AB57" i="184"/>
  <c r="Z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I54" i="184"/>
  <c r="H54" i="184"/>
  <c r="E54" i="184"/>
  <c r="AE53" i="184"/>
  <c r="AI53" i="184" s="1"/>
  <c r="Y53" i="184" s="1"/>
  <c r="Z53" i="184"/>
  <c r="X53" i="184"/>
  <c r="Q53" i="184"/>
  <c r="P53" i="184"/>
  <c r="H53" i="184"/>
  <c r="E53" i="184"/>
  <c r="I53" i="184" s="1"/>
  <c r="AD52" i="184"/>
  <c r="AC52" i="184"/>
  <c r="AB52" i="184"/>
  <c r="AE52" i="184" s="1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I49" i="184"/>
  <c r="H49" i="184"/>
  <c r="E49" i="184"/>
  <c r="AE48" i="184"/>
  <c r="AI48" i="184" s="1"/>
  <c r="Y48" i="184" s="1"/>
  <c r="Z48" i="184"/>
  <c r="X48" i="184"/>
  <c r="Q48" i="184"/>
  <c r="P48" i="184"/>
  <c r="H48" i="184"/>
  <c r="E48" i="184"/>
  <c r="I48" i="184" s="1"/>
  <c r="AD47" i="184"/>
  <c r="AC47" i="184"/>
  <c r="AB47" i="184"/>
  <c r="AE47" i="184" s="1"/>
  <c r="AI47" i="184" s="1"/>
  <c r="Y47" i="184" s="1"/>
  <c r="Z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Z46" i="184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I42" i="184"/>
  <c r="H42" i="184"/>
  <c r="E42" i="184"/>
  <c r="AD41" i="184"/>
  <c r="AE41" i="184" s="1"/>
  <c r="AI41" i="184" s="1"/>
  <c r="Y41" i="184" s="1"/>
  <c r="AC41" i="184"/>
  <c r="AB41" i="184"/>
  <c r="Z41" i="184"/>
  <c r="X41" i="184"/>
  <c r="Q41" i="184"/>
  <c r="P41" i="184"/>
  <c r="H41" i="184"/>
  <c r="E41" i="184"/>
  <c r="I41" i="184" s="1"/>
  <c r="AE40" i="184"/>
  <c r="AI40" i="184" s="1"/>
  <c r="Y40" i="184" s="1"/>
  <c r="AD40" i="184"/>
  <c r="AC40" i="184"/>
  <c r="AB40" i="184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D37" i="184"/>
  <c r="AE37" i="184" s="1"/>
  <c r="AI37" i="184" s="1"/>
  <c r="Y37" i="184" s="1"/>
  <c r="AC37" i="184"/>
  <c r="AB37" i="184"/>
  <c r="Z37" i="184"/>
  <c r="X37" i="184"/>
  <c r="Q37" i="184"/>
  <c r="P37" i="184"/>
  <c r="I37" i="184"/>
  <c r="H37" i="184"/>
  <c r="E37" i="184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Z35" i="184"/>
  <c r="X35" i="184"/>
  <c r="Q35" i="184"/>
  <c r="P35" i="184"/>
  <c r="H35" i="184"/>
  <c r="E35" i="184"/>
  <c r="I35" i="184" s="1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Z33" i="184"/>
  <c r="X33" i="184"/>
  <c r="Q33" i="184"/>
  <c r="P33" i="184"/>
  <c r="H33" i="184"/>
  <c r="E33" i="184"/>
  <c r="I33" i="184" s="1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E30" i="184"/>
  <c r="AI30" i="184" s="1"/>
  <c r="Y30" i="184" s="1"/>
  <c r="AD30" i="184"/>
  <c r="AC30" i="184"/>
  <c r="AB30" i="184"/>
  <c r="Z30" i="184"/>
  <c r="X30" i="184"/>
  <c r="Q30" i="184"/>
  <c r="P30" i="184"/>
  <c r="H30" i="184"/>
  <c r="E30" i="184"/>
  <c r="I30" i="184" s="1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B28" i="184"/>
  <c r="AE28" i="184" s="1"/>
  <c r="AI28" i="184" s="1"/>
  <c r="Y28" i="184" s="1"/>
  <c r="Z28" i="184"/>
  <c r="X28" i="184"/>
  <c r="Q28" i="184"/>
  <c r="P28" i="184"/>
  <c r="I28" i="184"/>
  <c r="H28" i="184"/>
  <c r="E28" i="184"/>
  <c r="AD27" i="184"/>
  <c r="AE27" i="184" s="1"/>
  <c r="AI27" i="184" s="1"/>
  <c r="Y27" i="184" s="1"/>
  <c r="AC27" i="184"/>
  <c r="AB27" i="184"/>
  <c r="Z27" i="184"/>
  <c r="X27" i="184"/>
  <c r="Q27" i="184"/>
  <c r="P27" i="184"/>
  <c r="I27" i="184"/>
  <c r="H27" i="184"/>
  <c r="E27" i="184"/>
  <c r="AD26" i="184"/>
  <c r="AC26" i="184"/>
  <c r="AB26" i="184"/>
  <c r="AE26" i="184" s="1"/>
  <c r="AI26" i="184" s="1"/>
  <c r="Y26" i="184" s="1"/>
  <c r="Z26" i="184"/>
  <c r="X26" i="184"/>
  <c r="Q26" i="184"/>
  <c r="P26" i="184"/>
  <c r="H26" i="184"/>
  <c r="E26" i="184"/>
  <c r="I26" i="184" s="1"/>
  <c r="AD25" i="184"/>
  <c r="AC25" i="184"/>
  <c r="AE25" i="184" s="1"/>
  <c r="AI25" i="184" s="1"/>
  <c r="Y25" i="184" s="1"/>
  <c r="AB25" i="184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I24" i="184"/>
  <c r="H24" i="184"/>
  <c r="E24" i="184"/>
  <c r="AD23" i="184"/>
  <c r="AE23" i="184" s="1"/>
  <c r="AI23" i="184" s="1"/>
  <c r="Y23" i="184" s="1"/>
  <c r="AC23" i="184"/>
  <c r="AB23" i="184"/>
  <c r="Z23" i="184"/>
  <c r="X23" i="184"/>
  <c r="Q23" i="184"/>
  <c r="P23" i="184"/>
  <c r="H23" i="184"/>
  <c r="E23" i="184"/>
  <c r="I23" i="184" s="1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Z20" i="184"/>
  <c r="X20" i="184"/>
  <c r="Q20" i="184"/>
  <c r="P20" i="184"/>
  <c r="I20" i="184"/>
  <c r="H20" i="184"/>
  <c r="E20" i="184"/>
  <c r="AD19" i="184"/>
  <c r="AE19" i="184" s="1"/>
  <c r="AI19" i="184" s="1"/>
  <c r="Y19" i="184" s="1"/>
  <c r="AC19" i="184"/>
  <c r="AB19" i="184"/>
  <c r="Z19" i="184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Z18" i="184"/>
  <c r="X18" i="184"/>
  <c r="Q18" i="184"/>
  <c r="P18" i="184"/>
  <c r="H18" i="184"/>
  <c r="E18" i="184"/>
  <c r="I18" i="184" s="1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B15" i="184"/>
  <c r="AE15" i="184" s="1"/>
  <c r="AI15" i="184" s="1"/>
  <c r="Y15" i="184" s="1"/>
  <c r="Z15" i="184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Z14" i="184"/>
  <c r="X14" i="184"/>
  <c r="Q14" i="184"/>
  <c r="P14" i="184"/>
  <c r="I14" i="184"/>
  <c r="H14" i="184"/>
  <c r="E14" i="184"/>
  <c r="AD13" i="184"/>
  <c r="AE13" i="184" s="1"/>
  <c r="AI13" i="184" s="1"/>
  <c r="Y13" i="184" s="1"/>
  <c r="AC13" i="184"/>
  <c r="AB13" i="184"/>
  <c r="Z13" i="184"/>
  <c r="X13" i="184"/>
  <c r="Q13" i="184"/>
  <c r="P13" i="184"/>
  <c r="H13" i="184"/>
  <c r="E13" i="184"/>
  <c r="I13" i="184" s="1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7" i="184" l="1"/>
  <c r="O77" i="184"/>
  <c r="O75" i="184"/>
  <c r="T79" i="184"/>
  <c r="F77" i="184"/>
  <c r="F75" i="184"/>
  <c r="T75" i="184"/>
  <c r="M81" i="183"/>
  <c r="P73" i="183"/>
  <c r="H73" i="183"/>
  <c r="Q72" i="183"/>
  <c r="P72" i="183"/>
  <c r="I72" i="183"/>
  <c r="H72" i="183"/>
  <c r="E72" i="183"/>
  <c r="Q71" i="183"/>
  <c r="P71" i="183"/>
  <c r="I71" i="183"/>
  <c r="H71" i="183"/>
  <c r="E71" i="183"/>
  <c r="AD70" i="183"/>
  <c r="AC70" i="183"/>
  <c r="AB70" i="183"/>
  <c r="AE70" i="183" s="1"/>
  <c r="AI70" i="183" s="1"/>
  <c r="Y70" i="183" s="1"/>
  <c r="Z70" i="183"/>
  <c r="X70" i="183"/>
  <c r="Q70" i="183"/>
  <c r="P70" i="183"/>
  <c r="H70" i="183"/>
  <c r="E70" i="183"/>
  <c r="I70" i="183" s="1"/>
  <c r="AD69" i="183"/>
  <c r="AC69" i="183"/>
  <c r="AB69" i="183"/>
  <c r="AE69" i="183" s="1"/>
  <c r="AI69" i="183" s="1"/>
  <c r="Y69" i="183" s="1"/>
  <c r="Z69" i="183"/>
  <c r="X69" i="183"/>
  <c r="Q69" i="183"/>
  <c r="P69" i="183"/>
  <c r="H69" i="183"/>
  <c r="E69" i="183"/>
  <c r="I69" i="183" s="1"/>
  <c r="AE68" i="183"/>
  <c r="AI68" i="183" s="1"/>
  <c r="Y68" i="183" s="1"/>
  <c r="AD68" i="183"/>
  <c r="AC68" i="183"/>
  <c r="AB68" i="183"/>
  <c r="Z68" i="183"/>
  <c r="X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H67" i="183"/>
  <c r="E67" i="183"/>
  <c r="I67" i="183" s="1"/>
  <c r="AD66" i="183"/>
  <c r="AE66" i="183" s="1"/>
  <c r="AI66" i="183" s="1"/>
  <c r="Y66" i="183" s="1"/>
  <c r="AC66" i="183"/>
  <c r="AB66" i="183"/>
  <c r="Z66" i="183"/>
  <c r="X66" i="183"/>
  <c r="Q66" i="183"/>
  <c r="P66" i="183"/>
  <c r="H66" i="183"/>
  <c r="E66" i="183"/>
  <c r="I66" i="183" s="1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D64" i="183"/>
  <c r="AC64" i="183"/>
  <c r="AB64" i="183"/>
  <c r="AE64" i="183" s="1"/>
  <c r="AI64" i="183" s="1"/>
  <c r="Y64" i="183" s="1"/>
  <c r="Z64" i="183"/>
  <c r="X64" i="183"/>
  <c r="Q64" i="183"/>
  <c r="P64" i="183"/>
  <c r="I64" i="183"/>
  <c r="H64" i="183"/>
  <c r="E64" i="183"/>
  <c r="AE63" i="183"/>
  <c r="AI63" i="183" s="1"/>
  <c r="Y63" i="183" s="1"/>
  <c r="AD63" i="183"/>
  <c r="AC63" i="183"/>
  <c r="AB63" i="183"/>
  <c r="Z63" i="183"/>
  <c r="X63" i="183"/>
  <c r="Q63" i="183"/>
  <c r="P63" i="183"/>
  <c r="H63" i="183"/>
  <c r="E63" i="183"/>
  <c r="I63" i="183" s="1"/>
  <c r="AE62" i="183"/>
  <c r="AI62" i="183" s="1"/>
  <c r="Y62" i="183" s="1"/>
  <c r="AD62" i="183"/>
  <c r="AC62" i="183"/>
  <c r="AB62" i="183"/>
  <c r="Z62" i="183"/>
  <c r="X62" i="183"/>
  <c r="Q62" i="183"/>
  <c r="P62" i="183"/>
  <c r="H62" i="183"/>
  <c r="E62" i="183"/>
  <c r="I62" i="183" s="1"/>
  <c r="AE61" i="183"/>
  <c r="AI61" i="183" s="1"/>
  <c r="Y61" i="183" s="1"/>
  <c r="AD61" i="183"/>
  <c r="Z61" i="183"/>
  <c r="X61" i="183"/>
  <c r="Q61" i="183"/>
  <c r="P61" i="183"/>
  <c r="I61" i="183"/>
  <c r="H61" i="183"/>
  <c r="E61" i="183"/>
  <c r="AE60" i="183"/>
  <c r="AI60" i="183" s="1"/>
  <c r="Y60" i="183" s="1"/>
  <c r="AD60" i="183"/>
  <c r="AC60" i="183"/>
  <c r="AB60" i="183"/>
  <c r="Z60" i="183"/>
  <c r="X60" i="183"/>
  <c r="Q60" i="183"/>
  <c r="P60" i="183"/>
  <c r="H60" i="183"/>
  <c r="E60" i="183"/>
  <c r="I60" i="183" s="1"/>
  <c r="AD59" i="183"/>
  <c r="AC59" i="183"/>
  <c r="AB59" i="183"/>
  <c r="AE59" i="183" s="1"/>
  <c r="AI59" i="183" s="1"/>
  <c r="Y59" i="183" s="1"/>
  <c r="Z59" i="183"/>
  <c r="X59" i="183"/>
  <c r="Q59" i="183"/>
  <c r="P59" i="183"/>
  <c r="I59" i="183"/>
  <c r="E59" i="183"/>
  <c r="AD58" i="183"/>
  <c r="AC58" i="183"/>
  <c r="AB58" i="183"/>
  <c r="AE58" i="183" s="1"/>
  <c r="AI58" i="183" s="1"/>
  <c r="Y58" i="183" s="1"/>
  <c r="Z58" i="183"/>
  <c r="X58" i="183"/>
  <c r="Q58" i="183"/>
  <c r="P58" i="183"/>
  <c r="I58" i="183"/>
  <c r="H58" i="183"/>
  <c r="E58" i="183"/>
  <c r="AD57" i="183"/>
  <c r="AC57" i="183"/>
  <c r="AE57" i="183" s="1"/>
  <c r="AI57" i="183" s="1"/>
  <c r="Y57" i="183" s="1"/>
  <c r="AB57" i="183"/>
  <c r="Z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I56" i="183"/>
  <c r="H56" i="183"/>
  <c r="E56" i="183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E53" i="183"/>
  <c r="AI53" i="183" s="1"/>
  <c r="Y53" i="183" s="1"/>
  <c r="Z53" i="183"/>
  <c r="X53" i="183"/>
  <c r="Q53" i="183"/>
  <c r="P53" i="183"/>
  <c r="I53" i="183"/>
  <c r="H53" i="183"/>
  <c r="E53" i="183"/>
  <c r="AD52" i="183"/>
  <c r="AE52" i="183" s="1"/>
  <c r="AI52" i="183" s="1"/>
  <c r="Y52" i="183" s="1"/>
  <c r="AC52" i="183"/>
  <c r="AB52" i="183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I50" i="183"/>
  <c r="AE50" i="183"/>
  <c r="Z50" i="183"/>
  <c r="Y50" i="183"/>
  <c r="X50" i="183"/>
  <c r="Q50" i="183"/>
  <c r="P50" i="183"/>
  <c r="I50" i="183"/>
  <c r="H50" i="183"/>
  <c r="E50" i="183"/>
  <c r="AE49" i="183"/>
  <c r="AI49" i="183" s="1"/>
  <c r="Y49" i="183" s="1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D47" i="183"/>
  <c r="AE47" i="183" s="1"/>
  <c r="AI47" i="183" s="1"/>
  <c r="Y47" i="183" s="1"/>
  <c r="AC47" i="183"/>
  <c r="AB47" i="183"/>
  <c r="Z47" i="183"/>
  <c r="X47" i="183"/>
  <c r="Q47" i="183"/>
  <c r="P47" i="183"/>
  <c r="I47" i="183"/>
  <c r="H47" i="183"/>
  <c r="E47" i="183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E44" i="183"/>
  <c r="AI44" i="183" s="1"/>
  <c r="Y44" i="183" s="1"/>
  <c r="AD44" i="183"/>
  <c r="AC44" i="183"/>
  <c r="AB44" i="183"/>
  <c r="Z44" i="183"/>
  <c r="X44" i="183"/>
  <c r="Q44" i="183"/>
  <c r="P44" i="183"/>
  <c r="I44" i="183"/>
  <c r="H44" i="183"/>
  <c r="E44" i="183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B41" i="183"/>
  <c r="AE41" i="183" s="1"/>
  <c r="AI41" i="183" s="1"/>
  <c r="Y41" i="183" s="1"/>
  <c r="Z41" i="183"/>
  <c r="X41" i="183"/>
  <c r="Q41" i="183"/>
  <c r="P41" i="183"/>
  <c r="I41" i="183"/>
  <c r="H41" i="183"/>
  <c r="E41" i="183"/>
  <c r="AD40" i="183"/>
  <c r="AC40" i="183"/>
  <c r="AB40" i="183"/>
  <c r="AE40" i="183" s="1"/>
  <c r="AI40" i="183" s="1"/>
  <c r="Y40" i="183" s="1"/>
  <c r="Z40" i="183"/>
  <c r="X40" i="183"/>
  <c r="Q40" i="183"/>
  <c r="P40" i="183"/>
  <c r="I40" i="183"/>
  <c r="H40" i="183"/>
  <c r="E40" i="183"/>
  <c r="AD39" i="183"/>
  <c r="AE39" i="183" s="1"/>
  <c r="AI39" i="183" s="1"/>
  <c r="Y39" i="183" s="1"/>
  <c r="AC39" i="183"/>
  <c r="AB39" i="183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D37" i="183"/>
  <c r="AC37" i="183"/>
  <c r="AE37" i="183" s="1"/>
  <c r="AI37" i="183" s="1"/>
  <c r="Y37" i="183" s="1"/>
  <c r="AB37" i="183"/>
  <c r="Z37" i="183"/>
  <c r="X37" i="183"/>
  <c r="Q37" i="183"/>
  <c r="P37" i="183"/>
  <c r="I37" i="183"/>
  <c r="H37" i="183"/>
  <c r="E37" i="183"/>
  <c r="AE36" i="183"/>
  <c r="AI36" i="183" s="1"/>
  <c r="Y36" i="183" s="1"/>
  <c r="AD36" i="183"/>
  <c r="AC36" i="183"/>
  <c r="AB36" i="183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X34" i="183"/>
  <c r="Q34" i="183"/>
  <c r="P34" i="183"/>
  <c r="I34" i="183"/>
  <c r="H34" i="183"/>
  <c r="E34" i="183"/>
  <c r="AE33" i="183"/>
  <c r="AI33" i="183" s="1"/>
  <c r="Y33" i="183" s="1"/>
  <c r="AD33" i="183"/>
  <c r="AC33" i="183"/>
  <c r="AB33" i="183"/>
  <c r="Z33" i="183"/>
  <c r="X33" i="183"/>
  <c r="Q33" i="183"/>
  <c r="P33" i="183"/>
  <c r="I33" i="183"/>
  <c r="H33" i="183"/>
  <c r="E33" i="183"/>
  <c r="AD32" i="183"/>
  <c r="AC32" i="183"/>
  <c r="AB32" i="183"/>
  <c r="AE32" i="183" s="1"/>
  <c r="AI32" i="183" s="1"/>
  <c r="Y32" i="183" s="1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E30" i="183" s="1"/>
  <c r="AI30" i="183" s="1"/>
  <c r="Y30" i="183" s="1"/>
  <c r="AC30" i="183"/>
  <c r="AB30" i="183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I29" i="183"/>
  <c r="H29" i="183"/>
  <c r="E29" i="183"/>
  <c r="AD28" i="183"/>
  <c r="AC28" i="183"/>
  <c r="AB28" i="183"/>
  <c r="AE28" i="183" s="1"/>
  <c r="AI28" i="183" s="1"/>
  <c r="Y28" i="183" s="1"/>
  <c r="Z28" i="183"/>
  <c r="X28" i="183"/>
  <c r="Q28" i="183"/>
  <c r="P28" i="183"/>
  <c r="I28" i="183"/>
  <c r="H28" i="183"/>
  <c r="E28" i="183"/>
  <c r="AD27" i="183"/>
  <c r="AC27" i="183"/>
  <c r="AE27" i="183" s="1"/>
  <c r="AI27" i="183" s="1"/>
  <c r="Y27" i="183" s="1"/>
  <c r="AB27" i="183"/>
  <c r="Z27" i="183"/>
  <c r="X27" i="183"/>
  <c r="Q27" i="183"/>
  <c r="P27" i="183"/>
  <c r="I27" i="183"/>
  <c r="H27" i="183"/>
  <c r="E27" i="183"/>
  <c r="AE26" i="183"/>
  <c r="AI26" i="183" s="1"/>
  <c r="Y26" i="183" s="1"/>
  <c r="AD26" i="183"/>
  <c r="AC26" i="183"/>
  <c r="AB26" i="183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D22" i="183"/>
  <c r="AC22" i="183"/>
  <c r="AB22" i="183"/>
  <c r="AE22" i="183" s="1"/>
  <c r="AI22" i="183" s="1"/>
  <c r="Y22" i="183" s="1"/>
  <c r="Z22" i="183"/>
  <c r="X22" i="183"/>
  <c r="Q22" i="183"/>
  <c r="P22" i="183"/>
  <c r="I22" i="183"/>
  <c r="H22" i="183"/>
  <c r="E22" i="183"/>
  <c r="AD21" i="183"/>
  <c r="AE21" i="183" s="1"/>
  <c r="AI21" i="183" s="1"/>
  <c r="Y21" i="183" s="1"/>
  <c r="AC21" i="183"/>
  <c r="AB21" i="183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E18" i="183"/>
  <c r="AI18" i="183" s="1"/>
  <c r="Y18" i="183" s="1"/>
  <c r="AD18" i="183"/>
  <c r="AC18" i="183"/>
  <c r="AB18" i="183"/>
  <c r="Z18" i="183"/>
  <c r="X18" i="183"/>
  <c r="Q18" i="183"/>
  <c r="P18" i="183"/>
  <c r="I18" i="183"/>
  <c r="H18" i="183"/>
  <c r="E18" i="183"/>
  <c r="AD17" i="183"/>
  <c r="AC17" i="183"/>
  <c r="AB17" i="183"/>
  <c r="AE17" i="183" s="1"/>
  <c r="AI17" i="183" s="1"/>
  <c r="Y17" i="183" s="1"/>
  <c r="Z17" i="183"/>
  <c r="X17" i="183"/>
  <c r="Q17" i="183"/>
  <c r="P17" i="183"/>
  <c r="H17" i="183"/>
  <c r="E17" i="183"/>
  <c r="I17" i="183" s="1"/>
  <c r="AD16" i="183"/>
  <c r="AC16" i="183"/>
  <c r="AB16" i="183"/>
  <c r="AE16" i="183" s="1"/>
  <c r="AI16" i="183" s="1"/>
  <c r="Y16" i="183" s="1"/>
  <c r="Z16" i="183"/>
  <c r="X16" i="183"/>
  <c r="Q16" i="183"/>
  <c r="P16" i="183"/>
  <c r="E16" i="183"/>
  <c r="I16" i="183" s="1"/>
  <c r="AD15" i="183"/>
  <c r="AC15" i="183"/>
  <c r="AB15" i="183"/>
  <c r="AE15" i="183" s="1"/>
  <c r="AI15" i="183" s="1"/>
  <c r="Y15" i="183" s="1"/>
  <c r="Z15" i="183"/>
  <c r="X15" i="183"/>
  <c r="Q15" i="183"/>
  <c r="P15" i="183"/>
  <c r="E15" i="183"/>
  <c r="I15" i="183" s="1"/>
  <c r="AE14" i="183"/>
  <c r="AI14" i="183" s="1"/>
  <c r="Y14" i="183" s="1"/>
  <c r="AD14" i="183"/>
  <c r="AC14" i="183"/>
  <c r="AB14" i="183"/>
  <c r="Z14" i="183"/>
  <c r="X14" i="183"/>
  <c r="Q14" i="183"/>
  <c r="O77" i="183" s="1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D12" i="183"/>
  <c r="AC12" i="183"/>
  <c r="AB12" i="183"/>
  <c r="AE12" i="183" s="1"/>
  <c r="AI12" i="183" s="1"/>
  <c r="Y12" i="183" s="1"/>
  <c r="Z12" i="183"/>
  <c r="T77" i="183" s="1"/>
  <c r="X12" i="183"/>
  <c r="T79" i="183" s="1"/>
  <c r="Q12" i="183"/>
  <c r="O75" i="183" s="1"/>
  <c r="P12" i="183"/>
  <c r="I12" i="183"/>
  <c r="H12" i="183"/>
  <c r="E12" i="183"/>
  <c r="M81" i="182"/>
  <c r="P73" i="182"/>
  <c r="H73" i="182"/>
  <c r="Q72" i="182"/>
  <c r="P72" i="182"/>
  <c r="H72" i="182"/>
  <c r="E72" i="182"/>
  <c r="I72" i="182" s="1"/>
  <c r="Q71" i="182"/>
  <c r="P71" i="182"/>
  <c r="I71" i="182"/>
  <c r="H71" i="182"/>
  <c r="E71" i="182"/>
  <c r="AD70" i="182"/>
  <c r="AC70" i="182"/>
  <c r="AB70" i="182"/>
  <c r="AE70" i="182" s="1"/>
  <c r="AI70" i="182" s="1"/>
  <c r="Y70" i="182" s="1"/>
  <c r="Z70" i="182"/>
  <c r="X70" i="182"/>
  <c r="Q70" i="182"/>
  <c r="P70" i="182"/>
  <c r="I70" i="182"/>
  <c r="H70" i="182"/>
  <c r="E70" i="182"/>
  <c r="AD69" i="182"/>
  <c r="AC69" i="182"/>
  <c r="AB69" i="182"/>
  <c r="AE69" i="182" s="1"/>
  <c r="AI69" i="182" s="1"/>
  <c r="Y69" i="182" s="1"/>
  <c r="Z69" i="182"/>
  <c r="X69" i="182"/>
  <c r="Q69" i="182"/>
  <c r="P69" i="182"/>
  <c r="H69" i="182"/>
  <c r="E69" i="182"/>
  <c r="I69" i="182" s="1"/>
  <c r="AI68" i="182"/>
  <c r="Y68" i="182" s="1"/>
  <c r="AE68" i="182"/>
  <c r="AD68" i="182"/>
  <c r="AC68" i="182"/>
  <c r="AB68" i="182"/>
  <c r="Z68" i="182"/>
  <c r="X68" i="182"/>
  <c r="Q68" i="182"/>
  <c r="P68" i="182"/>
  <c r="I68" i="182"/>
  <c r="H68" i="182"/>
  <c r="E68" i="182"/>
  <c r="AD67" i="182"/>
  <c r="AC67" i="182"/>
  <c r="AB67" i="182"/>
  <c r="AE67" i="182" s="1"/>
  <c r="AI67" i="182" s="1"/>
  <c r="Y67" i="182" s="1"/>
  <c r="Z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H66" i="182"/>
  <c r="E66" i="182"/>
  <c r="I66" i="182" s="1"/>
  <c r="AD65" i="182"/>
  <c r="AC65" i="182"/>
  <c r="AB65" i="182"/>
  <c r="AE65" i="182" s="1"/>
  <c r="AI65" i="182" s="1"/>
  <c r="Y65" i="182" s="1"/>
  <c r="Z65" i="182"/>
  <c r="X65" i="182"/>
  <c r="Q65" i="182"/>
  <c r="P65" i="182"/>
  <c r="I65" i="182"/>
  <c r="H65" i="182"/>
  <c r="E65" i="182"/>
  <c r="AD64" i="182"/>
  <c r="AC64" i="182"/>
  <c r="AE64" i="182" s="1"/>
  <c r="AI64" i="182" s="1"/>
  <c r="Y64" i="182" s="1"/>
  <c r="AB64" i="182"/>
  <c r="Z64" i="182"/>
  <c r="X64" i="182"/>
  <c r="Q64" i="182"/>
  <c r="P64" i="182"/>
  <c r="H64" i="182"/>
  <c r="E64" i="182"/>
  <c r="I64" i="182" s="1"/>
  <c r="AI63" i="182"/>
  <c r="Y63" i="182" s="1"/>
  <c r="AE63" i="182"/>
  <c r="AD63" i="182"/>
  <c r="AC63" i="182"/>
  <c r="AB63" i="182"/>
  <c r="Z63" i="182"/>
  <c r="X63" i="182"/>
  <c r="Q63" i="182"/>
  <c r="P63" i="182"/>
  <c r="I63" i="182"/>
  <c r="H63" i="182"/>
  <c r="E63" i="182"/>
  <c r="AD62" i="182"/>
  <c r="AE62" i="182" s="1"/>
  <c r="AI62" i="182" s="1"/>
  <c r="Y62" i="182" s="1"/>
  <c r="AC62" i="182"/>
  <c r="AB62" i="182"/>
  <c r="Z62" i="182"/>
  <c r="X62" i="182"/>
  <c r="Q62" i="182"/>
  <c r="P62" i="182"/>
  <c r="H62" i="182"/>
  <c r="E62" i="182"/>
  <c r="I62" i="182" s="1"/>
  <c r="AI61" i="182"/>
  <c r="Y61" i="182" s="1"/>
  <c r="AE61" i="182"/>
  <c r="AD61" i="182"/>
  <c r="Z61" i="182"/>
  <c r="X61" i="182"/>
  <c r="Q61" i="182"/>
  <c r="P61" i="182"/>
  <c r="H61" i="182"/>
  <c r="E61" i="182"/>
  <c r="I61" i="182" s="1"/>
  <c r="AD60" i="182"/>
  <c r="AC60" i="182"/>
  <c r="AB60" i="182"/>
  <c r="AE60" i="182" s="1"/>
  <c r="AI60" i="182" s="1"/>
  <c r="Y60" i="182" s="1"/>
  <c r="Z60" i="182"/>
  <c r="X60" i="182"/>
  <c r="Q60" i="182"/>
  <c r="P60" i="182"/>
  <c r="I60" i="182"/>
  <c r="H60" i="182"/>
  <c r="E60" i="182"/>
  <c r="AD59" i="182"/>
  <c r="AC59" i="182"/>
  <c r="AB59" i="182"/>
  <c r="AE59" i="182" s="1"/>
  <c r="AI59" i="182" s="1"/>
  <c r="Y59" i="182" s="1"/>
  <c r="Z59" i="182"/>
  <c r="X59" i="182"/>
  <c r="Q59" i="182"/>
  <c r="P59" i="182"/>
  <c r="E59" i="182"/>
  <c r="I59" i="182" s="1"/>
  <c r="AE58" i="182"/>
  <c r="AI58" i="182" s="1"/>
  <c r="Y58" i="182" s="1"/>
  <c r="AD58" i="182"/>
  <c r="AC58" i="182"/>
  <c r="AB58" i="182"/>
  <c r="Z58" i="182"/>
  <c r="X58" i="182"/>
  <c r="Q58" i="182"/>
  <c r="P58" i="182"/>
  <c r="H58" i="182"/>
  <c r="E58" i="182"/>
  <c r="I58" i="182" s="1"/>
  <c r="AD57" i="182"/>
  <c r="AC57" i="182"/>
  <c r="AB57" i="182"/>
  <c r="AE57" i="182" s="1"/>
  <c r="AI57" i="182" s="1"/>
  <c r="Y57" i="182" s="1"/>
  <c r="Z57" i="182"/>
  <c r="X57" i="182"/>
  <c r="Q57" i="182"/>
  <c r="P57" i="182"/>
  <c r="I57" i="182"/>
  <c r="H57" i="182"/>
  <c r="E57" i="182"/>
  <c r="AD56" i="182"/>
  <c r="AE56" i="182" s="1"/>
  <c r="AI56" i="182" s="1"/>
  <c r="Y56" i="182" s="1"/>
  <c r="AC56" i="182"/>
  <c r="AB56" i="182"/>
  <c r="Z56" i="182"/>
  <c r="X56" i="182"/>
  <c r="Q56" i="182"/>
  <c r="P56" i="182"/>
  <c r="H56" i="182"/>
  <c r="E56" i="182"/>
  <c r="I56" i="182" s="1"/>
  <c r="AD55" i="182"/>
  <c r="AC55" i="182"/>
  <c r="AB55" i="182"/>
  <c r="AE55" i="182" s="1"/>
  <c r="AI55" i="182" s="1"/>
  <c r="Y55" i="182" s="1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I53" i="182"/>
  <c r="Y53" i="182" s="1"/>
  <c r="AE53" i="182"/>
  <c r="Z53" i="182"/>
  <c r="X53" i="182"/>
  <c r="Q53" i="182"/>
  <c r="P53" i="182"/>
  <c r="H53" i="182"/>
  <c r="E53" i="182"/>
  <c r="I53" i="182" s="1"/>
  <c r="AE52" i="182"/>
  <c r="AI52" i="182" s="1"/>
  <c r="Y52" i="182" s="1"/>
  <c r="AD52" i="182"/>
  <c r="AC52" i="182"/>
  <c r="AB52" i="182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I51" i="182"/>
  <c r="H51" i="182"/>
  <c r="E51" i="182"/>
  <c r="AE50" i="182"/>
  <c r="AI50" i="182" s="1"/>
  <c r="Y50" i="182" s="1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D47" i="182"/>
  <c r="AC47" i="182"/>
  <c r="AB47" i="182"/>
  <c r="AE47" i="182" s="1"/>
  <c r="AI47" i="182" s="1"/>
  <c r="Y47" i="182" s="1"/>
  <c r="Z47" i="182"/>
  <c r="X47" i="182"/>
  <c r="Q47" i="182"/>
  <c r="P47" i="182"/>
  <c r="H47" i="182"/>
  <c r="E47" i="182"/>
  <c r="I47" i="182" s="1"/>
  <c r="AE46" i="182"/>
  <c r="AI46" i="182" s="1"/>
  <c r="Y46" i="182" s="1"/>
  <c r="AD46" i="182"/>
  <c r="AC46" i="182"/>
  <c r="AB46" i="182"/>
  <c r="Z46" i="182"/>
  <c r="X46" i="182"/>
  <c r="Q46" i="182"/>
  <c r="P46" i="182"/>
  <c r="H46" i="182"/>
  <c r="E46" i="182"/>
  <c r="I46" i="182" s="1"/>
  <c r="AD45" i="182"/>
  <c r="AC45" i="182"/>
  <c r="AB45" i="182"/>
  <c r="AE45" i="182" s="1"/>
  <c r="AI45" i="182" s="1"/>
  <c r="Y45" i="182" s="1"/>
  <c r="Z45" i="182"/>
  <c r="X45" i="182"/>
  <c r="Q45" i="182"/>
  <c r="P45" i="182"/>
  <c r="I45" i="182"/>
  <c r="H45" i="182"/>
  <c r="E45" i="182"/>
  <c r="AD44" i="182"/>
  <c r="AE44" i="182" s="1"/>
  <c r="AI44" i="182" s="1"/>
  <c r="Y44" i="182" s="1"/>
  <c r="AC44" i="182"/>
  <c r="AB44" i="182"/>
  <c r="Z44" i="182"/>
  <c r="X44" i="182"/>
  <c r="Q44" i="182"/>
  <c r="P44" i="182"/>
  <c r="H44" i="182"/>
  <c r="E44" i="182"/>
  <c r="I44" i="182" s="1"/>
  <c r="AD43" i="182"/>
  <c r="AC43" i="182"/>
  <c r="AB43" i="182"/>
  <c r="AE43" i="182" s="1"/>
  <c r="AI43" i="182" s="1"/>
  <c r="Y43" i="182" s="1"/>
  <c r="Z43" i="182"/>
  <c r="X43" i="182"/>
  <c r="Q43" i="182"/>
  <c r="P43" i="182"/>
  <c r="I43" i="182"/>
  <c r="H43" i="182"/>
  <c r="E43" i="182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I41" i="182"/>
  <c r="Y41" i="182" s="1"/>
  <c r="AE41" i="182"/>
  <c r="AD41" i="182"/>
  <c r="AC41" i="182"/>
  <c r="AB41" i="182"/>
  <c r="Z41" i="182"/>
  <c r="X41" i="182"/>
  <c r="Q41" i="182"/>
  <c r="P41" i="182"/>
  <c r="I41" i="182"/>
  <c r="H41" i="182"/>
  <c r="E41" i="182"/>
  <c r="AD40" i="182"/>
  <c r="AC40" i="182"/>
  <c r="AB40" i="182"/>
  <c r="AE40" i="182" s="1"/>
  <c r="AI40" i="182" s="1"/>
  <c r="Y40" i="182" s="1"/>
  <c r="Z40" i="182"/>
  <c r="X40" i="182"/>
  <c r="Q40" i="182"/>
  <c r="P40" i="182"/>
  <c r="H40" i="182"/>
  <c r="E40" i="182"/>
  <c r="I40" i="182" s="1"/>
  <c r="AE39" i="182"/>
  <c r="AI39" i="182" s="1"/>
  <c r="Y39" i="182" s="1"/>
  <c r="AD39" i="182"/>
  <c r="AC39" i="182"/>
  <c r="AB39" i="182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I38" i="182"/>
  <c r="H38" i="182"/>
  <c r="E38" i="182"/>
  <c r="AD37" i="182"/>
  <c r="AC37" i="182"/>
  <c r="AB37" i="182"/>
  <c r="AE37" i="182" s="1"/>
  <c r="AI37" i="182" s="1"/>
  <c r="Y37" i="182" s="1"/>
  <c r="Z37" i="182"/>
  <c r="X37" i="182"/>
  <c r="Q37" i="182"/>
  <c r="P37" i="182"/>
  <c r="H37" i="182"/>
  <c r="E37" i="182"/>
  <c r="I37" i="182" s="1"/>
  <c r="AI36" i="182"/>
  <c r="Y36" i="182" s="1"/>
  <c r="AE36" i="182"/>
  <c r="AD36" i="182"/>
  <c r="AC36" i="182"/>
  <c r="AB36" i="182"/>
  <c r="Z36" i="182"/>
  <c r="X36" i="182"/>
  <c r="Q36" i="182"/>
  <c r="P36" i="182"/>
  <c r="I36" i="182"/>
  <c r="H36" i="182"/>
  <c r="E36" i="182"/>
  <c r="AD35" i="182"/>
  <c r="AE35" i="182" s="1"/>
  <c r="AI35" i="182" s="1"/>
  <c r="Y35" i="182" s="1"/>
  <c r="AC35" i="182"/>
  <c r="AB35" i="182"/>
  <c r="Z35" i="182"/>
  <c r="X35" i="182"/>
  <c r="Q35" i="182"/>
  <c r="P35" i="182"/>
  <c r="H35" i="182"/>
  <c r="E35" i="182"/>
  <c r="I35" i="182" s="1"/>
  <c r="X34" i="182"/>
  <c r="Q34" i="182"/>
  <c r="P34" i="182"/>
  <c r="H34" i="182"/>
  <c r="E34" i="182"/>
  <c r="I34" i="182" s="1"/>
  <c r="AI33" i="182"/>
  <c r="Y33" i="182" s="1"/>
  <c r="AE33" i="182"/>
  <c r="AD33" i="182"/>
  <c r="AC33" i="182"/>
  <c r="AB33" i="182"/>
  <c r="Z33" i="182"/>
  <c r="X33" i="182"/>
  <c r="Q33" i="182"/>
  <c r="P33" i="182"/>
  <c r="I33" i="182"/>
  <c r="H33" i="182"/>
  <c r="E33" i="182"/>
  <c r="AD32" i="182"/>
  <c r="AE32" i="182" s="1"/>
  <c r="AI32" i="182" s="1"/>
  <c r="Y32" i="182" s="1"/>
  <c r="AC32" i="182"/>
  <c r="AB32" i="182"/>
  <c r="Z32" i="182"/>
  <c r="X32" i="182"/>
  <c r="Q32" i="182"/>
  <c r="P32" i="182"/>
  <c r="H32" i="182"/>
  <c r="E32" i="182"/>
  <c r="I32" i="182" s="1"/>
  <c r="AI31" i="182"/>
  <c r="Y31" i="182" s="1"/>
  <c r="AE31" i="182"/>
  <c r="Z31" i="182"/>
  <c r="X31" i="182"/>
  <c r="Q31" i="182"/>
  <c r="P31" i="182"/>
  <c r="I31" i="182"/>
  <c r="H31" i="182"/>
  <c r="E31" i="182"/>
  <c r="AD30" i="182"/>
  <c r="AC30" i="182"/>
  <c r="AB30" i="182"/>
  <c r="AE30" i="182" s="1"/>
  <c r="AI30" i="182" s="1"/>
  <c r="Y30" i="182" s="1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E26" i="182" s="1"/>
  <c r="AI26" i="182" s="1"/>
  <c r="Y26" i="182" s="1"/>
  <c r="AC26" i="182"/>
  <c r="AB26" i="182"/>
  <c r="Z26" i="182"/>
  <c r="X26" i="182"/>
  <c r="Q26" i="182"/>
  <c r="P26" i="182"/>
  <c r="H26" i="182"/>
  <c r="E26" i="182"/>
  <c r="I26" i="182" s="1"/>
  <c r="AD25" i="182"/>
  <c r="AC25" i="182"/>
  <c r="AB25" i="182"/>
  <c r="AE25" i="182" s="1"/>
  <c r="AI25" i="182" s="1"/>
  <c r="Y25" i="182" s="1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I23" i="182"/>
  <c r="H23" i="182"/>
  <c r="E23" i="182"/>
  <c r="AD22" i="182"/>
  <c r="AC22" i="182"/>
  <c r="AB22" i="182"/>
  <c r="AE22" i="182" s="1"/>
  <c r="AI22" i="182" s="1"/>
  <c r="Y22" i="182" s="1"/>
  <c r="Z22" i="182"/>
  <c r="X22" i="182"/>
  <c r="Q22" i="182"/>
  <c r="P22" i="182"/>
  <c r="H22" i="182"/>
  <c r="E22" i="182"/>
  <c r="I22" i="182" s="1"/>
  <c r="AE21" i="182"/>
  <c r="AI21" i="182" s="1"/>
  <c r="Y21" i="182" s="1"/>
  <c r="AD21" i="182"/>
  <c r="AC21" i="182"/>
  <c r="AB21" i="182"/>
  <c r="Z21" i="182"/>
  <c r="X21" i="182"/>
  <c r="Q21" i="182"/>
  <c r="P21" i="182"/>
  <c r="H21" i="182"/>
  <c r="E21" i="182"/>
  <c r="I21" i="182" s="1"/>
  <c r="AD20" i="182"/>
  <c r="AC20" i="182"/>
  <c r="AB20" i="182"/>
  <c r="AE20" i="182" s="1"/>
  <c r="AI20" i="182" s="1"/>
  <c r="Y20" i="182" s="1"/>
  <c r="Z20" i="182"/>
  <c r="X20" i="182"/>
  <c r="Q20" i="182"/>
  <c r="P20" i="182"/>
  <c r="I20" i="182"/>
  <c r="H20" i="182"/>
  <c r="E20" i="182"/>
  <c r="AD19" i="182"/>
  <c r="AC19" i="182"/>
  <c r="AB19" i="182"/>
  <c r="AE19" i="182" s="1"/>
  <c r="AI19" i="182" s="1"/>
  <c r="Y19" i="182" s="1"/>
  <c r="Z19" i="182"/>
  <c r="X19" i="182"/>
  <c r="Q19" i="182"/>
  <c r="P19" i="182"/>
  <c r="H19" i="182"/>
  <c r="E19" i="182"/>
  <c r="I19" i="182" s="1"/>
  <c r="AI18" i="182"/>
  <c r="Y18" i="182" s="1"/>
  <c r="AE18" i="182"/>
  <c r="AD18" i="182"/>
  <c r="AC18" i="182"/>
  <c r="AB18" i="182"/>
  <c r="Z18" i="182"/>
  <c r="X18" i="182"/>
  <c r="Q18" i="182"/>
  <c r="P18" i="182"/>
  <c r="I18" i="182"/>
  <c r="H18" i="182"/>
  <c r="E18" i="182"/>
  <c r="AD17" i="182"/>
  <c r="AE17" i="182" s="1"/>
  <c r="AI17" i="182" s="1"/>
  <c r="Y17" i="182" s="1"/>
  <c r="AC17" i="182"/>
  <c r="AB17" i="182"/>
  <c r="Z17" i="182"/>
  <c r="X17" i="182"/>
  <c r="Q17" i="182"/>
  <c r="P17" i="182"/>
  <c r="H17" i="182"/>
  <c r="E17" i="182"/>
  <c r="I17" i="182" s="1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I13" i="182"/>
  <c r="H13" i="182"/>
  <c r="E13" i="182"/>
  <c r="AD12" i="182"/>
  <c r="AC12" i="182"/>
  <c r="AB12" i="182"/>
  <c r="AE12" i="182" s="1"/>
  <c r="AI12" i="182" s="1"/>
  <c r="Y12" i="182" s="1"/>
  <c r="T75" i="182" s="1"/>
  <c r="Z12" i="182"/>
  <c r="T77" i="182" s="1"/>
  <c r="X12" i="182"/>
  <c r="T79" i="182" s="1"/>
  <c r="T81" i="182" s="1"/>
  <c r="Q12" i="182"/>
  <c r="P12" i="182"/>
  <c r="H12" i="182"/>
  <c r="E12" i="182"/>
  <c r="I12" i="182" s="1"/>
  <c r="T81" i="184" l="1"/>
  <c r="F79" i="184" s="1"/>
  <c r="F75" i="183"/>
  <c r="F77" i="183"/>
  <c r="T75" i="183"/>
  <c r="T81" i="183" s="1"/>
  <c r="O77" i="182"/>
  <c r="O75" i="182"/>
  <c r="F75" i="182"/>
  <c r="F79" i="182" s="1"/>
  <c r="F77" i="182"/>
  <c r="M81" i="181"/>
  <c r="P73" i="181"/>
  <c r="H73" i="181"/>
  <c r="Q72" i="181"/>
  <c r="P72" i="181"/>
  <c r="I72" i="181"/>
  <c r="H72" i="181"/>
  <c r="E72" i="181"/>
  <c r="Q71" i="181"/>
  <c r="P71" i="181"/>
  <c r="H71" i="181"/>
  <c r="E71" i="181"/>
  <c r="I71" i="181" s="1"/>
  <c r="AD70" i="181"/>
  <c r="AC70" i="181"/>
  <c r="AB70" i="181"/>
  <c r="AE70" i="181" s="1"/>
  <c r="AI70" i="181" s="1"/>
  <c r="Y70" i="181" s="1"/>
  <c r="Z70" i="181"/>
  <c r="X70" i="181"/>
  <c r="Q70" i="181"/>
  <c r="P70" i="181"/>
  <c r="I70" i="181"/>
  <c r="H70" i="181"/>
  <c r="E70" i="181"/>
  <c r="AD69" i="181"/>
  <c r="AC69" i="181"/>
  <c r="AB69" i="181"/>
  <c r="AE69" i="181" s="1"/>
  <c r="AI69" i="181" s="1"/>
  <c r="Y69" i="181" s="1"/>
  <c r="Z69" i="181"/>
  <c r="X69" i="181"/>
  <c r="Q69" i="181"/>
  <c r="P69" i="181"/>
  <c r="I69" i="181"/>
  <c r="H69" i="181"/>
  <c r="E69" i="181"/>
  <c r="AE68" i="181"/>
  <c r="AI68" i="181" s="1"/>
  <c r="Y68" i="181" s="1"/>
  <c r="AD68" i="181"/>
  <c r="AC68" i="181"/>
  <c r="AB68" i="181"/>
  <c r="Z68" i="181"/>
  <c r="X68" i="181"/>
  <c r="Q68" i="181"/>
  <c r="P68" i="181"/>
  <c r="H68" i="181"/>
  <c r="E68" i="181"/>
  <c r="I68" i="181" s="1"/>
  <c r="AD67" i="181"/>
  <c r="AC67" i="181"/>
  <c r="AB67" i="181"/>
  <c r="AE67" i="181" s="1"/>
  <c r="AI67" i="181" s="1"/>
  <c r="Y67" i="181" s="1"/>
  <c r="Z67" i="181"/>
  <c r="X67" i="181"/>
  <c r="Q67" i="181"/>
  <c r="P67" i="181"/>
  <c r="H67" i="181"/>
  <c r="E67" i="181"/>
  <c r="I67" i="181" s="1"/>
  <c r="AD66" i="181"/>
  <c r="AC66" i="181"/>
  <c r="AE66" i="181" s="1"/>
  <c r="AI66" i="181" s="1"/>
  <c r="Y66" i="181" s="1"/>
  <c r="AB66" i="181"/>
  <c r="Z66" i="181"/>
  <c r="X66" i="181"/>
  <c r="Q66" i="181"/>
  <c r="P66" i="181"/>
  <c r="H66" i="181"/>
  <c r="E66" i="181"/>
  <c r="I66" i="181" s="1"/>
  <c r="AD65" i="181"/>
  <c r="AC65" i="181"/>
  <c r="AB65" i="181"/>
  <c r="AE65" i="181" s="1"/>
  <c r="AI65" i="181" s="1"/>
  <c r="Y65" i="181" s="1"/>
  <c r="Z65" i="181"/>
  <c r="X65" i="181"/>
  <c r="Q65" i="181"/>
  <c r="P65" i="181"/>
  <c r="H65" i="181"/>
  <c r="E65" i="181"/>
  <c r="I65" i="181" s="1"/>
  <c r="AD64" i="181"/>
  <c r="AC64" i="181"/>
  <c r="AB64" i="181"/>
  <c r="AE64" i="181" s="1"/>
  <c r="AI64" i="181" s="1"/>
  <c r="Y64" i="181" s="1"/>
  <c r="Z64" i="181"/>
  <c r="X64" i="181"/>
  <c r="Q64" i="181"/>
  <c r="P64" i="181"/>
  <c r="I64" i="181"/>
  <c r="H64" i="181"/>
  <c r="E64" i="181"/>
  <c r="AD63" i="181"/>
  <c r="AC63" i="181"/>
  <c r="AB63" i="181"/>
  <c r="AE63" i="181" s="1"/>
  <c r="AI63" i="181" s="1"/>
  <c r="Y63" i="181" s="1"/>
  <c r="Z63" i="181"/>
  <c r="X63" i="181"/>
  <c r="Q63" i="181"/>
  <c r="P63" i="181"/>
  <c r="H63" i="181"/>
  <c r="E63" i="181"/>
  <c r="I63" i="181" s="1"/>
  <c r="AD62" i="181"/>
  <c r="AC62" i="181"/>
  <c r="AE62" i="181" s="1"/>
  <c r="AI62" i="181" s="1"/>
  <c r="Y62" i="181" s="1"/>
  <c r="AB62" i="181"/>
  <c r="Z62" i="181"/>
  <c r="X62" i="181"/>
  <c r="Q62" i="181"/>
  <c r="P62" i="181"/>
  <c r="H62" i="181"/>
  <c r="E62" i="181"/>
  <c r="I62" i="181" s="1"/>
  <c r="AD61" i="181"/>
  <c r="AE61" i="181" s="1"/>
  <c r="AI61" i="181" s="1"/>
  <c r="Y61" i="181" s="1"/>
  <c r="Z61" i="181"/>
  <c r="X61" i="181"/>
  <c r="Q61" i="181"/>
  <c r="P61" i="181"/>
  <c r="I61" i="181"/>
  <c r="H61" i="181"/>
  <c r="E61" i="181"/>
  <c r="AD60" i="181"/>
  <c r="AC60" i="181"/>
  <c r="AE60" i="181" s="1"/>
  <c r="AI60" i="181" s="1"/>
  <c r="Y60" i="181" s="1"/>
  <c r="AB60" i="181"/>
  <c r="Z60" i="181"/>
  <c r="X60" i="181"/>
  <c r="Q60" i="181"/>
  <c r="P60" i="181"/>
  <c r="H60" i="181"/>
  <c r="E60" i="181"/>
  <c r="I60" i="181" s="1"/>
  <c r="AD59" i="181"/>
  <c r="AC59" i="181"/>
  <c r="AB59" i="181"/>
  <c r="AE59" i="181" s="1"/>
  <c r="AI59" i="181" s="1"/>
  <c r="Y59" i="181" s="1"/>
  <c r="Z59" i="181"/>
  <c r="X59" i="181"/>
  <c r="Q59" i="181"/>
  <c r="P59" i="181"/>
  <c r="I59" i="181"/>
  <c r="E59" i="181"/>
  <c r="AD58" i="181"/>
  <c r="AC58" i="181"/>
  <c r="AB58" i="181"/>
  <c r="AE58" i="181" s="1"/>
  <c r="AI58" i="181" s="1"/>
  <c r="Y58" i="181" s="1"/>
  <c r="Z58" i="181"/>
  <c r="X58" i="181"/>
  <c r="Q58" i="181"/>
  <c r="P58" i="181"/>
  <c r="I58" i="181"/>
  <c r="H58" i="181"/>
  <c r="E58" i="181"/>
  <c r="AE57" i="181"/>
  <c r="AI57" i="181" s="1"/>
  <c r="Y57" i="181" s="1"/>
  <c r="AD57" i="181"/>
  <c r="AC57" i="181"/>
  <c r="AB57" i="181"/>
  <c r="Z57" i="181"/>
  <c r="X57" i="181"/>
  <c r="Q57" i="181"/>
  <c r="P57" i="181"/>
  <c r="I57" i="181"/>
  <c r="H57" i="181"/>
  <c r="E57" i="181"/>
  <c r="AD56" i="181"/>
  <c r="AC56" i="181"/>
  <c r="AB56" i="181"/>
  <c r="AE56" i="181" s="1"/>
  <c r="AI56" i="181" s="1"/>
  <c r="Y56" i="181" s="1"/>
  <c r="Z56" i="181"/>
  <c r="X56" i="181"/>
  <c r="Q56" i="181"/>
  <c r="P56" i="181"/>
  <c r="I56" i="181"/>
  <c r="H56" i="181"/>
  <c r="E56" i="181"/>
  <c r="AD55" i="181"/>
  <c r="AC55" i="181"/>
  <c r="AE55" i="181" s="1"/>
  <c r="AI55" i="181" s="1"/>
  <c r="Y55" i="181" s="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Z53" i="181"/>
  <c r="X53" i="181"/>
  <c r="Q53" i="181"/>
  <c r="P53" i="181"/>
  <c r="H53" i="181"/>
  <c r="E53" i="181"/>
  <c r="I53" i="181" s="1"/>
  <c r="AD52" i="181"/>
  <c r="AC52" i="181"/>
  <c r="AE52" i="181" s="1"/>
  <c r="AI52" i="181" s="1"/>
  <c r="Y52" i="181" s="1"/>
  <c r="AB52" i="181"/>
  <c r="Z52" i="181"/>
  <c r="X52" i="181"/>
  <c r="Q52" i="181"/>
  <c r="P52" i="181"/>
  <c r="H52" i="181"/>
  <c r="E52" i="181"/>
  <c r="I52" i="181" s="1"/>
  <c r="AD51" i="181"/>
  <c r="AC51" i="181"/>
  <c r="AB51" i="181"/>
  <c r="AE51" i="181" s="1"/>
  <c r="AI51" i="181" s="1"/>
  <c r="Y51" i="181" s="1"/>
  <c r="Z51" i="181"/>
  <c r="X51" i="181"/>
  <c r="Q51" i="181"/>
  <c r="P51" i="181"/>
  <c r="H51" i="181"/>
  <c r="E51" i="181"/>
  <c r="I51" i="181" s="1"/>
  <c r="AE50" i="181"/>
  <c r="AI50" i="181" s="1"/>
  <c r="Y50" i="181" s="1"/>
  <c r="Z50" i="181"/>
  <c r="X50" i="181"/>
  <c r="Q50" i="181"/>
  <c r="P50" i="181"/>
  <c r="H50" i="181"/>
  <c r="E50" i="181"/>
  <c r="I50" i="181" s="1"/>
  <c r="AI49" i="181"/>
  <c r="AE49" i="181"/>
  <c r="Z49" i="181"/>
  <c r="Y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H48" i="181"/>
  <c r="E48" i="181"/>
  <c r="I48" i="181" s="1"/>
  <c r="AE47" i="181"/>
  <c r="AI47" i="181" s="1"/>
  <c r="Y47" i="181" s="1"/>
  <c r="AD47" i="181"/>
  <c r="AC47" i="181"/>
  <c r="AB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I46" i="181"/>
  <c r="H46" i="181"/>
  <c r="E46" i="181"/>
  <c r="AE45" i="181"/>
  <c r="AI45" i="181" s="1"/>
  <c r="Y45" i="181" s="1"/>
  <c r="AD45" i="181"/>
  <c r="AC45" i="181"/>
  <c r="AB45" i="181"/>
  <c r="Z45" i="181"/>
  <c r="X45" i="181"/>
  <c r="Q45" i="181"/>
  <c r="P45" i="181"/>
  <c r="I45" i="181"/>
  <c r="H45" i="181"/>
  <c r="E45" i="181"/>
  <c r="AD44" i="181"/>
  <c r="AC44" i="181"/>
  <c r="AB44" i="181"/>
  <c r="AE44" i="181" s="1"/>
  <c r="AI44" i="181" s="1"/>
  <c r="Y44" i="181" s="1"/>
  <c r="Z44" i="181"/>
  <c r="X44" i="181"/>
  <c r="Q44" i="181"/>
  <c r="P44" i="181"/>
  <c r="I44" i="181"/>
  <c r="H44" i="181"/>
  <c r="E44" i="181"/>
  <c r="AD43" i="181"/>
  <c r="AC43" i="181"/>
  <c r="AE43" i="181" s="1"/>
  <c r="AI43" i="181" s="1"/>
  <c r="Y43" i="181" s="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I42" i="181"/>
  <c r="H42" i="181"/>
  <c r="E42" i="181"/>
  <c r="AD41" i="181"/>
  <c r="AC41" i="181"/>
  <c r="AE41" i="181" s="1"/>
  <c r="AI41" i="181" s="1"/>
  <c r="Y41" i="181" s="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H40" i="181"/>
  <c r="E40" i="181"/>
  <c r="I40" i="181" s="1"/>
  <c r="AD39" i="181"/>
  <c r="AC39" i="181"/>
  <c r="AE39" i="181" s="1"/>
  <c r="AI39" i="181" s="1"/>
  <c r="Y39" i="181" s="1"/>
  <c r="AB39" i="181"/>
  <c r="Z39" i="181"/>
  <c r="X39" i="181"/>
  <c r="Q39" i="181"/>
  <c r="P39" i="181"/>
  <c r="H39" i="181"/>
  <c r="E39" i="181"/>
  <c r="I39" i="181" s="1"/>
  <c r="AD38" i="181"/>
  <c r="AC38" i="181"/>
  <c r="AB38" i="181"/>
  <c r="AE38" i="181" s="1"/>
  <c r="AI38" i="181" s="1"/>
  <c r="Y38" i="181" s="1"/>
  <c r="Z38" i="181"/>
  <c r="X38" i="181"/>
  <c r="Q38" i="181"/>
  <c r="P38" i="181"/>
  <c r="H38" i="181"/>
  <c r="E38" i="181"/>
  <c r="I38" i="181" s="1"/>
  <c r="AD37" i="181"/>
  <c r="AC37" i="181"/>
  <c r="AB37" i="181"/>
  <c r="AE37" i="181" s="1"/>
  <c r="AI37" i="181" s="1"/>
  <c r="Y37" i="181" s="1"/>
  <c r="Z37" i="181"/>
  <c r="X37" i="181"/>
  <c r="Q37" i="181"/>
  <c r="P37" i="181"/>
  <c r="I37" i="181"/>
  <c r="H37" i="181"/>
  <c r="E37" i="181"/>
  <c r="AD36" i="181"/>
  <c r="AC36" i="181"/>
  <c r="AB36" i="181"/>
  <c r="AE36" i="181" s="1"/>
  <c r="AI36" i="181" s="1"/>
  <c r="Y36" i="181" s="1"/>
  <c r="Z36" i="181"/>
  <c r="X36" i="181"/>
  <c r="Q36" i="181"/>
  <c r="P36" i="181"/>
  <c r="H36" i="181"/>
  <c r="E36" i="181"/>
  <c r="I36" i="181" s="1"/>
  <c r="AD35" i="181"/>
  <c r="AC35" i="181"/>
  <c r="AE35" i="181" s="1"/>
  <c r="AI35" i="181" s="1"/>
  <c r="Y35" i="181" s="1"/>
  <c r="AB35" i="181"/>
  <c r="Z35" i="181"/>
  <c r="X35" i="181"/>
  <c r="Q35" i="181"/>
  <c r="P35" i="181"/>
  <c r="H35" i="181"/>
  <c r="E35" i="181"/>
  <c r="I35" i="181" s="1"/>
  <c r="X34" i="181"/>
  <c r="Q34" i="181"/>
  <c r="P34" i="181"/>
  <c r="I34" i="181"/>
  <c r="H34" i="181"/>
  <c r="E34" i="181"/>
  <c r="AD33" i="181"/>
  <c r="AC33" i="181"/>
  <c r="AB33" i="181"/>
  <c r="AE33" i="181" s="1"/>
  <c r="AI33" i="181" s="1"/>
  <c r="Y33" i="181" s="1"/>
  <c r="Z33" i="181"/>
  <c r="X33" i="181"/>
  <c r="Q33" i="181"/>
  <c r="P33" i="181"/>
  <c r="H33" i="181"/>
  <c r="E33" i="181"/>
  <c r="I33" i="181" s="1"/>
  <c r="AD32" i="181"/>
  <c r="AC32" i="181"/>
  <c r="AE32" i="181" s="1"/>
  <c r="AI32" i="181" s="1"/>
  <c r="Y32" i="181" s="1"/>
  <c r="AB32" i="18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C30" i="181"/>
  <c r="AB30" i="181"/>
  <c r="AE30" i="181" s="1"/>
  <c r="AI30" i="181" s="1"/>
  <c r="Y30" i="181" s="1"/>
  <c r="Z30" i="181"/>
  <c r="X30" i="181"/>
  <c r="Q30" i="181"/>
  <c r="P30" i="181"/>
  <c r="H30" i="181"/>
  <c r="E30" i="181"/>
  <c r="I30" i="181" s="1"/>
  <c r="AE29" i="181"/>
  <c r="AI29" i="181" s="1"/>
  <c r="Y29" i="181" s="1"/>
  <c r="AD29" i="181"/>
  <c r="AC29" i="181"/>
  <c r="AB29" i="181"/>
  <c r="Z29" i="181"/>
  <c r="X29" i="181"/>
  <c r="Q29" i="181"/>
  <c r="P29" i="181"/>
  <c r="I29" i="181"/>
  <c r="H29" i="181"/>
  <c r="E29" i="181"/>
  <c r="AD28" i="181"/>
  <c r="AC28" i="181"/>
  <c r="AB28" i="181"/>
  <c r="AE28" i="181" s="1"/>
  <c r="AI28" i="181" s="1"/>
  <c r="Y28" i="181" s="1"/>
  <c r="Z28" i="181"/>
  <c r="X28" i="181"/>
  <c r="Q28" i="181"/>
  <c r="P28" i="181"/>
  <c r="I28" i="181"/>
  <c r="H28" i="181"/>
  <c r="E28" i="181"/>
  <c r="AE27" i="181"/>
  <c r="AI27" i="181" s="1"/>
  <c r="Y27" i="181" s="1"/>
  <c r="AD27" i="181"/>
  <c r="AC27" i="181"/>
  <c r="AB27" i="181"/>
  <c r="Z27" i="181"/>
  <c r="X27" i="181"/>
  <c r="Q27" i="181"/>
  <c r="P27" i="181"/>
  <c r="I27" i="181"/>
  <c r="H27" i="181"/>
  <c r="E27" i="181"/>
  <c r="AD26" i="181"/>
  <c r="AC26" i="181"/>
  <c r="AB26" i="181"/>
  <c r="AE26" i="181" s="1"/>
  <c r="AI26" i="181" s="1"/>
  <c r="Y26" i="181" s="1"/>
  <c r="Z26" i="181"/>
  <c r="X26" i="181"/>
  <c r="Q26" i="181"/>
  <c r="P26" i="181"/>
  <c r="I26" i="181"/>
  <c r="H26" i="181"/>
  <c r="E26" i="181"/>
  <c r="AD25" i="181"/>
  <c r="AC25" i="181"/>
  <c r="AE25" i="181" s="1"/>
  <c r="AI25" i="181" s="1"/>
  <c r="Y25" i="181" s="1"/>
  <c r="AB25" i="18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E23" i="181" s="1"/>
  <c r="AI23" i="181" s="1"/>
  <c r="Y23" i="181" s="1"/>
  <c r="AB23" i="181"/>
  <c r="Z23" i="181"/>
  <c r="X23" i="181"/>
  <c r="Q23" i="181"/>
  <c r="P23" i="181"/>
  <c r="H23" i="181"/>
  <c r="E23" i="181"/>
  <c r="I23" i="181" s="1"/>
  <c r="AD22" i="181"/>
  <c r="AC22" i="181"/>
  <c r="AB22" i="181"/>
  <c r="AE22" i="181" s="1"/>
  <c r="AI22" i="181" s="1"/>
  <c r="Y22" i="181" s="1"/>
  <c r="Z22" i="181"/>
  <c r="X22" i="181"/>
  <c r="Q22" i="181"/>
  <c r="P22" i="181"/>
  <c r="H22" i="181"/>
  <c r="E22" i="181"/>
  <c r="I22" i="181" s="1"/>
  <c r="AD21" i="181"/>
  <c r="AC21" i="181"/>
  <c r="AE21" i="181" s="1"/>
  <c r="AI21" i="181" s="1"/>
  <c r="Y21" i="181" s="1"/>
  <c r="AB21" i="181"/>
  <c r="Z21" i="181"/>
  <c r="X21" i="181"/>
  <c r="Q21" i="181"/>
  <c r="P21" i="181"/>
  <c r="H21" i="181"/>
  <c r="E21" i="181"/>
  <c r="I21" i="181" s="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D19" i="181"/>
  <c r="AC19" i="181"/>
  <c r="AB19" i="181"/>
  <c r="AE19" i="181" s="1"/>
  <c r="AI19" i="181" s="1"/>
  <c r="Y19" i="181" s="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H18" i="181"/>
  <c r="E18" i="181"/>
  <c r="I18" i="181" s="1"/>
  <c r="AD17" i="181"/>
  <c r="AC17" i="181"/>
  <c r="AE17" i="181" s="1"/>
  <c r="AI17" i="181" s="1"/>
  <c r="Y17" i="181" s="1"/>
  <c r="AB17" i="181"/>
  <c r="Z17" i="181"/>
  <c r="X17" i="181"/>
  <c r="Q17" i="181"/>
  <c r="P17" i="181"/>
  <c r="H17" i="181"/>
  <c r="E17" i="181"/>
  <c r="I17" i="181" s="1"/>
  <c r="AD16" i="181"/>
  <c r="AE16" i="181" s="1"/>
  <c r="AI16" i="181" s="1"/>
  <c r="Y16" i="181" s="1"/>
  <c r="AC16" i="181"/>
  <c r="AB16" i="181"/>
  <c r="Z16" i="181"/>
  <c r="X16" i="181"/>
  <c r="Q16" i="181"/>
  <c r="P16" i="181"/>
  <c r="E16" i="181"/>
  <c r="I16" i="181" s="1"/>
  <c r="AD15" i="181"/>
  <c r="AC15" i="181"/>
  <c r="AB15" i="181"/>
  <c r="AE15" i="181" s="1"/>
  <c r="AI15" i="181" s="1"/>
  <c r="Y15" i="181" s="1"/>
  <c r="Z15" i="181"/>
  <c r="X15" i="181"/>
  <c r="Q15" i="181"/>
  <c r="P15" i="181"/>
  <c r="I15" i="181"/>
  <c r="E15" i="18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E13" i="181" s="1"/>
  <c r="AI13" i="181" s="1"/>
  <c r="Y13" i="181" s="1"/>
  <c r="AB13" i="181"/>
  <c r="Z13" i="181"/>
  <c r="X13" i="181"/>
  <c r="Q13" i="181"/>
  <c r="P13" i="181"/>
  <c r="H13" i="181"/>
  <c r="E13" i="181"/>
  <c r="I13" i="181" s="1"/>
  <c r="AD12" i="181"/>
  <c r="AC12" i="181"/>
  <c r="AB12" i="181"/>
  <c r="AE12" i="181" s="1"/>
  <c r="AI12" i="181" s="1"/>
  <c r="Y12" i="181" s="1"/>
  <c r="Z12" i="181"/>
  <c r="X12" i="181"/>
  <c r="Q12" i="181"/>
  <c r="P12" i="181"/>
  <c r="H12" i="181"/>
  <c r="E12" i="181"/>
  <c r="I12" i="181" s="1"/>
  <c r="M81" i="180"/>
  <c r="W75" i="180"/>
  <c r="P73" i="180"/>
  <c r="H73" i="180"/>
  <c r="Q72" i="180"/>
  <c r="P72" i="180"/>
  <c r="I72" i="180"/>
  <c r="H72" i="180"/>
  <c r="E72" i="180"/>
  <c r="Q71" i="180"/>
  <c r="P71" i="180"/>
  <c r="H71" i="180"/>
  <c r="E71" i="180"/>
  <c r="I71" i="180" s="1"/>
  <c r="AD70" i="180"/>
  <c r="AE70" i="180" s="1"/>
  <c r="AI70" i="180" s="1"/>
  <c r="Y70" i="180" s="1"/>
  <c r="AC70" i="180"/>
  <c r="AB70" i="180"/>
  <c r="Z70" i="180"/>
  <c r="X70" i="180"/>
  <c r="W70" i="180"/>
  <c r="Q70" i="180"/>
  <c r="P70" i="180"/>
  <c r="I70" i="180"/>
  <c r="H70" i="180"/>
  <c r="E70" i="180"/>
  <c r="AD69" i="180"/>
  <c r="AC69" i="180"/>
  <c r="AB69" i="180"/>
  <c r="AE69" i="180" s="1"/>
  <c r="AI69" i="180" s="1"/>
  <c r="Y69" i="180" s="1"/>
  <c r="Z69" i="180"/>
  <c r="X69" i="180"/>
  <c r="Q69" i="180"/>
  <c r="P69" i="180"/>
  <c r="H69" i="180"/>
  <c r="E69" i="180"/>
  <c r="I69" i="180" s="1"/>
  <c r="AI68" i="180"/>
  <c r="Y68" i="180" s="1"/>
  <c r="AE68" i="180"/>
  <c r="AD68" i="180"/>
  <c r="AC68" i="180"/>
  <c r="AB68" i="180"/>
  <c r="Z68" i="180"/>
  <c r="X68" i="180"/>
  <c r="Q68" i="180"/>
  <c r="P68" i="180"/>
  <c r="I68" i="180"/>
  <c r="H68" i="180"/>
  <c r="E68" i="180"/>
  <c r="AD67" i="180"/>
  <c r="AC67" i="180"/>
  <c r="AE67" i="180" s="1"/>
  <c r="AI67" i="180" s="1"/>
  <c r="Y67" i="180" s="1"/>
  <c r="AB67" i="180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I65" i="180"/>
  <c r="H65" i="180"/>
  <c r="E65" i="180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E62" i="180" s="1"/>
  <c r="AI62" i="180" s="1"/>
  <c r="Y62" i="180" s="1"/>
  <c r="AB62" i="180"/>
  <c r="Z62" i="180"/>
  <c r="X62" i="180"/>
  <c r="Q62" i="180"/>
  <c r="P62" i="180"/>
  <c r="H62" i="180"/>
  <c r="E62" i="180"/>
  <c r="I62" i="180" s="1"/>
  <c r="AI61" i="180"/>
  <c r="Y61" i="180" s="1"/>
  <c r="AE61" i="180"/>
  <c r="AD61" i="180"/>
  <c r="Z61" i="180"/>
  <c r="X61" i="180"/>
  <c r="Q61" i="180"/>
  <c r="P61" i="180"/>
  <c r="H61" i="180"/>
  <c r="E61" i="180"/>
  <c r="I61" i="180" s="1"/>
  <c r="AD60" i="180"/>
  <c r="AC60" i="180"/>
  <c r="AB60" i="180"/>
  <c r="AE60" i="180" s="1"/>
  <c r="AI60" i="180" s="1"/>
  <c r="Y60" i="180" s="1"/>
  <c r="Z60" i="180"/>
  <c r="X60" i="180"/>
  <c r="Q60" i="180"/>
  <c r="P60" i="180"/>
  <c r="I60" i="180"/>
  <c r="H60" i="180"/>
  <c r="E60" i="180"/>
  <c r="AD59" i="180"/>
  <c r="AC59" i="180"/>
  <c r="AB59" i="180"/>
  <c r="AE59" i="180" s="1"/>
  <c r="AI59" i="180" s="1"/>
  <c r="Y59" i="180" s="1"/>
  <c r="Z59" i="180"/>
  <c r="X59" i="180"/>
  <c r="Q59" i="180"/>
  <c r="P59" i="180"/>
  <c r="E59" i="180"/>
  <c r="I59" i="180" s="1"/>
  <c r="AE58" i="180"/>
  <c r="AI58" i="180" s="1"/>
  <c r="Y58" i="180" s="1"/>
  <c r="AD58" i="180"/>
  <c r="AC58" i="180"/>
  <c r="AB58" i="180"/>
  <c r="Z58" i="180"/>
  <c r="X58" i="180"/>
  <c r="Q58" i="180"/>
  <c r="P58" i="180"/>
  <c r="H58" i="180"/>
  <c r="E58" i="180"/>
  <c r="I58" i="180" s="1"/>
  <c r="AD57" i="180"/>
  <c r="AC57" i="180"/>
  <c r="AB57" i="180"/>
  <c r="AE57" i="180" s="1"/>
  <c r="AI57" i="180" s="1"/>
  <c r="Y57" i="180" s="1"/>
  <c r="Z57" i="180"/>
  <c r="X57" i="180"/>
  <c r="Q57" i="180"/>
  <c r="P57" i="180"/>
  <c r="H57" i="180"/>
  <c r="E57" i="180"/>
  <c r="I57" i="180" s="1"/>
  <c r="AD56" i="180"/>
  <c r="AE56" i="180" s="1"/>
  <c r="AI56" i="180" s="1"/>
  <c r="Y56" i="180" s="1"/>
  <c r="AC56" i="180"/>
  <c r="AB56" i="180"/>
  <c r="Z56" i="180"/>
  <c r="X56" i="180"/>
  <c r="Q56" i="180"/>
  <c r="P56" i="180"/>
  <c r="H56" i="180"/>
  <c r="E56" i="180"/>
  <c r="I56" i="180" s="1"/>
  <c r="AD55" i="180"/>
  <c r="AC55" i="180"/>
  <c r="AB55" i="180"/>
  <c r="AE55" i="180" s="1"/>
  <c r="AI55" i="180" s="1"/>
  <c r="Y55" i="180" s="1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I53" i="180"/>
  <c r="Y53" i="180" s="1"/>
  <c r="AE53" i="180"/>
  <c r="Z53" i="180"/>
  <c r="X53" i="180"/>
  <c r="Q53" i="180"/>
  <c r="P53" i="180"/>
  <c r="I53" i="180"/>
  <c r="H53" i="180"/>
  <c r="E53" i="180"/>
  <c r="AE52" i="180"/>
  <c r="AI52" i="180" s="1"/>
  <c r="Y52" i="180" s="1"/>
  <c r="AD52" i="180"/>
  <c r="AC52" i="180"/>
  <c r="AB52" i="180"/>
  <c r="Z52" i="180"/>
  <c r="X52" i="180"/>
  <c r="Q52" i="180"/>
  <c r="P52" i="180"/>
  <c r="H52" i="180"/>
  <c r="E52" i="180"/>
  <c r="I52" i="180" s="1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E50" i="180"/>
  <c r="AI50" i="180" s="1"/>
  <c r="Y50" i="180" s="1"/>
  <c r="Z50" i="180"/>
  <c r="X50" i="180"/>
  <c r="Q50" i="180"/>
  <c r="P50" i="180"/>
  <c r="I50" i="180"/>
  <c r="H50" i="180"/>
  <c r="E50" i="180"/>
  <c r="AI49" i="180"/>
  <c r="AE49" i="180"/>
  <c r="Z49" i="180"/>
  <c r="Y49" i="180"/>
  <c r="X49" i="180"/>
  <c r="Q49" i="180"/>
  <c r="P49" i="180"/>
  <c r="H49" i="180"/>
  <c r="E49" i="180"/>
  <c r="I49" i="180" s="1"/>
  <c r="AI48" i="180"/>
  <c r="AE48" i="180"/>
  <c r="Z48" i="180"/>
  <c r="Y48" i="180"/>
  <c r="X48" i="180"/>
  <c r="Q48" i="180"/>
  <c r="P48" i="180"/>
  <c r="H48" i="180"/>
  <c r="E48" i="180"/>
  <c r="I48" i="180" s="1"/>
  <c r="AD47" i="180"/>
  <c r="AC47" i="180"/>
  <c r="AB47" i="180"/>
  <c r="AE47" i="180" s="1"/>
  <c r="AI47" i="180" s="1"/>
  <c r="Y47" i="180" s="1"/>
  <c r="Z47" i="180"/>
  <c r="X47" i="180"/>
  <c r="Q47" i="180"/>
  <c r="P47" i="180"/>
  <c r="I47" i="180"/>
  <c r="H47" i="180"/>
  <c r="E47" i="180"/>
  <c r="AE46" i="180"/>
  <c r="AI46" i="180" s="1"/>
  <c r="Y46" i="180" s="1"/>
  <c r="AD46" i="180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E44" i="180" s="1"/>
  <c r="AI44" i="180" s="1"/>
  <c r="Y44" i="180" s="1"/>
  <c r="AC44" i="180"/>
  <c r="AB44" i="180"/>
  <c r="Z44" i="180"/>
  <c r="X44" i="180"/>
  <c r="Q44" i="180"/>
  <c r="P44" i="180"/>
  <c r="H44" i="180"/>
  <c r="E44" i="180"/>
  <c r="I44" i="180" s="1"/>
  <c r="AD43" i="180"/>
  <c r="AC43" i="180"/>
  <c r="AB43" i="180"/>
  <c r="AE43" i="180" s="1"/>
  <c r="AI43" i="180" s="1"/>
  <c r="Y43" i="180" s="1"/>
  <c r="Z43" i="180"/>
  <c r="Q43" i="180"/>
  <c r="P43" i="180"/>
  <c r="I43" i="180"/>
  <c r="H43" i="180"/>
  <c r="X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I41" i="180"/>
  <c r="Y41" i="180" s="1"/>
  <c r="AE41" i="180"/>
  <c r="AD41" i="180"/>
  <c r="AC41" i="180"/>
  <c r="AB41" i="180"/>
  <c r="Z41" i="180"/>
  <c r="X41" i="180"/>
  <c r="Q41" i="180"/>
  <c r="P41" i="180"/>
  <c r="I41" i="180"/>
  <c r="H41" i="180"/>
  <c r="E41" i="180"/>
  <c r="AD40" i="180"/>
  <c r="AC40" i="180"/>
  <c r="AB40" i="180"/>
  <c r="AE40" i="180" s="1"/>
  <c r="AI40" i="180" s="1"/>
  <c r="Y40" i="180" s="1"/>
  <c r="Z40" i="180"/>
  <c r="X40" i="180"/>
  <c r="Q40" i="180"/>
  <c r="P40" i="180"/>
  <c r="H40" i="180"/>
  <c r="E40" i="180"/>
  <c r="I40" i="180" s="1"/>
  <c r="AI39" i="180"/>
  <c r="Y39" i="180" s="1"/>
  <c r="AE39" i="180"/>
  <c r="AD39" i="180"/>
  <c r="AC39" i="180"/>
  <c r="AB39" i="180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I36" i="180"/>
  <c r="Y36" i="180" s="1"/>
  <c r="AE36" i="180"/>
  <c r="AD36" i="180"/>
  <c r="AC36" i="180"/>
  <c r="AB36" i="180"/>
  <c r="Z36" i="180"/>
  <c r="X36" i="180"/>
  <c r="Q36" i="180"/>
  <c r="P36" i="180"/>
  <c r="I36" i="180"/>
  <c r="H36" i="180"/>
  <c r="E36" i="180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X34" i="180"/>
  <c r="Q34" i="180"/>
  <c r="P34" i="180"/>
  <c r="H34" i="180"/>
  <c r="E34" i="180"/>
  <c r="I34" i="180" s="1"/>
  <c r="AI33" i="180"/>
  <c r="AE33" i="180"/>
  <c r="AD33" i="180"/>
  <c r="AC33" i="180"/>
  <c r="AB33" i="180"/>
  <c r="Z33" i="180"/>
  <c r="Q33" i="180"/>
  <c r="P33" i="180"/>
  <c r="I33" i="180"/>
  <c r="H33" i="180"/>
  <c r="E33" i="180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I28" i="180"/>
  <c r="Y28" i="180" s="1"/>
  <c r="AE28" i="180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I26" i="180"/>
  <c r="Y26" i="180" s="1"/>
  <c r="AE26" i="180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H25" i="180"/>
  <c r="E25" i="180"/>
  <c r="I25" i="180" s="1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E22" i="180" s="1"/>
  <c r="AI22" i="180" s="1"/>
  <c r="Y22" i="180" s="1"/>
  <c r="AC22" i="180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I21" i="180"/>
  <c r="H21" i="180"/>
  <c r="E21" i="180"/>
  <c r="AD20" i="180"/>
  <c r="AE20" i="180" s="1"/>
  <c r="AI20" i="180" s="1"/>
  <c r="Y20" i="180" s="1"/>
  <c r="AC20" i="180"/>
  <c r="AB20" i="180"/>
  <c r="Z20" i="180"/>
  <c r="X20" i="180"/>
  <c r="Q20" i="180"/>
  <c r="P20" i="180"/>
  <c r="I20" i="180"/>
  <c r="H20" i="180"/>
  <c r="E20" i="180"/>
  <c r="AD19" i="180"/>
  <c r="AC19" i="180"/>
  <c r="AB19" i="180"/>
  <c r="AE19" i="180" s="1"/>
  <c r="AI19" i="180" s="1"/>
  <c r="Y19" i="180" s="1"/>
  <c r="Z19" i="180"/>
  <c r="X19" i="180"/>
  <c r="Q19" i="180"/>
  <c r="P19" i="180"/>
  <c r="I19" i="180"/>
  <c r="H19" i="180"/>
  <c r="E19" i="180"/>
  <c r="AE18" i="180"/>
  <c r="AI18" i="180" s="1"/>
  <c r="Y18" i="180" s="1"/>
  <c r="AD18" i="180"/>
  <c r="AC18" i="180"/>
  <c r="AB18" i="180"/>
  <c r="Z18" i="180"/>
  <c r="X18" i="180"/>
  <c r="Q18" i="180"/>
  <c r="P18" i="180"/>
  <c r="H18" i="180"/>
  <c r="E18" i="180"/>
  <c r="I18" i="180" s="1"/>
  <c r="AE17" i="180"/>
  <c r="AI17" i="180" s="1"/>
  <c r="Y17" i="180" s="1"/>
  <c r="AD17" i="180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E15" i="180"/>
  <c r="I15" i="180" s="1"/>
  <c r="AE14" i="180"/>
  <c r="AI14" i="180" s="1"/>
  <c r="Y14" i="180" s="1"/>
  <c r="AD14" i="180"/>
  <c r="AC14" i="180"/>
  <c r="AB14" i="180"/>
  <c r="Z14" i="180"/>
  <c r="X14" i="180"/>
  <c r="Q14" i="180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E12" i="180" s="1"/>
  <c r="AI12" i="180" s="1"/>
  <c r="Y12" i="180" s="1"/>
  <c r="AC12" i="180"/>
  <c r="AB12" i="180"/>
  <c r="Z12" i="180"/>
  <c r="X12" i="180"/>
  <c r="Q12" i="180"/>
  <c r="P12" i="180"/>
  <c r="H12" i="180"/>
  <c r="E12" i="180"/>
  <c r="I12" i="180" s="1"/>
  <c r="F79" i="183" l="1"/>
  <c r="T77" i="181"/>
  <c r="T79" i="181"/>
  <c r="O77" i="181"/>
  <c r="F75" i="181"/>
  <c r="F77" i="181"/>
  <c r="T75" i="181"/>
  <c r="O75" i="181"/>
  <c r="F77" i="180"/>
  <c r="O75" i="180"/>
  <c r="O77" i="180"/>
  <c r="T77" i="180"/>
  <c r="F75" i="180"/>
  <c r="X33" i="180"/>
  <c r="T79" i="180" s="1"/>
  <c r="Y33" i="180"/>
  <c r="T75" i="180" s="1"/>
  <c r="P79" i="179"/>
  <c r="P79" i="178"/>
  <c r="P81" i="178"/>
  <c r="F33" i="178"/>
  <c r="M81" i="179"/>
  <c r="P73" i="179"/>
  <c r="Q72" i="179"/>
  <c r="P72" i="179"/>
  <c r="I72" i="179"/>
  <c r="H72" i="179"/>
  <c r="E72" i="179"/>
  <c r="Q71" i="179"/>
  <c r="P71" i="179"/>
  <c r="H71" i="179"/>
  <c r="E71" i="179"/>
  <c r="I71" i="179" s="1"/>
  <c r="AD70" i="179"/>
  <c r="AC70" i="179"/>
  <c r="AB70" i="179"/>
  <c r="AE70" i="179" s="1"/>
  <c r="AI70" i="179" s="1"/>
  <c r="Y70" i="179" s="1"/>
  <c r="Z70" i="179"/>
  <c r="X70" i="179"/>
  <c r="Q70" i="179"/>
  <c r="P70" i="179"/>
  <c r="I70" i="179"/>
  <c r="H70" i="179"/>
  <c r="E70" i="179"/>
  <c r="AD69" i="179"/>
  <c r="AC69" i="179"/>
  <c r="AB69" i="179"/>
  <c r="AE69" i="179" s="1"/>
  <c r="AI69" i="179" s="1"/>
  <c r="Y69" i="179" s="1"/>
  <c r="Z69" i="179"/>
  <c r="X69" i="179"/>
  <c r="Q69" i="179"/>
  <c r="P69" i="179"/>
  <c r="H69" i="179"/>
  <c r="E69" i="179"/>
  <c r="I69" i="179" s="1"/>
  <c r="AI68" i="179"/>
  <c r="Y68" i="179" s="1"/>
  <c r="AE68" i="179"/>
  <c r="AD68" i="179"/>
  <c r="AC68" i="179"/>
  <c r="AB68" i="179"/>
  <c r="Z68" i="179"/>
  <c r="X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B66" i="179"/>
  <c r="AE66" i="179" s="1"/>
  <c r="AI66" i="179" s="1"/>
  <c r="Y66" i="179" s="1"/>
  <c r="Z66" i="179"/>
  <c r="X66" i="179"/>
  <c r="Q66" i="179"/>
  <c r="P66" i="179"/>
  <c r="H66" i="179"/>
  <c r="E66" i="179"/>
  <c r="I66" i="179" s="1"/>
  <c r="AD65" i="179"/>
  <c r="AE65" i="179" s="1"/>
  <c r="AI65" i="179" s="1"/>
  <c r="Y65" i="179" s="1"/>
  <c r="AC65" i="179"/>
  <c r="AB65" i="179"/>
  <c r="Z65" i="179"/>
  <c r="X65" i="179"/>
  <c r="Q65" i="179"/>
  <c r="P65" i="179"/>
  <c r="I65" i="179"/>
  <c r="H65" i="179"/>
  <c r="E65" i="179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E62" i="179" s="1"/>
  <c r="AI62" i="179" s="1"/>
  <c r="Y62" i="179" s="1"/>
  <c r="AB62" i="179"/>
  <c r="Z62" i="179"/>
  <c r="X62" i="179"/>
  <c r="Q62" i="179"/>
  <c r="P62" i="179"/>
  <c r="I62" i="179"/>
  <c r="H62" i="179"/>
  <c r="E62" i="179"/>
  <c r="AE61" i="179"/>
  <c r="AI61" i="179" s="1"/>
  <c r="Y61" i="179" s="1"/>
  <c r="AD61" i="179"/>
  <c r="Z61" i="179"/>
  <c r="X61" i="179"/>
  <c r="Q61" i="179"/>
  <c r="P61" i="179"/>
  <c r="H61" i="179"/>
  <c r="E61" i="179"/>
  <c r="I61" i="179" s="1"/>
  <c r="AD60" i="179"/>
  <c r="AC60" i="179"/>
  <c r="AB60" i="179"/>
  <c r="AE60" i="179" s="1"/>
  <c r="AI60" i="179" s="1"/>
  <c r="Y60" i="179" s="1"/>
  <c r="Z60" i="179"/>
  <c r="X60" i="179"/>
  <c r="Q60" i="179"/>
  <c r="P60" i="179"/>
  <c r="I60" i="179"/>
  <c r="H60" i="179"/>
  <c r="E60" i="179"/>
  <c r="AD59" i="179"/>
  <c r="AC59" i="179"/>
  <c r="AB59" i="179"/>
  <c r="AE59" i="179" s="1"/>
  <c r="AI59" i="179" s="1"/>
  <c r="Y59" i="179" s="1"/>
  <c r="Z59" i="179"/>
  <c r="X59" i="179"/>
  <c r="Q59" i="179"/>
  <c r="P59" i="179"/>
  <c r="E59" i="179"/>
  <c r="I59" i="179" s="1"/>
  <c r="AE58" i="179"/>
  <c r="AI58" i="179" s="1"/>
  <c r="Y58" i="179" s="1"/>
  <c r="AD58" i="179"/>
  <c r="AC58" i="179"/>
  <c r="AB58" i="179"/>
  <c r="Z58" i="179"/>
  <c r="X58" i="179"/>
  <c r="Q58" i="179"/>
  <c r="P58" i="179"/>
  <c r="I58" i="179"/>
  <c r="H58" i="179"/>
  <c r="E58" i="179"/>
  <c r="AD57" i="179"/>
  <c r="AC57" i="179"/>
  <c r="AB57" i="179"/>
  <c r="AE57" i="179" s="1"/>
  <c r="AI57" i="179" s="1"/>
  <c r="Y57" i="179" s="1"/>
  <c r="Z57" i="179"/>
  <c r="X57" i="179"/>
  <c r="Q57" i="179"/>
  <c r="P57" i="179"/>
  <c r="H57" i="179"/>
  <c r="E57" i="179"/>
  <c r="I57" i="179" s="1"/>
  <c r="AD56" i="179"/>
  <c r="AC56" i="179"/>
  <c r="AE56" i="179" s="1"/>
  <c r="AI56" i="179" s="1"/>
  <c r="Y56" i="179" s="1"/>
  <c r="AB56" i="179"/>
  <c r="Z56" i="179"/>
  <c r="X56" i="179"/>
  <c r="Q56" i="179"/>
  <c r="P56" i="179"/>
  <c r="H56" i="179"/>
  <c r="E56" i="179"/>
  <c r="I56" i="179" s="1"/>
  <c r="AD55" i="179"/>
  <c r="AC55" i="179"/>
  <c r="AB55" i="179"/>
  <c r="AE55" i="179" s="1"/>
  <c r="AI55" i="179" s="1"/>
  <c r="Y55" i="179" s="1"/>
  <c r="Z55" i="179"/>
  <c r="X55" i="179"/>
  <c r="Q55" i="179"/>
  <c r="P55" i="179"/>
  <c r="I55" i="179"/>
  <c r="H55" i="179"/>
  <c r="E55" i="179"/>
  <c r="AD54" i="179"/>
  <c r="AC54" i="179"/>
  <c r="AE54" i="179" s="1"/>
  <c r="AI54" i="179" s="1"/>
  <c r="Y54" i="179" s="1"/>
  <c r="AB54" i="179"/>
  <c r="Z54" i="179"/>
  <c r="X54" i="179"/>
  <c r="Q54" i="179"/>
  <c r="P54" i="179"/>
  <c r="H54" i="179"/>
  <c r="E54" i="179"/>
  <c r="I54" i="179" s="1"/>
  <c r="AI53" i="179"/>
  <c r="Y53" i="179" s="1"/>
  <c r="AE53" i="179"/>
  <c r="Z53" i="179"/>
  <c r="X53" i="179"/>
  <c r="Q53" i="179"/>
  <c r="P53" i="179"/>
  <c r="H53" i="179"/>
  <c r="E53" i="179"/>
  <c r="I53" i="179" s="1"/>
  <c r="AD52" i="179"/>
  <c r="AC52" i="179"/>
  <c r="AB52" i="179"/>
  <c r="AE52" i="179" s="1"/>
  <c r="AI52" i="179" s="1"/>
  <c r="Y52" i="179" s="1"/>
  <c r="Z52" i="179"/>
  <c r="X52" i="179"/>
  <c r="Q52" i="179"/>
  <c r="P52" i="179"/>
  <c r="H52" i="179"/>
  <c r="E52" i="179"/>
  <c r="I52" i="179" s="1"/>
  <c r="AE51" i="179"/>
  <c r="AI51" i="179" s="1"/>
  <c r="Y51" i="179" s="1"/>
  <c r="AD51" i="179"/>
  <c r="AC51" i="179"/>
  <c r="AB51" i="179"/>
  <c r="Z51" i="179"/>
  <c r="X51" i="179"/>
  <c r="Q51" i="179"/>
  <c r="P51" i="179"/>
  <c r="I51" i="179"/>
  <c r="H51" i="179"/>
  <c r="E51" i="179"/>
  <c r="AE50" i="179"/>
  <c r="AI50" i="179" s="1"/>
  <c r="Y50" i="179" s="1"/>
  <c r="Z50" i="179"/>
  <c r="X50" i="179"/>
  <c r="Q50" i="179"/>
  <c r="P50" i="179"/>
  <c r="I50" i="179"/>
  <c r="H50" i="179"/>
  <c r="E50" i="179"/>
  <c r="AI49" i="179"/>
  <c r="AE49" i="179"/>
  <c r="Z49" i="179"/>
  <c r="Y49" i="179"/>
  <c r="X49" i="179"/>
  <c r="Q49" i="179"/>
  <c r="P49" i="179"/>
  <c r="I49" i="179"/>
  <c r="H49" i="179"/>
  <c r="E49" i="179"/>
  <c r="AE48" i="179"/>
  <c r="AI48" i="179" s="1"/>
  <c r="Y48" i="179" s="1"/>
  <c r="Z48" i="179"/>
  <c r="X48" i="179"/>
  <c r="Q48" i="179"/>
  <c r="P48" i="179"/>
  <c r="H48" i="179"/>
  <c r="E48" i="179"/>
  <c r="I48" i="179" s="1"/>
  <c r="AD47" i="179"/>
  <c r="AC47" i="179"/>
  <c r="AB47" i="179"/>
  <c r="AE47" i="179" s="1"/>
  <c r="AI47" i="179" s="1"/>
  <c r="Y47" i="179" s="1"/>
  <c r="Z47" i="179"/>
  <c r="X47" i="179"/>
  <c r="Q47" i="179"/>
  <c r="P47" i="179"/>
  <c r="I47" i="179"/>
  <c r="H47" i="179"/>
  <c r="E47" i="179"/>
  <c r="AE46" i="179"/>
  <c r="AI46" i="179" s="1"/>
  <c r="Y46" i="179" s="1"/>
  <c r="AD46" i="179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H45" i="179"/>
  <c r="E45" i="179"/>
  <c r="I45" i="179" s="1"/>
  <c r="AD44" i="179"/>
  <c r="AC44" i="179"/>
  <c r="AE44" i="179" s="1"/>
  <c r="AI44" i="179" s="1"/>
  <c r="Y44" i="179" s="1"/>
  <c r="AB44" i="179"/>
  <c r="Z44" i="179"/>
  <c r="X44" i="179"/>
  <c r="Q44" i="179"/>
  <c r="P44" i="179"/>
  <c r="H44" i="179"/>
  <c r="E44" i="179"/>
  <c r="I44" i="179" s="1"/>
  <c r="AD43" i="179"/>
  <c r="AC43" i="179"/>
  <c r="AB43" i="179"/>
  <c r="AE43" i="179" s="1"/>
  <c r="AI43" i="179" s="1"/>
  <c r="Y43" i="179" s="1"/>
  <c r="Q43" i="179"/>
  <c r="P43" i="179"/>
  <c r="I43" i="179"/>
  <c r="H43" i="179"/>
  <c r="X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H42" i="179"/>
  <c r="E42" i="179"/>
  <c r="I42" i="179" s="1"/>
  <c r="AD41" i="179"/>
  <c r="AC41" i="179"/>
  <c r="AB41" i="179"/>
  <c r="AE41" i="179" s="1"/>
  <c r="AI41" i="179" s="1"/>
  <c r="Y41" i="179" s="1"/>
  <c r="Z41" i="179"/>
  <c r="X41" i="179"/>
  <c r="Q41" i="179"/>
  <c r="P41" i="179"/>
  <c r="I41" i="179"/>
  <c r="H41" i="179"/>
  <c r="E41" i="179"/>
  <c r="AD40" i="179"/>
  <c r="AC40" i="179"/>
  <c r="AE40" i="179" s="1"/>
  <c r="AI40" i="179" s="1"/>
  <c r="Y40" i="179" s="1"/>
  <c r="AB40" i="179"/>
  <c r="Z40" i="179"/>
  <c r="X40" i="179"/>
  <c r="Q40" i="179"/>
  <c r="P40" i="179"/>
  <c r="I40" i="179"/>
  <c r="H40" i="179"/>
  <c r="E40" i="179"/>
  <c r="AE39" i="179"/>
  <c r="AI39" i="179" s="1"/>
  <c r="Y39" i="179" s="1"/>
  <c r="AD39" i="179"/>
  <c r="AC39" i="179"/>
  <c r="AB39" i="179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B37" i="179"/>
  <c r="AE37" i="179" s="1"/>
  <c r="AI37" i="179" s="1"/>
  <c r="Y37" i="179" s="1"/>
  <c r="Z37" i="179"/>
  <c r="X37" i="179"/>
  <c r="Q37" i="179"/>
  <c r="P37" i="179"/>
  <c r="H37" i="179"/>
  <c r="E37" i="179"/>
  <c r="I37" i="179" s="1"/>
  <c r="AE36" i="179"/>
  <c r="AI36" i="179" s="1"/>
  <c r="Y36" i="179" s="1"/>
  <c r="AD36" i="179"/>
  <c r="AC36" i="179"/>
  <c r="AB36" i="179"/>
  <c r="Z36" i="179"/>
  <c r="X36" i="179"/>
  <c r="Q36" i="179"/>
  <c r="P36" i="179"/>
  <c r="I36" i="179"/>
  <c r="H36" i="179"/>
  <c r="E36" i="179"/>
  <c r="AE35" i="179"/>
  <c r="AI35" i="179" s="1"/>
  <c r="Y35" i="179" s="1"/>
  <c r="AD35" i="179"/>
  <c r="AC35" i="179"/>
  <c r="AB35" i="179"/>
  <c r="Z35" i="179"/>
  <c r="X35" i="179"/>
  <c r="Q35" i="179"/>
  <c r="P35" i="179"/>
  <c r="I35" i="179"/>
  <c r="H35" i="179"/>
  <c r="E35" i="179"/>
  <c r="X34" i="179"/>
  <c r="Q34" i="179"/>
  <c r="P34" i="179"/>
  <c r="H34" i="179"/>
  <c r="E34" i="179"/>
  <c r="I34" i="179" s="1"/>
  <c r="AE33" i="179"/>
  <c r="AI33" i="179" s="1"/>
  <c r="Y33" i="179" s="1"/>
  <c r="AD33" i="179"/>
  <c r="AC33" i="179"/>
  <c r="AB33" i="179"/>
  <c r="X33" i="179"/>
  <c r="Q33" i="179"/>
  <c r="P33" i="179"/>
  <c r="I33" i="179"/>
  <c r="H33" i="179"/>
  <c r="E33" i="179"/>
  <c r="AI32" i="179"/>
  <c r="Y32" i="179" s="1"/>
  <c r="AE32" i="179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H31" i="179"/>
  <c r="E31" i="179"/>
  <c r="I31" i="179" s="1"/>
  <c r="AD30" i="179"/>
  <c r="AE30" i="179" s="1"/>
  <c r="AI30" i="179" s="1"/>
  <c r="Y30" i="179" s="1"/>
  <c r="AC30" i="179"/>
  <c r="AB30" i="179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B28" i="179"/>
  <c r="AE28" i="179" s="1"/>
  <c r="AI28" i="179" s="1"/>
  <c r="Y28" i="179" s="1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E22" i="179"/>
  <c r="AI22" i="179" s="1"/>
  <c r="Y22" i="179" s="1"/>
  <c r="AD22" i="179"/>
  <c r="AC22" i="179"/>
  <c r="AB22" i="179"/>
  <c r="Z22" i="179"/>
  <c r="X22" i="179"/>
  <c r="Q22" i="179"/>
  <c r="P22" i="179"/>
  <c r="I22" i="179"/>
  <c r="H22" i="179"/>
  <c r="E22" i="179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I17" i="179"/>
  <c r="Y17" i="179" s="1"/>
  <c r="AE17" i="179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O77" i="179" s="1"/>
  <c r="P14" i="179"/>
  <c r="H14" i="179"/>
  <c r="E14" i="179"/>
  <c r="I14" i="179" s="1"/>
  <c r="AD13" i="179"/>
  <c r="AC13" i="179"/>
  <c r="AB13" i="179"/>
  <c r="AE13" i="179" s="1"/>
  <c r="AI13" i="179" s="1"/>
  <c r="Y13" i="179" s="1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I12" i="179"/>
  <c r="H12" i="179"/>
  <c r="E12" i="179"/>
  <c r="T81" i="181" l="1"/>
  <c r="F79" i="181" s="1"/>
  <c r="T81" i="180"/>
  <c r="F79" i="180"/>
  <c r="O75" i="179"/>
  <c r="T79" i="179"/>
  <c r="F75" i="179"/>
  <c r="F77" i="179"/>
  <c r="T75" i="179"/>
  <c r="Z43" i="179"/>
  <c r="H73" i="179"/>
  <c r="Z33" i="179"/>
  <c r="T77" i="179" s="1"/>
  <c r="AE69" i="178"/>
  <c r="AD69" i="178"/>
  <c r="AB69" i="178"/>
  <c r="AC69" i="178"/>
  <c r="AI69" i="178"/>
  <c r="Y69" i="178" s="1"/>
  <c r="AD58" i="178"/>
  <c r="AD59" i="178"/>
  <c r="AD60" i="178"/>
  <c r="AD61" i="178"/>
  <c r="AD62" i="178"/>
  <c r="Z58" i="178"/>
  <c r="Z59" i="178"/>
  <c r="Z60" i="178"/>
  <c r="Z61" i="178"/>
  <c r="Z62" i="178"/>
  <c r="Z69" i="178"/>
  <c r="T81" i="179" l="1"/>
  <c r="F79" i="179" s="1"/>
  <c r="Q69" i="178"/>
  <c r="Q70" i="178"/>
  <c r="Q34" i="178"/>
  <c r="H34" i="178"/>
  <c r="P34" i="178"/>
  <c r="E34" i="178"/>
  <c r="I34" i="178" s="1"/>
  <c r="X34" i="178"/>
  <c r="H69" i="178" l="1"/>
  <c r="P69" i="178"/>
  <c r="E69" i="178"/>
  <c r="I69" i="178" s="1"/>
  <c r="X69" i="178"/>
  <c r="F43" i="178"/>
  <c r="H43" i="178" s="1"/>
  <c r="M81" i="178"/>
  <c r="W75" i="178"/>
  <c r="P73" i="178"/>
  <c r="Q72" i="178"/>
  <c r="P72" i="178"/>
  <c r="H72" i="178"/>
  <c r="E72" i="178"/>
  <c r="I72" i="178" s="1"/>
  <c r="Q71" i="178"/>
  <c r="P71" i="178"/>
  <c r="I71" i="178"/>
  <c r="H71" i="178"/>
  <c r="E71" i="178"/>
  <c r="AD70" i="178"/>
  <c r="AC70" i="178"/>
  <c r="AB70" i="178"/>
  <c r="AE70" i="178" s="1"/>
  <c r="AI70" i="178" s="1"/>
  <c r="Y70" i="178" s="1"/>
  <c r="Z70" i="178"/>
  <c r="X70" i="178"/>
  <c r="W70" i="178"/>
  <c r="P70" i="178"/>
  <c r="I70" i="178"/>
  <c r="H70" i="178"/>
  <c r="E70" i="178"/>
  <c r="AI68" i="178"/>
  <c r="AE68" i="178"/>
  <c r="AD68" i="178"/>
  <c r="AC68" i="178"/>
  <c r="AB68" i="178"/>
  <c r="Z68" i="178"/>
  <c r="Y68" i="178"/>
  <c r="X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D66" i="178"/>
  <c r="AC66" i="178"/>
  <c r="AB66" i="178"/>
  <c r="AE66" i="178" s="1"/>
  <c r="AI66" i="178" s="1"/>
  <c r="Y66" i="178" s="1"/>
  <c r="Z66" i="178"/>
  <c r="X66" i="178"/>
  <c r="Q66" i="178"/>
  <c r="P66" i="178"/>
  <c r="H66" i="178"/>
  <c r="E66" i="178"/>
  <c r="I66" i="178" s="1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H63" i="178"/>
  <c r="E63" i="178"/>
  <c r="I63" i="178" s="1"/>
  <c r="AC62" i="178"/>
  <c r="AE62" i="178" s="1"/>
  <c r="AI62" i="178" s="1"/>
  <c r="Y62" i="178" s="1"/>
  <c r="AB62" i="178"/>
  <c r="X62" i="178"/>
  <c r="Q62" i="178"/>
  <c r="P62" i="178"/>
  <c r="I62" i="178"/>
  <c r="H62" i="178"/>
  <c r="E62" i="178"/>
  <c r="AI61" i="178"/>
  <c r="Y61" i="178" s="1"/>
  <c r="AE61" i="178"/>
  <c r="X61" i="178"/>
  <c r="Q61" i="178"/>
  <c r="P61" i="178"/>
  <c r="I61" i="178"/>
  <c r="H61" i="178"/>
  <c r="E61" i="178"/>
  <c r="AC60" i="178"/>
  <c r="AB60" i="178"/>
  <c r="AE60" i="178" s="1"/>
  <c r="AI60" i="178" s="1"/>
  <c r="Y60" i="178" s="1"/>
  <c r="X60" i="178"/>
  <c r="Q60" i="178"/>
  <c r="P60" i="178"/>
  <c r="H60" i="178"/>
  <c r="E60" i="178"/>
  <c r="I60" i="178" s="1"/>
  <c r="AE59" i="178"/>
  <c r="AI59" i="178" s="1"/>
  <c r="Y59" i="178" s="1"/>
  <c r="AC59" i="178"/>
  <c r="AB59" i="178"/>
  <c r="X59" i="178"/>
  <c r="Q59" i="178"/>
  <c r="P59" i="178"/>
  <c r="E59" i="178"/>
  <c r="I59" i="178" s="1"/>
  <c r="AC58" i="178"/>
  <c r="AE58" i="178" s="1"/>
  <c r="AI58" i="178" s="1"/>
  <c r="Y58" i="178" s="1"/>
  <c r="AB58" i="178"/>
  <c r="X58" i="178"/>
  <c r="Q58" i="178"/>
  <c r="P58" i="178"/>
  <c r="I58" i="178"/>
  <c r="H58" i="178"/>
  <c r="E58" i="178"/>
  <c r="AD57" i="178"/>
  <c r="AC57" i="178"/>
  <c r="AB57" i="178"/>
  <c r="AE57" i="178" s="1"/>
  <c r="AI57" i="178" s="1"/>
  <c r="Y57" i="178" s="1"/>
  <c r="Z57" i="178"/>
  <c r="X57" i="178"/>
  <c r="Q57" i="178"/>
  <c r="P57" i="178"/>
  <c r="H57" i="178"/>
  <c r="E57" i="178"/>
  <c r="I57" i="178" s="1"/>
  <c r="AE56" i="178"/>
  <c r="AI56" i="178" s="1"/>
  <c r="Y56" i="178" s="1"/>
  <c r="AD56" i="178"/>
  <c r="AC56" i="178"/>
  <c r="AB56" i="178"/>
  <c r="Z56" i="178"/>
  <c r="X56" i="178"/>
  <c r="Q56" i="178"/>
  <c r="P56" i="178"/>
  <c r="I56" i="178"/>
  <c r="H56" i="178"/>
  <c r="E56" i="178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E53" i="178"/>
  <c r="AI53" i="178" s="1"/>
  <c r="Y53" i="178" s="1"/>
  <c r="Z53" i="178"/>
  <c r="X53" i="178"/>
  <c r="Q53" i="178"/>
  <c r="P53" i="178"/>
  <c r="I53" i="178"/>
  <c r="H53" i="178"/>
  <c r="E53" i="178"/>
  <c r="AD52" i="178"/>
  <c r="AC52" i="178"/>
  <c r="AB52" i="178"/>
  <c r="AE52" i="178" s="1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Z50" i="178"/>
  <c r="X50" i="178"/>
  <c r="Q50" i="178"/>
  <c r="P50" i="178"/>
  <c r="H50" i="178"/>
  <c r="E50" i="178"/>
  <c r="I50" i="178" s="1"/>
  <c r="AE49" i="178"/>
  <c r="AI49" i="178" s="1"/>
  <c r="Y49" i="178" s="1"/>
  <c r="Z49" i="178"/>
  <c r="X49" i="178"/>
  <c r="Q49" i="178"/>
  <c r="P49" i="178"/>
  <c r="I49" i="178"/>
  <c r="H49" i="178"/>
  <c r="E49" i="178"/>
  <c r="AI48" i="178"/>
  <c r="Y48" i="178" s="1"/>
  <c r="AE48" i="178"/>
  <c r="Z48" i="178"/>
  <c r="X48" i="178"/>
  <c r="Q48" i="178"/>
  <c r="P48" i="178"/>
  <c r="H48" i="178"/>
  <c r="E48" i="178"/>
  <c r="I48" i="178" s="1"/>
  <c r="AD47" i="178"/>
  <c r="AC47" i="178"/>
  <c r="AB47" i="178"/>
  <c r="AE47" i="178" s="1"/>
  <c r="AI47" i="178" s="1"/>
  <c r="Y47" i="178" s="1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I46" i="178"/>
  <c r="H46" i="178"/>
  <c r="E46" i="178"/>
  <c r="AD45" i="178"/>
  <c r="AC45" i="178"/>
  <c r="AB45" i="178"/>
  <c r="AE45" i="178" s="1"/>
  <c r="AI45" i="178" s="1"/>
  <c r="Y45" i="178" s="1"/>
  <c r="Z45" i="178"/>
  <c r="X45" i="178"/>
  <c r="Q45" i="178"/>
  <c r="P45" i="178"/>
  <c r="H45" i="178"/>
  <c r="E45" i="178"/>
  <c r="I45" i="178" s="1"/>
  <c r="AE44" i="178"/>
  <c r="AI44" i="178" s="1"/>
  <c r="Y44" i="178" s="1"/>
  <c r="AD44" i="178"/>
  <c r="AC44" i="178"/>
  <c r="AB44" i="178"/>
  <c r="Z44" i="178"/>
  <c r="X44" i="178"/>
  <c r="Q44" i="178"/>
  <c r="P44" i="178"/>
  <c r="H44" i="178"/>
  <c r="E44" i="178"/>
  <c r="I44" i="178" s="1"/>
  <c r="AD43" i="178"/>
  <c r="AC43" i="178"/>
  <c r="AB43" i="178"/>
  <c r="AE43" i="178" s="1"/>
  <c r="AI43" i="178" s="1"/>
  <c r="Q43" i="178"/>
  <c r="P43" i="178"/>
  <c r="E43" i="178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I41" i="178"/>
  <c r="H41" i="178"/>
  <c r="E41" i="178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D37" i="178"/>
  <c r="AC37" i="178"/>
  <c r="AB37" i="178"/>
  <c r="AE37" i="178" s="1"/>
  <c r="AI37" i="178" s="1"/>
  <c r="Y37" i="178" s="1"/>
  <c r="Z37" i="178"/>
  <c r="X37" i="178"/>
  <c r="Q37" i="178"/>
  <c r="P37" i="178"/>
  <c r="H37" i="178"/>
  <c r="E37" i="178"/>
  <c r="I37" i="178" s="1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H35" i="178"/>
  <c r="E35" i="178"/>
  <c r="I35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E32" i="178" s="1"/>
  <c r="AI32" i="178" s="1"/>
  <c r="Y32" i="178" s="1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I31" i="178"/>
  <c r="H31" i="178"/>
  <c r="E31" i="178"/>
  <c r="AD30" i="178"/>
  <c r="AE30" i="178" s="1"/>
  <c r="AI30" i="178" s="1"/>
  <c r="Y30" i="178" s="1"/>
  <c r="AC30" i="178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E28" i="178"/>
  <c r="AI28" i="178" s="1"/>
  <c r="Y28" i="178" s="1"/>
  <c r="AD28" i="178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I27" i="178"/>
  <c r="H27" i="178"/>
  <c r="E27" i="178"/>
  <c r="AD26" i="178"/>
  <c r="AC26" i="178"/>
  <c r="AB26" i="178"/>
  <c r="AE26" i="178" s="1"/>
  <c r="AI26" i="178" s="1"/>
  <c r="Y26" i="178" s="1"/>
  <c r="Z26" i="178"/>
  <c r="X26" i="178"/>
  <c r="Q26" i="178"/>
  <c r="P26" i="178"/>
  <c r="H26" i="178"/>
  <c r="E26" i="178"/>
  <c r="I26" i="178" s="1"/>
  <c r="AE25" i="178"/>
  <c r="AI25" i="178" s="1"/>
  <c r="Y25" i="178" s="1"/>
  <c r="AD25" i="178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I24" i="178"/>
  <c r="H24" i="178"/>
  <c r="E24" i="178"/>
  <c r="AD23" i="178"/>
  <c r="AC23" i="178"/>
  <c r="AB23" i="178"/>
  <c r="AE23" i="178" s="1"/>
  <c r="AI23" i="178" s="1"/>
  <c r="Y23" i="178" s="1"/>
  <c r="Z23" i="178"/>
  <c r="X23" i="178"/>
  <c r="Q23" i="178"/>
  <c r="P23" i="178"/>
  <c r="H23" i="178"/>
  <c r="E23" i="178"/>
  <c r="I23" i="178" s="1"/>
  <c r="AE22" i="178"/>
  <c r="AI22" i="178" s="1"/>
  <c r="Y22" i="178" s="1"/>
  <c r="AD22" i="178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H20" i="178"/>
  <c r="E20" i="178"/>
  <c r="I20" i="178" s="1"/>
  <c r="AD19" i="178"/>
  <c r="AC19" i="178"/>
  <c r="AE19" i="178" s="1"/>
  <c r="AI19" i="178" s="1"/>
  <c r="Y19" i="178" s="1"/>
  <c r="AB19" i="178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E17" i="178" s="1"/>
  <c r="AI17" i="178" s="1"/>
  <c r="Y17" i="178" s="1"/>
  <c r="AC17" i="178"/>
  <c r="AB17" i="178"/>
  <c r="Z17" i="178"/>
  <c r="X17" i="178"/>
  <c r="Q17" i="178"/>
  <c r="P17" i="178"/>
  <c r="H17" i="178"/>
  <c r="E17" i="178"/>
  <c r="I17" i="178" s="1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E15" i="178"/>
  <c r="I15" i="178" s="1"/>
  <c r="AD14" i="178"/>
  <c r="AC14" i="178"/>
  <c r="AB14" i="178"/>
  <c r="AE14" i="178" s="1"/>
  <c r="AI14" i="178" s="1"/>
  <c r="Y14" i="178" s="1"/>
  <c r="Z14" i="178"/>
  <c r="X14" i="178"/>
  <c r="Q14" i="178"/>
  <c r="P14" i="178"/>
  <c r="I14" i="178"/>
  <c r="H14" i="178"/>
  <c r="E14" i="178"/>
  <c r="AD13" i="178"/>
  <c r="AC13" i="178"/>
  <c r="AB13" i="178"/>
  <c r="AE13" i="178" s="1"/>
  <c r="AI13" i="178" s="1"/>
  <c r="Y13" i="178" s="1"/>
  <c r="Z13" i="178"/>
  <c r="X13" i="178"/>
  <c r="Q13" i="178"/>
  <c r="P13" i="178"/>
  <c r="H13" i="178"/>
  <c r="E13" i="178"/>
  <c r="I13" i="178" s="1"/>
  <c r="AD12" i="178"/>
  <c r="AC12" i="178"/>
  <c r="AE12" i="178" s="1"/>
  <c r="AI12" i="178" s="1"/>
  <c r="Y12" i="178" s="1"/>
  <c r="AB12" i="178"/>
  <c r="Z12" i="178"/>
  <c r="X12" i="178"/>
  <c r="Q12" i="178"/>
  <c r="P12" i="178"/>
  <c r="I12" i="178"/>
  <c r="H12" i="178"/>
  <c r="E12" i="178"/>
  <c r="X43" i="178" l="1"/>
  <c r="Z43" i="178"/>
  <c r="I43" i="178"/>
  <c r="Y43" i="178"/>
  <c r="H73" i="178"/>
  <c r="T79" i="178"/>
  <c r="F75" i="178"/>
  <c r="T77" i="178"/>
  <c r="O75" i="178"/>
  <c r="O77" i="178"/>
  <c r="F77" i="178"/>
  <c r="T75" i="178"/>
  <c r="M79" i="177"/>
  <c r="W73" i="177"/>
  <c r="P71" i="177"/>
  <c r="H71" i="177"/>
  <c r="Q70" i="177"/>
  <c r="P70" i="177"/>
  <c r="H70" i="177"/>
  <c r="E70" i="177"/>
  <c r="I70" i="177" s="1"/>
  <c r="Q69" i="177"/>
  <c r="P69" i="177"/>
  <c r="I69" i="177"/>
  <c r="H69" i="177"/>
  <c r="E69" i="177"/>
  <c r="AD68" i="177"/>
  <c r="AE68" i="177" s="1"/>
  <c r="AI68" i="177" s="1"/>
  <c r="Y68" i="177" s="1"/>
  <c r="AC68" i="177"/>
  <c r="AB68" i="177"/>
  <c r="Z68" i="177"/>
  <c r="X68" i="177"/>
  <c r="W68" i="177"/>
  <c r="Q68" i="177"/>
  <c r="P68" i="177"/>
  <c r="H68" i="177"/>
  <c r="E68" i="177"/>
  <c r="I68" i="177" s="1"/>
  <c r="AI67" i="177"/>
  <c r="Y67" i="177" s="1"/>
  <c r="AE67" i="177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I66" i="177"/>
  <c r="H66" i="177"/>
  <c r="E66" i="177"/>
  <c r="AD65" i="177"/>
  <c r="AE65" i="177" s="1"/>
  <c r="AI65" i="177" s="1"/>
  <c r="Y65" i="177" s="1"/>
  <c r="AC65" i="177"/>
  <c r="AB65" i="177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C63" i="177"/>
  <c r="AE63" i="177" s="1"/>
  <c r="AI63" i="177" s="1"/>
  <c r="Y63" i="177" s="1"/>
  <c r="AB63" i="177"/>
  <c r="Z63" i="177"/>
  <c r="X63" i="177"/>
  <c r="Q63" i="177"/>
  <c r="P63" i="177"/>
  <c r="H63" i="177"/>
  <c r="E63" i="177"/>
  <c r="I63" i="177" s="1"/>
  <c r="AE62" i="177"/>
  <c r="AI62" i="177" s="1"/>
  <c r="Y62" i="177" s="1"/>
  <c r="AD62" i="177"/>
  <c r="AC62" i="177"/>
  <c r="AB62" i="177"/>
  <c r="Z62" i="177"/>
  <c r="X62" i="177"/>
  <c r="Q62" i="177"/>
  <c r="P62" i="177"/>
  <c r="H62" i="177"/>
  <c r="E62" i="177"/>
  <c r="I62" i="177" s="1"/>
  <c r="AC61" i="177"/>
  <c r="AE61" i="177" s="1"/>
  <c r="AI61" i="177" s="1"/>
  <c r="Y61" i="177" s="1"/>
  <c r="AB61" i="177"/>
  <c r="X61" i="177"/>
  <c r="Q61" i="177"/>
  <c r="P61" i="177"/>
  <c r="I61" i="177"/>
  <c r="H61" i="177"/>
  <c r="E61" i="177"/>
  <c r="AI60" i="177"/>
  <c r="AE60" i="177"/>
  <c r="Y60" i="177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H59" i="177"/>
  <c r="E59" i="177"/>
  <c r="I59" i="177" s="1"/>
  <c r="AC58" i="177"/>
  <c r="AB58" i="177"/>
  <c r="AE58" i="177" s="1"/>
  <c r="AI58" i="177" s="1"/>
  <c r="Y58" i="177" s="1"/>
  <c r="X58" i="177"/>
  <c r="Q58" i="177"/>
  <c r="P58" i="177"/>
  <c r="I58" i="177"/>
  <c r="E58" i="177"/>
  <c r="AC57" i="177"/>
  <c r="AE57" i="177" s="1"/>
  <c r="AI57" i="177" s="1"/>
  <c r="Y57" i="177" s="1"/>
  <c r="AB57" i="177"/>
  <c r="X57" i="177"/>
  <c r="Q57" i="177"/>
  <c r="P57" i="177"/>
  <c r="I57" i="177"/>
  <c r="H57" i="177"/>
  <c r="E57" i="177"/>
  <c r="AD56" i="177"/>
  <c r="AC56" i="177"/>
  <c r="AE56" i="177" s="1"/>
  <c r="AI56" i="177" s="1"/>
  <c r="Y56" i="177" s="1"/>
  <c r="AB56" i="177"/>
  <c r="Z56" i="177"/>
  <c r="X56" i="177"/>
  <c r="Q56" i="177"/>
  <c r="P56" i="177"/>
  <c r="I56" i="177"/>
  <c r="H56" i="177"/>
  <c r="E56" i="177"/>
  <c r="AD55" i="177"/>
  <c r="AC55" i="177"/>
  <c r="AE55" i="177" s="1"/>
  <c r="AI55" i="177" s="1"/>
  <c r="Y55" i="177" s="1"/>
  <c r="AB55" i="177"/>
  <c r="Z55" i="177"/>
  <c r="X55" i="177"/>
  <c r="Q55" i="177"/>
  <c r="P55" i="177"/>
  <c r="H55" i="177"/>
  <c r="E55" i="177"/>
  <c r="I55" i="177" s="1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H52" i="177"/>
  <c r="E52" i="177"/>
  <c r="I52" i="177" s="1"/>
  <c r="AD51" i="177"/>
  <c r="AE51" i="177" s="1"/>
  <c r="AI51" i="177" s="1"/>
  <c r="Y51" i="177" s="1"/>
  <c r="AC51" i="177"/>
  <c r="AB51" i="177"/>
  <c r="Z51" i="177"/>
  <c r="X51" i="177"/>
  <c r="Q51" i="177"/>
  <c r="P51" i="177"/>
  <c r="H51" i="177"/>
  <c r="E51" i="177"/>
  <c r="I51" i="177" s="1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E49" i="177"/>
  <c r="AI49" i="177" s="1"/>
  <c r="Y49" i="177" s="1"/>
  <c r="Z49" i="177"/>
  <c r="X49" i="177"/>
  <c r="Q49" i="177"/>
  <c r="P49" i="177"/>
  <c r="I49" i="177"/>
  <c r="H49" i="177"/>
  <c r="E49" i="177"/>
  <c r="AE48" i="177"/>
  <c r="AI48" i="177" s="1"/>
  <c r="Y48" i="177" s="1"/>
  <c r="Z48" i="177"/>
  <c r="X48" i="177"/>
  <c r="Q48" i="177"/>
  <c r="P48" i="177"/>
  <c r="I48" i="177"/>
  <c r="H48" i="177"/>
  <c r="E48" i="177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I46" i="177"/>
  <c r="H46" i="177"/>
  <c r="E46" i="177"/>
  <c r="AD45" i="177"/>
  <c r="AE45" i="177" s="1"/>
  <c r="AI45" i="177" s="1"/>
  <c r="Y45" i="177" s="1"/>
  <c r="AC45" i="177"/>
  <c r="AB45" i="177"/>
  <c r="Z45" i="177"/>
  <c r="X45" i="177"/>
  <c r="Q45" i="177"/>
  <c r="P45" i="177"/>
  <c r="I45" i="177"/>
  <c r="H45" i="177"/>
  <c r="E45" i="177"/>
  <c r="AD44" i="177"/>
  <c r="AC44" i="177"/>
  <c r="AE44" i="177" s="1"/>
  <c r="AI44" i="177" s="1"/>
  <c r="Y44" i="177" s="1"/>
  <c r="AB44" i="177"/>
  <c r="Z44" i="177"/>
  <c r="X44" i="177"/>
  <c r="Q44" i="177"/>
  <c r="P44" i="177"/>
  <c r="I44" i="177"/>
  <c r="H44" i="177"/>
  <c r="E44" i="177"/>
  <c r="AD43" i="177"/>
  <c r="AC43" i="177"/>
  <c r="AE43" i="177" s="1"/>
  <c r="AI43" i="177" s="1"/>
  <c r="Y43" i="177" s="1"/>
  <c r="AB43" i="177"/>
  <c r="Z43" i="177"/>
  <c r="X43" i="177"/>
  <c r="Q43" i="177"/>
  <c r="P43" i="177"/>
  <c r="H43" i="177"/>
  <c r="E43" i="177"/>
  <c r="I43" i="177" s="1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H41" i="177"/>
  <c r="E41" i="177"/>
  <c r="I41" i="177" s="1"/>
  <c r="AE40" i="177"/>
  <c r="AI40" i="177" s="1"/>
  <c r="Y40" i="177" s="1"/>
  <c r="AD40" i="177"/>
  <c r="AC40" i="177"/>
  <c r="AB40" i="177"/>
  <c r="Z40" i="177"/>
  <c r="X40" i="177"/>
  <c r="Q40" i="177"/>
  <c r="P40" i="177"/>
  <c r="H40" i="177"/>
  <c r="E40" i="177"/>
  <c r="I40" i="177" s="1"/>
  <c r="AD39" i="177"/>
  <c r="AC39" i="177"/>
  <c r="AB39" i="177"/>
  <c r="AE39" i="177" s="1"/>
  <c r="AI39" i="177" s="1"/>
  <c r="Y39" i="177" s="1"/>
  <c r="Z39" i="177"/>
  <c r="X39" i="177"/>
  <c r="Q39" i="177"/>
  <c r="P39" i="177"/>
  <c r="H39" i="177"/>
  <c r="E39" i="177"/>
  <c r="I39" i="177" s="1"/>
  <c r="AD38" i="177"/>
  <c r="AE38" i="177" s="1"/>
  <c r="AI38" i="177" s="1"/>
  <c r="Y38" i="177" s="1"/>
  <c r="AC38" i="177"/>
  <c r="AB38" i="177"/>
  <c r="Z38" i="177"/>
  <c r="X38" i="177"/>
  <c r="Q38" i="177"/>
  <c r="P38" i="177"/>
  <c r="H38" i="177"/>
  <c r="E38" i="177"/>
  <c r="I38" i="177" s="1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E36" i="177" s="1"/>
  <c r="AI36" i="177" s="1"/>
  <c r="Y36" i="177" s="1"/>
  <c r="AC36" i="177"/>
  <c r="AB36" i="177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E33" i="177"/>
  <c r="AI33" i="177" s="1"/>
  <c r="Y33" i="177" s="1"/>
  <c r="AD33" i="177"/>
  <c r="AC33" i="177"/>
  <c r="AB33" i="177"/>
  <c r="Z33" i="177"/>
  <c r="X33" i="177"/>
  <c r="Q33" i="177"/>
  <c r="P33" i="177"/>
  <c r="I33" i="177"/>
  <c r="H33" i="177"/>
  <c r="E33" i="177"/>
  <c r="AD32" i="177"/>
  <c r="AC32" i="177"/>
  <c r="AB32" i="177"/>
  <c r="AE32" i="177" s="1"/>
  <c r="AI32" i="177" s="1"/>
  <c r="Y32" i="177" s="1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I31" i="177"/>
  <c r="H31" i="177"/>
  <c r="E31" i="177"/>
  <c r="AD30" i="177"/>
  <c r="AE30" i="177" s="1"/>
  <c r="AI30" i="177" s="1"/>
  <c r="Y30" i="177" s="1"/>
  <c r="AC30" i="177"/>
  <c r="AB30" i="177"/>
  <c r="Z30" i="177"/>
  <c r="X30" i="177"/>
  <c r="Q30" i="177"/>
  <c r="P30" i="177"/>
  <c r="I30" i="177"/>
  <c r="H30" i="177"/>
  <c r="E30" i="177"/>
  <c r="AD29" i="177"/>
  <c r="AC29" i="177"/>
  <c r="AE29" i="177" s="1"/>
  <c r="AI29" i="177" s="1"/>
  <c r="Y29" i="177" s="1"/>
  <c r="AB29" i="177"/>
  <c r="Z29" i="177"/>
  <c r="X29" i="177"/>
  <c r="Q29" i="177"/>
  <c r="P29" i="177"/>
  <c r="I29" i="177"/>
  <c r="H29" i="177"/>
  <c r="E29" i="177"/>
  <c r="AD28" i="177"/>
  <c r="AC28" i="177"/>
  <c r="AE28" i="177" s="1"/>
  <c r="AI28" i="177" s="1"/>
  <c r="Y28" i="177" s="1"/>
  <c r="AB28" i="177"/>
  <c r="Z28" i="177"/>
  <c r="X28" i="177"/>
  <c r="Q28" i="177"/>
  <c r="P28" i="177"/>
  <c r="H28" i="177"/>
  <c r="E28" i="177"/>
  <c r="I28" i="177" s="1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H26" i="177"/>
  <c r="E26" i="177"/>
  <c r="I26" i="177" s="1"/>
  <c r="AE25" i="177"/>
  <c r="AI25" i="177" s="1"/>
  <c r="Y25" i="177" s="1"/>
  <c r="AD25" i="177"/>
  <c r="AC25" i="177"/>
  <c r="AB25" i="177"/>
  <c r="Z25" i="177"/>
  <c r="X25" i="177"/>
  <c r="Q25" i="177"/>
  <c r="P25" i="177"/>
  <c r="H25" i="177"/>
  <c r="E25" i="177"/>
  <c r="I25" i="177" s="1"/>
  <c r="AD24" i="177"/>
  <c r="AC24" i="177"/>
  <c r="AB24" i="177"/>
  <c r="AE24" i="177" s="1"/>
  <c r="AI24" i="177" s="1"/>
  <c r="Y24" i="177" s="1"/>
  <c r="Z24" i="177"/>
  <c r="X24" i="177"/>
  <c r="Q24" i="177"/>
  <c r="P24" i="177"/>
  <c r="H24" i="177"/>
  <c r="E24" i="177"/>
  <c r="I24" i="177" s="1"/>
  <c r="AD23" i="177"/>
  <c r="AE23" i="177" s="1"/>
  <c r="AI23" i="177" s="1"/>
  <c r="Y23" i="177" s="1"/>
  <c r="AC23" i="177"/>
  <c r="AB23" i="177"/>
  <c r="Z23" i="177"/>
  <c r="X23" i="177"/>
  <c r="Q23" i="177"/>
  <c r="P23" i="177"/>
  <c r="H23" i="177"/>
  <c r="E23" i="177"/>
  <c r="I23" i="177" s="1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E21" i="177" s="1"/>
  <c r="AI21" i="177" s="1"/>
  <c r="Y21" i="177" s="1"/>
  <c r="AC21" i="177"/>
  <c r="AB21" i="177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E18" i="177"/>
  <c r="AI18" i="177" s="1"/>
  <c r="Y18" i="177" s="1"/>
  <c r="AD18" i="177"/>
  <c r="AC18" i="177"/>
  <c r="AB18" i="177"/>
  <c r="Z18" i="177"/>
  <c r="X18" i="177"/>
  <c r="Q18" i="177"/>
  <c r="P18" i="177"/>
  <c r="H18" i="177"/>
  <c r="E18" i="177"/>
  <c r="I18" i="177" s="1"/>
  <c r="AD17" i="177"/>
  <c r="AC17" i="177"/>
  <c r="AB17" i="177"/>
  <c r="AE17" i="177" s="1"/>
  <c r="AI17" i="177" s="1"/>
  <c r="Y17" i="177" s="1"/>
  <c r="Z17" i="177"/>
  <c r="X17" i="177"/>
  <c r="Q17" i="177"/>
  <c r="P17" i="177"/>
  <c r="H17" i="177"/>
  <c r="E17" i="177"/>
  <c r="I17" i="177" s="1"/>
  <c r="AE16" i="177"/>
  <c r="AI16" i="177" s="1"/>
  <c r="Y16" i="177" s="1"/>
  <c r="AD16" i="177"/>
  <c r="AC16" i="177"/>
  <c r="AB16" i="177"/>
  <c r="Z16" i="177"/>
  <c r="X16" i="177"/>
  <c r="Q16" i="177"/>
  <c r="P16" i="177"/>
  <c r="I16" i="177"/>
  <c r="E16" i="177"/>
  <c r="AD15" i="177"/>
  <c r="AC15" i="177"/>
  <c r="AB15" i="177"/>
  <c r="AE15" i="177" s="1"/>
  <c r="AI15" i="177" s="1"/>
  <c r="Y15" i="177" s="1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E13" i="177" s="1"/>
  <c r="AI13" i="177" s="1"/>
  <c r="Y13" i="177" s="1"/>
  <c r="AC13" i="177"/>
  <c r="AB13" i="177"/>
  <c r="Z13" i="177"/>
  <c r="X13" i="177"/>
  <c r="Q13" i="177"/>
  <c r="P13" i="177"/>
  <c r="H13" i="177"/>
  <c r="E13" i="177"/>
  <c r="I13" i="177" s="1"/>
  <c r="AD12" i="177"/>
  <c r="AC12" i="177"/>
  <c r="AB12" i="177"/>
  <c r="AE12" i="177" s="1"/>
  <c r="AI12" i="177" s="1"/>
  <c r="Y12" i="177" s="1"/>
  <c r="Z12" i="177"/>
  <c r="X12" i="177"/>
  <c r="Q12" i="177"/>
  <c r="O73" i="177" s="1"/>
  <c r="P12" i="177"/>
  <c r="I12" i="177"/>
  <c r="H12" i="177"/>
  <c r="E12" i="177"/>
  <c r="T81" i="178" l="1"/>
  <c r="F79" i="178" s="1"/>
  <c r="O75" i="177"/>
  <c r="T75" i="177"/>
  <c r="T77" i="177"/>
  <c r="F73" i="177"/>
  <c r="F75" i="177"/>
  <c r="T73" i="177"/>
  <c r="M79" i="176"/>
  <c r="W73" i="176"/>
  <c r="P71" i="176"/>
  <c r="H71" i="176"/>
  <c r="Q70" i="176"/>
  <c r="P70" i="176"/>
  <c r="H70" i="176"/>
  <c r="E70" i="176"/>
  <c r="I70" i="176" s="1"/>
  <c r="Q69" i="176"/>
  <c r="P69" i="176"/>
  <c r="I69" i="176"/>
  <c r="H69" i="176"/>
  <c r="E69" i="176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H67" i="176"/>
  <c r="E67" i="176"/>
  <c r="I67" i="176" s="1"/>
  <c r="AD66" i="176"/>
  <c r="AE66" i="176" s="1"/>
  <c r="AI66" i="176" s="1"/>
  <c r="Y66" i="176" s="1"/>
  <c r="AC66" i="176"/>
  <c r="AB66" i="176"/>
  <c r="Z66" i="176"/>
  <c r="X66" i="176"/>
  <c r="Q66" i="176"/>
  <c r="P66" i="176"/>
  <c r="I66" i="176"/>
  <c r="H66" i="176"/>
  <c r="E66" i="176"/>
  <c r="AE65" i="176"/>
  <c r="AI65" i="176" s="1"/>
  <c r="Y65" i="176" s="1"/>
  <c r="AD65" i="176"/>
  <c r="AC65" i="176"/>
  <c r="AB65" i="176"/>
  <c r="Z65" i="176"/>
  <c r="X65" i="176"/>
  <c r="Q65" i="176"/>
  <c r="P65" i="176"/>
  <c r="I65" i="176"/>
  <c r="H65" i="176"/>
  <c r="E65" i="176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E63" i="176"/>
  <c r="AI63" i="176" s="1"/>
  <c r="Y63" i="176" s="1"/>
  <c r="AD63" i="176"/>
  <c r="AC63" i="176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E61" i="176"/>
  <c r="AI61" i="176" s="1"/>
  <c r="Y61" i="176" s="1"/>
  <c r="AC61" i="176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I59" i="176"/>
  <c r="H59" i="176"/>
  <c r="E59" i="176"/>
  <c r="AC58" i="176"/>
  <c r="AE58" i="176" s="1"/>
  <c r="AI58" i="176" s="1"/>
  <c r="Y58" i="176" s="1"/>
  <c r="AB58" i="176"/>
  <c r="X58" i="176"/>
  <c r="Q58" i="176"/>
  <c r="P58" i="176"/>
  <c r="I58" i="176"/>
  <c r="E58" i="176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H55" i="176"/>
  <c r="E55" i="176"/>
  <c r="I55" i="176" s="1"/>
  <c r="AD54" i="176"/>
  <c r="AC54" i="176"/>
  <c r="AE54" i="176" s="1"/>
  <c r="AI54" i="176" s="1"/>
  <c r="Y54" i="176" s="1"/>
  <c r="AB54" i="176"/>
  <c r="Z54" i="176"/>
  <c r="X54" i="176"/>
  <c r="Q54" i="176"/>
  <c r="P54" i="176"/>
  <c r="H54" i="176"/>
  <c r="E54" i="176"/>
  <c r="I54" i="176" s="1"/>
  <c r="AD53" i="176"/>
  <c r="AE53" i="176" s="1"/>
  <c r="AI53" i="176" s="1"/>
  <c r="Y53" i="176" s="1"/>
  <c r="AC53" i="176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D50" i="176"/>
  <c r="AE50" i="176" s="1"/>
  <c r="AI50" i="176" s="1"/>
  <c r="Y50" i="176" s="1"/>
  <c r="AC50" i="176"/>
  <c r="AB50" i="176"/>
  <c r="Z50" i="176"/>
  <c r="X50" i="176"/>
  <c r="Q50" i="176"/>
  <c r="P50" i="176"/>
  <c r="I50" i="176"/>
  <c r="H50" i="176"/>
  <c r="E50" i="176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E47" i="176"/>
  <c r="AI47" i="176" s="1"/>
  <c r="Y47" i="176" s="1"/>
  <c r="Z47" i="176"/>
  <c r="X47" i="176"/>
  <c r="Q47" i="176"/>
  <c r="P47" i="176"/>
  <c r="I47" i="176"/>
  <c r="H47" i="176"/>
  <c r="E47" i="176"/>
  <c r="AD46" i="176"/>
  <c r="AC46" i="176"/>
  <c r="AB46" i="176"/>
  <c r="AE46" i="176" s="1"/>
  <c r="AI46" i="176" s="1"/>
  <c r="Y46" i="176" s="1"/>
  <c r="Z46" i="176"/>
  <c r="X46" i="176"/>
  <c r="Q46" i="176"/>
  <c r="P46" i="176"/>
  <c r="H46" i="176"/>
  <c r="E46" i="176"/>
  <c r="I46" i="176" s="1"/>
  <c r="AD45" i="176"/>
  <c r="AC45" i="176"/>
  <c r="AE45" i="176" s="1"/>
  <c r="AI45" i="176" s="1"/>
  <c r="Y45" i="176" s="1"/>
  <c r="AB45" i="176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H43" i="176"/>
  <c r="E43" i="176"/>
  <c r="I43" i="176" s="1"/>
  <c r="AD42" i="176"/>
  <c r="AC42" i="176"/>
  <c r="AE42" i="176" s="1"/>
  <c r="AI42" i="176" s="1"/>
  <c r="Y42" i="176" s="1"/>
  <c r="AB42" i="176"/>
  <c r="Z42" i="176"/>
  <c r="X42" i="176"/>
  <c r="Q42" i="176"/>
  <c r="P42" i="176"/>
  <c r="H42" i="176"/>
  <c r="E42" i="176"/>
  <c r="I42" i="176" s="1"/>
  <c r="AD41" i="176"/>
  <c r="AE41" i="176" s="1"/>
  <c r="AI41" i="176" s="1"/>
  <c r="Y41" i="176" s="1"/>
  <c r="AC41" i="176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E39" i="176"/>
  <c r="I39" i="176" s="1"/>
  <c r="AD38" i="176"/>
  <c r="AC38" i="176"/>
  <c r="AB38" i="176"/>
  <c r="AE38" i="176" s="1"/>
  <c r="AI38" i="176" s="1"/>
  <c r="Y38" i="176" s="1"/>
  <c r="Z38" i="176"/>
  <c r="X38" i="176"/>
  <c r="Q38" i="176"/>
  <c r="P38" i="176"/>
  <c r="I38" i="176"/>
  <c r="H38" i="176"/>
  <c r="E38" i="176"/>
  <c r="AD37" i="176"/>
  <c r="AE37" i="176" s="1"/>
  <c r="AI37" i="176" s="1"/>
  <c r="Y37" i="176" s="1"/>
  <c r="AC37" i="176"/>
  <c r="AB37" i="176"/>
  <c r="Z37" i="176"/>
  <c r="X37" i="176"/>
  <c r="Q37" i="176"/>
  <c r="P37" i="176"/>
  <c r="I37" i="176"/>
  <c r="H37" i="176"/>
  <c r="E37" i="176"/>
  <c r="AE36" i="176"/>
  <c r="AI36" i="176" s="1"/>
  <c r="Y36" i="176" s="1"/>
  <c r="AD36" i="176"/>
  <c r="AC36" i="176"/>
  <c r="AB36" i="176"/>
  <c r="Z36" i="176"/>
  <c r="X36" i="176"/>
  <c r="Q36" i="176"/>
  <c r="P36" i="176"/>
  <c r="I36" i="176"/>
  <c r="H36" i="176"/>
  <c r="E36" i="176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E34" i="176"/>
  <c r="AI34" i="176" s="1"/>
  <c r="Y34" i="176" s="1"/>
  <c r="AD34" i="176"/>
  <c r="AC34" i="176"/>
  <c r="AB34" i="176"/>
  <c r="Z34" i="176"/>
  <c r="X34" i="176"/>
  <c r="Q34" i="176"/>
  <c r="P34" i="176"/>
  <c r="I34" i="176"/>
  <c r="H34" i="176"/>
  <c r="E34" i="176"/>
  <c r="AD33" i="176"/>
  <c r="AC33" i="176"/>
  <c r="AB33" i="176"/>
  <c r="AE33" i="176" s="1"/>
  <c r="AI33" i="176" s="1"/>
  <c r="Y33" i="176" s="1"/>
  <c r="Z33" i="176"/>
  <c r="X33" i="176"/>
  <c r="Q33" i="176"/>
  <c r="P33" i="176"/>
  <c r="I33" i="176"/>
  <c r="H33" i="176"/>
  <c r="E33" i="176"/>
  <c r="AE32" i="176"/>
  <c r="AI32" i="176" s="1"/>
  <c r="Y32" i="176" s="1"/>
  <c r="AD32" i="176"/>
  <c r="AC32" i="176"/>
  <c r="AB32" i="176"/>
  <c r="Z32" i="176"/>
  <c r="X32" i="176"/>
  <c r="Q32" i="176"/>
  <c r="P32" i="176"/>
  <c r="H32" i="176"/>
  <c r="E32" i="176"/>
  <c r="I32" i="176" s="1"/>
  <c r="AI31" i="176"/>
  <c r="Y31" i="176" s="1"/>
  <c r="AE31" i="176"/>
  <c r="Z31" i="176"/>
  <c r="X31" i="176"/>
  <c r="Q31" i="176"/>
  <c r="P31" i="176"/>
  <c r="H31" i="176"/>
  <c r="E31" i="176"/>
  <c r="I31" i="176" s="1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E28" i="176" s="1"/>
  <c r="AI28" i="176" s="1"/>
  <c r="Y28" i="176" s="1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H27" i="176"/>
  <c r="E27" i="176"/>
  <c r="I27" i="176" s="1"/>
  <c r="AD26" i="176"/>
  <c r="AE26" i="176" s="1"/>
  <c r="AI26" i="176" s="1"/>
  <c r="Y26" i="176" s="1"/>
  <c r="AC26" i="176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H24" i="176"/>
  <c r="E24" i="176"/>
  <c r="I24" i="176" s="1"/>
  <c r="AD23" i="176"/>
  <c r="AC23" i="176"/>
  <c r="AB23" i="176"/>
  <c r="AE23" i="176" s="1"/>
  <c r="AI23" i="176" s="1"/>
  <c r="Y23" i="176" s="1"/>
  <c r="Z23" i="176"/>
  <c r="X23" i="176"/>
  <c r="Q23" i="176"/>
  <c r="P23" i="176"/>
  <c r="I23" i="176"/>
  <c r="H23" i="176"/>
  <c r="E23" i="176"/>
  <c r="AD22" i="176"/>
  <c r="AE22" i="176" s="1"/>
  <c r="AI22" i="176" s="1"/>
  <c r="Y22" i="176" s="1"/>
  <c r="AC22" i="176"/>
  <c r="AB22" i="176"/>
  <c r="Z22" i="176"/>
  <c r="X22" i="176"/>
  <c r="Q22" i="176"/>
  <c r="P22" i="176"/>
  <c r="I22" i="176"/>
  <c r="H22" i="176"/>
  <c r="E22" i="176"/>
  <c r="AE21" i="176"/>
  <c r="AI21" i="176" s="1"/>
  <c r="Y21" i="176" s="1"/>
  <c r="AD21" i="176"/>
  <c r="AC21" i="176"/>
  <c r="AB21" i="176"/>
  <c r="Z21" i="176"/>
  <c r="X21" i="176"/>
  <c r="Q21" i="176"/>
  <c r="P21" i="176"/>
  <c r="I21" i="176"/>
  <c r="H21" i="176"/>
  <c r="E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E20" i="176"/>
  <c r="I20" i="176" s="1"/>
  <c r="AE19" i="176"/>
  <c r="AI19" i="176" s="1"/>
  <c r="Y19" i="176" s="1"/>
  <c r="AD19" i="176"/>
  <c r="AC19" i="176"/>
  <c r="AB19" i="176"/>
  <c r="Z19" i="176"/>
  <c r="X19" i="176"/>
  <c r="Q19" i="176"/>
  <c r="P19" i="176"/>
  <c r="I19" i="176"/>
  <c r="H19" i="176"/>
  <c r="E19" i="176"/>
  <c r="AD18" i="176"/>
  <c r="AC18" i="176"/>
  <c r="AB18" i="176"/>
  <c r="AE18" i="176" s="1"/>
  <c r="AI18" i="176" s="1"/>
  <c r="Y18" i="176" s="1"/>
  <c r="Z18" i="176"/>
  <c r="X18" i="176"/>
  <c r="Q18" i="176"/>
  <c r="P18" i="176"/>
  <c r="I18" i="176"/>
  <c r="H18" i="176"/>
  <c r="E18" i="176"/>
  <c r="AE17" i="176"/>
  <c r="AI17" i="176" s="1"/>
  <c r="Y17" i="176" s="1"/>
  <c r="AD17" i="176"/>
  <c r="AC17" i="176"/>
  <c r="AB17" i="176"/>
  <c r="Z17" i="176"/>
  <c r="X17" i="176"/>
  <c r="Q17" i="176"/>
  <c r="P17" i="176"/>
  <c r="H17" i="176"/>
  <c r="E17" i="176"/>
  <c r="I17" i="176" s="1"/>
  <c r="AD16" i="176"/>
  <c r="AC16" i="176"/>
  <c r="AB16" i="176"/>
  <c r="AE16" i="176" s="1"/>
  <c r="AI16" i="176" s="1"/>
  <c r="Y16" i="176" s="1"/>
  <c r="Z16" i="176"/>
  <c r="T75" i="176" s="1"/>
  <c r="X16" i="176"/>
  <c r="Q16" i="176"/>
  <c r="P16" i="176"/>
  <c r="I16" i="176"/>
  <c r="E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H14" i="176"/>
  <c r="E14" i="176"/>
  <c r="I14" i="176" s="1"/>
  <c r="AD13" i="176"/>
  <c r="AC13" i="176"/>
  <c r="AB13" i="176"/>
  <c r="AE13" i="176" s="1"/>
  <c r="AI13" i="176" s="1"/>
  <c r="Y13" i="176" s="1"/>
  <c r="Z13" i="176"/>
  <c r="X13" i="176"/>
  <c r="Q13" i="176"/>
  <c r="O73" i="176" s="1"/>
  <c r="P13" i="176"/>
  <c r="H13" i="176"/>
  <c r="E13" i="176"/>
  <c r="I13" i="176" s="1"/>
  <c r="AD12" i="176"/>
  <c r="AE12" i="176" s="1"/>
  <c r="AI12" i="176" s="1"/>
  <c r="Y12" i="176" s="1"/>
  <c r="AC12" i="176"/>
  <c r="AB12" i="176"/>
  <c r="Z12" i="176"/>
  <c r="X12" i="176"/>
  <c r="Q12" i="176"/>
  <c r="P12" i="176"/>
  <c r="I12" i="176"/>
  <c r="H12" i="176"/>
  <c r="E12" i="176"/>
  <c r="T79" i="177" l="1"/>
  <c r="F77" i="177"/>
  <c r="T77" i="176"/>
  <c r="O75" i="176"/>
  <c r="F73" i="176"/>
  <c r="F75" i="176"/>
  <c r="T73" i="176"/>
  <c r="T79" i="176" s="1"/>
  <c r="M79" i="175"/>
  <c r="W73" i="175"/>
  <c r="P71" i="175"/>
  <c r="H71" i="175"/>
  <c r="Q70" i="175"/>
  <c r="P70" i="175"/>
  <c r="H70" i="175"/>
  <c r="E70" i="175"/>
  <c r="I70" i="175" s="1"/>
  <c r="Q69" i="175"/>
  <c r="P69" i="175"/>
  <c r="I69" i="175"/>
  <c r="H69" i="175"/>
  <c r="E69" i="175"/>
  <c r="AI68" i="175"/>
  <c r="AE68" i="175"/>
  <c r="AD68" i="175"/>
  <c r="AC68" i="175"/>
  <c r="AB68" i="175"/>
  <c r="Z68" i="175"/>
  <c r="Y68" i="175"/>
  <c r="X68" i="175"/>
  <c r="W68" i="175"/>
  <c r="Q68" i="175"/>
  <c r="P68" i="175"/>
  <c r="I68" i="175"/>
  <c r="H68" i="175"/>
  <c r="E68" i="175"/>
  <c r="AD67" i="175"/>
  <c r="AC67" i="175"/>
  <c r="AE67" i="175" s="1"/>
  <c r="AI67" i="175" s="1"/>
  <c r="Y67" i="175" s="1"/>
  <c r="AB67" i="175"/>
  <c r="Z67" i="175"/>
  <c r="X67" i="175"/>
  <c r="Q67" i="175"/>
  <c r="P67" i="175"/>
  <c r="H67" i="175"/>
  <c r="E67" i="175"/>
  <c r="I67" i="175" s="1"/>
  <c r="AD66" i="175"/>
  <c r="AC66" i="175"/>
  <c r="AE66" i="175" s="1"/>
  <c r="AI66" i="175" s="1"/>
  <c r="Y66" i="175" s="1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E64" i="175"/>
  <c r="AI64" i="175" s="1"/>
  <c r="Y64" i="175" s="1"/>
  <c r="AD64" i="175"/>
  <c r="AC64" i="175"/>
  <c r="AB64" i="175"/>
  <c r="Z64" i="175"/>
  <c r="X64" i="175"/>
  <c r="Q64" i="175"/>
  <c r="P64" i="175"/>
  <c r="H64" i="175"/>
  <c r="E64" i="175"/>
  <c r="I64" i="175" s="1"/>
  <c r="AD63" i="175"/>
  <c r="AC63" i="175"/>
  <c r="AB63" i="175"/>
  <c r="AE63" i="175" s="1"/>
  <c r="AI63" i="175" s="1"/>
  <c r="Y63" i="175" s="1"/>
  <c r="Z63" i="175"/>
  <c r="X63" i="175"/>
  <c r="Q63" i="175"/>
  <c r="P63" i="175"/>
  <c r="H63" i="175"/>
  <c r="E63" i="175"/>
  <c r="I63" i="175" s="1"/>
  <c r="AE62" i="175"/>
  <c r="AI62" i="175" s="1"/>
  <c r="Y62" i="175" s="1"/>
  <c r="AD62" i="175"/>
  <c r="AC62" i="175"/>
  <c r="AB62" i="175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H61" i="175"/>
  <c r="E61" i="175"/>
  <c r="I61" i="175" s="1"/>
  <c r="AI60" i="175"/>
  <c r="AE60" i="175"/>
  <c r="Y60" i="175"/>
  <c r="X60" i="175"/>
  <c r="Q60" i="175"/>
  <c r="P60" i="175"/>
  <c r="I60" i="175"/>
  <c r="H60" i="175"/>
  <c r="E60" i="175"/>
  <c r="AI59" i="175"/>
  <c r="Y59" i="175" s="1"/>
  <c r="AE59" i="175"/>
  <c r="AC59" i="175"/>
  <c r="AB59" i="175"/>
  <c r="X59" i="175"/>
  <c r="Q59" i="175"/>
  <c r="P59" i="175"/>
  <c r="H59" i="175"/>
  <c r="E59" i="175"/>
  <c r="I59" i="175" s="1"/>
  <c r="AC58" i="175"/>
  <c r="AB58" i="175"/>
  <c r="AE58" i="175" s="1"/>
  <c r="AI58" i="175" s="1"/>
  <c r="Y58" i="175" s="1"/>
  <c r="X58" i="175"/>
  <c r="Q58" i="175"/>
  <c r="P58" i="175"/>
  <c r="I58" i="175"/>
  <c r="E58" i="175"/>
  <c r="AE57" i="175"/>
  <c r="AI57" i="175" s="1"/>
  <c r="Y57" i="175" s="1"/>
  <c r="AC57" i="175"/>
  <c r="AB57" i="175"/>
  <c r="X57" i="175"/>
  <c r="Q57" i="175"/>
  <c r="P57" i="175"/>
  <c r="I57" i="175"/>
  <c r="H57" i="175"/>
  <c r="E57" i="175"/>
  <c r="AI56" i="175"/>
  <c r="AE56" i="175"/>
  <c r="AD56" i="175"/>
  <c r="AC56" i="175"/>
  <c r="AB56" i="175"/>
  <c r="Z56" i="175"/>
  <c r="Y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H54" i="175"/>
  <c r="E54" i="175"/>
  <c r="I54" i="175" s="1"/>
  <c r="AD53" i="175"/>
  <c r="AC53" i="175"/>
  <c r="AB53" i="175"/>
  <c r="AE53" i="175" s="1"/>
  <c r="AI53" i="175" s="1"/>
  <c r="Y53" i="175" s="1"/>
  <c r="Z53" i="175"/>
  <c r="X53" i="175"/>
  <c r="Q53" i="175"/>
  <c r="P53" i="175"/>
  <c r="I53" i="175"/>
  <c r="H53" i="175"/>
  <c r="E53" i="175"/>
  <c r="AE52" i="175"/>
  <c r="AI52" i="175" s="1"/>
  <c r="Y52" i="175" s="1"/>
  <c r="Z52" i="175"/>
  <c r="X52" i="175"/>
  <c r="Q52" i="175"/>
  <c r="P52" i="175"/>
  <c r="I52" i="175"/>
  <c r="H52" i="175"/>
  <c r="E52" i="175"/>
  <c r="AD51" i="175"/>
  <c r="AC51" i="175"/>
  <c r="AB51" i="175"/>
  <c r="AE51" i="175" s="1"/>
  <c r="AI51" i="175" s="1"/>
  <c r="Y51" i="175" s="1"/>
  <c r="Z51" i="175"/>
  <c r="X51" i="175"/>
  <c r="Q51" i="175"/>
  <c r="P51" i="175"/>
  <c r="H51" i="175"/>
  <c r="E51" i="175"/>
  <c r="I51" i="175" s="1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I47" i="175"/>
  <c r="H47" i="175"/>
  <c r="E47" i="175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I44" i="175"/>
  <c r="AE44" i="175"/>
  <c r="AD44" i="175"/>
  <c r="AC44" i="175"/>
  <c r="AB44" i="175"/>
  <c r="Z44" i="175"/>
  <c r="Y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H42" i="175"/>
  <c r="E42" i="175"/>
  <c r="I42" i="175" s="1"/>
  <c r="AD41" i="175"/>
  <c r="AC41" i="175"/>
  <c r="AB41" i="175"/>
  <c r="AE41" i="175" s="1"/>
  <c r="AI41" i="175" s="1"/>
  <c r="Y41" i="175" s="1"/>
  <c r="Z41" i="175"/>
  <c r="X41" i="175"/>
  <c r="Q41" i="175"/>
  <c r="P41" i="175"/>
  <c r="I41" i="175"/>
  <c r="H41" i="175"/>
  <c r="E41" i="175"/>
  <c r="AD40" i="175"/>
  <c r="AE40" i="175" s="1"/>
  <c r="AI40" i="175" s="1"/>
  <c r="Y40" i="175" s="1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I39" i="175"/>
  <c r="H39" i="175"/>
  <c r="E39" i="175"/>
  <c r="AD38" i="175"/>
  <c r="AC38" i="175"/>
  <c r="AB38" i="175"/>
  <c r="AE38" i="175" s="1"/>
  <c r="AI38" i="175" s="1"/>
  <c r="Y38" i="175" s="1"/>
  <c r="Z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I36" i="175"/>
  <c r="H36" i="175"/>
  <c r="E36" i="175"/>
  <c r="AE35" i="175"/>
  <c r="AI35" i="175" s="1"/>
  <c r="Y35" i="175" s="1"/>
  <c r="AD35" i="175"/>
  <c r="AC35" i="175"/>
  <c r="AB35" i="175"/>
  <c r="Z35" i="175"/>
  <c r="X35" i="175"/>
  <c r="Q35" i="175"/>
  <c r="P35" i="175"/>
  <c r="H35" i="175"/>
  <c r="E35" i="175"/>
  <c r="I35" i="175" s="1"/>
  <c r="AD34" i="175"/>
  <c r="AC34" i="175"/>
  <c r="AB34" i="175"/>
  <c r="AE34" i="175" s="1"/>
  <c r="AI34" i="175" s="1"/>
  <c r="Y34" i="175" s="1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E29" i="175"/>
  <c r="AI29" i="175" s="1"/>
  <c r="Y29" i="175" s="1"/>
  <c r="AD29" i="175"/>
  <c r="AC29" i="175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H27" i="175"/>
  <c r="E27" i="175"/>
  <c r="I27" i="175" s="1"/>
  <c r="AD26" i="175"/>
  <c r="AC26" i="175"/>
  <c r="AB26" i="175"/>
  <c r="AE26" i="175" s="1"/>
  <c r="AI26" i="175" s="1"/>
  <c r="Y26" i="175" s="1"/>
  <c r="Z26" i="175"/>
  <c r="X26" i="175"/>
  <c r="Q26" i="175"/>
  <c r="P26" i="175"/>
  <c r="I26" i="175"/>
  <c r="H26" i="175"/>
  <c r="E26" i="175"/>
  <c r="AD25" i="175"/>
  <c r="AE25" i="175" s="1"/>
  <c r="AI25" i="175" s="1"/>
  <c r="Y25" i="175" s="1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B23" i="175"/>
  <c r="AE23" i="175" s="1"/>
  <c r="AI23" i="175" s="1"/>
  <c r="Y23" i="175" s="1"/>
  <c r="Z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I21" i="175"/>
  <c r="H21" i="175"/>
  <c r="E21" i="175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B19" i="175"/>
  <c r="AE19" i="175" s="1"/>
  <c r="AI19" i="175" s="1"/>
  <c r="Y19" i="175" s="1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I17" i="175"/>
  <c r="H17" i="175"/>
  <c r="E17" i="175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P14" i="175"/>
  <c r="H14" i="175"/>
  <c r="E14" i="175"/>
  <c r="I14" i="175" s="1"/>
  <c r="AD13" i="175"/>
  <c r="AC13" i="175"/>
  <c r="AB13" i="175"/>
  <c r="AE13" i="175" s="1"/>
  <c r="AI13" i="175" s="1"/>
  <c r="Y13" i="175" s="1"/>
  <c r="Z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F77" i="176" l="1"/>
  <c r="T77" i="175"/>
  <c r="T75" i="175"/>
  <c r="O73" i="175"/>
  <c r="O75" i="175"/>
  <c r="F73" i="175"/>
  <c r="F75" i="175"/>
  <c r="T73" i="175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9" i="175" l="1"/>
  <c r="F77" i="175"/>
  <c r="T77" i="174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<sst xmlns="http://schemas.openxmlformats.org/spreadsheetml/2006/main" count="2270" uniqueCount="136">
  <si>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</si>
  <si>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</si>
  <si>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</si>
  <si>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</si>
  <si>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</si>
  <si>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</si>
  <si>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</si>
  <si>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</si>
  <si>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</si>
  <si>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</si>
  <si>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</si>
  <si>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</si>
  <si>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</si>
  <si>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</si>
  <si>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</si>
  <si>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</si>
  <si>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</si>
  <si>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</si>
  <si>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</si>
  <si>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</si>
  <si>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</si>
  <si>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</si>
  <si>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</si>
  <si>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</si>
  <si>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</si>
  <si>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</si>
  <si>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</si>
  <si>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</si>
  <si>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</si>
  <si>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</si>
  <si>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</si>
  <si>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</si>
  <si>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</si>
  <si>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</si>
  <si>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</si>
  <si>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</si>
  <si>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</si>
  <si>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</si>
  <si>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</si>
  <si>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</si>
  <si>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</si>
  <si>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</si>
  <si>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</si>
  <si>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</si>
  <si>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</si>
  <si>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</si>
  <si>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</si>
  <si>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</si>
  <si>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</si>
  <si>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</si>
  <si>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</si>
  <si>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</si>
  <si>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</si>
  <si>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</si>
  <si>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</si>
  <si>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</si>
  <si>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</si>
  <si>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</si>
  <si>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</si>
  <si>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</si>
  <si>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</si>
  <si>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</si>
  <si>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</si>
  <si>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</si>
  <si>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</si>
  <si>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</si>
  <si>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</si>
  <si>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</si>
  <si>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</si>
  <si>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</si>
  <si>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</si>
  <si>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</si>
  <si>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</si>
  <si>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</si>
  <si>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</si>
  <si>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</si>
  <si>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</si>
  <si>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</si>
  <si>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</si>
  <si>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</si>
  <si>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</si>
  <si>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</si>
  <si>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</si>
  <si>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</si>
  <si>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</si>
  <si>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</si>
  <si>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</si>
  <si>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</si>
  <si>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</si>
  <si>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</si>
  <si>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</si>
  <si>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</si>
  <si>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</si>
  <si>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</si>
  <si>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</si>
  <si>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</si>
  <si>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</si>
  <si>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</si>
  <si>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</si>
  <si>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</si>
  <si>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</si>
  <si>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</si>
  <si>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</si>
  <si>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</si>
  <si>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</si>
  <si>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</si>
  <si>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</si>
  <si>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</si>
  <si>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</si>
  <si>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</si>
  <si>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</si>
  <si>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</si>
  <si>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</si>
  <si>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</si>
  <si>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</si>
  <si>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</si>
  <si>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</si>
  <si>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</si>
  <si>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</si>
  <si>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</si>
  <si>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</si>
  <si>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</si>
  <si>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</si>
  <si>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</si>
  <si>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</si>
  <si>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</si>
  <si>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</si>
  <si>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</si>
  <si>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</si>
  <si>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</si>
  <si>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</si>
  <si>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</si>
  <si>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</si>
  <si>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</si>
  <si>
    <t>Mango Yuzu</t>
  </si>
  <si>
    <t>PP CAN 500ml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</si>
</sst>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2" borderId="64" xfId="1" applyNumberFormat="1" applyFont="1" applyFill="1" applyBorder="1" applyAlignment="1" applyProtection="1">
      <alignment horizontal="center" vertical="center"/>
      <protection locked="0"/>
    </xf>
    <xf numFmtId="167" fontId="20" fillId="0" borderId="51" xfId="1" applyNumberFormat="1" applyFont="1" applyFill="1" applyBorder="1" applyAlignment="1" applyProtection="1">
      <alignment horizontal="center" vertical="center"/>
    </xf>
    <xf numFmtId="164" fontId="21" fillId="0" borderId="51" xfId="1" applyFont="1" applyFill="1" applyBorder="1" applyAlignment="1" applyProtection="1">
      <alignment horizontal="center" vertical="center"/>
    </xf>
    <xf numFmtId="164" fontId="22" fillId="0" borderId="51" xfId="1" applyFont="1" applyFill="1" applyBorder="1" applyAlignment="1" applyProtection="1">
      <alignment horizontal="center" vertical="center"/>
    </xf>
    <xf numFmtId="164" fontId="20" fillId="4" borderId="51" xfId="1" applyFont="1" applyFill="1" applyBorder="1" applyAlignment="1" applyProtection="1">
      <alignment horizontal="center" vertical="center"/>
    </xf>
    <xf numFmtId="167" fontId="20" fillId="4" borderId="65" xfId="1" applyNumberFormat="1" applyFont="1" applyFill="1" applyBorder="1" applyAlignment="1" applyProtection="1">
      <alignment horizontal="center" vertical="center"/>
    </xf>
    <xf numFmtId="167" fontId="19" fillId="4" borderId="65" xfId="1" applyNumberFormat="1" applyFont="1" applyFill="1" applyBorder="1" applyAlignment="1" applyProtection="1">
      <alignment horizontal="center" vertical="center"/>
    </xf>
    <xf numFmtId="168" fontId="21" fillId="0" borderId="51" xfId="1" applyNumberFormat="1" applyFont="1" applyFill="1" applyBorder="1" applyAlignment="1" applyProtection="1">
      <alignment horizontal="center" vertical="center"/>
    </xf>
    <xf numFmtId="167" fontId="19" fillId="0" borderId="65" xfId="1" applyNumberFormat="1" applyFont="1" applyFill="1" applyBorder="1" applyAlignment="1" applyProtection="1">
      <alignment horizontal="center" vertical="center"/>
    </xf>
    <xf numFmtId="167" fontId="19" fillId="0" borderId="3" xfId="1" applyNumberFormat="1" applyFont="1" applyFill="1" applyBorder="1" applyAlignment="1" applyProtection="1">
      <alignment horizontal="center" vertical="center"/>
    </xf>
    <xf numFmtId="164" fontId="9" fillId="0" borderId="64" xfId="1" applyFont="1" applyBorder="1" applyAlignment="1">
      <alignment vertical="center"/>
    </xf>
    <xf numFmtId="0" fontId="12" fillId="0" borderId="0" xfId="2" applyFont="1" applyAlignment="1">
      <alignment horizontal="center" vertical="center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10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195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195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1397196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183312</v>
      </c>
      <c r="P73" s="265"/>
      <c r="Q73" s="266"/>
      <c r="R73" s="152"/>
      <c r="S73" s="159" t="s">
        <v>104</v>
      </c>
      <c r="T73" s="270">
        <f>SUM(Y12:Y68)</f>
        <v>52583.040000000001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1397196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129204</v>
      </c>
      <c r="P75" s="265"/>
      <c r="Q75" s="266"/>
      <c r="R75" s="152"/>
      <c r="S75" s="159" t="s">
        <v>129</v>
      </c>
      <c r="T75" s="270">
        <f>SUM(Z12:Z70)</f>
        <v>3672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1157628.96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/>
      <c r="Q79" s="269"/>
      <c r="R79" s="152"/>
      <c r="S79" s="159" t="s">
        <v>112</v>
      </c>
      <c r="T79" s="270">
        <f>T77+T73+T75</f>
        <v>56255.040000000001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196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196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1397196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203796</v>
      </c>
      <c r="P73" s="265"/>
      <c r="Q73" s="266"/>
      <c r="R73" s="152"/>
      <c r="S73" s="159" t="s">
        <v>104</v>
      </c>
      <c r="T73" s="270">
        <f>SUM(Y12:Y68)</f>
        <v>52583.040000000001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1397196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203796</v>
      </c>
      <c r="P75" s="265"/>
      <c r="Q75" s="266"/>
      <c r="R75" s="152"/>
      <c r="S75" s="159" t="s">
        <v>129</v>
      </c>
      <c r="T75" s="270">
        <f>SUM(Z12:Z70)</f>
        <v>3672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545579.31999999995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>
        <v>591565.64</v>
      </c>
      <c r="Q79" s="269"/>
      <c r="R79" s="152"/>
      <c r="S79" s="159" t="s">
        <v>112</v>
      </c>
      <c r="T79" s="270">
        <f>T77+T73+T75</f>
        <v>56255.040000000001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197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197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0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203796</v>
      </c>
      <c r="P73" s="265"/>
      <c r="Q73" s="266"/>
      <c r="R73" s="152"/>
      <c r="S73" s="159" t="s">
        <v>104</v>
      </c>
      <c r="T73" s="270">
        <f>SUM(Y12:Y68)</f>
        <v>0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0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203796</v>
      </c>
      <c r="P75" s="265"/>
      <c r="Q75" s="266"/>
      <c r="R75" s="152"/>
      <c r="S75" s="159" t="s">
        <v>129</v>
      </c>
      <c r="T75" s="270">
        <f>SUM(Z12:Z70)</f>
        <v>0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-203796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/>
      <c r="Q79" s="269"/>
      <c r="R79" s="152"/>
      <c r="S79" s="159" t="s">
        <v>112</v>
      </c>
      <c r="T79" s="270">
        <f>T77+T73+T75</f>
        <v>0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198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198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1306428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203796</v>
      </c>
      <c r="P73" s="265"/>
      <c r="Q73" s="266"/>
      <c r="R73" s="152"/>
      <c r="S73" s="159" t="s">
        <v>104</v>
      </c>
      <c r="T73" s="270">
        <f>SUM(Y12:Y68)</f>
        <v>47740.68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593952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203796</v>
      </c>
      <c r="P75" s="265"/>
      <c r="Q75" s="266"/>
      <c r="R75" s="152"/>
      <c r="S75" s="159" t="s">
        <v>129</v>
      </c>
      <c r="T75" s="270">
        <f>SUM(Z12:Z70)</f>
        <v>3288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201549.35000000009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>
        <v>850053.97</v>
      </c>
      <c r="Q79" s="269"/>
      <c r="R79" s="152"/>
      <c r="S79" s="159" t="s">
        <v>112</v>
      </c>
      <c r="T79" s="270">
        <f>T77+T73+T75</f>
        <v>51028.68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199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199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1386494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204804</v>
      </c>
      <c r="P73" s="265"/>
      <c r="Q73" s="266"/>
      <c r="R73" s="152"/>
      <c r="S73" s="159" t="s">
        <v>104</v>
      </c>
      <c r="T73" s="270">
        <f>SUM(Y12:Y68)</f>
        <v>52628.480000000003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995072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203796</v>
      </c>
      <c r="P75" s="265"/>
      <c r="Q75" s="266"/>
      <c r="R75" s="152"/>
      <c r="S75" s="159" t="s">
        <v>129</v>
      </c>
      <c r="T75" s="270">
        <f>SUM(Z12:Z70)</f>
        <v>3676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671807.2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>
        <v>453578.32</v>
      </c>
      <c r="Q79" s="269"/>
      <c r="R79" s="152"/>
      <c r="S79" s="159" t="s">
        <v>112</v>
      </c>
      <c r="T79" s="270">
        <f>T77+T73+T75</f>
        <v>56304.480000000003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00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00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1399400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187488</v>
      </c>
      <c r="P73" s="265"/>
      <c r="Q73" s="266"/>
      <c r="R73" s="152"/>
      <c r="S73" s="159" t="s">
        <v>104</v>
      </c>
      <c r="T73" s="270">
        <f>SUM(Y12:Y68)</f>
        <v>52637.36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1399400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178416</v>
      </c>
      <c r="P75" s="265"/>
      <c r="Q75" s="266"/>
      <c r="R75" s="152"/>
      <c r="S75" s="159" t="s">
        <v>129</v>
      </c>
      <c r="T75" s="270">
        <f>SUM(Z12:Z70)</f>
        <v>3676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1155598.6399999999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/>
      <c r="Q79" s="269"/>
      <c r="R79" s="152"/>
      <c r="S79" s="159" t="s">
        <v>112</v>
      </c>
      <c r="T79" s="270">
        <f>T77+T73+T75</f>
        <v>56313.36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2A92-DFCC-4AAF-B791-2FB17C48A299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C1" activePane="topRight" state="frozen"/>
      <selection activeCell="F17" sqref="F17"/>
      <selection pane="topRight" activeCell="M18" sqref="M1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01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01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0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185688</v>
      </c>
      <c r="P73" s="265"/>
      <c r="Q73" s="266"/>
      <c r="R73" s="152"/>
      <c r="S73" s="159" t="s">
        <v>104</v>
      </c>
      <c r="T73" s="270">
        <f>SUM(Y12:Y68)</f>
        <v>0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0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158472</v>
      </c>
      <c r="P75" s="265"/>
      <c r="Q75" s="266"/>
      <c r="R75" s="152"/>
      <c r="S75" s="159" t="s">
        <v>129</v>
      </c>
      <c r="T75" s="270">
        <f>SUM(Z12:Z70)</f>
        <v>0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-185688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/>
      <c r="Q79" s="269"/>
      <c r="R79" s="152"/>
      <c r="S79" s="159" t="s">
        <v>112</v>
      </c>
      <c r="T79" s="270">
        <f>T77+T73+T75</f>
        <v>0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5926-2B2E-45BA-925A-0316E797C11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02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02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2</v>
      </c>
      <c r="G33" s="47">
        <v>100</v>
      </c>
      <c r="H33" s="64" t="str">
        <f t="shared" si="11"/>
        <v>0 pallets</v>
      </c>
      <c r="I33" s="49">
        <f t="shared" si="4"/>
        <v>3334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3334</v>
      </c>
      <c r="Y33" s="57">
        <f t="shared" si="0"/>
        <v>59.519999999999996</v>
      </c>
      <c r="Z33" s="57">
        <f t="shared" si="8"/>
        <v>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4</v>
      </c>
      <c r="G39" s="87">
        <v>100</v>
      </c>
      <c r="H39" s="88" t="str">
        <f t="shared" si="11"/>
        <v>0 pallets</v>
      </c>
      <c r="I39" s="89">
        <f t="shared" si="4"/>
        <v>2600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</v>
      </c>
      <c r="Y39" s="57">
        <f t="shared" si="0"/>
        <v>108.64</v>
      </c>
      <c r="Z39" s="57">
        <f t="shared" si="8"/>
        <v>8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</v>
      </c>
      <c r="G42" s="87">
        <v>100</v>
      </c>
      <c r="H42" s="88" t="str">
        <f t="shared" si="11"/>
        <v>0 pallets</v>
      </c>
      <c r="I42" s="89">
        <f t="shared" si="4"/>
        <v>1102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</v>
      </c>
      <c r="Y42" s="57">
        <f t="shared" si="0"/>
        <v>27.16</v>
      </c>
      <c r="Z42" s="57">
        <f t="shared" si="8"/>
        <v>2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1404232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200880</v>
      </c>
      <c r="P73" s="265"/>
      <c r="Q73" s="266"/>
      <c r="R73" s="152"/>
      <c r="S73" s="159" t="s">
        <v>104</v>
      </c>
      <c r="T73" s="270">
        <f>SUM(Y12:Y68)</f>
        <v>52778.36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1404232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191808</v>
      </c>
      <c r="P75" s="265"/>
      <c r="Q75" s="266"/>
      <c r="R75" s="152"/>
      <c r="S75" s="159" t="s">
        <v>129</v>
      </c>
      <c r="T75" s="270">
        <f>SUM(Z12:Z70)</f>
        <v>3686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961199.6399999999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>
        <v>185688</v>
      </c>
      <c r="Q79" s="269"/>
      <c r="R79" s="152"/>
      <c r="S79" s="159" t="s">
        <v>112</v>
      </c>
      <c r="T79" s="270">
        <f>T77+T73+T75</f>
        <v>56464.36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77DAD-49FE-4A0C-AE2E-1AFCCCD32147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03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03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144</v>
      </c>
      <c r="N12" s="30"/>
      <c r="O12" s="30"/>
      <c r="P12" s="31" t="str">
        <f>IF(M12&amp;N12="","",ROUND(((M12+N12)/G12),1)&amp;" pallets")</f>
        <v>2 pallets</v>
      </c>
      <c r="Q12" s="32">
        <f>(J12*M12)+(K12*N12)+(O12*L12)</f>
        <v>17280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5" t="s">
        <v>101</v>
      </c>
      <c r="C71" s="285"/>
      <c r="D71" s="285"/>
      <c r="E71" s="285"/>
      <c r="F71" s="285"/>
      <c r="G71" s="28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5">
        <f>SUM(I12:I70)</f>
        <v>0</v>
      </c>
      <c r="G73" s="265"/>
      <c r="H73" s="265"/>
      <c r="I73" s="266"/>
      <c r="J73" s="158"/>
      <c r="K73" s="158"/>
      <c r="L73" s="158"/>
      <c r="M73" s="277" t="s">
        <v>103</v>
      </c>
      <c r="N73" s="278"/>
      <c r="O73" s="265">
        <f>SUM(Q12:Q70)</f>
        <v>193104</v>
      </c>
      <c r="P73" s="265"/>
      <c r="Q73" s="266"/>
      <c r="R73" s="152"/>
      <c r="S73" s="159" t="s">
        <v>104</v>
      </c>
      <c r="T73" s="270">
        <f>SUM(Y12:Y68)</f>
        <v>0</v>
      </c>
      <c r="U73" s="27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SUM(I14:I72)</f>
        <v>0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SUM(Q14:Q72)</f>
        <v>175824</v>
      </c>
      <c r="P75" s="265"/>
      <c r="Q75" s="266"/>
      <c r="R75" s="152"/>
      <c r="S75" s="159" t="s">
        <v>129</v>
      </c>
      <c r="T75" s="270">
        <f>SUM(Z12:Z70)</f>
        <v>0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5">
        <f>IF(U7&gt;0,"",(F73-O73-T79-P79))</f>
        <v>-193104</v>
      </c>
      <c r="G77" s="265"/>
      <c r="H77" s="265"/>
      <c r="I77" s="266"/>
      <c r="J77" s="164"/>
      <c r="K77" s="164"/>
      <c r="L77" s="164"/>
      <c r="M77" s="267" t="s">
        <v>106</v>
      </c>
      <c r="N77" s="267"/>
      <c r="O77" s="168" t="s">
        <v>107</v>
      </c>
      <c r="P77" s="268"/>
      <c r="Q77" s="269"/>
      <c r="R77" s="152"/>
      <c r="S77" s="159" t="s">
        <v>108</v>
      </c>
      <c r="T77" s="270">
        <f>IF(SUM(X12:X68)*0.15&gt;P77,P77,SUM(X12:X68)*0.15)</f>
        <v>0</v>
      </c>
      <c r="U77" s="271"/>
      <c r="V77" s="160"/>
      <c r="W77" s="27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5"/>
      <c r="G79" s="265"/>
      <c r="H79" s="265"/>
      <c r="I79" s="266"/>
      <c r="J79" s="164"/>
      <c r="K79" s="164"/>
      <c r="L79" s="164"/>
      <c r="M79" s="275" t="str">
        <f>IF(U6&gt;0,"",T4+30)</f>
        <v/>
      </c>
      <c r="N79" s="276"/>
      <c r="O79" s="168" t="s">
        <v>111</v>
      </c>
      <c r="P79" s="268"/>
      <c r="Q79" s="269"/>
      <c r="R79" s="152"/>
      <c r="S79" s="159" t="s">
        <v>112</v>
      </c>
      <c r="T79" s="270">
        <f>T77+T73+T75</f>
        <v>0</v>
      </c>
      <c r="U79" s="271"/>
      <c r="V79" s="160"/>
      <c r="W79" s="27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2" t="s">
        <v>113</v>
      </c>
      <c r="C81" s="243"/>
      <c r="D81" s="243"/>
      <c r="E81" s="243"/>
      <c r="F81" s="243"/>
      <c r="G81" s="243"/>
      <c r="H81" s="244"/>
      <c r="I81" s="251" t="s">
        <v>114</v>
      </c>
      <c r="J81" s="171"/>
      <c r="K81" s="171"/>
      <c r="L81" s="171"/>
      <c r="M81" s="253"/>
      <c r="N81" s="256" t="s">
        <v>115</v>
      </c>
      <c r="O81" s="259"/>
      <c r="P81" s="253"/>
      <c r="Q81" s="236" t="s">
        <v>116</v>
      </c>
      <c r="R81" s="262"/>
      <c r="S81" s="233"/>
      <c r="T81" s="236" t="s">
        <v>117</v>
      </c>
      <c r="U81" s="239"/>
    </row>
    <row r="82" spans="2:21" ht="15" customHeight="1" x14ac:dyDescent="0.25">
      <c r="B82" s="245"/>
      <c r="C82" s="246"/>
      <c r="D82" s="246"/>
      <c r="E82" s="246"/>
      <c r="F82" s="246"/>
      <c r="G82" s="246"/>
      <c r="H82" s="247"/>
      <c r="I82" s="230"/>
      <c r="J82" s="2"/>
      <c r="K82" s="2"/>
      <c r="L82" s="2"/>
      <c r="M82" s="254"/>
      <c r="N82" s="257"/>
      <c r="O82" s="260"/>
      <c r="P82" s="254"/>
      <c r="Q82" s="237"/>
      <c r="R82" s="263"/>
      <c r="S82" s="234"/>
      <c r="T82" s="237"/>
      <c r="U82" s="240"/>
    </row>
    <row r="83" spans="2:21" ht="15.75" customHeight="1" thickBot="1" x14ac:dyDescent="0.3">
      <c r="B83" s="248"/>
      <c r="C83" s="249"/>
      <c r="D83" s="249"/>
      <c r="E83" s="249"/>
      <c r="F83" s="249"/>
      <c r="G83" s="249"/>
      <c r="H83" s="250"/>
      <c r="I83" s="252"/>
      <c r="J83" s="172"/>
      <c r="K83" s="172"/>
      <c r="L83" s="172"/>
      <c r="M83" s="255"/>
      <c r="N83" s="258"/>
      <c r="O83" s="261"/>
      <c r="P83" s="255"/>
      <c r="Q83" s="238"/>
      <c r="R83" s="264"/>
      <c r="S83" s="235"/>
      <c r="T83" s="238"/>
      <c r="U83" s="24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4" t="s">
        <v>132</v>
      </c>
      <c r="C88" s="225"/>
      <c r="D88" s="225"/>
      <c r="E88" s="225"/>
      <c r="F88" s="225"/>
      <c r="G88" s="225"/>
      <c r="H88" s="225"/>
      <c r="I88" s="226"/>
      <c r="J88" s="185"/>
      <c r="K88" s="185"/>
      <c r="L88" s="185"/>
      <c r="M88" s="224"/>
      <c r="N88" s="225"/>
      <c r="O88" s="225"/>
      <c r="P88" s="225"/>
      <c r="Q88" s="226"/>
      <c r="R88" s="187"/>
      <c r="S88" s="188"/>
      <c r="T88" s="188"/>
      <c r="U88" s="189"/>
    </row>
    <row r="89" spans="2:21" ht="18" x14ac:dyDescent="0.25">
      <c r="B89" s="227" t="s">
        <v>122</v>
      </c>
      <c r="C89" s="228"/>
      <c r="D89" s="228"/>
      <c r="E89" s="228"/>
      <c r="F89" s="228"/>
      <c r="G89" s="228"/>
      <c r="H89" s="228"/>
      <c r="I89" s="229"/>
      <c r="M89" s="227" t="s">
        <v>122</v>
      </c>
      <c r="N89" s="228"/>
      <c r="O89" s="228"/>
      <c r="P89" s="228"/>
      <c r="Q89" s="229"/>
      <c r="R89" s="230" t="s">
        <v>123</v>
      </c>
      <c r="S89" s="231"/>
      <c r="T89" s="231"/>
      <c r="U89" s="23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4" t="s">
        <v>133</v>
      </c>
      <c r="C93" s="225"/>
      <c r="D93" s="225"/>
      <c r="E93" s="225"/>
      <c r="F93" s="225"/>
      <c r="G93" s="225"/>
      <c r="H93" s="225"/>
      <c r="I93" s="22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7" t="s">
        <v>126</v>
      </c>
      <c r="C94" s="228"/>
      <c r="D94" s="228"/>
      <c r="E94" s="228"/>
      <c r="F94" s="228"/>
      <c r="G94" s="228"/>
      <c r="H94" s="228"/>
      <c r="I94" s="229"/>
      <c r="M94" s="179"/>
      <c r="Q94" s="180"/>
      <c r="R94" s="230" t="s">
        <v>127</v>
      </c>
      <c r="S94" s="231"/>
      <c r="T94" s="231"/>
      <c r="U94" s="23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2D202-4EDA-41A5-BB9B-A96E5099F292}">
  <sheetPr>
    <tabColor rgb="FF00B050"/>
    <pageSetUpPr fitToPage="1"/>
  </sheetPr>
  <dimension ref="A1:AJ102"/>
  <sheetViews>
    <sheetView showGridLines="0" topLeftCell="A29" zoomScale="85" zoomScaleNormal="85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04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04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18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70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220">
        <v>108</v>
      </c>
      <c r="O13" s="51"/>
      <c r="P13" s="52" t="str">
        <f t="shared" ref="P13:P70" si="5">IF(M13&amp;N13="","",ROUND(((M13+N13)/G13),1)&amp;" pallets")</f>
        <v>1 pallets</v>
      </c>
      <c r="Q13" s="53">
        <f t="shared" ref="Q13:Q72" si="6">(J13*M13)+(K13*N13)+(O13*L13)</f>
        <v>9072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17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220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217">
        <v>59</v>
      </c>
      <c r="G17" s="47">
        <v>108</v>
      </c>
      <c r="H17" s="64" t="str">
        <f t="shared" ref="H17:H70" si="11">IF(F17="","",(ROUND((F17/G17),1)&amp;" pallets"))</f>
        <v>0.5 pallets</v>
      </c>
      <c r="I17" s="49">
        <f t="shared" si="4"/>
        <v>47849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41300</v>
      </c>
      <c r="Y17" s="57">
        <f t="shared" si="0"/>
        <v>1689.76</v>
      </c>
      <c r="Z17" s="57">
        <f t="shared" si="8"/>
        <v>118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17">
        <f>1+2</f>
        <v>3</v>
      </c>
      <c r="G33" s="47">
        <v>100</v>
      </c>
      <c r="H33" s="64" t="str">
        <f t="shared" si="11"/>
        <v>0 pallets</v>
      </c>
      <c r="I33" s="49">
        <f t="shared" si="4"/>
        <v>5001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5001</v>
      </c>
      <c r="Y33" s="57">
        <f t="shared" si="0"/>
        <v>89.28</v>
      </c>
      <c r="Z33" s="57">
        <f t="shared" si="8"/>
        <v>6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217">
        <v>5</v>
      </c>
      <c r="G38" s="47">
        <v>100</v>
      </c>
      <c r="H38" s="64" t="str">
        <f t="shared" si="11"/>
        <v>0.1 pallets</v>
      </c>
      <c r="I38" s="49">
        <f t="shared" si="4"/>
        <v>7910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7910</v>
      </c>
      <c r="Y38" s="57">
        <f t="shared" si="0"/>
        <v>135.80000000000001</v>
      </c>
      <c r="Z38" s="57">
        <f t="shared" si="8"/>
        <v>10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219">
        <f>2</f>
        <v>2</v>
      </c>
      <c r="G43" s="87">
        <v>100</v>
      </c>
      <c r="H43" s="88" t="str">
        <f t="shared" si="11"/>
        <v>0 pallets</v>
      </c>
      <c r="I43" s="89">
        <f t="shared" si="4"/>
        <v>2204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2204</v>
      </c>
      <c r="Y43" s="57">
        <f t="shared" si="0"/>
        <v>54.32</v>
      </c>
      <c r="Z43" s="57">
        <f t="shared" si="8"/>
        <v>4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9.1 pallets</v>
      </c>
      <c r="I73" s="148"/>
      <c r="J73" s="149"/>
      <c r="K73" s="150"/>
      <c r="L73" s="149"/>
      <c r="M73" s="151"/>
      <c r="N73" s="152"/>
      <c r="O73" s="152"/>
      <c r="P73" s="204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790452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200880</v>
      </c>
      <c r="P75" s="265"/>
      <c r="Q75" s="266"/>
      <c r="R75" s="152"/>
      <c r="S75" s="159" t="s">
        <v>104</v>
      </c>
      <c r="T75" s="270">
        <f>SUM(Y12:Y70)</f>
        <v>28900.759999999995</v>
      </c>
      <c r="U75" s="271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720468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191808</v>
      </c>
      <c r="P77" s="265"/>
      <c r="Q77" s="266"/>
      <c r="R77" s="152"/>
      <c r="S77" s="159" t="s">
        <v>129</v>
      </c>
      <c r="T77" s="270">
        <f>SUM(Z12:Z72)</f>
        <v>2010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263653.39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>
        <f>79939.5+65207.95</f>
        <v>145147.45000000001</v>
      </c>
      <c r="Q79" s="269"/>
      <c r="R79" s="152"/>
      <c r="S79" s="159" t="s">
        <v>108</v>
      </c>
      <c r="T79" s="270">
        <f>IF(SUM(X12:X70)*0.15&gt;P79,P79,SUM(X12:X70)*0.15)</f>
        <v>101903.84999999999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>
        <f>193104</f>
        <v>193104</v>
      </c>
      <c r="Q81" s="269"/>
      <c r="R81" s="152"/>
      <c r="S81" s="159" t="s">
        <v>112</v>
      </c>
      <c r="T81" s="270">
        <f>T79+T75+T77</f>
        <v>132814.60999999999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98C62-08B9-4F72-9EDB-2A705E9B2C12}">
  <sheetPr>
    <tabColor rgb="FF00B050"/>
    <pageSetUpPr fitToPage="1"/>
  </sheetPr>
  <dimension ref="A1:AJ102"/>
  <sheetViews>
    <sheetView showGridLines="0" topLeftCell="A51" zoomScale="85" zoomScaleNormal="85" workbookViewId="0">
      <pane xSplit="2" topLeftCell="C1" activePane="topRight" state="frozen"/>
      <selection activeCell="F17" sqref="F17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16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16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217">
        <v>504</v>
      </c>
      <c r="G58" s="47">
        <v>72</v>
      </c>
      <c r="H58" s="64" t="str">
        <f t="shared" si="11"/>
        <v>7 pallets</v>
      </c>
      <c r="I58" s="49">
        <f t="shared" si="4"/>
        <v>154728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115416</v>
      </c>
      <c r="Y58" s="57">
        <f t="shared" si="0"/>
        <v>13038.48</v>
      </c>
      <c r="Z58" s="57">
        <f t="shared" si="8"/>
        <v>1008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7 pallets</v>
      </c>
      <c r="I73" s="148"/>
      <c r="J73" s="149"/>
      <c r="K73" s="150"/>
      <c r="L73" s="149"/>
      <c r="M73" s="151"/>
      <c r="N73" s="152"/>
      <c r="O73" s="152"/>
      <c r="P73" s="216" t="str">
        <f>ROUND((((M12+N12+M30+M58+M59+M60+M61+M62+N58)/72+(M13+N13+M16+M18)/108+(M15+N15)/96+SUM(M14,M19:M29,M31:M32,M51,N14)/63)),1)&amp;" pallets"</f>
        <v>0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154728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0</v>
      </c>
      <c r="P75" s="265"/>
      <c r="Q75" s="266"/>
      <c r="R75" s="152"/>
      <c r="S75" s="159" t="s">
        <v>104</v>
      </c>
      <c r="T75" s="270">
        <f>SUM(Y12:Y70)</f>
        <v>13038.48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154728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0</v>
      </c>
      <c r="P77" s="265"/>
      <c r="Q77" s="266"/>
      <c r="R77" s="152"/>
      <c r="S77" s="159" t="s">
        <v>129</v>
      </c>
      <c r="T77" s="270">
        <f>SUM(Z12:Z72)</f>
        <v>1008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133600.01999999999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>
        <f>4461</f>
        <v>4461</v>
      </c>
      <c r="Q79" s="269"/>
      <c r="R79" s="152"/>
      <c r="S79" s="159" t="s">
        <v>108</v>
      </c>
      <c r="T79" s="270">
        <f>IF(SUM(X12:X70)*0.15&gt;P79,P79,SUM(X12:X70)*0.15)</f>
        <v>4461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>
        <v>2620.5</v>
      </c>
      <c r="Q81" s="269"/>
      <c r="R81" s="152"/>
      <c r="S81" s="159" t="s">
        <v>112</v>
      </c>
      <c r="T81" s="270">
        <f>T79+T75+T77</f>
        <v>18507.48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D0E7-FD25-47B0-862A-2EFBCF6CFDD6}">
  <sheetPr>
    <tabColor rgb="FF00B050"/>
    <pageSetUpPr fitToPage="1"/>
  </sheetPr>
  <dimension ref="A1:AJ102"/>
  <sheetViews>
    <sheetView showGridLines="0" topLeftCell="A11" zoomScale="85" zoomScaleNormal="85" workbookViewId="0">
      <pane xSplit="2" topLeftCell="C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21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21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70" si="5">IF(M13&amp;N13="","",ROUND(((M13+N13)/G13),1)&amp;" pallets")</f>
        <v>4 pallets</v>
      </c>
      <c r="Q13" s="53">
        <f t="shared" ref="Q13:Q72" si="6">(J13*M13)+(K13*N13)+(O13*L13)</f>
        <v>36288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15 pallets</v>
      </c>
      <c r="I73" s="148"/>
      <c r="J73" s="149"/>
      <c r="K73" s="150"/>
      <c r="L73" s="149"/>
      <c r="M73" s="151"/>
      <c r="N73" s="152"/>
      <c r="O73" s="152"/>
      <c r="P73" s="221" t="str">
        <f>ROUND((((M12+N12+M30+M58+M59+M60+M61+M62+N58)/72+(M13+N13+M16+M18)/108+(M15+N15)/96+SUM(M14,M19:M29,M31:M32,M51,N14)/63)),1)&amp;" pallets"</f>
        <v>11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1232820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120204</v>
      </c>
      <c r="P75" s="265"/>
      <c r="Q75" s="266"/>
      <c r="R75" s="152"/>
      <c r="S75" s="159" t="s">
        <v>104</v>
      </c>
      <c r="T75" s="270">
        <f>SUM(Y12:Y70)</f>
        <v>46396.800000000003</v>
      </c>
      <c r="U75" s="271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1232820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83916</v>
      </c>
      <c r="P77" s="265"/>
      <c r="Q77" s="266"/>
      <c r="R77" s="152"/>
      <c r="S77" s="159" t="s">
        <v>129</v>
      </c>
      <c r="T77" s="270">
        <f>SUM(Z12:Z72)</f>
        <v>3240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1062979.2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/>
      <c r="Q79" s="269"/>
      <c r="R79" s="152"/>
      <c r="S79" s="159" t="s">
        <v>108</v>
      </c>
      <c r="T79" s="270">
        <f>IF(SUM(X12:X70)*0.15&gt;P79,P79,SUM(X12:X70)*0.15)</f>
        <v>0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/>
      <c r="Q81" s="269"/>
      <c r="R81" s="152"/>
      <c r="S81" s="159" t="s">
        <v>112</v>
      </c>
      <c r="T81" s="270">
        <f>T79+T75+T77</f>
        <v>49636.800000000003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6343-1B89-4610-BECB-45B42F725829}">
  <sheetPr>
    <tabColor rgb="FF00B050"/>
    <pageSetUpPr fitToPage="1"/>
  </sheetPr>
  <dimension ref="A1:AJ102"/>
  <sheetViews>
    <sheetView showGridLines="0" topLeftCell="A57" zoomScale="85" zoomScaleNormal="85" workbookViewId="0">
      <pane xSplit="2" topLeftCell="C1" activePane="topRight" state="frozen"/>
      <selection activeCell="F17" sqref="F17"/>
      <selection pane="topRight" activeCell="W70" sqref="W7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21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21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>
        <v>146</v>
      </c>
      <c r="G58" s="47">
        <v>72</v>
      </c>
      <c r="H58" s="64" t="str">
        <f t="shared" si="11"/>
        <v>2 pallets</v>
      </c>
      <c r="I58" s="49">
        <f t="shared" si="4"/>
        <v>44822</v>
      </c>
      <c r="J58" s="50">
        <v>78</v>
      </c>
      <c r="K58" s="126">
        <v>42</v>
      </c>
      <c r="L58" s="50">
        <v>1.5</v>
      </c>
      <c r="M58" s="51">
        <v>360</v>
      </c>
      <c r="N58" s="51">
        <v>135</v>
      </c>
      <c r="O58" s="51"/>
      <c r="P58" s="52" t="str">
        <f t="shared" si="5"/>
        <v>6.9 pallets</v>
      </c>
      <c r="Q58" s="53">
        <f>(J58*M58)+(K58*N58)+(O58*L58)</f>
        <v>33750</v>
      </c>
      <c r="S58" s="54"/>
      <c r="T58" s="54"/>
      <c r="U58" s="55"/>
      <c r="X58" s="56">
        <f t="shared" si="7"/>
        <v>33434</v>
      </c>
      <c r="Y58" s="57">
        <f t="shared" si="0"/>
        <v>3777.0199999999995</v>
      </c>
      <c r="Z58" s="57">
        <f t="shared" si="8"/>
        <v>292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2 pallets</v>
      </c>
      <c r="I73" s="148"/>
      <c r="J73" s="149"/>
      <c r="K73" s="150"/>
      <c r="L73" s="149"/>
      <c r="M73" s="151"/>
      <c r="N73" s="152"/>
      <c r="O73" s="152"/>
      <c r="P73" s="221" t="str">
        <f>ROUND((((M12+N12+M30+M58+M59+M60+M61+M62+N58)/72+(M13+N13+M16+M18)/108+(M15+N15)/96+SUM(M14,M19:M29,M31:M32,M51,N14)/63)),1)&amp;" pallets"</f>
        <v>6.9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44822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33750</v>
      </c>
      <c r="P75" s="265"/>
      <c r="Q75" s="266"/>
      <c r="R75" s="152"/>
      <c r="S75" s="159" t="s">
        <v>104</v>
      </c>
      <c r="T75" s="270">
        <f>SUM(Y12:Y70)</f>
        <v>3777.0199999999995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44822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33750</v>
      </c>
      <c r="P77" s="265"/>
      <c r="Q77" s="266"/>
      <c r="R77" s="152"/>
      <c r="S77" s="159" t="s">
        <v>129</v>
      </c>
      <c r="T77" s="270">
        <f>SUM(Z12:Z72)</f>
        <v>292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7002.9800000000005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/>
      <c r="Q79" s="269"/>
      <c r="R79" s="152"/>
      <c r="S79" s="159" t="s">
        <v>108</v>
      </c>
      <c r="T79" s="270">
        <f>IF(SUM(X12:X70)*0.15&gt;P79,P79,SUM(X12:X70)*0.15)</f>
        <v>0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/>
      <c r="Q81" s="269"/>
      <c r="R81" s="152"/>
      <c r="S81" s="159" t="s">
        <v>112</v>
      </c>
      <c r="T81" s="270">
        <f>T79+T75+T77</f>
        <v>4069.0199999999995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4093A-ECF0-4857-A995-3FDF8B3808C8}">
  <sheetPr>
    <tabColor rgb="FF00B050"/>
    <pageSetUpPr fitToPage="1"/>
  </sheetPr>
  <dimension ref="A1:AJ102"/>
  <sheetViews>
    <sheetView showGridLines="0" topLeftCell="A60" zoomScale="85" zoomScaleNormal="85" workbookViewId="0">
      <pane xSplit="2" topLeftCell="C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22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22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17 pallets</v>
      </c>
      <c r="I73" s="148"/>
      <c r="J73" s="149"/>
      <c r="K73" s="150"/>
      <c r="L73" s="149"/>
      <c r="M73" s="151"/>
      <c r="N73" s="152"/>
      <c r="O73" s="152"/>
      <c r="P73" s="222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1397196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203796</v>
      </c>
      <c r="P75" s="265"/>
      <c r="Q75" s="266"/>
      <c r="R75" s="152"/>
      <c r="S75" s="159" t="s">
        <v>104</v>
      </c>
      <c r="T75" s="270">
        <f>SUM(Y12:Y70)</f>
        <v>52583.040000000001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1397196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203796</v>
      </c>
      <c r="P77" s="265"/>
      <c r="Q77" s="266"/>
      <c r="R77" s="152"/>
      <c r="S77" s="159" t="s">
        <v>129</v>
      </c>
      <c r="T77" s="270">
        <f>SUM(Z12:Z72)</f>
        <v>3672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1137144.96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/>
      <c r="Q79" s="269"/>
      <c r="R79" s="152"/>
      <c r="S79" s="159" t="s">
        <v>108</v>
      </c>
      <c r="T79" s="270">
        <f>IF(SUM(X12:X70)*0.15&gt;P79,P79,SUM(X12:X70)*0.15)</f>
        <v>0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/>
      <c r="Q81" s="269"/>
      <c r="R81" s="152"/>
      <c r="S81" s="159" t="s">
        <v>112</v>
      </c>
      <c r="T81" s="270">
        <f>T79+T75+T77</f>
        <v>56255.040000000001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C4330-384A-4710-BB05-5C0BFA5A3BB8}">
  <sheetPr>
    <tabColor rgb="FF00B050"/>
    <pageSetUpPr fitToPage="1"/>
  </sheetPr>
  <dimension ref="A1:AJ102"/>
  <sheetViews>
    <sheetView showGridLines="0" topLeftCell="A66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22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22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17 pallets</v>
      </c>
      <c r="I73" s="148"/>
      <c r="J73" s="149"/>
      <c r="K73" s="150"/>
      <c r="L73" s="149"/>
      <c r="M73" s="151"/>
      <c r="N73" s="152"/>
      <c r="O73" s="152"/>
      <c r="P73" s="222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1397196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203796</v>
      </c>
      <c r="P75" s="265"/>
      <c r="Q75" s="266"/>
      <c r="R75" s="152"/>
      <c r="S75" s="159" t="s">
        <v>104</v>
      </c>
      <c r="T75" s="270">
        <f>SUM(Y12:Y70)</f>
        <v>52583.040000000001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1397196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203796</v>
      </c>
      <c r="P77" s="265"/>
      <c r="Q77" s="266"/>
      <c r="R77" s="152"/>
      <c r="S77" s="159" t="s">
        <v>129</v>
      </c>
      <c r="T77" s="270">
        <f>SUM(Z12:Z72)</f>
        <v>3672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1137144.96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/>
      <c r="Q79" s="269"/>
      <c r="R79" s="152"/>
      <c r="S79" s="159" t="s">
        <v>108</v>
      </c>
      <c r="T79" s="270">
        <f>IF(SUM(X12:X70)*0.15&gt;P79,P79,SUM(X12:X70)*0.15)</f>
        <v>0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/>
      <c r="Q81" s="269"/>
      <c r="R81" s="152"/>
      <c r="S81" s="159" t="s">
        <v>112</v>
      </c>
      <c r="T81" s="270">
        <f>T79+T75+T77</f>
        <v>56255.040000000001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81F72-1975-4884-A01E-61E0BC59D1FE}">
  <sheetPr>
    <tabColor rgb="FF00B050"/>
    <pageSetUpPr fitToPage="1"/>
  </sheetPr>
  <dimension ref="A1:AJ102"/>
  <sheetViews>
    <sheetView showGridLines="0" tabSelected="1" topLeftCell="A66" zoomScale="85" zoomScaleNormal="85" workbookViewId="0">
      <pane xSplit="2" topLeftCell="F1" activePane="topRight" state="frozen"/>
      <selection activeCell="F17" sqref="F17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4" t="s">
        <v>130</v>
      </c>
      <c r="G2" s="314"/>
      <c r="H2" s="31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6" t="s">
        <v>1</v>
      </c>
      <c r="U2" s="7"/>
      <c r="W2" s="27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5"/>
      <c r="G4" s="315"/>
      <c r="H4" s="315"/>
      <c r="I4" s="315"/>
      <c r="J4" s="315"/>
      <c r="K4" s="315"/>
      <c r="L4" s="315"/>
      <c r="M4" s="315"/>
      <c r="S4" s="2" t="s">
        <v>4</v>
      </c>
      <c r="T4" s="316"/>
      <c r="U4" s="316"/>
      <c r="W4" s="27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7"/>
      <c r="G6" s="317"/>
      <c r="H6" s="317"/>
      <c r="I6" s="317"/>
      <c r="J6" s="317"/>
      <c r="K6" s="317"/>
      <c r="L6" s="317"/>
      <c r="M6" s="317"/>
      <c r="S6" s="11" t="s">
        <v>6</v>
      </c>
      <c r="T6" s="223" t="s">
        <v>7</v>
      </c>
      <c r="U6" s="12" t="s">
        <v>131</v>
      </c>
      <c r="W6" s="27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7"/>
      <c r="G7" s="317"/>
      <c r="H7" s="317"/>
      <c r="I7" s="317"/>
      <c r="J7" s="317"/>
      <c r="K7" s="317"/>
      <c r="L7" s="317"/>
      <c r="M7" s="317"/>
      <c r="N7" s="14"/>
      <c r="O7" s="14"/>
      <c r="P7" s="14"/>
      <c r="Q7" s="15"/>
      <c r="S7" s="14"/>
      <c r="T7" s="223" t="s">
        <v>11</v>
      </c>
      <c r="U7" s="12"/>
      <c r="W7" s="27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6" t="s">
        <v>14</v>
      </c>
      <c r="C9" s="289" t="s">
        <v>15</v>
      </c>
      <c r="D9" s="289" t="s">
        <v>16</v>
      </c>
      <c r="E9" s="289" t="s">
        <v>17</v>
      </c>
      <c r="F9" s="292" t="s">
        <v>18</v>
      </c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4"/>
      <c r="S9" s="292" t="s">
        <v>19</v>
      </c>
      <c r="T9" s="293"/>
      <c r="U9" s="294"/>
      <c r="X9" s="299" t="s">
        <v>20</v>
      </c>
      <c r="Y9" s="302" t="s">
        <v>21</v>
      </c>
      <c r="Z9" s="302" t="s">
        <v>128</v>
      </c>
      <c r="AA9" s="17"/>
      <c r="AB9" s="279" t="s">
        <v>22</v>
      </c>
      <c r="AC9" s="305" t="s">
        <v>23</v>
      </c>
      <c r="AD9" s="308" t="s">
        <v>24</v>
      </c>
      <c r="AE9" s="279" t="s">
        <v>25</v>
      </c>
      <c r="AG9" s="279" t="s">
        <v>26</v>
      </c>
      <c r="AH9" s="17"/>
      <c r="AI9" s="279" t="s">
        <v>27</v>
      </c>
    </row>
    <row r="10" spans="2:35" s="16" customFormat="1" ht="20.25" customHeight="1" x14ac:dyDescent="0.25">
      <c r="B10" s="287"/>
      <c r="C10" s="290"/>
      <c r="D10" s="290"/>
      <c r="E10" s="290"/>
      <c r="F10" s="296" t="s">
        <v>28</v>
      </c>
      <c r="G10" s="296" t="s">
        <v>29</v>
      </c>
      <c r="H10" s="296" t="s">
        <v>30</v>
      </c>
      <c r="I10" s="297" t="s">
        <v>31</v>
      </c>
      <c r="J10" s="297" t="s">
        <v>32</v>
      </c>
      <c r="K10" s="297" t="s">
        <v>33</v>
      </c>
      <c r="L10" s="297" t="s">
        <v>34</v>
      </c>
      <c r="M10" s="311" t="s">
        <v>35</v>
      </c>
      <c r="N10" s="312"/>
      <c r="O10" s="312"/>
      <c r="P10" s="312"/>
      <c r="Q10" s="313"/>
      <c r="S10" s="282" t="s">
        <v>36</v>
      </c>
      <c r="T10" s="283"/>
      <c r="U10" s="284"/>
      <c r="X10" s="300"/>
      <c r="Y10" s="303"/>
      <c r="Z10" s="303"/>
      <c r="AA10" s="17"/>
      <c r="AB10" s="280"/>
      <c r="AC10" s="306"/>
      <c r="AD10" s="309"/>
      <c r="AE10" s="280"/>
      <c r="AG10" s="280"/>
      <c r="AH10" s="17"/>
      <c r="AI10" s="280"/>
    </row>
    <row r="11" spans="2:35" s="21" customFormat="1" ht="12.75" customHeight="1" thickBot="1" x14ac:dyDescent="0.3">
      <c r="B11" s="288"/>
      <c r="C11" s="291"/>
      <c r="D11" s="291"/>
      <c r="E11" s="291"/>
      <c r="F11" s="291"/>
      <c r="G11" s="291"/>
      <c r="H11" s="291"/>
      <c r="I11" s="298"/>
      <c r="J11" s="298"/>
      <c r="K11" s="298"/>
      <c r="L11" s="29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301"/>
      <c r="Y11" s="304"/>
      <c r="Z11" s="304"/>
      <c r="AA11" s="17"/>
      <c r="AB11" s="281"/>
      <c r="AC11" s="307"/>
      <c r="AD11" s="310"/>
      <c r="AE11" s="281"/>
      <c r="AG11" s="295"/>
      <c r="AH11" s="17"/>
      <c r="AI11" s="28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1806</v>
      </c>
      <c r="G16" s="47">
        <v>108</v>
      </c>
      <c r="H16" s="64"/>
      <c r="I16" s="49">
        <f t="shared" si="4"/>
        <v>1374366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1173900</v>
      </c>
      <c r="Y16" s="57">
        <f>F16*AI16</f>
        <v>51723.840000000004</v>
      </c>
      <c r="Z16" s="57">
        <f>IF($U$6="x",(F16*2),"")</f>
        <v>3612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E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>
        <v>146</v>
      </c>
      <c r="G40" s="87">
        <v>100</v>
      </c>
      <c r="H40" s="88" t="str">
        <f t="shared" si="11"/>
        <v>1.5 pallets</v>
      </c>
      <c r="I40" s="89">
        <f t="shared" si="4"/>
        <v>94900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94900</v>
      </c>
      <c r="Y40" s="57">
        <f t="shared" si="0"/>
        <v>3965.36</v>
      </c>
      <c r="Z40" s="57">
        <f t="shared" si="8"/>
        <v>292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5" t="s">
        <v>101</v>
      </c>
      <c r="C73" s="285"/>
      <c r="D73" s="285"/>
      <c r="E73" s="285"/>
      <c r="F73" s="285"/>
      <c r="G73" s="285"/>
      <c r="H73" s="147" t="str">
        <f>ROUND(((F12+F30+F53+F58+F59+F60+F61+F62)/72+(F13+F16+F18)/108+(F14+SUM(F19:F29)+F31+F32+F22+F51+F46)/63+F15/96+SUM(F35:F44)/100+SUM(F48:F50)/24+SUM(F63:F70)/100+(F52+F47+F45)/100),1)&amp;" pallets"</f>
        <v>18.2 pallets</v>
      </c>
      <c r="I73" s="148"/>
      <c r="J73" s="149"/>
      <c r="K73" s="150"/>
      <c r="L73" s="149"/>
      <c r="M73" s="151"/>
      <c r="N73" s="152"/>
      <c r="O73" s="152"/>
      <c r="P73" s="223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5">
        <f>SUM(I12:I72)</f>
        <v>1470933</v>
      </c>
      <c r="G75" s="265"/>
      <c r="H75" s="265"/>
      <c r="I75" s="266"/>
      <c r="J75" s="158"/>
      <c r="K75" s="158"/>
      <c r="L75" s="158"/>
      <c r="M75" s="277" t="s">
        <v>103</v>
      </c>
      <c r="N75" s="278"/>
      <c r="O75" s="265">
        <f>SUM(Q12:Q72)</f>
        <v>203796</v>
      </c>
      <c r="P75" s="265"/>
      <c r="Q75" s="266"/>
      <c r="R75" s="152"/>
      <c r="S75" s="159" t="s">
        <v>104</v>
      </c>
      <c r="T75" s="270">
        <f>SUM(Y12:Y70)</f>
        <v>55718.960000000006</v>
      </c>
      <c r="U75" s="27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5">
        <f>SUM(I14:I74)</f>
        <v>1470933</v>
      </c>
      <c r="G77" s="265"/>
      <c r="H77" s="265"/>
      <c r="I77" s="266"/>
      <c r="J77" s="158"/>
      <c r="K77" s="158"/>
      <c r="L77" s="158"/>
      <c r="M77" s="277" t="s">
        <v>103</v>
      </c>
      <c r="N77" s="278"/>
      <c r="O77" s="265">
        <f>SUM(Q14:Q74)</f>
        <v>203796</v>
      </c>
      <c r="P77" s="265"/>
      <c r="Q77" s="266"/>
      <c r="R77" s="152"/>
      <c r="S77" s="159" t="s">
        <v>129</v>
      </c>
      <c r="T77" s="270">
        <f>SUM(Z12:Z72)</f>
        <v>3906</v>
      </c>
      <c r="U77" s="271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5">
        <f>IF(U7&gt;0,"",(F75-O75-T81-P81))</f>
        <v>1207512.04</v>
      </c>
      <c r="G79" s="265"/>
      <c r="H79" s="265"/>
      <c r="I79" s="266"/>
      <c r="J79" s="164"/>
      <c r="K79" s="164"/>
      <c r="L79" s="164"/>
      <c r="M79" s="267" t="s">
        <v>106</v>
      </c>
      <c r="N79" s="267"/>
      <c r="O79" s="168" t="s">
        <v>107</v>
      </c>
      <c r="P79" s="268"/>
      <c r="Q79" s="269"/>
      <c r="R79" s="152"/>
      <c r="S79" s="159" t="s">
        <v>108</v>
      </c>
      <c r="T79" s="270">
        <f>IF(SUM(X12:X70)*0.15&gt;P79,P79,SUM(X12:X70)*0.15)</f>
        <v>0</v>
      </c>
      <c r="U79" s="271"/>
      <c r="V79" s="160"/>
      <c r="W79" s="272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3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5"/>
      <c r="G81" s="265"/>
      <c r="H81" s="265"/>
      <c r="I81" s="266"/>
      <c r="J81" s="164"/>
      <c r="K81" s="164"/>
      <c r="L81" s="164"/>
      <c r="M81" s="275" t="str">
        <f>IF(U6&gt;0,"",T4+30)</f>
        <v/>
      </c>
      <c r="N81" s="276"/>
      <c r="O81" s="168" t="s">
        <v>111</v>
      </c>
      <c r="P81" s="268"/>
      <c r="Q81" s="269"/>
      <c r="R81" s="152"/>
      <c r="S81" s="159" t="s">
        <v>112</v>
      </c>
      <c r="T81" s="270">
        <f>T79+T75+T77</f>
        <v>59624.960000000006</v>
      </c>
      <c r="U81" s="271"/>
      <c r="V81" s="160"/>
      <c r="W81" s="274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2" t="s">
        <v>113</v>
      </c>
      <c r="C83" s="243"/>
      <c r="D83" s="243"/>
      <c r="E83" s="243"/>
      <c r="F83" s="243"/>
      <c r="G83" s="243"/>
      <c r="H83" s="244"/>
      <c r="I83" s="251" t="s">
        <v>114</v>
      </c>
      <c r="J83" s="171"/>
      <c r="K83" s="171"/>
      <c r="L83" s="171"/>
      <c r="M83" s="253"/>
      <c r="N83" s="256" t="s">
        <v>115</v>
      </c>
      <c r="O83" s="259"/>
      <c r="P83" s="253"/>
      <c r="Q83" s="236" t="s">
        <v>116</v>
      </c>
      <c r="R83" s="262"/>
      <c r="S83" s="233"/>
      <c r="T83" s="236" t="s">
        <v>117</v>
      </c>
      <c r="U83" s="239"/>
    </row>
    <row r="84" spans="2:35" ht="15" customHeight="1" x14ac:dyDescent="0.25">
      <c r="B84" s="245"/>
      <c r="C84" s="246"/>
      <c r="D84" s="246"/>
      <c r="E84" s="246"/>
      <c r="F84" s="246"/>
      <c r="G84" s="246"/>
      <c r="H84" s="247"/>
      <c r="I84" s="230"/>
      <c r="J84" s="2"/>
      <c r="K84" s="2"/>
      <c r="L84" s="2"/>
      <c r="M84" s="254"/>
      <c r="N84" s="257"/>
      <c r="O84" s="260"/>
      <c r="P84" s="254"/>
      <c r="Q84" s="237"/>
      <c r="R84" s="263"/>
      <c r="S84" s="234"/>
      <c r="T84" s="237"/>
      <c r="U84" s="240"/>
    </row>
    <row r="85" spans="2:35" ht="15.75" customHeight="1" thickBot="1" x14ac:dyDescent="0.3">
      <c r="B85" s="248"/>
      <c r="C85" s="249"/>
      <c r="D85" s="249"/>
      <c r="E85" s="249"/>
      <c r="F85" s="249"/>
      <c r="G85" s="249"/>
      <c r="H85" s="250"/>
      <c r="I85" s="252"/>
      <c r="J85" s="172"/>
      <c r="K85" s="172"/>
      <c r="L85" s="172"/>
      <c r="M85" s="255"/>
      <c r="N85" s="258"/>
      <c r="O85" s="261"/>
      <c r="P85" s="255"/>
      <c r="Q85" s="238"/>
      <c r="R85" s="264"/>
      <c r="S85" s="235"/>
      <c r="T85" s="238"/>
      <c r="U85" s="241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4" t="s">
        <v>132</v>
      </c>
      <c r="C90" s="225"/>
      <c r="D90" s="225"/>
      <c r="E90" s="225"/>
      <c r="F90" s="225"/>
      <c r="G90" s="225"/>
      <c r="H90" s="225"/>
      <c r="I90" s="226"/>
      <c r="J90" s="185"/>
      <c r="K90" s="185"/>
      <c r="L90" s="185"/>
      <c r="M90" s="224"/>
      <c r="N90" s="225"/>
      <c r="O90" s="225"/>
      <c r="P90" s="225"/>
      <c r="Q90" s="226"/>
      <c r="R90" s="187"/>
      <c r="S90" s="188"/>
      <c r="T90" s="188"/>
      <c r="U90" s="189"/>
    </row>
    <row r="91" spans="2:35" ht="18" x14ac:dyDescent="0.25">
      <c r="B91" s="227" t="s">
        <v>122</v>
      </c>
      <c r="C91" s="228"/>
      <c r="D91" s="228"/>
      <c r="E91" s="228"/>
      <c r="F91" s="228"/>
      <c r="G91" s="228"/>
      <c r="H91" s="228"/>
      <c r="I91" s="229"/>
      <c r="M91" s="227" t="s">
        <v>122</v>
      </c>
      <c r="N91" s="228"/>
      <c r="O91" s="228"/>
      <c r="P91" s="228"/>
      <c r="Q91" s="229"/>
      <c r="R91" s="230" t="s">
        <v>123</v>
      </c>
      <c r="S91" s="231"/>
      <c r="T91" s="231"/>
      <c r="U91" s="232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4" t="s">
        <v>133</v>
      </c>
      <c r="C95" s="225"/>
      <c r="D95" s="225"/>
      <c r="E95" s="225"/>
      <c r="F95" s="225"/>
      <c r="G95" s="225"/>
      <c r="H95" s="225"/>
      <c r="I95" s="226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7" t="s">
        <v>126</v>
      </c>
      <c r="C96" s="228"/>
      <c r="D96" s="228"/>
      <c r="E96" s="228"/>
      <c r="F96" s="228"/>
      <c r="G96" s="228"/>
      <c r="H96" s="228"/>
      <c r="I96" s="229"/>
      <c r="M96" s="179"/>
      <c r="Q96" s="180"/>
      <c r="R96" s="230" t="s">
        <v>127</v>
      </c>
      <c r="S96" s="231"/>
      <c r="T96" s="231"/>
      <c r="U96" s="232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01-05-2026</vt:lpstr>
      <vt:lpstr>01-20-2026</vt:lpstr>
      <vt:lpstr>01-21-2026 EMPT</vt:lpstr>
      <vt:lpstr>01-24-2026</vt:lpstr>
      <vt:lpstr>01-26-2026</vt:lpstr>
      <vt:lpstr>01-26-2026 (2)</vt:lpstr>
      <vt:lpstr>01-28-2026</vt:lpstr>
      <vt:lpstr>01-29-2026</vt:lpstr>
      <vt:lpstr>01-29-2026 (2)</vt:lpstr>
      <vt:lpstr>01-30-2026</vt:lpstr>
      <vt:lpstr>01-30-2026 MHT</vt:lpstr>
      <vt:lpstr>01-30-2026 B</vt:lpstr>
      <vt:lpstr>01-30-2026 MHT B</vt:lpstr>
      <vt:lpstr>01-31-2026</vt:lpstr>
      <vt:lpstr>01-31-2026 B</vt:lpstr>
      <vt:lpstr>01-31-2026 B (2)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  <vt:lpstr>'01-28-2026'!Print_Area</vt:lpstr>
      <vt:lpstr>'01-29-2026'!Print_Area</vt:lpstr>
      <vt:lpstr>'01-29-2026 (2)'!Print_Area</vt:lpstr>
      <vt:lpstr>'01-30-2026'!Print_Area</vt:lpstr>
      <vt:lpstr>'01-30-2026 B'!Print_Area</vt:lpstr>
      <vt:lpstr>'01-30-2026 MHT'!Print_Area</vt:lpstr>
      <vt:lpstr>'01-30-2026 MHT B'!Print_Area</vt:lpstr>
      <vt:lpstr>'01-31-2026'!Print_Area</vt:lpstr>
      <vt:lpstr>'01-31-2026 B'!Print_Area</vt:lpstr>
      <vt:lpstr>'01-31-2026 B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2026-01-31T05:45:25Z</dcterms:modified>
</cp:coreProperties>
</file>