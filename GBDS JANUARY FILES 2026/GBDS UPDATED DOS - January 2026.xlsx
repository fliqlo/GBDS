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63109DA-34FB-4BE9-85D6-88F1FAA79079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1-05-2025" sheetId="168" r:id="rId1"/>
  </sheets>
  <definedNames>
    <definedName name="_xlnm.Print_Area" localSheetId="0">'01-05-2025'!$A$1:$V$97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19" i="168" l="1"/>
  <c r="M79" i="168" l="1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H13" i="168"/>
  <c r="E13" i="168"/>
  <c r="I13" i="168" s="1"/>
  <c r="AD12" i="168"/>
  <c r="AC12" i="168"/>
  <c r="AE12" i="168" s="1"/>
  <c r="AI12" i="168" s="1"/>
  <c r="Y12" i="168" s="1"/>
  <c r="AB12" i="168"/>
  <c r="Z12" i="168"/>
  <c r="X12" i="168"/>
  <c r="Q12" i="168"/>
  <c r="P12" i="168"/>
  <c r="I12" i="168"/>
  <c r="H12" i="168"/>
  <c r="E12" i="168"/>
  <c r="O75" i="168" l="1"/>
  <c r="O73" i="168"/>
  <c r="T77" i="168"/>
  <c r="T75" i="168"/>
  <c r="F73" i="168"/>
  <c r="F75" i="168"/>
  <c r="T73" i="168"/>
  <c r="T79" i="168" l="1"/>
  <c r="F77" i="168" s="1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<sst xmlns="http://schemas.openxmlformats.org/spreadsheetml/2006/main" count="141" uniqueCount="134">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</sst>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tabSelected="1" topLeftCell="A62" zoomScaleNormal="100" workbookViewId="0">
      <pane xSplit="2" topLeftCell="C1" activePane="topRight" state="frozen"/>
      <selection activeCell="F17" sqref="F17"/>
      <selection pane="topRight" activeCell="E14" sqref="E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25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f>63</f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29">
        <f>SUM(I12:I70)</f>
        <v>1397196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183312</v>
      </c>
      <c r="P73" s="229"/>
      <c r="Q73" s="230"/>
      <c r="R73" s="152"/>
      <c r="S73" s="159" t="s">
        <v>104</v>
      </c>
      <c r="T73" s="233">
        <f>SUM(Y12:Y68)</f>
        <v>52583.040000000001</v>
      </c>
      <c r="U73" s="23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29">
        <f>SUM(I14:I72)</f>
        <v>1397196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129204</v>
      </c>
      <c r="P75" s="229"/>
      <c r="Q75" s="230"/>
      <c r="R75" s="152"/>
      <c r="S75" s="159" t="s">
        <v>129</v>
      </c>
      <c r="T75" s="233">
        <f>SUM(Z12:Z70)</f>
        <v>3672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29">
        <f>IF(U7&gt;0,"",(F73-O73-T79-P79))</f>
        <v>1157628.96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56255.040000000001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25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8" x14ac:dyDescent="0.25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01-05-2025</vt:lpstr>
      <vt:lpstr>'01-05-2025'!Print_Area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2026-01-08T03:45:15Z</dcterms:modified>
</cp:coreProperties>
</file>