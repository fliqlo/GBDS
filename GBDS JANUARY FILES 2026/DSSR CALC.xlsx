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E4BE2F7-D733-4E0C-9926-823A67C9229A}" xr6:coauthVersionLast="45" xr6:coauthVersionMax="45" xr10:uidLastSave="{00000000-0000-0000-0000-000000000000}"/>
  <bookViews>
    <workbookView xWindow="-120" yWindow="-120" windowWidth="29040" windowHeight="15840" xr2:uid="{220BD867-0FD9-4CE4-B332-F0CC3D8872DE}"/>
  </bookViews>
  <sheets>
    <sheet name="DSSR CAL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29" i="1" l="1"/>
  <c r="C27" i="1"/>
  <c r="O26" i="1"/>
  <c r="L26" i="1"/>
  <c r="I26" i="1"/>
  <c r="F26" i="1"/>
  <c r="C26" i="1"/>
  <c r="O15" i="1"/>
  <c r="L15" i="1" l="1"/>
  <c r="I15" i="1"/>
  <c r="F15" i="1"/>
  <c r="C45" i="1"/>
  <c r="C15" i="1"/>
  <c r="C1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16" authorId="0" shapeId="0" xr:uid="{E54DEBDF-BB63-40A0-9E35-35A37080AEC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OVER ALL TOTAL</t>
        </r>
      </text>
    </comment>
    <comment ref="B27" authorId="0" shapeId="0" xr:uid="{36DE7B8A-E2B4-4BF4-97E3-EF707DDE2AC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OVER ALL TOTAL</t>
        </r>
      </text>
    </comment>
  </commentList>
</comments>
</file>

<file path=xl/sharedStrings.xml><?xml version="1.0" encoding="utf-8"?>
<sst xmlns="http://schemas.openxmlformats.org/spreadsheetml/2006/main" count="36" uniqueCount="12">
  <si>
    <t>STT</t>
  </si>
  <si>
    <t>TOTAL</t>
  </si>
  <si>
    <t>SMB LILOY</t>
  </si>
  <si>
    <t>OAT</t>
  </si>
  <si>
    <t>12/26/2025</t>
  </si>
  <si>
    <t>ENDING INVENTORY</t>
  </si>
  <si>
    <t>DATE:</t>
  </si>
  <si>
    <t>BEGINNING:</t>
  </si>
  <si>
    <t>AMOUNT:</t>
  </si>
  <si>
    <t>GUILLERMO</t>
  </si>
  <si>
    <t>DATE</t>
  </si>
  <si>
    <t>DAILY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</si>
</sst>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F800]dddd\,\ mmmm\ dd\,\ yyyy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4" fontId="2" fillId="0" borderId="0" xfId="0" applyNumberFormat="1" applyFont="1"/>
    <xf numFmtId="4" fontId="0" fillId="0" borderId="0" xfId="0" applyNumberFormat="1"/>
    <xf numFmtId="0" fontId="1" fillId="0" borderId="0" xfId="0" applyNumberFormat="1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7" fontId="0" fillId="0" borderId="0" xfId="0" applyNumberFormat="1" applyAlignment="1">
      <alignment horizontal="right" vertical="center"/>
    </xf>
    <xf numFmtId="14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5813B-A78C-486B-B1EE-8C0ADDEEF0E8}">
  <dimension ref="A2:O48"/>
  <sheetViews>
    <sheetView tabSelected="1" workbookViewId="0">
      <selection activeCell="B5" sqref="B5"/>
    </sheetView>
  </sheetViews>
  <sheetFormatPr defaultRowHeight="15" x14ac:dyDescent="0.25"/>
  <cols>
    <col min="1" max="1" width="12" bestFit="1" customWidth="1"/>
    <col min="2" max="2" width="12.42578125" customWidth="1"/>
    <col min="3" max="3" width="11.7109375" bestFit="1" customWidth="1"/>
    <col min="5" max="5" width="10.7109375" bestFit="1" customWidth="1"/>
    <col min="6" max="6" width="11.7109375" bestFit="1" customWidth="1"/>
    <col min="8" max="8" width="10.7109375" bestFit="1" customWidth="1"/>
    <col min="9" max="9" width="11.7109375" bestFit="1" customWidth="1"/>
    <col min="11" max="11" width="10.7109375" bestFit="1" customWidth="1"/>
    <col min="12" max="12" width="11.7109375" bestFit="1" customWidth="1"/>
    <col min="14" max="14" width="10.7109375" bestFit="1" customWidth="1"/>
    <col min="15" max="15" width="11.7109375" bestFit="1" customWidth="1"/>
  </cols>
  <sheetData>
    <row r="2" spans="1:15" x14ac:dyDescent="0.25">
      <c r="A2" s="3" t="s">
        <v>6</v>
      </c>
      <c r="B2" s="13" t="s">
        <v>4</v>
      </c>
    </row>
    <row r="4" spans="1:15" x14ac:dyDescent="0.25">
      <c r="A4" s="3" t="s">
        <v>7</v>
      </c>
      <c r="B4" s="14">
        <v>45669</v>
      </c>
    </row>
    <row r="5" spans="1:15" x14ac:dyDescent="0.25">
      <c r="A5" s="3" t="s">
        <v>8</v>
      </c>
      <c r="B5" s="9">
        <v>60668.79</v>
      </c>
    </row>
    <row r="7" spans="1:15" ht="15.75" x14ac:dyDescent="0.25">
      <c r="A7" s="3" t="s">
        <v>0</v>
      </c>
      <c r="B7" s="5" t="s">
        <v>9</v>
      </c>
    </row>
    <row r="8" spans="1:15" x14ac:dyDescent="0.25">
      <c r="B8" s="6" t="s">
        <v>10</v>
      </c>
      <c r="C8" s="3" t="s">
        <v>11</v>
      </c>
      <c r="D8" s="3"/>
      <c r="E8" s="6" t="s">
        <v>10</v>
      </c>
      <c r="F8" s="3" t="s">
        <v>11</v>
      </c>
      <c r="G8" s="3"/>
      <c r="H8" s="6" t="s">
        <v>10</v>
      </c>
      <c r="I8" s="3" t="s">
        <v>11</v>
      </c>
      <c r="J8" s="3"/>
      <c r="K8" s="6" t="s">
        <v>10</v>
      </c>
      <c r="L8" s="3" t="s">
        <v>11</v>
      </c>
      <c r="M8" s="3"/>
      <c r="N8" s="6" t="s">
        <v>10</v>
      </c>
      <c r="O8" s="3" t="s">
        <v>11</v>
      </c>
    </row>
    <row r="9" spans="1:15" x14ac:dyDescent="0.25">
      <c r="A9" s="1"/>
      <c r="B9" s="1">
        <v>45658</v>
      </c>
      <c r="C9" s="9">
        <v>802.41</v>
      </c>
      <c r="E9" s="1">
        <v>45666</v>
      </c>
      <c r="F9" s="9">
        <v>991.19</v>
      </c>
      <c r="H9" s="1">
        <v>45673</v>
      </c>
      <c r="I9" s="9">
        <v>2066.36</v>
      </c>
      <c r="K9" s="1">
        <v>45680</v>
      </c>
      <c r="L9" s="9">
        <v>1778.48</v>
      </c>
      <c r="N9" s="1">
        <v>45870</v>
      </c>
      <c r="O9" s="9"/>
    </row>
    <row r="10" spans="1:15" x14ac:dyDescent="0.25">
      <c r="B10" s="1">
        <v>45659</v>
      </c>
      <c r="C10" s="9">
        <v>810.56</v>
      </c>
      <c r="E10" s="1">
        <v>45667</v>
      </c>
      <c r="F10" s="9">
        <v>1208.1600000000001</v>
      </c>
      <c r="H10" s="1">
        <v>45674</v>
      </c>
      <c r="I10" s="9">
        <v>1575.44</v>
      </c>
      <c r="K10" s="1">
        <v>45681</v>
      </c>
      <c r="L10" s="9">
        <v>3648.27</v>
      </c>
      <c r="N10" s="1">
        <v>45871</v>
      </c>
      <c r="O10" s="9">
        <v>6638.2</v>
      </c>
    </row>
    <row r="11" spans="1:15" x14ac:dyDescent="0.25">
      <c r="B11" s="1">
        <v>45660</v>
      </c>
      <c r="C11" s="9">
        <v>1230.5</v>
      </c>
      <c r="E11" s="1">
        <v>45668</v>
      </c>
      <c r="F11" s="9">
        <v>811.23</v>
      </c>
      <c r="H11" s="1">
        <v>45675</v>
      </c>
      <c r="I11" s="9">
        <v>2303.9</v>
      </c>
      <c r="K11" s="1">
        <v>45682</v>
      </c>
      <c r="L11" s="9">
        <v>2360.2199999999998</v>
      </c>
      <c r="N11" s="1">
        <v>45872</v>
      </c>
      <c r="O11" s="9">
        <v>162</v>
      </c>
    </row>
    <row r="12" spans="1:15" x14ac:dyDescent="0.25">
      <c r="B12" s="1">
        <v>45663</v>
      </c>
      <c r="C12" s="9">
        <v>774.16</v>
      </c>
      <c r="E12" s="1">
        <v>45669</v>
      </c>
      <c r="F12" s="9">
        <v>1555.78</v>
      </c>
      <c r="H12" s="1">
        <v>45676</v>
      </c>
      <c r="I12" s="9">
        <v>1551.26</v>
      </c>
      <c r="K12" s="1">
        <v>45683</v>
      </c>
      <c r="L12" s="9"/>
      <c r="N12" s="2"/>
      <c r="O12" s="9"/>
    </row>
    <row r="13" spans="1:15" x14ac:dyDescent="0.25">
      <c r="B13" s="1">
        <v>45664</v>
      </c>
      <c r="C13" s="9">
        <v>1080.27</v>
      </c>
      <c r="E13" s="1">
        <v>45670</v>
      </c>
      <c r="F13" s="9">
        <v>2199.1999999999998</v>
      </c>
      <c r="H13" s="1">
        <v>45677</v>
      </c>
      <c r="I13" s="9">
        <v>2003.29</v>
      </c>
      <c r="K13" s="1">
        <v>45684</v>
      </c>
      <c r="L13" s="9">
        <v>3871.15</v>
      </c>
      <c r="O13" s="9"/>
    </row>
    <row r="14" spans="1:15" x14ac:dyDescent="0.25">
      <c r="B14" s="1">
        <v>45665</v>
      </c>
      <c r="C14" s="9">
        <v>1138.24</v>
      </c>
      <c r="E14" s="1">
        <v>45671</v>
      </c>
      <c r="F14" s="9">
        <v>1931.39</v>
      </c>
      <c r="H14" s="1">
        <v>45678</v>
      </c>
      <c r="I14" s="9">
        <v>1950.16</v>
      </c>
      <c r="K14" s="1">
        <v>45685</v>
      </c>
      <c r="L14" s="9">
        <v>3900.53</v>
      </c>
      <c r="O14" s="9"/>
    </row>
    <row r="15" spans="1:15" ht="15.75" x14ac:dyDescent="0.25">
      <c r="A15" s="2"/>
      <c r="B15" s="4" t="s">
        <v>1</v>
      </c>
      <c r="C15" s="8">
        <f>SUM(C9:C14)</f>
        <v>5836.1399999999994</v>
      </c>
      <c r="D15" s="5"/>
      <c r="E15" s="4" t="s">
        <v>1</v>
      </c>
      <c r="F15" s="8">
        <f>SUM(F9:F14)</f>
        <v>8696.9500000000007</v>
      </c>
      <c r="G15" s="5"/>
      <c r="H15" s="4" t="s">
        <v>1</v>
      </c>
      <c r="I15" s="8">
        <f>SUM(I9:I14)</f>
        <v>11450.41</v>
      </c>
      <c r="J15" s="5"/>
      <c r="K15" s="4" t="s">
        <v>1</v>
      </c>
      <c r="L15" s="8">
        <f>SUM(L9:L14)</f>
        <v>15558.65</v>
      </c>
      <c r="N15" s="4" t="s">
        <v>1</v>
      </c>
      <c r="O15" s="8">
        <f>SUM(O9:O14)</f>
        <v>6800.2</v>
      </c>
    </row>
    <row r="16" spans="1:15" ht="15.75" x14ac:dyDescent="0.25">
      <c r="B16" s="4" t="s">
        <v>3</v>
      </c>
      <c r="C16" s="8">
        <f>C15+F15+I15+L15+O15</f>
        <v>48342.35</v>
      </c>
    </row>
    <row r="17" spans="1:15" ht="15.75" x14ac:dyDescent="0.25">
      <c r="B17" s="4"/>
      <c r="C17" s="8"/>
    </row>
    <row r="18" spans="1:15" ht="15.75" x14ac:dyDescent="0.25">
      <c r="A18" s="3"/>
      <c r="B18" s="5" t="s">
        <v>2</v>
      </c>
    </row>
    <row r="19" spans="1:15" x14ac:dyDescent="0.25">
      <c r="B19" s="7" t="s">
        <v>10</v>
      </c>
      <c r="E19" s="7" t="s">
        <v>10</v>
      </c>
      <c r="H19" s="7" t="s">
        <v>10</v>
      </c>
      <c r="K19" s="7" t="s">
        <v>10</v>
      </c>
      <c r="N19" s="7" t="s">
        <v>10</v>
      </c>
    </row>
    <row r="20" spans="1:15" x14ac:dyDescent="0.25">
      <c r="B20" s="1">
        <v>45658</v>
      </c>
      <c r="C20" s="9">
        <v>1836</v>
      </c>
      <c r="E20" s="1">
        <v>45658</v>
      </c>
      <c r="F20" s="9">
        <v>1836</v>
      </c>
      <c r="H20" s="1">
        <v>45658</v>
      </c>
      <c r="I20" s="9">
        <v>1807</v>
      </c>
      <c r="K20" s="1">
        <v>45658</v>
      </c>
      <c r="L20" s="9">
        <v>1534</v>
      </c>
      <c r="N20" s="1">
        <v>45870</v>
      </c>
      <c r="O20">
        <v>1224</v>
      </c>
    </row>
    <row r="21" spans="1:15" x14ac:dyDescent="0.25">
      <c r="B21" s="1">
        <v>45659</v>
      </c>
      <c r="C21" s="9">
        <v>1836</v>
      </c>
      <c r="E21" s="1">
        <v>45659</v>
      </c>
      <c r="F21" s="9">
        <v>1836</v>
      </c>
      <c r="H21" s="1">
        <v>45659</v>
      </c>
      <c r="I21" s="9">
        <v>1652</v>
      </c>
      <c r="K21" s="1">
        <v>45659</v>
      </c>
      <c r="L21" s="9">
        <v>1721</v>
      </c>
      <c r="N21" s="1">
        <v>45871</v>
      </c>
      <c r="O21">
        <v>479</v>
      </c>
    </row>
    <row r="22" spans="1:15" x14ac:dyDescent="0.25">
      <c r="B22" s="1">
        <v>45660</v>
      </c>
      <c r="C22" s="9">
        <v>1836</v>
      </c>
      <c r="E22" s="1">
        <v>45660</v>
      </c>
      <c r="F22" s="9">
        <v>1836</v>
      </c>
      <c r="H22" s="1">
        <v>45660</v>
      </c>
      <c r="I22" s="9">
        <v>1836</v>
      </c>
      <c r="K22" s="1">
        <v>45660</v>
      </c>
      <c r="L22" s="9">
        <v>1519</v>
      </c>
      <c r="N22" s="1"/>
    </row>
    <row r="23" spans="1:15" x14ac:dyDescent="0.25">
      <c r="B23" s="1">
        <v>45663</v>
      </c>
      <c r="C23" s="9">
        <v>1836</v>
      </c>
      <c r="E23" s="1">
        <v>45663</v>
      </c>
      <c r="F23" s="9">
        <v>1836</v>
      </c>
      <c r="H23" s="1">
        <v>45663</v>
      </c>
      <c r="I23" s="9">
        <v>1836</v>
      </c>
      <c r="K23" s="1">
        <v>45663</v>
      </c>
      <c r="L23" s="9">
        <v>1859</v>
      </c>
    </row>
    <row r="24" spans="1:15" x14ac:dyDescent="0.25">
      <c r="B24" s="1">
        <v>45664</v>
      </c>
      <c r="C24" s="9">
        <v>1910</v>
      </c>
      <c r="E24" s="1">
        <v>45664</v>
      </c>
      <c r="F24" s="9">
        <v>1836</v>
      </c>
      <c r="H24" s="1">
        <v>45664</v>
      </c>
      <c r="I24" s="9">
        <v>1644</v>
      </c>
      <c r="K24" s="1">
        <v>45664</v>
      </c>
      <c r="L24" s="9">
        <v>1851</v>
      </c>
    </row>
    <row r="25" spans="1:15" x14ac:dyDescent="0.25">
      <c r="B25" s="1">
        <v>45665</v>
      </c>
      <c r="C25" s="9">
        <v>1713</v>
      </c>
      <c r="E25" s="1">
        <v>45665</v>
      </c>
      <c r="F25" s="9">
        <v>1836</v>
      </c>
      <c r="H25" s="1">
        <v>45665</v>
      </c>
      <c r="I25" s="9">
        <v>1781</v>
      </c>
      <c r="K25" s="1">
        <v>45665</v>
      </c>
      <c r="L25" s="9">
        <v>2493</v>
      </c>
    </row>
    <row r="26" spans="1:15" ht="15.75" x14ac:dyDescent="0.25">
      <c r="B26" s="4" t="s">
        <v>1</v>
      </c>
      <c r="C26" s="8">
        <f>SUM(C20:C25)</f>
        <v>10967</v>
      </c>
      <c r="D26" s="5"/>
      <c r="E26" s="4" t="s">
        <v>1</v>
      </c>
      <c r="F26" s="8">
        <f>SUM(F20:F25)</f>
        <v>11016</v>
      </c>
      <c r="G26" s="5"/>
      <c r="H26" s="4" t="s">
        <v>1</v>
      </c>
      <c r="I26" s="8">
        <f>SUM(I20:I25)</f>
        <v>10556</v>
      </c>
      <c r="J26" s="5"/>
      <c r="K26" s="4" t="s">
        <v>1</v>
      </c>
      <c r="L26" s="8">
        <f>SUM(L20:L25)</f>
        <v>10977</v>
      </c>
      <c r="N26" s="4" t="s">
        <v>1</v>
      </c>
      <c r="O26" s="8">
        <f>SUM(O20:O25)</f>
        <v>1703</v>
      </c>
    </row>
    <row r="27" spans="1:15" ht="15.75" x14ac:dyDescent="0.25">
      <c r="B27" s="4" t="s">
        <v>3</v>
      </c>
      <c r="C27" s="8">
        <f>C26+F26+I26+L26+O26</f>
        <v>45219</v>
      </c>
    </row>
    <row r="28" spans="1:15" x14ac:dyDescent="0.25">
      <c r="B28" s="1"/>
    </row>
    <row r="29" spans="1:15" x14ac:dyDescent="0.25">
      <c r="B29" s="10" t="s">
        <v>5</v>
      </c>
      <c r="C29" s="11">
        <f>B5-C16+C27</f>
        <v>57545.440000000002</v>
      </c>
    </row>
    <row r="30" spans="1:15" x14ac:dyDescent="0.25">
      <c r="B30" s="10"/>
      <c r="C30" s="12"/>
    </row>
    <row r="31" spans="1:15" x14ac:dyDescent="0.25">
      <c r="B31" s="1"/>
    </row>
    <row r="32" spans="1:15" x14ac:dyDescent="0.25">
      <c r="B32" s="2"/>
    </row>
    <row r="34" spans="2:3" x14ac:dyDescent="0.25">
      <c r="B34" s="1"/>
    </row>
    <row r="35" spans="2:3" x14ac:dyDescent="0.25">
      <c r="B35" s="1"/>
    </row>
    <row r="36" spans="2:3" x14ac:dyDescent="0.25">
      <c r="B36" s="1"/>
    </row>
    <row r="37" spans="2:3" x14ac:dyDescent="0.25">
      <c r="B37" s="1"/>
    </row>
    <row r="38" spans="2:3" x14ac:dyDescent="0.25">
      <c r="B38" s="1"/>
    </row>
    <row r="39" spans="2:3" x14ac:dyDescent="0.25">
      <c r="B39" s="1"/>
    </row>
    <row r="40" spans="2:3" x14ac:dyDescent="0.25">
      <c r="B40" s="2"/>
    </row>
    <row r="42" spans="2:3" x14ac:dyDescent="0.25">
      <c r="B42" s="1">
        <v>45870</v>
      </c>
    </row>
    <row r="43" spans="2:3" x14ac:dyDescent="0.25">
      <c r="B43" s="1">
        <v>45871</v>
      </c>
    </row>
    <row r="44" spans="2:3" x14ac:dyDescent="0.25">
      <c r="B44" s="1">
        <v>45872</v>
      </c>
    </row>
    <row r="45" spans="2:3" x14ac:dyDescent="0.25">
      <c r="B45" s="2" t="s">
        <v>1</v>
      </c>
      <c r="C45">
        <f>SUM(C42:C44)</f>
        <v>0</v>
      </c>
    </row>
    <row r="46" spans="2:3" x14ac:dyDescent="0.25">
      <c r="B46" s="1"/>
    </row>
    <row r="47" spans="2:3" x14ac:dyDescent="0.25">
      <c r="B47" s="1"/>
    </row>
    <row r="48" spans="2:3" x14ac:dyDescent="0.25">
      <c r="B48" s="2"/>
    </row>
  </sheetData>
  <mergeCells count="2">
    <mergeCell ref="B29:B30"/>
    <mergeCell ref="C29:C30"/>
  </mergeCells>
  <pageMargins left="0.7" right="0.7" top="0.75" bottom="0.75" header="0.3" footer="0.3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DSSR 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2026-01-08T07:25:47Z</dcterms:created>
  <dcterms:modified xsi:type="dcterms:W3CDTF">2026-01-08T08:03:20Z</dcterms:modified>
</cp:coreProperties>
</file>