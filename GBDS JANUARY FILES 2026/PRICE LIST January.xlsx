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GBDS JANUARY FILES 2026\"/>
    </mc:Choice>
  </mc:AlternateContent>
  <xr:revisionPtr revIDLastSave="0" documentId="13_ncr:1_{3F483516-035C-473C-9CB3-DF0F518AC58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Sheet1!$A$1:$G$59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32" i="1" l="1"/>
  <c r="E32" i="1"/>
  <c r="K24" i="1"/>
  <c r="E24" i="1"/>
  <c r="K29" i="1"/>
  <c r="E29" i="1"/>
  <c r="E39" i="1"/>
  <c r="K39" i="1"/>
  <c r="E40" i="1"/>
  <c r="K40" i="1"/>
  <c r="K34" i="1"/>
  <c r="E34" i="1"/>
  <c r="K53" i="1" l="1"/>
  <c r="E53" i="1" l="1"/>
  <c r="K57" i="1" l="1"/>
  <c r="K56" i="1"/>
  <c r="K54" i="1"/>
  <c r="K50" i="1"/>
  <c r="K49" i="1"/>
  <c r="K48" i="1"/>
  <c r="K46" i="1"/>
  <c r="K45" i="1"/>
  <c r="K44" i="1"/>
  <c r="K38" i="1"/>
  <c r="K36" i="1"/>
  <c r="K35" i="1"/>
  <c r="K33" i="1"/>
  <c r="K30" i="1"/>
  <c r="K26" i="1"/>
  <c r="K21" i="1"/>
  <c r="K20" i="1"/>
  <c r="K19" i="1"/>
  <c r="K18" i="1"/>
  <c r="K17" i="1"/>
  <c r="K12" i="1"/>
  <c r="K11" i="1"/>
  <c r="E42" i="1" l="1"/>
  <c r="E41" i="1"/>
  <c r="E18" i="1" l="1"/>
  <c r="E33" i="1" l="1"/>
  <c r="E58" i="1" l="1"/>
  <c r="E28" i="1"/>
  <c r="E55" i="1" l="1"/>
  <c r="E54" i="1"/>
  <c r="E27" i="1" l="1"/>
  <c r="E26" i="1"/>
  <c r="E45" i="1"/>
  <c r="E21" i="1"/>
  <c r="E20" i="1"/>
  <c r="E19" i="1"/>
  <c r="E17" i="1"/>
  <c r="E15" i="1"/>
  <c r="E14" i="1"/>
  <c r="E13" i="1"/>
  <c r="E12" i="1"/>
  <c r="E11" i="1"/>
  <c r="E57" i="1"/>
  <c r="E56" i="1"/>
  <c r="E43" i="1"/>
  <c r="E38" i="1"/>
  <c r="E37" i="1"/>
  <c r="E36" i="1"/>
  <c r="E51" i="1"/>
  <c r="E50" i="1"/>
  <c r="E49" i="1"/>
  <c r="E48" i="1"/>
  <c r="E47" i="1"/>
  <c r="E46" i="1"/>
  <c r="E44" i="1"/>
  <c r="E35" i="1"/>
  <c r="E31" i="1"/>
  <c r="E30" i="1"/>
  <c r="E25" i="1"/>
</calcChain>
</file>

<file path=xl/sharedStrings.xml><?xml version="1.0" encoding="utf-8"?>
<sst xmlns="http://schemas.openxmlformats.org/spreadsheetml/2006/main" count="113" uniqueCount="104">
  <si>
    <t>PRODUCTS</t>
  </si>
  <si>
    <t>NON-ALCOHOLIC BEVERAGES</t>
  </si>
  <si>
    <t>FRUIT DRINK GRAPE 250ml</t>
  </si>
  <si>
    <t>CAPITAL/
BOTTLE</t>
  </si>
  <si>
    <t>-</t>
  </si>
  <si>
    <t>MAGNOLIA</t>
  </si>
  <si>
    <t>PER SHELL</t>
  </si>
  <si>
    <t>PER BOTTLE</t>
  </si>
  <si>
    <t>PRODUCTS PRICE LIST</t>
  </si>
  <si>
    <t>FRUIT DRINK MANGO 250ml</t>
  </si>
  <si>
    <t>NO. OF
BTLS/
CASE</t>
  </si>
  <si>
    <t>SRP per
BOTTLE</t>
  </si>
  <si>
    <t>SELLING
PRICE
per CASE</t>
  </si>
  <si>
    <t>HALF
CASE</t>
  </si>
  <si>
    <t>ALCO BEVERAGES</t>
  </si>
  <si>
    <t>EMPTIES PER CASE</t>
  </si>
  <si>
    <r>
      <t>CALI PINEAPPLE 330ml (</t>
    </r>
    <r>
      <rPr>
        <b/>
        <sz val="14"/>
        <color theme="1"/>
        <rFont val="Calibri"/>
        <family val="2"/>
        <scheme val="minor"/>
      </rPr>
      <t>CB</t>
    </r>
    <r>
      <rPr>
        <sz val="14"/>
        <color theme="1"/>
        <rFont val="Calibri"/>
        <family val="2"/>
        <scheme val="minor"/>
      </rPr>
      <t>)</t>
    </r>
  </si>
  <si>
    <r>
      <t>CALI ICE APPLE 330ml (</t>
    </r>
    <r>
      <rPr>
        <b/>
        <sz val="14"/>
        <color theme="1"/>
        <rFont val="Calibri"/>
        <family val="2"/>
        <scheme val="minor"/>
      </rPr>
      <t>CIB</t>
    </r>
    <r>
      <rPr>
        <sz val="14"/>
        <color theme="1"/>
        <rFont val="Calibri"/>
        <family val="2"/>
        <scheme val="minor"/>
      </rPr>
      <t>)</t>
    </r>
  </si>
  <si>
    <r>
      <t>CALI PINEAPPLE CAN 330ml (</t>
    </r>
    <r>
      <rPr>
        <b/>
        <sz val="14"/>
        <color theme="1"/>
        <rFont val="Calibri"/>
        <family val="2"/>
        <scheme val="minor"/>
      </rPr>
      <t>CC</t>
    </r>
    <r>
      <rPr>
        <sz val="14"/>
        <color theme="1"/>
        <rFont val="Calibri"/>
        <family val="2"/>
        <scheme val="minor"/>
      </rPr>
      <t>)</t>
    </r>
  </si>
  <si>
    <r>
      <t>CALI ICE APPLE CAN 330ml (</t>
    </r>
    <r>
      <rPr>
        <b/>
        <sz val="14"/>
        <color theme="1"/>
        <rFont val="Calibri"/>
        <family val="2"/>
        <scheme val="minor"/>
      </rPr>
      <t>CIC</t>
    </r>
    <r>
      <rPr>
        <sz val="14"/>
        <color theme="1"/>
        <rFont val="Calibri"/>
        <family val="2"/>
        <scheme val="minor"/>
      </rPr>
      <t>)</t>
    </r>
  </si>
  <si>
    <r>
      <t>CALI 10 DIET CAN 330ml (</t>
    </r>
    <r>
      <rPr>
        <b/>
        <sz val="14"/>
        <color theme="1"/>
        <rFont val="Calibri"/>
        <family val="2"/>
        <scheme val="minor"/>
      </rPr>
      <t>C10C</t>
    </r>
    <r>
      <rPr>
        <sz val="14"/>
        <color theme="1"/>
        <rFont val="Calibri"/>
        <family val="2"/>
        <scheme val="minor"/>
      </rPr>
      <t>)</t>
    </r>
  </si>
  <si>
    <r>
      <t>HEALTHTEA LEMON 250ml (</t>
    </r>
    <r>
      <rPr>
        <b/>
        <sz val="14"/>
        <color theme="1"/>
        <rFont val="Calibri"/>
        <family val="2"/>
        <scheme val="minor"/>
      </rPr>
      <t>HTL</t>
    </r>
    <r>
      <rPr>
        <sz val="14"/>
        <color theme="1"/>
        <rFont val="Calibri"/>
        <family val="2"/>
        <scheme val="minor"/>
      </rPr>
      <t>)</t>
    </r>
  </si>
  <si>
    <r>
      <t>HEALTHTEA APPLE 250ml (</t>
    </r>
    <r>
      <rPr>
        <b/>
        <sz val="14"/>
        <color theme="1"/>
        <rFont val="Calibri"/>
        <family val="2"/>
        <scheme val="minor"/>
      </rPr>
      <t>HTA</t>
    </r>
    <r>
      <rPr>
        <sz val="14"/>
        <color theme="1"/>
        <rFont val="Calibri"/>
        <family val="2"/>
        <scheme val="minor"/>
      </rPr>
      <t>)</t>
    </r>
  </si>
  <si>
    <r>
      <t>HEALTHTEA STRAWBERRY 250ml (</t>
    </r>
    <r>
      <rPr>
        <b/>
        <sz val="14"/>
        <color theme="1"/>
        <rFont val="Calibri"/>
        <family val="2"/>
        <scheme val="minor"/>
      </rPr>
      <t>HTS</t>
    </r>
    <r>
      <rPr>
        <sz val="14"/>
        <color theme="1"/>
        <rFont val="Calibri"/>
        <family val="2"/>
        <scheme val="minor"/>
      </rPr>
      <t>)</t>
    </r>
  </si>
  <si>
    <r>
      <t>PREMIUM ALL MALT CAN 330ml (</t>
    </r>
    <r>
      <rPr>
        <b/>
        <sz val="14"/>
        <color theme="1"/>
        <rFont val="Calibri"/>
        <family val="2"/>
        <scheme val="minor"/>
      </rPr>
      <t>PAMC</t>
    </r>
    <r>
      <rPr>
        <sz val="14"/>
        <color theme="1"/>
        <rFont val="Calibri"/>
        <family val="2"/>
        <scheme val="minor"/>
      </rPr>
      <t>)</t>
    </r>
  </si>
  <si>
    <r>
      <t>KIRIN CAN 330ml (</t>
    </r>
    <r>
      <rPr>
        <b/>
        <sz val="14"/>
        <color theme="1"/>
        <rFont val="Calibri"/>
        <family val="2"/>
        <scheme val="minor"/>
      </rPr>
      <t>KRC</t>
    </r>
    <r>
      <rPr>
        <sz val="14"/>
        <color theme="1"/>
        <rFont val="Calibri"/>
        <family val="2"/>
        <scheme val="minor"/>
      </rPr>
      <t>)</t>
    </r>
  </si>
  <si>
    <r>
      <t>CERVEZA BLANCA CAN 330ml (</t>
    </r>
    <r>
      <rPr>
        <b/>
        <sz val="14"/>
        <color theme="1"/>
        <rFont val="Calibri"/>
        <family val="2"/>
        <scheme val="minor"/>
      </rPr>
      <t>CBC</t>
    </r>
    <r>
      <rPr>
        <sz val="14"/>
        <color theme="1"/>
        <rFont val="Calibri"/>
        <family val="2"/>
        <scheme val="minor"/>
      </rPr>
      <t>)</t>
    </r>
  </si>
  <si>
    <r>
      <t>SUPERDRY 330ml (</t>
    </r>
    <r>
      <rPr>
        <b/>
        <sz val="14"/>
        <color theme="1"/>
        <rFont val="Calibri"/>
        <family val="2"/>
        <scheme val="minor"/>
      </rPr>
      <t>SDB</t>
    </r>
    <r>
      <rPr>
        <sz val="14"/>
        <color theme="1"/>
        <rFont val="Calibri"/>
        <family val="2"/>
        <scheme val="minor"/>
      </rPr>
      <t>)</t>
    </r>
  </si>
  <si>
    <r>
      <t>SUPERDRY CAN 330ml (</t>
    </r>
    <r>
      <rPr>
        <b/>
        <sz val="14"/>
        <color theme="1"/>
        <rFont val="Calibri"/>
        <family val="2"/>
        <scheme val="minor"/>
      </rPr>
      <t>SDC</t>
    </r>
    <r>
      <rPr>
        <sz val="14"/>
        <color theme="1"/>
        <rFont val="Calibri"/>
        <family val="2"/>
        <scheme val="minor"/>
      </rPr>
      <t>)</t>
    </r>
  </si>
  <si>
    <r>
      <t>CERVEZA NEGRA 330ml (</t>
    </r>
    <r>
      <rPr>
        <b/>
        <sz val="14"/>
        <color theme="1"/>
        <rFont val="Calibri"/>
        <family val="2"/>
        <scheme val="minor"/>
      </rPr>
      <t>CN/CNB</t>
    </r>
    <r>
      <rPr>
        <sz val="14"/>
        <color theme="1"/>
        <rFont val="Calibri"/>
        <family val="2"/>
        <scheme val="minor"/>
      </rPr>
      <t>)</t>
    </r>
  </si>
  <si>
    <r>
      <t>SAN MIG ZERO 330ml (</t>
    </r>
    <r>
      <rPr>
        <b/>
        <sz val="14"/>
        <color theme="1"/>
        <rFont val="Calibri"/>
        <family val="2"/>
        <scheme val="minor"/>
      </rPr>
      <t>SMZ/SMZB</t>
    </r>
    <r>
      <rPr>
        <sz val="14"/>
        <color theme="1"/>
        <rFont val="Calibri"/>
        <family val="2"/>
        <scheme val="minor"/>
      </rPr>
      <t>)</t>
    </r>
  </si>
  <si>
    <r>
      <t>SAN MIG LIGHT 330ml (</t>
    </r>
    <r>
      <rPr>
        <b/>
        <sz val="14"/>
        <color theme="1"/>
        <rFont val="Calibri"/>
        <family val="2"/>
        <scheme val="minor"/>
      </rPr>
      <t>SML/SMLB</t>
    </r>
    <r>
      <rPr>
        <sz val="14"/>
        <color theme="1"/>
        <rFont val="Calibri"/>
        <family val="2"/>
        <scheme val="minor"/>
      </rPr>
      <t>)</t>
    </r>
  </si>
  <si>
    <r>
      <t>SAN MIG LIGHT CAN 330ml (</t>
    </r>
    <r>
      <rPr>
        <b/>
        <sz val="14"/>
        <color theme="1"/>
        <rFont val="Calibri"/>
        <family val="2"/>
        <scheme val="minor"/>
      </rPr>
      <t>SMLC</t>
    </r>
    <r>
      <rPr>
        <sz val="14"/>
        <color theme="1"/>
        <rFont val="Calibri"/>
        <family val="2"/>
        <scheme val="minor"/>
      </rPr>
      <t>)</t>
    </r>
  </si>
  <si>
    <r>
      <t>FLAVORED BEER APPLE ACL 330ml (</t>
    </r>
    <r>
      <rPr>
        <b/>
        <sz val="14"/>
        <color theme="1"/>
        <rFont val="Calibri"/>
        <family val="2"/>
        <scheme val="minor"/>
      </rPr>
      <t>FBA</t>
    </r>
    <r>
      <rPr>
        <sz val="14"/>
        <color theme="1"/>
        <rFont val="Calibri"/>
        <family val="2"/>
        <scheme val="minor"/>
      </rPr>
      <t>)</t>
    </r>
  </si>
  <si>
    <r>
      <t>FLAVORED BEER LEMON ACL 330ml (</t>
    </r>
    <r>
      <rPr>
        <b/>
        <sz val="14"/>
        <color theme="1"/>
        <rFont val="Calibri"/>
        <family val="2"/>
        <scheme val="minor"/>
      </rPr>
      <t>FBL</t>
    </r>
    <r>
      <rPr>
        <sz val="14"/>
        <color theme="1"/>
        <rFont val="Calibri"/>
        <family val="2"/>
        <scheme val="minor"/>
      </rPr>
      <t>)</t>
    </r>
  </si>
  <si>
    <r>
      <t>FLAVORED BEER LYCHEE ACL 330ml (</t>
    </r>
    <r>
      <rPr>
        <b/>
        <sz val="14"/>
        <color theme="1"/>
        <rFont val="Calibri"/>
        <family val="2"/>
        <scheme val="minor"/>
      </rPr>
      <t>FBLY</t>
    </r>
    <r>
      <rPr>
        <sz val="14"/>
        <color theme="1"/>
        <rFont val="Calibri"/>
        <family val="2"/>
        <scheme val="minor"/>
      </rPr>
      <t>)</t>
    </r>
  </si>
  <si>
    <r>
      <t>FLAVORED BEER APPLE CAN 330ml (</t>
    </r>
    <r>
      <rPr>
        <b/>
        <sz val="14"/>
        <color theme="1"/>
        <rFont val="Calibri"/>
        <family val="2"/>
        <scheme val="minor"/>
      </rPr>
      <t>FBAC</t>
    </r>
    <r>
      <rPr>
        <sz val="14"/>
        <color theme="1"/>
        <rFont val="Calibri"/>
        <family val="2"/>
        <scheme val="minor"/>
      </rPr>
      <t>)</t>
    </r>
  </si>
  <si>
    <r>
      <t>FLAVORED BEER LEMON CAN 330ml (</t>
    </r>
    <r>
      <rPr>
        <b/>
        <sz val="14"/>
        <color theme="1"/>
        <rFont val="Calibri"/>
        <family val="2"/>
        <scheme val="minor"/>
      </rPr>
      <t>FBLC</t>
    </r>
    <r>
      <rPr>
        <sz val="14"/>
        <color theme="1"/>
        <rFont val="Calibri"/>
        <family val="2"/>
        <scheme val="minor"/>
      </rPr>
      <t>)</t>
    </r>
  </si>
  <si>
    <r>
      <t>FLAVORED BEER LYCHEE CAN 330ml (</t>
    </r>
    <r>
      <rPr>
        <b/>
        <sz val="14"/>
        <color theme="1"/>
        <rFont val="Calibri"/>
        <family val="2"/>
        <scheme val="minor"/>
      </rPr>
      <t>FBLYC</t>
    </r>
    <r>
      <rPr>
        <sz val="14"/>
        <color theme="1"/>
        <rFont val="Calibri"/>
        <family val="2"/>
        <scheme val="minor"/>
      </rPr>
      <t>)</t>
    </r>
  </si>
  <si>
    <r>
      <t>PALE PILSEN 320ml (</t>
    </r>
    <r>
      <rPr>
        <b/>
        <sz val="14"/>
        <color theme="1"/>
        <rFont val="Calibri"/>
        <family val="2"/>
        <scheme val="minor"/>
      </rPr>
      <t>PP</t>
    </r>
    <r>
      <rPr>
        <sz val="14"/>
        <color theme="1"/>
        <rFont val="Calibri"/>
        <family val="2"/>
        <scheme val="minor"/>
      </rPr>
      <t>)</t>
    </r>
  </si>
  <si>
    <r>
      <t>PALE PILSEN LONG 330ml (</t>
    </r>
    <r>
      <rPr>
        <b/>
        <sz val="14"/>
        <color theme="1"/>
        <rFont val="Calibri"/>
        <family val="2"/>
        <scheme val="minor"/>
      </rPr>
      <t>PPG</t>
    </r>
    <r>
      <rPr>
        <sz val="14"/>
        <color theme="1"/>
        <rFont val="Calibri"/>
        <family val="2"/>
        <scheme val="minor"/>
      </rPr>
      <t>)</t>
    </r>
  </si>
  <si>
    <r>
      <t>PALE PILSEN 1000ml (</t>
    </r>
    <r>
      <rPr>
        <b/>
        <sz val="14"/>
        <color theme="1"/>
        <rFont val="Calibri"/>
        <family val="2"/>
        <scheme val="minor"/>
      </rPr>
      <t>PL</t>
    </r>
    <r>
      <rPr>
        <sz val="14"/>
        <color theme="1"/>
        <rFont val="Calibri"/>
        <family val="2"/>
        <scheme val="minor"/>
      </rPr>
      <t>)</t>
    </r>
  </si>
  <si>
    <r>
      <t>PALE PILSEN CAN 330ml (</t>
    </r>
    <r>
      <rPr>
        <b/>
        <sz val="14"/>
        <color theme="1"/>
        <rFont val="Calibri"/>
        <family val="2"/>
        <scheme val="minor"/>
      </rPr>
      <t>PPC</t>
    </r>
    <r>
      <rPr>
        <sz val="14"/>
        <color theme="1"/>
        <rFont val="Calibri"/>
        <family val="2"/>
        <scheme val="minor"/>
      </rPr>
      <t>)</t>
    </r>
  </si>
  <si>
    <r>
      <t>RED HORSE 330ml (</t>
    </r>
    <r>
      <rPr>
        <b/>
        <sz val="14"/>
        <color theme="1"/>
        <rFont val="Calibri"/>
        <family val="2"/>
        <scheme val="minor"/>
      </rPr>
      <t>RHS</t>
    </r>
    <r>
      <rPr>
        <sz val="14"/>
        <color theme="1"/>
        <rFont val="Calibri"/>
        <family val="2"/>
        <scheme val="minor"/>
      </rPr>
      <t>)</t>
    </r>
  </si>
  <si>
    <r>
      <t>RED HORSE 500ml (</t>
    </r>
    <r>
      <rPr>
        <b/>
        <sz val="14"/>
        <color theme="1"/>
        <rFont val="Calibri"/>
        <family val="2"/>
        <scheme val="minor"/>
      </rPr>
      <t>RHP</t>
    </r>
    <r>
      <rPr>
        <sz val="14"/>
        <color theme="1"/>
        <rFont val="Calibri"/>
        <family val="2"/>
        <scheme val="minor"/>
      </rPr>
      <t>)</t>
    </r>
  </si>
  <si>
    <r>
      <t>RED HORSE 1000ml (</t>
    </r>
    <r>
      <rPr>
        <b/>
        <sz val="14"/>
        <color theme="1"/>
        <rFont val="Calibri"/>
        <family val="2"/>
        <scheme val="minor"/>
      </rPr>
      <t>RHL</t>
    </r>
    <r>
      <rPr>
        <sz val="14"/>
        <color theme="1"/>
        <rFont val="Calibri"/>
        <family val="2"/>
        <scheme val="minor"/>
      </rPr>
      <t>)</t>
    </r>
  </si>
  <si>
    <r>
      <t>RED HORSE CAN 330ml (</t>
    </r>
    <r>
      <rPr>
        <b/>
        <sz val="14"/>
        <color theme="1"/>
        <rFont val="Calibri"/>
        <family val="2"/>
        <scheme val="minor"/>
      </rPr>
      <t>RHC</t>
    </r>
    <r>
      <rPr>
        <sz val="14"/>
        <color theme="1"/>
        <rFont val="Calibri"/>
        <family val="2"/>
        <scheme val="minor"/>
      </rPr>
      <t>)</t>
    </r>
  </si>
  <si>
    <r>
      <t>RED HORSE 500 CAN (</t>
    </r>
    <r>
      <rPr>
        <b/>
        <sz val="14"/>
        <color theme="1"/>
        <rFont val="Calibri"/>
        <family val="2"/>
        <scheme val="minor"/>
      </rPr>
      <t>RH500C</t>
    </r>
    <r>
      <rPr>
        <sz val="14"/>
        <color theme="1"/>
        <rFont val="Calibri"/>
        <family val="2"/>
        <scheme val="minor"/>
      </rPr>
      <t>)</t>
    </r>
  </si>
  <si>
    <r>
      <t>SAN MIG FREE 330ml (</t>
    </r>
    <r>
      <rPr>
        <b/>
        <sz val="14"/>
        <color theme="1"/>
        <rFont val="Calibri"/>
        <family val="2"/>
        <scheme val="minor"/>
      </rPr>
      <t>SMF/SMFB</t>
    </r>
    <r>
      <rPr>
        <sz val="14"/>
        <color theme="1"/>
        <rFont val="Calibri"/>
        <family val="2"/>
        <scheme val="minor"/>
      </rPr>
      <t>)</t>
    </r>
  </si>
  <si>
    <r>
      <t>SAN MIG FREE CAN 330ml (</t>
    </r>
    <r>
      <rPr>
        <b/>
        <sz val="14"/>
        <color theme="1"/>
        <rFont val="Calibri"/>
        <family val="2"/>
        <scheme val="minor"/>
      </rPr>
      <t>SMFC</t>
    </r>
    <r>
      <rPr>
        <sz val="14"/>
        <color theme="1"/>
        <rFont val="Calibri"/>
        <family val="2"/>
        <scheme val="minor"/>
      </rPr>
      <t>)</t>
    </r>
  </si>
  <si>
    <r>
      <t>GOLD EAGLE 320ml (</t>
    </r>
    <r>
      <rPr>
        <b/>
        <sz val="14"/>
        <color theme="1"/>
        <rFont val="Calibri"/>
        <family val="2"/>
        <scheme val="minor"/>
      </rPr>
      <t>GE320</t>
    </r>
    <r>
      <rPr>
        <sz val="14"/>
        <color theme="1"/>
        <rFont val="Calibri"/>
        <family val="2"/>
        <scheme val="minor"/>
      </rPr>
      <t>)</t>
    </r>
  </si>
  <si>
    <r>
      <t>GOLD EAGLE 1000ml (</t>
    </r>
    <r>
      <rPr>
        <b/>
        <sz val="14"/>
        <color theme="1"/>
        <rFont val="Calibri"/>
        <family val="2"/>
        <scheme val="minor"/>
      </rPr>
      <t>GEK</t>
    </r>
    <r>
      <rPr>
        <sz val="14"/>
        <color theme="1"/>
        <rFont val="Calibri"/>
        <family val="2"/>
        <scheme val="minor"/>
      </rPr>
      <t>)</t>
    </r>
  </si>
  <si>
    <r>
      <t>PREMIUM ALL MALT 330ml (</t>
    </r>
    <r>
      <rPr>
        <b/>
        <sz val="14"/>
        <color theme="1"/>
        <rFont val="Calibri"/>
        <family val="2"/>
        <scheme val="minor"/>
      </rPr>
      <t>PAMB</t>
    </r>
    <r>
      <rPr>
        <sz val="14"/>
        <color theme="1"/>
        <rFont val="Calibri"/>
        <family val="2"/>
        <scheme val="minor"/>
      </rPr>
      <t>)</t>
    </r>
  </si>
  <si>
    <r>
      <t>KIRIN 330ml (</t>
    </r>
    <r>
      <rPr>
        <b/>
        <sz val="14"/>
        <color theme="1"/>
        <rFont val="Calibri"/>
        <family val="2"/>
        <scheme val="minor"/>
      </rPr>
      <t>KRB</t>
    </r>
    <r>
      <rPr>
        <sz val="14"/>
        <color theme="1"/>
        <rFont val="Calibri"/>
        <family val="2"/>
        <scheme val="minor"/>
      </rPr>
      <t>)</t>
    </r>
  </si>
  <si>
    <r>
      <t>HARD SELTZER CM CAN 330ml (</t>
    </r>
    <r>
      <rPr>
        <b/>
        <sz val="14"/>
        <color theme="1"/>
        <rFont val="Calibri"/>
        <family val="2"/>
        <scheme val="minor"/>
      </rPr>
      <t>HSC</t>
    </r>
    <r>
      <rPr>
        <sz val="14"/>
        <color theme="1"/>
        <rFont val="Calibri"/>
        <family val="2"/>
        <scheme val="minor"/>
      </rPr>
      <t>)</t>
    </r>
  </si>
  <si>
    <r>
      <t>CERVEZA BLANCA 330ml (</t>
    </r>
    <r>
      <rPr>
        <b/>
        <sz val="14"/>
        <color theme="1"/>
        <rFont val="Calibri"/>
        <family val="2"/>
        <scheme val="minor"/>
      </rPr>
      <t>CBB</t>
    </r>
    <r>
      <rPr>
        <sz val="14"/>
        <color theme="1"/>
        <rFont val="Calibri"/>
        <family val="2"/>
        <scheme val="minor"/>
      </rPr>
      <t>)</t>
    </r>
  </si>
  <si>
    <r>
      <t>CHOCOLATE LAGER CAN 330ml (</t>
    </r>
    <r>
      <rPr>
        <b/>
        <sz val="14"/>
        <color theme="1"/>
        <rFont val="Calibri"/>
        <family val="2"/>
        <scheme val="minor"/>
      </rPr>
      <t>CLC</t>
    </r>
    <r>
      <rPr>
        <sz val="14"/>
        <color theme="1"/>
        <rFont val="Calibri"/>
        <family val="2"/>
        <scheme val="minor"/>
      </rPr>
      <t>)</t>
    </r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</si>
  <si>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</si>
  <si>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</si>
  <si>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</si>
  <si>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</si>
  <si>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</si>
  <si>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</si>
  <si>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</si>
  <si>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</si>
  <si>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</si>
  <si>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</si>
  <si>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</si>
  <si>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</si>
  <si>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</si>
  <si>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</si>
  <si>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</si>
  <si>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</si>
  <si>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</si>
  <si>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</si>
  <si>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</si>
  <si>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</si>
  <si>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</si>
  <si>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</si>
  <si>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</si>
  <si>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</si>
  <si>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</si>
  <si>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</si>
  <si>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</si>
  <si>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</si>
  <si>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</si>
  <si>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</si>
  <si>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</si>
  <si>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</si>
  <si>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</si>
  <si>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</si>
  <si>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</si>
  <si>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</si>
  <si>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</si>
  <si>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</si>
  <si>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</si>
  <si>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</si>
  <si>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</si>
  <si>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</si>
  <si>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</si>
  <si>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</si>
  <si>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r>
      <t>RED HORSE SUPER 1000ml (</t>
    </r>
    <r>
      <rPr>
        <b/>
        <sz val="14"/>
        <color theme="1"/>
        <rFont val="Calibri"/>
        <family val="2"/>
        <scheme val="minor"/>
      </rPr>
      <t>RHSL</t>
    </r>
    <r>
      <rPr>
        <sz val="14"/>
        <color theme="1"/>
        <rFont val="Calibri"/>
        <family val="2"/>
        <scheme val="minor"/>
      </rPr>
      <t>)</t>
    </r>
  </si>
  <si>
    <t>as of January 01, 2025</t>
  </si>
  <si>
    <r>
      <t>SAN MIG LIGHT 1000ml (</t>
    </r>
    <r>
      <rPr>
        <b/>
        <sz val="14"/>
        <color theme="1"/>
        <rFont val="Calibri"/>
        <family val="2"/>
        <scheme val="minor"/>
      </rPr>
      <t>SMLO</t>
    </r>
    <r>
      <rPr>
        <sz val="14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</si>
</sst>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/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164" fontId="5" fillId="0" borderId="0" xfId="1" applyFont="1"/>
    <xf numFmtId="0" fontId="5" fillId="0" borderId="0" xfId="0" applyFont="1"/>
    <xf numFmtId="0" fontId="5" fillId="0" borderId="2" xfId="0" applyFont="1" applyBorder="1"/>
    <xf numFmtId="164" fontId="5" fillId="0" borderId="2" xfId="1" applyFont="1" applyBorder="1"/>
    <xf numFmtId="164" fontId="5" fillId="0" borderId="0" xfId="0" applyNumberFormat="1" applyFont="1"/>
    <xf numFmtId="0" fontId="3" fillId="0" borderId="1" xfId="0" applyFont="1" applyBorder="1" applyAlignment="1"/>
    <xf numFmtId="0" fontId="6" fillId="0" borderId="0" xfId="0" applyFont="1"/>
    <xf numFmtId="0" fontId="6" fillId="0" borderId="0" xfId="0" applyFont="1" applyAlignment="1">
      <alignment horizontal="center"/>
    </xf>
    <xf numFmtId="164" fontId="6" fillId="0" borderId="0" xfId="1" applyFont="1"/>
    <xf numFmtId="164" fontId="6" fillId="0" borderId="0" xfId="1" applyFont="1" applyAlignment="1">
      <alignment horizontal="center"/>
    </xf>
    <xf numFmtId="0" fontId="6" fillId="0" borderId="2" xfId="0" applyFont="1" applyBorder="1"/>
    <xf numFmtId="164" fontId="6" fillId="0" borderId="2" xfId="1" applyFont="1" applyBorder="1"/>
    <xf numFmtId="0" fontId="6" fillId="0" borderId="2" xfId="0" applyFont="1" applyBorder="1" applyAlignment="1">
      <alignment horizontal="center"/>
    </xf>
    <xf numFmtId="2" fontId="6" fillId="0" borderId="0" xfId="1" applyNumberFormat="1" applyFont="1" applyAlignment="1">
      <alignment horizontal="center"/>
    </xf>
    <xf numFmtId="2" fontId="5" fillId="0" borderId="0" xfId="0" applyNumberFormat="1" applyFont="1"/>
    <xf numFmtId="2" fontId="6" fillId="0" borderId="0" xfId="1" applyNumberFormat="1" applyFont="1"/>
    <xf numFmtId="2" fontId="6" fillId="0" borderId="0" xfId="0" applyNumberFormat="1" applyFont="1"/>
    <xf numFmtId="164" fontId="6" fillId="0" borderId="0" xfId="1" applyFont="1" applyBorder="1"/>
    <xf numFmtId="164" fontId="5" fillId="0" borderId="0" xfId="1" applyFont="1" applyBorder="1"/>
    <xf numFmtId="0" fontId="5" fillId="0" borderId="0" xfId="0" applyFont="1" applyBorder="1"/>
    <xf numFmtId="49" fontId="6" fillId="0" borderId="0" xfId="0" applyNumberFormat="1" applyFont="1"/>
    <xf numFmtId="49" fontId="6" fillId="0" borderId="0" xfId="0" applyNumberFormat="1" applyFont="1" applyAlignment="1">
      <alignment horizontal="left"/>
    </xf>
    <xf numFmtId="0" fontId="6" fillId="0" borderId="0" xfId="0" applyFont="1" applyBorder="1"/>
    <xf numFmtId="0" fontId="6" fillId="0" borderId="5" xfId="0" applyFont="1" applyBorder="1"/>
    <xf numFmtId="164" fontId="6" fillId="0" borderId="5" xfId="1" applyFont="1" applyBorder="1"/>
    <xf numFmtId="0" fontId="6" fillId="0" borderId="5" xfId="0" applyFont="1" applyBorder="1" applyAlignment="1">
      <alignment horizontal="center"/>
    </xf>
    <xf numFmtId="164" fontId="5" fillId="0" borderId="5" xfId="1" applyFont="1" applyBorder="1"/>
    <xf numFmtId="0" fontId="5" fillId="0" borderId="5" xfId="0" applyFont="1" applyBorder="1"/>
    <xf numFmtId="0" fontId="6" fillId="0" borderId="0" xfId="0" applyFont="1" applyFill="1"/>
    <xf numFmtId="0" fontId="6" fillId="0" borderId="2" xfId="0" applyFont="1" applyFill="1" applyBorder="1"/>
    <xf numFmtId="164" fontId="6" fillId="0" borderId="2" xfId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0" fillId="0" borderId="0" xfId="0" applyBorder="1"/>
    <xf numFmtId="0" fontId="6" fillId="0" borderId="6" xfId="0" applyFont="1" applyBorder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579120</xdr:colOff>
      <xdr:row>2</xdr:row>
      <xdr:rowOff>137159</xdr:rowOff>
    </xdr:to>
    <xdr:pic>
      <xdr:nvPicPr>
        <xdr:cNvPr id="3" name="Picture 2" descr="SMBrew_HSes_3c">
          <a:extLst>
            <a:ext uri="{FF2B5EF4-FFF2-40B4-BE49-F238E27FC236}">
              <a16:creationId xmlns:a16="http://schemas.microsoft.com/office/drawing/2014/main" id="{AA809B08-B670-41E1-93B6-6681BD635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122295" cy="5657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9"/>
  <sheetViews>
    <sheetView showGridLines="0" tabSelected="1" view="pageBreakPreview" zoomScaleNormal="100" zoomScaleSheetLayoutView="100" workbookViewId="0">
      <pane xSplit="2" ySplit="9" topLeftCell="C10" activePane="bottomRight" state="frozen"/>
      <selection pane="topRight" activeCell="C1" sqref="C1"/>
      <selection pane="bottomLeft" activeCell="A8" sqref="A8"/>
      <selection pane="bottomRight" activeCell="C20" sqref="C20"/>
    </sheetView>
  </sheetViews>
  <sheetFormatPr defaultRowHeight="15" x14ac:dyDescent="0.25"/>
  <cols>
    <col min="1" max="1" width="4.5703125" customWidth="1"/>
    <col min="2" max="2" width="52.5703125" bestFit="1" customWidth="1"/>
    <col min="3" max="3" width="13" bestFit="1" customWidth="1"/>
    <col min="4" max="4" width="8.7109375" style="1" customWidth="1"/>
    <col min="5" max="7" width="10.85546875" bestFit="1" customWidth="1"/>
    <col min="8" max="9" width="8.7109375" customWidth="1"/>
    <col min="10" max="10" width="1.7109375" customWidth="1"/>
    <col min="11" max="11" width="10.85546875" bestFit="1" customWidth="1"/>
  </cols>
  <sheetData>
    <row r="1" spans="1:11" ht="18.75" x14ac:dyDescent="0.3">
      <c r="A1" s="2"/>
      <c r="B1" s="12"/>
      <c r="C1" s="12"/>
      <c r="D1" s="13"/>
      <c r="E1" s="12"/>
      <c r="F1" s="12"/>
      <c r="G1" s="12"/>
    </row>
    <row r="2" spans="1:11" ht="18.75" x14ac:dyDescent="0.3">
      <c r="A2" s="12"/>
      <c r="B2" s="12"/>
      <c r="C2" s="12"/>
      <c r="D2" s="13"/>
      <c r="E2" s="12"/>
      <c r="F2" s="12"/>
      <c r="G2" s="12"/>
    </row>
    <row r="3" spans="1:11" ht="18.75" x14ac:dyDescent="0.3">
      <c r="A3" s="12"/>
      <c r="B3" s="12"/>
      <c r="C3" s="12"/>
      <c r="D3" s="13"/>
      <c r="E3" s="12"/>
      <c r="F3" s="12"/>
      <c r="G3" s="12"/>
    </row>
    <row r="4" spans="1:11" ht="18.75" x14ac:dyDescent="0.3">
      <c r="A4" s="3" t="s">
        <v>8</v>
      </c>
      <c r="B4" s="3"/>
      <c r="C4" s="3"/>
      <c r="D4" s="3"/>
      <c r="E4" s="3"/>
      <c r="F4" s="3"/>
      <c r="G4" s="3"/>
    </row>
    <row r="5" spans="1:11" ht="18.75" x14ac:dyDescent="0.3">
      <c r="A5" s="12" t="s">
        <v>102</v>
      </c>
      <c r="B5" s="12"/>
      <c r="C5" s="12"/>
      <c r="D5" s="13"/>
      <c r="E5" s="12"/>
      <c r="F5" s="12"/>
      <c r="G5" s="12"/>
    </row>
    <row r="6" spans="1:11" ht="18.75" x14ac:dyDescent="0.3">
      <c r="A6" s="12"/>
      <c r="B6" s="12"/>
      <c r="C6" s="12"/>
      <c r="D6" s="13"/>
      <c r="E6" s="12"/>
      <c r="F6" s="12"/>
      <c r="G6" s="12"/>
    </row>
    <row r="7" spans="1:11" ht="15.75" x14ac:dyDescent="0.25">
      <c r="A7" s="41" t="s">
        <v>0</v>
      </c>
      <c r="B7" s="41"/>
      <c r="C7" s="40" t="s">
        <v>12</v>
      </c>
      <c r="D7" s="40" t="s">
        <v>10</v>
      </c>
      <c r="E7" s="40" t="s">
        <v>3</v>
      </c>
      <c r="F7" s="40" t="s">
        <v>11</v>
      </c>
      <c r="G7" s="42" t="s">
        <v>15</v>
      </c>
      <c r="H7" s="11"/>
      <c r="I7" s="11"/>
      <c r="K7" s="40" t="s">
        <v>13</v>
      </c>
    </row>
    <row r="8" spans="1:11" ht="31.5" x14ac:dyDescent="0.25">
      <c r="A8" s="41"/>
      <c r="B8" s="41"/>
      <c r="C8" s="40"/>
      <c r="D8" s="40"/>
      <c r="E8" s="40"/>
      <c r="F8" s="40"/>
      <c r="G8" s="43"/>
      <c r="H8" s="4" t="s">
        <v>6</v>
      </c>
      <c r="I8" s="4" t="s">
        <v>7</v>
      </c>
      <c r="K8" s="40"/>
    </row>
    <row r="9" spans="1:11" ht="3.75" customHeight="1" x14ac:dyDescent="0.3">
      <c r="A9" s="2"/>
      <c r="B9" s="12"/>
      <c r="C9" s="12"/>
      <c r="D9" s="13"/>
      <c r="E9" s="12"/>
      <c r="F9" s="12"/>
      <c r="G9" s="12"/>
      <c r="H9" s="5"/>
      <c r="I9" s="5"/>
      <c r="K9" s="5"/>
    </row>
    <row r="10" spans="1:11" ht="18.75" x14ac:dyDescent="0.3">
      <c r="A10" s="2" t="s">
        <v>1</v>
      </c>
      <c r="B10" s="14"/>
      <c r="C10" s="12"/>
      <c r="D10" s="15"/>
      <c r="E10" s="14"/>
      <c r="F10" s="12"/>
      <c r="G10" s="12"/>
      <c r="H10" s="7"/>
      <c r="I10" s="7"/>
      <c r="J10" s="7"/>
      <c r="K10" s="7"/>
    </row>
    <row r="11" spans="1:11" ht="18.75" x14ac:dyDescent="0.3">
      <c r="A11" s="26" t="s">
        <v>57</v>
      </c>
      <c r="B11" s="12" t="s">
        <v>16</v>
      </c>
      <c r="C11" s="14">
        <v>500</v>
      </c>
      <c r="D11" s="13">
        <v>24</v>
      </c>
      <c r="E11" s="14">
        <f t="shared" ref="E11:E21" si="0">C11/D11</f>
        <v>20.833333333333332</v>
      </c>
      <c r="F11" s="14">
        <v>27</v>
      </c>
      <c r="G11" s="14">
        <v>120</v>
      </c>
      <c r="H11" s="6">
        <v>84</v>
      </c>
      <c r="I11" s="6">
        <v>1.5</v>
      </c>
      <c r="J11" s="7"/>
      <c r="K11" s="6">
        <f>C11/2</f>
        <v>250</v>
      </c>
    </row>
    <row r="12" spans="1:11" ht="19.5" thickBot="1" x14ac:dyDescent="0.35">
      <c r="A12" s="26" t="s">
        <v>58</v>
      </c>
      <c r="B12" s="16" t="s">
        <v>17</v>
      </c>
      <c r="C12" s="17">
        <v>500</v>
      </c>
      <c r="D12" s="18">
        <v>24</v>
      </c>
      <c r="E12" s="17">
        <f t="shared" si="0"/>
        <v>20.833333333333332</v>
      </c>
      <c r="F12" s="17">
        <v>27</v>
      </c>
      <c r="G12" s="17">
        <v>120</v>
      </c>
      <c r="H12" s="9">
        <v>84</v>
      </c>
      <c r="I12" s="9">
        <v>1.5</v>
      </c>
      <c r="J12" s="8"/>
      <c r="K12" s="9">
        <f t="shared" ref="K12" si="1">C12/2</f>
        <v>250</v>
      </c>
    </row>
    <row r="13" spans="1:11" ht="18.75" x14ac:dyDescent="0.3">
      <c r="A13" s="26" t="s">
        <v>59</v>
      </c>
      <c r="B13" s="12" t="s">
        <v>18</v>
      </c>
      <c r="C13" s="14">
        <v>650</v>
      </c>
      <c r="D13" s="13">
        <v>24</v>
      </c>
      <c r="E13" s="14">
        <f t="shared" si="0"/>
        <v>27.083333333333332</v>
      </c>
      <c r="F13" s="14">
        <v>34</v>
      </c>
      <c r="G13" s="15" t="s">
        <v>4</v>
      </c>
      <c r="H13" s="7"/>
      <c r="I13" s="7"/>
      <c r="J13" s="7"/>
      <c r="K13" s="6"/>
    </row>
    <row r="14" spans="1:11" ht="18.75" x14ac:dyDescent="0.3">
      <c r="A14" s="26" t="s">
        <v>60</v>
      </c>
      <c r="B14" s="12" t="s">
        <v>19</v>
      </c>
      <c r="C14" s="14">
        <v>650</v>
      </c>
      <c r="D14" s="13">
        <v>24</v>
      </c>
      <c r="E14" s="14">
        <f t="shared" si="0"/>
        <v>27.083333333333332</v>
      </c>
      <c r="F14" s="14">
        <v>34</v>
      </c>
      <c r="G14" s="15" t="s">
        <v>4</v>
      </c>
      <c r="H14" s="7"/>
      <c r="I14" s="7"/>
      <c r="J14" s="7"/>
      <c r="K14" s="6"/>
    </row>
    <row r="15" spans="1:11" ht="18.75" x14ac:dyDescent="0.3">
      <c r="A15" s="26" t="s">
        <v>61</v>
      </c>
      <c r="B15" s="12" t="s">
        <v>20</v>
      </c>
      <c r="C15" s="14">
        <v>650</v>
      </c>
      <c r="D15" s="13">
        <v>24</v>
      </c>
      <c r="E15" s="14">
        <f t="shared" si="0"/>
        <v>27.083333333333332</v>
      </c>
      <c r="F15" s="14">
        <v>34</v>
      </c>
      <c r="G15" s="15" t="s">
        <v>4</v>
      </c>
      <c r="H15" s="7"/>
      <c r="I15" s="7"/>
      <c r="J15" s="7"/>
      <c r="K15" s="6"/>
    </row>
    <row r="16" spans="1:11" ht="18.75" x14ac:dyDescent="0.3">
      <c r="A16" s="26"/>
      <c r="B16" s="2" t="s">
        <v>5</v>
      </c>
      <c r="C16" s="14"/>
      <c r="D16" s="13"/>
      <c r="E16" s="14"/>
      <c r="F16" s="14"/>
      <c r="G16" s="15"/>
      <c r="H16" s="7"/>
      <c r="I16" s="7"/>
      <c r="J16" s="7"/>
      <c r="K16" s="6"/>
    </row>
    <row r="17" spans="1:12" ht="18.75" x14ac:dyDescent="0.3">
      <c r="A17" s="26" t="s">
        <v>62</v>
      </c>
      <c r="B17" s="12" t="s">
        <v>21</v>
      </c>
      <c r="C17" s="14">
        <v>229</v>
      </c>
      <c r="D17" s="13">
        <v>24</v>
      </c>
      <c r="E17" s="14">
        <f t="shared" si="0"/>
        <v>9.5416666666666661</v>
      </c>
      <c r="F17" s="14">
        <v>10</v>
      </c>
      <c r="G17" s="14">
        <v>78</v>
      </c>
      <c r="H17" s="6">
        <v>42</v>
      </c>
      <c r="I17" s="6">
        <v>1.5</v>
      </c>
      <c r="J17" s="10"/>
      <c r="K17" s="6">
        <f t="shared" ref="K17:K21" si="2">C17/2</f>
        <v>114.5</v>
      </c>
    </row>
    <row r="18" spans="1:12" ht="19.5" thickBot="1" x14ac:dyDescent="0.35">
      <c r="A18" s="26" t="s">
        <v>63</v>
      </c>
      <c r="B18" s="16" t="s">
        <v>22</v>
      </c>
      <c r="C18" s="17">
        <v>229</v>
      </c>
      <c r="D18" s="18">
        <v>24</v>
      </c>
      <c r="E18" s="17">
        <f t="shared" si="0"/>
        <v>9.5416666666666661</v>
      </c>
      <c r="F18" s="17">
        <v>10</v>
      </c>
      <c r="G18" s="17">
        <v>78</v>
      </c>
      <c r="H18" s="9">
        <v>42</v>
      </c>
      <c r="I18" s="9">
        <v>1.5</v>
      </c>
      <c r="J18" s="8"/>
      <c r="K18" s="9">
        <f t="shared" si="2"/>
        <v>114.5</v>
      </c>
    </row>
    <row r="19" spans="1:12" ht="18.75" x14ac:dyDescent="0.3">
      <c r="A19" s="26" t="s">
        <v>64</v>
      </c>
      <c r="B19" s="12" t="s">
        <v>23</v>
      </c>
      <c r="C19" s="14">
        <v>229</v>
      </c>
      <c r="D19" s="13">
        <v>24</v>
      </c>
      <c r="E19" s="14">
        <f t="shared" si="0"/>
        <v>9.5416666666666661</v>
      </c>
      <c r="F19" s="14">
        <v>10</v>
      </c>
      <c r="G19" s="14">
        <v>78</v>
      </c>
      <c r="H19" s="6">
        <v>42</v>
      </c>
      <c r="I19" s="6">
        <v>1.5</v>
      </c>
      <c r="J19" s="7"/>
      <c r="K19" s="6">
        <f t="shared" si="2"/>
        <v>114.5</v>
      </c>
    </row>
    <row r="20" spans="1:12" ht="18.75" x14ac:dyDescent="0.3">
      <c r="A20" s="26" t="s">
        <v>65</v>
      </c>
      <c r="B20" s="12" t="s">
        <v>2</v>
      </c>
      <c r="C20" s="14">
        <v>229</v>
      </c>
      <c r="D20" s="13">
        <v>24</v>
      </c>
      <c r="E20" s="14">
        <f t="shared" si="0"/>
        <v>9.5416666666666661</v>
      </c>
      <c r="F20" s="14">
        <v>10</v>
      </c>
      <c r="G20" s="14">
        <v>78</v>
      </c>
      <c r="H20" s="6">
        <v>42</v>
      </c>
      <c r="I20" s="6">
        <v>1.5</v>
      </c>
      <c r="J20" s="7"/>
      <c r="K20" s="6">
        <f t="shared" si="2"/>
        <v>114.5</v>
      </c>
    </row>
    <row r="21" spans="1:12" ht="18.75" x14ac:dyDescent="0.3">
      <c r="A21" s="26" t="s">
        <v>66</v>
      </c>
      <c r="B21" s="12" t="s">
        <v>9</v>
      </c>
      <c r="C21" s="14">
        <v>229</v>
      </c>
      <c r="D21" s="13">
        <v>24</v>
      </c>
      <c r="E21" s="14">
        <f t="shared" si="0"/>
        <v>9.5416666666666661</v>
      </c>
      <c r="F21" s="14">
        <v>10</v>
      </c>
      <c r="G21" s="14">
        <v>78</v>
      </c>
      <c r="H21" s="6">
        <v>42</v>
      </c>
      <c r="I21" s="6">
        <v>1.5</v>
      </c>
      <c r="J21" s="7"/>
      <c r="K21" s="6">
        <f t="shared" si="2"/>
        <v>114.5</v>
      </c>
    </row>
    <row r="22" spans="1:12" ht="18.75" x14ac:dyDescent="0.3">
      <c r="A22" s="12"/>
      <c r="B22" s="12"/>
      <c r="C22" s="12"/>
      <c r="D22" s="13"/>
      <c r="E22" s="12"/>
      <c r="F22" s="12"/>
      <c r="G22" s="12"/>
      <c r="H22" s="7"/>
      <c r="I22" s="7"/>
      <c r="J22" s="7"/>
      <c r="K22" s="7"/>
    </row>
    <row r="23" spans="1:12" ht="18.75" x14ac:dyDescent="0.3">
      <c r="A23" s="2" t="s">
        <v>14</v>
      </c>
      <c r="B23" s="12"/>
      <c r="C23" s="12"/>
      <c r="D23" s="13"/>
      <c r="E23" s="12"/>
      <c r="F23" s="12"/>
      <c r="G23" s="12"/>
      <c r="H23" s="7"/>
      <c r="I23" s="7"/>
      <c r="J23" s="7"/>
      <c r="K23" s="7"/>
    </row>
    <row r="24" spans="1:12" ht="19.5" thickBot="1" x14ac:dyDescent="0.35">
      <c r="A24" s="27" t="s">
        <v>67</v>
      </c>
      <c r="B24" s="12" t="s">
        <v>52</v>
      </c>
      <c r="C24" s="17">
        <v>1582</v>
      </c>
      <c r="D24" s="18">
        <v>24</v>
      </c>
      <c r="E24" s="17">
        <f t="shared" ref="E24" si="3">C24/D24</f>
        <v>65.916666666666671</v>
      </c>
      <c r="F24" s="17">
        <v>76</v>
      </c>
      <c r="G24" s="17">
        <v>120</v>
      </c>
      <c r="H24" s="9">
        <v>84</v>
      </c>
      <c r="I24" s="9">
        <v>1.5</v>
      </c>
      <c r="J24" s="8"/>
      <c r="K24" s="9">
        <f t="shared" ref="K24" si="4">C24/2</f>
        <v>791</v>
      </c>
    </row>
    <row r="25" spans="1:12" ht="18.75" x14ac:dyDescent="0.3">
      <c r="A25" s="26" t="s">
        <v>68</v>
      </c>
      <c r="B25" s="39" t="s">
        <v>24</v>
      </c>
      <c r="C25" s="14">
        <v>1582</v>
      </c>
      <c r="D25" s="13">
        <v>24</v>
      </c>
      <c r="E25" s="14">
        <f t="shared" ref="E25:E34" si="5">C25/D25</f>
        <v>65.916666666666671</v>
      </c>
      <c r="F25" s="14">
        <v>75</v>
      </c>
      <c r="G25" s="19"/>
      <c r="H25" s="20"/>
      <c r="I25" s="20"/>
      <c r="J25" s="7"/>
      <c r="K25" s="6"/>
    </row>
    <row r="26" spans="1:12" ht="18.75" x14ac:dyDescent="0.3">
      <c r="A26" s="26" t="s">
        <v>69</v>
      </c>
      <c r="B26" s="12" t="s">
        <v>53</v>
      </c>
      <c r="C26" s="14">
        <v>1728</v>
      </c>
      <c r="D26" s="13">
        <v>24</v>
      </c>
      <c r="E26" s="14">
        <f t="shared" si="5"/>
        <v>72</v>
      </c>
      <c r="F26" s="14">
        <v>83</v>
      </c>
      <c r="G26" s="21"/>
      <c r="H26" s="20"/>
      <c r="I26" s="20"/>
      <c r="J26" s="7"/>
      <c r="K26" s="6">
        <f t="shared" ref="K26" si="6">C26/2</f>
        <v>864</v>
      </c>
    </row>
    <row r="27" spans="1:12" ht="18.75" x14ac:dyDescent="0.3">
      <c r="A27" s="26" t="s">
        <v>70</v>
      </c>
      <c r="B27" s="12" t="s">
        <v>25</v>
      </c>
      <c r="C27" s="14">
        <v>1770</v>
      </c>
      <c r="D27" s="13">
        <v>24</v>
      </c>
      <c r="E27" s="14">
        <f t="shared" si="5"/>
        <v>73.75</v>
      </c>
      <c r="F27" s="14">
        <v>83</v>
      </c>
      <c r="G27" s="19"/>
      <c r="H27" s="20"/>
      <c r="I27" s="20"/>
      <c r="J27" s="7"/>
      <c r="K27" s="6"/>
    </row>
    <row r="28" spans="1:12" ht="18.75" x14ac:dyDescent="0.3">
      <c r="A28" s="26" t="s">
        <v>71</v>
      </c>
      <c r="B28" s="12" t="s">
        <v>26</v>
      </c>
      <c r="C28" s="14">
        <v>1582</v>
      </c>
      <c r="D28" s="13">
        <v>24</v>
      </c>
      <c r="E28" s="14">
        <f t="shared" si="5"/>
        <v>65.916666666666671</v>
      </c>
      <c r="F28" s="14">
        <v>76</v>
      </c>
      <c r="G28" s="22"/>
      <c r="H28" s="20"/>
      <c r="I28" s="20"/>
      <c r="J28" s="7"/>
      <c r="K28" s="6"/>
    </row>
    <row r="29" spans="1:12" ht="18.75" x14ac:dyDescent="0.3">
      <c r="A29" s="26" t="s">
        <v>72</v>
      </c>
      <c r="B29" s="12" t="s">
        <v>55</v>
      </c>
      <c r="C29" s="23">
        <v>1582</v>
      </c>
      <c r="D29" s="37">
        <v>24</v>
      </c>
      <c r="E29" s="23">
        <f t="shared" ref="E29" si="7">C29/D29</f>
        <v>65.916666666666671</v>
      </c>
      <c r="F29" s="23">
        <v>76</v>
      </c>
      <c r="G29" s="23">
        <v>120</v>
      </c>
      <c r="H29" s="24">
        <v>84</v>
      </c>
      <c r="I29" s="24">
        <v>1.5</v>
      </c>
      <c r="J29" s="25"/>
      <c r="K29" s="24">
        <f t="shared" ref="K29" si="8">C29/2</f>
        <v>791</v>
      </c>
      <c r="L29" s="38"/>
    </row>
    <row r="30" spans="1:12" ht="19.5" thickBot="1" x14ac:dyDescent="0.35">
      <c r="A30" s="26" t="s">
        <v>73</v>
      </c>
      <c r="B30" s="16" t="s">
        <v>27</v>
      </c>
      <c r="C30" s="17">
        <v>1582</v>
      </c>
      <c r="D30" s="18">
        <v>24</v>
      </c>
      <c r="E30" s="17">
        <f t="shared" si="5"/>
        <v>65.916666666666671</v>
      </c>
      <c r="F30" s="17">
        <v>76</v>
      </c>
      <c r="G30" s="17">
        <v>120</v>
      </c>
      <c r="H30" s="9">
        <v>84</v>
      </c>
      <c r="I30" s="9">
        <v>1.5</v>
      </c>
      <c r="J30" s="8"/>
      <c r="K30" s="9">
        <f t="shared" ref="K30:K57" si="9">C30/2</f>
        <v>791</v>
      </c>
    </row>
    <row r="31" spans="1:12" ht="18.75" x14ac:dyDescent="0.3">
      <c r="A31" s="26" t="s">
        <v>74</v>
      </c>
      <c r="B31" s="28" t="s">
        <v>28</v>
      </c>
      <c r="C31" s="23">
        <v>1582</v>
      </c>
      <c r="D31" s="13">
        <v>24</v>
      </c>
      <c r="E31" s="14">
        <f t="shared" si="5"/>
        <v>65.916666666666671</v>
      </c>
      <c r="F31" s="14">
        <v>76</v>
      </c>
      <c r="G31" s="15"/>
      <c r="H31" s="7"/>
      <c r="I31" s="7"/>
      <c r="J31" s="7"/>
      <c r="K31" s="6"/>
    </row>
    <row r="32" spans="1:12" ht="18.75" x14ac:dyDescent="0.3">
      <c r="A32" s="26" t="s">
        <v>75</v>
      </c>
      <c r="B32" s="12" t="s">
        <v>29</v>
      </c>
      <c r="C32" s="23">
        <v>1582</v>
      </c>
      <c r="D32" s="37">
        <v>24</v>
      </c>
      <c r="E32" s="23">
        <f t="shared" ref="E32" si="10">C32/D32</f>
        <v>65.916666666666671</v>
      </c>
      <c r="F32" s="23">
        <v>76</v>
      </c>
      <c r="G32" s="23">
        <v>120</v>
      </c>
      <c r="H32" s="24">
        <v>84</v>
      </c>
      <c r="I32" s="24">
        <v>1.5</v>
      </c>
      <c r="J32" s="25"/>
      <c r="K32" s="24">
        <f t="shared" ref="K32" si="11">C32/2</f>
        <v>791</v>
      </c>
    </row>
    <row r="33" spans="1:11" ht="18.75" x14ac:dyDescent="0.3">
      <c r="A33" s="26" t="s">
        <v>76</v>
      </c>
      <c r="B33" s="12" t="s">
        <v>56</v>
      </c>
      <c r="C33" s="14">
        <v>1582</v>
      </c>
      <c r="D33" s="13">
        <v>24</v>
      </c>
      <c r="E33" s="14">
        <f t="shared" si="5"/>
        <v>65.916666666666671</v>
      </c>
      <c r="F33" s="14">
        <v>76</v>
      </c>
      <c r="G33" s="14"/>
      <c r="H33" s="7"/>
      <c r="I33" s="7"/>
      <c r="J33" s="7"/>
      <c r="K33" s="6">
        <f t="shared" si="9"/>
        <v>791</v>
      </c>
    </row>
    <row r="34" spans="1:11" ht="18.75" hidden="1" x14ac:dyDescent="0.3">
      <c r="A34" s="26"/>
      <c r="B34" s="12" t="s">
        <v>103</v>
      </c>
      <c r="C34" s="23">
        <v>710</v>
      </c>
      <c r="D34" s="37">
        <v>6</v>
      </c>
      <c r="E34" s="23">
        <f t="shared" si="5"/>
        <v>118.33333333333333</v>
      </c>
      <c r="F34" s="23">
        <v>135</v>
      </c>
      <c r="G34" s="23">
        <v>111</v>
      </c>
      <c r="H34" s="24">
        <v>84</v>
      </c>
      <c r="I34" s="24">
        <v>4.5</v>
      </c>
      <c r="J34" s="25"/>
      <c r="K34" s="24">
        <f t="shared" ref="K34" si="12">C34/2</f>
        <v>355</v>
      </c>
    </row>
    <row r="35" spans="1:11" ht="18.75" x14ac:dyDescent="0.3">
      <c r="A35" s="26" t="s">
        <v>77</v>
      </c>
      <c r="B35" s="12" t="s">
        <v>30</v>
      </c>
      <c r="C35" s="14">
        <v>1157</v>
      </c>
      <c r="D35" s="13">
        <v>24</v>
      </c>
      <c r="E35" s="14">
        <f>C35/D35</f>
        <v>48.208333333333336</v>
      </c>
      <c r="F35" s="14">
        <v>55</v>
      </c>
      <c r="G35" s="14">
        <v>120</v>
      </c>
      <c r="H35" s="6">
        <v>84</v>
      </c>
      <c r="I35" s="6">
        <v>1.5</v>
      </c>
      <c r="J35" s="7"/>
      <c r="K35" s="6">
        <f t="shared" si="9"/>
        <v>578.5</v>
      </c>
    </row>
    <row r="36" spans="1:11" ht="19.5" thickBot="1" x14ac:dyDescent="0.35">
      <c r="A36" s="26" t="s">
        <v>78</v>
      </c>
      <c r="B36" s="16" t="s">
        <v>31</v>
      </c>
      <c r="C36" s="17">
        <v>1050</v>
      </c>
      <c r="D36" s="18">
        <v>24</v>
      </c>
      <c r="E36" s="17">
        <f>C36/D36</f>
        <v>43.75</v>
      </c>
      <c r="F36" s="17">
        <v>50</v>
      </c>
      <c r="G36" s="17">
        <v>120</v>
      </c>
      <c r="H36" s="9">
        <v>84</v>
      </c>
      <c r="I36" s="9">
        <v>1.5</v>
      </c>
      <c r="J36" s="8"/>
      <c r="K36" s="9">
        <f t="shared" si="9"/>
        <v>525</v>
      </c>
    </row>
    <row r="37" spans="1:11" ht="18.75" x14ac:dyDescent="0.3">
      <c r="A37" s="26" t="s">
        <v>79</v>
      </c>
      <c r="B37" s="12" t="s">
        <v>32</v>
      </c>
      <c r="C37" s="14">
        <v>1175</v>
      </c>
      <c r="D37" s="13">
        <v>24</v>
      </c>
      <c r="E37" s="14">
        <f>C37/D37</f>
        <v>48.958333333333336</v>
      </c>
      <c r="F37" s="14">
        <v>55</v>
      </c>
      <c r="G37" s="15" t="s">
        <v>4</v>
      </c>
      <c r="H37" s="7"/>
      <c r="I37" s="7"/>
      <c r="J37" s="7"/>
      <c r="K37" s="6"/>
    </row>
    <row r="38" spans="1:11" ht="18.75" x14ac:dyDescent="0.3">
      <c r="A38" s="26" t="s">
        <v>80</v>
      </c>
      <c r="B38" s="12" t="s">
        <v>33</v>
      </c>
      <c r="C38" s="14">
        <v>872</v>
      </c>
      <c r="D38" s="13">
        <v>24</v>
      </c>
      <c r="E38" s="14">
        <f>C38/D38</f>
        <v>36.333333333333336</v>
      </c>
      <c r="F38" s="14">
        <v>43</v>
      </c>
      <c r="G38" s="14">
        <v>120</v>
      </c>
      <c r="H38" s="6">
        <v>84</v>
      </c>
      <c r="I38" s="6">
        <v>1.5</v>
      </c>
      <c r="J38" s="7"/>
      <c r="K38" s="6">
        <f t="shared" si="9"/>
        <v>436</v>
      </c>
    </row>
    <row r="39" spans="1:11" ht="18.75" x14ac:dyDescent="0.3">
      <c r="A39" s="26" t="s">
        <v>81</v>
      </c>
      <c r="B39" s="12" t="s">
        <v>34</v>
      </c>
      <c r="C39" s="14">
        <v>872</v>
      </c>
      <c r="D39" s="13">
        <v>24</v>
      </c>
      <c r="E39" s="14">
        <f t="shared" ref="E39:E40" si="13">C39/D39</f>
        <v>36.333333333333336</v>
      </c>
      <c r="F39" s="14">
        <v>43</v>
      </c>
      <c r="G39" s="14">
        <v>120</v>
      </c>
      <c r="H39" s="6">
        <v>84</v>
      </c>
      <c r="I39" s="6">
        <v>1.5</v>
      </c>
      <c r="J39" s="7"/>
      <c r="K39" s="6">
        <f t="shared" ref="K39:K40" si="14">C39/2</f>
        <v>436</v>
      </c>
    </row>
    <row r="40" spans="1:11" ht="18.75" x14ac:dyDescent="0.3">
      <c r="A40" s="26" t="s">
        <v>82</v>
      </c>
      <c r="B40" s="12" t="s">
        <v>35</v>
      </c>
      <c r="C40" s="14">
        <v>872</v>
      </c>
      <c r="D40" s="13">
        <v>24</v>
      </c>
      <c r="E40" s="14">
        <f t="shared" si="13"/>
        <v>36.333333333333336</v>
      </c>
      <c r="F40" s="14">
        <v>43</v>
      </c>
      <c r="G40" s="14">
        <v>120</v>
      </c>
      <c r="H40" s="6">
        <v>84</v>
      </c>
      <c r="I40" s="6">
        <v>1.5</v>
      </c>
      <c r="J40" s="7"/>
      <c r="K40" s="6">
        <f t="shared" si="14"/>
        <v>436</v>
      </c>
    </row>
    <row r="41" spans="1:11" ht="18.75" x14ac:dyDescent="0.3">
      <c r="A41" s="26" t="s">
        <v>83</v>
      </c>
      <c r="B41" s="12" t="s">
        <v>36</v>
      </c>
      <c r="C41" s="14">
        <v>1102</v>
      </c>
      <c r="D41" s="13">
        <v>24</v>
      </c>
      <c r="E41" s="14">
        <f t="shared" ref="E41:E42" si="15">C41/D41</f>
        <v>45.916666666666664</v>
      </c>
      <c r="F41" s="14">
        <v>53</v>
      </c>
      <c r="G41" s="15" t="s">
        <v>4</v>
      </c>
      <c r="H41" s="7"/>
      <c r="I41" s="7"/>
      <c r="J41" s="7"/>
      <c r="K41" s="6"/>
    </row>
    <row r="42" spans="1:11" ht="18.75" x14ac:dyDescent="0.3">
      <c r="A42" s="26" t="s">
        <v>84</v>
      </c>
      <c r="B42" s="12" t="s">
        <v>37</v>
      </c>
      <c r="C42" s="14">
        <v>1102</v>
      </c>
      <c r="D42" s="13">
        <v>24</v>
      </c>
      <c r="E42" s="14">
        <f t="shared" si="15"/>
        <v>45.916666666666664</v>
      </c>
      <c r="F42" s="14">
        <v>53</v>
      </c>
      <c r="G42" s="15" t="s">
        <v>4</v>
      </c>
      <c r="H42" s="7"/>
      <c r="I42" s="7"/>
      <c r="J42" s="7"/>
      <c r="K42" s="6"/>
    </row>
    <row r="43" spans="1:11" ht="19.5" thickBot="1" x14ac:dyDescent="0.35">
      <c r="A43" s="26" t="s">
        <v>85</v>
      </c>
      <c r="B43" s="16" t="s">
        <v>38</v>
      </c>
      <c r="C43" s="17">
        <v>1102</v>
      </c>
      <c r="D43" s="18">
        <v>24</v>
      </c>
      <c r="E43" s="17">
        <f>C43/D43</f>
        <v>45.916666666666664</v>
      </c>
      <c r="F43" s="17">
        <v>53</v>
      </c>
      <c r="G43" s="36" t="s">
        <v>4</v>
      </c>
      <c r="H43" s="8"/>
      <c r="I43" s="8"/>
      <c r="J43" s="8"/>
      <c r="K43" s="9"/>
    </row>
    <row r="44" spans="1:11" ht="18.75" x14ac:dyDescent="0.3">
      <c r="A44" s="26" t="s">
        <v>86</v>
      </c>
      <c r="B44" s="34" t="s">
        <v>39</v>
      </c>
      <c r="C44" s="14">
        <v>912</v>
      </c>
      <c r="D44" s="13">
        <v>24</v>
      </c>
      <c r="E44" s="14">
        <f t="shared" ref="E44:E53" si="16">C44/D44</f>
        <v>38</v>
      </c>
      <c r="F44" s="14">
        <v>48</v>
      </c>
      <c r="G44" s="14">
        <v>120</v>
      </c>
      <c r="H44" s="6">
        <v>84</v>
      </c>
      <c r="I44" s="6">
        <v>1.5</v>
      </c>
      <c r="J44" s="10"/>
      <c r="K44" s="6">
        <f t="shared" si="9"/>
        <v>456</v>
      </c>
    </row>
    <row r="45" spans="1:11" ht="18.75" x14ac:dyDescent="0.3">
      <c r="A45" s="26" t="s">
        <v>87</v>
      </c>
      <c r="B45" s="34" t="s">
        <v>40</v>
      </c>
      <c r="C45" s="14">
        <v>1122</v>
      </c>
      <c r="D45" s="13">
        <v>24</v>
      </c>
      <c r="E45" s="14">
        <f t="shared" si="16"/>
        <v>46.75</v>
      </c>
      <c r="F45" s="14">
        <v>55</v>
      </c>
      <c r="G45" s="14">
        <v>120</v>
      </c>
      <c r="H45" s="6">
        <v>84</v>
      </c>
      <c r="I45" s="6">
        <v>1.5</v>
      </c>
      <c r="J45" s="7"/>
      <c r="K45" s="6">
        <f t="shared" si="9"/>
        <v>561</v>
      </c>
    </row>
    <row r="46" spans="1:11" ht="19.5" thickBot="1" x14ac:dyDescent="0.35">
      <c r="A46" s="26" t="s">
        <v>88</v>
      </c>
      <c r="B46" s="35" t="s">
        <v>41</v>
      </c>
      <c r="C46" s="17">
        <v>622</v>
      </c>
      <c r="D46" s="18">
        <v>6</v>
      </c>
      <c r="E46" s="17">
        <f t="shared" si="16"/>
        <v>103.66666666666667</v>
      </c>
      <c r="F46" s="17">
        <v>120</v>
      </c>
      <c r="G46" s="17">
        <v>111</v>
      </c>
      <c r="H46" s="9">
        <v>84</v>
      </c>
      <c r="I46" s="9">
        <v>4.5</v>
      </c>
      <c r="J46" s="8"/>
      <c r="K46" s="9">
        <f t="shared" si="9"/>
        <v>311</v>
      </c>
    </row>
    <row r="47" spans="1:11" ht="18.75" x14ac:dyDescent="0.3">
      <c r="A47" s="26" t="s">
        <v>89</v>
      </c>
      <c r="B47" s="12" t="s">
        <v>42</v>
      </c>
      <c r="C47" s="14">
        <v>1175</v>
      </c>
      <c r="D47" s="13">
        <v>24</v>
      </c>
      <c r="E47" s="14">
        <f t="shared" si="16"/>
        <v>48.958333333333336</v>
      </c>
      <c r="F47" s="14">
        <v>55</v>
      </c>
      <c r="G47" s="15" t="s">
        <v>4</v>
      </c>
      <c r="H47" s="7"/>
      <c r="I47" s="7"/>
      <c r="J47" s="7"/>
      <c r="K47" s="6"/>
    </row>
    <row r="48" spans="1:11" ht="19.5" thickBot="1" x14ac:dyDescent="0.35">
      <c r="A48" s="26" t="s">
        <v>90</v>
      </c>
      <c r="B48" s="16" t="s">
        <v>43</v>
      </c>
      <c r="C48" s="17">
        <v>973</v>
      </c>
      <c r="D48" s="18">
        <v>24</v>
      </c>
      <c r="E48" s="17">
        <f t="shared" si="16"/>
        <v>40.541666666666664</v>
      </c>
      <c r="F48" s="17">
        <v>48</v>
      </c>
      <c r="G48" s="17">
        <v>120</v>
      </c>
      <c r="H48" s="9">
        <v>84</v>
      </c>
      <c r="I48" s="9">
        <v>1.5</v>
      </c>
      <c r="J48" s="8"/>
      <c r="K48" s="9">
        <f t="shared" si="9"/>
        <v>486.5</v>
      </c>
    </row>
    <row r="49" spans="1:11" ht="19.5" thickBot="1" x14ac:dyDescent="0.35">
      <c r="A49" s="26" t="s">
        <v>91</v>
      </c>
      <c r="B49" s="29" t="s">
        <v>44</v>
      </c>
      <c r="C49" s="30">
        <v>670</v>
      </c>
      <c r="D49" s="31">
        <v>12</v>
      </c>
      <c r="E49" s="30">
        <f t="shared" si="16"/>
        <v>55.833333333333336</v>
      </c>
      <c r="F49" s="30">
        <v>65</v>
      </c>
      <c r="G49" s="30">
        <v>111</v>
      </c>
      <c r="H49" s="32">
        <v>84</v>
      </c>
      <c r="I49" s="32">
        <v>4.5</v>
      </c>
      <c r="J49" s="33"/>
      <c r="K49" s="32">
        <f t="shared" si="9"/>
        <v>335</v>
      </c>
    </row>
    <row r="50" spans="1:11" ht="19.5" thickBot="1" x14ac:dyDescent="0.35">
      <c r="A50" s="26" t="s">
        <v>92</v>
      </c>
      <c r="B50" s="16" t="s">
        <v>45</v>
      </c>
      <c r="C50" s="17">
        <v>650</v>
      </c>
      <c r="D50" s="18">
        <v>6</v>
      </c>
      <c r="E50" s="17">
        <f t="shared" si="16"/>
        <v>108.33333333333333</v>
      </c>
      <c r="F50" s="17">
        <v>125</v>
      </c>
      <c r="G50" s="17">
        <v>111</v>
      </c>
      <c r="H50" s="9">
        <v>84</v>
      </c>
      <c r="I50" s="9">
        <v>4.5</v>
      </c>
      <c r="J50" s="8"/>
      <c r="K50" s="9">
        <f t="shared" si="9"/>
        <v>325</v>
      </c>
    </row>
    <row r="51" spans="1:11" ht="18.75" x14ac:dyDescent="0.3">
      <c r="A51" s="26" t="s">
        <v>93</v>
      </c>
      <c r="B51" s="12" t="s">
        <v>46</v>
      </c>
      <c r="C51" s="14">
        <v>1175</v>
      </c>
      <c r="D51" s="13">
        <v>24</v>
      </c>
      <c r="E51" s="14">
        <f t="shared" si="16"/>
        <v>48.958333333333336</v>
      </c>
      <c r="F51" s="14">
        <v>55</v>
      </c>
      <c r="G51" s="15" t="s">
        <v>4</v>
      </c>
      <c r="H51" s="7"/>
      <c r="I51" s="7"/>
      <c r="J51" s="7"/>
      <c r="K51" s="6"/>
    </row>
    <row r="52" spans="1:11" ht="18.75" x14ac:dyDescent="0.3">
      <c r="A52" s="26" t="s">
        <v>94</v>
      </c>
      <c r="B52" s="12" t="s">
        <v>47</v>
      </c>
      <c r="C52" s="14">
        <v>1667</v>
      </c>
      <c r="D52" s="13"/>
      <c r="E52" s="14"/>
      <c r="F52" s="14"/>
      <c r="G52" s="15"/>
      <c r="H52" s="7"/>
      <c r="I52" s="7"/>
      <c r="J52" s="7"/>
      <c r="K52" s="6"/>
    </row>
    <row r="53" spans="1:11" ht="19.5" thickBot="1" x14ac:dyDescent="0.35">
      <c r="A53" s="26" t="s">
        <v>95</v>
      </c>
      <c r="B53" s="16" t="s">
        <v>101</v>
      </c>
      <c r="C53" s="17">
        <v>700</v>
      </c>
      <c r="D53" s="18">
        <v>6</v>
      </c>
      <c r="E53" s="17">
        <f t="shared" si="16"/>
        <v>116.66666666666667</v>
      </c>
      <c r="F53" s="17">
        <v>135</v>
      </c>
      <c r="G53" s="17">
        <v>111</v>
      </c>
      <c r="H53" s="9">
        <v>84</v>
      </c>
      <c r="I53" s="9">
        <v>4.5</v>
      </c>
      <c r="J53" s="8"/>
      <c r="K53" s="9">
        <f t="shared" ref="K53" si="17">C53/2</f>
        <v>350</v>
      </c>
    </row>
    <row r="54" spans="1:11" ht="18.75" x14ac:dyDescent="0.3">
      <c r="A54" s="26" t="s">
        <v>96</v>
      </c>
      <c r="B54" s="12" t="s">
        <v>48</v>
      </c>
      <c r="C54" s="14">
        <v>1049</v>
      </c>
      <c r="D54" s="13">
        <v>24</v>
      </c>
      <c r="E54" s="14">
        <f t="shared" ref="E54:E55" si="18">C54/D54</f>
        <v>43.708333333333336</v>
      </c>
      <c r="F54" s="14">
        <v>53</v>
      </c>
      <c r="G54" s="14">
        <v>120</v>
      </c>
      <c r="H54" s="6">
        <v>84</v>
      </c>
      <c r="I54" s="6">
        <v>1.5</v>
      </c>
      <c r="J54" s="7"/>
      <c r="K54" s="6">
        <f t="shared" si="9"/>
        <v>524.5</v>
      </c>
    </row>
    <row r="55" spans="1:11" ht="18.75" x14ac:dyDescent="0.3">
      <c r="A55" s="26" t="s">
        <v>97</v>
      </c>
      <c r="B55" s="12" t="s">
        <v>49</v>
      </c>
      <c r="C55" s="14">
        <v>1102</v>
      </c>
      <c r="D55" s="13">
        <v>24</v>
      </c>
      <c r="E55" s="14">
        <f t="shared" si="18"/>
        <v>45.916666666666664</v>
      </c>
      <c r="F55" s="14">
        <v>53</v>
      </c>
      <c r="G55" s="15" t="s">
        <v>4</v>
      </c>
      <c r="H55" s="7"/>
      <c r="I55" s="7"/>
      <c r="J55" s="7"/>
      <c r="K55" s="6"/>
    </row>
    <row r="56" spans="1:11" ht="18.75" x14ac:dyDescent="0.3">
      <c r="A56" s="26" t="s">
        <v>98</v>
      </c>
      <c r="B56" s="12" t="s">
        <v>50</v>
      </c>
      <c r="C56" s="14">
        <v>723</v>
      </c>
      <c r="D56" s="13">
        <v>24</v>
      </c>
      <c r="E56" s="14">
        <f t="shared" ref="E56:E57" si="19">C56/D56</f>
        <v>30.125</v>
      </c>
      <c r="F56" s="14">
        <v>36</v>
      </c>
      <c r="G56" s="14">
        <v>120</v>
      </c>
      <c r="H56" s="6">
        <v>84</v>
      </c>
      <c r="I56" s="6">
        <v>1.5</v>
      </c>
      <c r="J56" s="7"/>
      <c r="K56" s="6">
        <f t="shared" si="9"/>
        <v>361.5</v>
      </c>
    </row>
    <row r="57" spans="1:11" ht="18.75" x14ac:dyDescent="0.3">
      <c r="A57" s="26" t="s">
        <v>99</v>
      </c>
      <c r="B57" s="12" t="s">
        <v>51</v>
      </c>
      <c r="C57" s="14">
        <v>559</v>
      </c>
      <c r="D57" s="13">
        <v>6</v>
      </c>
      <c r="E57" s="14">
        <f t="shared" si="19"/>
        <v>93.166666666666671</v>
      </c>
      <c r="F57" s="14">
        <v>105</v>
      </c>
      <c r="G57" s="14">
        <v>111</v>
      </c>
      <c r="H57" s="6">
        <v>84</v>
      </c>
      <c r="I57" s="6">
        <v>4.5</v>
      </c>
      <c r="J57" s="7"/>
      <c r="K57" s="6">
        <f t="shared" si="9"/>
        <v>279.5</v>
      </c>
    </row>
    <row r="58" spans="1:11" ht="18.75" x14ac:dyDescent="0.3">
      <c r="A58" s="26" t="s">
        <v>100</v>
      </c>
      <c r="B58" s="12" t="s">
        <v>54</v>
      </c>
      <c r="C58" s="14">
        <v>1204</v>
      </c>
      <c r="D58" s="13">
        <v>24</v>
      </c>
      <c r="E58" s="14">
        <f t="shared" ref="E58" si="20">C58/D58</f>
        <v>50.166666666666664</v>
      </c>
      <c r="F58" s="14">
        <v>58</v>
      </c>
      <c r="G58" s="12"/>
      <c r="H58" s="7"/>
      <c r="I58" s="7"/>
      <c r="J58" s="7"/>
      <c r="K58" s="6"/>
    </row>
    <row r="59" spans="1:11" ht="18.75" x14ac:dyDescent="0.3">
      <c r="A59" s="12"/>
      <c r="B59" s="12"/>
      <c r="C59" s="12"/>
      <c r="D59" s="13"/>
      <c r="E59" s="12"/>
      <c r="F59" s="12"/>
      <c r="G59" s="12"/>
    </row>
  </sheetData>
  <mergeCells count="7">
    <mergeCell ref="K7:K8"/>
    <mergeCell ref="A7:B8"/>
    <mergeCell ref="C7:C8"/>
    <mergeCell ref="D7:D8"/>
    <mergeCell ref="E7:E8"/>
    <mergeCell ref="F7:F8"/>
    <mergeCell ref="G7:G8"/>
  </mergeCells>
  <printOptions horizontalCentered="1"/>
  <pageMargins left="0.19685039370078741" right="0.19685039370078741" top="0.19685039370078741" bottom="0.19685039370078741" header="0.31496062992125984" footer="0.31496062992125984"/>
  <pageSetup scale="72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User</cp:lastModifiedBy>
  <cp:lastPrinted>2026-01-08T09:05:01Z</cp:lastPrinted>
  <dcterms:created xsi:type="dcterms:W3CDTF">2015-07-27T23:54:48Z</dcterms:created>
  <dcterms:modified xsi:type="dcterms:W3CDTF">2026-01-08T09:05:09Z</dcterms:modified>
</cp:coreProperties>
</file>