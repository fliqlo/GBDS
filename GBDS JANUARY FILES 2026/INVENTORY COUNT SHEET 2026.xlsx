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JANUARY FILES 2026\"/>
    </mc:Choice>
  </mc:AlternateContent>
  <xr:revisionPtr revIDLastSave="0" documentId="13_ncr:1_{C9B47C95-A65F-4DC6-8048-CE11D9F176DD}" xr6:coauthVersionLast="45" xr6:coauthVersionMax="45" xr10:uidLastSave="{00000000-0000-0000-0000-000000000000}"/>
  <bookViews>
    <workbookView xWindow="-120" yWindow="-120" windowWidth="29040" windowHeight="15840" activeTab="3" xr2:uid="{D34C963E-9680-4B45-A4EE-B681FF0CEC08}"/>
  </bookViews>
  <sheets>
    <sheet name="COUNT SHEET" sheetId="9" r:id="rId1"/>
    <sheet name="COUNT SHEET VERT" sheetId="10" r:id="rId2"/>
    <sheet name="01,08" sheetId="11" r:id="rId3"/>
    <sheet name="01,09" sheetId="12" r:id="rId4"/>
  </sheets>
  <definedNames>
    <definedName name="_xlnm.Print_Area" localSheetId="2">'01,08'!$A$1:$V$52</definedName>
    <definedName name="_xlnm.Print_Area" localSheetId="3">'01,09'!$A$1:$V$52</definedName>
    <definedName name="_xlnm.Print_Area" localSheetId="0">'COUNT SHEET'!$A$1:$AM$25</definedName>
    <definedName name="_xlnm.Print_Area" localSheetId="1">'COUNT SHEET VERT'!$A$1:$Q$82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41" i="12" l="1"/>
  <c r="U41" i="12"/>
  <c r="T41" i="12"/>
  <c r="U36" i="12"/>
  <c r="U34" i="12"/>
  <c r="U35" i="12"/>
  <c r="U37" i="12"/>
  <c r="U33" i="12"/>
  <c r="U25" i="12"/>
  <c r="U8" i="12"/>
  <c r="U9" i="12"/>
  <c r="U10" i="12"/>
  <c r="U11" i="12"/>
  <c r="U12" i="12"/>
  <c r="U13" i="12"/>
  <c r="U14" i="12"/>
  <c r="U15" i="12"/>
  <c r="U16" i="12"/>
  <c r="U17" i="12"/>
  <c r="U18" i="12"/>
  <c r="U19" i="12"/>
  <c r="U20" i="12"/>
  <c r="U21" i="12"/>
  <c r="U22" i="12"/>
  <c r="U23" i="12"/>
  <c r="U24" i="12"/>
  <c r="U26" i="12"/>
  <c r="U27" i="12"/>
  <c r="U28" i="12"/>
  <c r="U29" i="12"/>
  <c r="U30" i="12"/>
  <c r="U31" i="12"/>
  <c r="U32" i="12"/>
  <c r="U38" i="12"/>
  <c r="U39" i="12"/>
  <c r="U40" i="12"/>
  <c r="U42" i="12"/>
  <c r="U43" i="12"/>
  <c r="U44" i="12"/>
  <c r="U45" i="12"/>
  <c r="U46" i="12"/>
  <c r="U47" i="12"/>
  <c r="U48" i="12"/>
  <c r="U49" i="12"/>
  <c r="U50" i="12"/>
  <c r="U7" i="12"/>
  <c r="T9" i="12"/>
  <c r="T10" i="12"/>
  <c r="T11" i="12"/>
  <c r="T12" i="12"/>
  <c r="T13" i="12"/>
  <c r="T14" i="12"/>
  <c r="T15" i="12"/>
  <c r="T16" i="12"/>
  <c r="T17" i="12"/>
  <c r="T18" i="12"/>
  <c r="T19" i="12"/>
  <c r="T20" i="12"/>
  <c r="T21" i="12"/>
  <c r="T22" i="12"/>
  <c r="T23" i="12"/>
  <c r="T24" i="12"/>
  <c r="T25" i="12"/>
  <c r="T26" i="12"/>
  <c r="T27" i="12"/>
  <c r="T28" i="12"/>
  <c r="T29" i="12"/>
  <c r="T30" i="12"/>
  <c r="T31" i="12"/>
  <c r="T32" i="12"/>
  <c r="T33" i="12"/>
  <c r="T34" i="12"/>
  <c r="T35" i="12"/>
  <c r="T36" i="12"/>
  <c r="T37" i="12"/>
  <c r="T38" i="12"/>
  <c r="T39" i="12"/>
  <c r="T40" i="12"/>
  <c r="T42" i="12"/>
  <c r="T43" i="12"/>
  <c r="T44" i="12"/>
  <c r="T45" i="12"/>
  <c r="T46" i="12"/>
  <c r="T47" i="12"/>
  <c r="T48" i="12"/>
  <c r="T49" i="12"/>
  <c r="T50" i="12"/>
  <c r="T8" i="12"/>
  <c r="C45" i="12"/>
  <c r="C39" i="12"/>
  <c r="C38" i="12"/>
  <c r="C37" i="12"/>
  <c r="C36" i="12"/>
  <c r="C33" i="12"/>
  <c r="C29" i="12"/>
  <c r="C12" i="12"/>
  <c r="C8" i="12"/>
  <c r="C7" i="12"/>
  <c r="T7" i="12" s="1"/>
  <c r="R51" i="12"/>
  <c r="Q51" i="12"/>
  <c r="P51" i="12"/>
  <c r="O51" i="12"/>
  <c r="N51" i="12"/>
  <c r="M51" i="12"/>
  <c r="K51" i="12"/>
  <c r="J51" i="12"/>
  <c r="I51" i="12"/>
  <c r="H51" i="12"/>
  <c r="G51" i="12"/>
  <c r="F51" i="12"/>
  <c r="A44" i="12"/>
  <c r="A45" i="12" s="1"/>
  <c r="A46" i="12" s="1"/>
  <c r="A47" i="12" s="1"/>
  <c r="A48" i="12" s="1"/>
  <c r="A49" i="12" s="1"/>
  <c r="A50" i="12" s="1"/>
  <c r="A42" i="12"/>
  <c r="A36" i="12"/>
  <c r="A37" i="12" s="1"/>
  <c r="A38" i="12" s="1"/>
  <c r="A39" i="12" s="1"/>
  <c r="A40" i="12" s="1"/>
  <c r="AX25" i="12"/>
  <c r="A20" i="12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14" i="12"/>
  <c r="A15" i="12" s="1"/>
  <c r="A16" i="12" s="1"/>
  <c r="A17" i="12" s="1"/>
  <c r="A18" i="12" s="1"/>
  <c r="A8" i="12"/>
  <c r="A9" i="12" s="1"/>
  <c r="A10" i="12" s="1"/>
  <c r="A11" i="12" s="1"/>
  <c r="U51" i="12" l="1"/>
  <c r="T51" i="12"/>
  <c r="C51" i="12"/>
  <c r="T7" i="11"/>
  <c r="T51" i="11" l="1"/>
  <c r="U51" i="11"/>
  <c r="N51" i="11"/>
  <c r="P51" i="11"/>
  <c r="Q51" i="11"/>
  <c r="R51" i="11"/>
  <c r="O51" i="11"/>
  <c r="M51" i="11"/>
  <c r="J51" i="11"/>
  <c r="I51" i="11"/>
  <c r="H51" i="11"/>
  <c r="K51" i="11"/>
  <c r="G51" i="11"/>
  <c r="F51" i="11"/>
  <c r="C45" i="11"/>
  <c r="C41" i="11"/>
  <c r="C39" i="11"/>
  <c r="C38" i="11"/>
  <c r="C36" i="11"/>
  <c r="C33" i="11"/>
  <c r="C29" i="11"/>
  <c r="C27" i="11"/>
  <c r="C12" i="11"/>
  <c r="C8" i="11"/>
  <c r="C7" i="11"/>
  <c r="C51" i="11" l="1"/>
  <c r="A44" i="11" l="1"/>
  <c r="A45" i="11" s="1"/>
  <c r="A46" i="11" s="1"/>
  <c r="A47" i="11" s="1"/>
  <c r="A48" i="11" s="1"/>
  <c r="A49" i="11" s="1"/>
  <c r="A50" i="11" s="1"/>
  <c r="A42" i="11"/>
  <c r="A36" i="11"/>
  <c r="A37" i="11" s="1"/>
  <c r="A38" i="11" s="1"/>
  <c r="A39" i="11" s="1"/>
  <c r="A40" i="11" s="1"/>
  <c r="AX25" i="11"/>
  <c r="A20" i="1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14" i="11"/>
  <c r="A15" i="11" s="1"/>
  <c r="A16" i="11" s="1"/>
  <c r="A17" i="11" s="1"/>
  <c r="A18" i="11" s="1"/>
  <c r="A8" i="11"/>
  <c r="A9" i="11" s="1"/>
  <c r="A10" i="11" s="1"/>
  <c r="A11" i="11" s="1"/>
  <c r="A9" i="10" l="1"/>
  <c r="A10" i="10" s="1"/>
  <c r="A11" i="10" s="1"/>
  <c r="A14" i="10" s="1"/>
  <c r="A15" i="10" s="1"/>
  <c r="A16" i="10" s="1"/>
  <c r="A17" i="10" s="1"/>
  <c r="A18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6" i="10" s="1"/>
  <c r="A37" i="10" s="1"/>
  <c r="A38" i="10" s="1"/>
  <c r="A39" i="10" s="1"/>
  <c r="A40" i="10" s="1"/>
  <c r="A42" i="10" s="1"/>
  <c r="A44" i="10" s="1"/>
  <c r="A45" i="10" s="1"/>
  <c r="A46" i="10" s="1"/>
  <c r="A47" i="10" s="1"/>
  <c r="A48" i="10" s="1"/>
  <c r="A49" i="10" s="1"/>
  <c r="A50" i="10" s="1"/>
  <c r="A8" i="10"/>
  <c r="AS25" i="10" l="1"/>
</calcChain>
</file>

<file path=xl/sharedStrings.xml><?xml version="1.0" encoding="utf-8"?>
<sst xmlns="http://schemas.openxmlformats.org/spreadsheetml/2006/main" count="300" uniqueCount="76">
  <si>
    <t>ROUTE 1</t>
  </si>
  <si>
    <t>PAMB</t>
  </si>
  <si>
    <t>PAMC</t>
  </si>
  <si>
    <t>KRB</t>
  </si>
  <si>
    <t>KRC</t>
  </si>
  <si>
    <t>CBC</t>
  </si>
  <si>
    <t>SDB</t>
  </si>
  <si>
    <t>SDC</t>
  </si>
  <si>
    <t>SMZ</t>
  </si>
  <si>
    <t>SMLB</t>
  </si>
  <si>
    <t>SMLL</t>
  </si>
  <si>
    <t>SMLC</t>
  </si>
  <si>
    <t>FBA</t>
  </si>
  <si>
    <t>FBAC</t>
  </si>
  <si>
    <t>FBL</t>
  </si>
  <si>
    <t>FBLC</t>
  </si>
  <si>
    <t>FBLY</t>
  </si>
  <si>
    <t>FBLYC</t>
  </si>
  <si>
    <t>PP</t>
  </si>
  <si>
    <t>PPG</t>
  </si>
  <si>
    <t>PL</t>
  </si>
  <si>
    <t>PPC</t>
  </si>
  <si>
    <t>RHS</t>
  </si>
  <si>
    <t>RHP</t>
  </si>
  <si>
    <t>RHL</t>
  </si>
  <si>
    <t>RHC</t>
  </si>
  <si>
    <t>RHSL</t>
  </si>
  <si>
    <t>SMF</t>
  </si>
  <si>
    <t>SMFC</t>
  </si>
  <si>
    <t>GEK</t>
  </si>
  <si>
    <t>HSC</t>
  </si>
  <si>
    <t>HTL</t>
  </si>
  <si>
    <t>HTA</t>
  </si>
  <si>
    <t>HTS</t>
  </si>
  <si>
    <t>CB</t>
  </si>
  <si>
    <t>CC</t>
  </si>
  <si>
    <t>C10C</t>
  </si>
  <si>
    <t>CIB</t>
  </si>
  <si>
    <t>CIC</t>
  </si>
  <si>
    <t>EMPTIES</t>
  </si>
  <si>
    <t>RHL/PL</t>
  </si>
  <si>
    <t>RH5</t>
  </si>
  <si>
    <t>FBA/SML/RHS</t>
  </si>
  <si>
    <t>RGB</t>
  </si>
  <si>
    <t>COMP</t>
  </si>
  <si>
    <t>ROUTE 2</t>
  </si>
  <si>
    <t>ROUTE 3</t>
  </si>
  <si>
    <t>B</t>
  </si>
  <si>
    <t>S</t>
  </si>
  <si>
    <t>FLOOR STOCKS</t>
  </si>
  <si>
    <t>TOTAL INVENTORY</t>
  </si>
  <si>
    <t>INVENTORY COUNT SHEET</t>
  </si>
  <si>
    <t>SKU</t>
  </si>
  <si>
    <t>GUILLERMO BEVERAGE DISTRIBUTION SERVICES</t>
  </si>
  <si>
    <t>BOT</t>
  </si>
  <si>
    <t>SHL</t>
  </si>
  <si>
    <t>PL/RHL/GEK</t>
  </si>
  <si>
    <t>FB/SML/RHS</t>
  </si>
  <si>
    <t>HT</t>
  </si>
  <si>
    <t>PALLETS</t>
  </si>
  <si>
    <t>TOTAL</t>
  </si>
  <si>
    <t>DATE:_________________________________</t>
  </si>
  <si>
    <t>TOTAL EMPTIES</t>
  </si>
  <si>
    <t>FULLS
 SKU</t>
  </si>
  <si>
    <t>CBB</t>
  </si>
  <si>
    <t>CNB</t>
  </si>
  <si>
    <t>CLC</t>
  </si>
  <si>
    <t>SMZB</t>
  </si>
  <si>
    <t>RH500C</t>
  </si>
  <si>
    <t>SMFB</t>
  </si>
  <si>
    <t>GE320</t>
  </si>
  <si>
    <t>M</t>
  </si>
  <si>
    <t>O</t>
  </si>
  <si>
    <t>bot</t>
  </si>
  <si>
    <t>DATE: 08/01/2026</t>
  </si>
  <si>
    <t>DATE: 09/01/2026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</si>
</sst>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[$-F800]dddd\,\ mmmm\ dd\,\ yyyy"/>
    <numFmt numFmtId="166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i/>
      <sz val="10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/>
      <bottom style="medium">
        <color rgb="FFFF0000"/>
      </bottom>
      <diagonal/>
    </border>
    <border>
      <left style="thin">
        <color auto="1"/>
      </left>
      <right style="medium">
        <color auto="1"/>
      </right>
      <top/>
      <bottom style="medium">
        <color rgb="FFFF0000"/>
      </bottom>
      <diagonal/>
    </border>
    <border>
      <left style="medium">
        <color auto="1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medium">
        <color auto="1"/>
      </right>
      <top style="medium">
        <color rgb="FFFF0000"/>
      </top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medium">
        <color auto="1"/>
      </left>
      <right style="thin">
        <color auto="1"/>
      </right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FF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medium">
        <color rgb="FFFF0000"/>
      </top>
      <bottom style="medium">
        <color rgb="FFFF0000"/>
      </bottom>
      <diagonal/>
    </border>
    <border>
      <left style="thin">
        <color auto="1"/>
      </left>
      <right/>
      <top/>
      <bottom style="medium">
        <color rgb="FFFF0000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rgb="FFFF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rgb="FFFF0000"/>
      </top>
      <bottom style="medium">
        <color rgb="FFFF0000"/>
      </bottom>
      <diagonal/>
    </border>
  </borders>
  <cellStyleXfs count="4">
    <xf numFmtId="0" fontId="0" fillId="0" borderId="0"/>
    <xf numFmtId="164" fontId="6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</cellStyleXfs>
  <cellXfs count="135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" fillId="2" borderId="6" xfId="0" applyFont="1" applyFill="1" applyBorder="1" applyAlignment="1">
      <alignment horizontal="left" vertical="center"/>
    </xf>
    <xf numFmtId="0" fontId="9" fillId="2" borderId="11" xfId="0" applyFont="1" applyFill="1" applyBorder="1" applyAlignment="1">
      <alignment horizontal="left" vertical="center"/>
    </xf>
    <xf numFmtId="164" fontId="10" fillId="2" borderId="0" xfId="1" applyFont="1" applyFill="1" applyBorder="1" applyAlignment="1">
      <alignment horizontal="center" vertical="center"/>
    </xf>
    <xf numFmtId="0" fontId="1" fillId="0" borderId="14" xfId="2" applyFont="1" applyBorder="1" applyAlignment="1">
      <alignment horizontal="center" vertical="center"/>
    </xf>
    <xf numFmtId="0" fontId="1" fillId="0" borderId="3" xfId="2" applyFont="1" applyBorder="1" applyAlignment="1">
      <alignment horizontal="center" vertical="center"/>
    </xf>
    <xf numFmtId="0" fontId="1" fillId="0" borderId="15" xfId="2" applyFont="1" applyBorder="1" applyAlignment="1">
      <alignment horizontal="center" vertical="center"/>
    </xf>
    <xf numFmtId="164" fontId="8" fillId="2" borderId="0" xfId="1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vertical="center"/>
    </xf>
    <xf numFmtId="43" fontId="8" fillId="2" borderId="17" xfId="0" applyNumberFormat="1" applyFont="1" applyFill="1" applyBorder="1" applyAlignment="1" applyProtection="1">
      <alignment horizontal="center" vertical="center"/>
      <protection locked="0"/>
    </xf>
    <xf numFmtId="164" fontId="9" fillId="2" borderId="0" xfId="1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left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left" vertical="center"/>
    </xf>
    <xf numFmtId="0" fontId="2" fillId="0" borderId="8" xfId="0" applyFont="1" applyFill="1" applyBorder="1" applyAlignment="1" applyProtection="1">
      <alignment horizontal="center" vertical="center"/>
      <protection locked="0"/>
    </xf>
    <xf numFmtId="0" fontId="2" fillId="0" borderId="9" xfId="0" applyFont="1" applyFill="1" applyBorder="1" applyAlignment="1" applyProtection="1">
      <alignment horizontal="center" vertical="center"/>
      <protection locked="0"/>
    </xf>
    <xf numFmtId="0" fontId="2" fillId="0" borderId="9" xfId="0" applyFont="1" applyFill="1" applyBorder="1" applyAlignment="1" applyProtection="1">
      <alignment horizontal="center" vertical="center" wrapText="1"/>
      <protection locked="0"/>
    </xf>
    <xf numFmtId="0" fontId="2" fillId="0" borderId="21" xfId="0" applyFont="1" applyFill="1" applyBorder="1" applyAlignment="1" applyProtection="1">
      <alignment horizontal="center" vertical="center"/>
      <protection locked="0"/>
    </xf>
    <xf numFmtId="0" fontId="1" fillId="0" borderId="7" xfId="0" applyFont="1" applyFill="1" applyBorder="1" applyAlignment="1">
      <alignment horizontal="left" vertical="center"/>
    </xf>
    <xf numFmtId="3" fontId="2" fillId="0" borderId="8" xfId="0" applyNumberFormat="1" applyFont="1" applyFill="1" applyBorder="1" applyAlignment="1">
      <alignment horizontal="center" vertical="center"/>
    </xf>
    <xf numFmtId="3" fontId="2" fillId="0" borderId="9" xfId="0" applyNumberFormat="1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vertical="center"/>
    </xf>
    <xf numFmtId="3" fontId="2" fillId="0" borderId="21" xfId="0" applyNumberFormat="1" applyFont="1" applyFill="1" applyBorder="1" applyAlignment="1" applyProtection="1">
      <alignment horizontal="center" vertical="center"/>
      <protection locked="0"/>
    </xf>
    <xf numFmtId="0" fontId="1" fillId="0" borderId="22" xfId="0" applyFont="1" applyFill="1" applyBorder="1" applyAlignment="1">
      <alignment horizontal="left" vertical="center"/>
    </xf>
    <xf numFmtId="3" fontId="2" fillId="0" borderId="23" xfId="0" applyNumberFormat="1" applyFont="1" applyFill="1" applyBorder="1" applyAlignment="1" applyProtection="1">
      <alignment horizontal="center" vertical="center"/>
      <protection locked="0"/>
    </xf>
    <xf numFmtId="3" fontId="2" fillId="0" borderId="24" xfId="0" applyNumberFormat="1" applyFont="1" applyFill="1" applyBorder="1" applyAlignment="1" applyProtection="1">
      <alignment horizontal="center" vertical="center"/>
      <protection locked="0"/>
    </xf>
    <xf numFmtId="3" fontId="2" fillId="0" borderId="25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>
      <alignment horizontal="left" vertical="center" wrapText="1"/>
    </xf>
    <xf numFmtId="3" fontId="1" fillId="0" borderId="3" xfId="0" applyNumberFormat="1" applyFont="1" applyFill="1" applyBorder="1" applyAlignment="1">
      <alignment horizontal="center" vertical="center"/>
    </xf>
    <xf numFmtId="3" fontId="1" fillId="0" borderId="15" xfId="0" applyNumberFormat="1" applyFont="1" applyFill="1" applyBorder="1" applyAlignment="1">
      <alignment horizontal="center" vertical="center"/>
    </xf>
    <xf numFmtId="3" fontId="1" fillId="0" borderId="2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left" vertical="center"/>
    </xf>
    <xf numFmtId="0" fontId="1" fillId="0" borderId="2" xfId="0" applyFont="1" applyFill="1" applyBorder="1" applyAlignment="1" applyProtection="1">
      <alignment horizontal="center" vertical="center"/>
      <protection locked="0"/>
    </xf>
    <xf numFmtId="0" fontId="1" fillId="0" borderId="3" xfId="0" applyFont="1" applyFill="1" applyBorder="1" applyAlignment="1" applyProtection="1">
      <alignment horizontal="center" vertical="center"/>
      <protection locked="0"/>
    </xf>
    <xf numFmtId="0" fontId="2" fillId="0" borderId="3" xfId="0" applyFont="1" applyFill="1" applyBorder="1" applyAlignment="1" applyProtection="1">
      <alignment horizontal="center" vertical="center"/>
      <protection locked="0"/>
    </xf>
    <xf numFmtId="0" fontId="2" fillId="0" borderId="15" xfId="0" applyFont="1" applyFill="1" applyBorder="1" applyAlignment="1" applyProtection="1">
      <alignment horizontal="center" vertical="center"/>
      <protection locked="0"/>
    </xf>
    <xf numFmtId="166" fontId="2" fillId="0" borderId="28" xfId="3" applyNumberFormat="1" applyFont="1" applyFill="1" applyBorder="1" applyAlignment="1">
      <alignment vertical="center"/>
    </xf>
    <xf numFmtId="166" fontId="2" fillId="0" borderId="27" xfId="3" applyNumberFormat="1" applyFont="1" applyFill="1" applyBorder="1" applyAlignment="1">
      <alignment vertical="center"/>
    </xf>
    <xf numFmtId="166" fontId="2" fillId="0" borderId="9" xfId="3" applyNumberFormat="1" applyFont="1" applyFill="1" applyBorder="1" applyAlignment="1">
      <alignment vertical="center"/>
    </xf>
    <xf numFmtId="166" fontId="13" fillId="0" borderId="30" xfId="2" applyNumberFormat="1" applyFont="1" applyFill="1" applyBorder="1" applyAlignment="1">
      <alignment vertical="center"/>
    </xf>
    <xf numFmtId="166" fontId="2" fillId="0" borderId="33" xfId="3" applyNumberFormat="1" applyFont="1" applyFill="1" applyBorder="1" applyAlignment="1">
      <alignment vertical="center"/>
    </xf>
    <xf numFmtId="166" fontId="13" fillId="0" borderId="34" xfId="2" applyNumberFormat="1" applyFont="1" applyFill="1" applyBorder="1" applyAlignment="1">
      <alignment vertical="center"/>
    </xf>
    <xf numFmtId="166" fontId="2" fillId="0" borderId="26" xfId="3" applyNumberFormat="1" applyFont="1" applyFill="1" applyBorder="1" applyAlignment="1">
      <alignment vertical="center"/>
    </xf>
    <xf numFmtId="166" fontId="13" fillId="0" borderId="29" xfId="2" applyNumberFormat="1" applyFont="1" applyFill="1" applyBorder="1" applyAlignment="1">
      <alignment vertical="center"/>
    </xf>
    <xf numFmtId="166" fontId="13" fillId="0" borderId="31" xfId="2" applyNumberFormat="1" applyFont="1" applyFill="1" applyBorder="1" applyAlignment="1">
      <alignment vertical="center"/>
    </xf>
    <xf numFmtId="166" fontId="2" fillId="0" borderId="35" xfId="3" applyNumberFormat="1" applyFont="1" applyFill="1" applyBorder="1" applyAlignment="1">
      <alignment vertical="center"/>
    </xf>
    <xf numFmtId="166" fontId="2" fillId="0" borderId="10" xfId="3" applyNumberFormat="1" applyFont="1" applyFill="1" applyBorder="1" applyAlignment="1">
      <alignment vertical="center"/>
    </xf>
    <xf numFmtId="0" fontId="2" fillId="0" borderId="0" xfId="2" applyFont="1" applyFill="1" applyAlignment="1">
      <alignment vertical="center"/>
    </xf>
    <xf numFmtId="0" fontId="13" fillId="0" borderId="0" xfId="2" applyFont="1" applyFill="1" applyAlignment="1">
      <alignment horizontal="center" vertical="center"/>
    </xf>
    <xf numFmtId="165" fontId="13" fillId="0" borderId="0" xfId="2" applyNumberFormat="1" applyFont="1" applyFill="1" applyAlignment="1">
      <alignment horizontal="center" vertical="center"/>
    </xf>
    <xf numFmtId="165" fontId="1" fillId="0" borderId="0" xfId="2" applyNumberFormat="1" applyFont="1" applyFill="1" applyAlignment="1">
      <alignment vertical="center"/>
    </xf>
    <xf numFmtId="0" fontId="1" fillId="0" borderId="0" xfId="2" applyFont="1" applyFill="1" applyAlignment="1">
      <alignment vertical="center"/>
    </xf>
    <xf numFmtId="166" fontId="14" fillId="0" borderId="0" xfId="2" applyNumberFormat="1" applyFont="1" applyFill="1" applyAlignment="1">
      <alignment vertical="center"/>
    </xf>
    <xf numFmtId="0" fontId="13" fillId="0" borderId="0" xfId="2" applyFont="1" applyFill="1" applyAlignment="1">
      <alignment vertical="center"/>
    </xf>
    <xf numFmtId="166" fontId="2" fillId="0" borderId="4" xfId="3" applyNumberFormat="1" applyFont="1" applyFill="1" applyBorder="1" applyAlignment="1">
      <alignment vertical="center"/>
    </xf>
    <xf numFmtId="166" fontId="2" fillId="0" borderId="3" xfId="3" applyNumberFormat="1" applyFont="1" applyFill="1" applyBorder="1" applyAlignment="1">
      <alignment vertical="center"/>
    </xf>
    <xf numFmtId="166" fontId="2" fillId="0" borderId="15" xfId="3" applyNumberFormat="1" applyFont="1" applyFill="1" applyBorder="1" applyAlignment="1">
      <alignment vertical="center"/>
    </xf>
    <xf numFmtId="166" fontId="2" fillId="0" borderId="19" xfId="3" applyNumberFormat="1" applyFont="1" applyFill="1" applyBorder="1" applyAlignment="1">
      <alignment vertical="center"/>
    </xf>
    <xf numFmtId="166" fontId="2" fillId="0" borderId="20" xfId="3" applyNumberFormat="1" applyFont="1" applyFill="1" applyBorder="1" applyAlignment="1">
      <alignment vertical="center"/>
    </xf>
    <xf numFmtId="166" fontId="2" fillId="0" borderId="21" xfId="3" applyNumberFormat="1" applyFont="1" applyFill="1" applyBorder="1" applyAlignment="1">
      <alignment vertical="center"/>
    </xf>
    <xf numFmtId="166" fontId="2" fillId="0" borderId="30" xfId="3" applyNumberFormat="1" applyFont="1" applyFill="1" applyBorder="1" applyAlignment="1">
      <alignment vertical="center"/>
    </xf>
    <xf numFmtId="166" fontId="2" fillId="0" borderId="31" xfId="3" applyNumberFormat="1" applyFont="1" applyFill="1" applyBorder="1" applyAlignment="1">
      <alignment vertical="center"/>
    </xf>
    <xf numFmtId="0" fontId="12" fillId="0" borderId="4" xfId="2" applyFont="1" applyFill="1" applyBorder="1" applyAlignment="1">
      <alignment horizontal="center" vertical="center"/>
    </xf>
    <xf numFmtId="0" fontId="17" fillId="0" borderId="26" xfId="2" applyFont="1" applyFill="1" applyBorder="1" applyAlignment="1">
      <alignment vertical="center"/>
    </xf>
    <xf numFmtId="0" fontId="17" fillId="0" borderId="8" xfId="2" applyFont="1" applyFill="1" applyBorder="1" applyAlignment="1">
      <alignment vertical="center"/>
    </xf>
    <xf numFmtId="0" fontId="17" fillId="0" borderId="0" xfId="2" applyFont="1" applyFill="1" applyAlignment="1">
      <alignment vertical="center"/>
    </xf>
    <xf numFmtId="0" fontId="18" fillId="0" borderId="0" xfId="2" applyFont="1" applyFill="1" applyAlignment="1">
      <alignment vertical="center"/>
    </xf>
    <xf numFmtId="0" fontId="17" fillId="0" borderId="29" xfId="2" applyFont="1" applyFill="1" applyBorder="1" applyAlignment="1">
      <alignment vertical="center" wrapText="1"/>
    </xf>
    <xf numFmtId="0" fontId="17" fillId="0" borderId="2" xfId="2" applyFont="1" applyFill="1" applyBorder="1" applyAlignment="1">
      <alignment vertical="center"/>
    </xf>
    <xf numFmtId="0" fontId="17" fillId="0" borderId="18" xfId="2" applyFont="1" applyFill="1" applyBorder="1" applyAlignment="1">
      <alignment vertical="center"/>
    </xf>
    <xf numFmtId="0" fontId="18" fillId="0" borderId="8" xfId="2" applyFont="1" applyFill="1" applyBorder="1" applyAlignment="1">
      <alignment vertical="center"/>
    </xf>
    <xf numFmtId="0" fontId="18" fillId="0" borderId="29" xfId="2" applyFont="1" applyFill="1" applyBorder="1" applyAlignment="1">
      <alignment vertical="center"/>
    </xf>
    <xf numFmtId="0" fontId="13" fillId="0" borderId="36" xfId="2" applyFont="1" applyFill="1" applyBorder="1" applyAlignment="1">
      <alignment horizontal="center" vertical="center"/>
    </xf>
    <xf numFmtId="0" fontId="13" fillId="0" borderId="9" xfId="2" applyFont="1" applyFill="1" applyBorder="1" applyAlignment="1">
      <alignment horizontal="center" vertical="center"/>
    </xf>
    <xf numFmtId="0" fontId="13" fillId="0" borderId="37" xfId="2" applyFont="1" applyFill="1" applyBorder="1" applyAlignment="1">
      <alignment horizontal="center" vertical="center"/>
    </xf>
    <xf numFmtId="0" fontId="13" fillId="0" borderId="38" xfId="2" applyFont="1" applyFill="1" applyBorder="1" applyAlignment="1">
      <alignment horizontal="center" vertical="center"/>
    </xf>
    <xf numFmtId="0" fontId="16" fillId="0" borderId="12" xfId="2" applyFont="1" applyFill="1" applyBorder="1" applyAlignment="1">
      <alignment horizontal="center" vertical="center"/>
    </xf>
    <xf numFmtId="0" fontId="13" fillId="0" borderId="8" xfId="2" applyFont="1" applyFill="1" applyBorder="1" applyAlignment="1">
      <alignment horizontal="center" vertical="center"/>
    </xf>
    <xf numFmtId="166" fontId="2" fillId="0" borderId="8" xfId="3" applyNumberFormat="1" applyFont="1" applyFill="1" applyBorder="1" applyAlignment="1">
      <alignment vertical="center"/>
    </xf>
    <xf numFmtId="0" fontId="13" fillId="0" borderId="21" xfId="2" applyFont="1" applyFill="1" applyBorder="1" applyAlignment="1">
      <alignment horizontal="center" vertical="center"/>
    </xf>
    <xf numFmtId="0" fontId="16" fillId="0" borderId="39" xfId="2" applyFont="1" applyFill="1" applyBorder="1" applyAlignment="1">
      <alignment horizontal="center" vertical="center"/>
    </xf>
    <xf numFmtId="166" fontId="2" fillId="0" borderId="39" xfId="3" applyNumberFormat="1" applyFont="1" applyFill="1" applyBorder="1" applyAlignment="1">
      <alignment vertical="center"/>
    </xf>
    <xf numFmtId="0" fontId="13" fillId="0" borderId="9" xfId="2" applyFont="1" applyFill="1" applyBorder="1" applyAlignment="1">
      <alignment horizontal="center" vertical="center"/>
    </xf>
    <xf numFmtId="0" fontId="13" fillId="0" borderId="18" xfId="2" applyFont="1" applyFill="1" applyBorder="1" applyAlignment="1">
      <alignment horizontal="center" vertical="center"/>
    </xf>
    <xf numFmtId="0" fontId="17" fillId="0" borderId="40" xfId="2" applyFont="1" applyFill="1" applyBorder="1" applyAlignment="1">
      <alignment vertical="center"/>
    </xf>
    <xf numFmtId="166" fontId="2" fillId="0" borderId="41" xfId="3" applyNumberFormat="1" applyFont="1" applyFill="1" applyBorder="1" applyAlignment="1">
      <alignment vertical="center"/>
    </xf>
    <xf numFmtId="166" fontId="2" fillId="0" borderId="42" xfId="3" applyNumberFormat="1" applyFont="1" applyFill="1" applyBorder="1" applyAlignment="1">
      <alignment vertical="center"/>
    </xf>
    <xf numFmtId="166" fontId="2" fillId="0" borderId="43" xfId="3" applyNumberFormat="1" applyFont="1" applyFill="1" applyBorder="1" applyAlignment="1">
      <alignment vertical="center"/>
    </xf>
    <xf numFmtId="166" fontId="2" fillId="0" borderId="44" xfId="3" applyNumberFormat="1" applyFont="1" applyFill="1" applyBorder="1" applyAlignment="1">
      <alignment vertical="center"/>
    </xf>
    <xf numFmtId="0" fontId="17" fillId="0" borderId="45" xfId="2" applyFont="1" applyFill="1" applyBorder="1" applyAlignment="1">
      <alignment vertical="center"/>
    </xf>
    <xf numFmtId="166" fontId="2" fillId="0" borderId="46" xfId="3" applyNumberFormat="1" applyFont="1" applyFill="1" applyBorder="1" applyAlignment="1">
      <alignment vertical="center"/>
    </xf>
    <xf numFmtId="166" fontId="2" fillId="0" borderId="47" xfId="3" applyNumberFormat="1" applyFont="1" applyFill="1" applyBorder="1" applyAlignment="1">
      <alignment vertical="center"/>
    </xf>
    <xf numFmtId="0" fontId="2" fillId="0" borderId="48" xfId="2" applyFont="1" applyFill="1" applyBorder="1" applyAlignment="1">
      <alignment vertical="center"/>
    </xf>
    <xf numFmtId="166" fontId="2" fillId="0" borderId="49" xfId="3" applyNumberFormat="1" applyFont="1" applyFill="1" applyBorder="1" applyAlignment="1">
      <alignment vertical="center"/>
    </xf>
    <xf numFmtId="166" fontId="2" fillId="0" borderId="50" xfId="3" applyNumberFormat="1" applyFont="1" applyFill="1" applyBorder="1" applyAlignment="1">
      <alignment vertical="center"/>
    </xf>
    <xf numFmtId="0" fontId="2" fillId="0" borderId="51" xfId="2" applyFont="1" applyFill="1" applyBorder="1" applyAlignment="1">
      <alignment vertical="center"/>
    </xf>
    <xf numFmtId="166" fontId="2" fillId="0" borderId="45" xfId="3" applyNumberFormat="1" applyFont="1" applyFill="1" applyBorder="1" applyAlignment="1">
      <alignment vertical="center"/>
    </xf>
    <xf numFmtId="166" fontId="2" fillId="0" borderId="52" xfId="3" applyNumberFormat="1" applyFont="1" applyFill="1" applyBorder="1" applyAlignment="1">
      <alignment vertical="center"/>
    </xf>
    <xf numFmtId="0" fontId="13" fillId="0" borderId="55" xfId="2" applyFont="1" applyFill="1" applyBorder="1" applyAlignment="1">
      <alignment horizontal="center" vertical="center"/>
    </xf>
    <xf numFmtId="166" fontId="2" fillId="0" borderId="55" xfId="3" applyNumberFormat="1" applyFont="1" applyFill="1" applyBorder="1" applyAlignment="1">
      <alignment vertical="center"/>
    </xf>
    <xf numFmtId="166" fontId="2" fillId="0" borderId="56" xfId="3" applyNumberFormat="1" applyFont="1" applyFill="1" applyBorder="1" applyAlignment="1">
      <alignment vertical="center"/>
    </xf>
    <xf numFmtId="166" fontId="2" fillId="0" borderId="57" xfId="3" applyNumberFormat="1" applyFont="1" applyFill="1" applyBorder="1" applyAlignment="1">
      <alignment vertical="center"/>
    </xf>
    <xf numFmtId="166" fontId="2" fillId="0" borderId="58" xfId="3" applyNumberFormat="1" applyFont="1" applyFill="1" applyBorder="1" applyAlignment="1">
      <alignment vertical="center"/>
    </xf>
    <xf numFmtId="166" fontId="2" fillId="0" borderId="59" xfId="3" applyNumberFormat="1" applyFont="1" applyFill="1" applyBorder="1" applyAlignment="1">
      <alignment vertical="center"/>
    </xf>
    <xf numFmtId="166" fontId="2" fillId="0" borderId="54" xfId="3" applyNumberFormat="1" applyFont="1" applyFill="1" applyBorder="1" applyAlignment="1">
      <alignment vertical="center"/>
    </xf>
    <xf numFmtId="166" fontId="2" fillId="0" borderId="53" xfId="3" applyNumberFormat="1" applyFont="1" applyFill="1" applyBorder="1" applyAlignment="1">
      <alignment vertical="center"/>
    </xf>
    <xf numFmtId="166" fontId="2" fillId="0" borderId="32" xfId="3" applyNumberFormat="1" applyFont="1" applyFill="1" applyBorder="1" applyAlignment="1">
      <alignment vertical="center"/>
    </xf>
    <xf numFmtId="0" fontId="13" fillId="0" borderId="60" xfId="2" applyFont="1" applyFill="1" applyBorder="1" applyAlignment="1">
      <alignment horizontal="center" vertical="center"/>
    </xf>
    <xf numFmtId="0" fontId="13" fillId="0" borderId="61" xfId="2" applyFont="1" applyFill="1" applyBorder="1" applyAlignment="1">
      <alignment horizontal="center" vertical="center"/>
    </xf>
    <xf numFmtId="166" fontId="2" fillId="0" borderId="61" xfId="3" applyNumberFormat="1" applyFont="1" applyFill="1" applyBorder="1" applyAlignment="1">
      <alignment vertical="center"/>
    </xf>
    <xf numFmtId="166" fontId="2" fillId="0" borderId="62" xfId="3" applyNumberFormat="1" applyFont="1" applyFill="1" applyBorder="1" applyAlignment="1">
      <alignment vertical="center"/>
    </xf>
    <xf numFmtId="166" fontId="2" fillId="0" borderId="63" xfId="3" applyNumberFormat="1" applyFont="1" applyFill="1" applyBorder="1" applyAlignment="1">
      <alignment vertical="center"/>
    </xf>
    <xf numFmtId="166" fontId="2" fillId="0" borderId="64" xfId="3" applyNumberFormat="1" applyFont="1" applyFill="1" applyBorder="1" applyAlignment="1">
      <alignment vertical="center"/>
    </xf>
    <xf numFmtId="0" fontId="1" fillId="0" borderId="1" xfId="2" applyFont="1" applyBorder="1" applyAlignment="1">
      <alignment horizontal="center" vertical="center"/>
    </xf>
    <xf numFmtId="0" fontId="1" fillId="0" borderId="13" xfId="2" applyFont="1" applyBorder="1" applyAlignment="1">
      <alignment horizontal="center" vertical="center"/>
    </xf>
    <xf numFmtId="0" fontId="1" fillId="0" borderId="5" xfId="2" applyFont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3" fillId="0" borderId="19" xfId="2" applyFont="1" applyFill="1" applyBorder="1" applyAlignment="1">
      <alignment horizontal="center" vertical="center"/>
    </xf>
    <xf numFmtId="0" fontId="13" fillId="0" borderId="20" xfId="2" applyFont="1" applyFill="1" applyBorder="1" applyAlignment="1">
      <alignment horizontal="center" vertical="center"/>
    </xf>
    <xf numFmtId="0" fontId="13" fillId="0" borderId="32" xfId="2" applyFont="1" applyFill="1" applyBorder="1" applyAlignment="1">
      <alignment horizontal="center" vertical="center"/>
    </xf>
    <xf numFmtId="0" fontId="13" fillId="0" borderId="13" xfId="2" applyFont="1" applyFill="1" applyBorder="1" applyAlignment="1">
      <alignment horizontal="center" vertical="center"/>
    </xf>
    <xf numFmtId="0" fontId="13" fillId="0" borderId="5" xfId="2" applyFont="1" applyFill="1" applyBorder="1" applyAlignment="1">
      <alignment horizontal="center" vertical="center"/>
    </xf>
    <xf numFmtId="0" fontId="15" fillId="0" borderId="0" xfId="2" applyFont="1" applyFill="1" applyAlignment="1">
      <alignment horizontal="right" vertical="center"/>
    </xf>
    <xf numFmtId="0" fontId="13" fillId="0" borderId="54" xfId="2" applyFont="1" applyFill="1" applyBorder="1" applyAlignment="1">
      <alignment horizontal="center" vertical="center"/>
    </xf>
  </cellXfs>
  <cellStyles count="4">
    <cellStyle name="Comma 2" xfId="1" xr:uid="{7E3C6B93-9232-4BE3-88EC-0E92E18B612E}"/>
    <cellStyle name="Comma 3" xfId="3" xr:uid="{B13EF1CC-7615-4728-8423-930D2E0A2DD0}"/>
    <cellStyle name="Normal" xfId="0" builtinId="0"/>
    <cellStyle name="Normal 2" xfId="2" xr:uid="{673CC06A-9352-4BA0-8197-2C6B88CEA1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AB814-41CC-46B7-89C8-4F1D90B89F75}">
  <dimension ref="A1:AR25"/>
  <sheetViews>
    <sheetView zoomScale="120" zoomScaleNormal="120" workbookViewId="0">
      <pane xSplit="1" ySplit="3" topLeftCell="B4" activePane="bottomRight" state="frozen"/>
      <selection activeCell="C12" sqref="C12"/>
      <selection pane="topRight" activeCell="C12" sqref="C12"/>
      <selection pane="bottomLeft" activeCell="C12" sqref="C12"/>
      <selection pane="bottomRight" activeCell="B3" sqref="B3"/>
    </sheetView>
  </sheetViews>
  <sheetFormatPr defaultColWidth="8.7109375" defaultRowHeight="12.75" x14ac:dyDescent="0.25"/>
  <cols>
    <col min="1" max="1" width="13.7109375" style="3" bestFit="1" customWidth="1"/>
    <col min="2" max="39" width="6.42578125" style="3" customWidth="1"/>
    <col min="40" max="40" width="14.7109375" style="3" bestFit="1" customWidth="1"/>
    <col min="41" max="41" width="22.140625" style="3" bestFit="1" customWidth="1"/>
    <col min="42" max="46" width="5.7109375" style="3" customWidth="1"/>
    <col min="47" max="16384" width="8.7109375" style="3"/>
  </cols>
  <sheetData>
    <row r="1" spans="1:44" ht="18" customHeight="1" x14ac:dyDescent="0.25">
      <c r="A1" s="1" t="s">
        <v>51</v>
      </c>
      <c r="B1" s="2"/>
      <c r="C1" s="2"/>
      <c r="D1" s="2"/>
      <c r="E1" s="2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P1" s="2"/>
      <c r="AR1" s="4"/>
    </row>
    <row r="2" spans="1:44" ht="18" customHeight="1" thickBot="1" x14ac:dyDescent="0.3">
      <c r="A2" s="5"/>
      <c r="B2" s="5"/>
      <c r="C2" s="5"/>
      <c r="D2" s="5"/>
      <c r="E2" s="5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P2" s="2"/>
    </row>
    <row r="3" spans="1:44" ht="18" customHeight="1" thickBot="1" x14ac:dyDescent="0.3">
      <c r="A3" s="41" t="s">
        <v>52</v>
      </c>
      <c r="B3" s="19" t="s">
        <v>1</v>
      </c>
      <c r="C3" s="20" t="s">
        <v>2</v>
      </c>
      <c r="D3" s="20" t="s">
        <v>3</v>
      </c>
      <c r="E3" s="20" t="s">
        <v>4</v>
      </c>
      <c r="F3" s="20" t="s">
        <v>5</v>
      </c>
      <c r="G3" s="20" t="s">
        <v>6</v>
      </c>
      <c r="H3" s="20" t="s">
        <v>7</v>
      </c>
      <c r="I3" s="20" t="s">
        <v>8</v>
      </c>
      <c r="J3" s="20" t="s">
        <v>9</v>
      </c>
      <c r="K3" s="20" t="s">
        <v>10</v>
      </c>
      <c r="L3" s="20" t="s">
        <v>11</v>
      </c>
      <c r="M3" s="20" t="s">
        <v>12</v>
      </c>
      <c r="N3" s="20" t="s">
        <v>13</v>
      </c>
      <c r="O3" s="20" t="s">
        <v>14</v>
      </c>
      <c r="P3" s="20" t="s">
        <v>15</v>
      </c>
      <c r="Q3" s="20" t="s">
        <v>16</v>
      </c>
      <c r="R3" s="20" t="s">
        <v>17</v>
      </c>
      <c r="S3" s="20" t="s">
        <v>18</v>
      </c>
      <c r="T3" s="20" t="s">
        <v>19</v>
      </c>
      <c r="U3" s="20" t="s">
        <v>20</v>
      </c>
      <c r="V3" s="20" t="s">
        <v>21</v>
      </c>
      <c r="W3" s="20" t="s">
        <v>22</v>
      </c>
      <c r="X3" s="20" t="s">
        <v>23</v>
      </c>
      <c r="Y3" s="20" t="s">
        <v>24</v>
      </c>
      <c r="Z3" s="20" t="s">
        <v>25</v>
      </c>
      <c r="AA3" s="20" t="s">
        <v>26</v>
      </c>
      <c r="AB3" s="20" t="s">
        <v>27</v>
      </c>
      <c r="AC3" s="20" t="s">
        <v>28</v>
      </c>
      <c r="AD3" s="20" t="s">
        <v>29</v>
      </c>
      <c r="AE3" s="20" t="s">
        <v>30</v>
      </c>
      <c r="AF3" s="20" t="s">
        <v>31</v>
      </c>
      <c r="AG3" s="20" t="s">
        <v>32</v>
      </c>
      <c r="AH3" s="20" t="s">
        <v>33</v>
      </c>
      <c r="AI3" s="20" t="s">
        <v>34</v>
      </c>
      <c r="AJ3" s="20" t="s">
        <v>35</v>
      </c>
      <c r="AK3" s="20" t="s">
        <v>36</v>
      </c>
      <c r="AL3" s="20" t="s">
        <v>37</v>
      </c>
      <c r="AM3" s="21" t="s">
        <v>38</v>
      </c>
      <c r="AP3" s="2"/>
    </row>
    <row r="4" spans="1:44" ht="18" customHeight="1" x14ac:dyDescent="0.25">
      <c r="A4" s="22" t="s">
        <v>49</v>
      </c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5"/>
      <c r="AH4" s="24"/>
      <c r="AI4" s="24"/>
      <c r="AJ4" s="24"/>
      <c r="AK4" s="24"/>
      <c r="AL4" s="24"/>
      <c r="AM4" s="26"/>
      <c r="AP4" s="2"/>
    </row>
    <row r="5" spans="1:44" ht="18" customHeight="1" x14ac:dyDescent="0.25">
      <c r="A5" s="22"/>
      <c r="B5" s="23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5"/>
      <c r="AH5" s="24"/>
      <c r="AI5" s="24"/>
      <c r="AJ5" s="24"/>
      <c r="AK5" s="24"/>
      <c r="AL5" s="24"/>
      <c r="AM5" s="26"/>
      <c r="AP5" s="2"/>
    </row>
    <row r="6" spans="1:44" ht="18" customHeight="1" x14ac:dyDescent="0.25">
      <c r="A6" s="22"/>
      <c r="B6" s="23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5"/>
      <c r="AH6" s="24"/>
      <c r="AI6" s="24"/>
      <c r="AJ6" s="24"/>
      <c r="AK6" s="24"/>
      <c r="AL6" s="24"/>
      <c r="AM6" s="26"/>
      <c r="AP6" s="2"/>
    </row>
    <row r="7" spans="1:44" ht="18" customHeight="1" x14ac:dyDescent="0.25">
      <c r="A7" s="22"/>
      <c r="B7" s="23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5"/>
      <c r="AH7" s="24"/>
      <c r="AI7" s="24"/>
      <c r="AJ7" s="24"/>
      <c r="AK7" s="24"/>
      <c r="AL7" s="24"/>
      <c r="AM7" s="26"/>
      <c r="AP7" s="2"/>
    </row>
    <row r="8" spans="1:44" ht="18" customHeight="1" x14ac:dyDescent="0.25">
      <c r="A8" s="22"/>
      <c r="B8" s="23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5"/>
      <c r="AH8" s="24"/>
      <c r="AI8" s="24"/>
      <c r="AJ8" s="24"/>
      <c r="AK8" s="24"/>
      <c r="AL8" s="24"/>
      <c r="AM8" s="26"/>
      <c r="AP8" s="2"/>
    </row>
    <row r="9" spans="1:44" ht="18" customHeight="1" x14ac:dyDescent="0.25">
      <c r="A9" s="22"/>
      <c r="B9" s="23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5"/>
      <c r="AH9" s="24"/>
      <c r="AI9" s="24"/>
      <c r="AJ9" s="24"/>
      <c r="AK9" s="24"/>
      <c r="AL9" s="24"/>
      <c r="AM9" s="26"/>
      <c r="AP9" s="2"/>
    </row>
    <row r="10" spans="1:44" ht="18" customHeight="1" x14ac:dyDescent="0.25">
      <c r="A10" s="22"/>
      <c r="B10" s="23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5"/>
      <c r="AH10" s="24"/>
      <c r="AI10" s="24"/>
      <c r="AJ10" s="24"/>
      <c r="AK10" s="24"/>
      <c r="AL10" s="24"/>
      <c r="AM10" s="26"/>
      <c r="AP10" s="2"/>
    </row>
    <row r="11" spans="1:44" ht="18" customHeight="1" x14ac:dyDescent="0.25">
      <c r="A11" s="22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5"/>
      <c r="AH11" s="24"/>
      <c r="AI11" s="24"/>
      <c r="AJ11" s="24"/>
      <c r="AK11" s="24"/>
      <c r="AL11" s="24"/>
      <c r="AM11" s="26"/>
      <c r="AP11" s="2"/>
    </row>
    <row r="12" spans="1:44" ht="18" customHeight="1" x14ac:dyDescent="0.25">
      <c r="A12" s="22"/>
      <c r="B12" s="23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5"/>
      <c r="AH12" s="24"/>
      <c r="AI12" s="24"/>
      <c r="AJ12" s="24"/>
      <c r="AK12" s="24"/>
      <c r="AL12" s="24"/>
      <c r="AM12" s="26"/>
      <c r="AP12" s="2"/>
    </row>
    <row r="13" spans="1:44" ht="18" customHeight="1" x14ac:dyDescent="0.25">
      <c r="A13" s="22" t="s">
        <v>0</v>
      </c>
      <c r="B13" s="23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5"/>
      <c r="AH13" s="24"/>
      <c r="AI13" s="24"/>
      <c r="AJ13" s="24"/>
      <c r="AK13" s="24"/>
      <c r="AL13" s="24"/>
      <c r="AM13" s="26"/>
      <c r="AP13" s="2"/>
    </row>
    <row r="14" spans="1:44" ht="18" customHeight="1" x14ac:dyDescent="0.25">
      <c r="A14" s="22" t="s">
        <v>45</v>
      </c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5"/>
      <c r="AH14" s="24"/>
      <c r="AI14" s="24"/>
      <c r="AJ14" s="24"/>
      <c r="AK14" s="24"/>
      <c r="AL14" s="24"/>
      <c r="AM14" s="26"/>
      <c r="AP14" s="2"/>
    </row>
    <row r="15" spans="1:44" ht="18" customHeight="1" x14ac:dyDescent="0.25">
      <c r="A15" s="22" t="s">
        <v>46</v>
      </c>
      <c r="B15" s="23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5"/>
      <c r="AH15" s="24"/>
      <c r="AI15" s="24"/>
      <c r="AJ15" s="24"/>
      <c r="AK15" s="24"/>
      <c r="AL15" s="24"/>
      <c r="AM15" s="26"/>
      <c r="AP15" s="2"/>
    </row>
    <row r="16" spans="1:44" ht="18" customHeight="1" x14ac:dyDescent="0.25">
      <c r="A16" s="27"/>
      <c r="B16" s="28"/>
      <c r="C16" s="29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1"/>
      <c r="AM16" s="32"/>
      <c r="AP16" s="2"/>
    </row>
    <row r="17" spans="1:42" ht="18" customHeight="1" thickBot="1" x14ac:dyDescent="0.3">
      <c r="A17" s="33"/>
      <c r="B17" s="34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6"/>
      <c r="AP17" s="2"/>
    </row>
    <row r="18" spans="1:42" ht="26.25" thickBot="1" x14ac:dyDescent="0.3">
      <c r="A18" s="37" t="s">
        <v>50</v>
      </c>
      <c r="B18" s="40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9"/>
      <c r="AP18" s="2"/>
    </row>
    <row r="19" spans="1:42" s="7" customFormat="1" ht="18" customHeight="1" x14ac:dyDescent="0.25">
      <c r="A19" s="18"/>
      <c r="B19" s="14"/>
      <c r="C19" s="14"/>
      <c r="D19" s="14"/>
      <c r="E19" s="14"/>
      <c r="F19" s="14"/>
      <c r="G19" s="14"/>
      <c r="H19" s="14"/>
      <c r="I19" s="14"/>
      <c r="J19" s="17"/>
      <c r="K19" s="14"/>
      <c r="L19" s="14"/>
      <c r="M19" s="17"/>
      <c r="N19" s="17"/>
      <c r="O19" s="14"/>
      <c r="P19" s="14"/>
      <c r="Q19" s="14"/>
      <c r="R19" s="14"/>
      <c r="S19" s="17"/>
      <c r="T19" s="14"/>
      <c r="U19" s="17"/>
      <c r="V19" s="14"/>
      <c r="W19" s="14"/>
      <c r="X19" s="17"/>
      <c r="Y19" s="17"/>
      <c r="Z19" s="14"/>
      <c r="AA19" s="14"/>
      <c r="AB19" s="14"/>
      <c r="AC19" s="14"/>
      <c r="AD19" s="14"/>
      <c r="AE19" s="14"/>
      <c r="AF19" s="14"/>
      <c r="AG19" s="17"/>
      <c r="AH19" s="14"/>
      <c r="AI19" s="14"/>
      <c r="AJ19" s="17"/>
      <c r="AK19" s="14"/>
      <c r="AL19" s="14"/>
      <c r="AM19" s="14"/>
    </row>
    <row r="20" spans="1:42" s="6" customFormat="1" ht="12" thickBot="1" x14ac:dyDescent="0.3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4"/>
      <c r="AG20" s="10"/>
      <c r="AH20" s="10"/>
      <c r="AI20" s="10"/>
      <c r="AJ20" s="10"/>
      <c r="AK20" s="10"/>
      <c r="AL20" s="10"/>
      <c r="AM20" s="10"/>
      <c r="AP20" s="7"/>
    </row>
    <row r="21" spans="1:42" s="6" customFormat="1" ht="13.5" thickBot="1" x14ac:dyDescent="0.3">
      <c r="A21" s="126" t="s">
        <v>39</v>
      </c>
      <c r="B21" s="123" t="s">
        <v>18</v>
      </c>
      <c r="C21" s="124"/>
      <c r="D21" s="125"/>
      <c r="E21" s="123" t="s">
        <v>40</v>
      </c>
      <c r="F21" s="124"/>
      <c r="G21" s="125"/>
      <c r="H21" s="123" t="s">
        <v>41</v>
      </c>
      <c r="I21" s="124"/>
      <c r="J21" s="125"/>
      <c r="K21" s="123" t="s">
        <v>42</v>
      </c>
      <c r="L21" s="124"/>
      <c r="M21" s="125"/>
      <c r="N21" s="123" t="s">
        <v>43</v>
      </c>
      <c r="O21" s="124"/>
      <c r="P21" s="125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P21" s="7"/>
    </row>
    <row r="22" spans="1:42" s="6" customFormat="1" ht="13.5" thickBot="1" x14ac:dyDescent="0.3">
      <c r="A22" s="127"/>
      <c r="B22" s="11" t="s">
        <v>44</v>
      </c>
      <c r="C22" s="12" t="s">
        <v>48</v>
      </c>
      <c r="D22" s="13" t="s">
        <v>47</v>
      </c>
      <c r="E22" s="11" t="s">
        <v>44</v>
      </c>
      <c r="F22" s="12" t="s">
        <v>48</v>
      </c>
      <c r="G22" s="13" t="s">
        <v>47</v>
      </c>
      <c r="H22" s="11" t="s">
        <v>44</v>
      </c>
      <c r="I22" s="12" t="s">
        <v>48</v>
      </c>
      <c r="J22" s="13" t="s">
        <v>47</v>
      </c>
      <c r="K22" s="11" t="s">
        <v>44</v>
      </c>
      <c r="L22" s="12" t="s">
        <v>48</v>
      </c>
      <c r="M22" s="13" t="s">
        <v>47</v>
      </c>
      <c r="N22" s="11" t="s">
        <v>44</v>
      </c>
      <c r="O22" s="12" t="s">
        <v>48</v>
      </c>
      <c r="P22" s="13" t="s">
        <v>47</v>
      </c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P22" s="7"/>
    </row>
    <row r="23" spans="1:42" s="6" customFormat="1" ht="13.5" thickBot="1" x14ac:dyDescent="0.3">
      <c r="A23" s="8" t="s">
        <v>49</v>
      </c>
      <c r="B23" s="42"/>
      <c r="C23" s="43"/>
      <c r="D23" s="43"/>
      <c r="E23" s="43"/>
      <c r="F23" s="44"/>
      <c r="G23" s="44"/>
      <c r="H23" s="44"/>
      <c r="I23" s="44"/>
      <c r="J23" s="43"/>
      <c r="K23" s="44"/>
      <c r="L23" s="44"/>
      <c r="M23" s="44"/>
      <c r="N23" s="43"/>
      <c r="O23" s="44"/>
      <c r="P23" s="45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P23" s="7"/>
    </row>
    <row r="24" spans="1:42" s="7" customFormat="1" ht="18" customHeight="1" thickBot="1" x14ac:dyDescent="0.3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</row>
    <row r="25" spans="1:42" s="6" customFormat="1" ht="18" customHeight="1" x14ac:dyDescent="0.25"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P25" s="7"/>
    </row>
  </sheetData>
  <mergeCells count="6">
    <mergeCell ref="N21:P21"/>
    <mergeCell ref="A21:A22"/>
    <mergeCell ref="B21:D21"/>
    <mergeCell ref="E21:G21"/>
    <mergeCell ref="H21:J21"/>
    <mergeCell ref="K21:M21"/>
  </mergeCells>
  <printOptions horizontalCentered="1"/>
  <pageMargins left="0.19685039370078741" right="0.19685039370078741" top="0.39370078740157483" bottom="0.19685039370078741" header="0.31496062992125984" footer="0.31496062992125984"/>
  <pageSetup scale="53" orientation="landscape" horizontalDpi="360" verticalDpi="360" r:id="rId1"/>
  <colBreaks count="1" manualBreakCount="1">
    <brk id="3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1F9F0-1E69-49AA-B1A9-2A3D7A8E3F39}">
  <sheetPr>
    <pageSetUpPr fitToPage="1"/>
  </sheetPr>
  <dimension ref="A1:AV74"/>
  <sheetViews>
    <sheetView view="pageBreakPreview" topLeftCell="A23" zoomScale="115" zoomScaleNormal="100" zoomScaleSheetLayoutView="115" workbookViewId="0">
      <selection activeCell="B2" sqref="B2"/>
    </sheetView>
  </sheetViews>
  <sheetFormatPr defaultColWidth="9.140625" defaultRowHeight="18.75" x14ac:dyDescent="0.25"/>
  <cols>
    <col min="1" max="1" width="4.140625" style="57" bestFit="1" customWidth="1"/>
    <col min="2" max="2" width="12.28515625" style="76" customWidth="1"/>
    <col min="3" max="7" width="10" style="57" customWidth="1"/>
    <col min="8" max="8" width="11" style="57" customWidth="1"/>
    <col min="9" max="9" width="10" style="57" customWidth="1"/>
    <col min="10" max="10" width="1.42578125" style="57" customWidth="1"/>
    <col min="11" max="12" width="10" style="57" customWidth="1"/>
    <col min="13" max="13" width="9.28515625" style="57" bestFit="1" customWidth="1"/>
    <col min="14" max="14" width="1.42578125" style="57" customWidth="1"/>
    <col min="15" max="15" width="14.28515625" style="57" customWidth="1"/>
    <col min="16" max="43" width="7.28515625" style="57" customWidth="1"/>
    <col min="44" max="44" width="1.5703125" style="57" customWidth="1"/>
    <col min="45" max="45" width="9.42578125" style="57" customWidth="1"/>
    <col min="46" max="46" width="1.28515625" style="57" customWidth="1"/>
    <col min="47" max="47" width="12.7109375" style="57" bestFit="1" customWidth="1"/>
    <col min="48" max="48" width="10.28515625" style="57" bestFit="1" customWidth="1"/>
    <col min="49" max="16384" width="9.140625" style="57"/>
  </cols>
  <sheetData>
    <row r="1" spans="1:48" ht="15" customHeight="1" x14ac:dyDescent="0.25">
      <c r="B1" s="75" t="s">
        <v>51</v>
      </c>
      <c r="H1" s="133" t="s">
        <v>53</v>
      </c>
      <c r="I1" s="133"/>
      <c r="J1" s="133"/>
      <c r="K1" s="133"/>
      <c r="L1" s="133"/>
      <c r="M1" s="133"/>
      <c r="N1" s="133"/>
      <c r="O1" s="133"/>
    </row>
    <row r="2" spans="1:48" x14ac:dyDescent="0.25">
      <c r="B2" s="76" t="s">
        <v>61</v>
      </c>
    </row>
    <row r="3" spans="1:48" ht="19.5" thickBot="1" x14ac:dyDescent="0.3"/>
    <row r="4" spans="1:48" s="58" customFormat="1" ht="15.75" x14ac:dyDescent="0.25">
      <c r="B4" s="93" t="s">
        <v>63</v>
      </c>
      <c r="C4" s="128" t="s">
        <v>49</v>
      </c>
      <c r="D4" s="128"/>
      <c r="E4" s="128"/>
      <c r="F4" s="128"/>
      <c r="G4" s="128"/>
      <c r="H4" s="128"/>
      <c r="I4" s="129"/>
      <c r="K4" s="82" t="s">
        <v>0</v>
      </c>
      <c r="L4" s="84" t="s">
        <v>45</v>
      </c>
      <c r="M4" s="85" t="s">
        <v>46</v>
      </c>
      <c r="N4" s="57"/>
      <c r="O4" s="86" t="s">
        <v>50</v>
      </c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</row>
    <row r="5" spans="1:48" s="58" customFormat="1" ht="15.75" x14ac:dyDescent="0.25">
      <c r="B5" s="87"/>
      <c r="C5" s="92"/>
      <c r="D5" s="92"/>
      <c r="E5" s="92"/>
      <c r="F5" s="92"/>
      <c r="G5" s="92"/>
      <c r="H5" s="92"/>
      <c r="I5" s="89"/>
      <c r="K5" s="87"/>
      <c r="L5" s="83"/>
      <c r="M5" s="89"/>
      <c r="N5" s="57"/>
      <c r="O5" s="90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</row>
    <row r="6" spans="1:48" s="58" customFormat="1" ht="15.75" x14ac:dyDescent="0.25">
      <c r="B6" s="87"/>
      <c r="C6" s="83"/>
      <c r="D6" s="83"/>
      <c r="E6" s="83"/>
      <c r="F6" s="83"/>
      <c r="G6" s="83"/>
      <c r="H6" s="83"/>
      <c r="I6" s="89"/>
      <c r="K6" s="87"/>
      <c r="L6" s="83"/>
      <c r="M6" s="89"/>
      <c r="N6" s="57"/>
      <c r="O6" s="90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</row>
    <row r="7" spans="1:48" x14ac:dyDescent="0.25">
      <c r="A7" s="75">
        <v>1</v>
      </c>
      <c r="B7" s="74" t="s">
        <v>34</v>
      </c>
      <c r="C7" s="48"/>
      <c r="D7" s="48"/>
      <c r="E7" s="48"/>
      <c r="F7" s="48"/>
      <c r="G7" s="48"/>
      <c r="H7" s="48"/>
      <c r="I7" s="69"/>
      <c r="K7" s="88"/>
      <c r="L7" s="48"/>
      <c r="M7" s="69"/>
      <c r="O7" s="91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</row>
    <row r="8" spans="1:48" ht="19.5" thickBot="1" x14ac:dyDescent="0.3">
      <c r="A8" s="75">
        <f>A7+1</f>
        <v>2</v>
      </c>
      <c r="B8" s="94" t="s">
        <v>37</v>
      </c>
      <c r="C8" s="95"/>
      <c r="D8" s="95"/>
      <c r="E8" s="95"/>
      <c r="F8" s="95"/>
      <c r="G8" s="95"/>
      <c r="H8" s="95"/>
      <c r="I8" s="96"/>
      <c r="J8" s="102"/>
      <c r="K8" s="103"/>
      <c r="L8" s="97"/>
      <c r="M8" s="98"/>
      <c r="N8" s="102"/>
      <c r="O8" s="104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</row>
    <row r="9" spans="1:48" x14ac:dyDescent="0.25">
      <c r="A9" s="75">
        <f t="shared" ref="A9:A50" si="0">A8+1</f>
        <v>3</v>
      </c>
      <c r="B9" s="73" t="s">
        <v>35</v>
      </c>
      <c r="C9" s="47"/>
      <c r="D9" s="47"/>
      <c r="E9" s="47"/>
      <c r="F9" s="47"/>
      <c r="G9" s="47"/>
      <c r="H9" s="47"/>
      <c r="I9" s="46"/>
      <c r="K9" s="52"/>
      <c r="L9" s="47"/>
      <c r="M9" s="46"/>
      <c r="O9" s="5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</row>
    <row r="10" spans="1:48" x14ac:dyDescent="0.25">
      <c r="A10" s="75">
        <f t="shared" si="0"/>
        <v>4</v>
      </c>
      <c r="B10" s="74" t="s">
        <v>38</v>
      </c>
      <c r="C10" s="47"/>
      <c r="D10" s="47"/>
      <c r="E10" s="47"/>
      <c r="F10" s="47"/>
      <c r="G10" s="47"/>
      <c r="H10" s="47"/>
      <c r="I10" s="46"/>
      <c r="K10" s="52"/>
      <c r="L10" s="47"/>
      <c r="M10" s="46"/>
      <c r="O10" s="5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</row>
    <row r="11" spans="1:48" x14ac:dyDescent="0.25">
      <c r="A11" s="75">
        <f t="shared" si="0"/>
        <v>5</v>
      </c>
      <c r="B11" s="74" t="s">
        <v>36</v>
      </c>
      <c r="C11" s="47"/>
      <c r="D11" s="47"/>
      <c r="E11" s="47"/>
      <c r="F11" s="47"/>
      <c r="G11" s="47"/>
      <c r="H11" s="47"/>
      <c r="I11" s="46"/>
      <c r="K11" s="52"/>
      <c r="L11" s="47"/>
      <c r="M11" s="46"/>
      <c r="O11" s="5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</row>
    <row r="12" spans="1:48" s="61" customFormat="1" ht="19.5" thickBot="1" x14ac:dyDescent="0.3">
      <c r="A12" s="75">
        <v>7</v>
      </c>
      <c r="B12" s="94" t="s">
        <v>32</v>
      </c>
      <c r="C12" s="95"/>
      <c r="D12" s="95"/>
      <c r="E12" s="95"/>
      <c r="F12" s="95"/>
      <c r="G12" s="95"/>
      <c r="H12" s="95"/>
      <c r="I12" s="96"/>
      <c r="J12" s="102"/>
      <c r="K12" s="103"/>
      <c r="L12" s="97"/>
      <c r="M12" s="98"/>
      <c r="N12" s="102"/>
      <c r="O12" s="104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</row>
    <row r="13" spans="1:48" x14ac:dyDescent="0.25">
      <c r="A13" s="75">
        <v>11</v>
      </c>
      <c r="B13" s="73" t="s">
        <v>1</v>
      </c>
      <c r="C13" s="47"/>
      <c r="D13" s="47"/>
      <c r="E13" s="47"/>
      <c r="F13" s="47"/>
      <c r="G13" s="47"/>
      <c r="H13" s="47"/>
      <c r="I13" s="46"/>
      <c r="K13" s="52"/>
      <c r="L13" s="47"/>
      <c r="M13" s="46"/>
      <c r="O13" s="5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</row>
    <row r="14" spans="1:48" x14ac:dyDescent="0.25">
      <c r="A14" s="75">
        <f t="shared" si="0"/>
        <v>12</v>
      </c>
      <c r="B14" s="74" t="s">
        <v>2</v>
      </c>
      <c r="C14" s="47"/>
      <c r="D14" s="47"/>
      <c r="E14" s="47"/>
      <c r="F14" s="47"/>
      <c r="G14" s="47"/>
      <c r="H14" s="47"/>
      <c r="I14" s="46"/>
      <c r="K14" s="52"/>
      <c r="L14" s="47"/>
      <c r="M14" s="46"/>
      <c r="O14" s="5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</row>
    <row r="15" spans="1:48" x14ac:dyDescent="0.25">
      <c r="A15" s="75">
        <f t="shared" si="0"/>
        <v>13</v>
      </c>
      <c r="B15" s="74" t="s">
        <v>3</v>
      </c>
      <c r="C15" s="47"/>
      <c r="D15" s="47"/>
      <c r="E15" s="47"/>
      <c r="F15" s="47"/>
      <c r="G15" s="47"/>
      <c r="H15" s="47"/>
      <c r="I15" s="46"/>
      <c r="K15" s="52"/>
      <c r="L15" s="47"/>
      <c r="M15" s="46"/>
      <c r="O15" s="5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</row>
    <row r="16" spans="1:48" x14ac:dyDescent="0.25">
      <c r="A16" s="75">
        <f t="shared" si="0"/>
        <v>14</v>
      </c>
      <c r="B16" s="74" t="s">
        <v>4</v>
      </c>
      <c r="C16" s="47"/>
      <c r="D16" s="47"/>
      <c r="E16" s="47"/>
      <c r="F16" s="47"/>
      <c r="G16" s="47"/>
      <c r="H16" s="47"/>
      <c r="I16" s="46"/>
      <c r="K16" s="52"/>
      <c r="L16" s="47"/>
      <c r="M16" s="46"/>
      <c r="O16" s="5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</row>
    <row r="17" spans="1:48" x14ac:dyDescent="0.25">
      <c r="A17" s="75">
        <f t="shared" si="0"/>
        <v>15</v>
      </c>
      <c r="B17" s="74" t="s">
        <v>5</v>
      </c>
      <c r="C17" s="47"/>
      <c r="D17" s="47"/>
      <c r="E17" s="47"/>
      <c r="F17" s="47"/>
      <c r="G17" s="47"/>
      <c r="H17" s="47"/>
      <c r="I17" s="46"/>
      <c r="K17" s="52"/>
      <c r="L17" s="47"/>
      <c r="M17" s="46"/>
      <c r="O17" s="5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</row>
    <row r="18" spans="1:48" hidden="1" x14ac:dyDescent="0.25">
      <c r="A18" s="75">
        <f t="shared" si="0"/>
        <v>16</v>
      </c>
      <c r="B18" s="74" t="s">
        <v>10</v>
      </c>
      <c r="C18" s="47"/>
      <c r="D18" s="47"/>
      <c r="E18" s="47"/>
      <c r="F18" s="47"/>
      <c r="G18" s="47"/>
      <c r="H18" s="47"/>
      <c r="I18" s="46"/>
      <c r="K18" s="52"/>
      <c r="L18" s="47"/>
      <c r="M18" s="46"/>
      <c r="O18" s="5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</row>
    <row r="19" spans="1:48" x14ac:dyDescent="0.25">
      <c r="A19" s="75">
        <v>16</v>
      </c>
      <c r="B19" s="74" t="s">
        <v>64</v>
      </c>
      <c r="C19" s="47"/>
      <c r="D19" s="47"/>
      <c r="E19" s="47"/>
      <c r="F19" s="47"/>
      <c r="G19" s="47"/>
      <c r="H19" s="47"/>
      <c r="I19" s="46"/>
      <c r="K19" s="52"/>
      <c r="L19" s="47"/>
      <c r="M19" s="46"/>
      <c r="O19" s="5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</row>
    <row r="20" spans="1:48" x14ac:dyDescent="0.25">
      <c r="A20" s="75">
        <f t="shared" si="0"/>
        <v>17</v>
      </c>
      <c r="B20" s="74" t="s">
        <v>6</v>
      </c>
      <c r="C20" s="47"/>
      <c r="D20" s="47"/>
      <c r="E20" s="47"/>
      <c r="F20" s="47"/>
      <c r="G20" s="47"/>
      <c r="H20" s="47"/>
      <c r="I20" s="46"/>
      <c r="K20" s="52"/>
      <c r="L20" s="47"/>
      <c r="M20" s="46"/>
      <c r="O20" s="5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</row>
    <row r="21" spans="1:48" x14ac:dyDescent="0.25">
      <c r="A21" s="75">
        <f t="shared" si="0"/>
        <v>18</v>
      </c>
      <c r="B21" s="74" t="s">
        <v>7</v>
      </c>
      <c r="C21" s="47"/>
      <c r="D21" s="47"/>
      <c r="E21" s="47"/>
      <c r="F21" s="47"/>
      <c r="G21" s="47"/>
      <c r="H21" s="47"/>
      <c r="I21" s="46"/>
      <c r="K21" s="52"/>
      <c r="L21" s="47"/>
      <c r="M21" s="46"/>
      <c r="O21" s="5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</row>
    <row r="22" spans="1:48" s="61" customFormat="1" x14ac:dyDescent="0.25">
      <c r="A22" s="75">
        <f t="shared" si="0"/>
        <v>19</v>
      </c>
      <c r="B22" s="74" t="s">
        <v>65</v>
      </c>
      <c r="C22" s="47"/>
      <c r="D22" s="47"/>
      <c r="E22" s="47"/>
      <c r="F22" s="47"/>
      <c r="G22" s="47"/>
      <c r="H22" s="47"/>
      <c r="I22" s="46"/>
      <c r="J22" s="57"/>
      <c r="K22" s="52"/>
      <c r="L22" s="47"/>
      <c r="M22" s="46"/>
      <c r="N22" s="57"/>
      <c r="O22" s="50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</row>
    <row r="23" spans="1:48" s="61" customFormat="1" x14ac:dyDescent="0.25">
      <c r="A23" s="75">
        <f t="shared" si="0"/>
        <v>20</v>
      </c>
      <c r="B23" s="74" t="s">
        <v>66</v>
      </c>
      <c r="C23" s="47"/>
      <c r="D23" s="47"/>
      <c r="E23" s="47"/>
      <c r="F23" s="47"/>
      <c r="G23" s="47"/>
      <c r="H23" s="47"/>
      <c r="I23" s="46"/>
      <c r="J23" s="57"/>
      <c r="K23" s="52"/>
      <c r="L23" s="47"/>
      <c r="M23" s="46"/>
      <c r="N23" s="57"/>
      <c r="O23" s="50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</row>
    <row r="24" spans="1:48" x14ac:dyDescent="0.25">
      <c r="A24" s="75">
        <f t="shared" si="0"/>
        <v>21</v>
      </c>
      <c r="B24" s="74" t="s">
        <v>67</v>
      </c>
      <c r="C24" s="47"/>
      <c r="D24" s="47"/>
      <c r="E24" s="47"/>
      <c r="F24" s="47"/>
      <c r="G24" s="47"/>
      <c r="H24" s="47"/>
      <c r="I24" s="46"/>
      <c r="K24" s="52"/>
      <c r="L24" s="47"/>
      <c r="M24" s="46"/>
      <c r="O24" s="5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</row>
    <row r="25" spans="1:48" x14ac:dyDescent="0.25">
      <c r="A25" s="75">
        <f t="shared" si="0"/>
        <v>22</v>
      </c>
      <c r="B25" s="74" t="s">
        <v>9</v>
      </c>
      <c r="C25" s="47"/>
      <c r="D25" s="47"/>
      <c r="E25" s="47"/>
      <c r="F25" s="47"/>
      <c r="G25" s="47"/>
      <c r="H25" s="47"/>
      <c r="I25" s="46"/>
      <c r="K25" s="52"/>
      <c r="L25" s="47"/>
      <c r="M25" s="46"/>
      <c r="O25" s="50"/>
      <c r="AS25" s="62" t="e">
        <f>#REF!-AS24</f>
        <v>#REF!</v>
      </c>
    </row>
    <row r="26" spans="1:48" s="61" customFormat="1" x14ac:dyDescent="0.25">
      <c r="A26" s="75">
        <f t="shared" si="0"/>
        <v>23</v>
      </c>
      <c r="B26" s="74" t="s">
        <v>11</v>
      </c>
      <c r="C26" s="47"/>
      <c r="D26" s="47"/>
      <c r="E26" s="47"/>
      <c r="F26" s="47"/>
      <c r="G26" s="47"/>
      <c r="H26" s="47"/>
      <c r="I26" s="46"/>
      <c r="J26" s="57"/>
      <c r="K26" s="52"/>
      <c r="L26" s="47"/>
      <c r="M26" s="46"/>
      <c r="N26" s="57"/>
      <c r="O26" s="50"/>
      <c r="P26" s="57"/>
      <c r="Q26" s="57"/>
      <c r="R26" s="57"/>
      <c r="S26" s="57"/>
      <c r="T26" s="57"/>
      <c r="U26" s="57"/>
      <c r="V26" s="57"/>
      <c r="W26" s="57"/>
      <c r="X26" s="57"/>
      <c r="Y26" s="57"/>
    </row>
    <row r="27" spans="1:48" s="61" customFormat="1" x14ac:dyDescent="0.25">
      <c r="A27" s="75">
        <f t="shared" si="0"/>
        <v>24</v>
      </c>
      <c r="B27" s="74" t="s">
        <v>12</v>
      </c>
      <c r="C27" s="47"/>
      <c r="D27" s="47"/>
      <c r="E27" s="47"/>
      <c r="F27" s="47"/>
      <c r="G27" s="47"/>
      <c r="H27" s="47"/>
      <c r="I27" s="46"/>
      <c r="J27" s="57"/>
      <c r="K27" s="52"/>
      <c r="L27" s="47"/>
      <c r="M27" s="46"/>
      <c r="N27" s="57"/>
      <c r="O27" s="50"/>
      <c r="P27" s="57"/>
      <c r="Q27" s="57"/>
      <c r="R27" s="57"/>
      <c r="S27" s="57"/>
      <c r="T27" s="57"/>
      <c r="U27" s="57"/>
      <c r="V27" s="57"/>
      <c r="W27" s="57"/>
      <c r="X27" s="57"/>
      <c r="Y27" s="57"/>
    </row>
    <row r="28" spans="1:48" x14ac:dyDescent="0.25">
      <c r="A28" s="75">
        <f t="shared" si="0"/>
        <v>25</v>
      </c>
      <c r="B28" s="74" t="s">
        <v>14</v>
      </c>
      <c r="C28" s="47"/>
      <c r="D28" s="47"/>
      <c r="E28" s="47"/>
      <c r="F28" s="47"/>
      <c r="G28" s="47"/>
      <c r="H28" s="47"/>
      <c r="I28" s="46"/>
      <c r="K28" s="52"/>
      <c r="L28" s="47"/>
      <c r="M28" s="46"/>
      <c r="O28" s="50"/>
    </row>
    <row r="29" spans="1:48" x14ac:dyDescent="0.25">
      <c r="A29" s="75">
        <f t="shared" si="0"/>
        <v>26</v>
      </c>
      <c r="B29" s="74" t="s">
        <v>16</v>
      </c>
      <c r="C29" s="47"/>
      <c r="D29" s="47"/>
      <c r="E29" s="47"/>
      <c r="F29" s="47"/>
      <c r="G29" s="47"/>
      <c r="H29" s="47"/>
      <c r="I29" s="46"/>
      <c r="K29" s="52"/>
      <c r="L29" s="47"/>
      <c r="M29" s="46"/>
      <c r="O29" s="50"/>
    </row>
    <row r="30" spans="1:48" x14ac:dyDescent="0.25">
      <c r="A30" s="75">
        <f t="shared" si="0"/>
        <v>27</v>
      </c>
      <c r="B30" s="74" t="s">
        <v>13</v>
      </c>
      <c r="C30" s="47"/>
      <c r="D30" s="47"/>
      <c r="E30" s="47"/>
      <c r="F30" s="47"/>
      <c r="G30" s="47"/>
      <c r="H30" s="47"/>
      <c r="I30" s="46"/>
      <c r="K30" s="52"/>
      <c r="L30" s="47"/>
      <c r="M30" s="46"/>
      <c r="O30" s="50"/>
    </row>
    <row r="31" spans="1:48" x14ac:dyDescent="0.25">
      <c r="A31" s="75">
        <f t="shared" si="0"/>
        <v>28</v>
      </c>
      <c r="B31" s="74" t="s">
        <v>15</v>
      </c>
      <c r="C31" s="47"/>
      <c r="D31" s="47"/>
      <c r="E31" s="47"/>
      <c r="F31" s="47"/>
      <c r="G31" s="47"/>
      <c r="H31" s="47"/>
      <c r="I31" s="46"/>
      <c r="K31" s="52"/>
      <c r="L31" s="47"/>
      <c r="M31" s="46"/>
      <c r="O31" s="50"/>
    </row>
    <row r="32" spans="1:48" x14ac:dyDescent="0.25">
      <c r="A32" s="75">
        <f t="shared" si="0"/>
        <v>29</v>
      </c>
      <c r="B32" s="74" t="s">
        <v>17</v>
      </c>
      <c r="C32" s="47"/>
      <c r="D32" s="47"/>
      <c r="E32" s="47"/>
      <c r="F32" s="47"/>
      <c r="G32" s="47"/>
      <c r="H32" s="47"/>
      <c r="I32" s="46"/>
      <c r="K32" s="52"/>
      <c r="L32" s="47"/>
      <c r="M32" s="46"/>
      <c r="O32" s="50"/>
    </row>
    <row r="33" spans="1:15" x14ac:dyDescent="0.25">
      <c r="A33" s="75">
        <f t="shared" si="0"/>
        <v>30</v>
      </c>
      <c r="B33" s="74" t="s">
        <v>18</v>
      </c>
      <c r="C33" s="47"/>
      <c r="D33" s="47"/>
      <c r="E33" s="47"/>
      <c r="F33" s="47"/>
      <c r="G33" s="47"/>
      <c r="H33" s="47"/>
      <c r="I33" s="46"/>
      <c r="K33" s="52"/>
      <c r="L33" s="47"/>
      <c r="M33" s="46"/>
      <c r="O33" s="50"/>
    </row>
    <row r="34" spans="1:15" hidden="1" x14ac:dyDescent="0.25">
      <c r="A34" s="75">
        <f t="shared" si="0"/>
        <v>31</v>
      </c>
      <c r="B34" s="74" t="s">
        <v>26</v>
      </c>
      <c r="C34" s="47"/>
      <c r="D34" s="47"/>
      <c r="E34" s="47"/>
      <c r="F34" s="47"/>
      <c r="G34" s="47"/>
      <c r="H34" s="47"/>
      <c r="I34" s="46"/>
      <c r="K34" s="52"/>
      <c r="L34" s="47"/>
      <c r="M34" s="46"/>
      <c r="O34" s="50"/>
    </row>
    <row r="35" spans="1:15" x14ac:dyDescent="0.25">
      <c r="A35" s="75">
        <v>31</v>
      </c>
      <c r="B35" s="74" t="s">
        <v>19</v>
      </c>
      <c r="C35" s="47"/>
      <c r="D35" s="47"/>
      <c r="E35" s="47"/>
      <c r="F35" s="47"/>
      <c r="G35" s="47"/>
      <c r="H35" s="47"/>
      <c r="I35" s="46"/>
      <c r="K35" s="52"/>
      <c r="L35" s="47"/>
      <c r="M35" s="46"/>
      <c r="O35" s="50"/>
    </row>
    <row r="36" spans="1:15" ht="19.5" thickBot="1" x14ac:dyDescent="0.3">
      <c r="A36" s="75">
        <f t="shared" si="0"/>
        <v>32</v>
      </c>
      <c r="B36" s="94" t="s">
        <v>20</v>
      </c>
      <c r="C36" s="95"/>
      <c r="D36" s="95"/>
      <c r="E36" s="95"/>
      <c r="F36" s="95"/>
      <c r="G36" s="95"/>
      <c r="H36" s="95"/>
      <c r="I36" s="96"/>
      <c r="J36" s="102"/>
      <c r="K36" s="103"/>
      <c r="L36" s="97"/>
      <c r="M36" s="98"/>
      <c r="N36" s="102"/>
      <c r="O36" s="104"/>
    </row>
    <row r="37" spans="1:15" x14ac:dyDescent="0.25">
      <c r="A37" s="75">
        <f t="shared" si="0"/>
        <v>33</v>
      </c>
      <c r="B37" s="73" t="s">
        <v>21</v>
      </c>
      <c r="C37" s="47"/>
      <c r="D37" s="47"/>
      <c r="E37" s="47"/>
      <c r="F37" s="47"/>
      <c r="G37" s="47"/>
      <c r="H37" s="47"/>
      <c r="I37" s="46"/>
      <c r="K37" s="52"/>
      <c r="L37" s="47"/>
      <c r="M37" s="46"/>
      <c r="O37" s="50"/>
    </row>
    <row r="38" spans="1:15" ht="19.5" thickBot="1" x14ac:dyDescent="0.3">
      <c r="A38" s="75">
        <f t="shared" si="0"/>
        <v>34</v>
      </c>
      <c r="B38" s="94" t="s">
        <v>22</v>
      </c>
      <c r="C38" s="95"/>
      <c r="D38" s="95"/>
      <c r="E38" s="95"/>
      <c r="F38" s="95"/>
      <c r="G38" s="95"/>
      <c r="H38" s="95"/>
      <c r="I38" s="96"/>
      <c r="J38" s="102"/>
      <c r="K38" s="103"/>
      <c r="L38" s="97"/>
      <c r="M38" s="98"/>
      <c r="N38" s="102"/>
      <c r="O38" s="104"/>
    </row>
    <row r="39" spans="1:15" ht="19.5" thickBot="1" x14ac:dyDescent="0.3">
      <c r="A39" s="75">
        <f t="shared" si="0"/>
        <v>35</v>
      </c>
      <c r="B39" s="99" t="s">
        <v>23</v>
      </c>
      <c r="C39" s="100"/>
      <c r="D39" s="100"/>
      <c r="E39" s="100"/>
      <c r="F39" s="100"/>
      <c r="G39" s="100"/>
      <c r="H39" s="100"/>
      <c r="I39" s="101"/>
      <c r="J39" s="105"/>
      <c r="K39" s="106"/>
      <c r="L39" s="100"/>
      <c r="M39" s="101"/>
      <c r="N39" s="105"/>
      <c r="O39" s="107"/>
    </row>
    <row r="40" spans="1:15" hidden="1" x14ac:dyDescent="0.25">
      <c r="A40" s="75">
        <f t="shared" si="0"/>
        <v>36</v>
      </c>
      <c r="B40" s="73" t="s">
        <v>31</v>
      </c>
      <c r="C40" s="47"/>
      <c r="D40" s="47"/>
      <c r="E40" s="47"/>
      <c r="F40" s="47"/>
      <c r="G40" s="47"/>
      <c r="H40" s="47"/>
      <c r="I40" s="46"/>
      <c r="K40" s="52"/>
      <c r="L40" s="47"/>
      <c r="M40" s="46"/>
      <c r="O40" s="50"/>
    </row>
    <row r="41" spans="1:15" ht="19.5" thickBot="1" x14ac:dyDescent="0.3">
      <c r="A41" s="75">
        <v>36</v>
      </c>
      <c r="B41" s="94" t="s">
        <v>24</v>
      </c>
      <c r="C41" s="97"/>
      <c r="D41" s="97"/>
      <c r="E41" s="97"/>
      <c r="F41" s="97"/>
      <c r="G41" s="97"/>
      <c r="H41" s="97"/>
      <c r="I41" s="98"/>
      <c r="J41" s="102"/>
      <c r="K41" s="103"/>
      <c r="L41" s="97"/>
      <c r="M41" s="98"/>
      <c r="N41" s="102"/>
      <c r="O41" s="104"/>
    </row>
    <row r="42" spans="1:15" hidden="1" x14ac:dyDescent="0.25">
      <c r="A42" s="75">
        <f t="shared" si="0"/>
        <v>37</v>
      </c>
      <c r="B42" s="73" t="s">
        <v>33</v>
      </c>
      <c r="C42" s="47"/>
      <c r="D42" s="47"/>
      <c r="E42" s="47"/>
      <c r="F42" s="47"/>
      <c r="G42" s="47"/>
      <c r="H42" s="47"/>
      <c r="I42" s="46"/>
      <c r="K42" s="52"/>
      <c r="L42" s="47"/>
      <c r="M42" s="46"/>
      <c r="O42" s="50"/>
    </row>
    <row r="43" spans="1:15" x14ac:dyDescent="0.25">
      <c r="A43" s="75">
        <v>37</v>
      </c>
      <c r="B43" s="74" t="s">
        <v>25</v>
      </c>
      <c r="C43" s="47"/>
      <c r="D43" s="47"/>
      <c r="E43" s="47"/>
      <c r="F43" s="47"/>
      <c r="G43" s="47"/>
      <c r="H43" s="47"/>
      <c r="I43" s="46"/>
      <c r="K43" s="52"/>
      <c r="L43" s="47"/>
      <c r="M43" s="46"/>
      <c r="O43" s="50"/>
    </row>
    <row r="44" spans="1:15" x14ac:dyDescent="0.25">
      <c r="A44" s="75">
        <f t="shared" si="0"/>
        <v>38</v>
      </c>
      <c r="B44" s="74" t="s">
        <v>68</v>
      </c>
      <c r="C44" s="47"/>
      <c r="D44" s="47"/>
      <c r="E44" s="47"/>
      <c r="F44" s="47"/>
      <c r="G44" s="47"/>
      <c r="H44" s="47"/>
      <c r="I44" s="46"/>
      <c r="K44" s="52"/>
      <c r="L44" s="47"/>
      <c r="M44" s="46"/>
      <c r="O44" s="50"/>
    </row>
    <row r="45" spans="1:15" x14ac:dyDescent="0.25">
      <c r="A45" s="75">
        <f t="shared" si="0"/>
        <v>39</v>
      </c>
      <c r="B45" s="74" t="s">
        <v>26</v>
      </c>
      <c r="C45" s="47"/>
      <c r="D45" s="47"/>
      <c r="E45" s="47"/>
      <c r="F45" s="47"/>
      <c r="G45" s="47"/>
      <c r="H45" s="47"/>
      <c r="I45" s="46"/>
      <c r="K45" s="52"/>
      <c r="L45" s="47"/>
      <c r="M45" s="46"/>
      <c r="O45" s="50"/>
    </row>
    <row r="46" spans="1:15" x14ac:dyDescent="0.25">
      <c r="A46" s="75">
        <f t="shared" si="0"/>
        <v>40</v>
      </c>
      <c r="B46" s="74" t="s">
        <v>69</v>
      </c>
      <c r="C46" s="47"/>
      <c r="D46" s="47"/>
      <c r="E46" s="47"/>
      <c r="F46" s="47"/>
      <c r="G46" s="47"/>
      <c r="H46" s="47"/>
      <c r="I46" s="46"/>
      <c r="K46" s="52"/>
      <c r="L46" s="47"/>
      <c r="M46" s="46"/>
      <c r="O46" s="50"/>
    </row>
    <row r="47" spans="1:15" x14ac:dyDescent="0.25">
      <c r="A47" s="75">
        <f t="shared" si="0"/>
        <v>41</v>
      </c>
      <c r="B47" s="74" t="s">
        <v>28</v>
      </c>
      <c r="C47" s="47"/>
      <c r="D47" s="47"/>
      <c r="E47" s="47"/>
      <c r="F47" s="47"/>
      <c r="G47" s="47"/>
      <c r="H47" s="47"/>
      <c r="I47" s="46"/>
      <c r="K47" s="52"/>
      <c r="L47" s="47"/>
      <c r="M47" s="46"/>
      <c r="O47" s="50"/>
    </row>
    <row r="48" spans="1:15" x14ac:dyDescent="0.25">
      <c r="A48" s="75">
        <f t="shared" si="0"/>
        <v>42</v>
      </c>
      <c r="B48" s="74" t="s">
        <v>70</v>
      </c>
      <c r="C48" s="47"/>
      <c r="D48" s="47"/>
      <c r="E48" s="47"/>
      <c r="F48" s="47"/>
      <c r="G48" s="47"/>
      <c r="H48" s="47"/>
      <c r="I48" s="46"/>
      <c r="K48" s="52"/>
      <c r="L48" s="47"/>
      <c r="M48" s="46"/>
      <c r="O48" s="50"/>
    </row>
    <row r="49" spans="1:15" x14ac:dyDescent="0.25">
      <c r="A49" s="75">
        <f t="shared" si="0"/>
        <v>43</v>
      </c>
      <c r="B49" s="74" t="s">
        <v>29</v>
      </c>
      <c r="C49" s="47"/>
      <c r="D49" s="47"/>
      <c r="E49" s="47"/>
      <c r="F49" s="47"/>
      <c r="G49" s="47"/>
      <c r="H49" s="47"/>
      <c r="I49" s="46"/>
      <c r="K49" s="52"/>
      <c r="L49" s="47"/>
      <c r="M49" s="46"/>
      <c r="O49" s="50"/>
    </row>
    <row r="50" spans="1:15" x14ac:dyDescent="0.25">
      <c r="A50" s="75">
        <f t="shared" si="0"/>
        <v>44</v>
      </c>
      <c r="B50" s="74" t="s">
        <v>30</v>
      </c>
      <c r="C50" s="47"/>
      <c r="D50" s="47"/>
      <c r="E50" s="47"/>
      <c r="F50" s="47"/>
      <c r="G50" s="47"/>
      <c r="H50" s="47"/>
      <c r="I50" s="46"/>
      <c r="K50" s="52"/>
      <c r="L50" s="47"/>
      <c r="M50" s="46"/>
      <c r="O50" s="50"/>
    </row>
    <row r="51" spans="1:15" s="63" customFormat="1" ht="19.5" thickBot="1" x14ac:dyDescent="0.3">
      <c r="B51" s="77" t="s">
        <v>60</v>
      </c>
      <c r="C51" s="49"/>
      <c r="D51" s="49"/>
      <c r="E51" s="49"/>
      <c r="F51" s="49"/>
      <c r="G51" s="49"/>
      <c r="H51" s="49"/>
      <c r="I51" s="54"/>
      <c r="K51" s="53"/>
      <c r="L51" s="49"/>
      <c r="M51" s="54"/>
      <c r="N51" s="57"/>
      <c r="O51" s="51"/>
    </row>
    <row r="52" spans="1:15" ht="7.5" customHeight="1" thickBot="1" x14ac:dyDescent="0.3"/>
    <row r="53" spans="1:15" ht="19.5" thickBot="1" x14ac:dyDescent="0.3">
      <c r="B53" s="78" t="s">
        <v>39</v>
      </c>
      <c r="C53" s="130" t="s">
        <v>49</v>
      </c>
      <c r="D53" s="131"/>
      <c r="E53" s="131"/>
      <c r="F53" s="131"/>
      <c r="G53" s="131"/>
      <c r="H53" s="131"/>
      <c r="I53" s="132"/>
      <c r="O53" s="72" t="s">
        <v>62</v>
      </c>
    </row>
    <row r="54" spans="1:15" x14ac:dyDescent="0.25">
      <c r="B54" s="79" t="s">
        <v>18</v>
      </c>
      <c r="C54" s="67"/>
      <c r="D54" s="67"/>
      <c r="E54" s="67"/>
      <c r="F54" s="67"/>
      <c r="G54" s="67"/>
      <c r="H54" s="67"/>
      <c r="I54" s="68"/>
      <c r="O54" s="55"/>
    </row>
    <row r="55" spans="1:15" x14ac:dyDescent="0.25">
      <c r="B55" s="80" t="s">
        <v>55</v>
      </c>
      <c r="C55" s="48"/>
      <c r="D55" s="48"/>
      <c r="E55" s="48"/>
      <c r="F55" s="48"/>
      <c r="G55" s="48"/>
      <c r="H55" s="48"/>
      <c r="I55" s="69"/>
      <c r="O55" s="50"/>
    </row>
    <row r="56" spans="1:15" ht="19.5" thickBot="1" x14ac:dyDescent="0.3">
      <c r="B56" s="81" t="s">
        <v>54</v>
      </c>
      <c r="C56" s="70"/>
      <c r="D56" s="70"/>
      <c r="E56" s="70"/>
      <c r="F56" s="70"/>
      <c r="G56" s="70"/>
      <c r="H56" s="70"/>
      <c r="I56" s="71"/>
      <c r="O56" s="56"/>
    </row>
    <row r="57" spans="1:15" ht="7.5" customHeight="1" thickBot="1" x14ac:dyDescent="0.3"/>
    <row r="58" spans="1:15" x14ac:dyDescent="0.25">
      <c r="B58" s="79" t="s">
        <v>56</v>
      </c>
      <c r="C58" s="67"/>
      <c r="D58" s="67"/>
      <c r="E58" s="67"/>
      <c r="F58" s="67"/>
      <c r="G58" s="67"/>
      <c r="H58" s="67"/>
      <c r="I58" s="68"/>
      <c r="O58" s="55"/>
    </row>
    <row r="59" spans="1:15" x14ac:dyDescent="0.25">
      <c r="B59" s="80" t="s">
        <v>55</v>
      </c>
      <c r="C59" s="48"/>
      <c r="D59" s="48"/>
      <c r="E59" s="48"/>
      <c r="F59" s="48"/>
      <c r="G59" s="48"/>
      <c r="H59" s="48"/>
      <c r="I59" s="69"/>
      <c r="O59" s="50"/>
    </row>
    <row r="60" spans="1:15" ht="19.5" thickBot="1" x14ac:dyDescent="0.3">
      <c r="B60" s="81" t="s">
        <v>54</v>
      </c>
      <c r="C60" s="70"/>
      <c r="D60" s="70"/>
      <c r="E60" s="70"/>
      <c r="F60" s="70"/>
      <c r="G60" s="70"/>
      <c r="H60" s="70"/>
      <c r="I60" s="71"/>
      <c r="O60" s="56"/>
    </row>
    <row r="61" spans="1:15" ht="7.5" customHeight="1" thickBot="1" x14ac:dyDescent="0.3"/>
    <row r="62" spans="1:15" x14ac:dyDescent="0.25">
      <c r="B62" s="79" t="s">
        <v>41</v>
      </c>
      <c r="C62" s="67"/>
      <c r="D62" s="67"/>
      <c r="E62" s="67"/>
      <c r="F62" s="67"/>
      <c r="G62" s="67"/>
      <c r="H62" s="67"/>
      <c r="I62" s="68"/>
      <c r="O62" s="55"/>
    </row>
    <row r="63" spans="1:15" x14ac:dyDescent="0.25">
      <c r="B63" s="80" t="s">
        <v>55</v>
      </c>
      <c r="C63" s="48"/>
      <c r="D63" s="48"/>
      <c r="E63" s="48"/>
      <c r="F63" s="48"/>
      <c r="G63" s="48"/>
      <c r="H63" s="48"/>
      <c r="I63" s="69"/>
      <c r="O63" s="50"/>
    </row>
    <row r="64" spans="1:15" ht="19.5" thickBot="1" x14ac:dyDescent="0.3">
      <c r="B64" s="81" t="s">
        <v>54</v>
      </c>
      <c r="C64" s="70"/>
      <c r="D64" s="70"/>
      <c r="E64" s="70"/>
      <c r="F64" s="70"/>
      <c r="G64" s="70"/>
      <c r="H64" s="70"/>
      <c r="I64" s="71"/>
      <c r="O64" s="56"/>
    </row>
    <row r="65" spans="2:15" ht="7.5" customHeight="1" thickBot="1" x14ac:dyDescent="0.3"/>
    <row r="66" spans="2:15" x14ac:dyDescent="0.25">
      <c r="B66" s="79" t="s">
        <v>57</v>
      </c>
      <c r="C66" s="67"/>
      <c r="D66" s="67"/>
      <c r="E66" s="67"/>
      <c r="F66" s="67"/>
      <c r="G66" s="67"/>
      <c r="H66" s="67"/>
      <c r="I66" s="68"/>
      <c r="O66" s="55"/>
    </row>
    <row r="67" spans="2:15" x14ac:dyDescent="0.25">
      <c r="B67" s="80" t="s">
        <v>55</v>
      </c>
      <c r="C67" s="48"/>
      <c r="D67" s="48"/>
      <c r="E67" s="48"/>
      <c r="F67" s="48"/>
      <c r="G67" s="48"/>
      <c r="H67" s="48"/>
      <c r="I67" s="69"/>
      <c r="O67" s="50"/>
    </row>
    <row r="68" spans="2:15" ht="19.5" thickBot="1" x14ac:dyDescent="0.3">
      <c r="B68" s="81" t="s">
        <v>54</v>
      </c>
      <c r="C68" s="70"/>
      <c r="D68" s="70"/>
      <c r="E68" s="70"/>
      <c r="F68" s="70"/>
      <c r="G68" s="70"/>
      <c r="H68" s="70"/>
      <c r="I68" s="71"/>
      <c r="O68" s="56"/>
    </row>
    <row r="69" spans="2:15" ht="7.5" customHeight="1" thickBot="1" x14ac:dyDescent="0.3"/>
    <row r="70" spans="2:15" x14ac:dyDescent="0.25">
      <c r="B70" s="79" t="s">
        <v>58</v>
      </c>
      <c r="C70" s="67"/>
      <c r="D70" s="67"/>
      <c r="E70" s="67"/>
      <c r="F70" s="67"/>
      <c r="G70" s="67"/>
      <c r="H70" s="67"/>
      <c r="I70" s="68"/>
      <c r="O70" s="55"/>
    </row>
    <row r="71" spans="2:15" x14ac:dyDescent="0.25">
      <c r="B71" s="80" t="s">
        <v>55</v>
      </c>
      <c r="C71" s="48"/>
      <c r="D71" s="48"/>
      <c r="E71" s="48"/>
      <c r="F71" s="48"/>
      <c r="G71" s="48"/>
      <c r="H71" s="48"/>
      <c r="I71" s="69"/>
      <c r="O71" s="50"/>
    </row>
    <row r="72" spans="2:15" ht="19.5" thickBot="1" x14ac:dyDescent="0.3">
      <c r="B72" s="81" t="s">
        <v>54</v>
      </c>
      <c r="C72" s="70"/>
      <c r="D72" s="70"/>
      <c r="E72" s="70"/>
      <c r="F72" s="70"/>
      <c r="G72" s="70"/>
      <c r="H72" s="70"/>
      <c r="I72" s="71"/>
      <c r="O72" s="56"/>
    </row>
    <row r="73" spans="2:15" ht="7.5" customHeight="1" thickBot="1" x14ac:dyDescent="0.3"/>
    <row r="74" spans="2:15" ht="19.5" thickBot="1" x14ac:dyDescent="0.3">
      <c r="B74" s="78" t="s">
        <v>59</v>
      </c>
      <c r="C74" s="65"/>
      <c r="D74" s="65"/>
      <c r="E74" s="65"/>
      <c r="F74" s="65"/>
      <c r="G74" s="65"/>
      <c r="H74" s="65"/>
      <c r="I74" s="66"/>
      <c r="O74" s="64"/>
    </row>
  </sheetData>
  <mergeCells count="3">
    <mergeCell ref="C4:I4"/>
    <mergeCell ref="C53:I53"/>
    <mergeCell ref="H1:O1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66" orientation="portrait" horizontalDpi="360" verticalDpi="360" r:id="rId1"/>
  <colBreaks count="1" manualBreakCount="1">
    <brk id="18" max="8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2DD76-19AA-4478-81E4-7402F406C272}">
  <sheetPr>
    <pageSetUpPr fitToPage="1"/>
  </sheetPr>
  <dimension ref="A1:BA74"/>
  <sheetViews>
    <sheetView zoomScale="130" zoomScaleNormal="130" zoomScaleSheetLayoutView="115" workbookViewId="0">
      <selection activeCell="B2" sqref="B2"/>
    </sheetView>
  </sheetViews>
  <sheetFormatPr defaultColWidth="9.140625" defaultRowHeight="18.75" x14ac:dyDescent="0.25"/>
  <cols>
    <col min="1" max="1" width="4.140625" style="57" bestFit="1" customWidth="1"/>
    <col min="2" max="2" width="12.28515625" style="76" customWidth="1"/>
    <col min="3" max="6" width="10" style="57" customWidth="1"/>
    <col min="7" max="7" width="6.85546875" style="57" customWidth="1"/>
    <col min="8" max="8" width="6.7109375" style="57" customWidth="1"/>
    <col min="9" max="9" width="5" style="57" customWidth="1"/>
    <col min="10" max="10" width="6.85546875" style="57" customWidth="1"/>
    <col min="11" max="11" width="5.5703125" style="57" bestFit="1" customWidth="1"/>
    <col min="12" max="12" width="1.42578125" style="57" customWidth="1"/>
    <col min="13" max="13" width="10" style="57" customWidth="1"/>
    <col min="14" max="14" width="5.5703125" style="57" bestFit="1" customWidth="1"/>
    <col min="15" max="15" width="10" style="57" customWidth="1"/>
    <col min="16" max="16" width="5.5703125" style="57" customWidth="1"/>
    <col min="17" max="17" width="10" style="57" customWidth="1"/>
    <col min="18" max="18" width="5.5703125" style="57" bestFit="1" customWidth="1"/>
    <col min="19" max="19" width="1.42578125" style="57" customWidth="1"/>
    <col min="20" max="20" width="14.28515625" style="57" customWidth="1"/>
    <col min="21" max="21" width="5.5703125" style="57" customWidth="1"/>
    <col min="22" max="48" width="7.28515625" style="57" customWidth="1"/>
    <col min="49" max="49" width="1.5703125" style="57" customWidth="1"/>
    <col min="50" max="50" width="9.42578125" style="57" customWidth="1"/>
    <col min="51" max="51" width="1.28515625" style="57" customWidth="1"/>
    <col min="52" max="52" width="12.7109375" style="57" bestFit="1" customWidth="1"/>
    <col min="53" max="53" width="10.28515625" style="57" bestFit="1" customWidth="1"/>
    <col min="54" max="16384" width="9.140625" style="57"/>
  </cols>
  <sheetData>
    <row r="1" spans="1:53" ht="15" customHeight="1" x14ac:dyDescent="0.25">
      <c r="B1" s="75" t="s">
        <v>51</v>
      </c>
      <c r="I1" s="133" t="s">
        <v>53</v>
      </c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</row>
    <row r="2" spans="1:53" x14ac:dyDescent="0.25">
      <c r="B2" s="76" t="s">
        <v>74</v>
      </c>
    </row>
    <row r="3" spans="1:53" ht="19.5" thickBot="1" x14ac:dyDescent="0.3"/>
    <row r="4" spans="1:53" s="58" customFormat="1" ht="15.75" x14ac:dyDescent="0.25">
      <c r="B4" s="93" t="s">
        <v>63</v>
      </c>
      <c r="C4" s="128" t="s">
        <v>49</v>
      </c>
      <c r="D4" s="128"/>
      <c r="E4" s="128"/>
      <c r="F4" s="128"/>
      <c r="G4" s="128"/>
      <c r="H4" s="128"/>
      <c r="I4" s="128"/>
      <c r="J4" s="134"/>
      <c r="K4" s="129"/>
      <c r="M4" s="82" t="s">
        <v>0</v>
      </c>
      <c r="N4" s="117" t="s">
        <v>73</v>
      </c>
      <c r="O4" s="84" t="s">
        <v>45</v>
      </c>
      <c r="P4" s="117" t="s">
        <v>73</v>
      </c>
      <c r="Q4" s="85" t="s">
        <v>46</v>
      </c>
      <c r="R4" s="117" t="s">
        <v>73</v>
      </c>
      <c r="S4" s="57"/>
      <c r="T4" s="86" t="s">
        <v>50</v>
      </c>
      <c r="U4" s="86" t="s">
        <v>73</v>
      </c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</row>
    <row r="5" spans="1:53" s="58" customFormat="1" ht="15.75" x14ac:dyDescent="0.25">
      <c r="B5" s="87"/>
      <c r="C5" s="92"/>
      <c r="D5" s="92"/>
      <c r="E5" s="92"/>
      <c r="F5" s="92"/>
      <c r="G5" s="92" t="s">
        <v>71</v>
      </c>
      <c r="H5" s="92" t="s">
        <v>47</v>
      </c>
      <c r="I5" s="92"/>
      <c r="J5" s="92" t="s">
        <v>72</v>
      </c>
      <c r="K5" s="89"/>
      <c r="M5" s="87"/>
      <c r="N5" s="118"/>
      <c r="O5" s="92"/>
      <c r="P5" s="108"/>
      <c r="Q5" s="108"/>
      <c r="R5" s="89"/>
      <c r="S5" s="57"/>
      <c r="T5" s="90"/>
      <c r="U5" s="90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</row>
    <row r="6" spans="1:53" s="58" customFormat="1" ht="15.75" x14ac:dyDescent="0.25">
      <c r="B6" s="87"/>
      <c r="C6" s="92"/>
      <c r="D6" s="92"/>
      <c r="E6" s="92"/>
      <c r="F6" s="92"/>
      <c r="G6" s="92"/>
      <c r="H6" s="92"/>
      <c r="I6" s="92"/>
      <c r="J6" s="108"/>
      <c r="K6" s="89"/>
      <c r="M6" s="87"/>
      <c r="N6" s="118"/>
      <c r="O6" s="92"/>
      <c r="P6" s="108"/>
      <c r="Q6" s="108"/>
      <c r="R6" s="89"/>
      <c r="S6" s="57"/>
      <c r="T6" s="90"/>
      <c r="U6" s="90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</row>
    <row r="7" spans="1:53" x14ac:dyDescent="0.25">
      <c r="A7" s="75">
        <v>1</v>
      </c>
      <c r="B7" s="74" t="s">
        <v>34</v>
      </c>
      <c r="C7" s="48">
        <f>63+20</f>
        <v>83</v>
      </c>
      <c r="D7" s="48"/>
      <c r="E7" s="48"/>
      <c r="F7" s="48">
        <v>17</v>
      </c>
      <c r="G7" s="48">
        <v>1</v>
      </c>
      <c r="H7" s="48"/>
      <c r="I7" s="48"/>
      <c r="J7" s="109"/>
      <c r="K7" s="69">
        <v>6</v>
      </c>
      <c r="M7" s="88"/>
      <c r="N7" s="119"/>
      <c r="O7" s="48">
        <v>3</v>
      </c>
      <c r="P7" s="109"/>
      <c r="Q7" s="109">
        <v>2</v>
      </c>
      <c r="R7" s="69"/>
      <c r="T7" s="91">
        <f>C7+M7+O7+Q7+1</f>
        <v>89</v>
      </c>
      <c r="U7" s="91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</row>
    <row r="8" spans="1:53" ht="19.5" thickBot="1" x14ac:dyDescent="0.3">
      <c r="A8" s="75">
        <f>A7+1</f>
        <v>2</v>
      </c>
      <c r="B8" s="94" t="s">
        <v>37</v>
      </c>
      <c r="C8" s="95">
        <f>126+16</f>
        <v>142</v>
      </c>
      <c r="D8" s="95"/>
      <c r="E8" s="95"/>
      <c r="F8" s="95"/>
      <c r="G8" s="95"/>
      <c r="H8" s="95"/>
      <c r="I8" s="95"/>
      <c r="J8" s="110"/>
      <c r="K8" s="96"/>
      <c r="L8" s="102"/>
      <c r="M8" s="103"/>
      <c r="N8" s="120"/>
      <c r="O8" s="97"/>
      <c r="P8" s="113"/>
      <c r="Q8" s="113"/>
      <c r="R8" s="98"/>
      <c r="S8" s="102"/>
      <c r="T8" s="104"/>
      <c r="U8" s="104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</row>
    <row r="9" spans="1:53" x14ac:dyDescent="0.25">
      <c r="A9" s="75">
        <f t="shared" ref="A9:A50" si="0">A8+1</f>
        <v>3</v>
      </c>
      <c r="B9" s="73" t="s">
        <v>35</v>
      </c>
      <c r="C9" s="47"/>
      <c r="D9" s="47"/>
      <c r="E9" s="47"/>
      <c r="F9" s="47"/>
      <c r="G9" s="47"/>
      <c r="H9" s="47"/>
      <c r="I9" s="47"/>
      <c r="J9" s="111"/>
      <c r="K9" s="46"/>
      <c r="M9" s="52"/>
      <c r="N9" s="121"/>
      <c r="O9" s="47"/>
      <c r="P9" s="111"/>
      <c r="Q9" s="111"/>
      <c r="R9" s="46"/>
      <c r="T9" s="50"/>
      <c r="U9" s="5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</row>
    <row r="10" spans="1:53" x14ac:dyDescent="0.25">
      <c r="A10" s="75">
        <f t="shared" si="0"/>
        <v>4</v>
      </c>
      <c r="B10" s="74" t="s">
        <v>38</v>
      </c>
      <c r="C10" s="47">
        <v>7</v>
      </c>
      <c r="D10" s="47"/>
      <c r="E10" s="47"/>
      <c r="F10" s="47"/>
      <c r="G10" s="47"/>
      <c r="H10" s="47"/>
      <c r="I10" s="47"/>
      <c r="J10" s="111"/>
      <c r="K10" s="46"/>
      <c r="M10" s="52">
        <v>3</v>
      </c>
      <c r="N10" s="121"/>
      <c r="O10" s="47">
        <v>2</v>
      </c>
      <c r="P10" s="111"/>
      <c r="Q10" s="111"/>
      <c r="R10" s="46"/>
      <c r="T10" s="50"/>
      <c r="U10" s="5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</row>
    <row r="11" spans="1:53" x14ac:dyDescent="0.25">
      <c r="A11" s="75">
        <f t="shared" si="0"/>
        <v>5</v>
      </c>
      <c r="B11" s="74" t="s">
        <v>36</v>
      </c>
      <c r="C11" s="47">
        <v>28</v>
      </c>
      <c r="D11" s="47"/>
      <c r="E11" s="47"/>
      <c r="F11" s="47"/>
      <c r="G11" s="47"/>
      <c r="H11" s="47"/>
      <c r="I11" s="47"/>
      <c r="J11" s="111"/>
      <c r="K11" s="46"/>
      <c r="M11" s="52"/>
      <c r="N11" s="121"/>
      <c r="O11" s="47"/>
      <c r="P11" s="111"/>
      <c r="Q11" s="111"/>
      <c r="R11" s="46"/>
      <c r="T11" s="50"/>
      <c r="U11" s="5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</row>
    <row r="12" spans="1:53" s="61" customFormat="1" ht="19.5" thickBot="1" x14ac:dyDescent="0.3">
      <c r="A12" s="75">
        <v>7</v>
      </c>
      <c r="B12" s="94" t="s">
        <v>32</v>
      </c>
      <c r="C12" s="95">
        <f>37+1800+1152+864</f>
        <v>3853</v>
      </c>
      <c r="D12" s="95"/>
      <c r="E12" s="95"/>
      <c r="F12" s="95"/>
      <c r="G12" s="95"/>
      <c r="H12" s="95"/>
      <c r="I12" s="95"/>
      <c r="J12" s="110"/>
      <c r="K12" s="96"/>
      <c r="L12" s="102"/>
      <c r="M12" s="103">
        <v>20</v>
      </c>
      <c r="N12" s="120"/>
      <c r="O12" s="97">
        <v>8</v>
      </c>
      <c r="P12" s="113">
        <v>9</v>
      </c>
      <c r="Q12" s="113">
        <v>21</v>
      </c>
      <c r="R12" s="98">
        <v>4</v>
      </c>
      <c r="S12" s="102"/>
      <c r="T12" s="104"/>
      <c r="U12" s="104"/>
      <c r="V12" s="57"/>
      <c r="W12" s="57"/>
      <c r="X12" s="57"/>
      <c r="Y12" s="57"/>
      <c r="Z12" s="57"/>
      <c r="AA12" s="57"/>
      <c r="AB12" s="57"/>
      <c r="AC12" s="57"/>
      <c r="AD12" s="57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</row>
    <row r="13" spans="1:53" x14ac:dyDescent="0.25">
      <c r="A13" s="75">
        <v>11</v>
      </c>
      <c r="B13" s="73" t="s">
        <v>1</v>
      </c>
      <c r="C13" s="47">
        <v>5</v>
      </c>
      <c r="D13" s="47"/>
      <c r="E13" s="47"/>
      <c r="F13" s="47"/>
      <c r="G13" s="47"/>
      <c r="H13" s="47"/>
      <c r="I13" s="47"/>
      <c r="J13" s="111"/>
      <c r="K13" s="46"/>
      <c r="M13" s="52"/>
      <c r="N13" s="121"/>
      <c r="O13" s="47"/>
      <c r="P13" s="111"/>
      <c r="Q13" s="111"/>
      <c r="R13" s="46"/>
      <c r="T13" s="50"/>
      <c r="U13" s="5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</row>
    <row r="14" spans="1:53" x14ac:dyDescent="0.25">
      <c r="A14" s="75">
        <f t="shared" si="0"/>
        <v>12</v>
      </c>
      <c r="B14" s="74" t="s">
        <v>2</v>
      </c>
      <c r="C14" s="47">
        <v>1</v>
      </c>
      <c r="D14" s="47"/>
      <c r="E14" s="47"/>
      <c r="F14" s="47"/>
      <c r="G14" s="47"/>
      <c r="H14" s="47"/>
      <c r="I14" s="47"/>
      <c r="J14" s="111"/>
      <c r="K14" s="46"/>
      <c r="M14" s="52"/>
      <c r="N14" s="121"/>
      <c r="O14" s="47"/>
      <c r="P14" s="111"/>
      <c r="Q14" s="111"/>
      <c r="R14" s="46"/>
      <c r="T14" s="50"/>
      <c r="U14" s="5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</row>
    <row r="15" spans="1:53" x14ac:dyDescent="0.25">
      <c r="A15" s="75">
        <f t="shared" si="0"/>
        <v>13</v>
      </c>
      <c r="B15" s="74" t="s">
        <v>3</v>
      </c>
      <c r="C15" s="47">
        <v>1</v>
      </c>
      <c r="D15" s="47"/>
      <c r="E15" s="47"/>
      <c r="F15" s="47"/>
      <c r="G15" s="47"/>
      <c r="H15" s="47"/>
      <c r="I15" s="47"/>
      <c r="J15" s="111"/>
      <c r="K15" s="46"/>
      <c r="M15" s="52"/>
      <c r="N15" s="121"/>
      <c r="O15" s="47"/>
      <c r="P15" s="111"/>
      <c r="Q15" s="111"/>
      <c r="R15" s="46"/>
      <c r="T15" s="50"/>
      <c r="U15" s="5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</row>
    <row r="16" spans="1:53" x14ac:dyDescent="0.25">
      <c r="A16" s="75">
        <f t="shared" si="0"/>
        <v>14</v>
      </c>
      <c r="B16" s="74" t="s">
        <v>4</v>
      </c>
      <c r="C16" s="47"/>
      <c r="D16" s="47"/>
      <c r="E16" s="47"/>
      <c r="F16" s="47"/>
      <c r="G16" s="47"/>
      <c r="H16" s="47"/>
      <c r="I16" s="47"/>
      <c r="J16" s="111"/>
      <c r="K16" s="46"/>
      <c r="M16" s="52"/>
      <c r="N16" s="121"/>
      <c r="O16" s="47"/>
      <c r="P16" s="111"/>
      <c r="Q16" s="111"/>
      <c r="R16" s="46"/>
      <c r="T16" s="50"/>
      <c r="U16" s="5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</row>
    <row r="17" spans="1:53" x14ac:dyDescent="0.25">
      <c r="A17" s="75">
        <f t="shared" si="0"/>
        <v>15</v>
      </c>
      <c r="B17" s="74" t="s">
        <v>5</v>
      </c>
      <c r="C17" s="47">
        <v>6</v>
      </c>
      <c r="D17" s="47"/>
      <c r="E17" s="47"/>
      <c r="F17" s="47"/>
      <c r="G17" s="47"/>
      <c r="H17" s="47"/>
      <c r="I17" s="47"/>
      <c r="J17" s="111"/>
      <c r="K17" s="46"/>
      <c r="M17" s="52"/>
      <c r="N17" s="121"/>
      <c r="O17" s="47"/>
      <c r="P17" s="111"/>
      <c r="Q17" s="111"/>
      <c r="R17" s="46"/>
      <c r="T17" s="50"/>
      <c r="U17" s="5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</row>
    <row r="18" spans="1:53" hidden="1" x14ac:dyDescent="0.25">
      <c r="A18" s="75">
        <f t="shared" si="0"/>
        <v>16</v>
      </c>
      <c r="B18" s="74" t="s">
        <v>10</v>
      </c>
      <c r="C18" s="47"/>
      <c r="D18" s="47"/>
      <c r="E18" s="47"/>
      <c r="F18" s="47"/>
      <c r="G18" s="47"/>
      <c r="H18" s="47"/>
      <c r="I18" s="47"/>
      <c r="J18" s="111"/>
      <c r="K18" s="46"/>
      <c r="M18" s="52"/>
      <c r="N18" s="121"/>
      <c r="O18" s="47"/>
      <c r="P18" s="111"/>
      <c r="Q18" s="111"/>
      <c r="R18" s="46"/>
      <c r="T18" s="50"/>
      <c r="U18" s="5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</row>
    <row r="19" spans="1:53" x14ac:dyDescent="0.25">
      <c r="A19" s="75">
        <v>16</v>
      </c>
      <c r="B19" s="74" t="s">
        <v>64</v>
      </c>
      <c r="C19" s="47">
        <v>4</v>
      </c>
      <c r="D19" s="47"/>
      <c r="E19" s="47"/>
      <c r="F19" s="47"/>
      <c r="G19" s="47"/>
      <c r="H19" s="47"/>
      <c r="I19" s="47"/>
      <c r="J19" s="111"/>
      <c r="K19" s="46"/>
      <c r="M19" s="52"/>
      <c r="N19" s="121"/>
      <c r="O19" s="47"/>
      <c r="P19" s="111"/>
      <c r="Q19" s="111"/>
      <c r="R19" s="46"/>
      <c r="T19" s="50"/>
      <c r="U19" s="5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</row>
    <row r="20" spans="1:53" x14ac:dyDescent="0.25">
      <c r="A20" s="75">
        <f t="shared" si="0"/>
        <v>17</v>
      </c>
      <c r="B20" s="74" t="s">
        <v>6</v>
      </c>
      <c r="C20" s="47">
        <v>7</v>
      </c>
      <c r="D20" s="47"/>
      <c r="E20" s="47"/>
      <c r="F20" s="47"/>
      <c r="G20" s="47"/>
      <c r="H20" s="47"/>
      <c r="I20" s="47"/>
      <c r="J20" s="111"/>
      <c r="K20" s="46"/>
      <c r="M20" s="52"/>
      <c r="N20" s="121"/>
      <c r="O20" s="47"/>
      <c r="P20" s="111"/>
      <c r="Q20" s="111"/>
      <c r="R20" s="46"/>
      <c r="T20" s="50"/>
      <c r="U20" s="5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</row>
    <row r="21" spans="1:53" x14ac:dyDescent="0.25">
      <c r="A21" s="75">
        <f t="shared" si="0"/>
        <v>18</v>
      </c>
      <c r="B21" s="74" t="s">
        <v>7</v>
      </c>
      <c r="C21" s="47">
        <v>6</v>
      </c>
      <c r="D21" s="47"/>
      <c r="E21" s="47"/>
      <c r="F21" s="47"/>
      <c r="G21" s="47"/>
      <c r="H21" s="47"/>
      <c r="I21" s="47"/>
      <c r="J21" s="111"/>
      <c r="K21" s="46"/>
      <c r="M21" s="52"/>
      <c r="N21" s="121"/>
      <c r="O21" s="47"/>
      <c r="P21" s="111"/>
      <c r="Q21" s="111"/>
      <c r="R21" s="46"/>
      <c r="T21" s="50"/>
      <c r="U21" s="5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</row>
    <row r="22" spans="1:53" s="61" customFormat="1" x14ac:dyDescent="0.25">
      <c r="A22" s="75">
        <f t="shared" si="0"/>
        <v>19</v>
      </c>
      <c r="B22" s="74" t="s">
        <v>65</v>
      </c>
      <c r="C22" s="47">
        <v>4</v>
      </c>
      <c r="D22" s="47"/>
      <c r="E22" s="47"/>
      <c r="F22" s="47"/>
      <c r="G22" s="47"/>
      <c r="H22" s="47"/>
      <c r="I22" s="47"/>
      <c r="J22" s="111"/>
      <c r="K22" s="46"/>
      <c r="L22" s="57"/>
      <c r="M22" s="52"/>
      <c r="N22" s="121"/>
      <c r="O22" s="47"/>
      <c r="P22" s="111"/>
      <c r="Q22" s="111"/>
      <c r="R22" s="46"/>
      <c r="S22" s="57"/>
      <c r="T22" s="50"/>
      <c r="U22" s="50"/>
      <c r="V22" s="57"/>
      <c r="W22" s="57"/>
      <c r="X22" s="57"/>
      <c r="Y22" s="57"/>
      <c r="Z22" s="57"/>
      <c r="AA22" s="57"/>
      <c r="AB22" s="57"/>
      <c r="AC22" s="57"/>
      <c r="AD22" s="57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</row>
    <row r="23" spans="1:53" s="61" customFormat="1" x14ac:dyDescent="0.25">
      <c r="A23" s="75">
        <f t="shared" si="0"/>
        <v>20</v>
      </c>
      <c r="B23" s="74" t="s">
        <v>66</v>
      </c>
      <c r="C23" s="47">
        <v>55</v>
      </c>
      <c r="D23" s="47"/>
      <c r="E23" s="47"/>
      <c r="F23" s="47"/>
      <c r="G23" s="47"/>
      <c r="H23" s="47"/>
      <c r="I23" s="47"/>
      <c r="J23" s="111"/>
      <c r="K23" s="46"/>
      <c r="L23" s="57"/>
      <c r="M23" s="52"/>
      <c r="N23" s="121"/>
      <c r="O23" s="47"/>
      <c r="P23" s="111"/>
      <c r="Q23" s="111"/>
      <c r="R23" s="46"/>
      <c r="S23" s="57"/>
      <c r="T23" s="50"/>
      <c r="U23" s="50"/>
      <c r="V23" s="57"/>
      <c r="W23" s="57"/>
      <c r="X23" s="57"/>
      <c r="Y23" s="57"/>
      <c r="Z23" s="57"/>
      <c r="AA23" s="57"/>
      <c r="AB23" s="57"/>
      <c r="AC23" s="57"/>
      <c r="AD23" s="57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</row>
    <row r="24" spans="1:53" x14ac:dyDescent="0.25">
      <c r="A24" s="75">
        <f t="shared" si="0"/>
        <v>21</v>
      </c>
      <c r="B24" s="74" t="s">
        <v>67</v>
      </c>
      <c r="C24" s="47">
        <v>8</v>
      </c>
      <c r="D24" s="47"/>
      <c r="E24" s="47"/>
      <c r="F24" s="47"/>
      <c r="G24" s="47"/>
      <c r="H24" s="47"/>
      <c r="I24" s="47"/>
      <c r="J24" s="111"/>
      <c r="K24" s="46"/>
      <c r="M24" s="52"/>
      <c r="N24" s="121"/>
      <c r="O24" s="47"/>
      <c r="P24" s="111"/>
      <c r="Q24" s="111"/>
      <c r="R24" s="46"/>
      <c r="T24" s="50"/>
      <c r="U24" s="5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</row>
    <row r="25" spans="1:53" x14ac:dyDescent="0.25">
      <c r="A25" s="75">
        <f t="shared" si="0"/>
        <v>22</v>
      </c>
      <c r="B25" s="74" t="s">
        <v>9</v>
      </c>
      <c r="C25" s="47">
        <v>61</v>
      </c>
      <c r="D25" s="47"/>
      <c r="E25" s="47"/>
      <c r="F25" s="47">
        <v>22</v>
      </c>
      <c r="G25" s="47">
        <v>1</v>
      </c>
      <c r="H25" s="47"/>
      <c r="I25" s="47"/>
      <c r="J25" s="111"/>
      <c r="K25" s="46"/>
      <c r="M25" s="52"/>
      <c r="N25" s="121"/>
      <c r="O25" s="47">
        <v>2</v>
      </c>
      <c r="P25" s="111"/>
      <c r="Q25" s="111">
        <v>2</v>
      </c>
      <c r="R25" s="46"/>
      <c r="T25" s="50"/>
      <c r="U25" s="50"/>
      <c r="AX25" s="62" t="e">
        <f>#REF!-AX24</f>
        <v>#REF!</v>
      </c>
    </row>
    <row r="26" spans="1:53" s="61" customFormat="1" x14ac:dyDescent="0.25">
      <c r="A26" s="75">
        <f t="shared" si="0"/>
        <v>23</v>
      </c>
      <c r="B26" s="74" t="s">
        <v>11</v>
      </c>
      <c r="C26" s="47">
        <v>20</v>
      </c>
      <c r="D26" s="47"/>
      <c r="E26" s="47"/>
      <c r="F26" s="47"/>
      <c r="G26" s="47"/>
      <c r="H26" s="47"/>
      <c r="I26" s="47"/>
      <c r="J26" s="111"/>
      <c r="K26" s="46"/>
      <c r="L26" s="57"/>
      <c r="M26" s="52"/>
      <c r="N26" s="121"/>
      <c r="O26" s="47"/>
      <c r="P26" s="111"/>
      <c r="Q26" s="111"/>
      <c r="R26" s="46"/>
      <c r="S26" s="57"/>
      <c r="T26" s="50"/>
      <c r="U26" s="50"/>
      <c r="V26" s="57"/>
      <c r="W26" s="57"/>
      <c r="X26" s="57"/>
      <c r="Y26" s="57"/>
      <c r="Z26" s="57"/>
      <c r="AA26" s="57"/>
      <c r="AB26" s="57"/>
      <c r="AC26" s="57"/>
      <c r="AD26" s="57"/>
    </row>
    <row r="27" spans="1:53" s="61" customFormat="1" x14ac:dyDescent="0.25">
      <c r="A27" s="75">
        <f t="shared" si="0"/>
        <v>24</v>
      </c>
      <c r="B27" s="74" t="s">
        <v>12</v>
      </c>
      <c r="C27" s="47">
        <f>63+7</f>
        <v>70</v>
      </c>
      <c r="D27" s="47"/>
      <c r="E27" s="47"/>
      <c r="F27" s="47"/>
      <c r="G27" s="47"/>
      <c r="H27" s="47"/>
      <c r="I27" s="47"/>
      <c r="J27" s="111"/>
      <c r="K27" s="46"/>
      <c r="L27" s="57"/>
      <c r="M27" s="52"/>
      <c r="N27" s="121"/>
      <c r="O27" s="47">
        <v>2</v>
      </c>
      <c r="P27" s="111"/>
      <c r="Q27" s="111">
        <v>8</v>
      </c>
      <c r="R27" s="46"/>
      <c r="S27" s="57"/>
      <c r="T27" s="50"/>
      <c r="U27" s="50"/>
      <c r="V27" s="57"/>
      <c r="W27" s="57"/>
      <c r="X27" s="57"/>
      <c r="Y27" s="57"/>
      <c r="Z27" s="57"/>
      <c r="AA27" s="57"/>
      <c r="AB27" s="57"/>
      <c r="AC27" s="57"/>
      <c r="AD27" s="57"/>
    </row>
    <row r="28" spans="1:53" x14ac:dyDescent="0.25">
      <c r="A28" s="75">
        <f t="shared" si="0"/>
        <v>25</v>
      </c>
      <c r="B28" s="74" t="s">
        <v>14</v>
      </c>
      <c r="C28" s="47">
        <v>7</v>
      </c>
      <c r="D28" s="47"/>
      <c r="E28" s="47"/>
      <c r="F28" s="47"/>
      <c r="G28" s="47"/>
      <c r="H28" s="47"/>
      <c r="I28" s="47"/>
      <c r="J28" s="111"/>
      <c r="K28" s="46"/>
      <c r="M28" s="52"/>
      <c r="N28" s="121"/>
      <c r="O28" s="47">
        <v>1</v>
      </c>
      <c r="P28" s="111"/>
      <c r="Q28" s="111">
        <v>1</v>
      </c>
      <c r="R28" s="46"/>
      <c r="T28" s="50"/>
      <c r="U28" s="50"/>
    </row>
    <row r="29" spans="1:53" x14ac:dyDescent="0.25">
      <c r="A29" s="75">
        <f t="shared" si="0"/>
        <v>26</v>
      </c>
      <c r="B29" s="74" t="s">
        <v>16</v>
      </c>
      <c r="C29" s="47">
        <f>63+36</f>
        <v>99</v>
      </c>
      <c r="D29" s="47"/>
      <c r="E29" s="47"/>
      <c r="F29" s="47"/>
      <c r="G29" s="47"/>
      <c r="H29" s="47"/>
      <c r="I29" s="47"/>
      <c r="J29" s="111"/>
      <c r="K29" s="46"/>
      <c r="M29" s="52"/>
      <c r="N29" s="121"/>
      <c r="O29" s="47">
        <v>1</v>
      </c>
      <c r="P29" s="111"/>
      <c r="Q29" s="111">
        <v>1</v>
      </c>
      <c r="R29" s="46"/>
      <c r="T29" s="50"/>
      <c r="U29" s="50"/>
    </row>
    <row r="30" spans="1:53" x14ac:dyDescent="0.25">
      <c r="A30" s="75">
        <f t="shared" si="0"/>
        <v>27</v>
      </c>
      <c r="B30" s="74" t="s">
        <v>13</v>
      </c>
      <c r="C30" s="47"/>
      <c r="D30" s="47"/>
      <c r="E30" s="47"/>
      <c r="F30" s="47"/>
      <c r="G30" s="47"/>
      <c r="H30" s="47"/>
      <c r="I30" s="47"/>
      <c r="J30" s="111"/>
      <c r="K30" s="46"/>
      <c r="M30" s="52"/>
      <c r="N30" s="121"/>
      <c r="O30" s="47"/>
      <c r="P30" s="111"/>
      <c r="Q30" s="111"/>
      <c r="R30" s="46"/>
      <c r="T30" s="50"/>
      <c r="U30" s="50"/>
    </row>
    <row r="31" spans="1:53" x14ac:dyDescent="0.25">
      <c r="A31" s="75">
        <f t="shared" si="0"/>
        <v>28</v>
      </c>
      <c r="B31" s="74" t="s">
        <v>15</v>
      </c>
      <c r="C31" s="47"/>
      <c r="D31" s="47"/>
      <c r="E31" s="47"/>
      <c r="F31" s="47"/>
      <c r="G31" s="47"/>
      <c r="H31" s="47"/>
      <c r="I31" s="47"/>
      <c r="J31" s="111"/>
      <c r="K31" s="46"/>
      <c r="M31" s="52"/>
      <c r="N31" s="121"/>
      <c r="O31" s="47"/>
      <c r="P31" s="111"/>
      <c r="Q31" s="111"/>
      <c r="R31" s="46"/>
      <c r="T31" s="50"/>
      <c r="U31" s="50"/>
    </row>
    <row r="32" spans="1:53" x14ac:dyDescent="0.25">
      <c r="A32" s="75">
        <f t="shared" si="0"/>
        <v>29</v>
      </c>
      <c r="B32" s="74" t="s">
        <v>17</v>
      </c>
      <c r="C32" s="47">
        <v>5</v>
      </c>
      <c r="D32" s="47"/>
      <c r="E32" s="47"/>
      <c r="F32" s="47"/>
      <c r="G32" s="47"/>
      <c r="H32" s="47"/>
      <c r="I32" s="47"/>
      <c r="J32" s="111"/>
      <c r="K32" s="46"/>
      <c r="M32" s="52"/>
      <c r="N32" s="121"/>
      <c r="O32" s="47"/>
      <c r="P32" s="111"/>
      <c r="Q32" s="111"/>
      <c r="R32" s="46"/>
      <c r="T32" s="50"/>
      <c r="U32" s="50"/>
    </row>
    <row r="33" spans="1:21" x14ac:dyDescent="0.25">
      <c r="A33" s="75">
        <f t="shared" si="0"/>
        <v>30</v>
      </c>
      <c r="B33" s="74" t="s">
        <v>18</v>
      </c>
      <c r="C33" s="47">
        <f>144+59</f>
        <v>203</v>
      </c>
      <c r="D33" s="47"/>
      <c r="E33" s="47"/>
      <c r="F33" s="47">
        <v>22</v>
      </c>
      <c r="G33" s="47"/>
      <c r="H33" s="47"/>
      <c r="I33" s="47"/>
      <c r="J33" s="111"/>
      <c r="K33" s="46">
        <v>1</v>
      </c>
      <c r="M33" s="52"/>
      <c r="N33" s="121"/>
      <c r="O33" s="47">
        <v>2</v>
      </c>
      <c r="P33" s="111"/>
      <c r="Q33" s="111">
        <v>3</v>
      </c>
      <c r="R33" s="46"/>
      <c r="T33" s="50"/>
      <c r="U33" s="50"/>
    </row>
    <row r="34" spans="1:21" hidden="1" x14ac:dyDescent="0.25">
      <c r="A34" s="75">
        <f t="shared" si="0"/>
        <v>31</v>
      </c>
      <c r="B34" s="74" t="s">
        <v>26</v>
      </c>
      <c r="C34" s="47"/>
      <c r="D34" s="47"/>
      <c r="E34" s="47"/>
      <c r="F34" s="47"/>
      <c r="G34" s="47"/>
      <c r="H34" s="47"/>
      <c r="I34" s="47"/>
      <c r="J34" s="111"/>
      <c r="K34" s="46"/>
      <c r="M34" s="52"/>
      <c r="N34" s="121"/>
      <c r="O34" s="47"/>
      <c r="P34" s="111"/>
      <c r="Q34" s="111"/>
      <c r="R34" s="46"/>
      <c r="T34" s="50"/>
      <c r="U34" s="50"/>
    </row>
    <row r="35" spans="1:21" x14ac:dyDescent="0.25">
      <c r="A35" s="75">
        <v>31</v>
      </c>
      <c r="B35" s="74" t="s">
        <v>19</v>
      </c>
      <c r="C35" s="47">
        <v>1</v>
      </c>
      <c r="D35" s="47"/>
      <c r="E35" s="47"/>
      <c r="F35" s="47"/>
      <c r="G35" s="47"/>
      <c r="H35" s="47"/>
      <c r="I35" s="47"/>
      <c r="J35" s="111"/>
      <c r="K35" s="46"/>
      <c r="M35" s="52"/>
      <c r="N35" s="121"/>
      <c r="O35" s="47"/>
      <c r="P35" s="111"/>
      <c r="Q35" s="111"/>
      <c r="R35" s="46"/>
      <c r="T35" s="50"/>
      <c r="U35" s="50"/>
    </row>
    <row r="36" spans="1:21" ht="19.5" thickBot="1" x14ac:dyDescent="0.3">
      <c r="A36" s="75">
        <f t="shared" si="0"/>
        <v>32</v>
      </c>
      <c r="B36" s="94" t="s">
        <v>20</v>
      </c>
      <c r="C36" s="95">
        <f>2376+4320</f>
        <v>6696</v>
      </c>
      <c r="D36" s="95"/>
      <c r="E36" s="95"/>
      <c r="F36" s="95">
        <v>4</v>
      </c>
      <c r="G36" s="95"/>
      <c r="H36" s="95"/>
      <c r="I36" s="95">
        <v>2</v>
      </c>
      <c r="J36" s="110"/>
      <c r="K36" s="96">
        <v>2</v>
      </c>
      <c r="L36" s="102"/>
      <c r="M36" s="103"/>
      <c r="N36" s="120"/>
      <c r="O36" s="97">
        <v>20</v>
      </c>
      <c r="P36" s="113"/>
      <c r="Q36" s="113">
        <v>86</v>
      </c>
      <c r="R36" s="98"/>
      <c r="S36" s="102"/>
      <c r="T36" s="104"/>
      <c r="U36" s="104"/>
    </row>
    <row r="37" spans="1:21" x14ac:dyDescent="0.25">
      <c r="A37" s="75">
        <f t="shared" si="0"/>
        <v>33</v>
      </c>
      <c r="B37" s="73" t="s">
        <v>21</v>
      </c>
      <c r="C37" s="47">
        <v>33</v>
      </c>
      <c r="D37" s="47"/>
      <c r="E37" s="47"/>
      <c r="F37" s="47"/>
      <c r="G37" s="47"/>
      <c r="H37" s="47"/>
      <c r="I37" s="47"/>
      <c r="J37" s="111"/>
      <c r="K37" s="46"/>
      <c r="M37" s="52"/>
      <c r="N37" s="121"/>
      <c r="O37" s="47"/>
      <c r="P37" s="111"/>
      <c r="Q37" s="111">
        <v>1</v>
      </c>
      <c r="R37" s="46"/>
      <c r="T37" s="50"/>
      <c r="U37" s="50"/>
    </row>
    <row r="38" spans="1:21" ht="19.5" thickBot="1" x14ac:dyDescent="0.3">
      <c r="A38" s="75">
        <f t="shared" si="0"/>
        <v>34</v>
      </c>
      <c r="B38" s="94" t="s">
        <v>22</v>
      </c>
      <c r="C38" s="95">
        <f>19+1071</f>
        <v>1090</v>
      </c>
      <c r="D38" s="95"/>
      <c r="E38" s="95"/>
      <c r="F38" s="95"/>
      <c r="G38" s="95"/>
      <c r="H38" s="95"/>
      <c r="I38" s="95"/>
      <c r="J38" s="110"/>
      <c r="K38" s="96"/>
      <c r="L38" s="102"/>
      <c r="M38" s="103"/>
      <c r="N38" s="120"/>
      <c r="O38" s="97">
        <v>2</v>
      </c>
      <c r="P38" s="113"/>
      <c r="Q38" s="113">
        <v>2</v>
      </c>
      <c r="R38" s="98"/>
      <c r="S38" s="102"/>
      <c r="T38" s="104"/>
      <c r="U38" s="104"/>
    </row>
    <row r="39" spans="1:21" ht="19.5" thickBot="1" x14ac:dyDescent="0.3">
      <c r="A39" s="75">
        <f t="shared" si="0"/>
        <v>35</v>
      </c>
      <c r="B39" s="99" t="s">
        <v>23</v>
      </c>
      <c r="C39" s="100">
        <f>2208+56</f>
        <v>2264</v>
      </c>
      <c r="D39" s="100"/>
      <c r="E39" s="100"/>
      <c r="F39" s="100"/>
      <c r="G39" s="100"/>
      <c r="H39" s="100"/>
      <c r="I39" s="100"/>
      <c r="J39" s="112"/>
      <c r="K39" s="101"/>
      <c r="L39" s="105"/>
      <c r="M39" s="106"/>
      <c r="N39" s="122"/>
      <c r="O39" s="100">
        <v>8</v>
      </c>
      <c r="P39" s="112"/>
      <c r="Q39" s="112">
        <v>20</v>
      </c>
      <c r="R39" s="101"/>
      <c r="S39" s="105"/>
      <c r="T39" s="107"/>
      <c r="U39" s="107"/>
    </row>
    <row r="40" spans="1:21" hidden="1" x14ac:dyDescent="0.25">
      <c r="A40" s="75">
        <f t="shared" si="0"/>
        <v>36</v>
      </c>
      <c r="B40" s="73" t="s">
        <v>31</v>
      </c>
      <c r="C40" s="47"/>
      <c r="D40" s="47"/>
      <c r="E40" s="47"/>
      <c r="F40" s="47"/>
      <c r="G40" s="47"/>
      <c r="H40" s="47"/>
      <c r="I40" s="47"/>
      <c r="J40" s="111"/>
      <c r="K40" s="46"/>
      <c r="M40" s="52"/>
      <c r="N40" s="121"/>
      <c r="O40" s="47"/>
      <c r="P40" s="111"/>
      <c r="Q40" s="111"/>
      <c r="R40" s="46"/>
      <c r="T40" s="50"/>
      <c r="U40" s="50"/>
    </row>
    <row r="41" spans="1:21" ht="19.5" thickBot="1" x14ac:dyDescent="0.3">
      <c r="A41" s="75">
        <v>36</v>
      </c>
      <c r="B41" s="94" t="s">
        <v>24</v>
      </c>
      <c r="C41" s="97">
        <f>5292+1728+24+8424+4968+10800+1</f>
        <v>31237</v>
      </c>
      <c r="D41" s="97"/>
      <c r="E41" s="97"/>
      <c r="F41" s="97"/>
      <c r="G41" s="97">
        <v>4</v>
      </c>
      <c r="H41" s="97">
        <v>26</v>
      </c>
      <c r="I41" s="97">
        <v>1</v>
      </c>
      <c r="J41" s="113">
        <v>38</v>
      </c>
      <c r="K41" s="98">
        <v>4</v>
      </c>
      <c r="L41" s="102"/>
      <c r="M41" s="103">
        <v>648</v>
      </c>
      <c r="N41" s="120"/>
      <c r="O41" s="97">
        <v>257</v>
      </c>
      <c r="P41" s="113"/>
      <c r="Q41" s="113">
        <v>541</v>
      </c>
      <c r="R41" s="98"/>
      <c r="S41" s="102"/>
      <c r="T41" s="104"/>
      <c r="U41" s="104"/>
    </row>
    <row r="42" spans="1:21" hidden="1" x14ac:dyDescent="0.25">
      <c r="A42" s="75">
        <f t="shared" si="0"/>
        <v>37</v>
      </c>
      <c r="B42" s="73" t="s">
        <v>33</v>
      </c>
      <c r="C42" s="47"/>
      <c r="D42" s="47"/>
      <c r="E42" s="47"/>
      <c r="F42" s="47"/>
      <c r="G42" s="47"/>
      <c r="H42" s="47"/>
      <c r="I42" s="47"/>
      <c r="J42" s="111"/>
      <c r="K42" s="46"/>
      <c r="M42" s="52"/>
      <c r="N42" s="121"/>
      <c r="O42" s="47"/>
      <c r="P42" s="111"/>
      <c r="Q42" s="111"/>
      <c r="R42" s="46"/>
      <c r="T42" s="50"/>
      <c r="U42" s="50"/>
    </row>
    <row r="43" spans="1:21" x14ac:dyDescent="0.25">
      <c r="A43" s="75">
        <v>37</v>
      </c>
      <c r="B43" s="74" t="s">
        <v>25</v>
      </c>
      <c r="C43" s="47"/>
      <c r="D43" s="47"/>
      <c r="E43" s="47"/>
      <c r="F43" s="47"/>
      <c r="G43" s="47"/>
      <c r="H43" s="47"/>
      <c r="I43" s="47"/>
      <c r="J43" s="111"/>
      <c r="K43" s="46"/>
      <c r="M43" s="52"/>
      <c r="N43" s="121"/>
      <c r="O43" s="47"/>
      <c r="P43" s="111"/>
      <c r="Q43" s="111"/>
      <c r="R43" s="46"/>
      <c r="T43" s="50"/>
      <c r="U43" s="50"/>
    </row>
    <row r="44" spans="1:21" x14ac:dyDescent="0.25">
      <c r="A44" s="75">
        <f t="shared" si="0"/>
        <v>38</v>
      </c>
      <c r="B44" s="74" t="s">
        <v>68</v>
      </c>
      <c r="C44" s="47">
        <v>2</v>
      </c>
      <c r="D44" s="47"/>
      <c r="E44" s="47"/>
      <c r="F44" s="47"/>
      <c r="G44" s="47"/>
      <c r="H44" s="47"/>
      <c r="I44" s="47"/>
      <c r="J44" s="111"/>
      <c r="K44" s="46"/>
      <c r="M44" s="52"/>
      <c r="N44" s="121"/>
      <c r="O44" s="47"/>
      <c r="P44" s="111"/>
      <c r="Q44" s="111"/>
      <c r="R44" s="46"/>
      <c r="T44" s="50"/>
      <c r="U44" s="50"/>
    </row>
    <row r="45" spans="1:21" x14ac:dyDescent="0.25">
      <c r="A45" s="75">
        <f t="shared" si="0"/>
        <v>39</v>
      </c>
      <c r="B45" s="74" t="s">
        <v>26</v>
      </c>
      <c r="C45" s="47">
        <f>4+2268+102</f>
        <v>2374</v>
      </c>
      <c r="D45" s="47"/>
      <c r="E45" s="47"/>
      <c r="F45" s="47">
        <v>3</v>
      </c>
      <c r="G45" s="47"/>
      <c r="H45" s="47"/>
      <c r="I45" s="47"/>
      <c r="J45" s="111">
        <v>1</v>
      </c>
      <c r="K45" s="46"/>
      <c r="M45" s="52"/>
      <c r="N45" s="121"/>
      <c r="O45" s="47">
        <v>2</v>
      </c>
      <c r="P45" s="111"/>
      <c r="Q45" s="111">
        <v>18</v>
      </c>
      <c r="R45" s="46"/>
      <c r="T45" s="50"/>
      <c r="U45" s="50"/>
    </row>
    <row r="46" spans="1:21" x14ac:dyDescent="0.25">
      <c r="A46" s="75">
        <f t="shared" si="0"/>
        <v>40</v>
      </c>
      <c r="B46" s="74" t="s">
        <v>69</v>
      </c>
      <c r="C46" s="47"/>
      <c r="D46" s="47"/>
      <c r="E46" s="47"/>
      <c r="F46" s="47"/>
      <c r="G46" s="47"/>
      <c r="H46" s="47"/>
      <c r="I46" s="47"/>
      <c r="J46" s="111"/>
      <c r="K46" s="46"/>
      <c r="M46" s="52"/>
      <c r="N46" s="121"/>
      <c r="O46" s="47"/>
      <c r="P46" s="111"/>
      <c r="Q46" s="111"/>
      <c r="R46" s="46"/>
      <c r="T46" s="50"/>
      <c r="U46" s="50"/>
    </row>
    <row r="47" spans="1:21" x14ac:dyDescent="0.25">
      <c r="A47" s="75">
        <f t="shared" si="0"/>
        <v>41</v>
      </c>
      <c r="B47" s="74" t="s">
        <v>28</v>
      </c>
      <c r="C47" s="47">
        <v>1</v>
      </c>
      <c r="D47" s="47"/>
      <c r="E47" s="47"/>
      <c r="F47" s="47"/>
      <c r="G47" s="47"/>
      <c r="H47" s="47"/>
      <c r="I47" s="47"/>
      <c r="J47" s="111"/>
      <c r="K47" s="46"/>
      <c r="M47" s="52"/>
      <c r="N47" s="121"/>
      <c r="O47" s="47"/>
      <c r="P47" s="111"/>
      <c r="Q47" s="111"/>
      <c r="R47" s="46"/>
      <c r="T47" s="50"/>
      <c r="U47" s="50"/>
    </row>
    <row r="48" spans="1:21" x14ac:dyDescent="0.25">
      <c r="A48" s="75">
        <f t="shared" si="0"/>
        <v>42</v>
      </c>
      <c r="B48" s="74" t="s">
        <v>70</v>
      </c>
      <c r="C48" s="47"/>
      <c r="D48" s="47"/>
      <c r="E48" s="47"/>
      <c r="F48" s="47"/>
      <c r="G48" s="47"/>
      <c r="H48" s="47"/>
      <c r="I48" s="47"/>
      <c r="J48" s="111"/>
      <c r="K48" s="46"/>
      <c r="M48" s="52"/>
      <c r="N48" s="121"/>
      <c r="O48" s="47"/>
      <c r="P48" s="111"/>
      <c r="Q48" s="111"/>
      <c r="R48" s="46"/>
      <c r="T48" s="50"/>
      <c r="U48" s="50"/>
    </row>
    <row r="49" spans="1:21" x14ac:dyDescent="0.25">
      <c r="A49" s="75">
        <f t="shared" si="0"/>
        <v>43</v>
      </c>
      <c r="B49" s="74" t="s">
        <v>29</v>
      </c>
      <c r="C49" s="47">
        <v>34</v>
      </c>
      <c r="D49" s="47"/>
      <c r="E49" s="47"/>
      <c r="F49" s="47"/>
      <c r="G49" s="47"/>
      <c r="H49" s="47"/>
      <c r="I49" s="47"/>
      <c r="J49" s="111"/>
      <c r="K49" s="46"/>
      <c r="M49" s="52"/>
      <c r="N49" s="121"/>
      <c r="O49" s="47"/>
      <c r="P49" s="111"/>
      <c r="Q49" s="111"/>
      <c r="R49" s="46"/>
      <c r="T49" s="50"/>
      <c r="U49" s="50"/>
    </row>
    <row r="50" spans="1:21" x14ac:dyDescent="0.25">
      <c r="A50" s="75">
        <f t="shared" si="0"/>
        <v>44</v>
      </c>
      <c r="B50" s="74" t="s">
        <v>30</v>
      </c>
      <c r="C50" s="47"/>
      <c r="D50" s="47"/>
      <c r="E50" s="47"/>
      <c r="F50" s="47"/>
      <c r="G50" s="47"/>
      <c r="H50" s="47"/>
      <c r="I50" s="47"/>
      <c r="J50" s="111"/>
      <c r="K50" s="46"/>
      <c r="M50" s="52"/>
      <c r="N50" s="121"/>
      <c r="O50" s="47"/>
      <c r="P50" s="111"/>
      <c r="Q50" s="111"/>
      <c r="R50" s="46"/>
      <c r="T50" s="50"/>
      <c r="U50" s="50"/>
    </row>
    <row r="51" spans="1:21" s="63" customFormat="1" ht="19.5" thickBot="1" x14ac:dyDescent="0.3">
      <c r="B51" s="77" t="s">
        <v>60</v>
      </c>
      <c r="C51" s="49">
        <f>SUM(C7:C50)</f>
        <v>48407</v>
      </c>
      <c r="D51" s="49"/>
      <c r="E51" s="49"/>
      <c r="F51" s="49">
        <f t="shared" ref="F51:K51" si="1">SUM(F7:F50)</f>
        <v>68</v>
      </c>
      <c r="G51" s="49">
        <f t="shared" si="1"/>
        <v>6</v>
      </c>
      <c r="H51" s="49">
        <f t="shared" si="1"/>
        <v>26</v>
      </c>
      <c r="I51" s="54">
        <f t="shared" si="1"/>
        <v>3</v>
      </c>
      <c r="J51" s="54">
        <f t="shared" si="1"/>
        <v>39</v>
      </c>
      <c r="K51" s="54">
        <f t="shared" si="1"/>
        <v>13</v>
      </c>
      <c r="M51" s="53">
        <f t="shared" ref="M51:R51" si="2">SUM(M7:M50)</f>
        <v>671</v>
      </c>
      <c r="N51" s="53">
        <f t="shared" si="2"/>
        <v>0</v>
      </c>
      <c r="O51" s="53">
        <f t="shared" si="2"/>
        <v>310</v>
      </c>
      <c r="P51" s="53">
        <f t="shared" si="2"/>
        <v>9</v>
      </c>
      <c r="Q51" s="53">
        <f t="shared" si="2"/>
        <v>706</v>
      </c>
      <c r="R51" s="53">
        <f t="shared" si="2"/>
        <v>4</v>
      </c>
      <c r="S51" s="57"/>
      <c r="T51" s="51">
        <f>SUM(T7:T50)</f>
        <v>89</v>
      </c>
      <c r="U51" s="51">
        <f>SUM(U7:U50)</f>
        <v>0</v>
      </c>
    </row>
    <row r="52" spans="1:21" ht="7.5" customHeight="1" thickBot="1" x14ac:dyDescent="0.3"/>
    <row r="53" spans="1:21" ht="19.5" thickBot="1" x14ac:dyDescent="0.3">
      <c r="B53" s="78" t="s">
        <v>39</v>
      </c>
      <c r="C53" s="130" t="s">
        <v>49</v>
      </c>
      <c r="D53" s="131"/>
      <c r="E53" s="131"/>
      <c r="F53" s="131"/>
      <c r="G53" s="131"/>
      <c r="H53" s="131"/>
      <c r="I53" s="131"/>
      <c r="J53" s="131"/>
      <c r="K53" s="132"/>
      <c r="T53" s="72" t="s">
        <v>62</v>
      </c>
    </row>
    <row r="54" spans="1:21" x14ac:dyDescent="0.25">
      <c r="B54" s="79" t="s">
        <v>18</v>
      </c>
      <c r="C54" s="67"/>
      <c r="D54" s="67"/>
      <c r="E54" s="67"/>
      <c r="F54" s="67"/>
      <c r="G54" s="67"/>
      <c r="H54" s="67"/>
      <c r="I54" s="67"/>
      <c r="J54" s="114"/>
      <c r="K54" s="68"/>
      <c r="T54" s="55"/>
    </row>
    <row r="55" spans="1:21" x14ac:dyDescent="0.25">
      <c r="B55" s="80" t="s">
        <v>55</v>
      </c>
      <c r="C55" s="48"/>
      <c r="D55" s="48"/>
      <c r="E55" s="48"/>
      <c r="F55" s="48"/>
      <c r="G55" s="48"/>
      <c r="H55" s="48"/>
      <c r="I55" s="48"/>
      <c r="J55" s="109"/>
      <c r="K55" s="69"/>
      <c r="T55" s="50"/>
    </row>
    <row r="56" spans="1:21" ht="19.5" thickBot="1" x14ac:dyDescent="0.3">
      <c r="B56" s="81" t="s">
        <v>54</v>
      </c>
      <c r="C56" s="70"/>
      <c r="D56" s="70"/>
      <c r="E56" s="70"/>
      <c r="F56" s="70"/>
      <c r="G56" s="70"/>
      <c r="H56" s="70"/>
      <c r="I56" s="70"/>
      <c r="J56" s="115"/>
      <c r="K56" s="71"/>
      <c r="T56" s="56"/>
    </row>
    <row r="57" spans="1:21" ht="7.5" customHeight="1" thickBot="1" x14ac:dyDescent="0.3"/>
    <row r="58" spans="1:21" x14ac:dyDescent="0.25">
      <c r="B58" s="79" t="s">
        <v>56</v>
      </c>
      <c r="C58" s="67"/>
      <c r="D58" s="67"/>
      <c r="E58" s="67"/>
      <c r="F58" s="67"/>
      <c r="G58" s="67"/>
      <c r="H58" s="67"/>
      <c r="I58" s="67"/>
      <c r="J58" s="114"/>
      <c r="K58" s="68"/>
      <c r="T58" s="55"/>
    </row>
    <row r="59" spans="1:21" x14ac:dyDescent="0.25">
      <c r="B59" s="80" t="s">
        <v>55</v>
      </c>
      <c r="C59" s="48"/>
      <c r="D59" s="48"/>
      <c r="E59" s="48"/>
      <c r="F59" s="48"/>
      <c r="G59" s="48"/>
      <c r="H59" s="48"/>
      <c r="I59" s="48"/>
      <c r="J59" s="109"/>
      <c r="K59" s="69"/>
      <c r="T59" s="50"/>
    </row>
    <row r="60" spans="1:21" ht="19.5" thickBot="1" x14ac:dyDescent="0.3">
      <c r="B60" s="81" t="s">
        <v>54</v>
      </c>
      <c r="C60" s="70"/>
      <c r="D60" s="70"/>
      <c r="E60" s="70"/>
      <c r="F60" s="70"/>
      <c r="G60" s="70"/>
      <c r="H60" s="70"/>
      <c r="I60" s="70"/>
      <c r="J60" s="115"/>
      <c r="K60" s="71"/>
      <c r="T60" s="56"/>
    </row>
    <row r="61" spans="1:21" ht="7.5" customHeight="1" thickBot="1" x14ac:dyDescent="0.3"/>
    <row r="62" spans="1:21" x14ac:dyDescent="0.25">
      <c r="B62" s="79" t="s">
        <v>41</v>
      </c>
      <c r="C62" s="67"/>
      <c r="D62" s="67"/>
      <c r="E62" s="67"/>
      <c r="F62" s="67"/>
      <c r="G62" s="67"/>
      <c r="H62" s="67"/>
      <c r="I62" s="67"/>
      <c r="J62" s="114"/>
      <c r="K62" s="68"/>
      <c r="T62" s="55"/>
    </row>
    <row r="63" spans="1:21" x14ac:dyDescent="0.25">
      <c r="B63" s="80" t="s">
        <v>55</v>
      </c>
      <c r="C63" s="48"/>
      <c r="D63" s="48"/>
      <c r="E63" s="48"/>
      <c r="F63" s="48"/>
      <c r="G63" s="48"/>
      <c r="H63" s="48"/>
      <c r="I63" s="48"/>
      <c r="J63" s="109"/>
      <c r="K63" s="69"/>
      <c r="T63" s="50"/>
    </row>
    <row r="64" spans="1:21" ht="19.5" thickBot="1" x14ac:dyDescent="0.3">
      <c r="B64" s="81" t="s">
        <v>54</v>
      </c>
      <c r="C64" s="70"/>
      <c r="D64" s="70"/>
      <c r="E64" s="70"/>
      <c r="F64" s="70"/>
      <c r="G64" s="70"/>
      <c r="H64" s="70"/>
      <c r="I64" s="70"/>
      <c r="J64" s="115"/>
      <c r="K64" s="71"/>
      <c r="T64" s="56"/>
    </row>
    <row r="65" spans="2:20" ht="7.5" customHeight="1" thickBot="1" x14ac:dyDescent="0.3"/>
    <row r="66" spans="2:20" x14ac:dyDescent="0.25">
      <c r="B66" s="79" t="s">
        <v>57</v>
      </c>
      <c r="C66" s="67"/>
      <c r="D66" s="67"/>
      <c r="E66" s="67"/>
      <c r="F66" s="67"/>
      <c r="G66" s="67"/>
      <c r="H66" s="67"/>
      <c r="I66" s="67"/>
      <c r="J66" s="114"/>
      <c r="K66" s="68"/>
      <c r="T66" s="55"/>
    </row>
    <row r="67" spans="2:20" x14ac:dyDescent="0.25">
      <c r="B67" s="80" t="s">
        <v>55</v>
      </c>
      <c r="C67" s="48"/>
      <c r="D67" s="48"/>
      <c r="E67" s="48"/>
      <c r="F67" s="48"/>
      <c r="G67" s="48"/>
      <c r="H67" s="48"/>
      <c r="I67" s="48"/>
      <c r="J67" s="109"/>
      <c r="K67" s="69"/>
      <c r="T67" s="50"/>
    </row>
    <row r="68" spans="2:20" ht="19.5" thickBot="1" x14ac:dyDescent="0.3">
      <c r="B68" s="81" t="s">
        <v>54</v>
      </c>
      <c r="C68" s="70"/>
      <c r="D68" s="70"/>
      <c r="E68" s="70"/>
      <c r="F68" s="70"/>
      <c r="G68" s="70"/>
      <c r="H68" s="70"/>
      <c r="I68" s="70"/>
      <c r="J68" s="115"/>
      <c r="K68" s="71"/>
      <c r="T68" s="56"/>
    </row>
    <row r="69" spans="2:20" ht="7.5" customHeight="1" thickBot="1" x14ac:dyDescent="0.3"/>
    <row r="70" spans="2:20" x14ac:dyDescent="0.25">
      <c r="B70" s="79" t="s">
        <v>58</v>
      </c>
      <c r="C70" s="67"/>
      <c r="D70" s="67"/>
      <c r="E70" s="67"/>
      <c r="F70" s="67"/>
      <c r="G70" s="67"/>
      <c r="H70" s="67"/>
      <c r="I70" s="67"/>
      <c r="J70" s="114"/>
      <c r="K70" s="68"/>
      <c r="T70" s="55"/>
    </row>
    <row r="71" spans="2:20" x14ac:dyDescent="0.25">
      <c r="B71" s="80" t="s">
        <v>55</v>
      </c>
      <c r="C71" s="48"/>
      <c r="D71" s="48"/>
      <c r="E71" s="48"/>
      <c r="F71" s="48"/>
      <c r="G71" s="48"/>
      <c r="H71" s="48"/>
      <c r="I71" s="48"/>
      <c r="J71" s="109"/>
      <c r="K71" s="69"/>
      <c r="T71" s="50"/>
    </row>
    <row r="72" spans="2:20" ht="19.5" thickBot="1" x14ac:dyDescent="0.3">
      <c r="B72" s="81" t="s">
        <v>54</v>
      </c>
      <c r="C72" s="70"/>
      <c r="D72" s="70"/>
      <c r="E72" s="70"/>
      <c r="F72" s="70"/>
      <c r="G72" s="70"/>
      <c r="H72" s="70"/>
      <c r="I72" s="70"/>
      <c r="J72" s="115"/>
      <c r="K72" s="71"/>
      <c r="T72" s="56"/>
    </row>
    <row r="73" spans="2:20" ht="7.5" customHeight="1" thickBot="1" x14ac:dyDescent="0.3"/>
    <row r="74" spans="2:20" ht="19.5" thickBot="1" x14ac:dyDescent="0.3">
      <c r="B74" s="78" t="s">
        <v>59</v>
      </c>
      <c r="C74" s="65"/>
      <c r="D74" s="65"/>
      <c r="E74" s="65"/>
      <c r="F74" s="65"/>
      <c r="G74" s="65"/>
      <c r="H74" s="65"/>
      <c r="I74" s="65"/>
      <c r="J74" s="116"/>
      <c r="K74" s="66"/>
      <c r="T74" s="64"/>
    </row>
  </sheetData>
  <mergeCells count="3">
    <mergeCell ref="I1:T1"/>
    <mergeCell ref="C4:K4"/>
    <mergeCell ref="C53:K53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3" max="8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B4813-E558-48D1-978D-147EF40DE8F0}">
  <sheetPr>
    <pageSetUpPr fitToPage="1"/>
  </sheetPr>
  <dimension ref="A1:BA74"/>
  <sheetViews>
    <sheetView tabSelected="1" topLeftCell="A25" zoomScaleNormal="100" zoomScaleSheetLayoutView="115" workbookViewId="0">
      <selection activeCell="Q41" sqref="Q41"/>
    </sheetView>
  </sheetViews>
  <sheetFormatPr defaultColWidth="9.140625" defaultRowHeight="18.75" x14ac:dyDescent="0.25"/>
  <cols>
    <col min="1" max="1" width="4.140625" style="57" bestFit="1" customWidth="1"/>
    <col min="2" max="2" width="12.28515625" style="76" customWidth="1"/>
    <col min="3" max="3" width="14" style="57" bestFit="1" customWidth="1"/>
    <col min="4" max="6" width="10" style="57" customWidth="1"/>
    <col min="7" max="7" width="6.85546875" style="57" customWidth="1"/>
    <col min="8" max="8" width="6.7109375" style="57" customWidth="1"/>
    <col min="9" max="9" width="5" style="57" customWidth="1"/>
    <col min="10" max="10" width="6.85546875" style="57" customWidth="1"/>
    <col min="11" max="11" width="5.5703125" style="57" bestFit="1" customWidth="1"/>
    <col min="12" max="12" width="1.42578125" style="57" customWidth="1"/>
    <col min="13" max="13" width="10" style="57" customWidth="1"/>
    <col min="14" max="14" width="5.5703125" style="57" bestFit="1" customWidth="1"/>
    <col min="15" max="15" width="10" style="57" customWidth="1"/>
    <col min="16" max="16" width="5.5703125" style="57" customWidth="1"/>
    <col min="17" max="17" width="10" style="57" customWidth="1"/>
    <col min="18" max="18" width="5.5703125" style="57" bestFit="1" customWidth="1"/>
    <col min="19" max="19" width="1.42578125" style="57" customWidth="1"/>
    <col min="20" max="20" width="14.28515625" style="57" customWidth="1"/>
    <col min="21" max="21" width="5.5703125" style="57" customWidth="1"/>
    <col min="22" max="48" width="7.28515625" style="57" customWidth="1"/>
    <col min="49" max="49" width="1.5703125" style="57" customWidth="1"/>
    <col min="50" max="50" width="9.42578125" style="57" customWidth="1"/>
    <col min="51" max="51" width="1.28515625" style="57" customWidth="1"/>
    <col min="52" max="52" width="12.7109375" style="57" bestFit="1" customWidth="1"/>
    <col min="53" max="53" width="10.28515625" style="57" bestFit="1" customWidth="1"/>
    <col min="54" max="16384" width="9.140625" style="57"/>
  </cols>
  <sheetData>
    <row r="1" spans="1:53" ht="15" customHeight="1" x14ac:dyDescent="0.25">
      <c r="B1" s="75" t="s">
        <v>51</v>
      </c>
      <c r="I1" s="133" t="s">
        <v>53</v>
      </c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</row>
    <row r="2" spans="1:53" x14ac:dyDescent="0.25">
      <c r="B2" s="76" t="s">
        <v>75</v>
      </c>
    </row>
    <row r="3" spans="1:53" ht="19.5" thickBot="1" x14ac:dyDescent="0.3"/>
    <row r="4" spans="1:53" s="58" customFormat="1" ht="15.75" x14ac:dyDescent="0.25">
      <c r="B4" s="93" t="s">
        <v>63</v>
      </c>
      <c r="C4" s="128" t="s">
        <v>49</v>
      </c>
      <c r="D4" s="128"/>
      <c r="E4" s="128"/>
      <c r="F4" s="128"/>
      <c r="G4" s="128"/>
      <c r="H4" s="128"/>
      <c r="I4" s="128"/>
      <c r="J4" s="134"/>
      <c r="K4" s="129"/>
      <c r="M4" s="82" t="s">
        <v>0</v>
      </c>
      <c r="N4" s="117" t="s">
        <v>73</v>
      </c>
      <c r="O4" s="84" t="s">
        <v>45</v>
      </c>
      <c r="P4" s="117" t="s">
        <v>73</v>
      </c>
      <c r="Q4" s="85" t="s">
        <v>46</v>
      </c>
      <c r="R4" s="117" t="s">
        <v>73</v>
      </c>
      <c r="S4" s="57"/>
      <c r="T4" s="86" t="s">
        <v>50</v>
      </c>
      <c r="U4" s="86" t="s">
        <v>73</v>
      </c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</row>
    <row r="5" spans="1:53" s="58" customFormat="1" ht="15.75" x14ac:dyDescent="0.25">
      <c r="B5" s="87"/>
      <c r="C5" s="92"/>
      <c r="D5" s="92"/>
      <c r="E5" s="92"/>
      <c r="F5" s="92"/>
      <c r="G5" s="92" t="s">
        <v>71</v>
      </c>
      <c r="H5" s="92" t="s">
        <v>47</v>
      </c>
      <c r="I5" s="92"/>
      <c r="J5" s="92" t="s">
        <v>72</v>
      </c>
      <c r="K5" s="89"/>
      <c r="M5" s="87"/>
      <c r="N5" s="118"/>
      <c r="O5" s="92"/>
      <c r="P5" s="108"/>
      <c r="Q5" s="108"/>
      <c r="R5" s="89"/>
      <c r="S5" s="57"/>
      <c r="T5" s="90"/>
      <c r="U5" s="90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</row>
    <row r="6" spans="1:53" s="58" customFormat="1" ht="15.75" x14ac:dyDescent="0.25">
      <c r="B6" s="87"/>
      <c r="C6" s="92"/>
      <c r="D6" s="92"/>
      <c r="E6" s="92"/>
      <c r="F6" s="92"/>
      <c r="G6" s="92"/>
      <c r="H6" s="92"/>
      <c r="I6" s="92"/>
      <c r="J6" s="108"/>
      <c r="K6" s="89"/>
      <c r="M6" s="87"/>
      <c r="N6" s="118"/>
      <c r="O6" s="92"/>
      <c r="P6" s="108"/>
      <c r="Q6" s="108"/>
      <c r="R6" s="89"/>
      <c r="S6" s="57"/>
      <c r="T6" s="90"/>
      <c r="U6" s="90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</row>
    <row r="7" spans="1:53" x14ac:dyDescent="0.25">
      <c r="A7" s="75">
        <v>1</v>
      </c>
      <c r="B7" s="74" t="s">
        <v>34</v>
      </c>
      <c r="C7" s="48">
        <f>63+17</f>
        <v>80</v>
      </c>
      <c r="D7" s="48"/>
      <c r="E7" s="48"/>
      <c r="F7" s="48">
        <v>17</v>
      </c>
      <c r="G7" s="48">
        <v>1</v>
      </c>
      <c r="H7" s="48"/>
      <c r="I7" s="48"/>
      <c r="J7" s="109"/>
      <c r="K7" s="69">
        <v>6</v>
      </c>
      <c r="M7" s="88"/>
      <c r="N7" s="119"/>
      <c r="O7" s="48">
        <v>3</v>
      </c>
      <c r="P7" s="109"/>
      <c r="Q7" s="109">
        <v>1</v>
      </c>
      <c r="R7" s="69"/>
      <c r="T7" s="91">
        <f>C7+M7+O7+Q7+1</f>
        <v>85</v>
      </c>
      <c r="U7" s="91">
        <f>N7+P7+R7</f>
        <v>0</v>
      </c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</row>
    <row r="8" spans="1:53" ht="19.5" thickBot="1" x14ac:dyDescent="0.3">
      <c r="A8" s="75">
        <f>A7+1</f>
        <v>2</v>
      </c>
      <c r="B8" s="94" t="s">
        <v>37</v>
      </c>
      <c r="C8" s="95">
        <f>126+14+1</f>
        <v>141</v>
      </c>
      <c r="D8" s="95"/>
      <c r="E8" s="95"/>
      <c r="F8" s="95"/>
      <c r="G8" s="95"/>
      <c r="H8" s="95"/>
      <c r="I8" s="95"/>
      <c r="J8" s="110"/>
      <c r="K8" s="96"/>
      <c r="L8" s="102"/>
      <c r="M8" s="103">
        <v>1</v>
      </c>
      <c r="N8" s="120"/>
      <c r="O8" s="97"/>
      <c r="P8" s="113"/>
      <c r="Q8" s="113">
        <v>1</v>
      </c>
      <c r="R8" s="98"/>
      <c r="S8" s="102"/>
      <c r="T8" s="91">
        <f>C8+M8+O8+Q8</f>
        <v>143</v>
      </c>
      <c r="U8" s="91">
        <f t="shared" ref="U8:U50" si="0">N8+P8+R8</f>
        <v>0</v>
      </c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</row>
    <row r="9" spans="1:53" x14ac:dyDescent="0.25">
      <c r="A9" s="75">
        <f t="shared" ref="A9:A50" si="1">A8+1</f>
        <v>3</v>
      </c>
      <c r="B9" s="73" t="s">
        <v>35</v>
      </c>
      <c r="C9" s="47"/>
      <c r="D9" s="47"/>
      <c r="E9" s="47"/>
      <c r="F9" s="47"/>
      <c r="G9" s="47"/>
      <c r="H9" s="47"/>
      <c r="I9" s="47"/>
      <c r="J9" s="111"/>
      <c r="K9" s="46"/>
      <c r="M9" s="52"/>
      <c r="N9" s="121"/>
      <c r="O9" s="47"/>
      <c r="P9" s="111"/>
      <c r="Q9" s="111"/>
      <c r="R9" s="46"/>
      <c r="T9" s="91">
        <f t="shared" ref="T9:T50" si="2">C9+M9+O9+Q9</f>
        <v>0</v>
      </c>
      <c r="U9" s="91">
        <f t="shared" si="0"/>
        <v>0</v>
      </c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</row>
    <row r="10" spans="1:53" x14ac:dyDescent="0.25">
      <c r="A10" s="75">
        <f t="shared" si="1"/>
        <v>4</v>
      </c>
      <c r="B10" s="74" t="s">
        <v>38</v>
      </c>
      <c r="C10" s="47">
        <v>7</v>
      </c>
      <c r="D10" s="47"/>
      <c r="E10" s="47"/>
      <c r="F10" s="47"/>
      <c r="G10" s="47"/>
      <c r="H10" s="47"/>
      <c r="I10" s="47"/>
      <c r="J10" s="111"/>
      <c r="K10" s="46"/>
      <c r="M10" s="52"/>
      <c r="N10" s="121"/>
      <c r="O10" s="47">
        <v>2</v>
      </c>
      <c r="P10" s="111"/>
      <c r="Q10" s="111"/>
      <c r="R10" s="46"/>
      <c r="T10" s="91">
        <f t="shared" si="2"/>
        <v>9</v>
      </c>
      <c r="U10" s="91">
        <f t="shared" si="0"/>
        <v>0</v>
      </c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</row>
    <row r="11" spans="1:53" x14ac:dyDescent="0.25">
      <c r="A11" s="75">
        <f t="shared" si="1"/>
        <v>5</v>
      </c>
      <c r="B11" s="74" t="s">
        <v>36</v>
      </c>
      <c r="C11" s="47">
        <v>28</v>
      </c>
      <c r="D11" s="47"/>
      <c r="E11" s="47"/>
      <c r="F11" s="47"/>
      <c r="G11" s="47"/>
      <c r="H11" s="47"/>
      <c r="I11" s="47"/>
      <c r="J11" s="111"/>
      <c r="K11" s="46"/>
      <c r="M11" s="52"/>
      <c r="N11" s="121"/>
      <c r="O11" s="47"/>
      <c r="P11" s="111"/>
      <c r="Q11" s="111"/>
      <c r="R11" s="46"/>
      <c r="T11" s="91">
        <f t="shared" si="2"/>
        <v>28</v>
      </c>
      <c r="U11" s="91">
        <f t="shared" si="0"/>
        <v>0</v>
      </c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</row>
    <row r="12" spans="1:53" s="61" customFormat="1" ht="19.5" thickBot="1" x14ac:dyDescent="0.3">
      <c r="A12" s="75">
        <v>7</v>
      </c>
      <c r="B12" s="94" t="s">
        <v>32</v>
      </c>
      <c r="C12" s="95">
        <f>1152+48+1728+864+6</f>
        <v>3798</v>
      </c>
      <c r="D12" s="95"/>
      <c r="E12" s="95"/>
      <c r="F12" s="95"/>
      <c r="G12" s="95"/>
      <c r="H12" s="95"/>
      <c r="I12" s="95"/>
      <c r="J12" s="110"/>
      <c r="K12" s="96"/>
      <c r="L12" s="102"/>
      <c r="M12" s="103">
        <v>10</v>
      </c>
      <c r="N12" s="120"/>
      <c r="O12" s="97">
        <v>11</v>
      </c>
      <c r="P12" s="113">
        <v>9</v>
      </c>
      <c r="Q12" s="113">
        <v>15</v>
      </c>
      <c r="R12" s="98">
        <v>8</v>
      </c>
      <c r="S12" s="102"/>
      <c r="T12" s="91">
        <f t="shared" si="2"/>
        <v>3834</v>
      </c>
      <c r="U12" s="91">
        <f t="shared" si="0"/>
        <v>17</v>
      </c>
      <c r="V12" s="57"/>
      <c r="W12" s="57"/>
      <c r="X12" s="57"/>
      <c r="Y12" s="57"/>
      <c r="Z12" s="57"/>
      <c r="AA12" s="57"/>
      <c r="AB12" s="57"/>
      <c r="AC12" s="57"/>
      <c r="AD12" s="57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</row>
    <row r="13" spans="1:53" x14ac:dyDescent="0.25">
      <c r="A13" s="75">
        <v>11</v>
      </c>
      <c r="B13" s="73" t="s">
        <v>1</v>
      </c>
      <c r="C13" s="47">
        <v>5</v>
      </c>
      <c r="D13" s="47"/>
      <c r="E13" s="47"/>
      <c r="F13" s="47"/>
      <c r="G13" s="47"/>
      <c r="H13" s="47"/>
      <c r="I13" s="47"/>
      <c r="J13" s="111"/>
      <c r="K13" s="46"/>
      <c r="M13" s="52"/>
      <c r="N13" s="121"/>
      <c r="O13" s="47"/>
      <c r="P13" s="111"/>
      <c r="Q13" s="111"/>
      <c r="R13" s="46"/>
      <c r="T13" s="91">
        <f t="shared" si="2"/>
        <v>5</v>
      </c>
      <c r="U13" s="91">
        <f t="shared" si="0"/>
        <v>0</v>
      </c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</row>
    <row r="14" spans="1:53" x14ac:dyDescent="0.25">
      <c r="A14" s="75">
        <f t="shared" si="1"/>
        <v>12</v>
      </c>
      <c r="B14" s="74" t="s">
        <v>2</v>
      </c>
      <c r="C14" s="47">
        <v>1</v>
      </c>
      <c r="D14" s="47"/>
      <c r="E14" s="47"/>
      <c r="F14" s="47"/>
      <c r="G14" s="47"/>
      <c r="H14" s="47"/>
      <c r="I14" s="47"/>
      <c r="J14" s="111"/>
      <c r="K14" s="46"/>
      <c r="M14" s="52"/>
      <c r="N14" s="121"/>
      <c r="O14" s="47"/>
      <c r="P14" s="111"/>
      <c r="Q14" s="111"/>
      <c r="R14" s="46"/>
      <c r="T14" s="91">
        <f t="shared" si="2"/>
        <v>1</v>
      </c>
      <c r="U14" s="91">
        <f t="shared" si="0"/>
        <v>0</v>
      </c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</row>
    <row r="15" spans="1:53" x14ac:dyDescent="0.25">
      <c r="A15" s="75">
        <f t="shared" si="1"/>
        <v>13</v>
      </c>
      <c r="B15" s="74" t="s">
        <v>3</v>
      </c>
      <c r="C15" s="47">
        <v>1</v>
      </c>
      <c r="D15" s="47"/>
      <c r="E15" s="47"/>
      <c r="F15" s="47"/>
      <c r="G15" s="47"/>
      <c r="H15" s="47"/>
      <c r="I15" s="47"/>
      <c r="J15" s="111"/>
      <c r="K15" s="46"/>
      <c r="M15" s="52"/>
      <c r="N15" s="121"/>
      <c r="O15" s="47"/>
      <c r="P15" s="111"/>
      <c r="Q15" s="111"/>
      <c r="R15" s="46"/>
      <c r="T15" s="91">
        <f t="shared" si="2"/>
        <v>1</v>
      </c>
      <c r="U15" s="91">
        <f t="shared" si="0"/>
        <v>0</v>
      </c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</row>
    <row r="16" spans="1:53" x14ac:dyDescent="0.25">
      <c r="A16" s="75">
        <f t="shared" si="1"/>
        <v>14</v>
      </c>
      <c r="B16" s="74" t="s">
        <v>4</v>
      </c>
      <c r="C16" s="47"/>
      <c r="D16" s="47"/>
      <c r="E16" s="47"/>
      <c r="F16" s="47"/>
      <c r="G16" s="47"/>
      <c r="H16" s="47"/>
      <c r="I16" s="47"/>
      <c r="J16" s="111"/>
      <c r="K16" s="46"/>
      <c r="M16" s="52"/>
      <c r="N16" s="121"/>
      <c r="O16" s="47"/>
      <c r="P16" s="111"/>
      <c r="Q16" s="111"/>
      <c r="R16" s="46"/>
      <c r="T16" s="91">
        <f t="shared" si="2"/>
        <v>0</v>
      </c>
      <c r="U16" s="91">
        <f t="shared" si="0"/>
        <v>0</v>
      </c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</row>
    <row r="17" spans="1:53" x14ac:dyDescent="0.25">
      <c r="A17" s="75">
        <f t="shared" si="1"/>
        <v>15</v>
      </c>
      <c r="B17" s="74" t="s">
        <v>5</v>
      </c>
      <c r="C17" s="47">
        <v>6</v>
      </c>
      <c r="D17" s="47"/>
      <c r="E17" s="47"/>
      <c r="F17" s="47"/>
      <c r="G17" s="47"/>
      <c r="H17" s="47"/>
      <c r="I17" s="47"/>
      <c r="J17" s="111"/>
      <c r="K17" s="46"/>
      <c r="M17" s="52"/>
      <c r="N17" s="121"/>
      <c r="O17" s="47"/>
      <c r="P17" s="111"/>
      <c r="Q17" s="111"/>
      <c r="R17" s="46"/>
      <c r="T17" s="91">
        <f t="shared" si="2"/>
        <v>6</v>
      </c>
      <c r="U17" s="91">
        <f t="shared" si="0"/>
        <v>0</v>
      </c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</row>
    <row r="18" spans="1:53" hidden="1" x14ac:dyDescent="0.25">
      <c r="A18" s="75">
        <f t="shared" si="1"/>
        <v>16</v>
      </c>
      <c r="B18" s="74" t="s">
        <v>10</v>
      </c>
      <c r="C18" s="47"/>
      <c r="D18" s="47"/>
      <c r="E18" s="47"/>
      <c r="F18" s="47"/>
      <c r="G18" s="47"/>
      <c r="H18" s="47"/>
      <c r="I18" s="47"/>
      <c r="J18" s="111"/>
      <c r="K18" s="46"/>
      <c r="M18" s="52"/>
      <c r="N18" s="121"/>
      <c r="O18" s="47"/>
      <c r="P18" s="111"/>
      <c r="Q18" s="111"/>
      <c r="R18" s="46"/>
      <c r="T18" s="91">
        <f t="shared" si="2"/>
        <v>0</v>
      </c>
      <c r="U18" s="91">
        <f t="shared" si="0"/>
        <v>0</v>
      </c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</row>
    <row r="19" spans="1:53" x14ac:dyDescent="0.25">
      <c r="A19" s="75">
        <v>16</v>
      </c>
      <c r="B19" s="74" t="s">
        <v>64</v>
      </c>
      <c r="C19" s="47">
        <v>4</v>
      </c>
      <c r="D19" s="47"/>
      <c r="E19" s="47"/>
      <c r="F19" s="47"/>
      <c r="G19" s="47"/>
      <c r="H19" s="47"/>
      <c r="I19" s="47"/>
      <c r="J19" s="111"/>
      <c r="K19" s="46"/>
      <c r="M19" s="52"/>
      <c r="N19" s="121"/>
      <c r="O19" s="47"/>
      <c r="P19" s="111"/>
      <c r="Q19" s="111"/>
      <c r="R19" s="46"/>
      <c r="T19" s="91">
        <f t="shared" si="2"/>
        <v>4</v>
      </c>
      <c r="U19" s="91">
        <f t="shared" si="0"/>
        <v>0</v>
      </c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</row>
    <row r="20" spans="1:53" x14ac:dyDescent="0.25">
      <c r="A20" s="75">
        <f t="shared" si="1"/>
        <v>17</v>
      </c>
      <c r="B20" s="74" t="s">
        <v>6</v>
      </c>
      <c r="C20" s="47">
        <v>7</v>
      </c>
      <c r="D20" s="47"/>
      <c r="E20" s="47"/>
      <c r="F20" s="47"/>
      <c r="G20" s="47"/>
      <c r="H20" s="47"/>
      <c r="I20" s="47"/>
      <c r="J20" s="111"/>
      <c r="K20" s="46"/>
      <c r="M20" s="52"/>
      <c r="N20" s="121"/>
      <c r="O20" s="47"/>
      <c r="P20" s="111"/>
      <c r="Q20" s="111"/>
      <c r="R20" s="46"/>
      <c r="T20" s="91">
        <f t="shared" si="2"/>
        <v>7</v>
      </c>
      <c r="U20" s="91">
        <f t="shared" si="0"/>
        <v>0</v>
      </c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</row>
    <row r="21" spans="1:53" x14ac:dyDescent="0.25">
      <c r="A21" s="75">
        <f t="shared" si="1"/>
        <v>18</v>
      </c>
      <c r="B21" s="74" t="s">
        <v>7</v>
      </c>
      <c r="C21" s="47">
        <v>6</v>
      </c>
      <c r="D21" s="47"/>
      <c r="E21" s="47"/>
      <c r="F21" s="47"/>
      <c r="G21" s="47"/>
      <c r="H21" s="47"/>
      <c r="I21" s="47"/>
      <c r="J21" s="111"/>
      <c r="K21" s="46"/>
      <c r="M21" s="52"/>
      <c r="N21" s="121"/>
      <c r="O21" s="47"/>
      <c r="P21" s="111"/>
      <c r="Q21" s="111"/>
      <c r="R21" s="46"/>
      <c r="T21" s="91">
        <f t="shared" si="2"/>
        <v>6</v>
      </c>
      <c r="U21" s="91">
        <f t="shared" si="0"/>
        <v>0</v>
      </c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</row>
    <row r="22" spans="1:53" s="61" customFormat="1" x14ac:dyDescent="0.25">
      <c r="A22" s="75">
        <f t="shared" si="1"/>
        <v>19</v>
      </c>
      <c r="B22" s="74" t="s">
        <v>65</v>
      </c>
      <c r="C22" s="47">
        <v>4</v>
      </c>
      <c r="D22" s="47"/>
      <c r="E22" s="47"/>
      <c r="F22" s="47"/>
      <c r="G22" s="47"/>
      <c r="H22" s="47"/>
      <c r="I22" s="47"/>
      <c r="J22" s="111"/>
      <c r="K22" s="46"/>
      <c r="L22" s="57"/>
      <c r="M22" s="52"/>
      <c r="N22" s="121"/>
      <c r="O22" s="47"/>
      <c r="P22" s="111"/>
      <c r="Q22" s="111"/>
      <c r="R22" s="46"/>
      <c r="S22" s="57"/>
      <c r="T22" s="91">
        <f t="shared" si="2"/>
        <v>4</v>
      </c>
      <c r="U22" s="91">
        <f t="shared" si="0"/>
        <v>0</v>
      </c>
      <c r="V22" s="57"/>
      <c r="W22" s="57"/>
      <c r="X22" s="57"/>
      <c r="Y22" s="57"/>
      <c r="Z22" s="57"/>
      <c r="AA22" s="57"/>
      <c r="AB22" s="57"/>
      <c r="AC22" s="57"/>
      <c r="AD22" s="57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</row>
    <row r="23" spans="1:53" s="61" customFormat="1" x14ac:dyDescent="0.25">
      <c r="A23" s="75">
        <f t="shared" si="1"/>
        <v>20</v>
      </c>
      <c r="B23" s="74" t="s">
        <v>66</v>
      </c>
      <c r="C23" s="47">
        <v>55</v>
      </c>
      <c r="D23" s="47"/>
      <c r="E23" s="47"/>
      <c r="F23" s="47"/>
      <c r="G23" s="47"/>
      <c r="H23" s="47"/>
      <c r="I23" s="47"/>
      <c r="J23" s="111"/>
      <c r="K23" s="46"/>
      <c r="L23" s="57"/>
      <c r="M23" s="52"/>
      <c r="N23" s="121"/>
      <c r="O23" s="47"/>
      <c r="P23" s="111"/>
      <c r="Q23" s="111"/>
      <c r="R23" s="46"/>
      <c r="S23" s="57"/>
      <c r="T23" s="91">
        <f t="shared" si="2"/>
        <v>55</v>
      </c>
      <c r="U23" s="91">
        <f t="shared" si="0"/>
        <v>0</v>
      </c>
      <c r="V23" s="57"/>
      <c r="W23" s="57"/>
      <c r="X23" s="57"/>
      <c r="Y23" s="57"/>
      <c r="Z23" s="57"/>
      <c r="AA23" s="57"/>
      <c r="AB23" s="57"/>
      <c r="AC23" s="57"/>
      <c r="AD23" s="57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</row>
    <row r="24" spans="1:53" x14ac:dyDescent="0.25">
      <c r="A24" s="75">
        <f t="shared" si="1"/>
        <v>21</v>
      </c>
      <c r="B24" s="74" t="s">
        <v>67</v>
      </c>
      <c r="C24" s="47">
        <v>8</v>
      </c>
      <c r="D24" s="47"/>
      <c r="E24" s="47"/>
      <c r="F24" s="47"/>
      <c r="G24" s="47"/>
      <c r="H24" s="47"/>
      <c r="I24" s="47"/>
      <c r="J24" s="111"/>
      <c r="K24" s="46"/>
      <c r="M24" s="52"/>
      <c r="N24" s="121"/>
      <c r="O24" s="47"/>
      <c r="P24" s="111"/>
      <c r="Q24" s="111"/>
      <c r="R24" s="46"/>
      <c r="T24" s="91">
        <f t="shared" si="2"/>
        <v>8</v>
      </c>
      <c r="U24" s="91">
        <f t="shared" si="0"/>
        <v>0</v>
      </c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</row>
    <row r="25" spans="1:53" x14ac:dyDescent="0.25">
      <c r="A25" s="75">
        <f t="shared" si="1"/>
        <v>22</v>
      </c>
      <c r="B25" s="74" t="s">
        <v>9</v>
      </c>
      <c r="C25" s="47">
        <v>61</v>
      </c>
      <c r="D25" s="47"/>
      <c r="E25" s="47"/>
      <c r="F25" s="47">
        <v>22</v>
      </c>
      <c r="G25" s="47">
        <v>1</v>
      </c>
      <c r="H25" s="47"/>
      <c r="I25" s="47"/>
      <c r="J25" s="111"/>
      <c r="K25" s="46"/>
      <c r="M25" s="52"/>
      <c r="N25" s="121"/>
      <c r="O25" s="47">
        <v>1</v>
      </c>
      <c r="P25" s="111"/>
      <c r="Q25" s="111"/>
      <c r="R25" s="46"/>
      <c r="T25" s="91">
        <f t="shared" si="2"/>
        <v>62</v>
      </c>
      <c r="U25" s="91">
        <f>F25+G25+N25+P25+R25</f>
        <v>23</v>
      </c>
      <c r="AX25" s="62" t="e">
        <f>#REF!-AX24</f>
        <v>#REF!</v>
      </c>
    </row>
    <row r="26" spans="1:53" s="61" customFormat="1" x14ac:dyDescent="0.25">
      <c r="A26" s="75">
        <f t="shared" si="1"/>
        <v>23</v>
      </c>
      <c r="B26" s="74" t="s">
        <v>11</v>
      </c>
      <c r="C26" s="47">
        <v>20</v>
      </c>
      <c r="D26" s="47"/>
      <c r="E26" s="47"/>
      <c r="F26" s="47"/>
      <c r="G26" s="47"/>
      <c r="H26" s="47"/>
      <c r="I26" s="47"/>
      <c r="J26" s="111"/>
      <c r="K26" s="46"/>
      <c r="L26" s="57"/>
      <c r="M26" s="52"/>
      <c r="N26" s="121"/>
      <c r="O26" s="47"/>
      <c r="P26" s="111"/>
      <c r="Q26" s="111"/>
      <c r="R26" s="46"/>
      <c r="S26" s="57"/>
      <c r="T26" s="91">
        <f t="shared" si="2"/>
        <v>20</v>
      </c>
      <c r="U26" s="91">
        <f t="shared" si="0"/>
        <v>0</v>
      </c>
      <c r="V26" s="57"/>
      <c r="W26" s="57"/>
      <c r="X26" s="57"/>
      <c r="Y26" s="57"/>
      <c r="Z26" s="57"/>
      <c r="AA26" s="57"/>
      <c r="AB26" s="57"/>
      <c r="AC26" s="57"/>
      <c r="AD26" s="57"/>
    </row>
    <row r="27" spans="1:53" s="61" customFormat="1" x14ac:dyDescent="0.25">
      <c r="A27" s="75">
        <f t="shared" si="1"/>
        <v>24</v>
      </c>
      <c r="B27" s="74" t="s">
        <v>12</v>
      </c>
      <c r="C27" s="47">
        <v>60</v>
      </c>
      <c r="D27" s="47"/>
      <c r="E27" s="47"/>
      <c r="F27" s="47"/>
      <c r="G27" s="47"/>
      <c r="H27" s="47"/>
      <c r="I27" s="47"/>
      <c r="J27" s="111"/>
      <c r="K27" s="46"/>
      <c r="L27" s="57"/>
      <c r="M27" s="52">
        <v>1</v>
      </c>
      <c r="N27" s="121"/>
      <c r="O27" s="47">
        <v>2</v>
      </c>
      <c r="P27" s="111"/>
      <c r="Q27" s="111">
        <v>3</v>
      </c>
      <c r="R27" s="46"/>
      <c r="S27" s="57"/>
      <c r="T27" s="91">
        <f t="shared" si="2"/>
        <v>66</v>
      </c>
      <c r="U27" s="91">
        <f t="shared" si="0"/>
        <v>0</v>
      </c>
      <c r="V27" s="57"/>
      <c r="W27" s="57"/>
      <c r="X27" s="57"/>
      <c r="Y27" s="57"/>
      <c r="Z27" s="57"/>
      <c r="AA27" s="57"/>
      <c r="AB27" s="57"/>
      <c r="AC27" s="57"/>
      <c r="AD27" s="57"/>
    </row>
    <row r="28" spans="1:53" x14ac:dyDescent="0.25">
      <c r="A28" s="75">
        <f t="shared" si="1"/>
        <v>25</v>
      </c>
      <c r="B28" s="74" t="s">
        <v>14</v>
      </c>
      <c r="C28" s="47">
        <v>4</v>
      </c>
      <c r="D28" s="47"/>
      <c r="E28" s="47"/>
      <c r="F28" s="47"/>
      <c r="G28" s="47"/>
      <c r="H28" s="47"/>
      <c r="I28" s="47"/>
      <c r="J28" s="111"/>
      <c r="K28" s="46"/>
      <c r="M28" s="52"/>
      <c r="N28" s="121"/>
      <c r="O28" s="47"/>
      <c r="P28" s="111"/>
      <c r="Q28" s="111">
        <v>1</v>
      </c>
      <c r="R28" s="46"/>
      <c r="T28" s="91">
        <f t="shared" si="2"/>
        <v>5</v>
      </c>
      <c r="U28" s="91">
        <f t="shared" si="0"/>
        <v>0</v>
      </c>
    </row>
    <row r="29" spans="1:53" x14ac:dyDescent="0.25">
      <c r="A29" s="75">
        <f t="shared" si="1"/>
        <v>26</v>
      </c>
      <c r="B29" s="74" t="s">
        <v>16</v>
      </c>
      <c r="C29" s="47">
        <f>63+33+1</f>
        <v>97</v>
      </c>
      <c r="D29" s="47"/>
      <c r="E29" s="47"/>
      <c r="F29" s="47"/>
      <c r="G29" s="47"/>
      <c r="H29" s="47"/>
      <c r="I29" s="47"/>
      <c r="J29" s="111"/>
      <c r="K29" s="46"/>
      <c r="M29" s="52"/>
      <c r="N29" s="121"/>
      <c r="O29" s="47"/>
      <c r="P29" s="111"/>
      <c r="Q29" s="111">
        <v>1</v>
      </c>
      <c r="R29" s="46"/>
      <c r="T29" s="91">
        <f t="shared" si="2"/>
        <v>98</v>
      </c>
      <c r="U29" s="91">
        <f t="shared" si="0"/>
        <v>0</v>
      </c>
    </row>
    <row r="30" spans="1:53" x14ac:dyDescent="0.25">
      <c r="A30" s="75">
        <f t="shared" si="1"/>
        <v>27</v>
      </c>
      <c r="B30" s="74" t="s">
        <v>13</v>
      </c>
      <c r="C30" s="47"/>
      <c r="D30" s="47"/>
      <c r="E30" s="47"/>
      <c r="F30" s="47"/>
      <c r="G30" s="47"/>
      <c r="H30" s="47"/>
      <c r="I30" s="47"/>
      <c r="J30" s="111"/>
      <c r="K30" s="46"/>
      <c r="M30" s="52"/>
      <c r="N30" s="121"/>
      <c r="O30" s="47"/>
      <c r="P30" s="111"/>
      <c r="Q30" s="111"/>
      <c r="R30" s="46"/>
      <c r="T30" s="91">
        <f t="shared" si="2"/>
        <v>0</v>
      </c>
      <c r="U30" s="91">
        <f t="shared" si="0"/>
        <v>0</v>
      </c>
    </row>
    <row r="31" spans="1:53" x14ac:dyDescent="0.25">
      <c r="A31" s="75">
        <f t="shared" si="1"/>
        <v>28</v>
      </c>
      <c r="B31" s="74" t="s">
        <v>15</v>
      </c>
      <c r="C31" s="47"/>
      <c r="D31" s="47"/>
      <c r="E31" s="47"/>
      <c r="F31" s="47"/>
      <c r="G31" s="47"/>
      <c r="H31" s="47"/>
      <c r="I31" s="47"/>
      <c r="J31" s="111"/>
      <c r="K31" s="46"/>
      <c r="M31" s="52"/>
      <c r="N31" s="121"/>
      <c r="O31" s="47"/>
      <c r="P31" s="111"/>
      <c r="Q31" s="111"/>
      <c r="R31" s="46"/>
      <c r="T31" s="91">
        <f t="shared" si="2"/>
        <v>0</v>
      </c>
      <c r="U31" s="91">
        <f t="shared" si="0"/>
        <v>0</v>
      </c>
    </row>
    <row r="32" spans="1:53" x14ac:dyDescent="0.25">
      <c r="A32" s="75">
        <f t="shared" si="1"/>
        <v>29</v>
      </c>
      <c r="B32" s="74" t="s">
        <v>17</v>
      </c>
      <c r="C32" s="47">
        <v>5</v>
      </c>
      <c r="D32" s="47"/>
      <c r="E32" s="47"/>
      <c r="F32" s="47"/>
      <c r="G32" s="47"/>
      <c r="H32" s="47"/>
      <c r="I32" s="47"/>
      <c r="J32" s="111"/>
      <c r="K32" s="46"/>
      <c r="M32" s="52"/>
      <c r="N32" s="121"/>
      <c r="O32" s="47"/>
      <c r="P32" s="111"/>
      <c r="Q32" s="111"/>
      <c r="R32" s="46"/>
      <c r="T32" s="91">
        <f t="shared" si="2"/>
        <v>5</v>
      </c>
      <c r="U32" s="91">
        <f t="shared" si="0"/>
        <v>0</v>
      </c>
    </row>
    <row r="33" spans="1:21" x14ac:dyDescent="0.25">
      <c r="A33" s="75">
        <f t="shared" si="1"/>
        <v>30</v>
      </c>
      <c r="B33" s="74" t="s">
        <v>18</v>
      </c>
      <c r="C33" s="47">
        <f>144+53</f>
        <v>197</v>
      </c>
      <c r="D33" s="47"/>
      <c r="E33" s="47"/>
      <c r="F33" s="47">
        <v>22</v>
      </c>
      <c r="G33" s="47"/>
      <c r="H33" s="47"/>
      <c r="I33" s="47"/>
      <c r="J33" s="111"/>
      <c r="K33" s="46">
        <v>1</v>
      </c>
      <c r="M33" s="52">
        <v>1</v>
      </c>
      <c r="N33" s="121"/>
      <c r="O33" s="47">
        <v>3</v>
      </c>
      <c r="P33" s="111"/>
      <c r="Q33" s="111">
        <v>2</v>
      </c>
      <c r="R33" s="46"/>
      <c r="T33" s="91">
        <f t="shared" si="2"/>
        <v>203</v>
      </c>
      <c r="U33" s="91">
        <f>F33+K33+N33+P33+R33</f>
        <v>23</v>
      </c>
    </row>
    <row r="34" spans="1:21" hidden="1" x14ac:dyDescent="0.25">
      <c r="A34" s="75">
        <f t="shared" si="1"/>
        <v>31</v>
      </c>
      <c r="B34" s="74" t="s">
        <v>26</v>
      </c>
      <c r="C34" s="47"/>
      <c r="D34" s="47"/>
      <c r="E34" s="47"/>
      <c r="F34" s="47"/>
      <c r="G34" s="47"/>
      <c r="H34" s="47"/>
      <c r="I34" s="47"/>
      <c r="J34" s="111"/>
      <c r="K34" s="46"/>
      <c r="M34" s="52"/>
      <c r="N34" s="121"/>
      <c r="O34" s="47"/>
      <c r="P34" s="111"/>
      <c r="Q34" s="111"/>
      <c r="R34" s="46"/>
      <c r="T34" s="91">
        <f t="shared" si="2"/>
        <v>0</v>
      </c>
      <c r="U34" s="91">
        <f t="shared" ref="U34:U37" si="3">F34+K34+N34+P34+R34</f>
        <v>0</v>
      </c>
    </row>
    <row r="35" spans="1:21" x14ac:dyDescent="0.25">
      <c r="A35" s="75">
        <v>31</v>
      </c>
      <c r="B35" s="74" t="s">
        <v>19</v>
      </c>
      <c r="C35" s="47">
        <v>1</v>
      </c>
      <c r="D35" s="47"/>
      <c r="E35" s="47"/>
      <c r="F35" s="47"/>
      <c r="G35" s="47"/>
      <c r="H35" s="47"/>
      <c r="I35" s="47"/>
      <c r="J35" s="111"/>
      <c r="K35" s="46"/>
      <c r="M35" s="52"/>
      <c r="N35" s="121"/>
      <c r="O35" s="47"/>
      <c r="P35" s="111"/>
      <c r="Q35" s="111"/>
      <c r="R35" s="46"/>
      <c r="T35" s="91">
        <f t="shared" si="2"/>
        <v>1</v>
      </c>
      <c r="U35" s="91">
        <f t="shared" si="3"/>
        <v>0</v>
      </c>
    </row>
    <row r="36" spans="1:21" ht="19.5" thickBot="1" x14ac:dyDescent="0.3">
      <c r="A36" s="75">
        <f t="shared" si="1"/>
        <v>32</v>
      </c>
      <c r="B36" s="94" t="s">
        <v>20</v>
      </c>
      <c r="C36" s="95">
        <f>2376+4104+55</f>
        <v>6535</v>
      </c>
      <c r="D36" s="95"/>
      <c r="E36" s="95"/>
      <c r="F36" s="95">
        <v>4</v>
      </c>
      <c r="G36" s="95"/>
      <c r="H36" s="95"/>
      <c r="I36" s="95">
        <v>2</v>
      </c>
      <c r="J36" s="110"/>
      <c r="K36" s="96">
        <v>2</v>
      </c>
      <c r="L36" s="102"/>
      <c r="M36" s="103">
        <v>20</v>
      </c>
      <c r="N36" s="120"/>
      <c r="O36" s="97">
        <v>37</v>
      </c>
      <c r="P36" s="113"/>
      <c r="Q36" s="113">
        <v>80</v>
      </c>
      <c r="R36" s="98"/>
      <c r="S36" s="102"/>
      <c r="T36" s="91">
        <f t="shared" si="2"/>
        <v>6672</v>
      </c>
      <c r="U36" s="91">
        <f>F36+I36+K36+N36+P36+R36</f>
        <v>8</v>
      </c>
    </row>
    <row r="37" spans="1:21" x14ac:dyDescent="0.25">
      <c r="A37" s="75">
        <f t="shared" si="1"/>
        <v>33</v>
      </c>
      <c r="B37" s="73" t="s">
        <v>21</v>
      </c>
      <c r="C37" s="47">
        <f>33+1</f>
        <v>34</v>
      </c>
      <c r="D37" s="47"/>
      <c r="E37" s="47"/>
      <c r="F37" s="47"/>
      <c r="G37" s="47"/>
      <c r="H37" s="47"/>
      <c r="I37" s="47"/>
      <c r="J37" s="111"/>
      <c r="K37" s="46"/>
      <c r="M37" s="52"/>
      <c r="N37" s="121"/>
      <c r="O37" s="47"/>
      <c r="P37" s="111"/>
      <c r="Q37" s="111">
        <v>1</v>
      </c>
      <c r="R37" s="46"/>
      <c r="T37" s="91">
        <f t="shared" si="2"/>
        <v>35</v>
      </c>
      <c r="U37" s="91">
        <f t="shared" si="3"/>
        <v>0</v>
      </c>
    </row>
    <row r="38" spans="1:21" ht="19.5" thickBot="1" x14ac:dyDescent="0.3">
      <c r="A38" s="75">
        <f t="shared" si="1"/>
        <v>34</v>
      </c>
      <c r="B38" s="94" t="s">
        <v>22</v>
      </c>
      <c r="C38" s="95">
        <f>17+1071</f>
        <v>1088</v>
      </c>
      <c r="D38" s="95"/>
      <c r="E38" s="95"/>
      <c r="F38" s="95"/>
      <c r="G38" s="95"/>
      <c r="H38" s="95"/>
      <c r="I38" s="95"/>
      <c r="J38" s="110"/>
      <c r="K38" s="96"/>
      <c r="L38" s="102"/>
      <c r="M38" s="103"/>
      <c r="N38" s="120"/>
      <c r="O38" s="97">
        <v>2</v>
      </c>
      <c r="P38" s="113"/>
      <c r="Q38" s="113">
        <v>2</v>
      </c>
      <c r="R38" s="98"/>
      <c r="S38" s="102"/>
      <c r="T38" s="91">
        <f t="shared" si="2"/>
        <v>1092</v>
      </c>
      <c r="U38" s="91">
        <f t="shared" si="0"/>
        <v>0</v>
      </c>
    </row>
    <row r="39" spans="1:21" ht="19.5" thickBot="1" x14ac:dyDescent="0.3">
      <c r="A39" s="75">
        <f t="shared" si="1"/>
        <v>35</v>
      </c>
      <c r="B39" s="99" t="s">
        <v>23</v>
      </c>
      <c r="C39" s="100">
        <f>2208+6+3</f>
        <v>2217</v>
      </c>
      <c r="D39" s="100"/>
      <c r="E39" s="100"/>
      <c r="F39" s="100"/>
      <c r="G39" s="100"/>
      <c r="H39" s="100"/>
      <c r="I39" s="100"/>
      <c r="J39" s="112"/>
      <c r="K39" s="101"/>
      <c r="L39" s="105"/>
      <c r="M39" s="106">
        <v>5</v>
      </c>
      <c r="N39" s="122"/>
      <c r="O39" s="100">
        <v>12</v>
      </c>
      <c r="P39" s="112"/>
      <c r="Q39" s="112">
        <v>20</v>
      </c>
      <c r="R39" s="101"/>
      <c r="S39" s="105"/>
      <c r="T39" s="91">
        <f t="shared" si="2"/>
        <v>2254</v>
      </c>
      <c r="U39" s="91">
        <f t="shared" si="0"/>
        <v>0</v>
      </c>
    </row>
    <row r="40" spans="1:21" hidden="1" x14ac:dyDescent="0.25">
      <c r="A40" s="75">
        <f t="shared" si="1"/>
        <v>36</v>
      </c>
      <c r="B40" s="73" t="s">
        <v>31</v>
      </c>
      <c r="C40" s="47"/>
      <c r="D40" s="47"/>
      <c r="E40" s="47"/>
      <c r="F40" s="47"/>
      <c r="G40" s="47"/>
      <c r="H40" s="47"/>
      <c r="I40" s="47"/>
      <c r="J40" s="111"/>
      <c r="K40" s="46"/>
      <c r="M40" s="52"/>
      <c r="N40" s="121"/>
      <c r="O40" s="47"/>
      <c r="P40" s="111"/>
      <c r="Q40" s="111"/>
      <c r="R40" s="46"/>
      <c r="T40" s="91">
        <f t="shared" si="2"/>
        <v>0</v>
      </c>
      <c r="U40" s="91">
        <f t="shared" si="0"/>
        <v>0</v>
      </c>
    </row>
    <row r="41" spans="1:21" ht="19.5" thickBot="1" x14ac:dyDescent="0.3">
      <c r="A41" s="75">
        <v>36</v>
      </c>
      <c r="B41" s="94" t="s">
        <v>24</v>
      </c>
      <c r="C41" s="97">
        <f>8+4212+93+3564+8424+4968+10800+1738</f>
        <v>33807</v>
      </c>
      <c r="D41" s="97"/>
      <c r="E41" s="97"/>
      <c r="F41" s="97">
        <v>2</v>
      </c>
      <c r="G41" s="97">
        <v>6</v>
      </c>
      <c r="H41" s="97">
        <v>3</v>
      </c>
      <c r="I41" s="97">
        <v>3</v>
      </c>
      <c r="J41" s="113">
        <v>64</v>
      </c>
      <c r="K41" s="98">
        <v>4</v>
      </c>
      <c r="L41" s="102"/>
      <c r="M41" s="103">
        <v>663</v>
      </c>
      <c r="N41" s="120"/>
      <c r="O41" s="97">
        <v>274</v>
      </c>
      <c r="P41" s="113"/>
      <c r="Q41" s="113">
        <v>509</v>
      </c>
      <c r="R41" s="98"/>
      <c r="S41" s="102"/>
      <c r="T41" s="91">
        <f t="shared" si="2"/>
        <v>35253</v>
      </c>
      <c r="U41" s="91">
        <f>F41+G41+I41+N41+K41+P41+R41</f>
        <v>15</v>
      </c>
    </row>
    <row r="42" spans="1:21" hidden="1" x14ac:dyDescent="0.25">
      <c r="A42" s="75">
        <f t="shared" si="1"/>
        <v>37</v>
      </c>
      <c r="B42" s="73" t="s">
        <v>33</v>
      </c>
      <c r="C42" s="47"/>
      <c r="D42" s="47"/>
      <c r="E42" s="47"/>
      <c r="F42" s="47"/>
      <c r="G42" s="47"/>
      <c r="H42" s="47"/>
      <c r="I42" s="47"/>
      <c r="J42" s="111"/>
      <c r="K42" s="46"/>
      <c r="M42" s="52"/>
      <c r="N42" s="121"/>
      <c r="O42" s="47"/>
      <c r="P42" s="111"/>
      <c r="Q42" s="111"/>
      <c r="R42" s="46"/>
      <c r="T42" s="91">
        <f t="shared" si="2"/>
        <v>0</v>
      </c>
      <c r="U42" s="91">
        <f t="shared" si="0"/>
        <v>0</v>
      </c>
    </row>
    <row r="43" spans="1:21" x14ac:dyDescent="0.25">
      <c r="A43" s="75">
        <v>37</v>
      </c>
      <c r="B43" s="74" t="s">
        <v>25</v>
      </c>
      <c r="C43" s="47"/>
      <c r="D43" s="47"/>
      <c r="E43" s="47"/>
      <c r="F43" s="47"/>
      <c r="G43" s="47"/>
      <c r="H43" s="47"/>
      <c r="I43" s="47"/>
      <c r="J43" s="111"/>
      <c r="K43" s="46"/>
      <c r="M43" s="52"/>
      <c r="N43" s="121"/>
      <c r="O43" s="47"/>
      <c r="P43" s="111"/>
      <c r="Q43" s="111"/>
      <c r="R43" s="46"/>
      <c r="T43" s="91">
        <f t="shared" si="2"/>
        <v>0</v>
      </c>
      <c r="U43" s="91">
        <f t="shared" si="0"/>
        <v>0</v>
      </c>
    </row>
    <row r="44" spans="1:21" x14ac:dyDescent="0.25">
      <c r="A44" s="75">
        <f t="shared" si="1"/>
        <v>38</v>
      </c>
      <c r="B44" s="74" t="s">
        <v>68</v>
      </c>
      <c r="C44" s="47">
        <v>2</v>
      </c>
      <c r="D44" s="47"/>
      <c r="E44" s="47"/>
      <c r="F44" s="47"/>
      <c r="G44" s="47"/>
      <c r="H44" s="47"/>
      <c r="I44" s="47"/>
      <c r="J44" s="111"/>
      <c r="K44" s="46"/>
      <c r="M44" s="52"/>
      <c r="N44" s="121"/>
      <c r="O44" s="47"/>
      <c r="P44" s="111"/>
      <c r="Q44" s="111"/>
      <c r="R44" s="46"/>
      <c r="T44" s="91">
        <f t="shared" si="2"/>
        <v>2</v>
      </c>
      <c r="U44" s="91">
        <f t="shared" si="0"/>
        <v>0</v>
      </c>
    </row>
    <row r="45" spans="1:21" x14ac:dyDescent="0.25">
      <c r="A45" s="75">
        <f t="shared" si="1"/>
        <v>39</v>
      </c>
      <c r="B45" s="74" t="s">
        <v>26</v>
      </c>
      <c r="C45" s="47">
        <f>42268+102+11</f>
        <v>42381</v>
      </c>
      <c r="D45" s="47"/>
      <c r="E45" s="47"/>
      <c r="F45" s="47">
        <v>3</v>
      </c>
      <c r="G45" s="47"/>
      <c r="H45" s="47"/>
      <c r="I45" s="47"/>
      <c r="J45" s="111">
        <v>1</v>
      </c>
      <c r="K45" s="46"/>
      <c r="M45" s="52">
        <v>5</v>
      </c>
      <c r="N45" s="121"/>
      <c r="O45" s="47">
        <v>1</v>
      </c>
      <c r="P45" s="111">
        <v>4</v>
      </c>
      <c r="Q45" s="111">
        <v>14</v>
      </c>
      <c r="R45" s="46"/>
      <c r="T45" s="91">
        <f t="shared" si="2"/>
        <v>42401</v>
      </c>
      <c r="U45" s="91">
        <f t="shared" si="0"/>
        <v>4</v>
      </c>
    </row>
    <row r="46" spans="1:21" x14ac:dyDescent="0.25">
      <c r="A46" s="75">
        <f t="shared" si="1"/>
        <v>40</v>
      </c>
      <c r="B46" s="74" t="s">
        <v>69</v>
      </c>
      <c r="C46" s="47"/>
      <c r="D46" s="47"/>
      <c r="E46" s="47"/>
      <c r="F46" s="47"/>
      <c r="G46" s="47"/>
      <c r="H46" s="47"/>
      <c r="I46" s="47"/>
      <c r="J46" s="111"/>
      <c r="K46" s="46"/>
      <c r="M46" s="52"/>
      <c r="N46" s="121"/>
      <c r="O46" s="47"/>
      <c r="P46" s="111"/>
      <c r="Q46" s="111"/>
      <c r="R46" s="46"/>
      <c r="T46" s="91">
        <f t="shared" si="2"/>
        <v>0</v>
      </c>
      <c r="U46" s="91">
        <f t="shared" si="0"/>
        <v>0</v>
      </c>
    </row>
    <row r="47" spans="1:21" x14ac:dyDescent="0.25">
      <c r="A47" s="75">
        <f t="shared" si="1"/>
        <v>41</v>
      </c>
      <c r="B47" s="74" t="s">
        <v>28</v>
      </c>
      <c r="C47" s="47">
        <v>1</v>
      </c>
      <c r="D47" s="47"/>
      <c r="E47" s="47"/>
      <c r="F47" s="47"/>
      <c r="G47" s="47"/>
      <c r="H47" s="47"/>
      <c r="I47" s="47"/>
      <c r="J47" s="111"/>
      <c r="K47" s="46"/>
      <c r="M47" s="52"/>
      <c r="N47" s="121"/>
      <c r="O47" s="47"/>
      <c r="P47" s="111"/>
      <c r="Q47" s="111"/>
      <c r="R47" s="46"/>
      <c r="T47" s="91">
        <f t="shared" si="2"/>
        <v>1</v>
      </c>
      <c r="U47" s="91">
        <f t="shared" si="0"/>
        <v>0</v>
      </c>
    </row>
    <row r="48" spans="1:21" x14ac:dyDescent="0.25">
      <c r="A48" s="75">
        <f t="shared" si="1"/>
        <v>42</v>
      </c>
      <c r="B48" s="74" t="s">
        <v>70</v>
      </c>
      <c r="C48" s="47"/>
      <c r="D48" s="47"/>
      <c r="E48" s="47"/>
      <c r="F48" s="47"/>
      <c r="G48" s="47"/>
      <c r="H48" s="47"/>
      <c r="I48" s="47"/>
      <c r="J48" s="111"/>
      <c r="K48" s="46"/>
      <c r="M48" s="52"/>
      <c r="N48" s="121"/>
      <c r="O48" s="47"/>
      <c r="P48" s="111"/>
      <c r="Q48" s="111"/>
      <c r="R48" s="46"/>
      <c r="T48" s="91">
        <f t="shared" si="2"/>
        <v>0</v>
      </c>
      <c r="U48" s="91">
        <f t="shared" si="0"/>
        <v>0</v>
      </c>
    </row>
    <row r="49" spans="1:21" x14ac:dyDescent="0.25">
      <c r="A49" s="75">
        <f t="shared" si="1"/>
        <v>43</v>
      </c>
      <c r="B49" s="74" t="s">
        <v>29</v>
      </c>
      <c r="C49" s="47">
        <v>34</v>
      </c>
      <c r="D49" s="47"/>
      <c r="E49" s="47"/>
      <c r="F49" s="47"/>
      <c r="G49" s="47"/>
      <c r="H49" s="47"/>
      <c r="I49" s="47"/>
      <c r="J49" s="111"/>
      <c r="K49" s="46"/>
      <c r="M49" s="52"/>
      <c r="N49" s="121"/>
      <c r="O49" s="47"/>
      <c r="P49" s="111"/>
      <c r="Q49" s="111"/>
      <c r="R49" s="46"/>
      <c r="T49" s="91">
        <f t="shared" si="2"/>
        <v>34</v>
      </c>
      <c r="U49" s="91">
        <f t="shared" si="0"/>
        <v>0</v>
      </c>
    </row>
    <row r="50" spans="1:21" x14ac:dyDescent="0.25">
      <c r="A50" s="75">
        <f t="shared" si="1"/>
        <v>44</v>
      </c>
      <c r="B50" s="74" t="s">
        <v>30</v>
      </c>
      <c r="C50" s="47"/>
      <c r="D50" s="47"/>
      <c r="E50" s="47"/>
      <c r="F50" s="47"/>
      <c r="G50" s="47"/>
      <c r="H50" s="47"/>
      <c r="I50" s="47"/>
      <c r="J50" s="111"/>
      <c r="K50" s="46"/>
      <c r="M50" s="52"/>
      <c r="N50" s="121"/>
      <c r="O50" s="47"/>
      <c r="P50" s="111"/>
      <c r="Q50" s="111"/>
      <c r="R50" s="46"/>
      <c r="T50" s="91">
        <f t="shared" si="2"/>
        <v>0</v>
      </c>
      <c r="U50" s="91">
        <f t="shared" si="0"/>
        <v>0</v>
      </c>
    </row>
    <row r="51" spans="1:21" s="63" customFormat="1" ht="19.5" thickBot="1" x14ac:dyDescent="0.3">
      <c r="B51" s="77" t="s">
        <v>60</v>
      </c>
      <c r="C51" s="49">
        <f>SUM(C7:C50)</f>
        <v>90695</v>
      </c>
      <c r="D51" s="49"/>
      <c r="E51" s="49"/>
      <c r="F51" s="49">
        <f t="shared" ref="F51:K51" si="4">SUM(F7:F50)</f>
        <v>70</v>
      </c>
      <c r="G51" s="49">
        <f t="shared" si="4"/>
        <v>8</v>
      </c>
      <c r="H51" s="49">
        <f t="shared" si="4"/>
        <v>3</v>
      </c>
      <c r="I51" s="54">
        <f t="shared" si="4"/>
        <v>5</v>
      </c>
      <c r="J51" s="54">
        <f t="shared" si="4"/>
        <v>65</v>
      </c>
      <c r="K51" s="54">
        <f t="shared" si="4"/>
        <v>13</v>
      </c>
      <c r="M51" s="53">
        <f t="shared" ref="M51:R51" si="5">SUM(M7:M50)</f>
        <v>706</v>
      </c>
      <c r="N51" s="53">
        <f t="shared" si="5"/>
        <v>0</v>
      </c>
      <c r="O51" s="53">
        <f t="shared" si="5"/>
        <v>348</v>
      </c>
      <c r="P51" s="53">
        <f t="shared" si="5"/>
        <v>13</v>
      </c>
      <c r="Q51" s="53">
        <f t="shared" si="5"/>
        <v>650</v>
      </c>
      <c r="R51" s="53">
        <f t="shared" si="5"/>
        <v>8</v>
      </c>
      <c r="S51" s="57"/>
      <c r="T51" s="51">
        <f>SUM(T7:T50)</f>
        <v>92400</v>
      </c>
      <c r="U51" s="51">
        <f>SUM(U7:U50)</f>
        <v>90</v>
      </c>
    </row>
    <row r="52" spans="1:21" ht="7.5" customHeight="1" thickBot="1" x14ac:dyDescent="0.3"/>
    <row r="53" spans="1:21" ht="19.5" thickBot="1" x14ac:dyDescent="0.3">
      <c r="B53" s="78" t="s">
        <v>39</v>
      </c>
      <c r="C53" s="130" t="s">
        <v>49</v>
      </c>
      <c r="D53" s="131"/>
      <c r="E53" s="131"/>
      <c r="F53" s="131"/>
      <c r="G53" s="131"/>
      <c r="H53" s="131"/>
      <c r="I53" s="131"/>
      <c r="J53" s="131"/>
      <c r="K53" s="132"/>
      <c r="T53" s="72" t="s">
        <v>62</v>
      </c>
    </row>
    <row r="54" spans="1:21" x14ac:dyDescent="0.25">
      <c r="B54" s="79" t="s">
        <v>18</v>
      </c>
      <c r="C54" s="67"/>
      <c r="D54" s="67"/>
      <c r="E54" s="67"/>
      <c r="F54" s="67"/>
      <c r="G54" s="67"/>
      <c r="H54" s="67"/>
      <c r="I54" s="67"/>
      <c r="J54" s="114"/>
      <c r="K54" s="68"/>
      <c r="T54" s="55"/>
    </row>
    <row r="55" spans="1:21" x14ac:dyDescent="0.25">
      <c r="B55" s="80" t="s">
        <v>55</v>
      </c>
      <c r="C55" s="48"/>
      <c r="D55" s="48"/>
      <c r="E55" s="48"/>
      <c r="F55" s="48"/>
      <c r="G55" s="48"/>
      <c r="H55" s="48"/>
      <c r="I55" s="48"/>
      <c r="J55" s="109"/>
      <c r="K55" s="69"/>
      <c r="T55" s="50"/>
    </row>
    <row r="56" spans="1:21" ht="19.5" thickBot="1" x14ac:dyDescent="0.3">
      <c r="B56" s="81" t="s">
        <v>54</v>
      </c>
      <c r="C56" s="70"/>
      <c r="D56" s="70"/>
      <c r="E56" s="70"/>
      <c r="F56" s="70"/>
      <c r="G56" s="70"/>
      <c r="H56" s="70"/>
      <c r="I56" s="70"/>
      <c r="J56" s="115"/>
      <c r="K56" s="71"/>
      <c r="T56" s="56"/>
    </row>
    <row r="57" spans="1:21" ht="7.5" customHeight="1" thickBot="1" x14ac:dyDescent="0.3"/>
    <row r="58" spans="1:21" x14ac:dyDescent="0.25">
      <c r="B58" s="79" t="s">
        <v>56</v>
      </c>
      <c r="C58" s="67"/>
      <c r="D58" s="67"/>
      <c r="E58" s="67"/>
      <c r="F58" s="67"/>
      <c r="G58" s="67"/>
      <c r="H58" s="67"/>
      <c r="I58" s="67"/>
      <c r="J58" s="114"/>
      <c r="K58" s="68"/>
      <c r="T58" s="55"/>
    </row>
    <row r="59" spans="1:21" x14ac:dyDescent="0.25">
      <c r="B59" s="80" t="s">
        <v>55</v>
      </c>
      <c r="C59" s="48"/>
      <c r="D59" s="48"/>
      <c r="E59" s="48"/>
      <c r="F59" s="48"/>
      <c r="G59" s="48"/>
      <c r="H59" s="48"/>
      <c r="I59" s="48"/>
      <c r="J59" s="109"/>
      <c r="K59" s="69"/>
      <c r="T59" s="50"/>
    </row>
    <row r="60" spans="1:21" ht="19.5" thickBot="1" x14ac:dyDescent="0.3">
      <c r="B60" s="81" t="s">
        <v>54</v>
      </c>
      <c r="C60" s="70"/>
      <c r="D60" s="70"/>
      <c r="E60" s="70"/>
      <c r="F60" s="70"/>
      <c r="G60" s="70"/>
      <c r="H60" s="70"/>
      <c r="I60" s="70"/>
      <c r="J60" s="115"/>
      <c r="K60" s="71"/>
      <c r="T60" s="56"/>
    </row>
    <row r="61" spans="1:21" ht="7.5" customHeight="1" thickBot="1" x14ac:dyDescent="0.3"/>
    <row r="62" spans="1:21" x14ac:dyDescent="0.25">
      <c r="B62" s="79" t="s">
        <v>41</v>
      </c>
      <c r="C62" s="67"/>
      <c r="D62" s="67"/>
      <c r="E62" s="67"/>
      <c r="F62" s="67"/>
      <c r="G62" s="67"/>
      <c r="H62" s="67"/>
      <c r="I62" s="67"/>
      <c r="J62" s="114"/>
      <c r="K62" s="68"/>
      <c r="T62" s="55"/>
    </row>
    <row r="63" spans="1:21" x14ac:dyDescent="0.25">
      <c r="B63" s="80" t="s">
        <v>55</v>
      </c>
      <c r="C63" s="48"/>
      <c r="D63" s="48"/>
      <c r="E63" s="48"/>
      <c r="F63" s="48"/>
      <c r="G63" s="48"/>
      <c r="H63" s="48"/>
      <c r="I63" s="48"/>
      <c r="J63" s="109"/>
      <c r="K63" s="69"/>
      <c r="T63" s="50"/>
    </row>
    <row r="64" spans="1:21" ht="19.5" thickBot="1" x14ac:dyDescent="0.3">
      <c r="B64" s="81" t="s">
        <v>54</v>
      </c>
      <c r="C64" s="70"/>
      <c r="D64" s="70"/>
      <c r="E64" s="70"/>
      <c r="F64" s="70"/>
      <c r="G64" s="70"/>
      <c r="H64" s="70"/>
      <c r="I64" s="70"/>
      <c r="J64" s="115"/>
      <c r="K64" s="71"/>
      <c r="T64" s="56"/>
    </row>
    <row r="65" spans="2:20" ht="7.5" customHeight="1" thickBot="1" x14ac:dyDescent="0.3"/>
    <row r="66" spans="2:20" x14ac:dyDescent="0.25">
      <c r="B66" s="79" t="s">
        <v>57</v>
      </c>
      <c r="C66" s="67"/>
      <c r="D66" s="67"/>
      <c r="E66" s="67"/>
      <c r="F66" s="67"/>
      <c r="G66" s="67"/>
      <c r="H66" s="67"/>
      <c r="I66" s="67"/>
      <c r="J66" s="114"/>
      <c r="K66" s="68"/>
      <c r="T66" s="55"/>
    </row>
    <row r="67" spans="2:20" x14ac:dyDescent="0.25">
      <c r="B67" s="80" t="s">
        <v>55</v>
      </c>
      <c r="C67" s="48"/>
      <c r="D67" s="48"/>
      <c r="E67" s="48"/>
      <c r="F67" s="48"/>
      <c r="G67" s="48"/>
      <c r="H67" s="48"/>
      <c r="I67" s="48"/>
      <c r="J67" s="109"/>
      <c r="K67" s="69"/>
      <c r="T67" s="50"/>
    </row>
    <row r="68" spans="2:20" ht="19.5" thickBot="1" x14ac:dyDescent="0.3">
      <c r="B68" s="81" t="s">
        <v>54</v>
      </c>
      <c r="C68" s="70"/>
      <c r="D68" s="70"/>
      <c r="E68" s="70"/>
      <c r="F68" s="70"/>
      <c r="G68" s="70"/>
      <c r="H68" s="70"/>
      <c r="I68" s="70"/>
      <c r="J68" s="115"/>
      <c r="K68" s="71"/>
      <c r="T68" s="56"/>
    </row>
    <row r="69" spans="2:20" ht="7.5" customHeight="1" thickBot="1" x14ac:dyDescent="0.3"/>
    <row r="70" spans="2:20" x14ac:dyDescent="0.25">
      <c r="B70" s="79" t="s">
        <v>58</v>
      </c>
      <c r="C70" s="67"/>
      <c r="D70" s="67"/>
      <c r="E70" s="67"/>
      <c r="F70" s="67"/>
      <c r="G70" s="67"/>
      <c r="H70" s="67"/>
      <c r="I70" s="67"/>
      <c r="J70" s="114"/>
      <c r="K70" s="68"/>
      <c r="T70" s="55"/>
    </row>
    <row r="71" spans="2:20" x14ac:dyDescent="0.25">
      <c r="B71" s="80" t="s">
        <v>55</v>
      </c>
      <c r="C71" s="48"/>
      <c r="D71" s="48"/>
      <c r="E71" s="48"/>
      <c r="F71" s="48"/>
      <c r="G71" s="48"/>
      <c r="H71" s="48"/>
      <c r="I71" s="48"/>
      <c r="J71" s="109"/>
      <c r="K71" s="69"/>
      <c r="T71" s="50"/>
    </row>
    <row r="72" spans="2:20" ht="19.5" thickBot="1" x14ac:dyDescent="0.3">
      <c r="B72" s="81" t="s">
        <v>54</v>
      </c>
      <c r="C72" s="70"/>
      <c r="D72" s="70"/>
      <c r="E72" s="70"/>
      <c r="F72" s="70"/>
      <c r="G72" s="70"/>
      <c r="H72" s="70"/>
      <c r="I72" s="70"/>
      <c r="J72" s="115"/>
      <c r="K72" s="71"/>
      <c r="T72" s="56"/>
    </row>
    <row r="73" spans="2:20" ht="7.5" customHeight="1" thickBot="1" x14ac:dyDescent="0.3"/>
    <row r="74" spans="2:20" ht="19.5" thickBot="1" x14ac:dyDescent="0.3">
      <c r="B74" s="78" t="s">
        <v>59</v>
      </c>
      <c r="C74" s="65"/>
      <c r="D74" s="65"/>
      <c r="E74" s="65"/>
      <c r="F74" s="65"/>
      <c r="G74" s="65"/>
      <c r="H74" s="65"/>
      <c r="I74" s="65"/>
      <c r="J74" s="116"/>
      <c r="K74" s="66"/>
      <c r="T74" s="64"/>
    </row>
  </sheetData>
  <mergeCells count="3">
    <mergeCell ref="I1:T1"/>
    <mergeCell ref="C4:K4"/>
    <mergeCell ref="C53:K53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3" max="8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COUNT SHEET</vt:lpstr>
      <vt:lpstr>COUNT SHEET VERT</vt:lpstr>
      <vt:lpstr>01,08</vt:lpstr>
      <vt:lpstr>01,09</vt:lpstr>
      <vt:lpstr>'01,08'!Print_Area</vt:lpstr>
      <vt:lpstr>'01,09'!Print_Area</vt:lpstr>
      <vt:lpstr>'COUNT SHEET'!Print_Area</vt:lpstr>
      <vt:lpstr>'COUNT SHEET VERT'!Print_Area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2026-01-07T08:54:10Z</cp:lastPrinted>
  <dcterms:created xsi:type="dcterms:W3CDTF">2024-08-17T00:07:58Z</dcterms:created>
  <dcterms:modified xsi:type="dcterms:W3CDTF">2026-01-10T06:48:48Z</dcterms:modified>
</cp:coreProperties>
</file>