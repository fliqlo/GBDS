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06A3258-C128-4245-8FA0-CFC18D1E97A8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COUNT SHEET" sheetId="9" r:id="rId1"/>
    <sheet name="COUNT SHEET VERT" sheetId="10" r:id="rId2"/>
    <sheet name="01,08" sheetId="11" r:id="rId3"/>
  </sheets>
  <definedNames>
    <definedName name="_xlnm.Print_Area" localSheetId="2">'01,08'!$A$1:$V$52</definedName>
    <definedName name="_xlnm.Print_Area" localSheetId="0">'COUNT SHEET'!$A$1:$AM$25</definedName>
    <definedName name="_xlnm.Print_Area" localSheetId="1">'COUNT SHEET VERT'!$A$1:$Q$82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" i="11" l="1"/>
  <c r="T51" i="11" l="1"/>
  <c r="U51" i="11"/>
  <c r="N51" i="11"/>
  <c r="P51" i="11"/>
  <c r="Q51" i="11"/>
  <c r="R51" i="11"/>
  <c r="O51" i="11"/>
  <c r="M51" i="11"/>
  <c r="J51" i="11"/>
  <c r="I51" i="11"/>
  <c r="H51" i="11"/>
  <c r="K51" i="11"/>
  <c r="G51" i="11"/>
  <c r="F51" i="11"/>
  <c r="C45" i="11"/>
  <c r="C41" i="11"/>
  <c r="C39" i="11"/>
  <c r="C38" i="11"/>
  <c r="C36" i="11"/>
  <c r="C33" i="11"/>
  <c r="C29" i="11"/>
  <c r="C27" i="11"/>
  <c r="C12" i="11"/>
  <c r="C8" i="11"/>
  <c r="C7" i="11"/>
  <c r="C51" i="11" l="1"/>
  <c r="A44" i="11" l="1"/>
  <c r="A45" i="11" s="1"/>
  <c r="A46" i="11" s="1"/>
  <c r="A47" i="11" s="1"/>
  <c r="A48" i="11" s="1"/>
  <c r="A49" i="11" s="1"/>
  <c r="A50" i="11" s="1"/>
  <c r="A42" i="11"/>
  <c r="A36" i="11"/>
  <c r="A37" i="11" s="1"/>
  <c r="A38" i="11" s="1"/>
  <c r="A39" i="11" s="1"/>
  <c r="A40" i="11" s="1"/>
  <c r="AX25" i="1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14" i="11"/>
  <c r="A15" i="11" s="1"/>
  <c r="A16" i="11" s="1"/>
  <c r="A17" i="11" s="1"/>
  <c r="A18" i="11" s="1"/>
  <c r="A8" i="11"/>
  <c r="A9" i="11" s="1"/>
  <c r="A10" i="11" s="1"/>
  <c r="A11" i="11" s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6" i="10" s="1"/>
  <c r="A37" i="10" s="1"/>
  <c r="A38" i="10" s="1"/>
  <c r="A39" i="10" s="1"/>
  <c r="A40" i="10" s="1"/>
  <c r="A42" i="10" s="1"/>
  <c r="A44" i="10" s="1"/>
  <c r="A45" i="10" s="1"/>
  <c r="A46" i="10" s="1"/>
  <c r="A47" i="10" s="1"/>
  <c r="A48" i="10" s="1"/>
  <c r="A49" i="10" s="1"/>
  <c r="A50" i="10" s="1"/>
  <c r="A8" i="10"/>
  <c r="AS25" i="10" l="1"/>
</calcChain>
</file>

<file path=xl/sharedStrings.xml><?xml version="1.0" encoding="utf-8"?>
<sst xmlns="http://schemas.openxmlformats.org/spreadsheetml/2006/main" count="220" uniqueCount="74">
  <si>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</si>
  <si>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</si>
  <si>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</si>
  <si>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</si>
  <si>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</si>
  <si>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</si>
  <si>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</si>
  <si>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</si>
  <si>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</si>
  <si>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</si>
  <si>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</si>
  <si>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</si>
  <si>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</si>
  <si>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</si>
  <si>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</si>
  <si>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</si>
  <si>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</si>
  <si>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</si>
  <si>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</si>
  <si>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</si>
  <si>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</si>
  <si>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</si>
  <si>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</si>
  <si>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</si>
  <si>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</si>
  <si>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</si>
  <si>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</si>
  <si>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</si>
  <si>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</si>
  <si>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</si>
  <si>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</si>
  <si>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</si>
  <si>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</si>
  <si>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</si>
  <si>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</si>
  <si>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</si>
  <si>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</si>
  <si>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</si>
  <si>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</si>
  <si>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</si>
  <si>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</si>
  <si>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</si>
  <si>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</si>
  <si>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</si>
  <si>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</si>
  <si>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</si>
  <si>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</si>
  <si>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</si>
  <si>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</si>
  <si>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</si>
  <si>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</si>
  <si>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</si>
  <si>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</si>
  <si>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</si>
  <si>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</si>
  <si>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</si>
  <si>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</si>
  <si>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</si>
  <si>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</si>
  <si>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</si>
  <si>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</si>
  <si>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</si>
  <si>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</si>
  <si>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</si>
  <si>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</si>
  <si>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</si>
  <si>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</si>
  <si>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</si>
  <si>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</si>
  <si>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</si>
  <si>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</si>
  <si>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</si>
  <si>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O</t>
  </si>
  <si>
    <t>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</si>
</sst>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3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54" xfId="2" applyFont="1" applyFill="1" applyBorder="1" applyAlignment="1">
      <alignment horizontal="center"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26" t="s">
        <v>39</v>
      </c>
      <c r="B21" s="123" t="s">
        <v>18</v>
      </c>
      <c r="C21" s="124"/>
      <c r="D21" s="125"/>
      <c r="E21" s="123" t="s">
        <v>40</v>
      </c>
      <c r="F21" s="124"/>
      <c r="G21" s="125"/>
      <c r="H21" s="123" t="s">
        <v>41</v>
      </c>
      <c r="I21" s="124"/>
      <c r="J21" s="125"/>
      <c r="K21" s="123" t="s">
        <v>42</v>
      </c>
      <c r="L21" s="124"/>
      <c r="M21" s="125"/>
      <c r="N21" s="123" t="s">
        <v>43</v>
      </c>
      <c r="O21" s="124"/>
      <c r="P21" s="125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27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74"/>
  <sheetViews>
    <sheetView view="pageBreakPreview" topLeftCell="A23" zoomScale="115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33" t="s">
        <v>53</v>
      </c>
      <c r="I1" s="133"/>
      <c r="J1" s="133"/>
      <c r="K1" s="133"/>
      <c r="L1" s="133"/>
      <c r="M1" s="133"/>
      <c r="N1" s="133"/>
      <c r="O1" s="133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28" t="s">
        <v>49</v>
      </c>
      <c r="D4" s="128"/>
      <c r="E4" s="128"/>
      <c r="F4" s="128"/>
      <c r="G4" s="128"/>
      <c r="H4" s="128"/>
      <c r="I4" s="129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0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x14ac:dyDescent="0.25">
      <c r="A24" s="75">
        <f t="shared" si="0"/>
        <v>21</v>
      </c>
      <c r="B24" s="74" t="s">
        <v>67</v>
      </c>
      <c r="C24" s="47"/>
      <c r="D24" s="47"/>
      <c r="E24" s="47"/>
      <c r="F24" s="47"/>
      <c r="G24" s="47"/>
      <c r="H24" s="47"/>
      <c r="I24" s="46"/>
      <c r="K24" s="52"/>
      <c r="L24" s="47"/>
      <c r="M24" s="46"/>
      <c r="O24" s="5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9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AS25" s="62" t="e">
        <f>#REF!-AS24</f>
        <v>#REF!</v>
      </c>
    </row>
    <row r="26" spans="1:48" s="61" customFormat="1" x14ac:dyDescent="0.25">
      <c r="A26" s="75">
        <f t="shared" si="0"/>
        <v>23</v>
      </c>
      <c r="B26" s="74" t="s">
        <v>11</v>
      </c>
      <c r="C26" s="47"/>
      <c r="D26" s="47"/>
      <c r="E26" s="47"/>
      <c r="F26" s="47"/>
      <c r="G26" s="47"/>
      <c r="H26" s="47"/>
      <c r="I26" s="46"/>
      <c r="J26" s="57"/>
      <c r="K26" s="52"/>
      <c r="L26" s="47"/>
      <c r="M26" s="46"/>
      <c r="N26" s="57"/>
      <c r="O26" s="50"/>
      <c r="P26" s="57"/>
      <c r="Q26" s="57"/>
      <c r="R26" s="57"/>
      <c r="S26" s="57"/>
      <c r="T26" s="57"/>
      <c r="U26" s="57"/>
      <c r="V26" s="57"/>
      <c r="W26" s="57"/>
      <c r="X26" s="57"/>
      <c r="Y26" s="57"/>
    </row>
    <row r="27" spans="1:48" s="61" customFormat="1" x14ac:dyDescent="0.25">
      <c r="A27" s="75">
        <f t="shared" si="0"/>
        <v>24</v>
      </c>
      <c r="B27" s="74" t="s">
        <v>12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x14ac:dyDescent="0.25">
      <c r="A28" s="75">
        <f t="shared" si="0"/>
        <v>25</v>
      </c>
      <c r="B28" s="74" t="s">
        <v>14</v>
      </c>
      <c r="C28" s="47"/>
      <c r="D28" s="47"/>
      <c r="E28" s="47"/>
      <c r="F28" s="47"/>
      <c r="G28" s="47"/>
      <c r="H28" s="47"/>
      <c r="I28" s="46"/>
      <c r="K28" s="52"/>
      <c r="L28" s="47"/>
      <c r="M28" s="46"/>
      <c r="O28" s="50"/>
    </row>
    <row r="29" spans="1:48" x14ac:dyDescent="0.25">
      <c r="A29" s="75">
        <f t="shared" si="0"/>
        <v>26</v>
      </c>
      <c r="B29" s="74" t="s">
        <v>16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13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15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17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18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hidden="1" x14ac:dyDescent="0.25">
      <c r="A34" s="75">
        <f t="shared" si="0"/>
        <v>31</v>
      </c>
      <c r="B34" s="74" t="s">
        <v>26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x14ac:dyDescent="0.25">
      <c r="A35" s="75">
        <v>31</v>
      </c>
      <c r="B35" s="74" t="s">
        <v>19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ht="19.5" thickBot="1" x14ac:dyDescent="0.3">
      <c r="A36" s="75">
        <f t="shared" si="0"/>
        <v>32</v>
      </c>
      <c r="B36" s="94" t="s">
        <v>20</v>
      </c>
      <c r="C36" s="95"/>
      <c r="D36" s="95"/>
      <c r="E36" s="95"/>
      <c r="F36" s="95"/>
      <c r="G36" s="95"/>
      <c r="H36" s="95"/>
      <c r="I36" s="96"/>
      <c r="J36" s="102"/>
      <c r="K36" s="103"/>
      <c r="L36" s="97"/>
      <c r="M36" s="98"/>
      <c r="N36" s="102"/>
      <c r="O36" s="104"/>
    </row>
    <row r="37" spans="1:15" x14ac:dyDescent="0.25">
      <c r="A37" s="75">
        <f t="shared" si="0"/>
        <v>33</v>
      </c>
      <c r="B37" s="73" t="s">
        <v>21</v>
      </c>
      <c r="C37" s="47"/>
      <c r="D37" s="47"/>
      <c r="E37" s="47"/>
      <c r="F37" s="47"/>
      <c r="G37" s="47"/>
      <c r="H37" s="47"/>
      <c r="I37" s="46"/>
      <c r="K37" s="52"/>
      <c r="L37" s="47"/>
      <c r="M37" s="46"/>
      <c r="O37" s="50"/>
    </row>
    <row r="38" spans="1:15" ht="19.5" thickBot="1" x14ac:dyDescent="0.3">
      <c r="A38" s="75">
        <f t="shared" si="0"/>
        <v>34</v>
      </c>
      <c r="B38" s="94" t="s">
        <v>22</v>
      </c>
      <c r="C38" s="95"/>
      <c r="D38" s="95"/>
      <c r="E38" s="95"/>
      <c r="F38" s="95"/>
      <c r="G38" s="95"/>
      <c r="H38" s="95"/>
      <c r="I38" s="96"/>
      <c r="J38" s="102"/>
      <c r="K38" s="103"/>
      <c r="L38" s="97"/>
      <c r="M38" s="98"/>
      <c r="N38" s="102"/>
      <c r="O38" s="104"/>
    </row>
    <row r="39" spans="1:15" ht="19.5" thickBot="1" x14ac:dyDescent="0.3">
      <c r="A39" s="75">
        <f t="shared" si="0"/>
        <v>35</v>
      </c>
      <c r="B39" s="99" t="s">
        <v>23</v>
      </c>
      <c r="C39" s="100"/>
      <c r="D39" s="100"/>
      <c r="E39" s="100"/>
      <c r="F39" s="100"/>
      <c r="G39" s="100"/>
      <c r="H39" s="100"/>
      <c r="I39" s="101"/>
      <c r="J39" s="105"/>
      <c r="K39" s="106"/>
      <c r="L39" s="100"/>
      <c r="M39" s="101"/>
      <c r="N39" s="105"/>
      <c r="O39" s="107"/>
    </row>
    <row r="40" spans="1:15" hidden="1" x14ac:dyDescent="0.25">
      <c r="A40" s="75">
        <f t="shared" si="0"/>
        <v>36</v>
      </c>
      <c r="B40" s="73" t="s">
        <v>31</v>
      </c>
      <c r="C40" s="47"/>
      <c r="D40" s="47"/>
      <c r="E40" s="47"/>
      <c r="F40" s="47"/>
      <c r="G40" s="47"/>
      <c r="H40" s="47"/>
      <c r="I40" s="46"/>
      <c r="K40" s="52"/>
      <c r="L40" s="47"/>
      <c r="M40" s="46"/>
      <c r="O40" s="50"/>
    </row>
    <row r="41" spans="1:15" ht="19.5" thickBot="1" x14ac:dyDescent="0.3">
      <c r="A41" s="75">
        <v>36</v>
      </c>
      <c r="B41" s="94" t="s">
        <v>24</v>
      </c>
      <c r="C41" s="97"/>
      <c r="D41" s="97"/>
      <c r="E41" s="97"/>
      <c r="F41" s="97"/>
      <c r="G41" s="97"/>
      <c r="H41" s="97"/>
      <c r="I41" s="98"/>
      <c r="J41" s="102"/>
      <c r="K41" s="103"/>
      <c r="L41" s="97"/>
      <c r="M41" s="98"/>
      <c r="N41" s="102"/>
      <c r="O41" s="104"/>
    </row>
    <row r="42" spans="1:15" hidden="1" x14ac:dyDescent="0.25">
      <c r="A42" s="75">
        <f t="shared" si="0"/>
        <v>37</v>
      </c>
      <c r="B42" s="73" t="s">
        <v>33</v>
      </c>
      <c r="C42" s="47"/>
      <c r="D42" s="47"/>
      <c r="E42" s="47"/>
      <c r="F42" s="47"/>
      <c r="G42" s="47"/>
      <c r="H42" s="47"/>
      <c r="I42" s="46"/>
      <c r="K42" s="52"/>
      <c r="L42" s="47"/>
      <c r="M42" s="46"/>
      <c r="O42" s="50"/>
    </row>
    <row r="43" spans="1:15" x14ac:dyDescent="0.25">
      <c r="A43" s="75">
        <v>37</v>
      </c>
      <c r="B43" s="74" t="s">
        <v>25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38</v>
      </c>
      <c r="B44" s="74" t="s">
        <v>68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39</v>
      </c>
      <c r="B45" s="74" t="s">
        <v>26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40</v>
      </c>
      <c r="B46" s="74" t="s">
        <v>69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41</v>
      </c>
      <c r="B47" s="74" t="s">
        <v>28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42</v>
      </c>
      <c r="B48" s="74" t="s">
        <v>70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43</v>
      </c>
      <c r="B49" s="74" t="s">
        <v>29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44</v>
      </c>
      <c r="B50" s="74" t="s">
        <v>30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s="63" customFormat="1" ht="19.5" thickBot="1" x14ac:dyDescent="0.3">
      <c r="B51" s="77" t="s">
        <v>60</v>
      </c>
      <c r="C51" s="49"/>
      <c r="D51" s="49"/>
      <c r="E51" s="49"/>
      <c r="F51" s="49"/>
      <c r="G51" s="49"/>
      <c r="H51" s="49"/>
      <c r="I51" s="54"/>
      <c r="K51" s="53"/>
      <c r="L51" s="49"/>
      <c r="M51" s="54"/>
      <c r="N51" s="57"/>
      <c r="O51" s="51"/>
    </row>
    <row r="52" spans="1:15" ht="7.5" customHeight="1" thickBot="1" x14ac:dyDescent="0.3"/>
    <row r="53" spans="1:15" ht="19.5" thickBot="1" x14ac:dyDescent="0.3">
      <c r="B53" s="78" t="s">
        <v>39</v>
      </c>
      <c r="C53" s="130" t="s">
        <v>49</v>
      </c>
      <c r="D53" s="131"/>
      <c r="E53" s="131"/>
      <c r="F53" s="131"/>
      <c r="G53" s="131"/>
      <c r="H53" s="131"/>
      <c r="I53" s="132"/>
      <c r="O53" s="72" t="s">
        <v>62</v>
      </c>
    </row>
    <row r="54" spans="1:15" x14ac:dyDescent="0.25">
      <c r="B54" s="79" t="s">
        <v>18</v>
      </c>
      <c r="C54" s="67"/>
      <c r="D54" s="67"/>
      <c r="E54" s="67"/>
      <c r="F54" s="67"/>
      <c r="G54" s="67"/>
      <c r="H54" s="67"/>
      <c r="I54" s="68"/>
      <c r="O54" s="55"/>
    </row>
    <row r="55" spans="1:15" x14ac:dyDescent="0.25">
      <c r="B55" s="80" t="s">
        <v>55</v>
      </c>
      <c r="C55" s="48"/>
      <c r="D55" s="48"/>
      <c r="E55" s="48"/>
      <c r="F55" s="48"/>
      <c r="G55" s="48"/>
      <c r="H55" s="48"/>
      <c r="I55" s="69"/>
      <c r="O55" s="50"/>
    </row>
    <row r="56" spans="1:15" ht="19.5" thickBot="1" x14ac:dyDescent="0.3">
      <c r="B56" s="81" t="s">
        <v>54</v>
      </c>
      <c r="C56" s="70"/>
      <c r="D56" s="70"/>
      <c r="E56" s="70"/>
      <c r="F56" s="70"/>
      <c r="G56" s="70"/>
      <c r="H56" s="70"/>
      <c r="I56" s="71"/>
      <c r="O56" s="56"/>
    </row>
    <row r="57" spans="1:15" ht="7.5" customHeight="1" thickBot="1" x14ac:dyDescent="0.3"/>
    <row r="58" spans="1:15" x14ac:dyDescent="0.25">
      <c r="B58" s="79" t="s">
        <v>56</v>
      </c>
      <c r="C58" s="67"/>
      <c r="D58" s="67"/>
      <c r="E58" s="67"/>
      <c r="F58" s="67"/>
      <c r="G58" s="67"/>
      <c r="H58" s="67"/>
      <c r="I58" s="68"/>
      <c r="O58" s="55"/>
    </row>
    <row r="59" spans="1:15" x14ac:dyDescent="0.25">
      <c r="B59" s="80" t="s">
        <v>55</v>
      </c>
      <c r="C59" s="48"/>
      <c r="D59" s="48"/>
      <c r="E59" s="48"/>
      <c r="F59" s="48"/>
      <c r="G59" s="48"/>
      <c r="H59" s="48"/>
      <c r="I59" s="69"/>
      <c r="O59" s="50"/>
    </row>
    <row r="60" spans="1:15" ht="19.5" thickBot="1" x14ac:dyDescent="0.3">
      <c r="B60" s="81" t="s">
        <v>54</v>
      </c>
      <c r="C60" s="70"/>
      <c r="D60" s="70"/>
      <c r="E60" s="70"/>
      <c r="F60" s="70"/>
      <c r="G60" s="70"/>
      <c r="H60" s="70"/>
      <c r="I60" s="71"/>
      <c r="O60" s="56"/>
    </row>
    <row r="61" spans="1:15" ht="7.5" customHeight="1" thickBot="1" x14ac:dyDescent="0.3"/>
    <row r="62" spans="1:15" x14ac:dyDescent="0.25">
      <c r="B62" s="79" t="s">
        <v>41</v>
      </c>
      <c r="C62" s="67"/>
      <c r="D62" s="67"/>
      <c r="E62" s="67"/>
      <c r="F62" s="67"/>
      <c r="G62" s="67"/>
      <c r="H62" s="67"/>
      <c r="I62" s="68"/>
      <c r="O62" s="55"/>
    </row>
    <row r="63" spans="1:15" x14ac:dyDescent="0.25">
      <c r="B63" s="80" t="s">
        <v>55</v>
      </c>
      <c r="C63" s="48"/>
      <c r="D63" s="48"/>
      <c r="E63" s="48"/>
      <c r="F63" s="48"/>
      <c r="G63" s="48"/>
      <c r="H63" s="48"/>
      <c r="I63" s="69"/>
      <c r="O63" s="50"/>
    </row>
    <row r="64" spans="1:15" ht="19.5" thickBot="1" x14ac:dyDescent="0.3">
      <c r="B64" s="81" t="s">
        <v>54</v>
      </c>
      <c r="C64" s="70"/>
      <c r="D64" s="70"/>
      <c r="E64" s="70"/>
      <c r="F64" s="70"/>
      <c r="G64" s="70"/>
      <c r="H64" s="70"/>
      <c r="I64" s="71"/>
      <c r="O64" s="56"/>
    </row>
    <row r="65" spans="2:15" ht="7.5" customHeight="1" thickBot="1" x14ac:dyDescent="0.3"/>
    <row r="66" spans="2:15" x14ac:dyDescent="0.25">
      <c r="B66" s="79" t="s">
        <v>57</v>
      </c>
      <c r="C66" s="67"/>
      <c r="D66" s="67"/>
      <c r="E66" s="67"/>
      <c r="F66" s="67"/>
      <c r="G66" s="67"/>
      <c r="H66" s="67"/>
      <c r="I66" s="68"/>
      <c r="O66" s="55"/>
    </row>
    <row r="67" spans="2:15" x14ac:dyDescent="0.25">
      <c r="B67" s="80" t="s">
        <v>55</v>
      </c>
      <c r="C67" s="48"/>
      <c r="D67" s="48"/>
      <c r="E67" s="48"/>
      <c r="F67" s="48"/>
      <c r="G67" s="48"/>
      <c r="H67" s="48"/>
      <c r="I67" s="69"/>
      <c r="O67" s="50"/>
    </row>
    <row r="68" spans="2:15" ht="19.5" thickBot="1" x14ac:dyDescent="0.3">
      <c r="B68" s="81" t="s">
        <v>54</v>
      </c>
      <c r="C68" s="70"/>
      <c r="D68" s="70"/>
      <c r="E68" s="70"/>
      <c r="F68" s="70"/>
      <c r="G68" s="70"/>
      <c r="H68" s="70"/>
      <c r="I68" s="71"/>
      <c r="O68" s="56"/>
    </row>
    <row r="69" spans="2:15" ht="7.5" customHeight="1" thickBot="1" x14ac:dyDescent="0.3"/>
    <row r="70" spans="2:15" x14ac:dyDescent="0.25">
      <c r="B70" s="79" t="s">
        <v>58</v>
      </c>
      <c r="C70" s="67"/>
      <c r="D70" s="67"/>
      <c r="E70" s="67"/>
      <c r="F70" s="67"/>
      <c r="G70" s="67"/>
      <c r="H70" s="67"/>
      <c r="I70" s="68"/>
      <c r="O70" s="55"/>
    </row>
    <row r="71" spans="2:15" x14ac:dyDescent="0.25">
      <c r="B71" s="80" t="s">
        <v>55</v>
      </c>
      <c r="C71" s="48"/>
      <c r="D71" s="48"/>
      <c r="E71" s="48"/>
      <c r="F71" s="48"/>
      <c r="G71" s="48"/>
      <c r="H71" s="48"/>
      <c r="I71" s="69"/>
      <c r="O71" s="50"/>
    </row>
    <row r="72" spans="2:15" ht="19.5" thickBot="1" x14ac:dyDescent="0.3">
      <c r="B72" s="81" t="s">
        <v>54</v>
      </c>
      <c r="C72" s="70"/>
      <c r="D72" s="70"/>
      <c r="E72" s="70"/>
      <c r="F72" s="70"/>
      <c r="G72" s="70"/>
      <c r="H72" s="70"/>
      <c r="I72" s="71"/>
      <c r="O72" s="56"/>
    </row>
    <row r="73" spans="2:15" ht="7.5" customHeight="1" thickBot="1" x14ac:dyDescent="0.3"/>
    <row r="74" spans="2:15" ht="19.5" thickBot="1" x14ac:dyDescent="0.3">
      <c r="B74" s="78" t="s">
        <v>59</v>
      </c>
      <c r="C74" s="65"/>
      <c r="D74" s="65"/>
      <c r="E74" s="65"/>
      <c r="F74" s="65"/>
      <c r="G74" s="65"/>
      <c r="H74" s="65"/>
      <c r="I74" s="66"/>
      <c r="O74" s="64"/>
    </row>
  </sheetData>
  <mergeCells count="3">
    <mergeCell ref="C4:I4"/>
    <mergeCell ref="C53:I53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6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A74"/>
  <sheetViews>
    <sheetView tabSelected="1" zoomScale="130" zoomScaleNormal="130" zoomScaleSheetLayoutView="115" workbookViewId="0">
      <selection activeCell="C8" sqref="C8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" style="57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4.28515625" style="57" customWidth="1"/>
    <col min="21" max="21" width="5.5703125" style="57" customWidth="1"/>
    <col min="22" max="48" width="7.28515625" style="57" customWidth="1"/>
    <col min="49" max="49" width="1.5703125" style="57" customWidth="1"/>
    <col min="50" max="50" width="9.42578125" style="57" customWidth="1"/>
    <col min="51" max="51" width="1.28515625" style="57" customWidth="1"/>
    <col min="52" max="52" width="12.7109375" style="57" bestFit="1" customWidth="1"/>
    <col min="53" max="53" width="10.28515625" style="57" bestFit="1" customWidth="1"/>
    <col min="54" max="16384" width="9.140625" style="57"/>
  </cols>
  <sheetData>
    <row r="1" spans="1:53" ht="15" customHeight="1" x14ac:dyDescent="0.25">
      <c r="B1" s="75" t="s">
        <v>51</v>
      </c>
      <c r="I1" s="133" t="s">
        <v>53</v>
      </c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</row>
    <row r="2" spans="1:53" x14ac:dyDescent="0.25">
      <c r="B2" s="76" t="s">
        <v>61</v>
      </c>
    </row>
    <row r="3" spans="1:53" ht="19.5" thickBot="1" x14ac:dyDescent="0.3"/>
    <row r="4" spans="1:53" s="58" customFormat="1" ht="15.75" x14ac:dyDescent="0.25">
      <c r="B4" s="93" t="s">
        <v>63</v>
      </c>
      <c r="C4" s="128" t="s">
        <v>49</v>
      </c>
      <c r="D4" s="128"/>
      <c r="E4" s="128"/>
      <c r="F4" s="128"/>
      <c r="G4" s="128"/>
      <c r="H4" s="128"/>
      <c r="I4" s="128"/>
      <c r="J4" s="134"/>
      <c r="K4" s="129"/>
      <c r="M4" s="82" t="s">
        <v>0</v>
      </c>
      <c r="N4" s="117" t="s">
        <v>73</v>
      </c>
      <c r="O4" s="84" t="s">
        <v>45</v>
      </c>
      <c r="P4" s="117" t="s">
        <v>73</v>
      </c>
      <c r="Q4" s="85" t="s">
        <v>46</v>
      </c>
      <c r="R4" s="117" t="s">
        <v>73</v>
      </c>
      <c r="S4" s="57"/>
      <c r="T4" s="86" t="s">
        <v>50</v>
      </c>
      <c r="U4" s="86" t="s">
        <v>73</v>
      </c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</row>
    <row r="5" spans="1:53" s="58" customFormat="1" ht="15.75" x14ac:dyDescent="0.25">
      <c r="B5" s="87"/>
      <c r="C5" s="92"/>
      <c r="D5" s="92"/>
      <c r="E5" s="92"/>
      <c r="F5" s="92"/>
      <c r="G5" s="92" t="s">
        <v>71</v>
      </c>
      <c r="H5" s="92" t="s">
        <v>47</v>
      </c>
      <c r="I5" s="92"/>
      <c r="J5" s="92" t="s">
        <v>72</v>
      </c>
      <c r="K5" s="89"/>
      <c r="M5" s="87"/>
      <c r="N5" s="118"/>
      <c r="O5" s="92"/>
      <c r="P5" s="108"/>
      <c r="Q5" s="108"/>
      <c r="R5" s="89"/>
      <c r="S5" s="57"/>
      <c r="T5" s="90"/>
      <c r="U5" s="90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</row>
    <row r="6" spans="1:53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</row>
    <row r="7" spans="1:53" x14ac:dyDescent="0.25">
      <c r="A7" s="75">
        <v>1</v>
      </c>
      <c r="B7" s="74" t="s">
        <v>34</v>
      </c>
      <c r="C7" s="48">
        <f>63+20</f>
        <v>83</v>
      </c>
      <c r="D7" s="48"/>
      <c r="E7" s="48"/>
      <c r="F7" s="48">
        <v>17</v>
      </c>
      <c r="G7" s="48">
        <v>1</v>
      </c>
      <c r="H7" s="48"/>
      <c r="I7" s="48"/>
      <c r="J7" s="109"/>
      <c r="K7" s="69">
        <v>6</v>
      </c>
      <c r="M7" s="88"/>
      <c r="N7" s="119"/>
      <c r="O7" s="48">
        <v>3</v>
      </c>
      <c r="P7" s="109"/>
      <c r="Q7" s="109">
        <v>2</v>
      </c>
      <c r="R7" s="69"/>
      <c r="T7" s="91">
        <f>C7+M7+O7+Q7+1</f>
        <v>89</v>
      </c>
      <c r="U7" s="91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3" ht="19.5" thickBot="1" x14ac:dyDescent="0.3">
      <c r="A8" s="75">
        <f>A7+1</f>
        <v>2</v>
      </c>
      <c r="B8" s="94" t="s">
        <v>37</v>
      </c>
      <c r="C8" s="95">
        <f>126+16</f>
        <v>142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04"/>
      <c r="U8" s="104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3" x14ac:dyDescent="0.25">
      <c r="A9" s="75">
        <f t="shared" ref="A9:A50" si="0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/>
      <c r="U9" s="5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0" spans="1:53" x14ac:dyDescent="0.25">
      <c r="A10" s="75">
        <f t="shared" si="0"/>
        <v>4</v>
      </c>
      <c r="B10" s="74" t="s">
        <v>38</v>
      </c>
      <c r="C10" s="47">
        <v>7</v>
      </c>
      <c r="D10" s="47"/>
      <c r="E10" s="47"/>
      <c r="F10" s="47"/>
      <c r="G10" s="47"/>
      <c r="H10" s="47"/>
      <c r="I10" s="47"/>
      <c r="J10" s="111"/>
      <c r="K10" s="46"/>
      <c r="M10" s="52">
        <v>3</v>
      </c>
      <c r="N10" s="121"/>
      <c r="O10" s="47">
        <v>2</v>
      </c>
      <c r="P10" s="111"/>
      <c r="Q10" s="111"/>
      <c r="R10" s="46"/>
      <c r="T10" s="50"/>
      <c r="U10" s="5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</row>
    <row r="11" spans="1:53" x14ac:dyDescent="0.25">
      <c r="A11" s="75">
        <f t="shared" si="0"/>
        <v>5</v>
      </c>
      <c r="B11" s="74" t="s">
        <v>36</v>
      </c>
      <c r="C11" s="47">
        <v>28</v>
      </c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50"/>
      <c r="U11" s="5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3" s="61" customFormat="1" ht="19.5" thickBot="1" x14ac:dyDescent="0.3">
      <c r="A12" s="75">
        <v>7</v>
      </c>
      <c r="B12" s="94" t="s">
        <v>32</v>
      </c>
      <c r="C12" s="95">
        <f>37+1800+1152+864</f>
        <v>3853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20</v>
      </c>
      <c r="N12" s="120"/>
      <c r="O12" s="97">
        <v>8</v>
      </c>
      <c r="P12" s="113">
        <v>9</v>
      </c>
      <c r="Q12" s="113">
        <v>21</v>
      </c>
      <c r="R12" s="98">
        <v>4</v>
      </c>
      <c r="S12" s="102"/>
      <c r="T12" s="104"/>
      <c r="U12" s="104"/>
      <c r="V12" s="57"/>
      <c r="W12" s="57"/>
      <c r="X12" s="57"/>
      <c r="Y12" s="57"/>
      <c r="Z12" s="57"/>
      <c r="AA12" s="57"/>
      <c r="AB12" s="57"/>
      <c r="AC12" s="57"/>
      <c r="AD12" s="57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3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50"/>
      <c r="U13" s="5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3" x14ac:dyDescent="0.25">
      <c r="A14" s="75">
        <f t="shared" si="0"/>
        <v>12</v>
      </c>
      <c r="B14" s="74" t="s">
        <v>2</v>
      </c>
      <c r="C14" s="47">
        <v>1</v>
      </c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50"/>
      <c r="U14" s="5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3" x14ac:dyDescent="0.25">
      <c r="A15" s="75">
        <f t="shared" si="0"/>
        <v>13</v>
      </c>
      <c r="B15" s="74" t="s">
        <v>3</v>
      </c>
      <c r="C15" s="47">
        <v>1</v>
      </c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50"/>
      <c r="U15" s="5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3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50"/>
      <c r="U16" s="5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x14ac:dyDescent="0.25">
      <c r="A17" s="75">
        <f t="shared" si="0"/>
        <v>15</v>
      </c>
      <c r="B17" s="74" t="s">
        <v>5</v>
      </c>
      <c r="C17" s="47">
        <v>6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50"/>
      <c r="U17" s="5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50"/>
      <c r="U18" s="5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50"/>
      <c r="U19" s="5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 x14ac:dyDescent="0.25">
      <c r="A20" s="75">
        <f t="shared" si="0"/>
        <v>17</v>
      </c>
      <c r="B20" s="74" t="s">
        <v>6</v>
      </c>
      <c r="C20" s="47">
        <v>7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50"/>
      <c r="U20" s="5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 x14ac:dyDescent="0.25">
      <c r="A21" s="75">
        <f t="shared" si="0"/>
        <v>18</v>
      </c>
      <c r="B21" s="74" t="s">
        <v>7</v>
      </c>
      <c r="C21" s="47">
        <v>6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50"/>
      <c r="U21" s="5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 s="61" customFormat="1" x14ac:dyDescent="0.25">
      <c r="A22" s="75">
        <f t="shared" si="0"/>
        <v>19</v>
      </c>
      <c r="B22" s="74" t="s">
        <v>65</v>
      </c>
      <c r="C22" s="47">
        <v>4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50"/>
      <c r="U22" s="50"/>
      <c r="V22" s="57"/>
      <c r="W22" s="57"/>
      <c r="X22" s="57"/>
      <c r="Y22" s="57"/>
      <c r="Z22" s="57"/>
      <c r="AA22" s="57"/>
      <c r="AB22" s="57"/>
      <c r="AC22" s="57"/>
      <c r="AD22" s="57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 s="61" customFormat="1" x14ac:dyDescent="0.25">
      <c r="A23" s="75">
        <f t="shared" si="0"/>
        <v>20</v>
      </c>
      <c r="B23" s="74" t="s">
        <v>66</v>
      </c>
      <c r="C23" s="47">
        <v>55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50"/>
      <c r="U23" s="50"/>
      <c r="V23" s="57"/>
      <c r="W23" s="57"/>
      <c r="X23" s="57"/>
      <c r="Y23" s="57"/>
      <c r="Z23" s="57"/>
      <c r="AA23" s="57"/>
      <c r="AB23" s="57"/>
      <c r="AC23" s="57"/>
      <c r="AD23" s="57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 x14ac:dyDescent="0.25">
      <c r="A24" s="75">
        <f t="shared" si="0"/>
        <v>21</v>
      </c>
      <c r="B24" s="74" t="s">
        <v>67</v>
      </c>
      <c r="C24" s="47">
        <v>8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50"/>
      <c r="U24" s="5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 x14ac:dyDescent="0.25">
      <c r="A25" s="75">
        <f t="shared" si="0"/>
        <v>22</v>
      </c>
      <c r="B25" s="74" t="s">
        <v>9</v>
      </c>
      <c r="C25" s="47">
        <v>61</v>
      </c>
      <c r="D25" s="47"/>
      <c r="E25" s="47"/>
      <c r="F25" s="47">
        <v>22</v>
      </c>
      <c r="G25" s="47">
        <v>1</v>
      </c>
      <c r="H25" s="47"/>
      <c r="I25" s="47"/>
      <c r="J25" s="111"/>
      <c r="K25" s="46"/>
      <c r="M25" s="52"/>
      <c r="N25" s="121"/>
      <c r="O25" s="47">
        <v>2</v>
      </c>
      <c r="P25" s="111"/>
      <c r="Q25" s="111">
        <v>2</v>
      </c>
      <c r="R25" s="46"/>
      <c r="T25" s="50"/>
      <c r="U25" s="50"/>
      <c r="AX25" s="62" t="e">
        <f>#REF!-AX24</f>
        <v>#REF!</v>
      </c>
    </row>
    <row r="26" spans="1:53" s="61" customFormat="1" x14ac:dyDescent="0.25">
      <c r="A26" s="75">
        <f t="shared" si="0"/>
        <v>23</v>
      </c>
      <c r="B26" s="74" t="s">
        <v>11</v>
      </c>
      <c r="C26" s="47">
        <v>20</v>
      </c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50"/>
      <c r="U26" s="50"/>
      <c r="V26" s="57"/>
      <c r="W26" s="57"/>
      <c r="X26" s="57"/>
      <c r="Y26" s="57"/>
      <c r="Z26" s="57"/>
      <c r="AA26" s="57"/>
      <c r="AB26" s="57"/>
      <c r="AC26" s="57"/>
      <c r="AD26" s="57"/>
    </row>
    <row r="27" spans="1:53" s="61" customFormat="1" x14ac:dyDescent="0.25">
      <c r="A27" s="75">
        <f t="shared" si="0"/>
        <v>24</v>
      </c>
      <c r="B27" s="74" t="s">
        <v>12</v>
      </c>
      <c r="C27" s="47">
        <f>63+7</f>
        <v>70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>
        <v>2</v>
      </c>
      <c r="P27" s="111"/>
      <c r="Q27" s="111">
        <v>8</v>
      </c>
      <c r="R27" s="46"/>
      <c r="S27" s="57"/>
      <c r="T27" s="50"/>
      <c r="U27" s="50"/>
      <c r="V27" s="57"/>
      <c r="W27" s="57"/>
      <c r="X27" s="57"/>
      <c r="Y27" s="57"/>
      <c r="Z27" s="57"/>
      <c r="AA27" s="57"/>
      <c r="AB27" s="57"/>
      <c r="AC27" s="57"/>
      <c r="AD27" s="57"/>
    </row>
    <row r="28" spans="1:53" x14ac:dyDescent="0.25">
      <c r="A28" s="75">
        <f t="shared" si="0"/>
        <v>25</v>
      </c>
      <c r="B28" s="74" t="s">
        <v>14</v>
      </c>
      <c r="C28" s="47">
        <v>7</v>
      </c>
      <c r="D28" s="47"/>
      <c r="E28" s="47"/>
      <c r="F28" s="47"/>
      <c r="G28" s="47"/>
      <c r="H28" s="47"/>
      <c r="I28" s="47"/>
      <c r="J28" s="111"/>
      <c r="K28" s="46"/>
      <c r="M28" s="52"/>
      <c r="N28" s="121"/>
      <c r="O28" s="47">
        <v>1</v>
      </c>
      <c r="P28" s="111"/>
      <c r="Q28" s="111">
        <v>1</v>
      </c>
      <c r="R28" s="46"/>
      <c r="T28" s="50"/>
      <c r="U28" s="50"/>
    </row>
    <row r="29" spans="1:53" x14ac:dyDescent="0.25">
      <c r="A29" s="75">
        <f t="shared" si="0"/>
        <v>26</v>
      </c>
      <c r="B29" s="74" t="s">
        <v>16</v>
      </c>
      <c r="C29" s="47">
        <f>63+36</f>
        <v>99</v>
      </c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>
        <v>1</v>
      </c>
      <c r="P29" s="111"/>
      <c r="Q29" s="111">
        <v>1</v>
      </c>
      <c r="R29" s="46"/>
      <c r="T29" s="50"/>
      <c r="U29" s="50"/>
    </row>
    <row r="30" spans="1:53" x14ac:dyDescent="0.25">
      <c r="A30" s="75">
        <f t="shared" si="0"/>
        <v>27</v>
      </c>
      <c r="B30" s="74" t="s">
        <v>13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50"/>
      <c r="U30" s="50"/>
    </row>
    <row r="31" spans="1:53" x14ac:dyDescent="0.25">
      <c r="A31" s="75">
        <f t="shared" si="0"/>
        <v>28</v>
      </c>
      <c r="B31" s="74" t="s">
        <v>15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50"/>
      <c r="U31" s="50"/>
    </row>
    <row r="32" spans="1:53" x14ac:dyDescent="0.25">
      <c r="A32" s="75">
        <f t="shared" si="0"/>
        <v>29</v>
      </c>
      <c r="B32" s="74" t="s">
        <v>17</v>
      </c>
      <c r="C32" s="47">
        <v>5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50"/>
      <c r="U32" s="50"/>
    </row>
    <row r="33" spans="1:21" x14ac:dyDescent="0.25">
      <c r="A33" s="75">
        <f t="shared" si="0"/>
        <v>30</v>
      </c>
      <c r="B33" s="74" t="s">
        <v>18</v>
      </c>
      <c r="C33" s="47">
        <f>144+59</f>
        <v>203</v>
      </c>
      <c r="D33" s="47"/>
      <c r="E33" s="47"/>
      <c r="F33" s="47">
        <v>22</v>
      </c>
      <c r="G33" s="47"/>
      <c r="H33" s="47"/>
      <c r="I33" s="47"/>
      <c r="J33" s="111"/>
      <c r="K33" s="46">
        <v>1</v>
      </c>
      <c r="M33" s="52"/>
      <c r="N33" s="121"/>
      <c r="O33" s="47">
        <v>2</v>
      </c>
      <c r="P33" s="111"/>
      <c r="Q33" s="111">
        <v>3</v>
      </c>
      <c r="R33" s="46"/>
      <c r="T33" s="50"/>
      <c r="U33" s="50"/>
    </row>
    <row r="34" spans="1:21" hidden="1" x14ac:dyDescent="0.25">
      <c r="A34" s="75">
        <f t="shared" si="0"/>
        <v>31</v>
      </c>
      <c r="B34" s="74" t="s">
        <v>26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50"/>
      <c r="U34" s="50"/>
    </row>
    <row r="35" spans="1:21" x14ac:dyDescent="0.25">
      <c r="A35" s="75">
        <v>31</v>
      </c>
      <c r="B35" s="74" t="s">
        <v>19</v>
      </c>
      <c r="C35" s="47">
        <v>1</v>
      </c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50"/>
      <c r="U35" s="50"/>
    </row>
    <row r="36" spans="1:21" ht="19.5" thickBot="1" x14ac:dyDescent="0.3">
      <c r="A36" s="75">
        <f t="shared" si="0"/>
        <v>32</v>
      </c>
      <c r="B36" s="94" t="s">
        <v>20</v>
      </c>
      <c r="C36" s="95">
        <f>2376+4320</f>
        <v>6696</v>
      </c>
      <c r="D36" s="95"/>
      <c r="E36" s="95"/>
      <c r="F36" s="95">
        <v>4</v>
      </c>
      <c r="G36" s="95"/>
      <c r="H36" s="95"/>
      <c r="I36" s="95">
        <v>2</v>
      </c>
      <c r="J36" s="110"/>
      <c r="K36" s="96">
        <v>2</v>
      </c>
      <c r="L36" s="102"/>
      <c r="M36" s="103"/>
      <c r="N36" s="120"/>
      <c r="O36" s="97">
        <v>20</v>
      </c>
      <c r="P36" s="113"/>
      <c r="Q36" s="113">
        <v>86</v>
      </c>
      <c r="R36" s="98"/>
      <c r="S36" s="102"/>
      <c r="T36" s="104"/>
      <c r="U36" s="104"/>
    </row>
    <row r="37" spans="1:21" x14ac:dyDescent="0.25">
      <c r="A37" s="75">
        <f t="shared" si="0"/>
        <v>33</v>
      </c>
      <c r="B37" s="73" t="s">
        <v>21</v>
      </c>
      <c r="C37" s="47">
        <v>33</v>
      </c>
      <c r="D37" s="47"/>
      <c r="E37" s="47"/>
      <c r="F37" s="47"/>
      <c r="G37" s="47"/>
      <c r="H37" s="47"/>
      <c r="I37" s="47"/>
      <c r="J37" s="111"/>
      <c r="K37" s="46"/>
      <c r="M37" s="52"/>
      <c r="N37" s="121"/>
      <c r="O37" s="47"/>
      <c r="P37" s="111"/>
      <c r="Q37" s="111">
        <v>1</v>
      </c>
      <c r="R37" s="46"/>
      <c r="T37" s="50"/>
      <c r="U37" s="50"/>
    </row>
    <row r="38" spans="1:21" ht="19.5" thickBot="1" x14ac:dyDescent="0.3">
      <c r="A38" s="75">
        <f t="shared" si="0"/>
        <v>34</v>
      </c>
      <c r="B38" s="94" t="s">
        <v>22</v>
      </c>
      <c r="C38" s="95">
        <f>19+1071</f>
        <v>1090</v>
      </c>
      <c r="D38" s="95"/>
      <c r="E38" s="95"/>
      <c r="F38" s="95"/>
      <c r="G38" s="95"/>
      <c r="H38" s="95"/>
      <c r="I38" s="95"/>
      <c r="J38" s="110"/>
      <c r="K38" s="96"/>
      <c r="L38" s="102"/>
      <c r="M38" s="103"/>
      <c r="N38" s="120"/>
      <c r="O38" s="97">
        <v>2</v>
      </c>
      <c r="P38" s="113"/>
      <c r="Q38" s="113">
        <v>2</v>
      </c>
      <c r="R38" s="98"/>
      <c r="S38" s="102"/>
      <c r="T38" s="104"/>
      <c r="U38" s="104"/>
    </row>
    <row r="39" spans="1:21" ht="19.5" thickBot="1" x14ac:dyDescent="0.3">
      <c r="A39" s="75">
        <f t="shared" si="0"/>
        <v>35</v>
      </c>
      <c r="B39" s="99" t="s">
        <v>23</v>
      </c>
      <c r="C39" s="100">
        <f>2208+56</f>
        <v>2264</v>
      </c>
      <c r="D39" s="100"/>
      <c r="E39" s="100"/>
      <c r="F39" s="100"/>
      <c r="G39" s="100"/>
      <c r="H39" s="100"/>
      <c r="I39" s="100"/>
      <c r="J39" s="112"/>
      <c r="K39" s="101"/>
      <c r="L39" s="105"/>
      <c r="M39" s="106"/>
      <c r="N39" s="122"/>
      <c r="O39" s="100">
        <v>8</v>
      </c>
      <c r="P39" s="112"/>
      <c r="Q39" s="112">
        <v>20</v>
      </c>
      <c r="R39" s="101"/>
      <c r="S39" s="105"/>
      <c r="T39" s="107"/>
      <c r="U39" s="107"/>
    </row>
    <row r="40" spans="1:21" hidden="1" x14ac:dyDescent="0.25">
      <c r="A40" s="75">
        <f t="shared" si="0"/>
        <v>36</v>
      </c>
      <c r="B40" s="73" t="s">
        <v>31</v>
      </c>
      <c r="C40" s="47"/>
      <c r="D40" s="47"/>
      <c r="E40" s="47"/>
      <c r="F40" s="47"/>
      <c r="G40" s="47"/>
      <c r="H40" s="47"/>
      <c r="I40" s="47"/>
      <c r="J40" s="111"/>
      <c r="K40" s="46"/>
      <c r="M40" s="52"/>
      <c r="N40" s="121"/>
      <c r="O40" s="47"/>
      <c r="P40" s="111"/>
      <c r="Q40" s="111"/>
      <c r="R40" s="46"/>
      <c r="T40" s="50"/>
      <c r="U40" s="50"/>
    </row>
    <row r="41" spans="1:21" ht="19.5" thickBot="1" x14ac:dyDescent="0.3">
      <c r="A41" s="75">
        <v>36</v>
      </c>
      <c r="B41" s="94" t="s">
        <v>24</v>
      </c>
      <c r="C41" s="97">
        <f>5292+1728+24+8424+4968+10800+1</f>
        <v>31237</v>
      </c>
      <c r="D41" s="97"/>
      <c r="E41" s="97"/>
      <c r="F41" s="97"/>
      <c r="G41" s="97">
        <v>4</v>
      </c>
      <c r="H41" s="97">
        <v>26</v>
      </c>
      <c r="I41" s="97">
        <v>1</v>
      </c>
      <c r="J41" s="113">
        <v>38</v>
      </c>
      <c r="K41" s="98">
        <v>4</v>
      </c>
      <c r="L41" s="102"/>
      <c r="M41" s="103">
        <v>648</v>
      </c>
      <c r="N41" s="120"/>
      <c r="O41" s="97">
        <v>257</v>
      </c>
      <c r="P41" s="113"/>
      <c r="Q41" s="113">
        <v>541</v>
      </c>
      <c r="R41" s="98"/>
      <c r="S41" s="102"/>
      <c r="T41" s="104"/>
      <c r="U41" s="104"/>
    </row>
    <row r="42" spans="1:21" hidden="1" x14ac:dyDescent="0.25">
      <c r="A42" s="75">
        <f t="shared" si="0"/>
        <v>37</v>
      </c>
      <c r="B42" s="73" t="s">
        <v>33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</row>
    <row r="43" spans="1:21" x14ac:dyDescent="0.25">
      <c r="A43" s="75">
        <v>37</v>
      </c>
      <c r="B43" s="74" t="s">
        <v>25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</row>
    <row r="44" spans="1:21" x14ac:dyDescent="0.25">
      <c r="A44" s="75">
        <f t="shared" si="0"/>
        <v>38</v>
      </c>
      <c r="B44" s="74" t="s">
        <v>68</v>
      </c>
      <c r="C44" s="47">
        <v>2</v>
      </c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</row>
    <row r="45" spans="1:21" x14ac:dyDescent="0.25">
      <c r="A45" s="75">
        <f t="shared" si="0"/>
        <v>39</v>
      </c>
      <c r="B45" s="74" t="s">
        <v>26</v>
      </c>
      <c r="C45" s="47">
        <f>4+2268+102</f>
        <v>2374</v>
      </c>
      <c r="D45" s="47"/>
      <c r="E45" s="47"/>
      <c r="F45" s="47">
        <v>3</v>
      </c>
      <c r="G45" s="47"/>
      <c r="H45" s="47"/>
      <c r="I45" s="47"/>
      <c r="J45" s="111">
        <v>1</v>
      </c>
      <c r="K45" s="46"/>
      <c r="M45" s="52"/>
      <c r="N45" s="121"/>
      <c r="O45" s="47">
        <v>2</v>
      </c>
      <c r="P45" s="111"/>
      <c r="Q45" s="111">
        <v>18</v>
      </c>
      <c r="R45" s="46"/>
      <c r="T45" s="50"/>
      <c r="U45" s="50"/>
    </row>
    <row r="46" spans="1:21" x14ac:dyDescent="0.25">
      <c r="A46" s="75">
        <f t="shared" si="0"/>
        <v>40</v>
      </c>
      <c r="B46" s="74" t="s">
        <v>69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/>
      <c r="U46" s="50"/>
    </row>
    <row r="47" spans="1:21" x14ac:dyDescent="0.25">
      <c r="A47" s="75">
        <f t="shared" si="0"/>
        <v>41</v>
      </c>
      <c r="B47" s="74" t="s">
        <v>28</v>
      </c>
      <c r="C47" s="47">
        <v>1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/>
      <c r="U47" s="50"/>
    </row>
    <row r="48" spans="1:21" x14ac:dyDescent="0.25">
      <c r="A48" s="75">
        <f t="shared" si="0"/>
        <v>42</v>
      </c>
      <c r="B48" s="74" t="s">
        <v>70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/>
      <c r="U48" s="50"/>
    </row>
    <row r="49" spans="1:21" x14ac:dyDescent="0.25">
      <c r="A49" s="75">
        <f t="shared" si="0"/>
        <v>43</v>
      </c>
      <c r="B49" s="74" t="s">
        <v>29</v>
      </c>
      <c r="C49" s="47">
        <v>34</v>
      </c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/>
      <c r="U49" s="50"/>
    </row>
    <row r="50" spans="1:21" x14ac:dyDescent="0.25">
      <c r="A50" s="75">
        <f t="shared" si="0"/>
        <v>44</v>
      </c>
      <c r="B50" s="74" t="s">
        <v>30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/>
      <c r="U50" s="50"/>
    </row>
    <row r="51" spans="1:21" s="63" customFormat="1" ht="19.5" thickBot="1" x14ac:dyDescent="0.3">
      <c r="B51" s="77" t="s">
        <v>60</v>
      </c>
      <c r="C51" s="49">
        <f>SUM(C7:C50)</f>
        <v>48407</v>
      </c>
      <c r="D51" s="49"/>
      <c r="E51" s="49"/>
      <c r="F51" s="49">
        <f t="shared" ref="F51:K51" si="1">SUM(F7:F50)</f>
        <v>68</v>
      </c>
      <c r="G51" s="49">
        <f t="shared" si="1"/>
        <v>6</v>
      </c>
      <c r="H51" s="49">
        <f t="shared" si="1"/>
        <v>26</v>
      </c>
      <c r="I51" s="54">
        <f t="shared" si="1"/>
        <v>3</v>
      </c>
      <c r="J51" s="54">
        <f t="shared" si="1"/>
        <v>39</v>
      </c>
      <c r="K51" s="54">
        <f t="shared" si="1"/>
        <v>13</v>
      </c>
      <c r="M51" s="53">
        <f t="shared" ref="M51:R51" si="2">SUM(M7:M50)</f>
        <v>671</v>
      </c>
      <c r="N51" s="53">
        <f t="shared" si="2"/>
        <v>0</v>
      </c>
      <c r="O51" s="53">
        <f t="shared" si="2"/>
        <v>310</v>
      </c>
      <c r="P51" s="53">
        <f t="shared" si="2"/>
        <v>9</v>
      </c>
      <c r="Q51" s="53">
        <f t="shared" si="2"/>
        <v>706</v>
      </c>
      <c r="R51" s="53">
        <f t="shared" si="2"/>
        <v>4</v>
      </c>
      <c r="S51" s="57"/>
      <c r="T51" s="51">
        <f>SUM(T7:T50)</f>
        <v>89</v>
      </c>
      <c r="U51" s="51">
        <f>SUM(U7:U50)</f>
        <v>0</v>
      </c>
    </row>
    <row r="52" spans="1:21" ht="7.5" customHeight="1" thickBot="1" x14ac:dyDescent="0.3"/>
    <row r="53" spans="1:21" ht="19.5" thickBot="1" x14ac:dyDescent="0.3">
      <c r="B53" s="78" t="s">
        <v>39</v>
      </c>
      <c r="C53" s="130" t="s">
        <v>49</v>
      </c>
      <c r="D53" s="131"/>
      <c r="E53" s="131"/>
      <c r="F53" s="131"/>
      <c r="G53" s="131"/>
      <c r="H53" s="131"/>
      <c r="I53" s="131"/>
      <c r="J53" s="131"/>
      <c r="K53" s="132"/>
      <c r="T53" s="72" t="s">
        <v>62</v>
      </c>
    </row>
    <row r="54" spans="1:21" x14ac:dyDescent="0.25">
      <c r="B54" s="79" t="s">
        <v>18</v>
      </c>
      <c r="C54" s="67"/>
      <c r="D54" s="67"/>
      <c r="E54" s="67"/>
      <c r="F54" s="67"/>
      <c r="G54" s="67"/>
      <c r="H54" s="67"/>
      <c r="I54" s="67"/>
      <c r="J54" s="114"/>
      <c r="K54" s="68"/>
      <c r="T54" s="55"/>
    </row>
    <row r="55" spans="1:21" x14ac:dyDescent="0.25">
      <c r="B55" s="80" t="s">
        <v>55</v>
      </c>
      <c r="C55" s="48"/>
      <c r="D55" s="48"/>
      <c r="E55" s="48"/>
      <c r="F55" s="48"/>
      <c r="G55" s="48"/>
      <c r="H55" s="48"/>
      <c r="I55" s="48"/>
      <c r="J55" s="109"/>
      <c r="K55" s="69"/>
      <c r="T55" s="50"/>
    </row>
    <row r="56" spans="1:21" ht="19.5" thickBot="1" x14ac:dyDescent="0.3">
      <c r="B56" s="81" t="s">
        <v>54</v>
      </c>
      <c r="C56" s="70"/>
      <c r="D56" s="70"/>
      <c r="E56" s="70"/>
      <c r="F56" s="70"/>
      <c r="G56" s="70"/>
      <c r="H56" s="70"/>
      <c r="I56" s="70"/>
      <c r="J56" s="115"/>
      <c r="K56" s="71"/>
      <c r="T56" s="56"/>
    </row>
    <row r="57" spans="1:21" ht="7.5" customHeight="1" thickBot="1" x14ac:dyDescent="0.3"/>
    <row r="58" spans="1:21" x14ac:dyDescent="0.25">
      <c r="B58" s="79" t="s">
        <v>56</v>
      </c>
      <c r="C58" s="67"/>
      <c r="D58" s="67"/>
      <c r="E58" s="67"/>
      <c r="F58" s="67"/>
      <c r="G58" s="67"/>
      <c r="H58" s="67"/>
      <c r="I58" s="67"/>
      <c r="J58" s="114"/>
      <c r="K58" s="68"/>
      <c r="T58" s="55"/>
    </row>
    <row r="59" spans="1:21" x14ac:dyDescent="0.25">
      <c r="B59" s="80" t="s">
        <v>55</v>
      </c>
      <c r="C59" s="48"/>
      <c r="D59" s="48"/>
      <c r="E59" s="48"/>
      <c r="F59" s="48"/>
      <c r="G59" s="48"/>
      <c r="H59" s="48"/>
      <c r="I59" s="48"/>
      <c r="J59" s="109"/>
      <c r="K59" s="69"/>
      <c r="T59" s="50"/>
    </row>
    <row r="60" spans="1:21" ht="19.5" thickBot="1" x14ac:dyDescent="0.3">
      <c r="B60" s="81" t="s">
        <v>54</v>
      </c>
      <c r="C60" s="70"/>
      <c r="D60" s="70"/>
      <c r="E60" s="70"/>
      <c r="F60" s="70"/>
      <c r="G60" s="70"/>
      <c r="H60" s="70"/>
      <c r="I60" s="70"/>
      <c r="J60" s="115"/>
      <c r="K60" s="71"/>
      <c r="T60" s="56"/>
    </row>
    <row r="61" spans="1:21" ht="7.5" customHeight="1" thickBot="1" x14ac:dyDescent="0.3"/>
    <row r="62" spans="1:21" x14ac:dyDescent="0.25">
      <c r="B62" s="79" t="s">
        <v>41</v>
      </c>
      <c r="C62" s="67"/>
      <c r="D62" s="67"/>
      <c r="E62" s="67"/>
      <c r="F62" s="67"/>
      <c r="G62" s="67"/>
      <c r="H62" s="67"/>
      <c r="I62" s="67"/>
      <c r="J62" s="114"/>
      <c r="K62" s="68"/>
      <c r="T62" s="55"/>
    </row>
    <row r="63" spans="1:21" x14ac:dyDescent="0.25">
      <c r="B63" s="80" t="s">
        <v>55</v>
      </c>
      <c r="C63" s="48"/>
      <c r="D63" s="48"/>
      <c r="E63" s="48"/>
      <c r="F63" s="48"/>
      <c r="G63" s="48"/>
      <c r="H63" s="48"/>
      <c r="I63" s="48"/>
      <c r="J63" s="109"/>
      <c r="K63" s="69"/>
      <c r="T63" s="50"/>
    </row>
    <row r="64" spans="1:21" ht="19.5" thickBot="1" x14ac:dyDescent="0.3">
      <c r="B64" s="81" t="s">
        <v>54</v>
      </c>
      <c r="C64" s="70"/>
      <c r="D64" s="70"/>
      <c r="E64" s="70"/>
      <c r="F64" s="70"/>
      <c r="G64" s="70"/>
      <c r="H64" s="70"/>
      <c r="I64" s="70"/>
      <c r="J64" s="115"/>
      <c r="K64" s="71"/>
      <c r="T64" s="56"/>
    </row>
    <row r="65" spans="2:20" ht="7.5" customHeight="1" thickBot="1" x14ac:dyDescent="0.3"/>
    <row r="66" spans="2:20" x14ac:dyDescent="0.25">
      <c r="B66" s="79" t="s">
        <v>57</v>
      </c>
      <c r="C66" s="67"/>
      <c r="D66" s="67"/>
      <c r="E66" s="67"/>
      <c r="F66" s="67"/>
      <c r="G66" s="67"/>
      <c r="H66" s="67"/>
      <c r="I66" s="67"/>
      <c r="J66" s="114"/>
      <c r="K66" s="68"/>
      <c r="T66" s="55"/>
    </row>
    <row r="67" spans="2:20" x14ac:dyDescent="0.25">
      <c r="B67" s="80" t="s">
        <v>55</v>
      </c>
      <c r="C67" s="48"/>
      <c r="D67" s="48"/>
      <c r="E67" s="48"/>
      <c r="F67" s="48"/>
      <c r="G67" s="48"/>
      <c r="H67" s="48"/>
      <c r="I67" s="48"/>
      <c r="J67" s="109"/>
      <c r="K67" s="69"/>
      <c r="T67" s="50"/>
    </row>
    <row r="68" spans="2:20" ht="19.5" thickBot="1" x14ac:dyDescent="0.3">
      <c r="B68" s="81" t="s">
        <v>54</v>
      </c>
      <c r="C68" s="70"/>
      <c r="D68" s="70"/>
      <c r="E68" s="70"/>
      <c r="F68" s="70"/>
      <c r="G68" s="70"/>
      <c r="H68" s="70"/>
      <c r="I68" s="70"/>
      <c r="J68" s="115"/>
      <c r="K68" s="71"/>
      <c r="T68" s="56"/>
    </row>
    <row r="69" spans="2:20" ht="7.5" customHeight="1" thickBot="1" x14ac:dyDescent="0.3"/>
    <row r="70" spans="2:20" x14ac:dyDescent="0.25">
      <c r="B70" s="79" t="s">
        <v>58</v>
      </c>
      <c r="C70" s="67"/>
      <c r="D70" s="67"/>
      <c r="E70" s="67"/>
      <c r="F70" s="67"/>
      <c r="G70" s="67"/>
      <c r="H70" s="67"/>
      <c r="I70" s="67"/>
      <c r="J70" s="114"/>
      <c r="K70" s="68"/>
      <c r="T70" s="55"/>
    </row>
    <row r="71" spans="2:20" x14ac:dyDescent="0.25">
      <c r="B71" s="80" t="s">
        <v>55</v>
      </c>
      <c r="C71" s="48"/>
      <c r="D71" s="48"/>
      <c r="E71" s="48"/>
      <c r="F71" s="48"/>
      <c r="G71" s="48"/>
      <c r="H71" s="48"/>
      <c r="I71" s="48"/>
      <c r="J71" s="109"/>
      <c r="K71" s="69"/>
      <c r="T71" s="50"/>
    </row>
    <row r="72" spans="2:20" ht="19.5" thickBot="1" x14ac:dyDescent="0.3">
      <c r="B72" s="81" t="s">
        <v>54</v>
      </c>
      <c r="C72" s="70"/>
      <c r="D72" s="70"/>
      <c r="E72" s="70"/>
      <c r="F72" s="70"/>
      <c r="G72" s="70"/>
      <c r="H72" s="70"/>
      <c r="I72" s="70"/>
      <c r="J72" s="115"/>
      <c r="K72" s="71"/>
      <c r="T72" s="56"/>
    </row>
    <row r="73" spans="2:20" ht="7.5" customHeight="1" thickBot="1" x14ac:dyDescent="0.3"/>
    <row r="74" spans="2:20" ht="19.5" thickBot="1" x14ac:dyDescent="0.3">
      <c r="B74" s="78" t="s">
        <v>59</v>
      </c>
      <c r="C74" s="65"/>
      <c r="D74" s="65"/>
      <c r="E74" s="65"/>
      <c r="F74" s="65"/>
      <c r="G74" s="65"/>
      <c r="H74" s="65"/>
      <c r="I74" s="65"/>
      <c r="J74" s="116"/>
      <c r="K74" s="66"/>
      <c r="T74" s="64"/>
    </row>
  </sheetData>
  <mergeCells count="3">
    <mergeCell ref="I1:T1"/>
    <mergeCell ref="C4:K4"/>
    <mergeCell ref="C53:K53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3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COUNT SHEET</vt:lpstr>
      <vt:lpstr>COUNT SHEET VERT</vt:lpstr>
      <vt:lpstr>01,08</vt:lpstr>
      <vt:lpstr>'01,08'!Print_Area</vt:lpstr>
      <vt:lpstr>'COUNT SHEET'!Print_Area</vt:lpstr>
      <vt:lpstr>'COUNT SHEET VERT'!Print_Area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2026-01-07T08:54:10Z</cp:lastPrinted>
  <dcterms:created xsi:type="dcterms:W3CDTF">2024-08-17T00:07:58Z</dcterms:created>
  <dcterms:modified xsi:type="dcterms:W3CDTF">2026-01-08T07:38:56Z</dcterms:modified>
</cp:coreProperties>
</file>